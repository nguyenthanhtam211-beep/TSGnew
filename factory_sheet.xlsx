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ỔNG HỢP" sheetId="1" r:id="rId5"/>
    <sheet state="visible" name="NHẬP LIỆU" sheetId="2" r:id="rId6"/>
    <sheet state="visible" name="THÀNH PHẨM" sheetId="3" r:id="rId7"/>
    <sheet state="hidden" name="BÁN TP" sheetId="4" r:id="rId8"/>
    <sheet state="visible" name="NVL" sheetId="5" r:id="rId9"/>
    <sheet state="visible" name="VẬT TƯ" sheetId="6" r:id="rId10"/>
    <sheet state="visible" name="NKSX" sheetId="7" r:id="rId11"/>
    <sheet state="visible" name="DANH MỤC" sheetId="8" r:id="rId12"/>
    <sheet state="hidden" name="XNT THEO NGÀY" sheetId="9" r:id="rId13"/>
    <sheet state="hidden" name="ĐM HAO HỤT" sheetId="10" r:id="rId14"/>
    <sheet state="hidden" name="KL NÒNG ỐNG" sheetId="11" r:id="rId15"/>
  </sheets>
  <definedNames>
    <definedName name="Nhập_liệu_1">'NHẬP LIỆU'!$A$6:$M$1048576</definedName>
    <definedName name="NHẬP_LIỆU">'NHẬP LIỆU'!$B$6:$M$241</definedName>
    <definedName hidden="1" localSheetId="1" name="_xlnm._FilterDatabase">'NHẬP LIỆU'!$A$5:$N$1871</definedName>
    <definedName hidden="1" localSheetId="6" name="_xlnm._FilterDatabase">NKSX!$A$4:$AM$1053</definedName>
    <definedName hidden="1" localSheetId="4" name="Z_F465A061_9A41_48E1_8CC6_5990C98916DA_.wvu.FilterData">NVL!$A$10:$L$612</definedName>
    <definedName hidden="1" localSheetId="2" name="Z_1DA56668_6BB9_4A7B_B831_0031932E98DC_.wvu.FilterData">'THÀNH PHẨM'!$A$8:$M$21</definedName>
    <definedName hidden="1" localSheetId="3" name="Z_0C34A7A3_FEE5_4C79_A05E_4DD713C881E8_.wvu.FilterData">'BÁN TP'!$A$2:$J$17</definedName>
    <definedName hidden="1" localSheetId="5" name="Z_0274E614_83F1_485E_AA8E_DCC3E42D21BA_.wvu.FilterData">'VẬT TƯ'!$A$3:$I$16</definedName>
  </definedNames>
  <calcPr/>
  <customWorkbookViews>
    <customWorkbookView activeSheetId="0" maximized="1" windowHeight="0" windowWidth="0" guid="{F465A061-9A41-48E1-8CC6-5990C98916DA}" name="Table15 filter view"/>
    <customWorkbookView activeSheetId="0" maximized="1" windowHeight="0" windowWidth="0" guid="{1DA56668-6BB9-4A7B-B831-0031932E98DC}" name="Table1 filter view"/>
    <customWorkbookView activeSheetId="0" maximized="1" windowHeight="0" windowWidth="0" guid="{0C34A7A3-FEE5-4C79-A05E-4DD713C881E8}" name="Table2 filter view"/>
    <customWorkbookView activeSheetId="0" maximized="1" windowHeight="0" windowWidth="0" guid="{0274E614-83F1-485E-AA8E-DCC3E42D21BA}" name="Table3 filter view"/>
  </customWorkbookViews>
</workbook>
</file>

<file path=xl/sharedStrings.xml><?xml version="1.0" encoding="utf-8"?>
<sst xmlns="http://schemas.openxmlformats.org/spreadsheetml/2006/main" count="4914" uniqueCount="811">
  <si>
    <t>BẢNG TỔNG HỢP XNT TỔNG NGÀNH HÀNG KHO TÂM SEN THÁNG 04 - 2024</t>
  </si>
  <si>
    <t xml:space="preserve">XNT </t>
  </si>
  <si>
    <t>TỒN ĐẦU KỲ</t>
  </si>
  <si>
    <t>STT</t>
  </si>
  <si>
    <t>NHẬP TRONG KỲ</t>
  </si>
  <si>
    <t>XUẤT TRONG KỲ</t>
  </si>
  <si>
    <t>Chứng từ</t>
  </si>
  <si>
    <t>TỒN CUỐI KỲ</t>
  </si>
  <si>
    <t>Diễn giải</t>
  </si>
  <si>
    <t>Hàng Hóa</t>
  </si>
  <si>
    <t>TÊN HÀNG HÓA</t>
  </si>
  <si>
    <t>Quy cách SP</t>
  </si>
  <si>
    <t>TỒN ĐK CUỘN
(KIỆN)</t>
  </si>
  <si>
    <t>TỒN ĐK 
 THÙNG</t>
  </si>
  <si>
    <t>TỒN ĐK KHO
(KG)</t>
  </si>
  <si>
    <t>NHẬP CUỘN
(KIỆN)</t>
  </si>
  <si>
    <t>Số Lượng</t>
  </si>
  <si>
    <t>NHẬP THÙNG</t>
  </si>
  <si>
    <t>NHẬP KHO
(KG)</t>
  </si>
  <si>
    <t>XUẤT CUỘN
(KIỆN)</t>
  </si>
  <si>
    <t>XUẤT THÙNG</t>
  </si>
  <si>
    <t>Tên nhà 
cung cấp/ Khách hàng</t>
  </si>
  <si>
    <t>XUẤT KG</t>
  </si>
  <si>
    <t>TỒN CK
CUỘN 
(KIỆN)</t>
  </si>
  <si>
    <t>TỒN CK
THÙNG</t>
  </si>
  <si>
    <t>Bộ Phận</t>
  </si>
  <si>
    <t>TỒN CK
 KG</t>
  </si>
  <si>
    <t>Số ĐH</t>
  </si>
  <si>
    <t>Ngày 
xuất / nhập</t>
  </si>
  <si>
    <t>COUCHE GLOSS HIKOTE</t>
  </si>
  <si>
    <t>Mã hàng</t>
  </si>
  <si>
    <t>Tên hàng</t>
  </si>
  <si>
    <t>ĐVT</t>
  </si>
  <si>
    <t>Nhập</t>
  </si>
  <si>
    <t>Xuất</t>
  </si>
  <si>
    <t>Nhập Kho NVL</t>
  </si>
  <si>
    <t>INIB21065</t>
  </si>
  <si>
    <t>COUCHE NIPPON GLOSS</t>
  </si>
  <si>
    <t>COUCHE NIPPON MATT</t>
  </si>
  <si>
    <t>TỒN KHO BTP</t>
  </si>
  <si>
    <t>COUCHE HOKUETSU SIGMA MATT</t>
  </si>
  <si>
    <t>COUCHE HOKUETSU ALPHA MATT</t>
  </si>
  <si>
    <t>COUCHE HANSOL</t>
  </si>
  <si>
    <t>DUPLEX KLEANARA</t>
  </si>
  <si>
    <t>Cuộn dở AVP chuyển ra</t>
  </si>
  <si>
    <t>DUPLEX XSD GOLD MAPLE</t>
  </si>
  <si>
    <t>MÃ BTP</t>
  </si>
  <si>
    <t>INIB210109</t>
  </si>
  <si>
    <t>TÊN HÀNG</t>
  </si>
  <si>
    <t>DUPLEX XSD WHITE MAPLE</t>
  </si>
  <si>
    <t>ĐL
(GSM)</t>
  </si>
  <si>
    <t>DUPLEX HANCHANG</t>
  </si>
  <si>
    <t>KHỔ
(MM)</t>
  </si>
  <si>
    <t>DÀI
(M)</t>
  </si>
  <si>
    <t>IVORY NINGBO</t>
  </si>
  <si>
    <t>TỒN
CUỘN</t>
  </si>
  <si>
    <t>IVORY IP SUN</t>
  </si>
  <si>
    <t>KG</t>
  </si>
  <si>
    <t>AVP chuyển ra</t>
  </si>
  <si>
    <t>GHI CHÚ</t>
  </si>
  <si>
    <t>INIB21086</t>
  </si>
  <si>
    <t>TỒN KHO THÀNH PHẨM</t>
  </si>
  <si>
    <t>PHOTOCOPY IK ONE</t>
  </si>
  <si>
    <t>PHOTOCOPY IK PLUS</t>
  </si>
  <si>
    <t>MÃ TP</t>
  </si>
  <si>
    <t>Cuộn dở AVP chuyển ra, lõi to</t>
  </si>
  <si>
    <t>PULP UKPC</t>
  </si>
  <si>
    <t>INIB23079</t>
  </si>
  <si>
    <t>PULP UKP</t>
  </si>
  <si>
    <t>PULP BHKP</t>
  </si>
  <si>
    <t>TỒN
ĐK</t>
  </si>
  <si>
    <t>NHẬP</t>
  </si>
  <si>
    <t>XUẤT</t>
  </si>
  <si>
    <t>PHOTOCOPY Bãi Bằng độ trắng 86</t>
  </si>
  <si>
    <t>TỒN
CK</t>
  </si>
  <si>
    <t>WOODFREE IK NOTES</t>
  </si>
  <si>
    <t>TÌNH TRẠNG HÀNG HÓA</t>
  </si>
  <si>
    <t>WOODFREE IK PRINT</t>
  </si>
  <si>
    <t>WOODFREE CANADA</t>
  </si>
  <si>
    <t>IIPS210109</t>
  </si>
  <si>
    <t>GIẤY IN AN HÒA</t>
  </si>
  <si>
    <t>LGT210/71-TS</t>
  </si>
  <si>
    <t>Lưỡi gà trắng 71mm x 800m x 210gsm</t>
  </si>
  <si>
    <t xml:space="preserve">COREBROAD </t>
  </si>
  <si>
    <t>TỔNG</t>
  </si>
  <si>
    <t>Cuộn</t>
  </si>
  <si>
    <t>IIPS230109</t>
  </si>
  <si>
    <t>IIPS25084</t>
  </si>
  <si>
    <t>INIB250109</t>
  </si>
  <si>
    <t>LGT210/83-TS</t>
  </si>
  <si>
    <t>Lưỡi gà trắng 83mm x 800m x 210gsm</t>
  </si>
  <si>
    <t>IIPS250109</t>
  </si>
  <si>
    <t>INIB25065</t>
  </si>
  <si>
    <t>LGT210/88-TS</t>
  </si>
  <si>
    <t>Lưỡi gà trắng 88mm x 800m x 210gsm</t>
  </si>
  <si>
    <t>Nhập Mua Vật Tư</t>
  </si>
  <si>
    <t>GIAYBAOLG</t>
  </si>
  <si>
    <t>OG.12.7.1000</t>
  </si>
  <si>
    <t>LGT210/91-TS</t>
  </si>
  <si>
    <t>Lưỡi gà trắng 91mm x 800m x 210gsm</t>
  </si>
  <si>
    <t>AVP chuyển ra 5CN+2 CD</t>
  </si>
  <si>
    <t>LGT210/96.5-TS</t>
  </si>
  <si>
    <t>Lưỡi gà trắng 96.5mm x 800m x 210gsm</t>
  </si>
  <si>
    <t>AVP chuyển ra 11CN</t>
  </si>
  <si>
    <t>LGT210/95-TS</t>
  </si>
  <si>
    <t>Lưỡi gà trắng 95mm x 800m x 210gsm</t>
  </si>
  <si>
    <t>(2*60+18*52 + LẺ 17)</t>
  </si>
  <si>
    <t>PL12.12.130</t>
  </si>
  <si>
    <t>LGT230/75-TS</t>
  </si>
  <si>
    <t>Lưỡi gà trắng 75mm x 800m x 230gsm</t>
  </si>
  <si>
    <t>KRAFT</t>
  </si>
  <si>
    <t xml:space="preserve"> (3*60)+5</t>
  </si>
  <si>
    <t>DAY.DAI.PET</t>
  </si>
  <si>
    <t>LGT230/95-TS</t>
  </si>
  <si>
    <t>Lưỡi gà trắng 95mm x 800m x 230gsm</t>
  </si>
  <si>
    <t>MANGPE</t>
  </si>
  <si>
    <t>(5*60)+5+8</t>
  </si>
  <si>
    <t>LGT230/97-TS</t>
  </si>
  <si>
    <t>Lưỡi gà trắng 97mm x 800m x 230gsm</t>
  </si>
  <si>
    <t>Nhập hàng của Chí Nguyên</t>
  </si>
  <si>
    <t>LGT230/98-TS</t>
  </si>
  <si>
    <t>INIB25075</t>
  </si>
  <si>
    <t>Lưỡi gà trắng 98mm x 800m x 230gsm</t>
  </si>
  <si>
    <t>LGT250/90-TS</t>
  </si>
  <si>
    <t>Lưỡi gà trắng 90mm x 800m x 250gsm</t>
  </si>
  <si>
    <t>Xuất vật tư sx</t>
  </si>
  <si>
    <t xml:space="preserve">(27*52) </t>
  </si>
  <si>
    <t>PL11.11.130</t>
  </si>
  <si>
    <t>01.07/LGT-BBMN</t>
  </si>
  <si>
    <t>Nhập Thành Phẩm LSX 39.2024</t>
  </si>
  <si>
    <t>Xuất LG BBMN</t>
  </si>
  <si>
    <t>BBMN</t>
  </si>
  <si>
    <t>24/LGT/08</t>
  </si>
  <si>
    <t>Xuất NVL Lsx 40.2024</t>
  </si>
  <si>
    <t>INIB23065</t>
  </si>
  <si>
    <t>Nhập giấy kho Tâm Sen</t>
  </si>
  <si>
    <t>Hàng mẫu</t>
  </si>
  <si>
    <t>Xuất NVL Lsx 41.2024</t>
  </si>
  <si>
    <t>VP Tâm Sen MN</t>
  </si>
  <si>
    <t>LGT23090-200</t>
  </si>
  <si>
    <t>LGT23095-200</t>
  </si>
  <si>
    <t>LGT23096.5-200</t>
  </si>
  <si>
    <t>Nhập Thành Phẩm LSX 40.2024</t>
  </si>
  <si>
    <t>INIB250102</t>
  </si>
  <si>
    <t>Nhập hàng của Chí Nguyên</t>
  </si>
  <si>
    <t>Nhập Thành Phẩm LSX 42.2024</t>
  </si>
  <si>
    <t>Xuất bán TLTL</t>
  </si>
  <si>
    <t>Nhập Thành Phẩm LSX 43.2024</t>
  </si>
  <si>
    <t>INIB250100</t>
  </si>
  <si>
    <t>Nhập hàng của BB Thăng Long</t>
  </si>
  <si>
    <t>Nhập Thành Phẩm LSX 44.2024</t>
  </si>
  <si>
    <t>BG2M2.5CM-15YARD</t>
  </si>
  <si>
    <t>VS-16092024-TS</t>
  </si>
  <si>
    <t>Xuất NVL LSX Việt Sing</t>
  </si>
  <si>
    <t>INIB21079</t>
  </si>
  <si>
    <t>Nhập Thành Phẩm LSX 45.2024</t>
  </si>
  <si>
    <t>NEP1.15</t>
  </si>
  <si>
    <t>Nhập Thành Phẩm LSX 46.2024</t>
  </si>
  <si>
    <t>13-09-24</t>
  </si>
  <si>
    <t>Xuất NVL Lsx 45.2024</t>
  </si>
  <si>
    <t>01.07/LGT-BBMN (95mm), 24/LGT/08 (71mm), Hàng mẫu (83mm)</t>
  </si>
  <si>
    <t>15-08-24</t>
  </si>
  <si>
    <t>Xuất NVL Lsx 42.2024</t>
  </si>
  <si>
    <t>01.09/LGT-BBMN (1040 cuộn</t>
  </si>
  <si>
    <t>18-09-24</t>
  </si>
  <si>
    <t>Xuất NVL Lsx 46.2024</t>
  </si>
  <si>
    <t>01.08/LGT-BBMN</t>
  </si>
  <si>
    <t>20-08-24</t>
  </si>
  <si>
    <t>Xuất NVL Lsx 43.2024</t>
  </si>
  <si>
    <t>02.08/LGT-BBMN (520 cuộn) và 01.09/LGT-BBMN (1040 cuộn)</t>
  </si>
  <si>
    <t>24-08-24</t>
  </si>
  <si>
    <t>Xuất NVL Lsx 44.2024</t>
  </si>
  <si>
    <t>24/LGT/08 và 02.09/LGT-BBMN</t>
  </si>
  <si>
    <t>25-09-24</t>
  </si>
  <si>
    <t>Xuất NVL Lsx 47.2024</t>
  </si>
  <si>
    <t>26-07-24</t>
  </si>
  <si>
    <t>Xuất NVL Lsx 39.2024</t>
  </si>
  <si>
    <t>03.09/LGT-BBMN</t>
  </si>
  <si>
    <t>Xuất NVL Lsx 48.2024</t>
  </si>
  <si>
    <t>24/LGT/08 &amp; 24/LGT/11</t>
  </si>
  <si>
    <t>Xuất NVL Lsx 49.2024</t>
  </si>
  <si>
    <t>Nhập Thành Phẩm LSX 47-48-49.2024</t>
  </si>
  <si>
    <t>OG.12.7.71</t>
  </si>
  <si>
    <t>OG.12.7.90</t>
  </si>
  <si>
    <t>OG.12.7.95</t>
  </si>
  <si>
    <t>24/LGT/08 và 24/LGT/10</t>
  </si>
  <si>
    <t>Xuất NVL Lsx 50.2024</t>
  </si>
  <si>
    <t>Nhâp hàng của Chí Nguyên</t>
  </si>
  <si>
    <t>Nhập cont</t>
  </si>
  <si>
    <t>INIB230109</t>
  </si>
  <si>
    <t>VS-26102024-TS</t>
  </si>
  <si>
    <t>01.09/LGT-BBMN và 01.10/LGT-BBMN</t>
  </si>
  <si>
    <t>Xuất NVL Lsx 51.2024</t>
  </si>
  <si>
    <t>Nhập Thành Phẩm LSX 50.2024</t>
  </si>
  <si>
    <t xml:space="preserve">24/LGT/12 &amp; 24/LGT/13 &amp; 01.10/LGT-BBNM </t>
  </si>
  <si>
    <t>Xuất NVL Lsx 52.2024</t>
  </si>
  <si>
    <t>TỔNG HỢP XUẤT NHẬP TỒN NVL</t>
  </si>
  <si>
    <t>MÃ HÀNG</t>
  </si>
  <si>
    <t>Nhập Thành Phẩm LSX 51.2024</t>
  </si>
  <si>
    <t>ĐL</t>
  </si>
  <si>
    <t>KHỔ</t>
  </si>
  <si>
    <t>DÀI</t>
  </si>
  <si>
    <t>TỒN ĐẦU</t>
  </si>
  <si>
    <t>TỒN CUỒI</t>
  </si>
  <si>
    <t>OG.12.7.98</t>
  </si>
  <si>
    <t>Ivory Ningbo</t>
  </si>
  <si>
    <t>Kg</t>
  </si>
  <si>
    <t>INIB21070</t>
  </si>
  <si>
    <t>Nhập Thành Phẩm LSX 52.2024</t>
  </si>
  <si>
    <t>INIB210106</t>
  </si>
  <si>
    <t>24/LGT/12</t>
  </si>
  <si>
    <t>Xuất NVL Lsx 53.2024</t>
  </si>
  <si>
    <t>10 C * 968 kg</t>
  </si>
  <si>
    <t>INIB210108</t>
  </si>
  <si>
    <t>57C*987 + DC 700KG</t>
  </si>
  <si>
    <t>Xuất bán TLTH</t>
  </si>
  <si>
    <t>24/LGT/12 và 24/LGT/13</t>
  </si>
  <si>
    <t>Xuất NVL Lsx 54.2024</t>
  </si>
  <si>
    <t>1CD 609kg AVP - nòng to</t>
  </si>
  <si>
    <t>INIB230106</t>
  </si>
  <si>
    <t>Nhập Thành Phẩm LSX 53.2024</t>
  </si>
  <si>
    <t>Nhập Thành Phẩm LSX 54.2024</t>
  </si>
  <si>
    <t>18C *951kg + CD700kg</t>
  </si>
  <si>
    <t>INIB230108</t>
  </si>
  <si>
    <t>28C*969 + 1CD 250kg</t>
  </si>
  <si>
    <t>4C * 990  + 1CD 760kG</t>
  </si>
  <si>
    <t>02.10/LGT-BBMN</t>
  </si>
  <si>
    <t>Xuất NVL Lsx 55.2024</t>
  </si>
  <si>
    <t>10C *981kg + CD 800KG</t>
  </si>
  <si>
    <t>Ivory IPSUN</t>
  </si>
  <si>
    <t>24/LGT/14 và 01.10/LGT-BBMN</t>
  </si>
  <si>
    <t>Xuất NVL Lsx 56.2024</t>
  </si>
  <si>
    <t>VẬT TƯ SẢN XUẤT</t>
  </si>
  <si>
    <t>TỒN
 ĐẦU</t>
  </si>
  <si>
    <t xml:space="preserve">TỒN </t>
  </si>
  <si>
    <t>Pallet gỗ 1200x1200x130mm</t>
  </si>
  <si>
    <t>Bộ</t>
  </si>
  <si>
    <t>Nhập Thành Phẩm LSX 55.2024</t>
  </si>
  <si>
    <t>Pallet gỗ 1100x1100x130mm</t>
  </si>
  <si>
    <t>Nhập Thành Phẩm LSX 56.2024</t>
  </si>
  <si>
    <t>Nẹp gỗ pallet dài 1.15m</t>
  </si>
  <si>
    <t>Cái</t>
  </si>
  <si>
    <t>24/LGT/14</t>
  </si>
  <si>
    <t>Xuất NVL Lsx 57.2024</t>
  </si>
  <si>
    <t>Ống lõi giấy phi 120x7x71mm</t>
  </si>
  <si>
    <t>OG.12.7.88</t>
  </si>
  <si>
    <t>Ống lõi giấy phi 120x7x88mm</t>
  </si>
  <si>
    <t>Ống lõi giấy phi 120x7x90mm</t>
  </si>
  <si>
    <t>Ống lõi giấy phi 120x7x95mm</t>
  </si>
  <si>
    <t>Nhập Thành Phẩm</t>
  </si>
  <si>
    <t>Ống lõi giấy phi 120x7x98mm</t>
  </si>
  <si>
    <t>Xuất NVL Lsx 58.2024</t>
  </si>
  <si>
    <t>Ống lõi giấy phi 120x7x1000mm</t>
  </si>
  <si>
    <t>Màng Strecth Film 5.0-0.6kg</t>
  </si>
  <si>
    <t>(1c = 4,4kg)</t>
  </si>
  <si>
    <t>Kraft nâu LG (cuộn)</t>
  </si>
  <si>
    <t>65+413</t>
  </si>
  <si>
    <t>Giấy bao gói lưỡi gà</t>
  </si>
  <si>
    <t>Dây đai PET xanh (B)</t>
  </si>
  <si>
    <t>(1c=20kg)</t>
  </si>
  <si>
    <t>GIAYLOTDG</t>
  </si>
  <si>
    <t>Giấy lót đóng gói</t>
  </si>
  <si>
    <t>NKSX</t>
  </si>
  <si>
    <t>NGÀY CẮT</t>
  </si>
  <si>
    <t>LSX</t>
  </si>
  <si>
    <t>Khách</t>
  </si>
  <si>
    <t>MÃ NVL</t>
  </si>
  <si>
    <t>Loại Giấy</t>
  </si>
  <si>
    <t>NVL</t>
  </si>
  <si>
    <t>TP</t>
  </si>
  <si>
    <t>BTP</t>
  </si>
  <si>
    <t>Bao bì
(kg)</t>
  </si>
  <si>
    <t>Nòng Ống</t>
  </si>
  <si>
    <t>Giấy phế(Kg)</t>
  </si>
  <si>
    <t>Cuộn dở(Kg)</t>
  </si>
  <si>
    <t>Hao hụt (kg)</t>
  </si>
  <si>
    <t>Vật Tư</t>
  </si>
  <si>
    <t>Thợ cắt</t>
  </si>
  <si>
    <t>Ngày hoàn thành</t>
  </si>
  <si>
    <t>Ghi Chú</t>
  </si>
  <si>
    <t>ĐL
(Gsm)</t>
  </si>
  <si>
    <t>Khổ
(cm)</t>
  </si>
  <si>
    <t>Trọng Lượng
(kg)</t>
  </si>
  <si>
    <t>Khổ
(mm)</t>
  </si>
  <si>
    <t>dài
(m)</t>
  </si>
  <si>
    <t>Số Cuộn</t>
  </si>
  <si>
    <t>Trọng lượng
(kg)</t>
  </si>
  <si>
    <t>Số lượng
(cái)</t>
  </si>
  <si>
    <t>Tổng hao hụt(Kg)</t>
  </si>
  <si>
    <t>% Hao Hụt</t>
  </si>
  <si>
    <t>Hiệu Suất</t>
  </si>
  <si>
    <t>Kích Thước pallet</t>
  </si>
  <si>
    <t>số lượng
(cái)</t>
  </si>
  <si>
    <t>Nẹp Gỗ</t>
  </si>
  <si>
    <t>Ống giấy
(cái)</t>
  </si>
  <si>
    <t>Màng Pe
(kg)</t>
  </si>
  <si>
    <t>Dây đai pet
(kg)</t>
  </si>
  <si>
    <t>Giấy bao gói
(kg)</t>
  </si>
  <si>
    <t>Giấy lot ĐG
(kg)</t>
  </si>
  <si>
    <t>39/2024</t>
  </si>
  <si>
    <t>24/LGT/14 và 24/LGT/16</t>
  </si>
  <si>
    <t>Xuất NVL Lsx 59.2024</t>
  </si>
  <si>
    <t>Vinh</t>
  </si>
  <si>
    <t>40/2024</t>
  </si>
  <si>
    <t>TLTL</t>
  </si>
  <si>
    <t xml:space="preserve">Hàng mẫu </t>
  </si>
  <si>
    <t>41/2024</t>
  </si>
  <si>
    <t>VPMN</t>
  </si>
  <si>
    <t>LGT23090</t>
  </si>
  <si>
    <t>LGT23095</t>
  </si>
  <si>
    <t>LGT23096.5</t>
  </si>
  <si>
    <t>42/2024</t>
  </si>
  <si>
    <t>TLBT</t>
  </si>
  <si>
    <t>Xuất NVL Lsx 60.2024</t>
  </si>
  <si>
    <t>43/2024</t>
  </si>
  <si>
    <t>44/2024</t>
  </si>
  <si>
    <t>45/2024</t>
  </si>
  <si>
    <t>46/2024</t>
  </si>
  <si>
    <t>TLSG</t>
  </si>
  <si>
    <t>Nhập Thành Phẩm từ BTP cuốn lại</t>
  </si>
  <si>
    <t>47/2024</t>
  </si>
  <si>
    <t xml:space="preserve">TLTL </t>
  </si>
  <si>
    <t>48/2024</t>
  </si>
  <si>
    <t>Xuất NVL Lsx 61.2024</t>
  </si>
  <si>
    <t xml:space="preserve">24/LGT/08 </t>
  </si>
  <si>
    <t>49/2024</t>
  </si>
  <si>
    <t>Xuất NVL Lsx 62.2024</t>
  </si>
  <si>
    <t>24/LGT/11</t>
  </si>
  <si>
    <t>50/2024</t>
  </si>
  <si>
    <t>51/2024</t>
  </si>
  <si>
    <t>25/KHVT/008</t>
  </si>
  <si>
    <t xml:space="preserve">24/LGT/12 </t>
  </si>
  <si>
    <t>52/2024</t>
  </si>
  <si>
    <t>Sx</t>
  </si>
  <si>
    <t>Xuất Vật Tư LSX 62/2024</t>
  </si>
  <si>
    <t xml:space="preserve"> 24/LGT/13</t>
  </si>
  <si>
    <t>01.10/LGT-BBNM</t>
  </si>
  <si>
    <t>53/2024</t>
  </si>
  <si>
    <t>54/2024</t>
  </si>
  <si>
    <t>55/2024</t>
  </si>
  <si>
    <t>56/2024</t>
  </si>
  <si>
    <t>57/2024</t>
  </si>
  <si>
    <t>Xuất NVL LSX 62/2024</t>
  </si>
  <si>
    <t>58/2024</t>
  </si>
  <si>
    <t xml:space="preserve">Nhập cuộn dở LSX 62/2024 </t>
  </si>
  <si>
    <t>24/LGT/15</t>
  </si>
  <si>
    <t>24/LGT/14 + 24/LGT/16</t>
  </si>
  <si>
    <t>59/2024</t>
  </si>
  <si>
    <t>Xuất NVL LSX 01/2025</t>
  </si>
  <si>
    <t>Xuất Vật Tư LSX 01/2025</t>
  </si>
  <si>
    <t>24/GLT/14 + 01.10/LGT-BBMN</t>
  </si>
  <si>
    <t>60/2024</t>
  </si>
  <si>
    <t>Việt</t>
  </si>
  <si>
    <t>01.11/LGT-BBMN</t>
  </si>
  <si>
    <t>61/2024</t>
  </si>
  <si>
    <t>VIỆT</t>
  </si>
  <si>
    <t>62/2024</t>
  </si>
  <si>
    <t>01/2025</t>
  </si>
  <si>
    <t>02/2025</t>
  </si>
  <si>
    <t>Nhập cuộn dở LSX 01/2025</t>
  </si>
  <si>
    <t>03/2025</t>
  </si>
  <si>
    <t>Xuất Vật Tư LSX 02/2025</t>
  </si>
  <si>
    <t>04/2025</t>
  </si>
  <si>
    <t>25/KHVT/0094</t>
  </si>
  <si>
    <t>05/2025</t>
  </si>
  <si>
    <t>Xuất NVL LSX 02/2025</t>
  </si>
  <si>
    <t>25/KHVT/0094+ 01.01/LGT-BBMN</t>
  </si>
  <si>
    <t>06/2025</t>
  </si>
  <si>
    <t>TLTL + KLA</t>
  </si>
  <si>
    <t>25/KHVT/0094+ 01.02/LGT-BBMN</t>
  </si>
  <si>
    <t>07/2025</t>
  </si>
  <si>
    <t>01.01/LGT-BBMN</t>
  </si>
  <si>
    <t>08/2025</t>
  </si>
  <si>
    <t>KLA</t>
  </si>
  <si>
    <t>25/KHVT/0217</t>
  </si>
  <si>
    <t>09/2025</t>
  </si>
  <si>
    <t>Xuất Vật Tư LSX 03/2025</t>
  </si>
  <si>
    <t>Nhập cuộn dở LSX 03/2025</t>
  </si>
  <si>
    <t>25/LGT/04</t>
  </si>
  <si>
    <t>10/2025</t>
  </si>
  <si>
    <t>JGVN2400462TS-03</t>
  </si>
  <si>
    <t>01.03/LGT - BBMN</t>
  </si>
  <si>
    <t>CTY CP NĂNG LƯỢNG AN VIỆT PHÁT</t>
  </si>
  <si>
    <t>TEMU6347760</t>
  </si>
  <si>
    <t>JGVN2400462TS-01</t>
  </si>
  <si>
    <t>11/2025</t>
  </si>
  <si>
    <t>FFAU1315617</t>
  </si>
  <si>
    <t>JGVN2400462TS-02</t>
  </si>
  <si>
    <t>SITU9152634</t>
  </si>
  <si>
    <t>01/TS/25</t>
  </si>
  <si>
    <t>12/2025</t>
  </si>
  <si>
    <t>TLTL + TLTH</t>
  </si>
  <si>
    <t>Xuất NVL LSX 04/2025</t>
  </si>
  <si>
    <t>Xuất Vật Tư LSX 04/2025</t>
  </si>
  <si>
    <t>Giấy NVL Khổ 109 k phù hợp đơn hàng</t>
  </si>
  <si>
    <t>01.04/LGT-BBMN</t>
  </si>
  <si>
    <t>13/2025</t>
  </si>
  <si>
    <t>TLTL + BBMN</t>
  </si>
  <si>
    <t>JGVN2400462TS-05</t>
  </si>
  <si>
    <t>UETU5766515</t>
  </si>
  <si>
    <t>JGVN2400462TS-04</t>
  </si>
  <si>
    <t>TGBU7045949</t>
  </si>
  <si>
    <t>LGT-BBMN</t>
  </si>
  <si>
    <t>14/2025</t>
  </si>
  <si>
    <t>02.04/LGT-BBMN</t>
  </si>
  <si>
    <t>15/2025</t>
  </si>
  <si>
    <t>NỐI BTP</t>
  </si>
  <si>
    <t>15BTP1</t>
  </si>
  <si>
    <t>15BTP2</t>
  </si>
  <si>
    <t>02/TS/25</t>
  </si>
  <si>
    <t>16/2025</t>
  </si>
  <si>
    <t>Bao Bì Cửu Long</t>
  </si>
  <si>
    <t>25/KHVT/0484</t>
  </si>
  <si>
    <t>17/2025</t>
  </si>
  <si>
    <t>17BTP1</t>
  </si>
  <si>
    <t>18/2025</t>
  </si>
  <si>
    <t>MÃ</t>
  </si>
  <si>
    <t>QUY CÁCH</t>
  </si>
  <si>
    <t>18BTP1</t>
  </si>
  <si>
    <t>BTP.LGT210/71/150-TS</t>
  </si>
  <si>
    <t>Lưỡi gà trắng 71mm x 150m x 210gsm</t>
  </si>
  <si>
    <t>BTP.LGT210/71/170-TS</t>
  </si>
  <si>
    <t>Lưỡi gà trắng 71mm x 170m x 210gsm</t>
  </si>
  <si>
    <t>BTP.LGT210/71/720-TS</t>
  </si>
  <si>
    <t>Lưỡi gà trắng 71mm x 720m x 210gsm</t>
  </si>
  <si>
    <t>BTP.LGT210/71/620-TS</t>
  </si>
  <si>
    <t>Lưỡi gà trắng 71mm x 620m x 210gsm</t>
  </si>
  <si>
    <t>BTP.LGT210/71/487-TS</t>
  </si>
  <si>
    <t>Lưỡi gà trắng 71mm x 478m x 210gsm</t>
  </si>
  <si>
    <t>BTP.LGT210/71/500-TS</t>
  </si>
  <si>
    <t>Lưỡi gà trắng 71mm x 500m x 210gsm</t>
  </si>
  <si>
    <t>BTP.LGT210/83/720-TS</t>
  </si>
  <si>
    <t>Lưỡi gà trắng 83mm x 720m x 210gsm</t>
  </si>
  <si>
    <t>BTP.LGT210/83/300-TS</t>
  </si>
  <si>
    <t>Lưỡi gà trắng 83mm x 300m x 210gsm</t>
  </si>
  <si>
    <t>BTP.LGT210/83/200-TS</t>
  </si>
  <si>
    <t>Lưỡi gà trắng 83mm x 200m x 210gsm</t>
  </si>
  <si>
    <t>BTP.LGT210/95/620-TS</t>
  </si>
  <si>
    <t>Lưỡi gà trắng 95mm x 620m x 210gsm</t>
  </si>
  <si>
    <t>BTP.LGT210/95/487-TS</t>
  </si>
  <si>
    <t>Lưỡi gà trắng 95mm x 487m x 210gsm</t>
  </si>
  <si>
    <t>BTP.LGT250/90/300-TS</t>
  </si>
  <si>
    <t>Lưỡi gà trắng 90mm x 300m x 250gsm</t>
  </si>
  <si>
    <t>BTP.LGT250/90/200-TS</t>
  </si>
  <si>
    <t>Lưỡi gà trắng 90mm x 200m x 250gsm</t>
  </si>
  <si>
    <t>BTP.LGT250/90/400-TS</t>
  </si>
  <si>
    <t>19/2025</t>
  </si>
  <si>
    <t>Lưỡi gà trắng 90mm x 400m x 250gsm</t>
  </si>
  <si>
    <t>Nhập cuộn dở LSX 04/2025</t>
  </si>
  <si>
    <t>Xuất NVL LSX 05/2025</t>
  </si>
  <si>
    <t>04/TS/25</t>
  </si>
  <si>
    <t>20/2025</t>
  </si>
  <si>
    <t>TLTH</t>
  </si>
  <si>
    <t>Xuất Vật Tư LSX 05/2025</t>
  </si>
  <si>
    <t>Giấy NVL Khổ 108 k phù hợp đơn hàng</t>
  </si>
  <si>
    <t>21/2025</t>
  </si>
  <si>
    <t>21BTP1</t>
  </si>
  <si>
    <t>05+06/TS/25</t>
  </si>
  <si>
    <t>22/2025</t>
  </si>
  <si>
    <t>23/2025</t>
  </si>
  <si>
    <t>24/2025</t>
  </si>
  <si>
    <t>Nhập cuộn dở LSX 05/2025</t>
  </si>
  <si>
    <t>25/2025</t>
  </si>
  <si>
    <t>Xuất Vật Tư LSX 06/2025</t>
  </si>
  <si>
    <t>27/2025</t>
  </si>
  <si>
    <t>Xuất NVL LSX 06/2025</t>
  </si>
  <si>
    <t>Giấy NVL Khổ 70 k phù hợp đơn hàng</t>
  </si>
  <si>
    <t>27BTP1</t>
  </si>
  <si>
    <t>26/2025</t>
  </si>
  <si>
    <t>28/2025</t>
  </si>
  <si>
    <t>29/2025</t>
  </si>
  <si>
    <t>30/2025</t>
  </si>
  <si>
    <t>31/2025</t>
  </si>
  <si>
    <t>32/2025</t>
  </si>
  <si>
    <t>01/2026</t>
  </si>
  <si>
    <t>02/2026</t>
  </si>
  <si>
    <t>03/2026</t>
  </si>
  <si>
    <t>04/2026</t>
  </si>
  <si>
    <t>Lượng hàng tồn chưa cắt đầu ngày</t>
  </si>
  <si>
    <t>Tồn đầu ngày giấy dày</t>
  </si>
  <si>
    <t>05/2026</t>
  </si>
  <si>
    <t>06/2026</t>
  </si>
  <si>
    <t>07/2026</t>
  </si>
  <si>
    <t>Pallet gỗ 1200x1100x130mm</t>
  </si>
  <si>
    <t>08/2026</t>
  </si>
  <si>
    <t>Tồn đầu ngày giấy mỏng</t>
  </si>
  <si>
    <t>Mất điện hỏng 1 dao</t>
  </si>
  <si>
    <t>09/2026</t>
  </si>
  <si>
    <t>10/2026</t>
  </si>
  <si>
    <t>12,86</t>
  </si>
  <si>
    <t>26/5/2026</t>
  </si>
  <si>
    <t>11/2026</t>
  </si>
  <si>
    <t>12/2026</t>
  </si>
  <si>
    <t>13/2026</t>
  </si>
  <si>
    <t>Tổng nhập lệnh cắt</t>
  </si>
  <si>
    <t>14/2026</t>
  </si>
  <si>
    <t>Nhập lệnh cắt giấy dày</t>
  </si>
  <si>
    <t>15/2026</t>
  </si>
  <si>
    <t>20/8/2026</t>
  </si>
  <si>
    <t>Nhập cuộn dở LSX 06/2025</t>
  </si>
  <si>
    <t>Xuất NVL lsx 07/2025</t>
  </si>
  <si>
    <t>Nhập lệnh cắt giấy mỏng</t>
  </si>
  <si>
    <t>Xuất Vật Tư LSX 07/2025</t>
  </si>
  <si>
    <t>Tổng sản lượng cắt</t>
  </si>
  <si>
    <t>Sản lượng giấy dày</t>
  </si>
  <si>
    <t>Sản lượng giấy mỏng</t>
  </si>
  <si>
    <t>Lượng hàng tồn chưa cắt cuối ngày</t>
  </si>
  <si>
    <t>Tồn chưa cắt giấy dày</t>
  </si>
  <si>
    <t>Tồn chưa cắt giấy mỏng</t>
  </si>
  <si>
    <t xml:space="preserve">TỔNG LƯỢNG HÀNG KIỆN CHƯA XUẤT </t>
  </si>
  <si>
    <t>Xuất NVL LSX 08/2025</t>
  </si>
  <si>
    <t>Xuất Vật Tư LSX 08/2025</t>
  </si>
  <si>
    <t>Đi Giao</t>
  </si>
  <si>
    <t>Đến Nhận</t>
  </si>
  <si>
    <t>TỔNG XUẤT (CUỘN &amp; KIỆN)</t>
  </si>
  <si>
    <t>TỔNG NHẬP KHO (kg)</t>
  </si>
  <si>
    <t>TỒN KHO ĐẦU NGÀY (TẤN)</t>
  </si>
  <si>
    <t>Xuất dự kiến</t>
  </si>
  <si>
    <t>Xuất thực tế</t>
  </si>
  <si>
    <t>Kế hoạch nhập cont (cuộn &amp; kiện)</t>
  </si>
  <si>
    <t>Thực tế nhập cont (cuộn &amp; kiện)</t>
  </si>
  <si>
    <t>Nhập cuộn dở LSX 08/2025</t>
  </si>
  <si>
    <t>KẾ HOẠCH TỒN KHO CUỐI NGÀY</t>
  </si>
  <si>
    <t>Xuất giấy Kraft cắt làm bao gói lưỡi gà</t>
  </si>
  <si>
    <t>HAO HỤT</t>
  </si>
  <si>
    <t>Nhập Bao gói lưỡi gà</t>
  </si>
  <si>
    <t>TỒN KHO THỰC TẾ CUỐI NGÀY</t>
  </si>
  <si>
    <t>Xuất NVL lsx 09/2025</t>
  </si>
  <si>
    <t>Xuất Vật Tư LSX 09/2025</t>
  </si>
  <si>
    <t>Xuất mẫu TLTH</t>
  </si>
  <si>
    <t>01.11/LGT- BBMN</t>
  </si>
  <si>
    <t>25/KHVT/0217 + 01.03/LGT - BBMN</t>
  </si>
  <si>
    <t>Xuất NVL lsx 10/2025</t>
  </si>
  <si>
    <t>Xuất Vật Tư LSX 10/2025</t>
  </si>
  <si>
    <t>Nhập Thành Phẩm LSX 10/2025</t>
  </si>
  <si>
    <t>JGVN2500016TS</t>
  </si>
  <si>
    <t>Nhập cuộn dở LSX 10/2025</t>
  </si>
  <si>
    <t xml:space="preserve">
01.11/LGT- BBMN</t>
  </si>
  <si>
    <t>Xuất NVL LSX 11/2025</t>
  </si>
  <si>
    <t xml:space="preserve"> 01.03/LGT - BBMN</t>
  </si>
  <si>
    <t>Xuất Vật Tư LSX 11/2025</t>
  </si>
  <si>
    <t>Nhập Thành Phẩm LSX 11/2025</t>
  </si>
  <si>
    <t>Xuất NVL LSX 12/2025</t>
  </si>
  <si>
    <t>Xuất Vật Tư LSX 12/2025</t>
  </si>
  <si>
    <t>Nhập Thành Phẩm LSX 12/2025</t>
  </si>
  <si>
    <t>Xuất NVL LSX 13/2025</t>
  </si>
  <si>
    <t>Xuất Vật Tư LSX 13/2025</t>
  </si>
  <si>
    <t>Nhập Thành Phẩm LSX 13/2025</t>
  </si>
  <si>
    <t>Xuất NVL LSX 14/2025</t>
  </si>
  <si>
    <t>Xuất Vật Tư LSX 14/2025</t>
  </si>
  <si>
    <t>Nhập Thành Phẩm LSX 14/2025</t>
  </si>
  <si>
    <t>Xuất NVL LSX 15/2025</t>
  </si>
  <si>
    <t>Xuất Vật Tư LSX 15/2025</t>
  </si>
  <si>
    <t>Nhập Thành Phẩm LSX 15/2025</t>
  </si>
  <si>
    <t>Xuất Vật Tư LSX 15BTP1/2025</t>
  </si>
  <si>
    <t>Nối 3c*620m+3c*487m</t>
  </si>
  <si>
    <t>Xuất Vật Tư LSX 15BTP2/2025</t>
  </si>
  <si>
    <t>Nối 8c*150m+1c*170m+2c*720m+2c*620m 
-&gt;  còn cuộn BTP 50m</t>
  </si>
  <si>
    <t>Xuất NVL LSX 16/2025</t>
  </si>
  <si>
    <t>Xuất Vật Tư LSX 16/2025</t>
  </si>
  <si>
    <t>Nhập Thành Phẩm LSX 16/2025</t>
  </si>
  <si>
    <t>Xuất NVL LSX 17/2025</t>
  </si>
  <si>
    <t>Xuất Vật Tư LSX 17/2025</t>
  </si>
  <si>
    <t>Nhập Thành Phẩm LSX 17/2025</t>
  </si>
  <si>
    <t>Xuất Vật Tư LSX 17BTP1/2025</t>
  </si>
  <si>
    <t xml:space="preserve">Nối 1c*50m+9c*620m+1c*487m+1c*283m </t>
  </si>
  <si>
    <t>BẢNG ĐỊNH MỨC HAO HỤT</t>
  </si>
  <si>
    <t>Hiệu Giấy</t>
  </si>
  <si>
    <t>Định mức
(%)</t>
  </si>
  <si>
    <t xml:space="preserve">WOODFREE </t>
  </si>
  <si>
    <t>APRIL</t>
  </si>
  <si>
    <t>APRIL PREPRINT</t>
  </si>
  <si>
    <t>FORT</t>
  </si>
  <si>
    <t>BRISTOL</t>
  </si>
  <si>
    <t>GOLDEN</t>
  </si>
  <si>
    <t>COUCHE</t>
  </si>
  <si>
    <t>GLOSS HANSOL</t>
  </si>
  <si>
    <t>NEVIA</t>
  </si>
  <si>
    <t>GLOSS HANKUK</t>
  </si>
  <si>
    <t>GLOSS ALPHA</t>
  </si>
  <si>
    <t>MATT MOORIM</t>
  </si>
  <si>
    <t>GLOSS MOORIM</t>
  </si>
  <si>
    <t>MATT HANSOL</t>
  </si>
  <si>
    <t>MATT ALPHA</t>
  </si>
  <si>
    <t>MATT NIPPON</t>
  </si>
  <si>
    <t>GLOSS NIPPON</t>
  </si>
  <si>
    <t>MATT SIGMA</t>
  </si>
  <si>
    <t>GLOSS C2S HIKOTE</t>
  </si>
  <si>
    <t>DUPLEX</t>
  </si>
  <si>
    <t>HANSOL 2 MT</t>
  </si>
  <si>
    <t>BINDAL</t>
  </si>
  <si>
    <t>Xuất NVL LSX 18/2025</t>
  </si>
  <si>
    <t>DAEHAN</t>
  </si>
  <si>
    <t>PAKERIN</t>
  </si>
  <si>
    <t>HANCHANG</t>
  </si>
  <si>
    <t>HANSOL</t>
  </si>
  <si>
    <t>IK</t>
  </si>
  <si>
    <t>ITC</t>
  </si>
  <si>
    <t>Xuất Vật Tư LSX 18/2025</t>
  </si>
  <si>
    <t>MEHALI</t>
  </si>
  <si>
    <t>NR</t>
  </si>
  <si>
    <t>OJI</t>
  </si>
  <si>
    <t>SHINPOONG</t>
  </si>
  <si>
    <t>DEEVYA</t>
  </si>
  <si>
    <t>DUPLEX  2MT</t>
  </si>
  <si>
    <t>KINMARIN FSC</t>
  </si>
  <si>
    <t>GIẤY VIẾT</t>
  </si>
  <si>
    <t>GV-85%ISO</t>
  </si>
  <si>
    <t>IN BÁO</t>
  </si>
  <si>
    <t>NGA</t>
  </si>
  <si>
    <t>IVORY</t>
  </si>
  <si>
    <t>ASIA SYMBOL</t>
  </si>
  <si>
    <t>BOHUI</t>
  </si>
  <si>
    <t>ENSOCOAT</t>
  </si>
  <si>
    <t>PERFORMA NATURA</t>
  </si>
  <si>
    <t>COATED FBB</t>
  </si>
  <si>
    <t>NINGBO</t>
  </si>
  <si>
    <t>PAMENANG</t>
  </si>
  <si>
    <t>PEARL XL</t>
  </si>
  <si>
    <t>STORAENSO PEFORMA</t>
  </si>
  <si>
    <t>KRAFT PAPER NÂU</t>
  </si>
  <si>
    <t>LWC</t>
  </si>
  <si>
    <t>ÚC</t>
  </si>
  <si>
    <t>MFC</t>
  </si>
  <si>
    <t>HONGWON</t>
  </si>
  <si>
    <t>SWA NEW BLUE BÓNG</t>
  </si>
  <si>
    <t>SWA NEW BLUE VÂN</t>
  </si>
  <si>
    <t>HOKUETSU (ALPHA)</t>
  </si>
  <si>
    <t>Nhập Thành Phẩm LSX 18/2025</t>
  </si>
  <si>
    <t>MOORIM GLOSS</t>
  </si>
  <si>
    <t>HOKUETSU MATT (ALPHA)</t>
  </si>
  <si>
    <t>GLOSS HIKOTE</t>
  </si>
  <si>
    <t>HANSOL MATT</t>
  </si>
  <si>
    <t xml:space="preserve">MOORIM GLOSS </t>
  </si>
  <si>
    <t>Xuất Vật Tư LSX 18BTP1/2025</t>
  </si>
  <si>
    <t>MATT NIPON</t>
  </si>
  <si>
    <t>ITC 2MT</t>
  </si>
  <si>
    <t>GIẤY IN</t>
  </si>
  <si>
    <t>BÁO</t>
  </si>
  <si>
    <t>ALPHA ITEXTBOOK</t>
  </si>
  <si>
    <t>GV-85% ISO</t>
  </si>
  <si>
    <t>HÀN QUỐC</t>
  </si>
  <si>
    <t>HI ALPHA GLOSS</t>
  </si>
  <si>
    <t>SIGMA MATT</t>
  </si>
  <si>
    <t>Nối 10c*300m+1c*200m</t>
  </si>
  <si>
    <t>NXB</t>
  </si>
  <si>
    <t>2MT HANSOL</t>
  </si>
  <si>
    <t>KHANA</t>
  </si>
  <si>
    <t>SEHA</t>
  </si>
  <si>
    <t>KINMARI FSC</t>
  </si>
  <si>
    <t>IP SUN</t>
  </si>
  <si>
    <t>G NINGBO</t>
  </si>
  <si>
    <t>NON BRAND NINGBO</t>
  </si>
  <si>
    <t>MATT D</t>
  </si>
  <si>
    <t>Xuất NVL LSX 19/2025</t>
  </si>
  <si>
    <t>Xuất Vật Tư LSX 19/2025</t>
  </si>
  <si>
    <t>Nhập Thành Phẩm LSX 19/2025</t>
  </si>
  <si>
    <t>Xuất NVL LSX 20/2025</t>
  </si>
  <si>
    <t>Xuất Vật Tư LSX 20/2025</t>
  </si>
  <si>
    <t>Nhập Thành Phẩm LSX 20/2025</t>
  </si>
  <si>
    <t>ZGXU6332418</t>
  </si>
  <si>
    <t>ZGXU6506551</t>
  </si>
  <si>
    <t>ZGXU6322512</t>
  </si>
  <si>
    <t>ZGXU6381602</t>
  </si>
  <si>
    <t>Xuất NVL LSX 21/2025</t>
  </si>
  <si>
    <t>Xuất Vật Tư LSX 21/2025</t>
  </si>
  <si>
    <t>Nhập Thành Phẩm LSX 21/2025</t>
  </si>
  <si>
    <t>Xuất Vật Tư LSX 21BTP1/2025</t>
  </si>
  <si>
    <t>Nối 1c*204m+8c*487m+11c*500m</t>
  </si>
  <si>
    <t>05+06+07/TS/25</t>
  </si>
  <si>
    <t>Xuất NVL LSX 22/2025</t>
  </si>
  <si>
    <t>Xuất Vật Tư LSX 22/2025</t>
  </si>
  <si>
    <t>Nhập Thành Phẩm LSX 22/2025</t>
  </si>
  <si>
    <t>Xuất NVL LSX 23/2025</t>
  </si>
  <si>
    <t>Xuất Vật Tư LSX 23/2025</t>
  </si>
  <si>
    <t>Nhập Thành Phẩm LSX 23/2025</t>
  </si>
  <si>
    <t>Xuất NVL LSX 24/2025</t>
  </si>
  <si>
    <t>Xuất Vật Tư LSX 24/2025</t>
  </si>
  <si>
    <t>Nhập Thành Phẩm LSX 24/2025</t>
  </si>
  <si>
    <t>08/TS/25</t>
  </si>
  <si>
    <t>Xuất NVL LSX 25/2025</t>
  </si>
  <si>
    <t>Xuất Vật Tư LSX 25/2025</t>
  </si>
  <si>
    <t>Nhập Thành Phẩm LSX 25/2025</t>
  </si>
  <si>
    <t>29H-80991</t>
  </si>
  <si>
    <t>29H-80812</t>
  </si>
  <si>
    <t>25/KHVT/0931</t>
  </si>
  <si>
    <t>Xuất NVL LSX 27/2025</t>
  </si>
  <si>
    <t>Xuất Vật Tư LSX 27/2025</t>
  </si>
  <si>
    <t>Nhập Thành Phẩm LSX 27/2025</t>
  </si>
  <si>
    <t>Xuất Vật Tư LSX 27BTP1/2025</t>
  </si>
  <si>
    <t>Nối 1c*720m+1c*200m+1c*300m</t>
  </si>
  <si>
    <t>BMOU6861477</t>
  </si>
  <si>
    <t>BMOU6492086</t>
  </si>
  <si>
    <t>FFAU5288696</t>
  </si>
  <si>
    <t>SITU9049009</t>
  </si>
  <si>
    <t>SITU9062361</t>
  </si>
  <si>
    <t>Xuất NVL LSX 26/2025</t>
  </si>
  <si>
    <t>Xuất Vật Tư LSX 26/2025</t>
  </si>
  <si>
    <t>Nhập Thành Phẩm LSX 26/2025</t>
  </si>
  <si>
    <t>TRUNG BÌNH KHỐI LƯỢNG NÒNG ỐNG</t>
  </si>
  <si>
    <t>Loại giấy</t>
  </si>
  <si>
    <t>Tên giấy</t>
  </si>
  <si>
    <t>Khổ (cm)</t>
  </si>
  <si>
    <t>Khối lượng (Kg)</t>
  </si>
  <si>
    <t>KL Trung bình/1cm</t>
  </si>
  <si>
    <t>XSD Gold Maple</t>
  </si>
  <si>
    <t>XSD White Maple</t>
  </si>
  <si>
    <t>KLEANARA</t>
  </si>
  <si>
    <t>NIPPON GLOSS</t>
  </si>
  <si>
    <t>Hokuetsu Alpha Matt</t>
  </si>
  <si>
    <t>WOODFREE</t>
  </si>
  <si>
    <t>IK NOTES</t>
  </si>
  <si>
    <t>Hokuetsu Sigma Matt</t>
  </si>
  <si>
    <t>IK PRINT</t>
  </si>
  <si>
    <t>Công thức tính KL nòng = KL Trung bình * Khổ * Số lượng nòng</t>
  </si>
  <si>
    <t>Xuất NVL LSX 28/2025</t>
  </si>
  <si>
    <t>Xuất Vật Tư LSX 28/2025</t>
  </si>
  <si>
    <t>Nhập Thành Phẩm LSX 28/2025</t>
  </si>
  <si>
    <t>Xuất NVL LSX 29/2025</t>
  </si>
  <si>
    <t>Xuất Vật Tư LSX 29/2025</t>
  </si>
  <si>
    <t>Nhập Thành Phẩm LSX 29/2025</t>
  </si>
  <si>
    <t>Xuất NVL LSX 30/2025</t>
  </si>
  <si>
    <t>Xuất Vật Tư LSX 30/2025</t>
  </si>
  <si>
    <t>Nhập Thành Phẩm LSX 30/2025</t>
  </si>
  <si>
    <t>ZGXU6334339</t>
  </si>
  <si>
    <t>ZGXU6271647</t>
  </si>
  <si>
    <t>ZGXU6524935</t>
  </si>
  <si>
    <t>ZGXU6448352</t>
  </si>
  <si>
    <t>ZGXU6413037</t>
  </si>
  <si>
    <t>ZGXU6472488</t>
  </si>
  <si>
    <t>Xuất NVL LSX 31/2025</t>
  </si>
  <si>
    <t>Xuất Vật Tư LSX 31/2025</t>
  </si>
  <si>
    <t>Nhập Thành Phẩm LSX 31/2025</t>
  </si>
  <si>
    <t>Xuất Pallet</t>
  </si>
  <si>
    <t>Pallet bị gãy, hỏng, xuất để hàng, vật tư</t>
  </si>
  <si>
    <t>Xuất bán phế liệu hàng TP lỗi hỏng</t>
  </si>
  <si>
    <t>Xuất bán cuộn dở không sx</t>
  </si>
  <si>
    <t>Xuất CD lỡ khổ làm lót đóng gói</t>
  </si>
  <si>
    <t>Giấy lỡ khổ k sx nữa, bị méo lõi</t>
  </si>
  <si>
    <t>Giấy lỡ khổ k sx nữa</t>
  </si>
  <si>
    <t>Nhập giấy lót, đóng gói LG</t>
  </si>
  <si>
    <t>Cuộn dở từ bên kho giấy chuyển sang</t>
  </si>
  <si>
    <t>Cuộn dở bên sx LG không sử dụng sx nữa</t>
  </si>
  <si>
    <t>2PL: 25/12-PL01-&gt;PL02 + 6PL 08/01- PL01-&gt;PL06</t>
  </si>
  <si>
    <t>Xuất NVL LSX 32/2025</t>
  </si>
  <si>
    <t>Xuất Vật Tư LSX 32/2025</t>
  </si>
  <si>
    <t>Nhập Thành Phẩm LSX 32/2025</t>
  </si>
  <si>
    <t>02/TS/26</t>
  </si>
  <si>
    <t>Xuất NVL LSX 01/2026</t>
  </si>
  <si>
    <t>Xuất Vật Tư LSX 01/2026</t>
  </si>
  <si>
    <t>Nhập Thành Phẩm LSX 01/2026</t>
  </si>
  <si>
    <t>6PL 08/01: PL07-&gt;PL12</t>
  </si>
  <si>
    <t>4PL 20/11 + 2PL 10/02</t>
  </si>
  <si>
    <t>Xuất bù hàng rách</t>
  </si>
  <si>
    <t>Xuất NVL LSX 02/2026</t>
  </si>
  <si>
    <t>Xuất Vật Tư LSX 02/2026</t>
  </si>
  <si>
    <t>Nhập Thành Phẩm LSX 02/2026</t>
  </si>
  <si>
    <t>Xuất NVL LSX 03/2026</t>
  </si>
  <si>
    <t>Xuất Vật Tư LSX 03/2026</t>
  </si>
  <si>
    <t>Nhập Thành Phẩm LSX 03/2026</t>
  </si>
  <si>
    <t>Xuất NVL LSX 04/2026</t>
  </si>
  <si>
    <t>Xuất Vật Tư LSX 04/2026</t>
  </si>
  <si>
    <t>Nhập Thành Phẩm LSX 04/2026</t>
  </si>
  <si>
    <t>Xuất NVL LSX 05/2026</t>
  </si>
  <si>
    <t>Xuất Vật Tư LSX 05/2026</t>
  </si>
  <si>
    <t>Nhập Thành Phẩm LSX 05/2026</t>
  </si>
  <si>
    <t>26/KHVT/0239</t>
  </si>
  <si>
    <t>Xuất bù cuộn lỗi TLTL</t>
  </si>
  <si>
    <t>Xuất chèn pallet đóng hàng lưỡi gà</t>
  </si>
  <si>
    <t>Pallet không đạt chất lượng</t>
  </si>
  <si>
    <t>Xuất BBMN</t>
  </si>
  <si>
    <t xml:space="preserve">Xuất bù 3 cuộn rách </t>
  </si>
  <si>
    <t>Xuất nẹp gỗ PALLET 90</t>
  </si>
  <si>
    <t>FFAU7423270</t>
  </si>
  <si>
    <t>FFAU6945178</t>
  </si>
  <si>
    <t>SITU9098317</t>
  </si>
  <si>
    <t>TIIU5300638</t>
  </si>
  <si>
    <t>FFAU7243411</t>
  </si>
  <si>
    <t>BEAU5406685</t>
  </si>
  <si>
    <t>Xuất Vật Tư LSX 06/2026</t>
  </si>
  <si>
    <t>Nhập Thành Phẩm LSX 06/2026</t>
  </si>
  <si>
    <t>Xuất NVL lsx 06/2026</t>
  </si>
  <si>
    <t>Xuất Vật Tư LSX 07/2026</t>
  </si>
  <si>
    <t>Nhập Thành Phẩm LSX 07/2026</t>
  </si>
  <si>
    <t>Xuất NVL lsx 07/2026</t>
  </si>
  <si>
    <t>Xuất Vật Tư LSX 08/2026</t>
  </si>
  <si>
    <t>Nhập Thành Phẩm LSX 08/2026</t>
  </si>
  <si>
    <t>Xuất NVL lsx 08/2026</t>
  </si>
  <si>
    <t>Xuất Vật Tư LSX 09/2026</t>
  </si>
  <si>
    <t>Nhập Thành Phẩm LSX 09/2026</t>
  </si>
  <si>
    <t>Xuất NVL lsx 09/2026</t>
  </si>
  <si>
    <t>Xuất pallet để vật tư tháo máy in</t>
  </si>
  <si>
    <t>Xuất Vật Tư LSX 10/2026</t>
  </si>
  <si>
    <t>Nhập Thành Phẩm LSX 10/2026</t>
  </si>
  <si>
    <t>Xuất NVL lsx 10/2026</t>
  </si>
  <si>
    <t xml:space="preserve"> 5 PL x 60</t>
  </si>
  <si>
    <t>Xuất Vật Tư LSX 11/2026</t>
  </si>
  <si>
    <t>Nhập Thành Phẩm LSX 11/2026</t>
  </si>
  <si>
    <t>Xuất NVL lsx 11/2026</t>
  </si>
  <si>
    <t>Xuất Vật Tư LSX 12/2026</t>
  </si>
  <si>
    <t>Xuất NVL lsx 12/2026</t>
  </si>
  <si>
    <t>Nhập Thành Phẩm LSX 12/2026</t>
  </si>
  <si>
    <t>Xuất Vật Tư LSX 13/2026</t>
  </si>
  <si>
    <t>Xuất NVL lsx 13/2026</t>
  </si>
  <si>
    <t>Nhập Thành Phẩm LSX 13/2026</t>
  </si>
  <si>
    <t xml:space="preserve">Xuất mẫu </t>
  </si>
  <si>
    <t>Xuất Vật Tư LSX 14/2026</t>
  </si>
  <si>
    <t>Xuất NVL lsx 14/2026</t>
  </si>
  <si>
    <t>Nhập Thành Phẩm LSX 14/2026</t>
  </si>
  <si>
    <t>Xuất Vật Tư LSX 15/2026</t>
  </si>
  <si>
    <t>Nhập Thành Phẩm LSX 15/2026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</si>
</sst>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_);_(* \(#,##0\);_(* &quot;-&quot;??_);_(@_)"/>
    <numFmt numFmtId="165" formatCode="dd\-mm\-yy"/>
    <numFmt numFmtId="166" formatCode="_(* #,##0.00_);_(* \(#,##0.00\);_(* &quot;-&quot;??_);_(@_)"/>
    <numFmt numFmtId="167" formatCode="_(* #,##0.0_);_(* \(#,##0.0\);_(* &quot;-&quot;??_);_(@_)"/>
    <numFmt numFmtId="168" formatCode="_(* #,##0.000_);_(* \(#,##0.000\);_(* &quot;-&quot;??_);_(@_)"/>
    <numFmt numFmtId="169" formatCode="_-* #,##0.00_-;\-* #,##0.00_-;_-* &quot;-&quot;??_-;_-@"/>
    <numFmt numFmtId="170" formatCode="[$-1010000]d/m/yyyy"/>
    <numFmt numFmtId="171" formatCode="_-* #,##0\ _₫_-;\-* #,##0\ _₫_-;_-* &quot;-&quot;??\ _₫_-;_-@"/>
    <numFmt numFmtId="172" formatCode="0;[Red]0"/>
    <numFmt numFmtId="173" formatCode="_-* #,##0.0\ _₫_-;\-* #,##0.0\ _₫_-;_-* &quot;-&quot;??\ _₫_-;_-@"/>
    <numFmt numFmtId="174" formatCode="[$-1010000]d/m/yy"/>
    <numFmt numFmtId="175" formatCode="[$-409]d\-mmm"/>
    <numFmt numFmtId="176" formatCode="0.000"/>
  </numFmts>
  <fonts count="41">
    <font>
      <sz val="11.0"/>
      <color theme="1"/>
      <name val="Calibri"/>
      <scheme val="minor"/>
    </font>
    <font>
      <b/>
      <sz val="16.0"/>
      <color theme="1"/>
      <name val="Times New Roman"/>
    </font>
    <font>
      <b/>
      <sz val="18.0"/>
      <color rgb="FFFF0000"/>
      <name val="Cambria"/>
    </font>
    <font/>
    <font>
      <sz val="11.0"/>
      <color theme="1"/>
      <name val="Calibri"/>
    </font>
    <font>
      <b/>
      <i/>
      <sz val="12.0"/>
      <color theme="1"/>
      <name val="Times New Roman"/>
    </font>
    <font>
      <sz val="12.0"/>
      <color theme="1"/>
      <name val="Cambria"/>
    </font>
    <font>
      <b/>
      <sz val="18.0"/>
      <color rgb="FF0000FF"/>
      <name val="Cambria"/>
    </font>
    <font>
      <b/>
      <sz val="11.0"/>
      <color theme="1"/>
      <name val="Times New Roman"/>
    </font>
    <font>
      <b/>
      <sz val="12.0"/>
      <color rgb="FF0000FF"/>
      <name val="Cambria"/>
    </font>
    <font>
      <sz val="10.0"/>
      <color theme="1"/>
      <name val="Times New Roman"/>
    </font>
    <font>
      <b/>
      <sz val="20.0"/>
      <color theme="1"/>
      <name val="Times New Roman"/>
    </font>
    <font>
      <sz val="11.0"/>
      <color theme="1"/>
      <name val="Cambria"/>
    </font>
    <font>
      <b/>
      <sz val="12.0"/>
      <color theme="1"/>
      <name val="Times New Roman"/>
    </font>
    <font>
      <b/>
      <sz val="12.0"/>
      <color rgb="FFFFFFFF"/>
      <name val="Times New Roman"/>
    </font>
    <font>
      <sz val="12.0"/>
      <color theme="1"/>
      <name val="Times New Roman"/>
    </font>
    <font>
      <b/>
      <sz val="20.0"/>
      <color theme="1"/>
      <name val="Cambria"/>
    </font>
    <font>
      <b/>
      <sz val="9.0"/>
      <color theme="1"/>
      <name val="Cambria"/>
    </font>
    <font>
      <sz val="10.0"/>
      <color theme="1"/>
      <name val="Cambria"/>
    </font>
    <font>
      <b/>
      <sz val="11.0"/>
      <color theme="1"/>
      <name val="Cambria"/>
    </font>
    <font>
      <b/>
      <sz val="10.0"/>
      <color theme="1"/>
      <name val="Cambria"/>
    </font>
    <font>
      <b/>
      <sz val="10.0"/>
      <color rgb="FFFF0000"/>
      <name val="Cambria"/>
    </font>
    <font>
      <sz val="10.0"/>
      <color theme="1"/>
      <name val="Calibri"/>
    </font>
    <font>
      <b/>
      <sz val="14.0"/>
      <color theme="1"/>
      <name val="Cambria"/>
    </font>
    <font>
      <b/>
      <sz val="15.0"/>
      <color theme="1"/>
      <name val="Calibri"/>
    </font>
    <font>
      <b/>
      <sz val="14.0"/>
      <color theme="1"/>
      <name val="Times New Roman"/>
    </font>
    <font>
      <sz val="14.0"/>
      <color theme="1"/>
      <name val="Cambria"/>
    </font>
    <font>
      <b/>
      <sz val="12.0"/>
      <color theme="1"/>
      <name val="Cambria"/>
    </font>
    <font>
      <sz val="11.0"/>
      <color theme="1"/>
      <name val="Times New Roman"/>
    </font>
    <font>
      <b/>
      <sz val="30.0"/>
      <color theme="1"/>
      <name val="Times New Roman"/>
    </font>
    <font>
      <b/>
      <sz val="10.0"/>
      <color theme="1"/>
      <name val="Times New Roman"/>
    </font>
    <font>
      <b/>
      <sz val="28.0"/>
      <color theme="1"/>
      <name val="Times New Roman"/>
    </font>
    <font>
      <sz val="28.0"/>
      <color theme="1"/>
      <name val="Calibri"/>
    </font>
    <font>
      <b/>
      <sz val="11.0"/>
      <color theme="1"/>
      <name val="Calibri"/>
    </font>
    <font>
      <sz val="11.0"/>
      <color rgb="FFFF0000"/>
      <name val="Cambria"/>
    </font>
    <font>
      <b/>
      <sz val="11.0"/>
      <color rgb="FFFF0000"/>
      <name val="Times New Roman"/>
    </font>
    <font>
      <b/>
      <sz val="11.0"/>
      <color rgb="FF366092"/>
      <name val="Cambria"/>
    </font>
    <font>
      <b/>
      <sz val="10.0"/>
      <color rgb="FF366092"/>
      <name val="Times New Roman"/>
    </font>
    <font>
      <sz val="11.0"/>
      <color rgb="FFFF0000"/>
      <name val="Times New Roman"/>
    </font>
    <font>
      <sz val="10.0"/>
      <color rgb="FFFF0000"/>
      <name val="Times New Roman"/>
    </font>
    <font>
      <sz val="15.0"/>
      <color theme="1"/>
      <name val="Calibri"/>
    </font>
  </fonts>
  <fills count="2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DBE5F1"/>
        <bgColor rgb="FFDBE5F1"/>
      </patternFill>
    </fill>
    <fill>
      <patternFill patternType="solid">
        <fgColor rgb="FFFABF8F"/>
        <bgColor rgb="FFFABF8F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  <fill>
      <patternFill patternType="solid">
        <fgColor rgb="FF99FF99"/>
        <bgColor rgb="FF99FF99"/>
      </patternFill>
    </fill>
    <fill>
      <patternFill patternType="solid">
        <fgColor rgb="FF00B0F0"/>
        <bgColor rgb="FF00B0F0"/>
      </patternFill>
    </fill>
    <fill>
      <patternFill patternType="solid">
        <fgColor rgb="FF8DB3E2"/>
        <bgColor rgb="FF8DB3E2"/>
      </patternFill>
    </fill>
    <fill>
      <patternFill patternType="solid">
        <fgColor rgb="FF92CDDC"/>
        <bgColor rgb="FF92CDDC"/>
      </patternFill>
    </fill>
    <fill>
      <patternFill patternType="solid">
        <fgColor rgb="FFFBD4B4"/>
        <bgColor rgb="FFFBD4B4"/>
      </patternFill>
    </fill>
    <fill>
      <patternFill patternType="solid">
        <fgColor rgb="FF66CCFF"/>
        <bgColor rgb="FF66CCFF"/>
      </patternFill>
    </fill>
    <fill>
      <patternFill patternType="solid">
        <fgColor rgb="FFFF99FF"/>
        <bgColor rgb="FFFF99FF"/>
      </patternFill>
    </fill>
    <fill>
      <patternFill patternType="solid">
        <fgColor rgb="FFB2A1C7"/>
        <bgColor rgb="FFB2A1C7"/>
      </patternFill>
    </fill>
    <fill>
      <patternFill patternType="solid">
        <fgColor rgb="FF00B050"/>
        <bgColor rgb="FF00B050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DDD9C3"/>
        <bgColor rgb="FFDDD9C3"/>
      </patternFill>
    </fill>
  </fills>
  <borders count="40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bottom/>
    </border>
    <border>
      <right/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8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1" numFmtId="166" xfId="0" applyFont="1" applyNumberFormat="1"/>
    <xf borderId="0" fillId="0" fontId="4" numFmtId="164" xfId="0" applyFont="1" applyNumberFormat="1"/>
    <xf borderId="0" fillId="0" fontId="5" numFmtId="164" xfId="0" applyFont="1" applyNumberFormat="1"/>
    <xf borderId="3" fillId="0" fontId="3" numFmtId="0" xfId="0" applyBorder="1" applyFont="1"/>
    <xf borderId="0" fillId="0" fontId="5" numFmtId="165" xfId="0" applyFont="1" applyNumberFormat="1"/>
    <xf borderId="0" fillId="0" fontId="6" numFmtId="0" xfId="0" applyAlignment="1" applyFont="1">
      <alignment horizontal="center" vertical="center"/>
    </xf>
    <xf borderId="0" fillId="0" fontId="5" numFmtId="166" xfId="0" applyFont="1" applyNumberFormat="1"/>
    <xf borderId="0" fillId="0" fontId="4" numFmtId="165" xfId="0" applyFont="1" applyNumberFormat="1"/>
    <xf borderId="4" fillId="2" fontId="7" numFmtId="0" xfId="0" applyAlignment="1" applyBorder="1" applyFill="1" applyFont="1">
      <alignment horizontal="center" vertical="center"/>
    </xf>
    <xf borderId="0" fillId="0" fontId="4" numFmtId="166" xfId="0" applyFont="1" applyNumberFormat="1"/>
    <xf borderId="5" fillId="2" fontId="7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8" numFmtId="164" xfId="0" applyAlignment="1" applyBorder="1" applyFill="1" applyFont="1" applyNumberFormat="1">
      <alignment shrinkToFit="0" vertical="center" wrapText="1"/>
    </xf>
    <xf borderId="5" fillId="3" fontId="8" numFmtId="164" xfId="0" applyAlignment="1" applyBorder="1" applyFill="1" applyFont="1" applyNumberFormat="1">
      <alignment horizontal="center" vertical="center"/>
    </xf>
    <xf borderId="8" fillId="3" fontId="8" numFmtId="164" xfId="0" applyAlignment="1" applyBorder="1" applyFill="1" applyFont="1" applyNumberFormat="1">
      <alignment horizontal="center" vertical="center"/>
    </xf>
    <xf borderId="4" fillId="4" fontId="9" numFmtId="0" xfId="0" applyAlignment="1" applyBorder="1" applyFill="1" applyFont="1">
      <alignment horizontal="center" vertical="center"/>
    </xf>
    <xf borderId="9" fillId="3" fontId="8" numFmtId="164" xfId="0" applyAlignment="1" applyBorder="1" applyFill="1" applyFont="1" applyNumberFormat="1">
      <alignment horizontal="center" vertical="center"/>
    </xf>
    <xf borderId="4" fillId="4" fontId="9" numFmtId="167" xfId="0" applyAlignment="1" applyBorder="1" applyFill="1" applyFont="1" applyNumberFormat="1">
      <alignment horizontal="center" shrinkToFit="0" vertical="center" wrapText="1"/>
    </xf>
    <xf borderId="10" fillId="3" fontId="8" numFmtId="164" xfId="0" applyAlignment="1" applyBorder="1" applyFill="1" applyFont="1" applyNumberFormat="1">
      <alignment horizontal="center" vertical="center"/>
    </xf>
    <xf borderId="11" fillId="3" fontId="8" numFmtId="164" xfId="0" applyAlignment="1" applyBorder="1" applyFill="1" applyFont="1" applyNumberFormat="1">
      <alignment horizontal="center" vertical="center"/>
    </xf>
    <xf borderId="4" fillId="4" fontId="9" numFmtId="164" xfId="0" applyAlignment="1" applyBorder="1" applyFill="1" applyFont="1" applyNumberFormat="1">
      <alignment horizontal="center" shrinkToFit="0" vertical="center" wrapText="1"/>
    </xf>
    <xf borderId="4" fillId="3" fontId="8" numFmtId="164" xfId="0" applyAlignment="1" applyBorder="1" applyFill="1" applyFont="1" applyNumberFormat="1">
      <alignment horizontal="center" shrinkToFit="0" vertical="center" wrapText="1"/>
    </xf>
    <xf borderId="12" fillId="3" fontId="8" numFmtId="164" xfId="0" applyAlignment="1" applyBorder="1" applyFill="1" applyFont="1" applyNumberFormat="1">
      <alignment shrinkToFit="0" vertical="center" wrapText="1"/>
    </xf>
    <xf borderId="8" fillId="3" fontId="8" numFmtId="165" xfId="0" applyAlignment="1" applyBorder="1" applyFill="1" applyFont="1" applyNumberFormat="1">
      <alignment horizontal="center" shrinkToFit="0" vertical="center" wrapText="1"/>
    </xf>
    <xf borderId="4" fillId="2" fontId="6" numFmtId="0" xfId="0" applyAlignment="1" applyBorder="1" applyFill="1" applyFont="1">
      <alignment horizontal="left" vertical="center"/>
    </xf>
    <xf borderId="12" fillId="3" fontId="8" numFmtId="164" xfId="0" applyAlignment="1" applyBorder="1" applyFill="1" applyFont="1" applyNumberFormat="1">
      <alignment horizontal="center" vertical="center"/>
    </xf>
    <xf borderId="4" fillId="5" fontId="6" numFmtId="164" xfId="0" applyAlignment="1" applyBorder="1" applyFill="1" applyFont="1" applyNumberFormat="1">
      <alignment horizontal="left" vertical="center"/>
    </xf>
    <xf borderId="4" fillId="3" fontId="8" numFmtId="164" xfId="0" applyAlignment="1" applyBorder="1" applyFill="1" applyFont="1" applyNumberFormat="1">
      <alignment horizontal="center" vertical="center"/>
    </xf>
    <xf borderId="13" fillId="3" fontId="8" numFmtId="164" xfId="0" applyAlignment="1" applyBorder="1" applyFill="1" applyFont="1" applyNumberFormat="1">
      <alignment horizontal="center" vertical="center"/>
    </xf>
    <xf borderId="14" fillId="3" fontId="8" numFmtId="164" xfId="0" applyAlignment="1" applyBorder="1" applyFill="1" applyFont="1" applyNumberFormat="1">
      <alignment horizontal="center" vertical="center"/>
    </xf>
    <xf borderId="15" fillId="3" fontId="8" numFmtId="164" xfId="0" applyAlignment="1" applyBorder="1" applyFill="1" applyFont="1" applyNumberFormat="1">
      <alignment horizontal="center" vertical="center"/>
    </xf>
    <xf borderId="4" fillId="3" fontId="8" numFmtId="166" xfId="0" applyAlignment="1" applyBorder="1" applyFill="1" applyFont="1" applyNumberFormat="1">
      <alignment horizontal="center" vertical="center"/>
    </xf>
    <xf borderId="4" fillId="2" fontId="6" numFmtId="164" xfId="0" applyAlignment="1" applyBorder="1" applyFill="1" applyFont="1" applyNumberFormat="1">
      <alignment horizontal="left" vertical="center"/>
    </xf>
    <xf borderId="16" fillId="0" fontId="10" numFmtId="164" xfId="0" applyAlignment="1" applyBorder="1" applyFont="1" applyNumberFormat="1">
      <alignment shrinkToFit="0" wrapText="1"/>
    </xf>
    <xf borderId="16" fillId="0" fontId="10" numFmtId="164" xfId="0" applyAlignment="1" applyBorder="1" applyFont="1" applyNumberFormat="1">
      <alignment horizontal="center" shrinkToFit="0" wrapText="1"/>
    </xf>
    <xf borderId="17" fillId="0" fontId="10" numFmtId="165" xfId="0" applyAlignment="1" applyBorder="1" applyFont="1" applyNumberFormat="1">
      <alignment horizontal="center" shrinkToFit="0" wrapText="1"/>
    </xf>
    <xf borderId="17" fillId="0" fontId="10" numFmtId="164" xfId="0" applyAlignment="1" applyBorder="1" applyFont="1" applyNumberFormat="1">
      <alignment horizontal="left" shrinkToFit="0" wrapText="1"/>
    </xf>
    <xf borderId="16" fillId="0" fontId="10" numFmtId="164" xfId="0" applyAlignment="1" applyBorder="1" applyFont="1" applyNumberFormat="1">
      <alignment horizontal="left" shrinkToFit="0" wrapText="1"/>
    </xf>
    <xf borderId="4" fillId="6" fontId="6" numFmtId="164" xfId="0" applyAlignment="1" applyBorder="1" applyFill="1" applyFont="1" applyNumberFormat="1">
      <alignment horizontal="left" vertical="center"/>
    </xf>
    <xf borderId="4" fillId="7" fontId="6" numFmtId="164" xfId="0" applyAlignment="1" applyBorder="1" applyFill="1" applyFont="1" applyNumberFormat="1">
      <alignment horizontal="center" vertical="center"/>
    </xf>
    <xf borderId="4" fillId="7" fontId="6" numFmtId="166" xfId="0" applyAlignment="1" applyBorder="1" applyFill="1" applyFont="1" applyNumberFormat="1">
      <alignment horizontal="center" vertical="center"/>
    </xf>
    <xf borderId="16" fillId="0" fontId="10" numFmtId="166" xfId="0" applyAlignment="1" applyBorder="1" applyFont="1" applyNumberFormat="1">
      <alignment shrinkToFit="0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0" fillId="0" fontId="12" numFmtId="0" xfId="0" applyFont="1"/>
    <xf borderId="0" fillId="0" fontId="12" numFmtId="164" xfId="0" applyFont="1" applyNumberFormat="1"/>
    <xf borderId="17" fillId="0" fontId="10" numFmtId="164" xfId="0" applyAlignment="1" applyBorder="1" applyFont="1" applyNumberFormat="1">
      <alignment shrinkToFit="0" wrapText="1"/>
    </xf>
    <xf borderId="15" fillId="8" fontId="14" numFmtId="0" xfId="0" applyAlignment="1" applyBorder="1" applyFill="1" applyFont="1">
      <alignment horizontal="center" readingOrder="0" shrinkToFit="0" vertical="center" wrapText="0"/>
    </xf>
    <xf borderId="17" fillId="0" fontId="10" numFmtId="164" xfId="0" applyAlignment="1" applyBorder="1" applyFont="1" applyNumberFormat="1">
      <alignment horizontal="center" shrinkToFit="0" wrapText="1"/>
    </xf>
    <xf borderId="12" fillId="8" fontId="14" numFmtId="0" xfId="0" applyAlignment="1" applyBorder="1" applyFill="1" applyFont="1">
      <alignment horizontal="center" readingOrder="0" shrinkToFit="0" vertical="center" wrapText="0"/>
    </xf>
    <xf borderId="12" fillId="8" fontId="14" numFmtId="0" xfId="0" applyAlignment="1" applyBorder="1" applyFill="1" applyFont="1">
      <alignment horizontal="center" readingOrder="0" shrinkToFit="0" vertical="center" wrapText="1"/>
    </xf>
    <xf borderId="17" fillId="0" fontId="10" numFmtId="166" xfId="0" applyAlignment="1" applyBorder="1" applyFont="1" applyNumberFormat="1">
      <alignment shrinkToFit="0" wrapText="1"/>
    </xf>
    <xf borderId="12" fillId="8" fontId="14" numFmtId="164" xfId="0" applyAlignment="1" applyBorder="1" applyFill="1" applyFont="1" applyNumberFormat="1">
      <alignment horizontal="center" readingOrder="0" shrinkToFit="0" vertical="center" wrapText="1"/>
    </xf>
    <xf borderId="12" fillId="9" fontId="14" numFmtId="166" xfId="0" applyAlignment="1" applyBorder="1" applyFill="1" applyFont="1" applyNumberFormat="1">
      <alignment horizontal="center" readingOrder="0" shrinkToFit="0" vertical="center" wrapText="1"/>
    </xf>
    <xf borderId="13" fillId="8" fontId="14" numFmtId="0" xfId="0" applyAlignment="1" applyBorder="1" applyFill="1" applyFont="1">
      <alignment horizontal="center" readingOrder="0" shrinkToFit="0" vertical="center" wrapText="0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18" fillId="10" fontId="17" numFmtId="0" xfId="0" applyAlignment="1" applyBorder="1" applyFill="1" applyFont="1">
      <alignment horizontal="center" readingOrder="0" shrinkToFit="0" vertical="center" wrapText="0"/>
    </xf>
    <xf borderId="19" fillId="2" fontId="15" numFmtId="0" xfId="0" applyAlignment="1" applyBorder="1" applyFill="1" applyFont="1">
      <alignment horizontal="center" shrinkToFit="0" vertical="center" wrapText="0"/>
    </xf>
    <xf borderId="20" fillId="10" fontId="17" numFmtId="0" xfId="0" applyAlignment="1" applyBorder="1" applyFill="1" applyFont="1">
      <alignment horizontal="center" readingOrder="0" shrinkToFit="0" vertical="center" wrapText="0"/>
    </xf>
    <xf borderId="4" fillId="2" fontId="15" numFmtId="0" xfId="0" applyAlignment="1" applyBorder="1" applyFill="1" applyFont="1">
      <alignment horizontal="center" shrinkToFit="0" vertical="center" wrapText="0"/>
    </xf>
    <xf borderId="20" fillId="10" fontId="17" numFmtId="0" xfId="0" applyAlignment="1" applyBorder="1" applyFill="1" applyFont="1">
      <alignment horizontal="center" readingOrder="0" shrinkToFit="0" vertical="center" wrapText="1"/>
    </xf>
    <xf borderId="4" fillId="2" fontId="15" numFmtId="164" xfId="0" applyAlignment="1" applyBorder="1" applyFill="1" applyFont="1" applyNumberFormat="1">
      <alignment horizontal="center" shrinkToFit="0" vertical="center" wrapText="0"/>
    </xf>
    <xf borderId="0" fillId="0" fontId="6" numFmtId="166" xfId="0" applyAlignment="1" applyFont="1" applyNumberFormat="1">
      <alignment horizontal="center" vertical="center"/>
    </xf>
    <xf borderId="4" fillId="9" fontId="15" numFmtId="166" xfId="0" applyAlignment="1" applyBorder="1" applyFill="1" applyFont="1" applyNumberFormat="1">
      <alignment horizontal="center" shrinkToFit="0" vertical="center" wrapText="0"/>
    </xf>
    <xf borderId="20" fillId="10" fontId="17" numFmtId="164" xfId="0" applyAlignment="1" applyBorder="1" applyFill="1" applyFont="1" applyNumberFormat="1">
      <alignment horizontal="center" readingOrder="0" shrinkToFit="0" vertical="center" wrapText="1"/>
    </xf>
    <xf borderId="21" fillId="2" fontId="15" numFmtId="0" xfId="0" applyAlignment="1" applyBorder="1" applyFill="1" applyFont="1">
      <alignment horizontal="center" shrinkToFit="0" vertical="center" wrapText="0"/>
    </xf>
    <xf borderId="22" fillId="2" fontId="15" numFmtId="0" xfId="0" applyAlignment="1" applyBorder="1" applyFill="1" applyFont="1">
      <alignment horizontal="center" vertical="center"/>
    </xf>
    <xf borderId="4" fillId="2" fontId="12" numFmtId="0" xfId="0" applyAlignment="1" applyBorder="1" applyFill="1" applyFont="1">
      <alignment horizontal="left" vertical="center"/>
    </xf>
    <xf borderId="20" fillId="11" fontId="17" numFmtId="164" xfId="0" applyAlignment="1" applyBorder="1" applyFill="1" applyFont="1" applyNumberFormat="1">
      <alignment horizontal="center" readingOrder="0" shrinkToFit="0" vertical="center" wrapText="1"/>
    </xf>
    <xf borderId="23" fillId="10" fontId="17" numFmtId="0" xfId="0" applyAlignment="1" applyBorder="1" applyFill="1" applyFont="1">
      <alignment horizontal="center" readingOrder="0" shrinkToFit="0" vertical="center" wrapText="0"/>
    </xf>
    <xf borderId="0" fillId="0" fontId="18" numFmtId="0" xfId="0" applyFont="1"/>
    <xf borderId="7" fillId="0" fontId="12" numFmtId="0" xfId="0" applyAlignment="1" applyBorder="1" applyFont="1">
      <alignment horizontal="center" shrinkToFit="0" vertical="center" wrapText="0"/>
    </xf>
    <xf borderId="4" fillId="0" fontId="12" numFmtId="0" xfId="0" applyAlignment="1" applyBorder="1" applyFont="1">
      <alignment horizontal="left" shrinkToFit="0" vertical="center" wrapText="0"/>
    </xf>
    <xf borderId="4" fillId="0" fontId="12" numFmtId="0" xfId="0" applyAlignment="1" applyBorder="1" applyFont="1">
      <alignment shrinkToFit="0" vertical="center" wrapText="0"/>
    </xf>
    <xf borderId="4" fillId="8" fontId="9" numFmtId="0" xfId="0" applyAlignment="1" applyBorder="1" applyFill="1" applyFont="1">
      <alignment horizontal="center" vertical="center"/>
    </xf>
    <xf borderId="4" fillId="8" fontId="9" numFmtId="164" xfId="0" applyAlignment="1" applyBorder="1" applyFill="1" applyFont="1" applyNumberFormat="1">
      <alignment horizontal="left" vertical="center"/>
    </xf>
    <xf borderId="4" fillId="0" fontId="12" numFmtId="164" xfId="0" applyAlignment="1" applyBorder="1" applyFont="1" applyNumberFormat="1">
      <alignment shrinkToFit="0" vertical="center" wrapText="0"/>
    </xf>
    <xf borderId="4" fillId="8" fontId="9" numFmtId="166" xfId="0" applyAlignment="1" applyBorder="1" applyFill="1" applyFont="1" applyNumberFormat="1">
      <alignment horizontal="left" vertical="center"/>
    </xf>
    <xf borderId="4" fillId="0" fontId="6" numFmtId="164" xfId="0" applyAlignment="1" applyBorder="1" applyFont="1" applyNumberFormat="1">
      <alignment horizontal="left" vertical="center"/>
    </xf>
    <xf borderId="0" fillId="0" fontId="6" numFmtId="164" xfId="0" applyAlignment="1" applyFont="1" applyNumberFormat="1">
      <alignment horizontal="center" vertical="center"/>
    </xf>
    <xf borderId="4" fillId="11" fontId="19" numFmtId="164" xfId="0" applyAlignment="1" applyBorder="1" applyFill="1" applyFont="1" applyNumberFormat="1">
      <alignment shrinkToFit="0" vertical="center" wrapText="0"/>
    </xf>
    <xf borderId="4" fillId="0" fontId="20" numFmtId="0" xfId="0" applyAlignment="1" applyBorder="1" applyFont="1">
      <alignment horizontal="left" shrinkToFit="0" vertical="center" wrapText="0"/>
    </xf>
    <xf borderId="5" fillId="0" fontId="18" numFmtId="0" xfId="0" applyAlignment="1" applyBorder="1" applyFont="1">
      <alignment shrinkToFit="0" vertical="center" wrapText="0"/>
    </xf>
    <xf borderId="24" fillId="0" fontId="10" numFmtId="164" xfId="0" applyAlignment="1" applyBorder="1" applyFont="1" applyNumberFormat="1">
      <alignment horizontal="center" shrinkToFit="0" wrapText="1"/>
    </xf>
    <xf borderId="4" fillId="2" fontId="12" numFmtId="0" xfId="0" applyAlignment="1" applyBorder="1" applyFill="1" applyFont="1">
      <alignment shrinkToFit="0" vertical="center" wrapText="0"/>
    </xf>
    <xf borderId="7" fillId="0" fontId="15" numFmtId="0" xfId="0" applyAlignment="1" applyBorder="1" applyFont="1">
      <alignment horizontal="center" shrinkToFit="0" vertical="center" wrapText="0"/>
    </xf>
    <xf borderId="4" fillId="0" fontId="15" numFmtId="0" xfId="0" applyAlignment="1" applyBorder="1" applyFont="1">
      <alignment horizontal="center" shrinkToFit="0" vertical="center" wrapText="0"/>
    </xf>
    <xf borderId="4" fillId="0" fontId="15" numFmtId="164" xfId="0" applyAlignment="1" applyBorder="1" applyFont="1" applyNumberFormat="1">
      <alignment horizontal="center" shrinkToFit="0" vertical="center" wrapText="0"/>
    </xf>
    <xf borderId="22" fillId="2" fontId="12" numFmtId="0" xfId="0" applyBorder="1" applyFill="1" applyFont="1"/>
    <xf borderId="5" fillId="0" fontId="15" numFmtId="0" xfId="0" applyAlignment="1" applyBorder="1" applyFont="1">
      <alignment horizontal="center" shrinkToFit="0" vertical="center" wrapText="0"/>
    </xf>
    <xf borderId="0" fillId="0" fontId="15" numFmtId="164" xfId="0" applyAlignment="1" applyFont="1" applyNumberFormat="1">
      <alignment horizontal="center" vertical="center"/>
    </xf>
    <xf borderId="0" fillId="0" fontId="15" numFmtId="166" xfId="0" applyAlignment="1" applyFont="1" applyNumberFormat="1">
      <alignment horizontal="center" vertical="center"/>
    </xf>
    <xf borderId="4" fillId="0" fontId="21" numFmtId="0" xfId="0" applyAlignment="1" applyBorder="1" applyFont="1">
      <alignment horizontal="left" shrinkToFit="0" vertical="center" wrapText="0"/>
    </xf>
    <xf borderId="17" fillId="0" fontId="22" numFmtId="164" xfId="0" applyAlignment="1" applyBorder="1" applyFont="1" applyNumberFormat="1">
      <alignment shrinkToFit="0" wrapText="1"/>
    </xf>
    <xf borderId="5" fillId="0" fontId="18" numFmtId="0" xfId="0" applyAlignment="1" applyBorder="1" applyFont="1">
      <alignment shrinkToFit="0" vertical="center" wrapText="1"/>
    </xf>
    <xf borderId="4" fillId="0" fontId="12" numFmtId="164" xfId="0" applyAlignment="1" applyBorder="1" applyFont="1" applyNumberFormat="1">
      <alignment horizontal="right" shrinkToFit="0" vertical="center" wrapText="0"/>
    </xf>
    <xf borderId="25" fillId="0" fontId="12" numFmtId="0" xfId="0" applyAlignment="1" applyBorder="1" applyFont="1">
      <alignment horizontal="center" shrinkToFit="0" vertical="center" wrapText="0"/>
    </xf>
    <xf borderId="26" fillId="0" fontId="12" numFmtId="0" xfId="0" applyAlignment="1" applyBorder="1" applyFont="1">
      <alignment horizontal="left" shrinkToFit="0" vertical="center" wrapText="0"/>
    </xf>
    <xf borderId="26" fillId="0" fontId="19" numFmtId="0" xfId="0" applyAlignment="1" applyBorder="1" applyFont="1">
      <alignment shrinkToFit="0" vertical="center" wrapText="0"/>
    </xf>
    <xf borderId="26" fillId="0" fontId="19" numFmtId="164" xfId="0" applyAlignment="1" applyBorder="1" applyFont="1" applyNumberFormat="1">
      <alignment shrinkToFit="0" vertical="center" wrapText="0"/>
    </xf>
    <xf borderId="8" fillId="11" fontId="19" numFmtId="164" xfId="0" applyAlignment="1" applyBorder="1" applyFill="1" applyFont="1" applyNumberFormat="1">
      <alignment shrinkToFit="0" vertical="center" wrapText="0"/>
    </xf>
    <xf borderId="26" fillId="0" fontId="12" numFmtId="164" xfId="0" applyAlignment="1" applyBorder="1" applyFont="1" applyNumberFormat="1">
      <alignment shrinkToFit="0" vertical="center" wrapText="0"/>
    </xf>
    <xf borderId="27" fillId="0" fontId="12" numFmtId="0" xfId="0" applyAlignment="1" applyBorder="1" applyFont="1">
      <alignment shrinkToFit="0" vertical="center" wrapText="0"/>
    </xf>
    <xf borderId="28" fillId="0" fontId="12" numFmtId="0" xfId="0" applyAlignment="1" applyBorder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8" fillId="10" fontId="12" numFmtId="164" xfId="0" applyAlignment="1" applyBorder="1" applyFill="1" applyFont="1" applyNumberFormat="1">
      <alignment shrinkToFit="0" vertical="center" wrapText="0"/>
    </xf>
    <xf borderId="8" fillId="11" fontId="12" numFmtId="164" xfId="0" applyAlignment="1" applyBorder="1" applyFill="1" applyFont="1" applyNumberFormat="1">
      <alignment shrinkToFit="0" vertical="center" wrapText="0"/>
    </xf>
    <xf borderId="26" fillId="0" fontId="20" numFmtId="164" xfId="0" applyAlignment="1" applyBorder="1" applyFont="1" applyNumberFormat="1">
      <alignment shrinkToFit="0" vertical="center" wrapText="0"/>
    </xf>
    <xf borderId="27" fillId="0" fontId="18" numFmtId="0" xfId="0" applyAlignment="1" applyBorder="1" applyFont="1">
      <alignment shrinkToFit="0" vertical="center" wrapText="0"/>
    </xf>
    <xf borderId="17" fillId="8" fontId="10" numFmtId="164" xfId="0" applyAlignment="1" applyBorder="1" applyFill="1" applyFont="1" applyNumberFormat="1">
      <alignment shrinkToFit="0" wrapText="1"/>
    </xf>
    <xf borderId="17" fillId="8" fontId="10" numFmtId="164" xfId="0" applyAlignment="1" applyBorder="1" applyFill="1" applyFont="1" applyNumberFormat="1">
      <alignment horizontal="center" shrinkToFit="0" wrapText="1"/>
    </xf>
    <xf borderId="17" fillId="8" fontId="10" numFmtId="165" xfId="0" applyAlignment="1" applyBorder="1" applyFill="1" applyFont="1" applyNumberFormat="1">
      <alignment horizontal="center" shrinkToFit="0" wrapText="1"/>
    </xf>
    <xf borderId="17" fillId="8" fontId="10" numFmtId="164" xfId="0" applyAlignment="1" applyBorder="1" applyFill="1" applyFont="1" applyNumberFormat="1">
      <alignment horizontal="left" shrinkToFit="0" wrapText="1"/>
    </xf>
    <xf borderId="17" fillId="8" fontId="10" numFmtId="166" xfId="0" applyAlignment="1" applyBorder="1" applyFill="1" applyFont="1" applyNumberFormat="1">
      <alignment shrinkToFit="0" wrapText="1"/>
    </xf>
    <xf borderId="17" fillId="8" fontId="10" numFmtId="164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167" xfId="0" applyAlignment="1" applyFont="1" applyNumberFormat="1">
      <alignment shrinkToFit="0" vertical="center" wrapText="1"/>
    </xf>
    <xf borderId="0" fillId="0" fontId="6" numFmtId="167" xfId="0" applyAlignment="1" applyFont="1" applyNumberFormat="1">
      <alignment vertical="center"/>
    </xf>
    <xf borderId="22" fillId="2" fontId="6" numFmtId="167" xfId="0" applyAlignment="1" applyBorder="1" applyFill="1" applyFont="1" applyNumberFormat="1">
      <alignment horizontal="center" vertical="center"/>
    </xf>
    <xf borderId="22" fillId="2" fontId="6" numFmtId="164" xfId="0" applyAlignment="1" applyBorder="1" applyFill="1" applyFont="1" applyNumberFormat="1">
      <alignment vertical="center"/>
    </xf>
    <xf borderId="22" fillId="2" fontId="6" numFmtId="166" xfId="0" applyAlignment="1" applyBorder="1" applyFill="1" applyFont="1" applyNumberFormat="1">
      <alignment vertical="center"/>
    </xf>
    <xf borderId="22" fillId="12" fontId="6" numFmtId="166" xfId="0" applyAlignment="1" applyBorder="1" applyFill="1" applyFont="1" applyNumberFormat="1">
      <alignment vertical="center"/>
    </xf>
    <xf borderId="22" fillId="2" fontId="23" numFmtId="167" xfId="0" applyAlignment="1" applyBorder="1" applyFill="1" applyFont="1" applyNumberFormat="1">
      <alignment horizontal="center" vertical="center"/>
    </xf>
    <xf borderId="22" fillId="12" fontId="23" numFmtId="167" xfId="0" applyAlignment="1" applyBorder="1" applyFill="1" applyFont="1" applyNumberFormat="1">
      <alignment horizontal="center" vertical="center"/>
    </xf>
    <xf borderId="22" fillId="2" fontId="24" numFmtId="0" xfId="0" applyAlignment="1" applyBorder="1" applyFill="1" applyFont="1">
      <alignment horizontal="center" vertical="center"/>
    </xf>
    <xf borderId="29" fillId="0" fontId="11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0" fillId="0" fontId="25" numFmtId="166" xfId="0" applyAlignment="1" applyFont="1" applyNumberFormat="1">
      <alignment horizontal="center" vertical="center"/>
    </xf>
    <xf borderId="22" fillId="2" fontId="24" numFmtId="166" xfId="0" applyAlignment="1" applyBorder="1" applyFill="1" applyFont="1" applyNumberFormat="1">
      <alignment horizontal="center" vertical="center"/>
    </xf>
    <xf borderId="0" fillId="0" fontId="26" numFmtId="166" xfId="0" applyAlignment="1" applyFont="1" applyNumberFormat="1">
      <alignment vertical="center"/>
    </xf>
    <xf borderId="15" fillId="13" fontId="27" numFmtId="0" xfId="0" applyAlignment="1" applyBorder="1" applyFill="1" applyFont="1">
      <alignment horizontal="center" readingOrder="0" shrinkToFit="0" vertical="center" wrapText="0"/>
    </xf>
    <xf borderId="12" fillId="13" fontId="27" numFmtId="0" xfId="0" applyAlignment="1" applyBorder="1" applyFill="1" applyFont="1">
      <alignment horizontal="center" readingOrder="0" shrinkToFit="0" vertical="center" wrapText="0"/>
    </xf>
    <xf borderId="12" fillId="13" fontId="27" numFmtId="167" xfId="0" applyAlignment="1" applyBorder="1" applyFill="1" applyFont="1" applyNumberFormat="1">
      <alignment horizontal="center" readingOrder="0" shrinkToFit="0" vertical="center" wrapText="1"/>
    </xf>
    <xf borderId="12" fillId="13" fontId="27" numFmtId="167" xfId="0" applyAlignment="1" applyBorder="1" applyFill="1" applyFont="1" applyNumberFormat="1">
      <alignment horizontal="left" readingOrder="0" shrinkToFit="0" vertical="center" wrapText="0"/>
    </xf>
    <xf borderId="12" fillId="14" fontId="27" numFmtId="167" xfId="0" applyAlignment="1" applyBorder="1" applyFill="1" applyFont="1" applyNumberFormat="1">
      <alignment horizontal="center" readingOrder="0" shrinkToFit="0" vertical="center" wrapText="1"/>
    </xf>
    <xf borderId="12" fillId="13" fontId="27" numFmtId="164" xfId="0" applyAlignment="1" applyBorder="1" applyFill="1" applyFont="1" applyNumberFormat="1">
      <alignment horizontal="center" readingOrder="0" shrinkToFit="0" vertical="center" wrapText="1"/>
    </xf>
    <xf borderId="12" fillId="12" fontId="27" numFmtId="166" xfId="0" applyAlignment="1" applyBorder="1" applyFill="1" applyFont="1" applyNumberFormat="1">
      <alignment horizontal="center" readingOrder="0" shrinkToFit="0" vertical="center" wrapText="1"/>
    </xf>
    <xf borderId="13" fillId="13" fontId="27" numFmtId="168" xfId="0" applyAlignment="1" applyBorder="1" applyFill="1" applyFont="1" applyNumberFormat="1">
      <alignment horizontal="center" readingOrder="0" shrinkToFit="0" vertical="center" wrapText="1"/>
    </xf>
    <xf borderId="7" fillId="0" fontId="6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left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6" numFmtId="167" xfId="0" applyAlignment="1" applyBorder="1" applyFont="1" applyNumberFormat="1">
      <alignment shrinkToFit="0" vertical="center" wrapText="1"/>
    </xf>
    <xf borderId="4" fillId="0" fontId="6" numFmtId="167" xfId="0" applyAlignment="1" applyBorder="1" applyFont="1" applyNumberFormat="1">
      <alignment horizontal="center" shrinkToFit="0" vertical="center" wrapText="1"/>
    </xf>
    <xf borderId="4" fillId="14" fontId="6" numFmtId="167" xfId="0" applyAlignment="1" applyBorder="1" applyFill="1" applyFont="1" applyNumberFormat="1">
      <alignment horizontal="center" shrinkToFit="0" vertical="center" wrapText="1"/>
    </xf>
    <xf borderId="4" fillId="0" fontId="6" numFmtId="164" xfId="0" applyAlignment="1" applyBorder="1" applyFont="1" applyNumberFormat="1">
      <alignment horizontal="left" shrinkToFit="0" vertical="center" wrapText="0"/>
    </xf>
    <xf borderId="4" fillId="12" fontId="6" numFmtId="166" xfId="0" applyAlignment="1" applyBorder="1" applyFill="1" applyFont="1" applyNumberFormat="1">
      <alignment shrinkToFit="0" vertical="center" wrapText="0"/>
    </xf>
    <xf borderId="5" fillId="0" fontId="6" numFmtId="0" xfId="0" applyAlignment="1" applyBorder="1" applyFont="1">
      <alignment shrinkToFit="0" vertical="center" wrapText="0"/>
    </xf>
    <xf borderId="4" fillId="0" fontId="6" numFmtId="166" xfId="0" applyAlignment="1" applyBorder="1" applyFont="1" applyNumberFormat="1">
      <alignment horizontal="left" shrinkToFit="0" vertical="center" wrapText="0"/>
    </xf>
    <xf borderId="4" fillId="2" fontId="6" numFmtId="166" xfId="0" applyAlignment="1" applyBorder="1" applyFill="1" applyFont="1" applyNumberFormat="1">
      <alignment horizontal="left" shrinkToFit="0" vertical="center" wrapText="0"/>
    </xf>
    <xf borderId="19" fillId="7" fontId="6" numFmtId="0" xfId="0" applyAlignment="1" applyBorder="1" applyFill="1" applyFont="1">
      <alignment horizontal="center" shrinkToFit="0" vertical="center" wrapText="0"/>
    </xf>
    <xf borderId="4" fillId="7" fontId="6" numFmtId="0" xfId="0" applyAlignment="1" applyBorder="1" applyFill="1" applyFont="1">
      <alignment horizontal="left" shrinkToFit="0" vertical="center" wrapText="0"/>
    </xf>
    <xf borderId="4" fillId="7" fontId="6" numFmtId="0" xfId="0" applyAlignment="1" applyBorder="1" applyFill="1" applyFont="1">
      <alignment horizontal="center" shrinkToFit="0" vertical="center" wrapText="0"/>
    </xf>
    <xf borderId="4" fillId="7" fontId="6" numFmtId="167" xfId="0" applyAlignment="1" applyBorder="1" applyFill="1" applyFont="1" applyNumberFormat="1">
      <alignment shrinkToFit="0" vertical="center" wrapText="1"/>
    </xf>
    <xf borderId="4" fillId="7" fontId="6" numFmtId="167" xfId="0" applyAlignment="1" applyBorder="1" applyFill="1" applyFont="1" applyNumberFormat="1">
      <alignment horizontal="center" shrinkToFit="0" vertical="center" wrapText="1"/>
    </xf>
    <xf borderId="4" fillId="7" fontId="6" numFmtId="164" xfId="0" applyAlignment="1" applyBorder="1" applyFill="1" applyFont="1" applyNumberFormat="1">
      <alignment horizontal="left" shrinkToFit="0" vertical="center" wrapText="0"/>
    </xf>
    <xf borderId="4" fillId="7" fontId="6" numFmtId="166" xfId="0" applyAlignment="1" applyBorder="1" applyFill="1" applyFont="1" applyNumberFormat="1">
      <alignment shrinkToFit="0" vertical="center" wrapText="0"/>
    </xf>
    <xf borderId="21" fillId="7" fontId="6" numFmtId="0" xfId="0" applyAlignment="1" applyBorder="1" applyFill="1" applyFont="1">
      <alignment shrinkToFit="0" vertical="center" wrapText="0"/>
    </xf>
    <xf borderId="0" fillId="0" fontId="6" numFmtId="164" xfId="0" applyAlignment="1" applyFont="1" applyNumberFormat="1">
      <alignment vertical="center"/>
    </xf>
    <xf borderId="4" fillId="2" fontId="6" numFmtId="0" xfId="0" applyAlignment="1" applyBorder="1" applyFill="1" applyFont="1">
      <alignment horizontal="center" shrinkToFit="0" vertical="center" wrapText="0"/>
    </xf>
    <xf borderId="4" fillId="7" fontId="6" numFmtId="167" xfId="0" applyAlignment="1" applyBorder="1" applyFill="1" applyFont="1" applyNumberFormat="1">
      <alignment horizontal="right" shrinkToFit="0" vertical="center" wrapText="0"/>
    </xf>
    <xf borderId="0" fillId="0" fontId="6" numFmtId="166" xfId="0" applyAlignment="1" applyFont="1" applyNumberFormat="1">
      <alignment vertical="center"/>
    </xf>
    <xf borderId="4" fillId="0" fontId="6" numFmtId="0" xfId="0" applyAlignment="1" applyBorder="1" applyFont="1">
      <alignment shrinkToFit="0" vertical="center" wrapText="0"/>
    </xf>
    <xf borderId="0" fillId="0" fontId="28" numFmtId="0" xfId="0" applyAlignment="1" applyFont="1">
      <alignment horizontal="center"/>
    </xf>
    <xf borderId="5" fillId="0" fontId="6" numFmtId="0" xfId="0" applyAlignment="1" applyBorder="1" applyFont="1">
      <alignment shrinkToFit="0" vertical="center" wrapText="1"/>
    </xf>
    <xf borderId="0" fillId="0" fontId="29" numFmtId="0" xfId="0" applyAlignment="1" applyFont="1">
      <alignment horizontal="center" vertical="center"/>
    </xf>
    <xf borderId="0" fillId="0" fontId="28" numFmtId="164" xfId="0" applyAlignment="1" applyFont="1" applyNumberFormat="1">
      <alignment horizontal="center"/>
    </xf>
    <xf borderId="0" fillId="0" fontId="28" numFmtId="0" xfId="0" applyFont="1"/>
    <xf borderId="0" fillId="0" fontId="25" numFmtId="164" xfId="0" applyAlignment="1" applyFont="1" applyNumberFormat="1">
      <alignment horizontal="center"/>
    </xf>
    <xf borderId="18" fillId="14" fontId="30" numFmtId="0" xfId="0" applyAlignment="1" applyBorder="1" applyFill="1" applyFont="1">
      <alignment horizontal="center" readingOrder="0" shrinkToFit="0" vertical="center" wrapText="0"/>
    </xf>
    <xf borderId="20" fillId="14" fontId="30" numFmtId="0" xfId="0" applyAlignment="1" applyBorder="1" applyFill="1" applyFont="1">
      <alignment horizontal="center" readingOrder="0" shrinkToFit="0" vertical="center" wrapText="0"/>
    </xf>
    <xf borderId="20" fillId="14" fontId="30" numFmtId="164" xfId="0" applyAlignment="1" applyBorder="1" applyFill="1" applyFont="1" applyNumberFormat="1">
      <alignment horizontal="center" readingOrder="0" shrinkToFit="0" vertical="center" wrapText="1"/>
    </xf>
    <xf borderId="20" fillId="14" fontId="30" numFmtId="164" xfId="0" applyAlignment="1" applyBorder="1" applyFill="1" applyFont="1" applyNumberFormat="1">
      <alignment horizontal="center" readingOrder="0" shrinkToFit="0" vertical="center" wrapText="0"/>
    </xf>
    <xf borderId="20" fillId="10" fontId="30" numFmtId="164" xfId="0" applyAlignment="1" applyBorder="1" applyFill="1" applyFont="1" applyNumberFormat="1">
      <alignment horizontal="center" readingOrder="0" shrinkToFit="0" vertical="center" wrapText="0"/>
    </xf>
    <xf borderId="23" fillId="14" fontId="30" numFmtId="164" xfId="0" applyAlignment="1" applyBorder="1" applyFill="1" applyFont="1" applyNumberFormat="1">
      <alignment horizontal="center" readingOrder="0" shrinkToFit="0" vertical="center" wrapText="0"/>
    </xf>
    <xf borderId="11" fillId="2" fontId="28" numFmtId="0" xfId="0" applyAlignment="1" applyBorder="1" applyFill="1" applyFont="1">
      <alignment horizontal="center" shrinkToFit="0" vertical="center" wrapText="0"/>
    </xf>
    <xf borderId="8" fillId="2" fontId="28" numFmtId="0" xfId="0" applyAlignment="1" applyBorder="1" applyFill="1" applyFont="1">
      <alignment horizontal="center" shrinkToFit="0" vertical="center" wrapText="0"/>
    </xf>
    <xf borderId="8" fillId="2" fontId="28" numFmtId="166" xfId="0" applyAlignment="1" applyBorder="1" applyFill="1" applyFont="1" applyNumberFormat="1">
      <alignment horizontal="center" shrinkToFit="0" vertical="center" wrapText="0"/>
    </xf>
    <xf borderId="8" fillId="10" fontId="8" numFmtId="166" xfId="0" applyAlignment="1" applyBorder="1" applyFill="1" applyFont="1" applyNumberFormat="1">
      <alignment horizontal="center" shrinkToFit="0" vertical="center" wrapText="0"/>
    </xf>
    <xf borderId="9" fillId="2" fontId="28" numFmtId="0" xfId="0" applyAlignment="1" applyBorder="1" applyFill="1" applyFont="1">
      <alignment horizontal="center" shrinkToFit="0" vertical="center" wrapText="0"/>
    </xf>
    <xf borderId="22" fillId="2" fontId="28" numFmtId="0" xfId="0" applyBorder="1" applyFill="1" applyFont="1"/>
    <xf borderId="25" fillId="0" fontId="28" numFmtId="0" xfId="0" applyAlignment="1" applyBorder="1" applyFont="1">
      <alignment horizontal="center" shrinkToFit="0" vertical="center" wrapText="0"/>
    </xf>
    <xf borderId="26" fillId="0" fontId="28" numFmtId="0" xfId="0" applyAlignment="1" applyBorder="1" applyFont="1">
      <alignment horizontal="center" shrinkToFit="0" vertical="center" wrapText="0"/>
    </xf>
    <xf borderId="26" fillId="0" fontId="28" numFmtId="166" xfId="0" applyAlignment="1" applyBorder="1" applyFont="1" applyNumberFormat="1">
      <alignment horizontal="center" shrinkToFit="0" vertical="center" wrapText="0"/>
    </xf>
    <xf borderId="27" fillId="0" fontId="28" numFmtId="0" xfId="0" applyAlignment="1" applyBorder="1" applyFont="1">
      <alignment horizontal="center" shrinkToFit="0" vertical="center" wrapText="0"/>
    </xf>
    <xf borderId="0" fillId="0" fontId="6" numFmtId="169" xfId="0" applyAlignment="1" applyFont="1" applyNumberFormat="1">
      <alignment vertical="center"/>
    </xf>
    <xf borderId="22" fillId="8" fontId="28" numFmtId="0" xfId="0" applyBorder="1" applyFill="1" applyFont="1"/>
    <xf borderId="4" fillId="0" fontId="28" numFmtId="0" xfId="0" applyAlignment="1" applyBorder="1" applyFont="1">
      <alignment horizontal="center"/>
    </xf>
    <xf borderId="4" fillId="0" fontId="28" numFmtId="166" xfId="0" applyAlignment="1" applyBorder="1" applyFont="1" applyNumberFormat="1">
      <alignment horizontal="center"/>
    </xf>
    <xf borderId="4" fillId="10" fontId="8" numFmtId="166" xfId="0" applyAlignment="1" applyBorder="1" applyFill="1" applyFont="1" applyNumberFormat="1">
      <alignment horizontal="center"/>
    </xf>
    <xf borderId="0" fillId="0" fontId="28" numFmtId="12" xfId="0" applyAlignment="1" applyFont="1" applyNumberFormat="1">
      <alignment horizontal="center"/>
    </xf>
    <xf borderId="22" fillId="2" fontId="28" numFmtId="0" xfId="0" applyAlignment="1" applyBorder="1" applyFill="1" applyFont="1">
      <alignment horizontal="center" vertical="center"/>
    </xf>
    <xf borderId="22" fillId="2" fontId="28" numFmtId="170" xfId="0" applyAlignment="1" applyBorder="1" applyFill="1" applyFont="1" applyNumberFormat="1">
      <alignment horizontal="center" vertical="center"/>
    </xf>
    <xf borderId="22" fillId="2" fontId="28" numFmtId="14" xfId="0" applyAlignment="1" applyBorder="1" applyFill="1" applyFont="1" applyNumberFormat="1">
      <alignment horizontal="center" vertical="center"/>
    </xf>
    <xf borderId="22" fillId="2" fontId="28" numFmtId="1" xfId="0" applyAlignment="1" applyBorder="1" applyFill="1" applyFont="1" applyNumberFormat="1">
      <alignment horizontal="center" vertical="center"/>
    </xf>
    <xf borderId="22" fillId="2" fontId="28" numFmtId="0" xfId="0" applyAlignment="1" applyBorder="1" applyFill="1" applyFont="1">
      <alignment horizontal="left" vertical="center"/>
    </xf>
    <xf borderId="22" fillId="2" fontId="28" numFmtId="0" xfId="0" applyAlignment="1" applyBorder="1" applyFill="1" applyFont="1">
      <alignment horizontal="right" vertical="center"/>
    </xf>
    <xf borderId="22" fillId="2" fontId="28" numFmtId="164" xfId="0" applyAlignment="1" applyBorder="1" applyFill="1" applyFont="1" applyNumberFormat="1">
      <alignment horizontal="right" vertical="center"/>
    </xf>
    <xf borderId="22" fillId="2" fontId="28" numFmtId="166" xfId="0" applyAlignment="1" applyBorder="1" applyFill="1" applyFont="1" applyNumberFormat="1">
      <alignment horizontal="right" vertical="center"/>
    </xf>
    <xf borderId="22" fillId="2" fontId="28" numFmtId="167" xfId="0" applyAlignment="1" applyBorder="1" applyFill="1" applyFont="1" applyNumberFormat="1">
      <alignment horizontal="right" vertical="center"/>
    </xf>
    <xf borderId="22" fillId="2" fontId="28" numFmtId="171" xfId="0" applyAlignment="1" applyBorder="1" applyFill="1" applyFont="1" applyNumberFormat="1">
      <alignment horizontal="right" vertical="center"/>
    </xf>
    <xf borderId="22" fillId="2" fontId="28" numFmtId="166" xfId="0" applyAlignment="1" applyBorder="1" applyFill="1" applyFont="1" applyNumberFormat="1">
      <alignment horizontal="center" vertical="center"/>
    </xf>
    <xf borderId="22" fillId="2" fontId="28" numFmtId="10" xfId="0" applyAlignment="1" applyBorder="1" applyFill="1" applyFont="1" applyNumberFormat="1">
      <alignment horizontal="right" vertical="center"/>
    </xf>
    <xf borderId="22" fillId="2" fontId="28" numFmtId="10" xfId="0" applyAlignment="1" applyBorder="1" applyFill="1" applyFont="1" applyNumberFormat="1">
      <alignment horizontal="center" vertical="center"/>
    </xf>
    <xf borderId="22" fillId="2" fontId="28" numFmtId="0" xfId="0" applyAlignment="1" applyBorder="1" applyFill="1" applyFont="1">
      <alignment vertical="center"/>
    </xf>
    <xf borderId="22" fillId="2" fontId="28" numFmtId="2" xfId="0" applyAlignment="1" applyBorder="1" applyFill="1" applyFont="1" applyNumberFormat="1">
      <alignment horizontal="center" vertical="center"/>
    </xf>
    <xf borderId="22" fillId="2" fontId="28" numFmtId="167" xfId="0" applyAlignment="1" applyBorder="1" applyFill="1" applyFont="1" applyNumberFormat="1">
      <alignment horizontal="center" vertical="center"/>
    </xf>
    <xf borderId="31" fillId="0" fontId="31" numFmtId="0" xfId="0" applyAlignment="1" applyBorder="1" applyFont="1">
      <alignment horizontal="center" vertical="center"/>
    </xf>
    <xf borderId="32" fillId="0" fontId="3" numFmtId="0" xfId="0" applyBorder="1" applyFont="1"/>
    <xf borderId="14" fillId="2" fontId="32" numFmtId="0" xfId="0" applyAlignment="1" applyBorder="1" applyFill="1" applyFont="1">
      <alignment horizontal="left" vertical="center"/>
    </xf>
    <xf borderId="32" fillId="0" fontId="32" numFmtId="0" xfId="0" applyAlignment="1" applyBorder="1" applyFont="1">
      <alignment horizontal="left" shrinkToFit="1" vertical="center" wrapText="0"/>
    </xf>
    <xf borderId="0" fillId="0" fontId="31" numFmtId="0" xfId="0" applyAlignment="1" applyFont="1">
      <alignment horizontal="center" vertical="center"/>
    </xf>
    <xf borderId="0" fillId="0" fontId="31" numFmtId="164" xfId="0" applyAlignment="1" applyFont="1" applyNumberFormat="1">
      <alignment horizontal="center" vertical="center"/>
    </xf>
    <xf borderId="22" fillId="2" fontId="31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31" numFmtId="164" xfId="0" applyAlignment="1" applyFont="1" applyNumberFormat="1">
      <alignment horizontal="left" vertical="center"/>
    </xf>
    <xf borderId="0" fillId="0" fontId="31" numFmtId="167" xfId="0" applyAlignment="1" applyFont="1" applyNumberFormat="1">
      <alignment horizontal="left" vertical="center"/>
    </xf>
    <xf borderId="0" fillId="0" fontId="31" numFmtId="0" xfId="0" applyAlignment="1" applyFont="1">
      <alignment horizontal="left" vertical="center"/>
    </xf>
    <xf borderId="0" fillId="0" fontId="31" numFmtId="166" xfId="0" applyAlignment="1" applyFont="1" applyNumberFormat="1">
      <alignment horizontal="center" vertical="center"/>
    </xf>
    <xf borderId="0" fillId="0" fontId="31" numFmtId="10" xfId="0" applyAlignment="1" applyFont="1" applyNumberFormat="1">
      <alignment horizontal="right" vertical="center"/>
    </xf>
    <xf borderId="0" fillId="0" fontId="31" numFmtId="10" xfId="0" applyAlignment="1" applyFont="1" applyNumberFormat="1">
      <alignment horizontal="center" vertical="center"/>
    </xf>
    <xf borderId="0" fillId="0" fontId="31" numFmtId="0" xfId="0" applyAlignment="1" applyFont="1">
      <alignment vertical="center"/>
    </xf>
    <xf borderId="0" fillId="0" fontId="31" numFmtId="2" xfId="0" applyAlignment="1" applyFont="1" applyNumberFormat="1">
      <alignment horizontal="center" vertical="center"/>
    </xf>
    <xf borderId="0" fillId="0" fontId="31" numFmtId="170" xfId="0" applyAlignment="1" applyFont="1" applyNumberFormat="1">
      <alignment horizontal="center" vertical="center"/>
    </xf>
    <xf borderId="8" fillId="15" fontId="8" numFmtId="0" xfId="0" applyAlignment="1" applyBorder="1" applyFill="1" applyFont="1">
      <alignment horizontal="center" vertical="center"/>
    </xf>
    <xf borderId="8" fillId="15" fontId="8" numFmtId="170" xfId="0" applyAlignment="1" applyBorder="1" applyFill="1" applyFont="1" applyNumberFormat="1">
      <alignment horizontal="center" shrinkToFit="0" vertical="center" wrapText="1"/>
    </xf>
    <xf borderId="8" fillId="15" fontId="8" numFmtId="1" xfId="0" applyAlignment="1" applyBorder="1" applyFill="1" applyFont="1" applyNumberFormat="1">
      <alignment horizontal="center" shrinkToFit="0" vertical="center" wrapText="1"/>
    </xf>
    <xf borderId="8" fillId="15" fontId="8" numFmtId="49" xfId="0" applyAlignment="1" applyBorder="1" applyFill="1" applyFont="1" applyNumberFormat="1">
      <alignment horizontal="center" shrinkToFit="0" vertical="center" wrapText="1"/>
    </xf>
    <xf borderId="8" fillId="16" fontId="8" numFmtId="0" xfId="0" applyAlignment="1" applyBorder="1" applyFill="1" applyFont="1">
      <alignment horizontal="center" vertical="center"/>
    </xf>
    <xf borderId="5" fillId="10" fontId="8" numFmtId="0" xfId="0" applyAlignment="1" applyBorder="1" applyFill="1" applyFont="1">
      <alignment horizontal="center" vertical="center"/>
    </xf>
    <xf borderId="33" fillId="10" fontId="8" numFmtId="164" xfId="0" applyAlignment="1" applyBorder="1" applyFill="1" applyFont="1" applyNumberFormat="1">
      <alignment horizontal="center" shrinkToFit="0" vertical="center" wrapText="1"/>
    </xf>
    <xf borderId="34" fillId="0" fontId="3" numFmtId="0" xfId="0" applyBorder="1" applyFont="1"/>
    <xf borderId="35" fillId="0" fontId="3" numFmtId="0" xfId="0" applyBorder="1" applyFont="1"/>
    <xf borderId="36" fillId="10" fontId="8" numFmtId="164" xfId="0" applyAlignment="1" applyBorder="1" applyFill="1" applyFont="1" applyNumberFormat="1">
      <alignment horizontal="center" shrinkToFit="0" vertical="center" wrapText="1"/>
    </xf>
    <xf borderId="8" fillId="8" fontId="8" numFmtId="167" xfId="0" applyAlignment="1" applyBorder="1" applyFill="1" applyFont="1" applyNumberFormat="1">
      <alignment horizontal="center" shrinkToFit="0" vertical="center" wrapText="1"/>
    </xf>
    <xf borderId="5" fillId="8" fontId="8" numFmtId="171" xfId="0" applyAlignment="1" applyBorder="1" applyFill="1" applyFont="1" applyNumberFormat="1">
      <alignment horizontal="center" shrinkToFit="0" vertical="center" wrapText="1"/>
    </xf>
    <xf borderId="8" fillId="8" fontId="8" numFmtId="166" xfId="0" applyAlignment="1" applyBorder="1" applyFill="1" applyFont="1" applyNumberFormat="1">
      <alignment horizontal="center" shrinkToFit="0" vertical="center" wrapText="1"/>
    </xf>
    <xf borderId="4" fillId="8" fontId="8" numFmtId="166" xfId="0" applyAlignment="1" applyBorder="1" applyFill="1" applyFont="1" applyNumberFormat="1">
      <alignment horizontal="center" shrinkToFit="0" vertical="center" wrapText="1"/>
    </xf>
    <xf borderId="36" fillId="2" fontId="8" numFmtId="166" xfId="0" applyAlignment="1" applyBorder="1" applyFill="1" applyFont="1" applyNumberFormat="1">
      <alignment horizontal="center" shrinkToFit="0" vertical="center" wrapText="1"/>
    </xf>
    <xf borderId="37" fillId="0" fontId="3" numFmtId="0" xfId="0" applyBorder="1" applyFont="1"/>
    <xf borderId="4" fillId="2" fontId="8" numFmtId="10" xfId="0" applyAlignment="1" applyBorder="1" applyFill="1" applyFont="1" applyNumberFormat="1">
      <alignment horizontal="right" shrinkToFit="0" vertical="center" wrapText="1"/>
    </xf>
    <xf borderId="19" fillId="2" fontId="8" numFmtId="10" xfId="0" applyAlignment="1" applyBorder="1" applyFill="1" applyFont="1" applyNumberFormat="1">
      <alignment horizontal="center" shrinkToFit="0" vertical="center" wrapText="1"/>
    </xf>
    <xf borderId="10" fillId="17" fontId="8" numFmtId="10" xfId="0" applyAlignment="1" applyBorder="1" applyFill="1" applyFont="1" applyNumberFormat="1">
      <alignment horizontal="center" shrinkToFit="0" vertical="center" wrapText="1"/>
    </xf>
    <xf borderId="10" fillId="17" fontId="8" numFmtId="0" xfId="0" applyAlignment="1" applyBorder="1" applyFill="1" applyFont="1">
      <alignment shrinkToFit="0" vertical="center" wrapText="1"/>
    </xf>
    <xf borderId="10" fillId="17" fontId="8" numFmtId="0" xfId="0" applyAlignment="1" applyBorder="1" applyFill="1" applyFont="1">
      <alignment horizontal="center" shrinkToFit="0" vertical="center" wrapText="1"/>
    </xf>
    <xf borderId="10" fillId="17" fontId="8" numFmtId="2" xfId="0" applyAlignment="1" applyBorder="1" applyFill="1" applyFont="1" applyNumberFormat="1">
      <alignment horizontal="center" shrinkToFit="0" vertical="center" wrapText="1"/>
    </xf>
    <xf borderId="8" fillId="18" fontId="8" numFmtId="166" xfId="0" applyAlignment="1" applyBorder="1" applyFill="1" applyFont="1" applyNumberFormat="1">
      <alignment horizontal="center" shrinkToFit="0" vertical="center" wrapText="1"/>
    </xf>
    <xf borderId="8" fillId="18" fontId="8" numFmtId="170" xfId="0" applyAlignment="1" applyBorder="1" applyFill="1" applyFont="1" applyNumberFormat="1">
      <alignment horizontal="center" shrinkToFit="0" vertical="center" wrapText="1"/>
    </xf>
    <xf borderId="8" fillId="2" fontId="8" numFmtId="0" xfId="0" applyAlignment="1" applyBorder="1" applyFill="1" applyFont="1">
      <alignment horizontal="center" shrinkToFit="0" vertical="center" wrapText="1"/>
    </xf>
    <xf borderId="20" fillId="15" fontId="8" numFmtId="0" xfId="0" applyAlignment="1" applyBorder="1" applyFill="1" applyFont="1">
      <alignment horizontal="center" vertical="center"/>
    </xf>
    <xf borderId="20" fillId="15" fontId="8" numFmtId="170" xfId="0" applyAlignment="1" applyBorder="1" applyFill="1" applyFont="1" applyNumberFormat="1">
      <alignment horizontal="center" shrinkToFit="0" vertical="center" wrapText="1"/>
    </xf>
    <xf borderId="12" fillId="15" fontId="8" numFmtId="1" xfId="0" applyAlignment="1" applyBorder="1" applyFill="1" applyFont="1" applyNumberFormat="1">
      <alignment horizontal="center" shrinkToFit="0" vertical="center" wrapText="1"/>
    </xf>
    <xf borderId="12" fillId="15" fontId="8" numFmtId="49" xfId="0" applyAlignment="1" applyBorder="1" applyFill="1" applyFont="1" applyNumberFormat="1">
      <alignment horizontal="center" shrinkToFit="0" vertical="center" wrapText="1"/>
    </xf>
    <xf borderId="20" fillId="16" fontId="8" numFmtId="0" xfId="0" applyAlignment="1" applyBorder="1" applyFill="1" applyFont="1">
      <alignment horizontal="center" vertical="center"/>
    </xf>
    <xf borderId="8" fillId="10" fontId="8" numFmtId="0" xfId="0" applyAlignment="1" applyBorder="1" applyFill="1" applyFont="1">
      <alignment horizontal="center" shrinkToFit="0" vertical="center" wrapText="1"/>
    </xf>
    <xf borderId="20" fillId="10" fontId="8" numFmtId="0" xfId="0" applyAlignment="1" applyBorder="1" applyFill="1" applyFont="1">
      <alignment horizontal="center" shrinkToFit="0" vertical="center" wrapText="1"/>
    </xf>
    <xf borderId="8" fillId="10" fontId="8" numFmtId="164" xfId="0" applyAlignment="1" applyBorder="1" applyFill="1" applyFont="1" applyNumberFormat="1">
      <alignment horizontal="center" shrinkToFit="0" vertical="center" wrapText="1"/>
    </xf>
    <xf borderId="12" fillId="16" fontId="8" numFmtId="0" xfId="0" applyAlignment="1" applyBorder="1" applyFill="1" applyFont="1">
      <alignment horizontal="center" vertical="center"/>
    </xf>
    <xf borderId="8" fillId="10" fontId="8" numFmtId="166" xfId="0" applyAlignment="1" applyBorder="1" applyFill="1" applyFont="1" applyNumberFormat="1">
      <alignment horizontal="center" shrinkToFit="0" vertical="center" wrapText="1"/>
    </xf>
    <xf borderId="8" fillId="10" fontId="8" numFmtId="167" xfId="0" applyAlignment="1" applyBorder="1" applyFill="1" applyFont="1" applyNumberFormat="1">
      <alignment horizontal="center" shrinkToFit="0" vertical="center" wrapText="1"/>
    </xf>
    <xf borderId="20" fillId="8" fontId="8" numFmtId="167" xfId="0" applyAlignment="1" applyBorder="1" applyFill="1" applyFont="1" applyNumberFormat="1">
      <alignment horizontal="center" shrinkToFit="0" vertical="center" wrapText="1"/>
    </xf>
    <xf borderId="8" fillId="8" fontId="8" numFmtId="171" xfId="0" applyAlignment="1" applyBorder="1" applyFill="1" applyFont="1" applyNumberFormat="1">
      <alignment horizontal="center" shrinkToFit="0" vertical="center" wrapText="1"/>
    </xf>
    <xf borderId="11" fillId="8" fontId="8" numFmtId="171" xfId="0" applyAlignment="1" applyBorder="1" applyFill="1" applyFont="1" applyNumberFormat="1">
      <alignment horizontal="center" shrinkToFit="0" vertical="center" wrapText="1"/>
    </xf>
    <xf borderId="20" fillId="8" fontId="8" numFmtId="166" xfId="0" applyAlignment="1" applyBorder="1" applyFill="1" applyFont="1" applyNumberFormat="1">
      <alignment horizontal="center" shrinkToFit="0" vertical="center" wrapText="1"/>
    </xf>
    <xf borderId="18" fillId="2" fontId="8" numFmtId="166" xfId="0" applyAlignment="1" applyBorder="1" applyFill="1" applyFont="1" applyNumberFormat="1">
      <alignment horizontal="center" shrinkToFit="0" vertical="center" wrapText="1"/>
    </xf>
    <xf borderId="20" fillId="2" fontId="8" numFmtId="166" xfId="0" applyAlignment="1" applyBorder="1" applyFill="1" applyFont="1" applyNumberFormat="1">
      <alignment horizontal="center" shrinkToFit="0" vertical="center" wrapText="1"/>
    </xf>
    <xf borderId="20" fillId="2" fontId="8" numFmtId="10" xfId="0" applyAlignment="1" applyBorder="1" applyFill="1" applyFont="1" applyNumberFormat="1">
      <alignment horizontal="right" shrinkToFit="0" vertical="center" wrapText="1"/>
    </xf>
    <xf borderId="20" fillId="2" fontId="8" numFmtId="10" xfId="0" applyAlignment="1" applyBorder="1" applyFill="1" applyFont="1" applyNumberFormat="1">
      <alignment horizontal="center" shrinkToFit="0" vertical="center" wrapText="1"/>
    </xf>
    <xf borderId="4" fillId="19" fontId="8" numFmtId="10" xfId="0" applyAlignment="1" applyBorder="1" applyFill="1" applyFont="1" applyNumberFormat="1">
      <alignment horizontal="center" shrinkToFit="0" vertical="center" wrapText="1"/>
    </xf>
    <xf borderId="4" fillId="19" fontId="8" numFmtId="0" xfId="0" applyAlignment="1" applyBorder="1" applyFill="1" applyFont="1">
      <alignment horizontal="center" shrinkToFit="0" vertical="center" wrapText="1"/>
    </xf>
    <xf borderId="4" fillId="2" fontId="8" numFmtId="2" xfId="0" applyAlignment="1" applyBorder="1" applyFill="1" applyFont="1" applyNumberFormat="1">
      <alignment horizontal="center" shrinkToFit="0" vertical="center" wrapText="1"/>
    </xf>
    <xf borderId="12" fillId="18" fontId="8" numFmtId="166" xfId="0" applyAlignment="1" applyBorder="1" applyFill="1" applyFont="1" applyNumberFormat="1">
      <alignment horizontal="center" shrinkToFit="0" vertical="center" wrapText="1"/>
    </xf>
    <xf borderId="12" fillId="18" fontId="8" numFmtId="170" xfId="0" applyAlignment="1" applyBorder="1" applyFill="1" applyFont="1" applyNumberFormat="1">
      <alignment horizontal="center" shrinkToFit="0" vertical="center" wrapText="1"/>
    </xf>
    <xf borderId="20" fillId="2" fontId="8" numFmtId="0" xfId="0" applyAlignment="1" applyBorder="1" applyFill="1" applyFont="1">
      <alignment horizontal="center" shrinkToFit="0" vertical="center" wrapText="1"/>
    </xf>
    <xf borderId="4" fillId="2" fontId="15" numFmtId="0" xfId="0" applyAlignment="1" applyBorder="1" applyFill="1" applyFont="1">
      <alignment horizontal="center" vertical="center"/>
    </xf>
    <xf borderId="4" fillId="0" fontId="28" numFmtId="170" xfId="0" applyAlignment="1" applyBorder="1" applyFont="1" applyNumberFormat="1">
      <alignment horizontal="center" vertical="center"/>
    </xf>
    <xf borderId="4" fillId="0" fontId="28" numFmtId="0" xfId="0" applyAlignment="1" applyBorder="1" applyFont="1">
      <alignment horizontal="center" vertical="center"/>
    </xf>
    <xf quotePrefix="1" borderId="4" fillId="0" fontId="28" numFmtId="172" xfId="0" applyAlignment="1" applyBorder="1" applyFont="1" applyNumberFormat="1">
      <alignment horizontal="center" vertical="center"/>
    </xf>
    <xf borderId="4" fillId="0" fontId="28" numFmtId="0" xfId="0" applyAlignment="1" applyBorder="1" applyFont="1">
      <alignment horizontal="left" vertical="center"/>
    </xf>
    <xf borderId="4" fillId="16" fontId="28" numFmtId="0" xfId="0" applyAlignment="1" applyBorder="1" applyFill="1" applyFont="1">
      <alignment horizontal="left" vertical="center"/>
    </xf>
    <xf borderId="4" fillId="2" fontId="15" numFmtId="0" xfId="0" applyAlignment="1" applyBorder="1" applyFill="1" applyFont="1">
      <alignment horizontal="left" vertical="center"/>
    </xf>
    <xf borderId="4" fillId="0" fontId="28" numFmtId="164" xfId="0" applyAlignment="1" applyBorder="1" applyFont="1" applyNumberFormat="1">
      <alignment horizontal="right" vertical="center"/>
    </xf>
    <xf borderId="4" fillId="16" fontId="28" numFmtId="166" xfId="0" applyAlignment="1" applyBorder="1" applyFill="1" applyFont="1" applyNumberFormat="1">
      <alignment horizontal="right" vertical="center"/>
    </xf>
    <xf borderId="4" fillId="2" fontId="15" numFmtId="164" xfId="0" applyAlignment="1" applyBorder="1" applyFill="1" applyFont="1" applyNumberFormat="1">
      <alignment horizontal="right" vertical="center"/>
    </xf>
    <xf borderId="4" fillId="2" fontId="15" numFmtId="166" xfId="0" applyAlignment="1" applyBorder="1" applyFill="1" applyFont="1" applyNumberFormat="1">
      <alignment horizontal="right" vertical="center"/>
    </xf>
    <xf borderId="4" fillId="2" fontId="15" numFmtId="167" xfId="0" applyAlignment="1" applyBorder="1" applyFill="1" applyFont="1" applyNumberFormat="1">
      <alignment horizontal="right" vertical="center"/>
    </xf>
    <xf borderId="4" fillId="0" fontId="28" numFmtId="167" xfId="0" applyAlignment="1" applyBorder="1" applyFont="1" applyNumberFormat="1">
      <alignment horizontal="right" vertical="center"/>
    </xf>
    <xf borderId="4" fillId="0" fontId="28" numFmtId="173" xfId="0" applyAlignment="1" applyBorder="1" applyFont="1" applyNumberFormat="1">
      <alignment horizontal="right" vertical="center"/>
    </xf>
    <xf borderId="4" fillId="0" fontId="28" numFmtId="171" xfId="0" applyAlignment="1" applyBorder="1" applyFont="1" applyNumberFormat="1">
      <alignment horizontal="right" vertical="center"/>
    </xf>
    <xf borderId="4" fillId="0" fontId="28" numFmtId="166" xfId="0" applyAlignment="1" applyBorder="1" applyFont="1" applyNumberFormat="1">
      <alignment horizontal="right" vertical="center"/>
    </xf>
    <xf borderId="4" fillId="0" fontId="28" numFmtId="166" xfId="0" applyAlignment="1" applyBorder="1" applyFont="1" applyNumberFormat="1">
      <alignment horizontal="center" vertical="center"/>
    </xf>
    <xf borderId="4" fillId="2" fontId="15" numFmtId="10" xfId="0" applyAlignment="1" applyBorder="1" applyFill="1" applyFont="1" applyNumberFormat="1">
      <alignment horizontal="right" vertical="center"/>
    </xf>
    <xf borderId="4" fillId="2" fontId="15" numFmtId="10" xfId="0" applyAlignment="1" applyBorder="1" applyFill="1" applyFont="1" applyNumberFormat="1">
      <alignment horizontal="center" vertical="center"/>
    </xf>
    <xf borderId="4" fillId="19" fontId="15" numFmtId="10" xfId="0" applyAlignment="1" applyBorder="1" applyFill="1" applyFont="1" applyNumberFormat="1">
      <alignment horizontal="center" vertical="center"/>
    </xf>
    <xf borderId="4" fillId="19" fontId="15" numFmtId="0" xfId="0" applyAlignment="1" applyBorder="1" applyFill="1" applyFont="1">
      <alignment vertical="center"/>
    </xf>
    <xf borderId="4" fillId="19" fontId="15" numFmtId="0" xfId="0" applyAlignment="1" applyBorder="1" applyFill="1" applyFont="1">
      <alignment horizontal="center" vertical="center"/>
    </xf>
    <xf borderId="4" fillId="2" fontId="15" numFmtId="2" xfId="0" applyAlignment="1" applyBorder="1" applyFill="1" applyFont="1" applyNumberFormat="1">
      <alignment horizontal="center" vertical="center"/>
    </xf>
    <xf borderId="4" fillId="0" fontId="28" numFmtId="167" xfId="0" applyAlignment="1" applyBorder="1" applyFont="1" applyNumberFormat="1">
      <alignment horizontal="center" vertical="center"/>
    </xf>
    <xf borderId="26" fillId="0" fontId="28" numFmtId="164" xfId="0" applyAlignment="1" applyBorder="1" applyFont="1" applyNumberFormat="1">
      <alignment horizontal="center" vertical="center"/>
    </xf>
    <xf borderId="26" fillId="0" fontId="28" numFmtId="167" xfId="0" applyAlignment="1" applyBorder="1" applyFont="1" applyNumberFormat="1">
      <alignment horizontal="center" vertical="center"/>
    </xf>
    <xf borderId="26" fillId="0" fontId="28" numFmtId="173" xfId="0" applyAlignment="1" applyBorder="1" applyFont="1" applyNumberFormat="1">
      <alignment horizontal="center" vertical="center"/>
    </xf>
    <xf borderId="26" fillId="0" fontId="28" numFmtId="171" xfId="0" applyAlignment="1" applyBorder="1" applyFont="1" applyNumberFormat="1">
      <alignment horizontal="center" vertical="center"/>
    </xf>
    <xf borderId="26" fillId="0" fontId="28" numFmtId="166" xfId="0" applyAlignment="1" applyBorder="1" applyFont="1" applyNumberFormat="1">
      <alignment horizontal="center" vertical="center"/>
    </xf>
    <xf borderId="26" fillId="2" fontId="15" numFmtId="166" xfId="0" applyAlignment="1" applyBorder="1" applyFill="1" applyFont="1" applyNumberFormat="1">
      <alignment horizontal="center" vertical="center"/>
    </xf>
    <xf borderId="26" fillId="2" fontId="15" numFmtId="10" xfId="0" applyAlignment="1" applyBorder="1" applyFill="1" applyFont="1" applyNumberFormat="1">
      <alignment horizontal="right" vertical="center"/>
    </xf>
    <xf borderId="38" fillId="0" fontId="3" numFmtId="0" xfId="0" applyBorder="1" applyFont="1"/>
    <xf borderId="8" fillId="2" fontId="15" numFmtId="167" xfId="0" applyAlignment="1" applyBorder="1" applyFill="1" applyFont="1" applyNumberFormat="1">
      <alignment horizontal="center" vertical="center"/>
    </xf>
    <xf borderId="26" fillId="16" fontId="28" numFmtId="0" xfId="0" applyAlignment="1" applyBorder="1" applyFill="1" applyFont="1">
      <alignment horizontal="center" vertical="center"/>
    </xf>
    <xf borderId="26" fillId="2" fontId="15" numFmtId="0" xfId="0" applyAlignment="1" applyBorder="1" applyFill="1" applyFont="1">
      <alignment horizontal="left" vertical="center"/>
    </xf>
    <xf borderId="26" fillId="2" fontId="15" numFmtId="0" xfId="0" applyAlignment="1" applyBorder="1" applyFill="1" applyFont="1">
      <alignment horizontal="center" vertical="center"/>
    </xf>
    <xf borderId="4" fillId="16" fontId="28" numFmtId="166" xfId="0" applyAlignment="1" applyBorder="1" applyFill="1" applyFont="1" applyNumberFormat="1">
      <alignment horizontal="center" vertical="center"/>
    </xf>
    <xf borderId="39" fillId="0" fontId="3" numFmtId="0" xfId="0" applyBorder="1" applyFont="1"/>
    <xf borderId="4" fillId="0" fontId="28" numFmtId="0" xfId="0" applyAlignment="1" applyBorder="1" applyFont="1">
      <alignment horizontal="center" shrinkToFit="0" vertical="center" wrapText="1"/>
    </xf>
    <xf borderId="26" fillId="2" fontId="15" numFmtId="167" xfId="0" applyAlignment="1" applyBorder="1" applyFill="1" applyFont="1" applyNumberFormat="1">
      <alignment horizontal="center" vertical="center"/>
    </xf>
    <xf borderId="4" fillId="2" fontId="15" numFmtId="167" xfId="0" applyAlignment="1" applyBorder="1" applyFill="1" applyFont="1" applyNumberFormat="1">
      <alignment horizontal="center" vertical="center"/>
    </xf>
    <xf borderId="21" fillId="2" fontId="15" numFmtId="1" xfId="0" applyAlignment="1" applyBorder="1" applyFill="1" applyFont="1" applyNumberFormat="1">
      <alignment horizontal="center" vertical="center"/>
    </xf>
    <xf borderId="4" fillId="2" fontId="15" numFmtId="1" xfId="0" applyAlignment="1" applyBorder="1" applyFill="1" applyFont="1" applyNumberFormat="1">
      <alignment horizontal="center" vertical="center"/>
    </xf>
    <xf borderId="4" fillId="2" fontId="15" numFmtId="39" xfId="0" applyAlignment="1" applyBorder="1" applyFill="1" applyFont="1" applyNumberFormat="1">
      <alignment horizontal="center" vertical="center"/>
    </xf>
    <xf borderId="26" fillId="0" fontId="28" numFmtId="170" xfId="0" applyAlignment="1" applyBorder="1" applyFont="1" applyNumberFormat="1">
      <alignment horizontal="center" vertical="center"/>
    </xf>
    <xf borderId="26" fillId="0" fontId="28" numFmtId="0" xfId="0" applyAlignment="1" applyBorder="1" applyFont="1">
      <alignment horizontal="center" shrinkToFit="0" vertical="center" wrapText="1"/>
    </xf>
    <xf borderId="21" fillId="2" fontId="15" numFmtId="0" xfId="0" applyAlignment="1" applyBorder="1" applyFill="1" applyFont="1">
      <alignment horizontal="left" vertical="center"/>
    </xf>
    <xf borderId="26" fillId="2" fontId="15" numFmtId="1" xfId="0" applyAlignment="1" applyBorder="1" applyFill="1" applyFont="1" applyNumberFormat="1">
      <alignment horizontal="center" vertical="center"/>
    </xf>
    <xf borderId="15" fillId="20" fontId="15" numFmtId="167" xfId="0" applyAlignment="1" applyBorder="1" applyFill="1" applyFont="1" applyNumberFormat="1">
      <alignment horizontal="right" shrinkToFit="0" vertical="center" wrapText="0"/>
    </xf>
    <xf borderId="4" fillId="0" fontId="6" numFmtId="167" xfId="0" applyAlignment="1" applyBorder="1" applyFont="1" applyNumberFormat="1">
      <alignment horizontal="right" shrinkToFit="0" vertical="center" wrapText="0"/>
    </xf>
    <xf borderId="8" fillId="2" fontId="15" numFmtId="1" xfId="0" applyAlignment="1" applyBorder="1" applyFill="1" applyFont="1" applyNumberFormat="1">
      <alignment horizontal="center" vertical="center"/>
    </xf>
    <xf borderId="4" fillId="0" fontId="6" numFmtId="167" xfId="0" applyAlignment="1" applyBorder="1" applyFont="1" applyNumberFormat="1">
      <alignment shrinkToFit="0" vertical="center" wrapText="0"/>
    </xf>
    <xf borderId="4" fillId="0" fontId="28" numFmtId="14" xfId="0" applyAlignment="1" applyBorder="1" applyFont="1" applyNumberFormat="1">
      <alignment horizontal="center" shrinkToFit="0" vertical="center" wrapText="1"/>
    </xf>
    <xf borderId="4" fillId="0" fontId="28" numFmtId="14" xfId="0" applyAlignment="1" applyBorder="1" applyFont="1" applyNumberFormat="1">
      <alignment horizontal="center" vertical="center"/>
    </xf>
    <xf borderId="4" fillId="16" fontId="28" numFmtId="0" xfId="0" applyAlignment="1" applyBorder="1" applyFill="1" applyFont="1">
      <alignment vertical="center"/>
    </xf>
    <xf borderId="4" fillId="2" fontId="15" numFmtId="49" xfId="0" applyAlignment="1" applyBorder="1" applyFill="1" applyFont="1" applyNumberFormat="1">
      <alignment horizontal="center" vertical="center"/>
    </xf>
    <xf borderId="4" fillId="0" fontId="28" numFmtId="172" xfId="0" applyAlignment="1" applyBorder="1" applyFont="1" applyNumberFormat="1">
      <alignment horizontal="center" vertical="center"/>
    </xf>
    <xf borderId="26" fillId="19" fontId="15" numFmtId="167" xfId="0" applyAlignment="1" applyBorder="1" applyFill="1" applyFont="1" applyNumberFormat="1">
      <alignment horizontal="center" vertical="center"/>
    </xf>
    <xf borderId="26" fillId="19" fontId="28" numFmtId="167" xfId="0" applyAlignment="1" applyBorder="1" applyFill="1" applyFont="1" applyNumberFormat="1">
      <alignment vertical="center"/>
    </xf>
    <xf borderId="4" fillId="19" fontId="15" numFmtId="167" xfId="0" applyAlignment="1" applyBorder="1" applyFill="1" applyFont="1" applyNumberFormat="1">
      <alignment horizontal="right" vertical="center"/>
    </xf>
    <xf borderId="4" fillId="19" fontId="28" numFmtId="167" xfId="0" applyAlignment="1" applyBorder="1" applyFill="1" applyFont="1" applyNumberFormat="1">
      <alignment vertical="center"/>
    </xf>
    <xf borderId="26" fillId="0" fontId="28" numFmtId="0" xfId="0" applyAlignment="1" applyBorder="1" applyFont="1">
      <alignment horizontal="center" vertical="center"/>
    </xf>
    <xf borderId="4" fillId="0" fontId="6" numFmtId="167" xfId="0" applyAlignment="1" applyBorder="1" applyFont="1" applyNumberFormat="1">
      <alignment horizontal="center" shrinkToFit="0" vertical="center" wrapText="0"/>
    </xf>
    <xf borderId="4" fillId="19" fontId="28" numFmtId="167" xfId="0" applyAlignment="1" applyBorder="1" applyFill="1" applyFont="1" applyNumberFormat="1">
      <alignment horizontal="center" vertical="center"/>
    </xf>
    <xf borderId="26" fillId="19" fontId="28" numFmtId="167" xfId="0" applyAlignment="1" applyBorder="1" applyFill="1" applyFont="1" applyNumberFormat="1">
      <alignment horizontal="center" vertical="center"/>
    </xf>
    <xf borderId="4" fillId="2" fontId="15" numFmtId="168" xfId="0" applyAlignment="1" applyBorder="1" applyFill="1" applyFont="1" applyNumberFormat="1">
      <alignment horizontal="right" vertical="center"/>
    </xf>
    <xf borderId="4" fillId="2" fontId="15" numFmtId="170" xfId="0" applyAlignment="1" applyBorder="1" applyFill="1" applyFont="1" applyNumberFormat="1">
      <alignment horizontal="center" vertical="center"/>
    </xf>
    <xf borderId="26" fillId="0" fontId="28" numFmtId="173" xfId="0" applyAlignment="1" applyBorder="1" applyFont="1" applyNumberFormat="1">
      <alignment horizontal="right" vertical="center"/>
    </xf>
    <xf borderId="26" fillId="0" fontId="28" numFmtId="171" xfId="0" applyAlignment="1" applyBorder="1" applyFont="1" applyNumberFormat="1">
      <alignment horizontal="right" vertical="center"/>
    </xf>
    <xf borderId="4" fillId="2" fontId="15" numFmtId="14" xfId="0" applyAlignment="1" applyBorder="1" applyFill="1" applyFont="1" applyNumberFormat="1">
      <alignment horizontal="center" vertical="center"/>
    </xf>
    <xf quotePrefix="1" borderId="4" fillId="2" fontId="15" numFmtId="1" xfId="0" applyAlignment="1" applyBorder="1" applyFill="1" applyFont="1" applyNumberFormat="1">
      <alignment horizontal="center" vertical="center"/>
    </xf>
    <xf borderId="4" fillId="16" fontId="15" numFmtId="0" xfId="0" applyAlignment="1" applyBorder="1" applyFill="1" applyFont="1">
      <alignment horizontal="left" vertical="center"/>
    </xf>
    <xf borderId="26" fillId="2" fontId="15" numFmtId="164" xfId="0" applyAlignment="1" applyBorder="1" applyFill="1" applyFont="1" applyNumberFormat="1">
      <alignment horizontal="center" vertical="center"/>
    </xf>
    <xf borderId="4" fillId="16" fontId="15" numFmtId="167" xfId="0" applyAlignment="1" applyBorder="1" applyFill="1" applyFont="1" applyNumberFormat="1">
      <alignment horizontal="right" vertical="center"/>
    </xf>
    <xf borderId="26" fillId="2" fontId="15" numFmtId="168" xfId="0" applyAlignment="1" applyBorder="1" applyFill="1" applyFont="1" applyNumberFormat="1">
      <alignment horizontal="center" vertical="center"/>
    </xf>
    <xf borderId="26" fillId="2" fontId="15" numFmtId="10" xfId="0" applyAlignment="1" applyBorder="1" applyFill="1" applyFont="1" applyNumberFormat="1">
      <alignment horizontal="center" vertical="center"/>
    </xf>
    <xf borderId="26" fillId="19" fontId="15" numFmtId="10" xfId="0" applyAlignment="1" applyBorder="1" applyFill="1" applyFont="1" applyNumberFormat="1">
      <alignment horizontal="left" vertical="center"/>
    </xf>
    <xf borderId="26" fillId="19" fontId="15" numFmtId="0" xfId="0" applyAlignment="1" applyBorder="1" applyFill="1" applyFont="1">
      <alignment vertical="center"/>
    </xf>
    <xf borderId="26" fillId="19" fontId="15" numFmtId="0" xfId="0" applyAlignment="1" applyBorder="1" applyFill="1" applyFont="1">
      <alignment horizontal="center" vertical="center"/>
    </xf>
    <xf borderId="26" fillId="2" fontId="15" numFmtId="170" xfId="0" applyAlignment="1" applyBorder="1" applyFill="1" applyFont="1" applyNumberFormat="1">
      <alignment horizontal="center" vertical="center"/>
    </xf>
    <xf borderId="26" fillId="16" fontId="28" numFmtId="0" xfId="0" applyAlignment="1" applyBorder="1" applyFill="1" applyFont="1">
      <alignment horizontal="left" vertical="center"/>
    </xf>
    <xf borderId="8" fillId="19" fontId="15" numFmtId="10" xfId="0" applyAlignment="1" applyBorder="1" applyFill="1" applyFont="1" applyNumberFormat="1">
      <alignment vertical="center"/>
    </xf>
    <xf borderId="4" fillId="19" fontId="15" numFmtId="10" xfId="0" applyAlignment="1" applyBorder="1" applyFill="1" applyFont="1" applyNumberFormat="1">
      <alignment vertical="center"/>
    </xf>
    <xf borderId="26" fillId="2" fontId="15" numFmtId="0" xfId="0" applyAlignment="1" applyBorder="1" applyFill="1" applyFont="1">
      <alignment horizontal="center" shrinkToFit="0" vertical="center" wrapText="1"/>
    </xf>
    <xf borderId="4" fillId="2" fontId="15" numFmtId="166" xfId="0" applyAlignment="1" applyBorder="1" applyFill="1" applyFont="1" applyNumberFormat="1">
      <alignment vertical="center"/>
    </xf>
    <xf borderId="4" fillId="0" fontId="28" numFmtId="164" xfId="0" applyAlignment="1" applyBorder="1" applyFont="1" applyNumberFormat="1">
      <alignment horizontal="center" vertical="center"/>
    </xf>
    <xf borderId="4" fillId="2" fontId="15" numFmtId="168" xfId="0" applyAlignment="1" applyBorder="1" applyFill="1" applyFont="1" applyNumberFormat="1">
      <alignment horizontal="center" vertical="center"/>
    </xf>
    <xf borderId="8" fillId="2" fontId="15" numFmtId="10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3" numFmtId="164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4" fillId="2" fontId="15" numFmtId="0" xfId="0" applyAlignment="1" applyBorder="1" applyFill="1" applyFont="1">
      <alignment shrinkToFit="0" vertical="center" wrapText="1"/>
    </xf>
    <xf borderId="4" fillId="0" fontId="28" numFmtId="14" xfId="0" applyAlignment="1" applyBorder="1" applyFont="1" applyNumberFormat="1">
      <alignment horizontal="left" vertical="center"/>
    </xf>
    <xf borderId="0" fillId="0" fontId="12" numFmtId="0" xfId="0" applyAlignment="1" applyFont="1">
      <alignment vertical="center"/>
    </xf>
    <xf borderId="4" fillId="5" fontId="19" numFmtId="174" xfId="0" applyAlignment="1" applyBorder="1" applyFill="1" applyFont="1" applyNumberFormat="1">
      <alignment vertical="center"/>
    </xf>
    <xf borderId="4" fillId="5" fontId="19" numFmtId="175" xfId="0" applyAlignment="1" applyBorder="1" applyFill="1" applyFont="1" applyNumberFormat="1">
      <alignment vertical="center"/>
    </xf>
    <xf borderId="4" fillId="21" fontId="19" numFmtId="0" xfId="0" applyAlignment="1" applyBorder="1" applyFill="1" applyFont="1">
      <alignment shrinkToFit="0" vertical="center" wrapText="1"/>
    </xf>
    <xf borderId="4" fillId="21" fontId="19" numFmtId="166" xfId="0" applyAlignment="1" applyBorder="1" applyFill="1" applyFont="1" applyNumberFormat="1">
      <alignment horizontal="center" vertical="center"/>
    </xf>
    <xf borderId="4" fillId="0" fontId="12" numFmtId="0" xfId="0" applyAlignment="1" applyBorder="1" applyFont="1">
      <alignment shrinkToFit="0" vertical="center" wrapText="1"/>
    </xf>
    <xf borderId="4" fillId="0" fontId="12" numFmtId="166" xfId="0" applyAlignment="1" applyBorder="1" applyFont="1" applyNumberFormat="1">
      <alignment horizontal="center" vertical="center"/>
    </xf>
    <xf borderId="4" fillId="19" fontId="15" numFmtId="10" xfId="0" applyAlignment="1" applyBorder="1" applyFill="1" applyFont="1" applyNumberFormat="1">
      <alignment horizontal="left" vertical="center"/>
    </xf>
    <xf borderId="4" fillId="8" fontId="15" numFmtId="0" xfId="0" applyAlignment="1" applyBorder="1" applyFill="1" applyFont="1">
      <alignment horizontal="center" vertical="center"/>
    </xf>
    <xf borderId="4" fillId="8" fontId="28" numFmtId="170" xfId="0" applyAlignment="1" applyBorder="1" applyFill="1" applyFont="1" applyNumberFormat="1">
      <alignment horizontal="center" vertical="center"/>
    </xf>
    <xf borderId="4" fillId="8" fontId="28" numFmtId="14" xfId="0" applyAlignment="1" applyBorder="1" applyFill="1" applyFont="1" applyNumberFormat="1">
      <alignment horizontal="center" vertical="center"/>
    </xf>
    <xf quotePrefix="1" borderId="4" fillId="8" fontId="28" numFmtId="172" xfId="0" applyAlignment="1" applyBorder="1" applyFill="1" applyFont="1" applyNumberFormat="1">
      <alignment horizontal="center" vertical="center"/>
    </xf>
    <xf borderId="4" fillId="8" fontId="28" numFmtId="14" xfId="0" applyAlignment="1" applyBorder="1" applyFill="1" applyFont="1" applyNumberFormat="1">
      <alignment horizontal="left" vertical="center"/>
    </xf>
    <xf borderId="4" fillId="8" fontId="15" numFmtId="0" xfId="0" applyAlignment="1" applyBorder="1" applyFill="1" applyFont="1">
      <alignment horizontal="left" vertical="center"/>
    </xf>
    <xf borderId="4" fillId="8" fontId="28" numFmtId="164" xfId="0" applyAlignment="1" applyBorder="1" applyFill="1" applyFont="1" applyNumberFormat="1">
      <alignment horizontal="right" vertical="center"/>
    </xf>
    <xf borderId="4" fillId="8" fontId="15" numFmtId="167" xfId="0" applyAlignment="1" applyBorder="1" applyFill="1" applyFont="1" applyNumberFormat="1">
      <alignment horizontal="right" vertical="center"/>
    </xf>
    <xf borderId="4" fillId="8" fontId="15" numFmtId="164" xfId="0" applyAlignment="1" applyBorder="1" applyFill="1" applyFont="1" applyNumberFormat="1">
      <alignment horizontal="right" vertical="center"/>
    </xf>
    <xf borderId="4" fillId="8" fontId="15" numFmtId="166" xfId="0" applyAlignment="1" applyBorder="1" applyFill="1" applyFont="1" applyNumberFormat="1">
      <alignment horizontal="right" vertical="center"/>
    </xf>
    <xf borderId="4" fillId="8" fontId="28" numFmtId="167" xfId="0" applyAlignment="1" applyBorder="1" applyFill="1" applyFont="1" applyNumberFormat="1">
      <alignment horizontal="right" vertical="center"/>
    </xf>
    <xf borderId="4" fillId="8" fontId="28" numFmtId="173" xfId="0" applyAlignment="1" applyBorder="1" applyFill="1" applyFont="1" applyNumberFormat="1">
      <alignment horizontal="right" vertical="center"/>
    </xf>
    <xf borderId="4" fillId="8" fontId="28" numFmtId="171" xfId="0" applyAlignment="1" applyBorder="1" applyFill="1" applyFont="1" applyNumberFormat="1">
      <alignment horizontal="right" vertical="center"/>
    </xf>
    <xf borderId="4" fillId="8" fontId="28" numFmtId="166" xfId="0" applyAlignment="1" applyBorder="1" applyFill="1" applyFont="1" applyNumberFormat="1">
      <alignment horizontal="right" vertical="center"/>
    </xf>
    <xf borderId="4" fillId="8" fontId="28" numFmtId="166" xfId="0" applyAlignment="1" applyBorder="1" applyFill="1" applyFont="1" applyNumberFormat="1">
      <alignment horizontal="center" vertical="center"/>
    </xf>
    <xf borderId="4" fillId="8" fontId="15" numFmtId="166" xfId="0" applyAlignment="1" applyBorder="1" applyFill="1" applyFont="1" applyNumberFormat="1">
      <alignment vertical="center"/>
    </xf>
    <xf borderId="4" fillId="8" fontId="15" numFmtId="10" xfId="0" applyAlignment="1" applyBorder="1" applyFill="1" applyFont="1" applyNumberFormat="1">
      <alignment horizontal="right" vertical="center"/>
    </xf>
    <xf borderId="4" fillId="8" fontId="15" numFmtId="10" xfId="0" applyAlignment="1" applyBorder="1" applyFill="1" applyFont="1" applyNumberFormat="1">
      <alignment horizontal="center" vertical="center"/>
    </xf>
    <xf borderId="4" fillId="8" fontId="15" numFmtId="10" xfId="0" applyAlignment="1" applyBorder="1" applyFill="1" applyFont="1" applyNumberFormat="1">
      <alignment horizontal="left" vertical="center"/>
    </xf>
    <xf borderId="4" fillId="8" fontId="15" numFmtId="0" xfId="0" applyAlignment="1" applyBorder="1" applyFill="1" applyFont="1">
      <alignment vertical="center"/>
    </xf>
    <xf borderId="4" fillId="8" fontId="15" numFmtId="2" xfId="0" applyAlignment="1" applyBorder="1" applyFill="1" applyFont="1" applyNumberFormat="1">
      <alignment horizontal="center" vertical="center"/>
    </xf>
    <xf borderId="4" fillId="8" fontId="28" numFmtId="167" xfId="0" applyAlignment="1" applyBorder="1" applyFill="1" applyFont="1" applyNumberFormat="1">
      <alignment horizontal="center" vertical="center"/>
    </xf>
    <xf borderId="4" fillId="8" fontId="28" numFmtId="0" xfId="0" applyAlignment="1" applyBorder="1" applyFill="1" applyFont="1">
      <alignment horizontal="center" vertical="center"/>
    </xf>
    <xf borderId="4" fillId="19" fontId="19" numFmtId="0" xfId="0" applyAlignment="1" applyBorder="1" applyFill="1" applyFont="1">
      <alignment vertical="center"/>
    </xf>
    <xf borderId="4" fillId="19" fontId="19" numFmtId="166" xfId="0" applyAlignment="1" applyBorder="1" applyFill="1" applyFont="1" applyNumberFormat="1">
      <alignment horizontal="center" vertical="center"/>
    </xf>
    <xf borderId="4" fillId="0" fontId="12" numFmtId="0" xfId="0" applyAlignment="1" applyBorder="1" applyFont="1">
      <alignment vertical="center"/>
    </xf>
    <xf borderId="4" fillId="22" fontId="19" numFmtId="0" xfId="0" applyAlignment="1" applyBorder="1" applyFill="1" applyFont="1">
      <alignment vertical="center"/>
    </xf>
    <xf borderId="4" fillId="22" fontId="19" numFmtId="166" xfId="0" applyAlignment="1" applyBorder="1" applyFill="1" applyFont="1" applyNumberFormat="1">
      <alignment horizontal="center" vertical="center"/>
    </xf>
    <xf borderId="4" fillId="23" fontId="19" numFmtId="0" xfId="0" applyAlignment="1" applyBorder="1" applyFill="1" applyFont="1">
      <alignment horizontal="left" shrinkToFit="0" vertical="center" wrapText="1"/>
    </xf>
    <xf borderId="4" fillId="23" fontId="19" numFmtId="166" xfId="0" applyAlignment="1" applyBorder="1" applyFill="1" applyFont="1" applyNumberFormat="1">
      <alignment horizontal="center" vertical="center"/>
    </xf>
    <xf borderId="4" fillId="24" fontId="19" numFmtId="0" xfId="0" applyAlignment="1" applyBorder="1" applyFill="1" applyFont="1">
      <alignment horizontal="left" shrinkToFit="0" vertical="center" wrapText="1"/>
    </xf>
    <xf borderId="4" fillId="24" fontId="12" numFmtId="166" xfId="0" applyAlignment="1" applyBorder="1" applyFill="1" applyFont="1" applyNumberFormat="1">
      <alignment horizontal="center" vertical="center"/>
    </xf>
    <xf borderId="4" fillId="7" fontId="19" numFmtId="0" xfId="0" applyAlignment="1" applyBorder="1" applyFill="1" applyFont="1">
      <alignment horizontal="left" shrinkToFit="0" vertical="center" wrapText="1"/>
    </xf>
    <xf borderId="4" fillId="7" fontId="19" numFmtId="166" xfId="0" applyAlignment="1" applyBorder="1" applyFill="1" applyFont="1" applyNumberFormat="1">
      <alignment horizontal="center" vertical="center"/>
    </xf>
    <xf borderId="4" fillId="25" fontId="19" numFmtId="0" xfId="0" applyAlignment="1" applyBorder="1" applyFill="1" applyFont="1">
      <alignment vertical="center"/>
    </xf>
    <xf borderId="4" fillId="25" fontId="19" numFmtId="166" xfId="0" applyAlignment="1" applyBorder="1" applyFill="1" applyFont="1" applyNumberFormat="1">
      <alignment horizontal="center" vertical="center"/>
    </xf>
    <xf borderId="4" fillId="26" fontId="12" numFmtId="0" xfId="0" applyAlignment="1" applyBorder="1" applyFill="1" applyFont="1">
      <alignment vertical="center"/>
    </xf>
    <xf borderId="4" fillId="26" fontId="12" numFmtId="166" xfId="0" applyAlignment="1" applyBorder="1" applyFill="1" applyFont="1" applyNumberFormat="1">
      <alignment vertical="center"/>
    </xf>
    <xf borderId="4" fillId="26" fontId="12" numFmtId="0" xfId="0" applyAlignment="1" applyBorder="1" applyFill="1" applyFont="1">
      <alignment shrinkToFit="0" vertical="center" wrapText="1"/>
    </xf>
    <xf borderId="4" fillId="0" fontId="12" numFmtId="166" xfId="0" applyAlignment="1" applyBorder="1" applyFont="1" applyNumberFormat="1">
      <alignment vertical="center"/>
    </xf>
    <xf borderId="4" fillId="21" fontId="19" numFmtId="0" xfId="0" applyAlignment="1" applyBorder="1" applyFill="1" applyFont="1">
      <alignment horizontal="left" shrinkToFit="0" vertical="center" wrapText="1"/>
    </xf>
    <xf borderId="4" fillId="21" fontId="12" numFmtId="166" xfId="0" applyAlignment="1" applyBorder="1" applyFill="1" applyFont="1" applyNumberFormat="1">
      <alignment vertical="center"/>
    </xf>
    <xf borderId="4" fillId="16" fontId="28" numFmtId="168" xfId="0" applyAlignment="1" applyBorder="1" applyFill="1" applyFont="1" applyNumberFormat="1">
      <alignment horizontal="right" vertical="center"/>
    </xf>
    <xf borderId="4" fillId="21" fontId="34" numFmtId="166" xfId="0" applyAlignment="1" applyBorder="1" applyFill="1" applyFont="1" applyNumberFormat="1">
      <alignment vertical="center"/>
    </xf>
    <xf borderId="4" fillId="0" fontId="28" numFmtId="168" xfId="0" applyAlignment="1" applyBorder="1" applyFont="1" applyNumberFormat="1">
      <alignment horizontal="center" vertical="center"/>
    </xf>
    <xf borderId="4" fillId="19" fontId="19" numFmtId="0" xfId="0" applyAlignment="1" applyBorder="1" applyFill="1" applyFont="1">
      <alignment horizontal="left" shrinkToFit="0" vertical="center" wrapText="1"/>
    </xf>
    <xf borderId="4" fillId="0" fontId="35" numFmtId="0" xfId="0" applyAlignment="1" applyBorder="1" applyFont="1">
      <alignment horizontal="center" vertical="center"/>
    </xf>
    <xf borderId="4" fillId="0" fontId="28" numFmtId="164" xfId="0" applyAlignment="1" applyBorder="1" applyFont="1" applyNumberFormat="1">
      <alignment vertical="center"/>
    </xf>
    <xf borderId="4" fillId="16" fontId="28" numFmtId="167" xfId="0" applyAlignment="1" applyBorder="1" applyFill="1" applyFont="1" applyNumberFormat="1">
      <alignment vertical="center"/>
    </xf>
    <xf borderId="32" fillId="0" fontId="23" numFmtId="0" xfId="0" applyAlignment="1" applyBorder="1" applyFont="1">
      <alignment horizontal="center" vertical="center"/>
    </xf>
    <xf borderId="26" fillId="4" fontId="19" numFmtId="0" xfId="0" applyAlignment="1" applyBorder="1" applyFill="1" applyFont="1">
      <alignment horizontal="center" shrinkToFit="0" vertical="center" wrapText="1"/>
    </xf>
    <xf borderId="26" fillId="5" fontId="19" numFmtId="0" xfId="0" applyAlignment="1" applyBorder="1" applyFill="1" applyFont="1">
      <alignment horizontal="center" shrinkToFit="0" vertical="center" wrapText="1"/>
    </xf>
    <xf borderId="4" fillId="0" fontId="12" numFmtId="0" xfId="0" applyBorder="1" applyFont="1"/>
    <xf borderId="4" fillId="0" fontId="12" numFmtId="0" xfId="0" applyAlignment="1" applyBorder="1" applyFont="1">
      <alignment horizontal="left"/>
    </xf>
    <xf borderId="4" fillId="0" fontId="36" numFmtId="10" xfId="0" applyAlignment="1" applyBorder="1" applyFont="1" applyNumberFormat="1">
      <alignment horizontal="center"/>
    </xf>
    <xf borderId="4" fillId="0" fontId="19" numFmtId="0" xfId="0" applyAlignment="1" applyBorder="1" applyFont="1">
      <alignment vertical="center"/>
    </xf>
    <xf borderId="4" fillId="0" fontId="10" numFmtId="0" xfId="0" applyBorder="1" applyFont="1"/>
    <xf borderId="4" fillId="0" fontId="10" numFmtId="0" xfId="0" applyAlignment="1" applyBorder="1" applyFont="1">
      <alignment horizontal="left"/>
    </xf>
    <xf borderId="4" fillId="0" fontId="37" numFmtId="10" xfId="0" applyAlignment="1" applyBorder="1" applyFont="1" applyNumberFormat="1">
      <alignment horizontal="center"/>
    </xf>
    <xf borderId="4" fillId="0" fontId="12" numFmtId="164" xfId="0" applyAlignment="1" applyBorder="1" applyFont="1" applyNumberFormat="1">
      <alignment vertical="center"/>
    </xf>
    <xf borderId="4" fillId="2" fontId="10" numFmtId="0" xfId="0" applyAlignment="1" applyBorder="1" applyFill="1" applyFont="1">
      <alignment horizontal="left"/>
    </xf>
    <xf borderId="4" fillId="0" fontId="38" numFmtId="0" xfId="0" applyAlignment="1" applyBorder="1" applyFont="1">
      <alignment horizontal="center" vertical="center"/>
    </xf>
    <xf borderId="4" fillId="2" fontId="10" numFmtId="0" xfId="0" applyBorder="1" applyFill="1" applyFont="1"/>
    <xf borderId="4" fillId="0" fontId="4" numFmtId="0" xfId="0" applyBorder="1" applyFont="1"/>
    <xf borderId="17" fillId="8" fontId="39" numFmtId="164" xfId="0" applyAlignment="1" applyBorder="1" applyFill="1" applyFont="1" applyNumberFormat="1">
      <alignment horizontal="center" shrinkToFit="0" wrapText="1"/>
    </xf>
    <xf borderId="4" fillId="14" fontId="6" numFmtId="167" xfId="0" applyAlignment="1" applyBorder="1" applyFill="1" applyFont="1" applyNumberFormat="1">
      <alignment horizontal="center" shrinkToFit="0" vertical="center" wrapText="0"/>
    </xf>
    <xf borderId="32" fillId="0" fontId="24" numFmtId="0" xfId="0" applyAlignment="1" applyBorder="1" applyFont="1">
      <alignment horizontal="center" vertical="center"/>
    </xf>
    <xf borderId="4" fillId="0" fontId="24" numFmtId="0" xfId="0" applyAlignment="1" applyBorder="1" applyFont="1">
      <alignment horizontal="center" vertical="center"/>
    </xf>
    <xf borderId="4" fillId="0" fontId="40" numFmtId="0" xfId="0" applyAlignment="1" applyBorder="1" applyFont="1">
      <alignment horizontal="center" vertical="center"/>
    </xf>
    <xf borderId="4" fillId="0" fontId="40" numFmtId="176" xfId="0" applyAlignment="1" applyBorder="1" applyFont="1" applyNumberFormat="1">
      <alignment horizontal="center" vertical="center"/>
    </xf>
    <xf borderId="4" fillId="0" fontId="40" numFmtId="2" xfId="0" applyAlignment="1" applyBorder="1" applyFont="1" applyNumberFormat="1">
      <alignment horizontal="center" vertical="center"/>
    </xf>
    <xf borderId="0" fillId="0" fontId="40" numFmtId="0" xfId="0" applyFont="1"/>
    <xf borderId="0" fillId="0" fontId="24" numFmtId="0" xfId="0" applyAlignment="1" applyFont="1">
      <alignment horizontal="center" vertical="center"/>
    </xf>
    <xf borderId="17" fillId="8" fontId="10" numFmtId="13" xfId="0" applyAlignment="1" applyBorder="1" applyFill="1" applyFont="1" applyNumberFormat="1">
      <alignment shrinkToFit="0" wrapText="1"/>
    </xf>
    <xf borderId="4" fillId="0" fontId="38" numFmtId="0" xfId="0" applyAlignment="1" applyBorder="1" applyFont="1">
      <alignment horizontal="center" shrinkToFit="0" vertical="center" wrapText="1"/>
    </xf>
    <xf borderId="17" fillId="10" fontId="10" numFmtId="164" xfId="0" applyAlignment="1" applyBorder="1" applyFill="1" applyFont="1" applyNumberFormat="1">
      <alignment shrinkToFit="0" wrapText="1"/>
    </xf>
    <xf borderId="17" fillId="10" fontId="10" numFmtId="164" xfId="0" applyAlignment="1" applyBorder="1" applyFill="1" applyFont="1" applyNumberFormat="1">
      <alignment horizontal="center" shrinkToFit="0" wrapText="1"/>
    </xf>
    <xf borderId="17" fillId="10" fontId="10" numFmtId="165" xfId="0" applyAlignment="1" applyBorder="1" applyFill="1" applyFont="1" applyNumberFormat="1">
      <alignment horizontal="center" shrinkToFit="0" wrapText="1"/>
    </xf>
    <xf borderId="17" fillId="10" fontId="10" numFmtId="164" xfId="0" applyAlignment="1" applyBorder="1" applyFill="1" applyFont="1" applyNumberFormat="1">
      <alignment horizontal="left" shrinkToFit="0" wrapText="1"/>
    </xf>
    <xf borderId="17" fillId="10" fontId="10" numFmtId="166" xfId="0" applyAlignment="1" applyBorder="1" applyFill="1" applyFont="1" applyNumberFormat="1">
      <alignment shrinkToFit="0" wrapText="1"/>
    </xf>
    <xf borderId="17" fillId="2" fontId="10" numFmtId="164" xfId="0" applyAlignment="1" applyBorder="1" applyFill="1" applyFont="1" applyNumberFormat="1">
      <alignment shrinkToFit="0" wrapText="1"/>
    </xf>
    <xf borderId="17" fillId="2" fontId="10" numFmtId="164" xfId="0" applyAlignment="1" applyBorder="1" applyFill="1" applyFont="1" applyNumberFormat="1">
      <alignment horizontal="center" shrinkToFit="0" wrapText="1"/>
    </xf>
    <xf borderId="17" fillId="2" fontId="10" numFmtId="165" xfId="0" applyAlignment="1" applyBorder="1" applyFill="1" applyFont="1" applyNumberFormat="1">
      <alignment horizontal="center" shrinkToFit="0" wrapText="1"/>
    </xf>
    <xf borderId="17" fillId="2" fontId="10" numFmtId="164" xfId="0" applyAlignment="1" applyBorder="1" applyFill="1" applyFont="1" applyNumberFormat="1">
      <alignment horizontal="left" shrinkToFit="0" wrapText="1"/>
    </xf>
    <xf borderId="17" fillId="2" fontId="10" numFmtId="166" xfId="0" applyAlignment="1" applyBorder="1" applyFill="1" applyFont="1" applyNumberFormat="1">
      <alignment shrinkToFit="0" wrapText="1"/>
    </xf>
    <xf borderId="8" fillId="2" fontId="6" numFmtId="0" xfId="0" applyAlignment="1" applyBorder="1" applyFill="1" applyFont="1">
      <alignment horizontal="center" shrinkToFit="0" vertical="center" wrapText="0"/>
    </xf>
    <xf borderId="26" fillId="0" fontId="6" numFmtId="167" xfId="0" applyAlignment="1" applyBorder="1" applyFont="1" applyNumberFormat="1">
      <alignment shrinkToFit="0" vertical="center" wrapText="1"/>
    </xf>
    <xf borderId="26" fillId="0" fontId="6" numFmtId="167" xfId="0" applyAlignment="1" applyBorder="1" applyFont="1" applyNumberFormat="1">
      <alignment horizontal="right" shrinkToFit="0" vertical="center" wrapText="0"/>
    </xf>
    <xf borderId="8" fillId="14" fontId="6" numFmtId="167" xfId="0" applyAlignment="1" applyBorder="1" applyFill="1" applyFont="1" applyNumberFormat="1">
      <alignment horizontal="center" shrinkToFit="0" vertical="center" wrapText="1"/>
    </xf>
    <xf borderId="26" fillId="0" fontId="6" numFmtId="164" xfId="0" applyAlignment="1" applyBorder="1" applyFont="1" applyNumberFormat="1">
      <alignment horizontal="left" shrinkToFit="0" vertical="center" wrapText="0"/>
    </xf>
    <xf borderId="26" fillId="0" fontId="6" numFmtId="166" xfId="0" applyAlignment="1" applyBorder="1" applyFont="1" applyNumberFormat="1">
      <alignment horizontal="left" shrinkToFit="0" vertical="center" wrapText="0"/>
    </xf>
    <xf borderId="27" fillId="0" fontId="6" numFmtId="0" xfId="0" applyAlignment="1" applyBorder="1" applyFont="1">
      <alignment shrinkToFit="0" vertical="center" wrapText="0"/>
    </xf>
    <xf borderId="0" fillId="0" fontId="6" numFmtId="0" xfId="0" applyAlignment="1" applyFont="1">
      <alignment horizontal="left" vertical="center"/>
    </xf>
    <xf borderId="22" fillId="14" fontId="6" numFmtId="167" xfId="0" applyAlignment="1" applyBorder="1" applyFill="1" applyFont="1" applyNumberFormat="1">
      <alignment horizontal="center" vertical="center"/>
    </xf>
    <xf borderId="0" fillId="0" fontId="6" numFmtId="168" xfId="0" applyAlignment="1" applyFont="1" applyNumberFormat="1">
      <alignment vertical="center"/>
    </xf>
    <xf borderId="0" fillId="0" fontId="6" numFmtId="0" xfId="0" applyFont="1"/>
    <xf borderId="0" fillId="0" fontId="6" numFmtId="13" xfId="0" applyAlignment="1" applyFont="1" applyNumberFormat="1">
      <alignment vertical="center"/>
    </xf>
    <xf borderId="4" fillId="2" fontId="28" numFmtId="173" xfId="0" applyAlignment="1" applyBorder="1" applyFill="1" applyFont="1" applyNumberFormat="1">
      <alignment horizontal="right" vertical="center"/>
    </xf>
    <xf borderId="4" fillId="2" fontId="28" numFmtId="166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left style="thin">
          <color rgb="FFEAF1DD"/>
        </left>
        <right style="thin">
          <color rgb="FFEAF1DD"/>
        </right>
        <top style="thin">
          <color rgb="FFEAF1DD"/>
        </top>
        <bottom style="thin">
          <color rgb="FFEAF1DD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AEEF3"/>
          <bgColor rgb="FFDAEEF3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C2D69B"/>
          <bgColor rgb="FFC2D69B"/>
        </patternFill>
      </fill>
      <border/>
    </dxf>
  </dxfs>
  <tableStyles count="4">
    <tableStyle count="4" pivot="0" name="BÁN TP-style">
      <tableStyleElement dxfId="1" type="headerRow"/>
      <tableStyleElement dxfId="3" type="firstRowStripe"/>
      <tableStyleElement dxfId="3" type="secondRowStripe"/>
      <tableStyleElement dxfId="5" size="0" type="wholeTable"/>
    </tableStyle>
    <tableStyle count="5" pivot="0" name="THÀNH PHẨM-style">
      <tableStyleElement dxfId="2" type="headerRow"/>
      <tableStyleElement dxfId="4" type="firstRowStripe"/>
      <tableStyleElement dxfId="2" type="secondRowStripe"/>
      <tableStyleElement dxfId="2" type="totalRow"/>
      <tableStyleElement dxfId="6" size="0" type="wholeTable"/>
    </tableStyle>
    <tableStyle count="4" pivot="0" name="NVL-style">
      <tableStyleElement dxfId="3" type="headerRow"/>
      <tableStyleElement dxfId="2" type="firstRowStripe"/>
      <tableStyleElement dxfId="3" type="secondRowStripe"/>
      <tableStyleElement dxfId="7" size="0" type="wholeTable"/>
    </tableStyle>
    <tableStyle count="4" pivot="0" name="VẬT TƯ-style">
      <tableStyleElement dxfId="3" type="headerRow"/>
      <tableStyleElement dxfId="8" type="firstRowStripe"/>
      <tableStyleElement dxfId="3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0</xdr:rowOff>
    </xdr:from>
    <xdr:ext cx="2247900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3228975" cy="1981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8:M21" displayName="Table1" name="Table1" id="1">
  <tableColumns count="13">
    <tableColumn name="STT" id="1"/>
    <tableColumn name="MÃ TP" id="2"/>
    <tableColumn name="TÊN HÀNG" id="3"/>
    <tableColumn name="ĐL_x000a_(GSM)" id="4"/>
    <tableColumn name="KHỔ_x000a_(MM)" id="5"/>
    <tableColumn name="DÀI_x000a_(M)" id="6"/>
    <tableColumn name="ĐVT" id="7"/>
    <tableColumn name="TỒN_x000a_ĐK" id="8"/>
    <tableColumn name="NHẬP" id="9"/>
    <tableColumn name="XUẤT" id="10"/>
    <tableColumn name="TỒN_x000a_CK" id="11"/>
    <tableColumn name="GHI CHÚ" id="12"/>
    <tableColumn name="TÌNH TRẠNG HÀNG HÓA" id="13"/>
  </tableColumns>
  <tableStyleInfo name="THÀNH PHẨM-style" showColumnStripes="0" showFirstColumn="1" showLastColumn="1" showRowStripes="1"/>
</table>
</file>

<file path=xl/tables/table2.xml><?xml version="1.0" encoding="utf-8"?>
<table xmlns="http://schemas.openxmlformats.org/spreadsheetml/2006/main" ref="A2:J17" displayName="Table2" name="Table2" id="2">
  <tableColumns count="10">
    <tableColumn name="STT" id="1"/>
    <tableColumn name="MÃ BTP" id="2"/>
    <tableColumn name="TÊN HÀNG" id="3"/>
    <tableColumn name="ĐL_x000a_(GSM)" id="4"/>
    <tableColumn name="KHỔ_x000a_(MM)" id="5"/>
    <tableColumn name="DÀI_x000a_(M)" id="6"/>
    <tableColumn name="ĐVT" id="7"/>
    <tableColumn name="TỒN_x000a_CUỘN" id="8"/>
    <tableColumn name="KG" id="9"/>
    <tableColumn name="GHI CHÚ" id="10"/>
  </tableColumns>
  <tableStyleInfo name="BÁN TP-style" showColumnStripes="0" showFirstColumn="1" showLastColumn="1" showRowStripes="1"/>
</table>
</file>

<file path=xl/tables/table3.xml><?xml version="1.0" encoding="utf-8"?>
<table xmlns="http://schemas.openxmlformats.org/spreadsheetml/2006/main" ref="A10:L612" displayName="Table15" name="Table15" id="3">
  <tableColumns count="12">
    <tableColumn name="STT" id="1"/>
    <tableColumn name="MÃ HÀNG" id="2"/>
    <tableColumn name="TÊN HÀNG" id="3"/>
    <tableColumn name="ĐL" id="4"/>
    <tableColumn name="KHỔ" id="5"/>
    <tableColumn name="DÀI" id="6"/>
    <tableColumn name="ĐVT" id="7"/>
    <tableColumn name="TỒN ĐẦU" id="8"/>
    <tableColumn name="NHẬP" id="9"/>
    <tableColumn name="XUẤT" id="10"/>
    <tableColumn name="TỒN CUỒI" id="11"/>
    <tableColumn name="GHI CHÚ" id="12"/>
  </tableColumns>
  <tableStyleInfo name="NVL-style" showColumnStripes="0" showFirstColumn="1" showLastColumn="1" showRowStripes="1"/>
</table>
</file>

<file path=xl/tables/table4.xml><?xml version="1.0" encoding="utf-8"?>
<table xmlns="http://schemas.openxmlformats.org/spreadsheetml/2006/main" ref="A3:I16" displayName="Table3" name="Table3" id="4">
  <tableColumns count="9">
    <tableColumn name="STT" id="1"/>
    <tableColumn name="MÃ HÀNG" id="2"/>
    <tableColumn name="TÊN HÀNG" id="3"/>
    <tableColumn name="ĐVT" id="4"/>
    <tableColumn name="TỒN_x000a_ ĐẦU" id="5"/>
    <tableColumn name="NHẬP" id="6"/>
    <tableColumn name="XUẤT" id="7"/>
    <tableColumn name="TỒN " id="8"/>
    <tableColumn name="GHI CHÚ" id="9"/>
  </tableColumns>
  <tableStyleInfo name="VẬT T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5.57"/>
    <col customWidth="1" hidden="1" min="2" max="3" width="14.57"/>
    <col customWidth="1" hidden="1" min="4" max="4" width="14.29"/>
    <col customWidth="1" min="5" max="6" width="14.57"/>
    <col customWidth="1" min="7" max="7" width="15.57"/>
    <col customWidth="1" min="8" max="9" width="14.57"/>
    <col customWidth="1" min="10" max="10" width="16.86"/>
    <col customWidth="1" min="11" max="12" width="14.57"/>
    <col customWidth="1" min="13" max="13" width="17.86"/>
    <col customWidth="1" min="14" max="15" width="9.14"/>
    <col customWidth="1" min="16" max="16" width="10.29"/>
    <col customWidth="1" min="17" max="26" width="9.14"/>
  </cols>
  <sheetData>
    <row r="1" ht="41.2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6.75" customHeight="1">
      <c r="A2" s="13" t="s">
        <v>1</v>
      </c>
      <c r="B2" s="15" t="s">
        <v>2</v>
      </c>
      <c r="C2" s="16"/>
      <c r="D2" s="17"/>
      <c r="E2" s="15" t="s">
        <v>4</v>
      </c>
      <c r="F2" s="16"/>
      <c r="G2" s="17"/>
      <c r="H2" s="15" t="s">
        <v>5</v>
      </c>
      <c r="I2" s="16"/>
      <c r="J2" s="17"/>
      <c r="K2" s="15" t="s">
        <v>7</v>
      </c>
      <c r="L2" s="16"/>
      <c r="M2" s="17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1" t="s">
        <v>10</v>
      </c>
      <c r="B3" s="23" t="s">
        <v>12</v>
      </c>
      <c r="C3" s="23" t="s">
        <v>13</v>
      </c>
      <c r="D3" s="23" t="s">
        <v>14</v>
      </c>
      <c r="E3" s="26" t="s">
        <v>15</v>
      </c>
      <c r="F3" s="26" t="s">
        <v>17</v>
      </c>
      <c r="G3" s="26" t="s">
        <v>18</v>
      </c>
      <c r="H3" s="26" t="s">
        <v>19</v>
      </c>
      <c r="I3" s="26" t="s">
        <v>20</v>
      </c>
      <c r="J3" s="26" t="s">
        <v>22</v>
      </c>
      <c r="K3" s="26" t="s">
        <v>23</v>
      </c>
      <c r="L3" s="26" t="s">
        <v>24</v>
      </c>
      <c r="M3" s="26" t="s">
        <v>26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30" t="s">
        <v>29</v>
      </c>
      <c r="B4" s="32">
        <v>0.0</v>
      </c>
      <c r="C4" s="32">
        <v>0.0</v>
      </c>
      <c r="D4" s="32">
        <v>0.0</v>
      </c>
      <c r="E4" s="38" t="str">
        <f t="shared" ref="E4:E26" si="1">SUMIF(#REF!,A4,#REF!)</f>
        <v>#N/A</v>
      </c>
      <c r="F4" s="38" t="str">
        <f t="shared" ref="F4:F26" si="2">SUMIF(#REF!,A4,#REF!)</f>
        <v>#N/A</v>
      </c>
      <c r="G4" s="38" t="str">
        <f t="shared" ref="G4:G26" si="3">SUMIF(#REF!,A4,#REF!)</f>
        <v>#N/A</v>
      </c>
      <c r="H4" s="44" t="str">
        <f t="shared" ref="H4:H26" si="4">SUMIF(#REF!,A4,#REF!)</f>
        <v>#N/A</v>
      </c>
      <c r="I4" s="44" t="str">
        <f t="shared" ref="I4:I26" si="5">SUMIF(#REF!,A4,#REF!)</f>
        <v>#N/A</v>
      </c>
      <c r="J4" s="44" t="str">
        <f t="shared" ref="J4:J26" si="6">SUMIF(#REF!,A4,#REF!)</f>
        <v>#N/A</v>
      </c>
      <c r="K4" s="45" t="str">
        <f t="shared" ref="K4:K26" si="7">SUMIF(#REF!,A4,#REF!)</f>
        <v>#N/A</v>
      </c>
      <c r="L4" s="45" t="str">
        <f t="shared" ref="L4:L26" si="8">SUMIF(#REF!,A4,#REF!)</f>
        <v>#N/A</v>
      </c>
      <c r="M4" s="46" t="str">
        <f t="shared" ref="M4:M26" si="9">SUMIF(#REF!,A4,#REF!)</f>
        <v>#N/A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30" t="s">
        <v>37</v>
      </c>
      <c r="B5" s="32">
        <v>0.0</v>
      </c>
      <c r="C5" s="32">
        <v>0.0</v>
      </c>
      <c r="D5" s="32">
        <v>0.0</v>
      </c>
      <c r="E5" s="38" t="str">
        <f t="shared" si="1"/>
        <v>#N/A</v>
      </c>
      <c r="F5" s="38" t="str">
        <f t="shared" si="2"/>
        <v>#N/A</v>
      </c>
      <c r="G5" s="38" t="str">
        <f t="shared" si="3"/>
        <v>#N/A</v>
      </c>
      <c r="H5" s="44" t="str">
        <f t="shared" si="4"/>
        <v>#N/A</v>
      </c>
      <c r="I5" s="44" t="str">
        <f t="shared" si="5"/>
        <v>#N/A</v>
      </c>
      <c r="J5" s="44" t="str">
        <f t="shared" si="6"/>
        <v>#N/A</v>
      </c>
      <c r="K5" s="45" t="str">
        <f t="shared" si="7"/>
        <v>#N/A</v>
      </c>
      <c r="L5" s="45" t="str">
        <f t="shared" si="8"/>
        <v>#N/A</v>
      </c>
      <c r="M5" s="46" t="str">
        <f t="shared" si="9"/>
        <v>#N/A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30" t="s">
        <v>38</v>
      </c>
      <c r="B6" s="32">
        <v>0.0</v>
      </c>
      <c r="C6" s="32">
        <v>0.0</v>
      </c>
      <c r="D6" s="32">
        <v>0.0</v>
      </c>
      <c r="E6" s="38" t="str">
        <f t="shared" si="1"/>
        <v>#N/A</v>
      </c>
      <c r="F6" s="38" t="str">
        <f t="shared" si="2"/>
        <v>#N/A</v>
      </c>
      <c r="G6" s="38" t="str">
        <f t="shared" si="3"/>
        <v>#N/A</v>
      </c>
      <c r="H6" s="44" t="str">
        <f t="shared" si="4"/>
        <v>#N/A</v>
      </c>
      <c r="I6" s="44" t="str">
        <f t="shared" si="5"/>
        <v>#N/A</v>
      </c>
      <c r="J6" s="44" t="str">
        <f t="shared" si="6"/>
        <v>#N/A</v>
      </c>
      <c r="K6" s="45" t="str">
        <f t="shared" si="7"/>
        <v>#N/A</v>
      </c>
      <c r="L6" s="45" t="str">
        <f t="shared" si="8"/>
        <v>#N/A</v>
      </c>
      <c r="M6" s="46" t="str">
        <f t="shared" si="9"/>
        <v>#N/A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30" t="s">
        <v>40</v>
      </c>
      <c r="B7" s="32">
        <v>0.0</v>
      </c>
      <c r="C7" s="32">
        <v>0.0</v>
      </c>
      <c r="D7" s="32">
        <v>0.0</v>
      </c>
      <c r="E7" s="38" t="str">
        <f t="shared" si="1"/>
        <v>#N/A</v>
      </c>
      <c r="F7" s="38" t="str">
        <f t="shared" si="2"/>
        <v>#N/A</v>
      </c>
      <c r="G7" s="38" t="str">
        <f t="shared" si="3"/>
        <v>#N/A</v>
      </c>
      <c r="H7" s="44" t="str">
        <f t="shared" si="4"/>
        <v>#N/A</v>
      </c>
      <c r="I7" s="44" t="str">
        <f t="shared" si="5"/>
        <v>#N/A</v>
      </c>
      <c r="J7" s="44" t="str">
        <f t="shared" si="6"/>
        <v>#N/A</v>
      </c>
      <c r="K7" s="45" t="str">
        <f t="shared" si="7"/>
        <v>#N/A</v>
      </c>
      <c r="L7" s="45" t="str">
        <f t="shared" si="8"/>
        <v>#N/A</v>
      </c>
      <c r="M7" s="46" t="str">
        <f t="shared" si="9"/>
        <v>#N/A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30" t="s">
        <v>41</v>
      </c>
      <c r="B8" s="32">
        <v>0.0</v>
      </c>
      <c r="C8" s="32">
        <v>0.0</v>
      </c>
      <c r="D8" s="32">
        <v>0.0</v>
      </c>
      <c r="E8" s="38" t="str">
        <f t="shared" si="1"/>
        <v>#N/A</v>
      </c>
      <c r="F8" s="38" t="str">
        <f t="shared" si="2"/>
        <v>#N/A</v>
      </c>
      <c r="G8" s="38" t="str">
        <f t="shared" si="3"/>
        <v>#N/A</v>
      </c>
      <c r="H8" s="44" t="str">
        <f t="shared" si="4"/>
        <v>#N/A</v>
      </c>
      <c r="I8" s="44" t="str">
        <f t="shared" si="5"/>
        <v>#N/A</v>
      </c>
      <c r="J8" s="44" t="str">
        <f t="shared" si="6"/>
        <v>#N/A</v>
      </c>
      <c r="K8" s="45" t="str">
        <f t="shared" si="7"/>
        <v>#N/A</v>
      </c>
      <c r="L8" s="45" t="str">
        <f t="shared" si="8"/>
        <v>#N/A</v>
      </c>
      <c r="M8" s="46" t="str">
        <f t="shared" si="9"/>
        <v>#N/A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30" t="s">
        <v>42</v>
      </c>
      <c r="B9" s="32">
        <v>0.0</v>
      </c>
      <c r="C9" s="32">
        <v>0.0</v>
      </c>
      <c r="D9" s="32">
        <v>0.0</v>
      </c>
      <c r="E9" s="38" t="str">
        <f t="shared" si="1"/>
        <v>#N/A</v>
      </c>
      <c r="F9" s="38" t="str">
        <f t="shared" si="2"/>
        <v>#N/A</v>
      </c>
      <c r="G9" s="38" t="str">
        <f t="shared" si="3"/>
        <v>#N/A</v>
      </c>
      <c r="H9" s="44" t="str">
        <f t="shared" si="4"/>
        <v>#N/A</v>
      </c>
      <c r="I9" s="44" t="str">
        <f t="shared" si="5"/>
        <v>#N/A</v>
      </c>
      <c r="J9" s="44" t="str">
        <f t="shared" si="6"/>
        <v>#N/A</v>
      </c>
      <c r="K9" s="45" t="str">
        <f t="shared" si="7"/>
        <v>#N/A</v>
      </c>
      <c r="L9" s="45" t="str">
        <f t="shared" si="8"/>
        <v>#N/A</v>
      </c>
      <c r="M9" s="46" t="str">
        <f t="shared" si="9"/>
        <v>#N/A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30" t="s">
        <v>43</v>
      </c>
      <c r="B10" s="32">
        <v>0.0</v>
      </c>
      <c r="C10" s="32">
        <v>0.0</v>
      </c>
      <c r="D10" s="32">
        <v>0.0</v>
      </c>
      <c r="E10" s="38" t="str">
        <f t="shared" si="1"/>
        <v>#N/A</v>
      </c>
      <c r="F10" s="38" t="str">
        <f t="shared" si="2"/>
        <v>#N/A</v>
      </c>
      <c r="G10" s="38" t="str">
        <f t="shared" si="3"/>
        <v>#N/A</v>
      </c>
      <c r="H10" s="44" t="str">
        <f t="shared" si="4"/>
        <v>#N/A</v>
      </c>
      <c r="I10" s="44" t="str">
        <f t="shared" si="5"/>
        <v>#N/A</v>
      </c>
      <c r="J10" s="44" t="str">
        <f t="shared" si="6"/>
        <v>#N/A</v>
      </c>
      <c r="K10" s="45" t="str">
        <f t="shared" si="7"/>
        <v>#N/A</v>
      </c>
      <c r="L10" s="45" t="str">
        <f t="shared" si="8"/>
        <v>#N/A</v>
      </c>
      <c r="M10" s="46" t="str">
        <f t="shared" si="9"/>
        <v>#N/A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30" t="s">
        <v>45</v>
      </c>
      <c r="B11" s="32">
        <v>0.0</v>
      </c>
      <c r="C11" s="32">
        <v>0.0</v>
      </c>
      <c r="D11" s="32">
        <v>0.0</v>
      </c>
      <c r="E11" s="38" t="str">
        <f t="shared" si="1"/>
        <v>#N/A</v>
      </c>
      <c r="F11" s="38" t="str">
        <f t="shared" si="2"/>
        <v>#N/A</v>
      </c>
      <c r="G11" s="38" t="str">
        <f t="shared" si="3"/>
        <v>#N/A</v>
      </c>
      <c r="H11" s="44" t="str">
        <f t="shared" si="4"/>
        <v>#N/A</v>
      </c>
      <c r="I11" s="44" t="str">
        <f t="shared" si="5"/>
        <v>#N/A</v>
      </c>
      <c r="J11" s="44" t="str">
        <f t="shared" si="6"/>
        <v>#N/A</v>
      </c>
      <c r="K11" s="45" t="str">
        <f t="shared" si="7"/>
        <v>#N/A</v>
      </c>
      <c r="L11" s="45" t="str">
        <f t="shared" si="8"/>
        <v>#N/A</v>
      </c>
      <c r="M11" s="46" t="str">
        <f t="shared" si="9"/>
        <v>#N/A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30" t="s">
        <v>49</v>
      </c>
      <c r="B12" s="32">
        <v>0.0</v>
      </c>
      <c r="C12" s="32">
        <v>0.0</v>
      </c>
      <c r="D12" s="32">
        <v>0.0</v>
      </c>
      <c r="E12" s="38" t="str">
        <f t="shared" si="1"/>
        <v>#N/A</v>
      </c>
      <c r="F12" s="38" t="str">
        <f t="shared" si="2"/>
        <v>#N/A</v>
      </c>
      <c r="G12" s="38" t="str">
        <f t="shared" si="3"/>
        <v>#N/A</v>
      </c>
      <c r="H12" s="44" t="str">
        <f t="shared" si="4"/>
        <v>#N/A</v>
      </c>
      <c r="I12" s="44" t="str">
        <f t="shared" si="5"/>
        <v>#N/A</v>
      </c>
      <c r="J12" s="44" t="str">
        <f t="shared" si="6"/>
        <v>#N/A</v>
      </c>
      <c r="K12" s="45" t="str">
        <f t="shared" si="7"/>
        <v>#N/A</v>
      </c>
      <c r="L12" s="45" t="str">
        <f t="shared" si="8"/>
        <v>#N/A</v>
      </c>
      <c r="M12" s="46" t="str">
        <f t="shared" si="9"/>
        <v>#N/A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30" t="s">
        <v>51</v>
      </c>
      <c r="B13" s="32">
        <v>0.0</v>
      </c>
      <c r="C13" s="32">
        <v>0.0</v>
      </c>
      <c r="D13" s="32">
        <v>0.0</v>
      </c>
      <c r="E13" s="38" t="str">
        <f t="shared" si="1"/>
        <v>#N/A</v>
      </c>
      <c r="F13" s="38" t="str">
        <f t="shared" si="2"/>
        <v>#N/A</v>
      </c>
      <c r="G13" s="38" t="str">
        <f t="shared" si="3"/>
        <v>#N/A</v>
      </c>
      <c r="H13" s="44" t="str">
        <f t="shared" si="4"/>
        <v>#N/A</v>
      </c>
      <c r="I13" s="44" t="str">
        <f t="shared" si="5"/>
        <v>#N/A</v>
      </c>
      <c r="J13" s="44" t="str">
        <f t="shared" si="6"/>
        <v>#N/A</v>
      </c>
      <c r="K13" s="45" t="str">
        <f t="shared" si="7"/>
        <v>#N/A</v>
      </c>
      <c r="L13" s="45" t="str">
        <f t="shared" si="8"/>
        <v>#N/A</v>
      </c>
      <c r="M13" s="46" t="str">
        <f t="shared" si="9"/>
        <v>#N/A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30" t="s">
        <v>54</v>
      </c>
      <c r="B14" s="32">
        <v>0.0</v>
      </c>
      <c r="C14" s="32">
        <v>0.0</v>
      </c>
      <c r="D14" s="32">
        <v>0.0</v>
      </c>
      <c r="E14" s="38" t="str">
        <f t="shared" si="1"/>
        <v>#N/A</v>
      </c>
      <c r="F14" s="38" t="str">
        <f t="shared" si="2"/>
        <v>#N/A</v>
      </c>
      <c r="G14" s="38" t="str">
        <f t="shared" si="3"/>
        <v>#N/A</v>
      </c>
      <c r="H14" s="44" t="str">
        <f t="shared" si="4"/>
        <v>#N/A</v>
      </c>
      <c r="I14" s="44" t="str">
        <f t="shared" si="5"/>
        <v>#N/A</v>
      </c>
      <c r="J14" s="44" t="str">
        <f t="shared" si="6"/>
        <v>#N/A</v>
      </c>
      <c r="K14" s="45" t="str">
        <f t="shared" si="7"/>
        <v>#N/A</v>
      </c>
      <c r="L14" s="45" t="str">
        <f t="shared" si="8"/>
        <v>#N/A</v>
      </c>
      <c r="M14" s="46" t="str">
        <f t="shared" si="9"/>
        <v>#N/A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30" t="s">
        <v>56</v>
      </c>
      <c r="B15" s="32">
        <v>0.0</v>
      </c>
      <c r="C15" s="32">
        <v>0.0</v>
      </c>
      <c r="D15" s="32">
        <v>0.0</v>
      </c>
      <c r="E15" s="38" t="str">
        <f t="shared" si="1"/>
        <v>#N/A</v>
      </c>
      <c r="F15" s="38" t="str">
        <f t="shared" si="2"/>
        <v>#N/A</v>
      </c>
      <c r="G15" s="38" t="str">
        <f t="shared" si="3"/>
        <v>#N/A</v>
      </c>
      <c r="H15" s="44" t="str">
        <f t="shared" si="4"/>
        <v>#N/A</v>
      </c>
      <c r="I15" s="44" t="str">
        <f t="shared" si="5"/>
        <v>#N/A</v>
      </c>
      <c r="J15" s="44" t="str">
        <f t="shared" si="6"/>
        <v>#N/A</v>
      </c>
      <c r="K15" s="45" t="str">
        <f t="shared" si="7"/>
        <v>#N/A</v>
      </c>
      <c r="L15" s="45" t="str">
        <f t="shared" si="8"/>
        <v>#N/A</v>
      </c>
      <c r="M15" s="46" t="str">
        <f t="shared" si="9"/>
        <v>#N/A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30" t="s">
        <v>62</v>
      </c>
      <c r="B16" s="32">
        <v>0.0</v>
      </c>
      <c r="C16" s="32">
        <v>0.0</v>
      </c>
      <c r="D16" s="32">
        <v>0.0</v>
      </c>
      <c r="E16" s="38" t="str">
        <f t="shared" si="1"/>
        <v>#N/A</v>
      </c>
      <c r="F16" s="38" t="str">
        <f t="shared" si="2"/>
        <v>#N/A</v>
      </c>
      <c r="G16" s="38" t="str">
        <f t="shared" si="3"/>
        <v>#N/A</v>
      </c>
      <c r="H16" s="44" t="str">
        <f t="shared" si="4"/>
        <v>#N/A</v>
      </c>
      <c r="I16" s="44" t="str">
        <f t="shared" si="5"/>
        <v>#N/A</v>
      </c>
      <c r="J16" s="44" t="str">
        <f t="shared" si="6"/>
        <v>#N/A</v>
      </c>
      <c r="K16" s="45" t="str">
        <f t="shared" si="7"/>
        <v>#N/A</v>
      </c>
      <c r="L16" s="45" t="str">
        <f t="shared" si="8"/>
        <v>#N/A</v>
      </c>
      <c r="M16" s="46" t="str">
        <f t="shared" si="9"/>
        <v>#N/A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30" t="s">
        <v>63</v>
      </c>
      <c r="B17" s="32">
        <v>0.0</v>
      </c>
      <c r="C17" s="32">
        <v>0.0</v>
      </c>
      <c r="D17" s="32">
        <v>0.0</v>
      </c>
      <c r="E17" s="38" t="str">
        <f t="shared" si="1"/>
        <v>#N/A</v>
      </c>
      <c r="F17" s="38" t="str">
        <f t="shared" si="2"/>
        <v>#N/A</v>
      </c>
      <c r="G17" s="38" t="str">
        <f t="shared" si="3"/>
        <v>#N/A</v>
      </c>
      <c r="H17" s="44" t="str">
        <f t="shared" si="4"/>
        <v>#N/A</v>
      </c>
      <c r="I17" s="44" t="str">
        <f t="shared" si="5"/>
        <v>#N/A</v>
      </c>
      <c r="J17" s="44" t="str">
        <f t="shared" si="6"/>
        <v>#N/A</v>
      </c>
      <c r="K17" s="45" t="str">
        <f t="shared" si="7"/>
        <v>#N/A</v>
      </c>
      <c r="L17" s="45" t="str">
        <f t="shared" si="8"/>
        <v>#N/A</v>
      </c>
      <c r="M17" s="46" t="str">
        <f t="shared" si="9"/>
        <v>#N/A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30" t="s">
        <v>66</v>
      </c>
      <c r="B18" s="32">
        <v>0.0</v>
      </c>
      <c r="C18" s="32">
        <v>0.0</v>
      </c>
      <c r="D18" s="32">
        <v>0.0</v>
      </c>
      <c r="E18" s="38" t="str">
        <f t="shared" si="1"/>
        <v>#N/A</v>
      </c>
      <c r="F18" s="38" t="str">
        <f t="shared" si="2"/>
        <v>#N/A</v>
      </c>
      <c r="G18" s="38" t="str">
        <f t="shared" si="3"/>
        <v>#N/A</v>
      </c>
      <c r="H18" s="44" t="str">
        <f t="shared" si="4"/>
        <v>#N/A</v>
      </c>
      <c r="I18" s="44" t="str">
        <f t="shared" si="5"/>
        <v>#N/A</v>
      </c>
      <c r="J18" s="44" t="str">
        <f t="shared" si="6"/>
        <v>#N/A</v>
      </c>
      <c r="K18" s="45" t="str">
        <f t="shared" si="7"/>
        <v>#N/A</v>
      </c>
      <c r="L18" s="45" t="str">
        <f t="shared" si="8"/>
        <v>#N/A</v>
      </c>
      <c r="M18" s="46" t="str">
        <f t="shared" si="9"/>
        <v>#N/A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30" t="s">
        <v>68</v>
      </c>
      <c r="B19" s="32">
        <v>0.0</v>
      </c>
      <c r="C19" s="32">
        <v>0.0</v>
      </c>
      <c r="D19" s="32">
        <v>0.0</v>
      </c>
      <c r="E19" s="38" t="str">
        <f t="shared" si="1"/>
        <v>#N/A</v>
      </c>
      <c r="F19" s="38" t="str">
        <f t="shared" si="2"/>
        <v>#N/A</v>
      </c>
      <c r="G19" s="38" t="str">
        <f t="shared" si="3"/>
        <v>#N/A</v>
      </c>
      <c r="H19" s="44" t="str">
        <f t="shared" si="4"/>
        <v>#N/A</v>
      </c>
      <c r="I19" s="44" t="str">
        <f t="shared" si="5"/>
        <v>#N/A</v>
      </c>
      <c r="J19" s="44" t="str">
        <f t="shared" si="6"/>
        <v>#N/A</v>
      </c>
      <c r="K19" s="45" t="str">
        <f t="shared" si="7"/>
        <v>#N/A</v>
      </c>
      <c r="L19" s="45" t="str">
        <f t="shared" si="8"/>
        <v>#N/A</v>
      </c>
      <c r="M19" s="46" t="str">
        <f t="shared" si="9"/>
        <v>#N/A</v>
      </c>
      <c r="N19" s="10"/>
      <c r="O19" s="10"/>
      <c r="P19" s="7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30" t="s">
        <v>69</v>
      </c>
      <c r="B20" s="32">
        <v>0.0</v>
      </c>
      <c r="C20" s="32">
        <v>0.0</v>
      </c>
      <c r="D20" s="32">
        <v>0.0</v>
      </c>
      <c r="E20" s="38" t="str">
        <f t="shared" si="1"/>
        <v>#N/A</v>
      </c>
      <c r="F20" s="38" t="str">
        <f t="shared" si="2"/>
        <v>#N/A</v>
      </c>
      <c r="G20" s="38" t="str">
        <f t="shared" si="3"/>
        <v>#N/A</v>
      </c>
      <c r="H20" s="44" t="str">
        <f t="shared" si="4"/>
        <v>#N/A</v>
      </c>
      <c r="I20" s="44" t="str">
        <f t="shared" si="5"/>
        <v>#N/A</v>
      </c>
      <c r="J20" s="44" t="str">
        <f t="shared" si="6"/>
        <v>#N/A</v>
      </c>
      <c r="K20" s="45" t="str">
        <f t="shared" si="7"/>
        <v>#N/A</v>
      </c>
      <c r="L20" s="45" t="str">
        <f t="shared" si="8"/>
        <v>#N/A</v>
      </c>
      <c r="M20" s="46" t="str">
        <f t="shared" si="9"/>
        <v>#N/A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75" t="s">
        <v>73</v>
      </c>
      <c r="B21" s="32">
        <v>0.0</v>
      </c>
      <c r="C21" s="32">
        <v>0.0</v>
      </c>
      <c r="D21" s="32">
        <v>0.0</v>
      </c>
      <c r="E21" s="38" t="str">
        <f t="shared" si="1"/>
        <v>#N/A</v>
      </c>
      <c r="F21" s="38" t="str">
        <f t="shared" si="2"/>
        <v>#N/A</v>
      </c>
      <c r="G21" s="38" t="str">
        <f t="shared" si="3"/>
        <v>#N/A</v>
      </c>
      <c r="H21" s="44" t="str">
        <f t="shared" si="4"/>
        <v>#N/A</v>
      </c>
      <c r="I21" s="44" t="str">
        <f t="shared" si="5"/>
        <v>#N/A</v>
      </c>
      <c r="J21" s="44" t="str">
        <f t="shared" si="6"/>
        <v>#N/A</v>
      </c>
      <c r="K21" s="45" t="str">
        <f t="shared" si="7"/>
        <v>#N/A</v>
      </c>
      <c r="L21" s="45" t="str">
        <f t="shared" si="8"/>
        <v>#N/A</v>
      </c>
      <c r="M21" s="46" t="str">
        <f t="shared" si="9"/>
        <v>#N/A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75" t="s">
        <v>75</v>
      </c>
      <c r="B22" s="32">
        <v>0.0</v>
      </c>
      <c r="C22" s="32">
        <v>0.0</v>
      </c>
      <c r="D22" s="32">
        <v>0.0</v>
      </c>
      <c r="E22" s="38" t="str">
        <f t="shared" si="1"/>
        <v>#N/A</v>
      </c>
      <c r="F22" s="38" t="str">
        <f t="shared" si="2"/>
        <v>#N/A</v>
      </c>
      <c r="G22" s="38" t="str">
        <f t="shared" si="3"/>
        <v>#N/A</v>
      </c>
      <c r="H22" s="44" t="str">
        <f t="shared" si="4"/>
        <v>#N/A</v>
      </c>
      <c r="I22" s="44" t="str">
        <f t="shared" si="5"/>
        <v>#N/A</v>
      </c>
      <c r="J22" s="44" t="str">
        <f t="shared" si="6"/>
        <v>#N/A</v>
      </c>
      <c r="K22" s="45" t="str">
        <f t="shared" si="7"/>
        <v>#N/A</v>
      </c>
      <c r="L22" s="45" t="str">
        <f t="shared" si="8"/>
        <v>#N/A</v>
      </c>
      <c r="M22" s="46" t="str">
        <f t="shared" si="9"/>
        <v>#N/A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0" customHeight="1">
      <c r="A23" s="75" t="s">
        <v>77</v>
      </c>
      <c r="B23" s="32">
        <v>0.0</v>
      </c>
      <c r="C23" s="32">
        <v>0.0</v>
      </c>
      <c r="D23" s="32">
        <v>0.0</v>
      </c>
      <c r="E23" s="38" t="str">
        <f t="shared" si="1"/>
        <v>#N/A</v>
      </c>
      <c r="F23" s="38" t="str">
        <f t="shared" si="2"/>
        <v>#N/A</v>
      </c>
      <c r="G23" s="38" t="str">
        <f t="shared" si="3"/>
        <v>#N/A</v>
      </c>
      <c r="H23" s="44" t="str">
        <f t="shared" si="4"/>
        <v>#N/A</v>
      </c>
      <c r="I23" s="44" t="str">
        <f t="shared" si="5"/>
        <v>#N/A</v>
      </c>
      <c r="J23" s="44" t="str">
        <f t="shared" si="6"/>
        <v>#N/A</v>
      </c>
      <c r="K23" s="45" t="str">
        <f t="shared" si="7"/>
        <v>#N/A</v>
      </c>
      <c r="L23" s="45" t="str">
        <f t="shared" si="8"/>
        <v>#N/A</v>
      </c>
      <c r="M23" s="46" t="str">
        <f t="shared" si="9"/>
        <v>#N/A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75" t="s">
        <v>78</v>
      </c>
      <c r="B24" s="32">
        <v>0.0</v>
      </c>
      <c r="C24" s="32">
        <v>0.0</v>
      </c>
      <c r="D24" s="32">
        <v>0.0</v>
      </c>
      <c r="E24" s="38" t="str">
        <f t="shared" si="1"/>
        <v>#N/A</v>
      </c>
      <c r="F24" s="38" t="str">
        <f t="shared" si="2"/>
        <v>#N/A</v>
      </c>
      <c r="G24" s="38" t="str">
        <f t="shared" si="3"/>
        <v>#N/A</v>
      </c>
      <c r="H24" s="44" t="str">
        <f t="shared" si="4"/>
        <v>#N/A</v>
      </c>
      <c r="I24" s="44" t="str">
        <f t="shared" si="5"/>
        <v>#N/A</v>
      </c>
      <c r="J24" s="44" t="str">
        <f t="shared" si="6"/>
        <v>#N/A</v>
      </c>
      <c r="K24" s="45" t="str">
        <f t="shared" si="7"/>
        <v>#N/A</v>
      </c>
      <c r="L24" s="45" t="str">
        <f t="shared" si="8"/>
        <v>#N/A</v>
      </c>
      <c r="M24" s="46" t="str">
        <f t="shared" si="9"/>
        <v>#N/A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75" t="s">
        <v>80</v>
      </c>
      <c r="B25" s="32">
        <v>0.0</v>
      </c>
      <c r="C25" s="32">
        <v>0.0</v>
      </c>
      <c r="D25" s="32">
        <v>0.0</v>
      </c>
      <c r="E25" s="38" t="str">
        <f t="shared" si="1"/>
        <v>#N/A</v>
      </c>
      <c r="F25" s="38" t="str">
        <f t="shared" si="2"/>
        <v>#N/A</v>
      </c>
      <c r="G25" s="38" t="str">
        <f t="shared" si="3"/>
        <v>#N/A</v>
      </c>
      <c r="H25" s="44" t="str">
        <f t="shared" si="4"/>
        <v>#N/A</v>
      </c>
      <c r="I25" s="44" t="str">
        <f t="shared" si="5"/>
        <v>#N/A</v>
      </c>
      <c r="J25" s="44" t="str">
        <f t="shared" si="6"/>
        <v>#N/A</v>
      </c>
      <c r="K25" s="45" t="str">
        <f t="shared" si="7"/>
        <v>#N/A</v>
      </c>
      <c r="L25" s="45" t="str">
        <f t="shared" si="8"/>
        <v>#N/A</v>
      </c>
      <c r="M25" s="46" t="str">
        <f t="shared" si="9"/>
        <v>#N/A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0" customHeight="1">
      <c r="A26" s="75" t="s">
        <v>83</v>
      </c>
      <c r="B26" s="32">
        <v>0.0</v>
      </c>
      <c r="C26" s="32">
        <v>0.0</v>
      </c>
      <c r="D26" s="32">
        <v>0.0</v>
      </c>
      <c r="E26" s="38" t="str">
        <f t="shared" si="1"/>
        <v>#N/A</v>
      </c>
      <c r="F26" s="38" t="str">
        <f t="shared" si="2"/>
        <v>#N/A</v>
      </c>
      <c r="G26" s="38" t="str">
        <f t="shared" si="3"/>
        <v>#N/A</v>
      </c>
      <c r="H26" s="44" t="str">
        <f t="shared" si="4"/>
        <v>#N/A</v>
      </c>
      <c r="I26" s="44" t="str">
        <f t="shared" si="5"/>
        <v>#N/A</v>
      </c>
      <c r="J26" s="44" t="str">
        <f t="shared" si="6"/>
        <v>#N/A</v>
      </c>
      <c r="K26" s="45" t="str">
        <f t="shared" si="7"/>
        <v>#N/A</v>
      </c>
      <c r="L26" s="45" t="str">
        <f t="shared" si="8"/>
        <v>#N/A</v>
      </c>
      <c r="M26" s="46" t="str">
        <f t="shared" si="9"/>
        <v>#N/A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82" t="s">
        <v>84</v>
      </c>
      <c r="B27" s="83">
        <f t="shared" ref="B27:M27" si="10">SUM(B4:B26)</f>
        <v>0</v>
      </c>
      <c r="C27" s="83">
        <f t="shared" si="10"/>
        <v>0</v>
      </c>
      <c r="D27" s="83">
        <f t="shared" si="10"/>
        <v>0</v>
      </c>
      <c r="E27" s="83" t="str">
        <f t="shared" si="10"/>
        <v>#N/A</v>
      </c>
      <c r="F27" s="83" t="str">
        <f t="shared" si="10"/>
        <v>#N/A</v>
      </c>
      <c r="G27" s="83" t="str">
        <f t="shared" si="10"/>
        <v>#N/A</v>
      </c>
      <c r="H27" s="83" t="str">
        <f t="shared" si="10"/>
        <v>#N/A</v>
      </c>
      <c r="I27" s="83" t="str">
        <f t="shared" si="10"/>
        <v>#N/A</v>
      </c>
      <c r="J27" s="83" t="str">
        <f t="shared" si="10"/>
        <v>#N/A</v>
      </c>
      <c r="K27" s="83" t="str">
        <f t="shared" si="10"/>
        <v>#N/A</v>
      </c>
      <c r="L27" s="83" t="str">
        <f t="shared" si="10"/>
        <v>#N/A</v>
      </c>
      <c r="M27" s="85" t="str">
        <f t="shared" si="10"/>
        <v>#N/A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hidden="1" customHeight="1">
      <c r="A28" s="10"/>
      <c r="B28" s="86" t="str">
        <f t="shared" ref="B28:D28" si="11">SUMIFS(#REF!,#REF!,#REF!,#REF!,#REF!)</f>
        <v>#N/A</v>
      </c>
      <c r="C28" s="86" t="str">
        <f t="shared" si="11"/>
        <v>#N/A</v>
      </c>
      <c r="D28" s="86" t="str">
        <f t="shared" si="11"/>
        <v>#N/A</v>
      </c>
      <c r="E28" s="86"/>
      <c r="F28" s="86"/>
      <c r="G28" s="86"/>
      <c r="H28" s="86" t="str">
        <f t="shared" ref="H28:J28" si="12">SUMIFS(#REF!,#REF!,#REF!,#REF!,#REF!)</f>
        <v>#N/A</v>
      </c>
      <c r="I28" s="86" t="str">
        <f t="shared" si="12"/>
        <v>#N/A</v>
      </c>
      <c r="J28" s="86" t="str">
        <f t="shared" si="12"/>
        <v>#N/A</v>
      </c>
      <c r="K28" s="87" t="str">
        <f t="shared" ref="K28:M28" si="13">+K27-#REF!</f>
        <v>#N/A</v>
      </c>
      <c r="L28" s="87" t="str">
        <f t="shared" si="13"/>
        <v>#N/A</v>
      </c>
      <c r="M28" s="87" t="str">
        <f t="shared" si="13"/>
        <v>#N/A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A1:M1"/>
    <mergeCell ref="B2:D2"/>
    <mergeCell ref="E2:G2"/>
    <mergeCell ref="H2:J2"/>
    <mergeCell ref="K2:M2"/>
  </mergeCells>
  <conditionalFormatting sqref="E3:J3">
    <cfRule type="colorScale" priority="1">
      <colorScale>
        <cfvo type="min"/>
        <cfvo type="max"/>
        <color rgb="FF63BE7B"/>
        <color rgb="FFFFEF9C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CCFF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0"/>
    <col customWidth="1" min="2" max="2" width="20.29"/>
    <col customWidth="1" min="3" max="3" width="11.0"/>
    <col customWidth="1" min="4" max="4" width="33.57"/>
    <col customWidth="1" min="5" max="5" width="20.0"/>
    <col customWidth="1" min="6" max="6" width="31.43"/>
    <col customWidth="1" min="7" max="7" width="6.86"/>
    <col customWidth="1" min="8" max="8" width="9.71"/>
    <col customWidth="1" min="9" max="10" width="7.71"/>
    <col customWidth="1" min="11" max="12" width="9.0"/>
    <col customWidth="1" min="13" max="13" width="40.43"/>
    <col customWidth="1" min="14" max="14" width="14.14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5"/>
      <c r="M1" s="1"/>
      <c r="N1" s="6"/>
    </row>
    <row r="2">
      <c r="A2" s="7"/>
      <c r="B2" s="7"/>
      <c r="C2" s="9"/>
      <c r="D2" s="7"/>
      <c r="E2" s="7"/>
      <c r="F2" s="7"/>
      <c r="G2" s="7"/>
      <c r="H2" s="7"/>
      <c r="I2" s="7"/>
      <c r="J2" s="7"/>
      <c r="K2" s="7"/>
      <c r="L2" s="11"/>
      <c r="M2" s="7"/>
      <c r="N2" s="6"/>
    </row>
    <row r="3">
      <c r="A3" s="6"/>
      <c r="B3" s="6"/>
      <c r="C3" s="12"/>
      <c r="D3" s="6"/>
      <c r="E3" s="6"/>
      <c r="F3" s="6"/>
      <c r="G3" s="6"/>
      <c r="H3" s="6"/>
      <c r="I3" s="6"/>
      <c r="J3" s="6"/>
      <c r="K3" s="6"/>
      <c r="L3" s="14"/>
      <c r="M3" s="6"/>
      <c r="N3" s="6"/>
    </row>
    <row r="4" ht="33.75" customHeight="1">
      <c r="A4" s="18" t="s">
        <v>3</v>
      </c>
      <c r="B4" s="19" t="s">
        <v>6</v>
      </c>
      <c r="C4" s="17"/>
      <c r="D4" s="20" t="s">
        <v>8</v>
      </c>
      <c r="E4" s="19" t="s">
        <v>9</v>
      </c>
      <c r="F4" s="16"/>
      <c r="G4" s="17"/>
      <c r="H4" s="22" t="s">
        <v>11</v>
      </c>
      <c r="I4" s="24"/>
      <c r="J4" s="25"/>
      <c r="K4" s="19" t="s">
        <v>16</v>
      </c>
      <c r="L4" s="17"/>
      <c r="M4" s="27" t="s">
        <v>21</v>
      </c>
      <c r="N4" s="27" t="s">
        <v>25</v>
      </c>
    </row>
    <row r="5">
      <c r="A5" s="28"/>
      <c r="B5" s="27" t="s">
        <v>27</v>
      </c>
      <c r="C5" s="29" t="s">
        <v>28</v>
      </c>
      <c r="D5" s="31"/>
      <c r="E5" s="33" t="s">
        <v>30</v>
      </c>
      <c r="F5" s="33" t="s">
        <v>31</v>
      </c>
      <c r="G5" s="33" t="s">
        <v>32</v>
      </c>
      <c r="H5" s="34"/>
      <c r="I5" s="35"/>
      <c r="J5" s="36"/>
      <c r="K5" s="33" t="s">
        <v>33</v>
      </c>
      <c r="L5" s="37" t="s">
        <v>34</v>
      </c>
      <c r="M5" s="33"/>
      <c r="N5" s="33"/>
    </row>
    <row r="6">
      <c r="A6" s="39">
        <f t="shared" ref="A6:A1049" si="1">+ROW()-5</f>
        <v>1</v>
      </c>
      <c r="B6" s="40"/>
      <c r="C6" s="41">
        <v>45475.0</v>
      </c>
      <c r="D6" s="42" t="s">
        <v>35</v>
      </c>
      <c r="E6" s="43" t="s">
        <v>36</v>
      </c>
      <c r="F6" s="43" t="str">
        <f>+IFERROR(VLOOKUP(E6,'DANH MỤC'!$C:$H,2,0),"")</f>
        <v>Ivory Ningbo</v>
      </c>
      <c r="G6" s="43" t="str">
        <f>+IFERROR(VLOOKUP(E6,'DANH MỤC'!$C:$H,6,0),"")</f>
        <v>Kg</v>
      </c>
      <c r="H6" s="43">
        <f>+IFERROR(VLOOKUP(E6,'DANH MỤC'!$C:$H,3,0),"")</f>
        <v>210</v>
      </c>
      <c r="I6" s="43">
        <f>+IFERROR(VLOOKUP(E6,'DANH MỤC'!$C:$H,4,0),"")</f>
        <v>65</v>
      </c>
      <c r="J6" s="43" t="str">
        <f>+IFERROR(VLOOKUP(E6,'DANH MỤC'!$C:$H,5,0),"")</f>
        <v/>
      </c>
      <c r="K6" s="39">
        <v>315.0</v>
      </c>
      <c r="L6" s="47"/>
      <c r="M6" s="40" t="s">
        <v>44</v>
      </c>
      <c r="N6" s="40"/>
    </row>
    <row r="7">
      <c r="A7" s="53">
        <f t="shared" si="1"/>
        <v>2</v>
      </c>
      <c r="B7" s="55"/>
      <c r="C7" s="41">
        <v>45475.0</v>
      </c>
      <c r="D7" s="42" t="s">
        <v>35</v>
      </c>
      <c r="E7" s="42" t="s">
        <v>47</v>
      </c>
      <c r="F7" s="42" t="str">
        <f>+IFERROR(VLOOKUP(E7,'DANH MỤC'!$C:$H,2,0),"")</f>
        <v>Ivory Ningbo</v>
      </c>
      <c r="G7" s="42" t="str">
        <f>+IFERROR(VLOOKUP(E7,'DANH MỤC'!$C:$H,6,0),"")</f>
        <v>Kg</v>
      </c>
      <c r="H7" s="42">
        <f>+IFERROR(VLOOKUP(E7,'DANH MỤC'!$C:$H,3,0),"")</f>
        <v>210</v>
      </c>
      <c r="I7" s="42">
        <f>+IFERROR(VLOOKUP(E7,'DANH MỤC'!$C:$H,4,0),"")</f>
        <v>109</v>
      </c>
      <c r="J7" s="42" t="str">
        <f>+IFERROR(VLOOKUP(E7,'DANH MỤC'!$C:$H,5,0),"")</f>
        <v/>
      </c>
      <c r="K7" s="53">
        <v>1030.0</v>
      </c>
      <c r="L7" s="58"/>
      <c r="M7" s="55" t="s">
        <v>58</v>
      </c>
      <c r="N7" s="55"/>
    </row>
    <row r="8">
      <c r="A8" s="53">
        <f t="shared" si="1"/>
        <v>3</v>
      </c>
      <c r="B8" s="55"/>
      <c r="C8" s="41">
        <v>45475.0</v>
      </c>
      <c r="D8" s="42" t="s">
        <v>35</v>
      </c>
      <c r="E8" s="42" t="s">
        <v>60</v>
      </c>
      <c r="F8" s="42" t="str">
        <f>+IFERROR(VLOOKUP(E8,'DANH MỤC'!$C:$H,2,0),"")</f>
        <v>Ivory Ningbo</v>
      </c>
      <c r="G8" s="42" t="str">
        <f>+IFERROR(VLOOKUP(E8,'DANH MỤC'!$C:$H,6,0),"")</f>
        <v>Kg</v>
      </c>
      <c r="H8" s="42">
        <f>+IFERROR(VLOOKUP(E8,'DANH MỤC'!$C:$H,3,0),"")</f>
        <v>210</v>
      </c>
      <c r="I8" s="42">
        <f>+IFERROR(VLOOKUP(E8,'DANH MỤC'!$C:$H,4,0),"")</f>
        <v>86</v>
      </c>
      <c r="J8" s="42" t="str">
        <f>+IFERROR(VLOOKUP(E8,'DANH MỤC'!$C:$H,5,0),"")</f>
        <v/>
      </c>
      <c r="K8" s="53">
        <v>71.0</v>
      </c>
      <c r="L8" s="58"/>
      <c r="M8" s="55" t="s">
        <v>65</v>
      </c>
      <c r="N8" s="55"/>
    </row>
    <row r="9">
      <c r="A9" s="53">
        <f t="shared" si="1"/>
        <v>4</v>
      </c>
      <c r="B9" s="55"/>
      <c r="C9" s="41">
        <v>45475.0</v>
      </c>
      <c r="D9" s="42" t="s">
        <v>35</v>
      </c>
      <c r="E9" s="42" t="s">
        <v>67</v>
      </c>
      <c r="F9" s="42" t="str">
        <f>+IFERROR(VLOOKUP(E9,'DANH MỤC'!$C:$H,2,0),"")</f>
        <v>Ivory Ningbo</v>
      </c>
      <c r="G9" s="42" t="str">
        <f>+IFERROR(VLOOKUP(E9,'DANH MỤC'!$C:$H,6,0),"")</f>
        <v>Kg</v>
      </c>
      <c r="H9" s="42">
        <f>+IFERROR(VLOOKUP(E9,'DANH MỤC'!$C:$H,3,0),"")</f>
        <v>230</v>
      </c>
      <c r="I9" s="42">
        <f>+IFERROR(VLOOKUP(E9,'DANH MỤC'!$C:$H,4,0),"")</f>
        <v>79</v>
      </c>
      <c r="J9" s="42" t="str">
        <f>+IFERROR(VLOOKUP(E9,'DANH MỤC'!$C:$H,5,0),"")</f>
        <v/>
      </c>
      <c r="K9" s="53">
        <v>609.0</v>
      </c>
      <c r="L9" s="58"/>
      <c r="M9" s="55" t="s">
        <v>58</v>
      </c>
      <c r="N9" s="55"/>
    </row>
    <row r="10">
      <c r="A10" s="53">
        <f t="shared" si="1"/>
        <v>5</v>
      </c>
      <c r="B10" s="55"/>
      <c r="C10" s="41">
        <v>45475.0</v>
      </c>
      <c r="D10" s="42" t="s">
        <v>35</v>
      </c>
      <c r="E10" s="42" t="s">
        <v>67</v>
      </c>
      <c r="F10" s="42" t="str">
        <f>+IFERROR(VLOOKUP(E10,'DANH MỤC'!$C:$H,2,0),"")</f>
        <v>Ivory Ningbo</v>
      </c>
      <c r="G10" s="42" t="str">
        <f>+IFERROR(VLOOKUP(E10,'DANH MỤC'!$C:$H,6,0),"")</f>
        <v>Kg</v>
      </c>
      <c r="H10" s="42">
        <f>+IFERROR(VLOOKUP(E10,'DANH MỤC'!$C:$H,3,0),"")</f>
        <v>230</v>
      </c>
      <c r="I10" s="42">
        <f>+IFERROR(VLOOKUP(E10,'DANH MỤC'!$C:$H,4,0),"")</f>
        <v>79</v>
      </c>
      <c r="J10" s="42" t="str">
        <f>+IFERROR(VLOOKUP(E10,'DANH MỤC'!$C:$H,5,0),"")</f>
        <v/>
      </c>
      <c r="K10" s="53">
        <v>75.0</v>
      </c>
      <c r="L10" s="58"/>
      <c r="M10" s="55" t="s">
        <v>44</v>
      </c>
      <c r="N10" s="55"/>
    </row>
    <row r="11">
      <c r="A11" s="53">
        <f t="shared" si="1"/>
        <v>6</v>
      </c>
      <c r="B11" s="55"/>
      <c r="C11" s="41">
        <v>45475.0</v>
      </c>
      <c r="D11" s="42" t="s">
        <v>35</v>
      </c>
      <c r="E11" s="42" t="s">
        <v>79</v>
      </c>
      <c r="F11" s="42" t="str">
        <f>+IFERROR(VLOOKUP(E11,'DANH MỤC'!$C:$H,2,0),"")</f>
        <v>Ivory IPSUN</v>
      </c>
      <c r="G11" s="42" t="str">
        <f>+IFERROR(VLOOKUP(E11,'DANH MỤC'!$C:$H,6,0),"")</f>
        <v>Kg</v>
      </c>
      <c r="H11" s="42">
        <f>+IFERROR(VLOOKUP(E11,'DANH MỤC'!$C:$H,3,0),"")</f>
        <v>210</v>
      </c>
      <c r="I11" s="42">
        <f>+IFERROR(VLOOKUP(E11,'DANH MỤC'!$C:$H,4,0),"")</f>
        <v>109</v>
      </c>
      <c r="J11" s="42" t="str">
        <f>+IFERROR(VLOOKUP(E11,'DANH MỤC'!$C:$H,5,0),"")</f>
        <v/>
      </c>
      <c r="K11" s="53">
        <v>4212.0</v>
      </c>
      <c r="L11" s="58"/>
      <c r="M11" s="55" t="s">
        <v>58</v>
      </c>
      <c r="N11" s="55"/>
    </row>
    <row r="12">
      <c r="A12" s="53">
        <f t="shared" si="1"/>
        <v>7</v>
      </c>
      <c r="B12" s="55"/>
      <c r="C12" s="41">
        <v>45475.0</v>
      </c>
      <c r="D12" s="42" t="s">
        <v>35</v>
      </c>
      <c r="E12" s="42" t="s">
        <v>86</v>
      </c>
      <c r="F12" s="42" t="str">
        <f>+IFERROR(VLOOKUP(E12,'DANH MỤC'!$C:$H,2,0),"")</f>
        <v>Ivory IPSUN</v>
      </c>
      <c r="G12" s="42" t="str">
        <f>+IFERROR(VLOOKUP(E12,'DANH MỤC'!$C:$H,6,0),"")</f>
        <v>Kg</v>
      </c>
      <c r="H12" s="42">
        <f>+IFERROR(VLOOKUP(E12,'DANH MỤC'!$C:$H,3,0),"")</f>
        <v>230</v>
      </c>
      <c r="I12" s="42">
        <f>+IFERROR(VLOOKUP(E12,'DANH MỤC'!$C:$H,4,0),"")</f>
        <v>109</v>
      </c>
      <c r="J12" s="42" t="str">
        <f>+IFERROR(VLOOKUP(E12,'DANH MỤC'!$C:$H,5,0),"")</f>
        <v/>
      </c>
      <c r="K12" s="53">
        <v>912.0</v>
      </c>
      <c r="L12" s="58"/>
      <c r="M12" s="55" t="s">
        <v>44</v>
      </c>
      <c r="N12" s="55"/>
    </row>
    <row r="13">
      <c r="A13" s="53">
        <f t="shared" si="1"/>
        <v>8</v>
      </c>
      <c r="B13" s="55"/>
      <c r="C13" s="41">
        <v>45475.0</v>
      </c>
      <c r="D13" s="42" t="s">
        <v>35</v>
      </c>
      <c r="E13" s="42" t="s">
        <v>87</v>
      </c>
      <c r="F13" s="42" t="str">
        <f>+IFERROR(VLOOKUP(E13,'DANH MỤC'!$C:$H,2,0),"")</f>
        <v>Ivory IPSUN</v>
      </c>
      <c r="G13" s="42" t="str">
        <f>+IFERROR(VLOOKUP(E13,'DANH MỤC'!$C:$H,6,0),"")</f>
        <v>Kg</v>
      </c>
      <c r="H13" s="42">
        <f>+IFERROR(VLOOKUP(E13,'DANH MỤC'!$C:$H,3,0),"")</f>
        <v>250</v>
      </c>
      <c r="I13" s="42">
        <f>+IFERROR(VLOOKUP(E13,'DANH MỤC'!$C:$H,4,0),"")</f>
        <v>84</v>
      </c>
      <c r="J13" s="42" t="str">
        <f>+IFERROR(VLOOKUP(E13,'DANH MỤC'!$C:$H,5,0),"")</f>
        <v/>
      </c>
      <c r="K13" s="53">
        <v>128.0</v>
      </c>
      <c r="L13" s="58"/>
      <c r="M13" s="55" t="s">
        <v>44</v>
      </c>
      <c r="N13" s="55"/>
    </row>
    <row r="14">
      <c r="A14" s="53">
        <f t="shared" si="1"/>
        <v>9</v>
      </c>
      <c r="B14" s="55"/>
      <c r="C14" s="41">
        <v>45475.0</v>
      </c>
      <c r="D14" s="42" t="s">
        <v>35</v>
      </c>
      <c r="E14" s="42" t="s">
        <v>88</v>
      </c>
      <c r="F14" s="42" t="str">
        <f>+IFERROR(VLOOKUP(E14,'DANH MỤC'!$C:$H,2,0),"")</f>
        <v>Ivory Ningbo</v>
      </c>
      <c r="G14" s="42" t="str">
        <f>+IFERROR(VLOOKUP(E14,'DANH MỤC'!$C:$H,6,0),"")</f>
        <v>Kg</v>
      </c>
      <c r="H14" s="42">
        <f>+IFERROR(VLOOKUP(E14,'DANH MỤC'!$C:$H,3,0),"")</f>
        <v>250</v>
      </c>
      <c r="I14" s="42">
        <f>+IFERROR(VLOOKUP(E14,'DANH MỤC'!$C:$H,4,0),"")</f>
        <v>109</v>
      </c>
      <c r="J14" s="42" t="str">
        <f>+IFERROR(VLOOKUP(E14,'DANH MỤC'!$C:$H,5,0),"")</f>
        <v/>
      </c>
      <c r="K14" s="53">
        <v>140.0</v>
      </c>
      <c r="L14" s="58"/>
      <c r="M14" s="55" t="s">
        <v>44</v>
      </c>
      <c r="N14" s="55"/>
    </row>
    <row r="15">
      <c r="A15" s="53">
        <f t="shared" si="1"/>
        <v>10</v>
      </c>
      <c r="B15" s="55"/>
      <c r="C15" s="41">
        <v>45475.0</v>
      </c>
      <c r="D15" s="42" t="s">
        <v>35</v>
      </c>
      <c r="E15" s="42" t="s">
        <v>91</v>
      </c>
      <c r="F15" s="42" t="str">
        <f>+IFERROR(VLOOKUP(E15,'DANH MỤC'!$C:$H,2,0),"")</f>
        <v>Ivory IPSUN</v>
      </c>
      <c r="G15" s="42" t="str">
        <f>+IFERROR(VLOOKUP(E15,'DANH MỤC'!$C:$H,6,0),"")</f>
        <v>Kg</v>
      </c>
      <c r="H15" s="42">
        <f>+IFERROR(VLOOKUP(E15,'DANH MỤC'!$C:$H,3,0),"")</f>
        <v>250</v>
      </c>
      <c r="I15" s="42">
        <f>+IFERROR(VLOOKUP(E15,'DANH MỤC'!$C:$H,4,0),"")</f>
        <v>109</v>
      </c>
      <c r="J15" s="42" t="str">
        <f>+IFERROR(VLOOKUP(E15,'DANH MỤC'!$C:$H,5,0),"")</f>
        <v/>
      </c>
      <c r="K15" s="53">
        <v>74.0</v>
      </c>
      <c r="L15" s="58"/>
      <c r="M15" s="55" t="s">
        <v>44</v>
      </c>
      <c r="N15" s="55"/>
    </row>
    <row r="16">
      <c r="A16" s="53">
        <f t="shared" si="1"/>
        <v>11</v>
      </c>
      <c r="B16" s="55"/>
      <c r="C16" s="41">
        <v>45475.0</v>
      </c>
      <c r="D16" s="42" t="s">
        <v>35</v>
      </c>
      <c r="E16" s="42" t="s">
        <v>92</v>
      </c>
      <c r="F16" s="42" t="str">
        <f>+IFERROR(VLOOKUP(E16,'DANH MỤC'!$C:$H,2,0),"")</f>
        <v>Ivory Ningbo</v>
      </c>
      <c r="G16" s="42" t="str">
        <f>+IFERROR(VLOOKUP(E16,'DANH MỤC'!$C:$H,6,0),"")</f>
        <v>Kg</v>
      </c>
      <c r="H16" s="42">
        <f>+IFERROR(VLOOKUP(E16,'DANH MỤC'!$C:$H,3,0),"")</f>
        <v>250</v>
      </c>
      <c r="I16" s="42">
        <f>+IFERROR(VLOOKUP(E16,'DANH MỤC'!$C:$H,4,0),"")</f>
        <v>65</v>
      </c>
      <c r="J16" s="42" t="str">
        <f>+IFERROR(VLOOKUP(E16,'DANH MỤC'!$C:$H,5,0),"")</f>
        <v/>
      </c>
      <c r="K16" s="53">
        <v>110.0</v>
      </c>
      <c r="L16" s="58"/>
      <c r="M16" s="55" t="s">
        <v>44</v>
      </c>
      <c r="N16" s="55"/>
    </row>
    <row r="17">
      <c r="A17" s="53">
        <f t="shared" si="1"/>
        <v>12</v>
      </c>
      <c r="B17" s="55"/>
      <c r="C17" s="41">
        <v>45485.0</v>
      </c>
      <c r="D17" s="42" t="s">
        <v>95</v>
      </c>
      <c r="E17" s="42" t="s">
        <v>96</v>
      </c>
      <c r="F17" s="42" t="str">
        <f>+IFERROR(VLOOKUP(E17,'DANH MỤC'!$C:$H,2,0),"")</f>
        <v>Giấy bao gói lưỡi gà</v>
      </c>
      <c r="G17" s="42" t="str">
        <f>+IFERROR(VLOOKUP(E17,'DANH MỤC'!$C:$H,6,0),"")</f>
        <v>Kg</v>
      </c>
      <c r="H17" s="42" t="str">
        <f>+IFERROR(VLOOKUP(E17,'DANH MỤC'!$C:$H,3,0),"")</f>
        <v/>
      </c>
      <c r="I17" s="42" t="str">
        <f>+IFERROR(VLOOKUP(E17,'DANH MỤC'!$C:$H,4,0),"")</f>
        <v/>
      </c>
      <c r="J17" s="42" t="str">
        <f>+IFERROR(VLOOKUP(E17,'DANH MỤC'!$C:$H,5,0),"")</f>
        <v/>
      </c>
      <c r="K17" s="53">
        <v>180.0</v>
      </c>
      <c r="L17" s="58"/>
      <c r="M17" s="55"/>
      <c r="N17" s="55"/>
    </row>
    <row r="18">
      <c r="A18" s="53">
        <f t="shared" si="1"/>
        <v>13</v>
      </c>
      <c r="B18" s="55"/>
      <c r="C18" s="41">
        <v>45485.0</v>
      </c>
      <c r="D18" s="42" t="s">
        <v>95</v>
      </c>
      <c r="E18" s="42" t="s">
        <v>97</v>
      </c>
      <c r="F18" s="42" t="str">
        <f>+IFERROR(VLOOKUP(E18,'DANH MỤC'!$C:$H,2,0),"")</f>
        <v>Ống lõi giấy phi 120x7x1000mm</v>
      </c>
      <c r="G18" s="42" t="str">
        <f>+IFERROR(VLOOKUP(E18,'DANH MỤC'!$C:$H,6,0),"")</f>
        <v>Cái</v>
      </c>
      <c r="H18" s="42">
        <f>+IFERROR(VLOOKUP(E18,'DANH MỤC'!$C:$H,3,0),"")</f>
        <v>120</v>
      </c>
      <c r="I18" s="42">
        <f>+IFERROR(VLOOKUP(E18,'DANH MỤC'!$C:$H,4,0),"")</f>
        <v>70</v>
      </c>
      <c r="J18" s="42">
        <f>+IFERROR(VLOOKUP(E18,'DANH MỤC'!$C:$H,5,0),"")</f>
        <v>1000</v>
      </c>
      <c r="K18" s="53">
        <v>72.0</v>
      </c>
      <c r="L18" s="58"/>
      <c r="M18" s="55"/>
      <c r="N18" s="55"/>
    </row>
    <row r="19">
      <c r="A19" s="53">
        <f t="shared" si="1"/>
        <v>14</v>
      </c>
      <c r="B19" s="91"/>
      <c r="C19" s="41">
        <v>45498.0</v>
      </c>
      <c r="D19" s="42" t="s">
        <v>35</v>
      </c>
      <c r="E19" s="42" t="s">
        <v>79</v>
      </c>
      <c r="F19" s="42" t="str">
        <f>+IFERROR(VLOOKUP(E19,'DANH MỤC'!$C:$H,2,0),"")</f>
        <v>Ivory IPSUN</v>
      </c>
      <c r="G19" s="42" t="str">
        <f>+IFERROR(VLOOKUP(E19,'DANH MỤC'!$C:$H,6,0),"")</f>
        <v>Kg</v>
      </c>
      <c r="H19" s="42">
        <f>+IFERROR(VLOOKUP(E19,'DANH MỤC'!$C:$H,3,0),"")</f>
        <v>210</v>
      </c>
      <c r="I19" s="42">
        <f>+IFERROR(VLOOKUP(E19,'DANH MỤC'!$C:$H,4,0),"")</f>
        <v>109</v>
      </c>
      <c r="J19" s="42" t="str">
        <f>+IFERROR(VLOOKUP(E19,'DANH MỤC'!$C:$H,5,0),"")</f>
        <v/>
      </c>
      <c r="K19" s="53">
        <v>5983.0</v>
      </c>
      <c r="L19" s="58"/>
      <c r="M19" s="55" t="s">
        <v>100</v>
      </c>
      <c r="N19" s="55"/>
    </row>
    <row r="20">
      <c r="A20" s="53">
        <f t="shared" si="1"/>
        <v>15</v>
      </c>
      <c r="B20" s="91"/>
      <c r="C20" s="41">
        <v>45498.0</v>
      </c>
      <c r="D20" s="42" t="s">
        <v>35</v>
      </c>
      <c r="E20" s="42" t="s">
        <v>86</v>
      </c>
      <c r="F20" s="42" t="str">
        <f>+IFERROR(VLOOKUP(E20,'DANH MỤC'!$C:$H,2,0),"")</f>
        <v>Ivory IPSUN</v>
      </c>
      <c r="G20" s="42" t="str">
        <f>+IFERROR(VLOOKUP(E20,'DANH MỤC'!$C:$H,6,0),"")</f>
        <v>Kg</v>
      </c>
      <c r="H20" s="42">
        <f>+IFERROR(VLOOKUP(E20,'DANH MỤC'!$C:$H,3,0),"")</f>
        <v>230</v>
      </c>
      <c r="I20" s="42">
        <f>+IFERROR(VLOOKUP(E20,'DANH MỤC'!$C:$H,4,0),"")</f>
        <v>109</v>
      </c>
      <c r="J20" s="42" t="str">
        <f>+IFERROR(VLOOKUP(E20,'DANH MỤC'!$C:$H,5,0),"")</f>
        <v/>
      </c>
      <c r="K20" s="53">
        <v>11308.0</v>
      </c>
      <c r="L20" s="58"/>
      <c r="M20" s="55" t="s">
        <v>103</v>
      </c>
      <c r="N20" s="55"/>
    </row>
    <row r="21" ht="15.75" customHeight="1">
      <c r="A21" s="53">
        <f t="shared" si="1"/>
        <v>16</v>
      </c>
      <c r="B21" s="55"/>
      <c r="C21" s="41">
        <v>45498.0</v>
      </c>
      <c r="D21" s="42" t="s">
        <v>35</v>
      </c>
      <c r="E21" s="42" t="s">
        <v>91</v>
      </c>
      <c r="F21" s="42" t="str">
        <f>+IFERROR(VLOOKUP(E21,'DANH MỤC'!$C:$H,2,0),"")</f>
        <v>Ivory IPSUN</v>
      </c>
      <c r="G21" s="42" t="str">
        <f>+IFERROR(VLOOKUP(E21,'DANH MỤC'!$C:$H,6,0),"")</f>
        <v>Kg</v>
      </c>
      <c r="H21" s="42">
        <f>+IFERROR(VLOOKUP(E21,'DANH MỤC'!$C:$H,3,0),"")</f>
        <v>250</v>
      </c>
      <c r="I21" s="42">
        <f>+IFERROR(VLOOKUP(E21,'DANH MỤC'!$C:$H,4,0),"")</f>
        <v>109</v>
      </c>
      <c r="J21" s="42" t="str">
        <f>+IFERROR(VLOOKUP(E21,'DANH MỤC'!$C:$H,5,0),"")</f>
        <v/>
      </c>
      <c r="K21" s="53">
        <v>60.0</v>
      </c>
      <c r="L21" s="58"/>
      <c r="M21" s="55" t="s">
        <v>44</v>
      </c>
      <c r="N21" s="55"/>
    </row>
    <row r="22" ht="15.75" customHeight="1">
      <c r="A22" s="53">
        <f t="shared" si="1"/>
        <v>17</v>
      </c>
      <c r="B22" s="55"/>
      <c r="C22" s="41">
        <v>45498.0</v>
      </c>
      <c r="D22" s="42" t="s">
        <v>35</v>
      </c>
      <c r="E22" s="42" t="s">
        <v>87</v>
      </c>
      <c r="F22" s="42" t="str">
        <f>+IFERROR(VLOOKUP(E22,'DANH MỤC'!$C:$H,2,0),"")</f>
        <v>Ivory IPSUN</v>
      </c>
      <c r="G22" s="42" t="str">
        <f>+IFERROR(VLOOKUP(E22,'DANH MỤC'!$C:$H,6,0),"")</f>
        <v>Kg</v>
      </c>
      <c r="H22" s="42">
        <f>+IFERROR(VLOOKUP(E22,'DANH MỤC'!$C:$H,3,0),"")</f>
        <v>250</v>
      </c>
      <c r="I22" s="42">
        <f>+IFERROR(VLOOKUP(E22,'DANH MỤC'!$C:$H,4,0),"")</f>
        <v>84</v>
      </c>
      <c r="J22" s="42" t="str">
        <f>+IFERROR(VLOOKUP(E22,'DANH MỤC'!$C:$H,5,0),"")</f>
        <v/>
      </c>
      <c r="K22" s="53">
        <v>21.0</v>
      </c>
      <c r="L22" s="58"/>
      <c r="M22" s="55" t="s">
        <v>44</v>
      </c>
      <c r="N22" s="55"/>
    </row>
    <row r="23" ht="15.75" customHeight="1">
      <c r="A23" s="53">
        <f t="shared" si="1"/>
        <v>18</v>
      </c>
      <c r="B23" s="55"/>
      <c r="C23" s="41">
        <v>45498.0</v>
      </c>
      <c r="D23" s="42" t="s">
        <v>95</v>
      </c>
      <c r="E23" s="42" t="s">
        <v>97</v>
      </c>
      <c r="F23" s="42" t="str">
        <f>+IFERROR(VLOOKUP(E23,'DANH MỤC'!$C:$H,2,0),"")</f>
        <v>Ống lõi giấy phi 120x7x1000mm</v>
      </c>
      <c r="G23" s="42" t="str">
        <f>+IFERROR(VLOOKUP(E23,'DANH MỤC'!$C:$H,6,0),"")</f>
        <v>Cái</v>
      </c>
      <c r="H23" s="42">
        <f>+IFERROR(VLOOKUP(E23,'DANH MỤC'!$C:$H,3,0),"")</f>
        <v>120</v>
      </c>
      <c r="I23" s="42">
        <f>+IFERROR(VLOOKUP(E23,'DANH MỤC'!$C:$H,4,0),"")</f>
        <v>70</v>
      </c>
      <c r="J23" s="42">
        <f>+IFERROR(VLOOKUP(E23,'DANH MỤC'!$C:$H,5,0),"")</f>
        <v>1000</v>
      </c>
      <c r="K23" s="53">
        <v>264.0</v>
      </c>
      <c r="L23" s="58"/>
      <c r="M23" s="55"/>
      <c r="N23" s="55"/>
    </row>
    <row r="24" ht="15.75" customHeight="1">
      <c r="A24" s="53">
        <f t="shared" si="1"/>
        <v>19</v>
      </c>
      <c r="B24" s="55"/>
      <c r="C24" s="41">
        <v>45498.0</v>
      </c>
      <c r="D24" s="42" t="s">
        <v>95</v>
      </c>
      <c r="E24" s="42" t="s">
        <v>107</v>
      </c>
      <c r="F24" s="42" t="str">
        <f>+IFERROR(VLOOKUP(E24,'DANH MỤC'!$C:$H,2,0),"")</f>
        <v>Pallet gỗ 1200x1200x130mm</v>
      </c>
      <c r="G24" s="42" t="str">
        <f>+IFERROR(VLOOKUP(E24,'DANH MỤC'!$C:$H,6,0),"")</f>
        <v>Bộ</v>
      </c>
      <c r="H24" s="42">
        <f>+IFERROR(VLOOKUP(E24,'DANH MỤC'!$C:$H,3,0),"")</f>
        <v>1200</v>
      </c>
      <c r="I24" s="42">
        <f>+IFERROR(VLOOKUP(E24,'DANH MỤC'!$C:$H,4,0),"")</f>
        <v>1200</v>
      </c>
      <c r="J24" s="42">
        <f>+IFERROR(VLOOKUP(E24,'DANH MỤC'!$C:$H,5,0),"")</f>
        <v>130</v>
      </c>
      <c r="K24" s="53">
        <v>16.0</v>
      </c>
      <c r="L24" s="58"/>
      <c r="M24" s="55"/>
      <c r="N24" s="55"/>
    </row>
    <row r="25" ht="15.75" customHeight="1">
      <c r="A25" s="53">
        <f t="shared" si="1"/>
        <v>20</v>
      </c>
      <c r="B25" s="55"/>
      <c r="C25" s="41">
        <v>45498.0</v>
      </c>
      <c r="D25" s="42" t="s">
        <v>95</v>
      </c>
      <c r="E25" s="42" t="s">
        <v>110</v>
      </c>
      <c r="F25" s="42" t="str">
        <f>+IFERROR(VLOOKUP(E25,'DANH MỤC'!$C:$H,2,0),"")</f>
        <v>Kraft nâu LG (cuộn)</v>
      </c>
      <c r="G25" s="42" t="str">
        <f>+IFERROR(VLOOKUP(E25,'DANH MỤC'!$C:$H,6,0),"")</f>
        <v>Kg</v>
      </c>
      <c r="H25" s="42" t="str">
        <f>+IFERROR(VLOOKUP(E25,'DANH MỤC'!$C:$H,3,0),"")</f>
        <v/>
      </c>
      <c r="I25" s="42" t="str">
        <f>+IFERROR(VLOOKUP(E25,'DANH MỤC'!$C:$H,4,0),"")</f>
        <v/>
      </c>
      <c r="J25" s="42" t="str">
        <f>+IFERROR(VLOOKUP(E25,'DANH MỤC'!$C:$H,5,0),"")</f>
        <v/>
      </c>
      <c r="K25" s="53">
        <v>1562.0</v>
      </c>
      <c r="L25" s="58"/>
      <c r="M25" s="55"/>
      <c r="N25" s="55"/>
    </row>
    <row r="26" ht="15.75" customHeight="1">
      <c r="A26" s="53">
        <f t="shared" si="1"/>
        <v>21</v>
      </c>
      <c r="B26" s="55"/>
      <c r="C26" s="41">
        <v>45498.0</v>
      </c>
      <c r="D26" s="42" t="s">
        <v>95</v>
      </c>
      <c r="E26" s="42" t="s">
        <v>112</v>
      </c>
      <c r="F26" s="42" t="str">
        <f>+IFERROR(VLOOKUP(E26,'DANH MỤC'!$C:$H,2,0),"")</f>
        <v>Dây đai PET xanh (B)</v>
      </c>
      <c r="G26" s="42" t="str">
        <f>+IFERROR(VLOOKUP(E26,'DANH MỤC'!$C:$H,6,0),"")</f>
        <v>Kg</v>
      </c>
      <c r="H26" s="42" t="str">
        <f>+IFERROR(VLOOKUP(E26,'DANH MỤC'!$C:$H,3,0),"")</f>
        <v/>
      </c>
      <c r="I26" s="42" t="str">
        <f>+IFERROR(VLOOKUP(E26,'DANH MỤC'!$C:$H,4,0),"")</f>
        <v/>
      </c>
      <c r="J26" s="42" t="str">
        <f>+IFERROR(VLOOKUP(E26,'DANH MỤC'!$C:$H,5,0),"")</f>
        <v/>
      </c>
      <c r="K26" s="53">
        <v>300.0</v>
      </c>
      <c r="L26" s="58"/>
      <c r="M26" s="55"/>
      <c r="N26" s="55"/>
    </row>
    <row r="27" ht="15.75" customHeight="1">
      <c r="A27" s="53">
        <f t="shared" si="1"/>
        <v>22</v>
      </c>
      <c r="B27" s="91"/>
      <c r="C27" s="41">
        <v>45498.0</v>
      </c>
      <c r="D27" s="42" t="s">
        <v>95</v>
      </c>
      <c r="E27" s="42" t="s">
        <v>115</v>
      </c>
      <c r="F27" s="42" t="str">
        <f>+IFERROR(VLOOKUP(E27,'DANH MỤC'!$C:$H,2,0),"")</f>
        <v>Màng Strecth Film 5.0-0.6kg</v>
      </c>
      <c r="G27" s="42" t="str">
        <f>+IFERROR(VLOOKUP(E27,'DANH MỤC'!$C:$H,6,0),"")</f>
        <v>Kg</v>
      </c>
      <c r="H27" s="42" t="str">
        <f>+IFERROR(VLOOKUP(E27,'DANH MỤC'!$C:$H,3,0),"")</f>
        <v/>
      </c>
      <c r="I27" s="42" t="str">
        <f>+IFERROR(VLOOKUP(E27,'DANH MỤC'!$C:$H,4,0),"")</f>
        <v/>
      </c>
      <c r="J27" s="42" t="str">
        <f>+IFERROR(VLOOKUP(E27,'DANH MỤC'!$C:$H,5,0),"")</f>
        <v/>
      </c>
      <c r="K27" s="53">
        <f>35.2+55</f>
        <v>90.2</v>
      </c>
      <c r="L27" s="58"/>
      <c r="M27" s="55"/>
      <c r="N27" s="55"/>
    </row>
    <row r="28" ht="15.75" customHeight="1">
      <c r="A28" s="53">
        <f t="shared" si="1"/>
        <v>23</v>
      </c>
      <c r="B28" s="91"/>
      <c r="C28" s="41">
        <v>45499.0</v>
      </c>
      <c r="D28" s="42" t="s">
        <v>35</v>
      </c>
      <c r="E28" s="42" t="s">
        <v>88</v>
      </c>
      <c r="F28" s="42" t="str">
        <f>+IFERROR(VLOOKUP(E28,'DANH MỤC'!$C:$H,2,0),"")</f>
        <v>Ivory Ningbo</v>
      </c>
      <c r="G28" s="42" t="str">
        <f>+IFERROR(VLOOKUP(E28,'DANH MỤC'!$C:$H,6,0),"")</f>
        <v>Kg</v>
      </c>
      <c r="H28" s="42">
        <f>+IFERROR(VLOOKUP(E28,'DANH MỤC'!$C:$H,3,0),"")</f>
        <v>250</v>
      </c>
      <c r="I28" s="42">
        <f>+IFERROR(VLOOKUP(E28,'DANH MỤC'!$C:$H,4,0),"")</f>
        <v>109</v>
      </c>
      <c r="J28" s="42" t="str">
        <f>+IFERROR(VLOOKUP(E28,'DANH MỤC'!$C:$H,5,0),"")</f>
        <v/>
      </c>
      <c r="K28" s="53">
        <v>2943.0</v>
      </c>
      <c r="L28" s="58"/>
      <c r="M28" s="55" t="s">
        <v>119</v>
      </c>
      <c r="N28" s="55"/>
    </row>
    <row r="29" ht="15.75" customHeight="1">
      <c r="A29" s="53">
        <f t="shared" si="1"/>
        <v>24</v>
      </c>
      <c r="B29" s="91"/>
      <c r="C29" s="41">
        <v>45499.0</v>
      </c>
      <c r="D29" s="42" t="s">
        <v>35</v>
      </c>
      <c r="E29" s="42" t="s">
        <v>92</v>
      </c>
      <c r="F29" s="42" t="str">
        <f>+IFERROR(VLOOKUP(E29,'DANH MỤC'!$C:$H,2,0),"")</f>
        <v>Ivory Ningbo</v>
      </c>
      <c r="G29" s="42" t="str">
        <f>+IFERROR(VLOOKUP(E29,'DANH MỤC'!$C:$H,6,0),"")</f>
        <v>Kg</v>
      </c>
      <c r="H29" s="42">
        <f>+IFERROR(VLOOKUP(E29,'DANH MỤC'!$C:$H,3,0),"")</f>
        <v>250</v>
      </c>
      <c r="I29" s="42">
        <f>+IFERROR(VLOOKUP(E29,'DANH MỤC'!$C:$H,4,0),"")</f>
        <v>65</v>
      </c>
      <c r="J29" s="42" t="str">
        <f>+IFERROR(VLOOKUP(E29,'DANH MỤC'!$C:$H,5,0),"")</f>
        <v/>
      </c>
      <c r="K29" s="101">
        <v>3510.0</v>
      </c>
      <c r="L29" s="58"/>
      <c r="M29" s="55" t="s">
        <v>119</v>
      </c>
      <c r="N29" s="55"/>
    </row>
    <row r="30" ht="15.75" customHeight="1">
      <c r="A30" s="53">
        <f t="shared" si="1"/>
        <v>25</v>
      </c>
      <c r="B30" s="91"/>
      <c r="C30" s="41">
        <v>45499.0</v>
      </c>
      <c r="D30" s="42" t="s">
        <v>35</v>
      </c>
      <c r="E30" s="42" t="s">
        <v>121</v>
      </c>
      <c r="F30" s="42" t="str">
        <f>+IFERROR(VLOOKUP(E30,'DANH MỤC'!$C:$H,2,0),"")</f>
        <v>Ivory Ningbo</v>
      </c>
      <c r="G30" s="42" t="str">
        <f>+IFERROR(VLOOKUP(E30,'DANH MỤC'!$C:$H,6,0),"")</f>
        <v>Kg</v>
      </c>
      <c r="H30" s="42">
        <f>+IFERROR(VLOOKUP(E30,'DANH MỤC'!$C:$H,3,0),"")</f>
        <v>250</v>
      </c>
      <c r="I30" s="42">
        <f>+IFERROR(VLOOKUP(E30,'DANH MỤC'!$C:$H,4,0),"")</f>
        <v>75</v>
      </c>
      <c r="J30" s="42" t="str">
        <f>+IFERROR(VLOOKUP(E30,'DANH MỤC'!$C:$H,5,0),"")</f>
        <v/>
      </c>
      <c r="K30" s="53">
        <v>3375.0</v>
      </c>
      <c r="L30" s="58"/>
      <c r="M30" s="55" t="s">
        <v>119</v>
      </c>
      <c r="N30" s="55"/>
    </row>
    <row r="31" ht="15.75" customHeight="1">
      <c r="A31" s="53">
        <f t="shared" si="1"/>
        <v>26</v>
      </c>
      <c r="B31" s="91"/>
      <c r="C31" s="41">
        <v>45499.0</v>
      </c>
      <c r="D31" s="42" t="s">
        <v>95</v>
      </c>
      <c r="E31" s="42" t="s">
        <v>115</v>
      </c>
      <c r="F31" s="42" t="str">
        <f>+IFERROR(VLOOKUP(E31,'DANH MỤC'!$C:$H,2,0),"")</f>
        <v>Màng Strecth Film 5.0-0.6kg</v>
      </c>
      <c r="G31" s="42" t="str">
        <f>+IFERROR(VLOOKUP(E31,'DANH MỤC'!$C:$H,6,0),"")</f>
        <v>Kg</v>
      </c>
      <c r="H31" s="42" t="str">
        <f>+IFERROR(VLOOKUP(E31,'DANH MỤC'!$C:$H,3,0),"")</f>
        <v/>
      </c>
      <c r="I31" s="42" t="str">
        <f>+IFERROR(VLOOKUP(E31,'DANH MỤC'!$C:$H,4,0),"")</f>
        <v/>
      </c>
      <c r="J31" s="42" t="str">
        <f>+IFERROR(VLOOKUP(E31,'DANH MỤC'!$C:$H,5,0),"")</f>
        <v/>
      </c>
      <c r="K31" s="53">
        <v>220.0</v>
      </c>
      <c r="L31" s="58"/>
      <c r="M31" s="55"/>
      <c r="N31" s="55"/>
    </row>
    <row r="32" ht="15.75" customHeight="1">
      <c r="A32" s="53">
        <f t="shared" si="1"/>
        <v>27</v>
      </c>
      <c r="B32" s="91"/>
      <c r="C32" s="41">
        <v>45499.0</v>
      </c>
      <c r="D32" s="42" t="s">
        <v>95</v>
      </c>
      <c r="E32" s="42" t="s">
        <v>112</v>
      </c>
      <c r="F32" s="42" t="str">
        <f>+IFERROR(VLOOKUP(E32,'DANH MỤC'!$C:$H,2,0),"")</f>
        <v>Dây đai PET xanh (B)</v>
      </c>
      <c r="G32" s="42" t="str">
        <f>+IFERROR(VLOOKUP(E32,'DANH MỤC'!$C:$H,6,0),"")</f>
        <v>Kg</v>
      </c>
      <c r="H32" s="42" t="str">
        <f>+IFERROR(VLOOKUP(E32,'DANH MỤC'!$C:$H,3,0),"")</f>
        <v/>
      </c>
      <c r="I32" s="42" t="str">
        <f>+IFERROR(VLOOKUP(E32,'DANH MỤC'!$C:$H,4,0),"")</f>
        <v/>
      </c>
      <c r="J32" s="42" t="str">
        <f>+IFERROR(VLOOKUP(E32,'DANH MỤC'!$C:$H,5,0),"")</f>
        <v/>
      </c>
      <c r="K32" s="53">
        <v>200.0</v>
      </c>
      <c r="L32" s="58"/>
      <c r="M32" s="55"/>
      <c r="N32" s="55"/>
    </row>
    <row r="33" ht="15.75" customHeight="1">
      <c r="A33" s="53">
        <f t="shared" si="1"/>
        <v>28</v>
      </c>
      <c r="B33" s="55"/>
      <c r="C33" s="41">
        <v>45499.0</v>
      </c>
      <c r="D33" s="42" t="s">
        <v>125</v>
      </c>
      <c r="E33" s="42" t="s">
        <v>96</v>
      </c>
      <c r="F33" s="42" t="str">
        <f>+IFERROR(VLOOKUP(E33,'DANH MỤC'!$C:$H,2,0),"")</f>
        <v>Giấy bao gói lưỡi gà</v>
      </c>
      <c r="G33" s="42" t="str">
        <f>+IFERROR(VLOOKUP(E33,'DANH MỤC'!$C:$H,6,0),"")</f>
        <v>Kg</v>
      </c>
      <c r="H33" s="42" t="str">
        <f>+IFERROR(VLOOKUP(E33,'DANH MỤC'!$C:$H,3,0),"")</f>
        <v/>
      </c>
      <c r="I33" s="42" t="str">
        <f>+IFERROR(VLOOKUP(E33,'DANH MỤC'!$C:$H,4,0),"")</f>
        <v/>
      </c>
      <c r="J33" s="42" t="str">
        <f>+IFERROR(VLOOKUP(E33,'DANH MỤC'!$C:$H,5,0),"")</f>
        <v/>
      </c>
      <c r="K33" s="53"/>
      <c r="L33" s="58">
        <v>12.45</v>
      </c>
      <c r="M33" s="55"/>
      <c r="N33" s="55"/>
    </row>
    <row r="34" ht="15.75" customHeight="1">
      <c r="A34" s="53">
        <f t="shared" si="1"/>
        <v>29</v>
      </c>
      <c r="B34" s="55"/>
      <c r="C34" s="41">
        <v>45499.0</v>
      </c>
      <c r="D34" s="42" t="s">
        <v>125</v>
      </c>
      <c r="E34" s="42" t="s">
        <v>97</v>
      </c>
      <c r="F34" s="42" t="str">
        <f>+IFERROR(VLOOKUP(E34,'DANH MỤC'!$C:$H,2,0),"")</f>
        <v>Ống lõi giấy phi 120x7x1000mm</v>
      </c>
      <c r="G34" s="42" t="str">
        <f>+IFERROR(VLOOKUP(E34,'DANH MỤC'!$C:$H,6,0),"")</f>
        <v>Cái</v>
      </c>
      <c r="H34" s="42">
        <f>+IFERROR(VLOOKUP(E34,'DANH MỤC'!$C:$H,3,0),"")</f>
        <v>120</v>
      </c>
      <c r="I34" s="42">
        <f>+IFERROR(VLOOKUP(E34,'DANH MỤC'!$C:$H,4,0),"")</f>
        <v>70</v>
      </c>
      <c r="J34" s="42">
        <f>+IFERROR(VLOOKUP(E34,'DANH MỤC'!$C:$H,5,0),"")</f>
        <v>1000</v>
      </c>
      <c r="K34" s="53"/>
      <c r="L34" s="58">
        <v>70.0</v>
      </c>
      <c r="M34" s="55"/>
      <c r="N34" s="55"/>
    </row>
    <row r="35" ht="15.75" customHeight="1">
      <c r="A35" s="53">
        <f t="shared" si="1"/>
        <v>30</v>
      </c>
      <c r="B35" s="55"/>
      <c r="C35" s="41">
        <v>45499.0</v>
      </c>
      <c r="D35" s="42" t="s">
        <v>125</v>
      </c>
      <c r="E35" s="42" t="s">
        <v>107</v>
      </c>
      <c r="F35" s="42" t="str">
        <f>+IFERROR(VLOOKUP(E35,'DANH MỤC'!$C:$H,2,0),"")</f>
        <v>Pallet gỗ 1200x1200x130mm</v>
      </c>
      <c r="G35" s="42" t="str">
        <f>+IFERROR(VLOOKUP(E35,'DANH MỤC'!$C:$H,6,0),"")</f>
        <v>Bộ</v>
      </c>
      <c r="H35" s="42">
        <f>+IFERROR(VLOOKUP(E35,'DANH MỤC'!$C:$H,3,0),"")</f>
        <v>1200</v>
      </c>
      <c r="I35" s="42">
        <f>+IFERROR(VLOOKUP(E35,'DANH MỤC'!$C:$H,4,0),"")</f>
        <v>1200</v>
      </c>
      <c r="J35" s="42">
        <f>+IFERROR(VLOOKUP(E35,'DANH MỤC'!$C:$H,5,0),"")</f>
        <v>130</v>
      </c>
      <c r="K35" s="53"/>
      <c r="L35" s="58">
        <v>11.0</v>
      </c>
      <c r="M35" s="55"/>
      <c r="N35" s="55"/>
    </row>
    <row r="36" ht="15.75" customHeight="1">
      <c r="A36" s="53">
        <f t="shared" si="1"/>
        <v>31</v>
      </c>
      <c r="B36" s="55"/>
      <c r="C36" s="41">
        <v>45499.0</v>
      </c>
      <c r="D36" s="42" t="s">
        <v>125</v>
      </c>
      <c r="E36" s="42" t="s">
        <v>115</v>
      </c>
      <c r="F36" s="42" t="str">
        <f>+IFERROR(VLOOKUP(E36,'DANH MỤC'!$C:$H,2,0),"")</f>
        <v>Màng Strecth Film 5.0-0.6kg</v>
      </c>
      <c r="G36" s="42" t="str">
        <f>+IFERROR(VLOOKUP(E36,'DANH MỤC'!$C:$H,6,0),"")</f>
        <v>Kg</v>
      </c>
      <c r="H36" s="42" t="str">
        <f>+IFERROR(VLOOKUP(E36,'DANH MỤC'!$C:$H,3,0),"")</f>
        <v/>
      </c>
      <c r="I36" s="42" t="str">
        <f>+IFERROR(VLOOKUP(E36,'DANH MỤC'!$C:$H,4,0),"")</f>
        <v/>
      </c>
      <c r="J36" s="42" t="str">
        <f>+IFERROR(VLOOKUP(E36,'DANH MỤC'!$C:$H,5,0),"")</f>
        <v/>
      </c>
      <c r="K36" s="53"/>
      <c r="L36" s="58">
        <v>6.73</v>
      </c>
      <c r="M36" s="55"/>
      <c r="N36" s="55"/>
    </row>
    <row r="37" ht="15.75" customHeight="1">
      <c r="A37" s="53">
        <f t="shared" si="1"/>
        <v>32</v>
      </c>
      <c r="B37" s="55"/>
      <c r="C37" s="41">
        <v>45499.0</v>
      </c>
      <c r="D37" s="42" t="s">
        <v>125</v>
      </c>
      <c r="E37" s="42" t="s">
        <v>112</v>
      </c>
      <c r="F37" s="42" t="str">
        <f>+IFERROR(VLOOKUP(E37,'DANH MỤC'!$C:$H,2,0),"")</f>
        <v>Dây đai PET xanh (B)</v>
      </c>
      <c r="G37" s="42" t="str">
        <f>+IFERROR(VLOOKUP(E37,'DANH MỤC'!$C:$H,6,0),"")</f>
        <v>Kg</v>
      </c>
      <c r="H37" s="42" t="str">
        <f>+IFERROR(VLOOKUP(E37,'DANH MỤC'!$C:$H,3,0),"")</f>
        <v/>
      </c>
      <c r="I37" s="42" t="str">
        <f>+IFERROR(VLOOKUP(E37,'DANH MỤC'!$C:$H,4,0),"")</f>
        <v/>
      </c>
      <c r="J37" s="42" t="str">
        <f>+IFERROR(VLOOKUP(E37,'DANH MỤC'!$C:$H,5,0),"")</f>
        <v/>
      </c>
      <c r="K37" s="53"/>
      <c r="L37" s="58">
        <v>11.39</v>
      </c>
      <c r="M37" s="55"/>
      <c r="N37" s="55"/>
    </row>
    <row r="38" ht="15.75" customHeight="1">
      <c r="A38" s="53">
        <f t="shared" si="1"/>
        <v>33</v>
      </c>
      <c r="B38" s="55"/>
      <c r="C38" s="41">
        <v>45502.0</v>
      </c>
      <c r="D38" s="42" t="s">
        <v>95</v>
      </c>
      <c r="E38" s="42" t="s">
        <v>127</v>
      </c>
      <c r="F38" s="42" t="str">
        <f>+IFERROR(VLOOKUP(E38,'DANH MỤC'!$C:$H,2,0),"")</f>
        <v>Pallet gỗ 1100x1100x130mm</v>
      </c>
      <c r="G38" s="42" t="str">
        <f>+IFERROR(VLOOKUP(E38,'DANH MỤC'!$C:$H,6,0),"")</f>
        <v>Bộ</v>
      </c>
      <c r="H38" s="42">
        <f>+IFERROR(VLOOKUP(E38,'DANH MỤC'!$C:$H,3,0),"")</f>
        <v>1100</v>
      </c>
      <c r="I38" s="42">
        <f>+IFERROR(VLOOKUP(E38,'DANH MỤC'!$C:$H,4,0),"")</f>
        <v>1100</v>
      </c>
      <c r="J38" s="42">
        <f>+IFERROR(VLOOKUP(E38,'DANH MỤC'!$C:$H,5,0),"")</f>
        <v>130</v>
      </c>
      <c r="K38" s="53">
        <v>50.0</v>
      </c>
      <c r="L38" s="58"/>
      <c r="M38" s="55"/>
      <c r="N38" s="55"/>
    </row>
    <row r="39" ht="15.75" customHeight="1">
      <c r="A39" s="53">
        <f t="shared" si="1"/>
        <v>34</v>
      </c>
      <c r="B39" s="55" t="s">
        <v>128</v>
      </c>
      <c r="C39" s="41">
        <v>45506.0</v>
      </c>
      <c r="D39" s="42" t="s">
        <v>129</v>
      </c>
      <c r="E39" s="42" t="s">
        <v>123</v>
      </c>
      <c r="F39" s="42" t="str">
        <f>+IFERROR(VLOOKUP(E39,'DANH MỤC'!$C:$H,2,0),"")</f>
        <v>Lưỡi gà trắng 90mm x 800m x 250gsm</v>
      </c>
      <c r="G39" s="42" t="str">
        <f>+IFERROR(VLOOKUP(E39,'DANH MỤC'!$C:$H,6,0),"")</f>
        <v>Cuộn</v>
      </c>
      <c r="H39" s="42">
        <f>+IFERROR(VLOOKUP(E39,'DANH MỤC'!$C:$H,3,0),"")</f>
        <v>250</v>
      </c>
      <c r="I39" s="42">
        <f>+IFERROR(VLOOKUP(E39,'DANH MỤC'!$C:$H,4,0),"")</f>
        <v>90</v>
      </c>
      <c r="J39" s="42">
        <f>+IFERROR(VLOOKUP(E39,'DANH MỤC'!$C:$H,5,0),"")</f>
        <v>800</v>
      </c>
      <c r="K39" s="53">
        <v>528.0</v>
      </c>
      <c r="L39" s="58"/>
      <c r="M39" s="55"/>
      <c r="N39" s="55"/>
    </row>
    <row r="40" ht="15.75" customHeight="1">
      <c r="A40" s="117">
        <f t="shared" si="1"/>
        <v>35</v>
      </c>
      <c r="B40" s="118"/>
      <c r="C40" s="119">
        <v>45506.0</v>
      </c>
      <c r="D40" s="120" t="s">
        <v>130</v>
      </c>
      <c r="E40" s="120" t="s">
        <v>123</v>
      </c>
      <c r="F40" s="120" t="str">
        <f>+IFERROR(VLOOKUP(E40,'DANH MỤC'!$C:$H,2,0),"")</f>
        <v>Lưỡi gà trắng 90mm x 800m x 250gsm</v>
      </c>
      <c r="G40" s="120" t="str">
        <f>+IFERROR(VLOOKUP(E40,'DANH MỤC'!$C:$H,6,0),"")</f>
        <v>Cuộn</v>
      </c>
      <c r="H40" s="120">
        <f>+IFERROR(VLOOKUP(E40,'DANH MỤC'!$C:$H,3,0),"")</f>
        <v>250</v>
      </c>
      <c r="I40" s="120">
        <f>+IFERROR(VLOOKUP(E40,'DANH MỤC'!$C:$H,4,0),"")</f>
        <v>90</v>
      </c>
      <c r="J40" s="120">
        <f>+IFERROR(VLOOKUP(E40,'DANH MỤC'!$C:$H,5,0),"")</f>
        <v>800</v>
      </c>
      <c r="K40" s="117"/>
      <c r="L40" s="121">
        <v>520.0</v>
      </c>
      <c r="M40" s="118" t="s">
        <v>131</v>
      </c>
      <c r="N40" s="118"/>
    </row>
    <row r="41" ht="15.75" customHeight="1">
      <c r="A41" s="53">
        <f t="shared" si="1"/>
        <v>36</v>
      </c>
      <c r="B41" s="55" t="s">
        <v>132</v>
      </c>
      <c r="C41" s="41">
        <v>45511.0</v>
      </c>
      <c r="D41" s="42" t="s">
        <v>133</v>
      </c>
      <c r="E41" s="42" t="s">
        <v>86</v>
      </c>
      <c r="F41" s="42" t="str">
        <f>+IFERROR(VLOOKUP(E41,'DANH MỤC'!$C:$H,2,0),"")</f>
        <v>Ivory IPSUN</v>
      </c>
      <c r="G41" s="42" t="str">
        <f>+IFERROR(VLOOKUP(E41,'DANH MỤC'!$C:$H,6,0),"")</f>
        <v>Kg</v>
      </c>
      <c r="H41" s="42">
        <f>+IFERROR(VLOOKUP(E41,'DANH MỤC'!$C:$H,3,0),"")</f>
        <v>230</v>
      </c>
      <c r="I41" s="42">
        <f>+IFERROR(VLOOKUP(E41,'DANH MỤC'!$C:$H,4,0),"")</f>
        <v>109</v>
      </c>
      <c r="J41" s="42" t="str">
        <f>+IFERROR(VLOOKUP(E41,'DANH MỤC'!$C:$H,5,0),"")</f>
        <v/>
      </c>
      <c r="K41" s="53"/>
      <c r="L41" s="58">
        <f>7080-427</f>
        <v>6653</v>
      </c>
      <c r="M41" s="55"/>
      <c r="N41" s="55"/>
    </row>
    <row r="42" ht="15.75" customHeight="1">
      <c r="A42" s="53">
        <f t="shared" si="1"/>
        <v>37</v>
      </c>
      <c r="B42" s="55"/>
      <c r="C42" s="41">
        <v>45511.0</v>
      </c>
      <c r="D42" s="42" t="s">
        <v>125</v>
      </c>
      <c r="E42" s="42" t="s">
        <v>107</v>
      </c>
      <c r="F42" s="42" t="str">
        <f>+IFERROR(VLOOKUP(E42,'DANH MỤC'!$C:$H,2,0),"")</f>
        <v>Pallet gỗ 1200x1200x130mm</v>
      </c>
      <c r="G42" s="42" t="str">
        <f>+IFERROR(VLOOKUP(E42,'DANH MỤC'!$C:$H,6,0),"")</f>
        <v>Bộ</v>
      </c>
      <c r="H42" s="42">
        <f>+IFERROR(VLOOKUP(E42,'DANH MỤC'!$C:$H,3,0),"")</f>
        <v>1200</v>
      </c>
      <c r="I42" s="42">
        <f>+IFERROR(VLOOKUP(E42,'DANH MỤC'!$C:$H,4,0),"")</f>
        <v>1200</v>
      </c>
      <c r="J42" s="42">
        <f>+IFERROR(VLOOKUP(E42,'DANH MỤC'!$C:$H,5,0),"")</f>
        <v>130</v>
      </c>
      <c r="K42" s="53"/>
      <c r="L42" s="58">
        <v>5.0</v>
      </c>
      <c r="M42" s="55"/>
      <c r="N42" s="55"/>
    </row>
    <row r="43" ht="15.75" customHeight="1">
      <c r="A43" s="53">
        <f t="shared" si="1"/>
        <v>38</v>
      </c>
      <c r="B43" s="55"/>
      <c r="C43" s="41">
        <v>45511.0</v>
      </c>
      <c r="D43" s="42" t="s">
        <v>125</v>
      </c>
      <c r="E43" s="42" t="s">
        <v>127</v>
      </c>
      <c r="F43" s="42" t="str">
        <f>+IFERROR(VLOOKUP(E43,'DANH MỤC'!$C:$H,2,0),"")</f>
        <v>Pallet gỗ 1100x1100x130mm</v>
      </c>
      <c r="G43" s="42" t="str">
        <f>+IFERROR(VLOOKUP(E43,'DANH MỤC'!$C:$H,6,0),"")</f>
        <v>Bộ</v>
      </c>
      <c r="H43" s="42">
        <f>+IFERROR(VLOOKUP(E43,'DANH MỤC'!$C:$H,3,0),"")</f>
        <v>1100</v>
      </c>
      <c r="I43" s="42">
        <f>+IFERROR(VLOOKUP(E43,'DANH MỤC'!$C:$H,4,0),"")</f>
        <v>1100</v>
      </c>
      <c r="J43" s="42">
        <f>+IFERROR(VLOOKUP(E43,'DANH MỤC'!$C:$H,5,0),"")</f>
        <v>130</v>
      </c>
      <c r="K43" s="53"/>
      <c r="L43" s="58">
        <v>1.0</v>
      </c>
      <c r="M43" s="55"/>
      <c r="N43" s="55"/>
    </row>
    <row r="44" ht="15.75" customHeight="1">
      <c r="A44" s="53">
        <f t="shared" si="1"/>
        <v>39</v>
      </c>
      <c r="B44" s="55"/>
      <c r="C44" s="41">
        <v>45511.0</v>
      </c>
      <c r="D44" s="42" t="s">
        <v>125</v>
      </c>
      <c r="E44" s="42" t="s">
        <v>115</v>
      </c>
      <c r="F44" s="42" t="str">
        <f>+IFERROR(VLOOKUP(E44,'DANH MỤC'!$C:$H,2,0),"")</f>
        <v>Màng Strecth Film 5.0-0.6kg</v>
      </c>
      <c r="G44" s="42" t="str">
        <f>+IFERROR(VLOOKUP(E44,'DANH MỤC'!$C:$H,6,0),"")</f>
        <v>Kg</v>
      </c>
      <c r="H44" s="42" t="str">
        <f>+IFERROR(VLOOKUP(E44,'DANH MỤC'!$C:$H,3,0),"")</f>
        <v/>
      </c>
      <c r="I44" s="42" t="str">
        <f>+IFERROR(VLOOKUP(E44,'DANH MỤC'!$C:$H,4,0),"")</f>
        <v/>
      </c>
      <c r="J44" s="42" t="str">
        <f>+IFERROR(VLOOKUP(E44,'DANH MỤC'!$C:$H,5,0),"")</f>
        <v/>
      </c>
      <c r="K44" s="53"/>
      <c r="L44" s="58">
        <v>4.04</v>
      </c>
      <c r="M44" s="55"/>
      <c r="N44" s="55"/>
    </row>
    <row r="45" ht="15.75" customHeight="1">
      <c r="A45" s="53">
        <f t="shared" si="1"/>
        <v>40</v>
      </c>
      <c r="B45" s="55"/>
      <c r="C45" s="41">
        <v>45511.0</v>
      </c>
      <c r="D45" s="42" t="s">
        <v>125</v>
      </c>
      <c r="E45" s="42" t="s">
        <v>112</v>
      </c>
      <c r="F45" s="42" t="str">
        <f>+IFERROR(VLOOKUP(E45,'DANH MỤC'!$C:$H,2,0),"")</f>
        <v>Dây đai PET xanh (B)</v>
      </c>
      <c r="G45" s="42" t="str">
        <f>+IFERROR(VLOOKUP(E45,'DANH MỤC'!$C:$H,6,0),"")</f>
        <v>Kg</v>
      </c>
      <c r="H45" s="42" t="str">
        <f>+IFERROR(VLOOKUP(E45,'DANH MỤC'!$C:$H,3,0),"")</f>
        <v/>
      </c>
      <c r="I45" s="42" t="str">
        <f>+IFERROR(VLOOKUP(E45,'DANH MỤC'!$C:$H,4,0),"")</f>
        <v/>
      </c>
      <c r="J45" s="42" t="str">
        <f>+IFERROR(VLOOKUP(E45,'DANH MỤC'!$C:$H,5,0),"")</f>
        <v/>
      </c>
      <c r="K45" s="53"/>
      <c r="L45" s="58">
        <v>6.83</v>
      </c>
      <c r="M45" s="55"/>
      <c r="N45" s="55"/>
    </row>
    <row r="46" ht="15.75" customHeight="1">
      <c r="A46" s="53">
        <f t="shared" si="1"/>
        <v>41</v>
      </c>
      <c r="B46" s="55"/>
      <c r="C46" s="41">
        <v>45511.0</v>
      </c>
      <c r="D46" s="42" t="s">
        <v>125</v>
      </c>
      <c r="E46" s="42" t="s">
        <v>96</v>
      </c>
      <c r="F46" s="42" t="str">
        <f>+IFERROR(VLOOKUP(E46,'DANH MỤC'!$C:$H,2,0),"")</f>
        <v>Giấy bao gói lưỡi gà</v>
      </c>
      <c r="G46" s="42" t="str">
        <f>+IFERROR(VLOOKUP(E46,'DANH MỤC'!$C:$H,6,0),"")</f>
        <v>Kg</v>
      </c>
      <c r="H46" s="42" t="str">
        <f>+IFERROR(VLOOKUP(E46,'DANH MỤC'!$C:$H,3,0),"")</f>
        <v/>
      </c>
      <c r="I46" s="42" t="str">
        <f>+IFERROR(VLOOKUP(E46,'DANH MỤC'!$C:$H,4,0),"")</f>
        <v/>
      </c>
      <c r="J46" s="42" t="str">
        <f>+IFERROR(VLOOKUP(E46,'DANH MỤC'!$C:$H,5,0),"")</f>
        <v/>
      </c>
      <c r="K46" s="53"/>
      <c r="L46" s="58">
        <v>6.41</v>
      </c>
      <c r="M46" s="55"/>
      <c r="N46" s="55"/>
    </row>
    <row r="47" ht="15.75" customHeight="1">
      <c r="A47" s="53">
        <f t="shared" si="1"/>
        <v>42</v>
      </c>
      <c r="B47" s="55"/>
      <c r="C47" s="41">
        <v>45511.0</v>
      </c>
      <c r="D47" s="42" t="s">
        <v>125</v>
      </c>
      <c r="E47" s="42" t="s">
        <v>97</v>
      </c>
      <c r="F47" s="42" t="str">
        <f>+IFERROR(VLOOKUP(E47,'DANH MỤC'!$C:$H,2,0),"")</f>
        <v>Ống lõi giấy phi 120x7x1000mm</v>
      </c>
      <c r="G47" s="42" t="str">
        <f>+IFERROR(VLOOKUP(E47,'DANH MỤC'!$C:$H,6,0),"")</f>
        <v>Cái</v>
      </c>
      <c r="H47" s="42">
        <f>+IFERROR(VLOOKUP(E47,'DANH MỤC'!$C:$H,3,0),"")</f>
        <v>120</v>
      </c>
      <c r="I47" s="42">
        <f>+IFERROR(VLOOKUP(E47,'DANH MỤC'!$C:$H,4,0),"")</f>
        <v>70</v>
      </c>
      <c r="J47" s="42">
        <f>+IFERROR(VLOOKUP(E47,'DANH MỤC'!$C:$H,5,0),"")</f>
        <v>1000</v>
      </c>
      <c r="K47" s="53"/>
      <c r="L47" s="58">
        <v>36.0</v>
      </c>
      <c r="M47" s="55"/>
      <c r="N47" s="55"/>
    </row>
    <row r="48" ht="15.75" customHeight="1">
      <c r="A48" s="53">
        <f t="shared" si="1"/>
        <v>43</v>
      </c>
      <c r="B48" s="55"/>
      <c r="C48" s="41">
        <v>45516.0</v>
      </c>
      <c r="D48" s="42" t="s">
        <v>35</v>
      </c>
      <c r="E48" s="42" t="s">
        <v>134</v>
      </c>
      <c r="F48" s="42" t="str">
        <f>+IFERROR(VLOOKUP(E48,'DANH MỤC'!$C:$H,2,0),"")</f>
        <v>Ivory Ningbo</v>
      </c>
      <c r="G48" s="42" t="str">
        <f>+IFERROR(VLOOKUP(E48,'DANH MỤC'!$C:$H,6,0),"")</f>
        <v>Kg</v>
      </c>
      <c r="H48" s="42">
        <f>+IFERROR(VLOOKUP(E48,'DANH MỤC'!$C:$H,3,0),"")</f>
        <v>230</v>
      </c>
      <c r="I48" s="42">
        <f>+IFERROR(VLOOKUP(E48,'DANH MỤC'!$C:$H,4,0),"")</f>
        <v>65</v>
      </c>
      <c r="J48" s="42" t="str">
        <f>+IFERROR(VLOOKUP(E48,'DANH MỤC'!$C:$H,5,0),"")</f>
        <v/>
      </c>
      <c r="K48" s="53">
        <v>30.0</v>
      </c>
      <c r="L48" s="58"/>
      <c r="M48" s="55" t="s">
        <v>135</v>
      </c>
      <c r="N48" s="55"/>
    </row>
    <row r="49" ht="15.75" customHeight="1">
      <c r="A49" s="53">
        <f t="shared" si="1"/>
        <v>44</v>
      </c>
      <c r="B49" s="55" t="s">
        <v>136</v>
      </c>
      <c r="C49" s="41">
        <v>45516.0</v>
      </c>
      <c r="D49" s="42" t="s">
        <v>137</v>
      </c>
      <c r="E49" s="42" t="s">
        <v>134</v>
      </c>
      <c r="F49" s="42" t="str">
        <f>+IFERROR(VLOOKUP(E49,'DANH MỤC'!$C:$H,2,0),"")</f>
        <v>Ivory Ningbo</v>
      </c>
      <c r="G49" s="42" t="str">
        <f>+IFERROR(VLOOKUP(E49,'DANH MỤC'!$C:$H,6,0),"")</f>
        <v>Kg</v>
      </c>
      <c r="H49" s="42">
        <f>+IFERROR(VLOOKUP(E49,'DANH MỤC'!$C:$H,3,0),"")</f>
        <v>230</v>
      </c>
      <c r="I49" s="42">
        <f>+IFERROR(VLOOKUP(E49,'DANH MỤC'!$C:$H,4,0),"")</f>
        <v>65</v>
      </c>
      <c r="J49" s="42" t="str">
        <f>+IFERROR(VLOOKUP(E49,'DANH MỤC'!$C:$H,5,0),"")</f>
        <v/>
      </c>
      <c r="K49" s="53"/>
      <c r="L49" s="58">
        <v>30.0</v>
      </c>
      <c r="M49" s="55"/>
      <c r="N49" s="55"/>
    </row>
    <row r="50" ht="15.75" customHeight="1">
      <c r="A50" s="53">
        <f t="shared" si="1"/>
        <v>45</v>
      </c>
      <c r="B50" s="55"/>
      <c r="C50" s="41">
        <v>45516.0</v>
      </c>
      <c r="D50" s="42" t="s">
        <v>138</v>
      </c>
      <c r="E50" s="42" t="s">
        <v>139</v>
      </c>
      <c r="F50" s="42" t="str">
        <f>+IFERROR(VLOOKUP(E50,'DANH MỤC'!$C:$H,2,0),"")</f>
        <v/>
      </c>
      <c r="G50" s="42" t="str">
        <f>+IFERROR(VLOOKUP(E50,'DANH MỤC'!$C:$H,6,0),"")</f>
        <v/>
      </c>
      <c r="H50" s="42" t="str">
        <f>+IFERROR(VLOOKUP(E50,'DANH MỤC'!$C:$H,3,0),"")</f>
        <v/>
      </c>
      <c r="I50" s="42" t="str">
        <f>+IFERROR(VLOOKUP(E50,'DANH MỤC'!$C:$H,4,0),"")</f>
        <v/>
      </c>
      <c r="J50" s="42" t="str">
        <f>+IFERROR(VLOOKUP(E50,'DANH MỤC'!$C:$H,5,0),"")</f>
        <v/>
      </c>
      <c r="K50" s="53"/>
      <c r="L50" s="58">
        <v>2.0</v>
      </c>
      <c r="M50" s="55"/>
      <c r="N50" s="55"/>
    </row>
    <row r="51" ht="15.75" customHeight="1">
      <c r="A51" s="53">
        <f t="shared" si="1"/>
        <v>46</v>
      </c>
      <c r="B51" s="55"/>
      <c r="C51" s="41">
        <v>45516.0</v>
      </c>
      <c r="D51" s="42" t="s">
        <v>138</v>
      </c>
      <c r="E51" s="42" t="s">
        <v>140</v>
      </c>
      <c r="F51" s="42" t="str">
        <f>+IFERROR(VLOOKUP(E51,'DANH MỤC'!$C:$H,2,0),"")</f>
        <v/>
      </c>
      <c r="G51" s="42" t="str">
        <f>+IFERROR(VLOOKUP(E51,'DANH MỤC'!$C:$H,6,0),"")</f>
        <v/>
      </c>
      <c r="H51" s="42" t="str">
        <f>+IFERROR(VLOOKUP(E51,'DANH MỤC'!$C:$H,3,0),"")</f>
        <v/>
      </c>
      <c r="I51" s="42" t="str">
        <f>+IFERROR(VLOOKUP(E51,'DANH MỤC'!$C:$H,4,0),"")</f>
        <v/>
      </c>
      <c r="J51" s="42" t="str">
        <f>+IFERROR(VLOOKUP(E51,'DANH MỤC'!$C:$H,5,0),"")</f>
        <v/>
      </c>
      <c r="K51" s="53"/>
      <c r="L51" s="58">
        <v>2.0</v>
      </c>
      <c r="M51" s="55"/>
      <c r="N51" s="55"/>
    </row>
    <row r="52" ht="15.75" customHeight="1">
      <c r="A52" s="53">
        <f t="shared" si="1"/>
        <v>47</v>
      </c>
      <c r="B52" s="55"/>
      <c r="C52" s="41">
        <v>45516.0</v>
      </c>
      <c r="D52" s="42" t="s">
        <v>138</v>
      </c>
      <c r="E52" s="42" t="s">
        <v>141</v>
      </c>
      <c r="F52" s="42" t="str">
        <f>+IFERROR(VLOOKUP(E52,'DANH MỤC'!$C:$H,2,0),"")</f>
        <v/>
      </c>
      <c r="G52" s="42" t="str">
        <f>+IFERROR(VLOOKUP(E52,'DANH MỤC'!$C:$H,6,0),"")</f>
        <v/>
      </c>
      <c r="H52" s="42" t="str">
        <f>+IFERROR(VLOOKUP(E52,'DANH MỤC'!$C:$H,3,0),"")</f>
        <v/>
      </c>
      <c r="I52" s="42" t="str">
        <f>+IFERROR(VLOOKUP(E52,'DANH MỤC'!$C:$H,4,0),"")</f>
        <v/>
      </c>
      <c r="J52" s="42" t="str">
        <f>+IFERROR(VLOOKUP(E52,'DANH MỤC'!$C:$H,5,0),"")</f>
        <v/>
      </c>
      <c r="K52" s="53"/>
      <c r="L52" s="58">
        <v>2.0</v>
      </c>
      <c r="M52" s="55"/>
      <c r="N52" s="55"/>
    </row>
    <row r="53" ht="15.75" customHeight="1">
      <c r="A53" s="53">
        <f t="shared" si="1"/>
        <v>48</v>
      </c>
      <c r="B53" s="55"/>
      <c r="C53" s="41">
        <v>45516.0</v>
      </c>
      <c r="D53" s="42" t="s">
        <v>95</v>
      </c>
      <c r="E53" s="42" t="s">
        <v>96</v>
      </c>
      <c r="F53" s="42" t="str">
        <f>+IFERROR(VLOOKUP(E53,'DANH MỤC'!$C:$H,2,0),"")</f>
        <v>Giấy bao gói lưỡi gà</v>
      </c>
      <c r="G53" s="42" t="str">
        <f>+IFERROR(VLOOKUP(E53,'DANH MỤC'!$C:$H,6,0),"")</f>
        <v>Kg</v>
      </c>
      <c r="H53" s="42" t="str">
        <f>+IFERROR(VLOOKUP(E53,'DANH MỤC'!$C:$H,3,0),"")</f>
        <v/>
      </c>
      <c r="I53" s="42" t="str">
        <f>+IFERROR(VLOOKUP(E53,'DANH MỤC'!$C:$H,4,0),"")</f>
        <v/>
      </c>
      <c r="J53" s="42" t="str">
        <f>+IFERROR(VLOOKUP(E53,'DANH MỤC'!$C:$H,5,0),"")</f>
        <v/>
      </c>
      <c r="K53" s="53">
        <v>90.0</v>
      </c>
      <c r="L53" s="58"/>
      <c r="M53" s="55"/>
      <c r="N53" s="55"/>
    </row>
    <row r="54" ht="15.75" customHeight="1">
      <c r="A54" s="53">
        <f t="shared" si="1"/>
        <v>49</v>
      </c>
      <c r="B54" s="55"/>
      <c r="C54" s="41">
        <v>45517.0</v>
      </c>
      <c r="D54" s="42" t="s">
        <v>142</v>
      </c>
      <c r="E54" s="42" t="s">
        <v>120</v>
      </c>
      <c r="F54" s="42" t="str">
        <f>+IFERROR(VLOOKUP(E54,'DANH MỤC'!$C:$H,2,0),"")</f>
        <v>Lưỡi gà trắng 98mm x 800m x 230gsm</v>
      </c>
      <c r="G54" s="42" t="str">
        <f>+IFERROR(VLOOKUP(E54,'DANH MỤC'!$C:$H,6,0),"")</f>
        <v>Cuộn</v>
      </c>
      <c r="H54" s="42">
        <f>+IFERROR(VLOOKUP(E54,'DANH MỤC'!$C:$H,3,0),"")</f>
        <v>230</v>
      </c>
      <c r="I54" s="42">
        <f>+IFERROR(VLOOKUP(E54,'DANH MỤC'!$C:$H,4,0),"")</f>
        <v>98</v>
      </c>
      <c r="J54" s="42">
        <f>+IFERROR(VLOOKUP(E54,'DANH MỤC'!$C:$H,5,0),"")</f>
        <v>800</v>
      </c>
      <c r="K54" s="53">
        <v>363.0</v>
      </c>
      <c r="L54" s="58"/>
      <c r="M54" s="55"/>
      <c r="N54" s="55"/>
    </row>
    <row r="55" ht="15.75" customHeight="1">
      <c r="A55" s="53">
        <f t="shared" si="1"/>
        <v>50</v>
      </c>
      <c r="B55" s="55"/>
      <c r="C55" s="41">
        <v>45519.0</v>
      </c>
      <c r="D55" s="42" t="s">
        <v>125</v>
      </c>
      <c r="E55" s="42" t="s">
        <v>110</v>
      </c>
      <c r="F55" s="42" t="str">
        <f>+IFERROR(VLOOKUP(E55,'DANH MỤC'!$C:$H,2,0),"")</f>
        <v>Kraft nâu LG (cuộn)</v>
      </c>
      <c r="G55" s="42" t="str">
        <f>+IFERROR(VLOOKUP(E55,'DANH MỤC'!$C:$H,6,0),"")</f>
        <v>Kg</v>
      </c>
      <c r="H55" s="42" t="str">
        <f>+IFERROR(VLOOKUP(E55,'DANH MỤC'!$C:$H,3,0),"")</f>
        <v/>
      </c>
      <c r="I55" s="42" t="str">
        <f>+IFERROR(VLOOKUP(E55,'DANH MỤC'!$C:$H,4,0),"")</f>
        <v/>
      </c>
      <c r="J55" s="42" t="str">
        <f>+IFERROR(VLOOKUP(E55,'DANH MỤC'!$C:$H,5,0),"")</f>
        <v/>
      </c>
      <c r="K55" s="53"/>
      <c r="L55" s="58">
        <v>114.0</v>
      </c>
      <c r="M55" s="55"/>
      <c r="N55" s="55"/>
    </row>
    <row r="56" ht="15.75" customHeight="1">
      <c r="A56" s="53">
        <f t="shared" si="1"/>
        <v>51</v>
      </c>
      <c r="B56" s="55"/>
      <c r="C56" s="41">
        <v>45519.0</v>
      </c>
      <c r="D56" s="42" t="s">
        <v>125</v>
      </c>
      <c r="E56" s="42" t="s">
        <v>127</v>
      </c>
      <c r="F56" s="42" t="str">
        <f>+IFERROR(VLOOKUP(E56,'DANH MỤC'!$C:$H,2,0),"")</f>
        <v>Pallet gỗ 1100x1100x130mm</v>
      </c>
      <c r="G56" s="42" t="str">
        <f>+IFERROR(VLOOKUP(E56,'DANH MỤC'!$C:$H,6,0),"")</f>
        <v>Bộ</v>
      </c>
      <c r="H56" s="42">
        <f>+IFERROR(VLOOKUP(E56,'DANH MỤC'!$C:$H,3,0),"")</f>
        <v>1100</v>
      </c>
      <c r="I56" s="42">
        <f>+IFERROR(VLOOKUP(E56,'DANH MỤC'!$C:$H,4,0),"")</f>
        <v>1100</v>
      </c>
      <c r="J56" s="42">
        <f>+IFERROR(VLOOKUP(E56,'DANH MỤC'!$C:$H,5,0),"")</f>
        <v>130</v>
      </c>
      <c r="K56" s="53"/>
      <c r="L56" s="58">
        <v>8.0</v>
      </c>
      <c r="M56" s="55"/>
      <c r="N56" s="55"/>
    </row>
    <row r="57" ht="15.75" customHeight="1">
      <c r="A57" s="53">
        <f t="shared" si="1"/>
        <v>52</v>
      </c>
      <c r="B57" s="55"/>
      <c r="C57" s="41">
        <v>45519.0</v>
      </c>
      <c r="D57" s="42" t="s">
        <v>125</v>
      </c>
      <c r="E57" s="42" t="s">
        <v>115</v>
      </c>
      <c r="F57" s="42" t="str">
        <f>+IFERROR(VLOOKUP(E57,'DANH MỤC'!$C:$H,2,0),"")</f>
        <v>Màng Strecth Film 5.0-0.6kg</v>
      </c>
      <c r="G57" s="42" t="str">
        <f>+IFERROR(VLOOKUP(E57,'DANH MỤC'!$C:$H,6,0),"")</f>
        <v>Kg</v>
      </c>
      <c r="H57" s="42" t="str">
        <f>+IFERROR(VLOOKUP(E57,'DANH MỤC'!$C:$H,3,0),"")</f>
        <v/>
      </c>
      <c r="I57" s="42" t="str">
        <f>+IFERROR(VLOOKUP(E57,'DANH MỤC'!$C:$H,4,0),"")</f>
        <v/>
      </c>
      <c r="J57" s="42" t="str">
        <f>+IFERROR(VLOOKUP(E57,'DANH MỤC'!$C:$H,5,0),"")</f>
        <v/>
      </c>
      <c r="K57" s="53"/>
      <c r="L57" s="58">
        <v>10.0</v>
      </c>
      <c r="M57" s="55"/>
      <c r="N57" s="55"/>
    </row>
    <row r="58" ht="15.75" customHeight="1">
      <c r="A58" s="53">
        <f t="shared" si="1"/>
        <v>53</v>
      </c>
      <c r="B58" s="55"/>
      <c r="C58" s="41">
        <v>45519.0</v>
      </c>
      <c r="D58" s="42" t="s">
        <v>125</v>
      </c>
      <c r="E58" s="42" t="s">
        <v>112</v>
      </c>
      <c r="F58" s="42" t="str">
        <f>+IFERROR(VLOOKUP(E58,'DANH MỤC'!$C:$H,2,0),"")</f>
        <v>Dây đai PET xanh (B)</v>
      </c>
      <c r="G58" s="42" t="str">
        <f>+IFERROR(VLOOKUP(E58,'DANH MỤC'!$C:$H,6,0),"")</f>
        <v>Kg</v>
      </c>
      <c r="H58" s="42" t="str">
        <f>+IFERROR(VLOOKUP(E58,'DANH MỤC'!$C:$H,3,0),"")</f>
        <v/>
      </c>
      <c r="I58" s="42" t="str">
        <f>+IFERROR(VLOOKUP(E58,'DANH MỤC'!$C:$H,4,0),"")</f>
        <v/>
      </c>
      <c r="J58" s="42" t="str">
        <f>+IFERROR(VLOOKUP(E58,'DANH MỤC'!$C:$H,5,0),"")</f>
        <v/>
      </c>
      <c r="K58" s="53"/>
      <c r="L58" s="58">
        <v>18.0</v>
      </c>
      <c r="M58" s="55"/>
      <c r="N58" s="55"/>
    </row>
    <row r="59" ht="15.75" customHeight="1">
      <c r="A59" s="53">
        <f t="shared" si="1"/>
        <v>54</v>
      </c>
      <c r="B59" s="55"/>
      <c r="C59" s="41">
        <v>45519.0</v>
      </c>
      <c r="D59" s="42" t="s">
        <v>125</v>
      </c>
      <c r="E59" s="42" t="s">
        <v>96</v>
      </c>
      <c r="F59" s="42" t="str">
        <f>+IFERROR(VLOOKUP(E59,'DANH MỤC'!$C:$H,2,0),"")</f>
        <v>Giấy bao gói lưỡi gà</v>
      </c>
      <c r="G59" s="42" t="str">
        <f>+IFERROR(VLOOKUP(E59,'DANH MỤC'!$C:$H,6,0),"")</f>
        <v>Kg</v>
      </c>
      <c r="H59" s="42" t="str">
        <f>+IFERROR(VLOOKUP(E59,'DANH MỤC'!$C:$H,3,0),"")</f>
        <v/>
      </c>
      <c r="I59" s="42" t="str">
        <f>+IFERROR(VLOOKUP(E59,'DANH MỤC'!$C:$H,4,0),"")</f>
        <v/>
      </c>
      <c r="J59" s="42" t="str">
        <f>+IFERROR(VLOOKUP(E59,'DANH MỤC'!$C:$H,5,0),"")</f>
        <v/>
      </c>
      <c r="K59" s="53"/>
      <c r="L59" s="58">
        <v>7.23</v>
      </c>
      <c r="M59" s="55"/>
      <c r="N59" s="55"/>
    </row>
    <row r="60" ht="15.75" customHeight="1">
      <c r="A60" s="53">
        <f t="shared" si="1"/>
        <v>55</v>
      </c>
      <c r="B60" s="55"/>
      <c r="C60" s="41">
        <v>45519.0</v>
      </c>
      <c r="D60" s="42" t="s">
        <v>125</v>
      </c>
      <c r="E60" s="42" t="s">
        <v>97</v>
      </c>
      <c r="F60" s="42" t="str">
        <f>+IFERROR(VLOOKUP(E60,'DANH MỤC'!$C:$H,2,0),"")</f>
        <v>Ống lõi giấy phi 120x7x1000mm</v>
      </c>
      <c r="G60" s="42" t="str">
        <f>+IFERROR(VLOOKUP(E60,'DANH MỤC'!$C:$H,6,0),"")</f>
        <v>Cái</v>
      </c>
      <c r="H60" s="42">
        <f>+IFERROR(VLOOKUP(E60,'DANH MỤC'!$C:$H,3,0),"")</f>
        <v>120</v>
      </c>
      <c r="I60" s="42">
        <f>+IFERROR(VLOOKUP(E60,'DANH MỤC'!$C:$H,4,0),"")</f>
        <v>70</v>
      </c>
      <c r="J60" s="42">
        <f>+IFERROR(VLOOKUP(E60,'DANH MỤC'!$C:$H,5,0),"")</f>
        <v>1000</v>
      </c>
      <c r="K60" s="53"/>
      <c r="L60" s="58">
        <v>36.0</v>
      </c>
      <c r="M60" s="55"/>
      <c r="N60" s="55"/>
    </row>
    <row r="61" ht="15.75" customHeight="1">
      <c r="A61" s="53">
        <f t="shared" si="1"/>
        <v>56</v>
      </c>
      <c r="B61" s="55"/>
      <c r="C61" s="41">
        <v>45523.0</v>
      </c>
      <c r="D61" s="42" t="s">
        <v>35</v>
      </c>
      <c r="E61" s="42" t="s">
        <v>143</v>
      </c>
      <c r="F61" s="42" t="str">
        <f>+IFERROR(VLOOKUP(E61,'DANH MỤC'!$C:$H,2,0),"")</f>
        <v>Ivory Ningbo</v>
      </c>
      <c r="G61" s="42" t="str">
        <f>+IFERROR(VLOOKUP(E61,'DANH MỤC'!$C:$H,6,0),"")</f>
        <v>Kg</v>
      </c>
      <c r="H61" s="42">
        <f>+IFERROR(VLOOKUP(E61,'DANH MỤC'!$C:$H,3,0),"")</f>
        <v>250</v>
      </c>
      <c r="I61" s="42">
        <f>+IFERROR(VLOOKUP(E61,'DANH MỤC'!$C:$H,4,0),"")</f>
        <v>102</v>
      </c>
      <c r="J61" s="42" t="str">
        <f>+IFERROR(VLOOKUP(E61,'DANH MỤC'!$C:$H,5,0),"")</f>
        <v/>
      </c>
      <c r="K61" s="53">
        <v>5508.0</v>
      </c>
      <c r="L61" s="58"/>
      <c r="M61" s="55" t="s">
        <v>144</v>
      </c>
      <c r="N61" s="55"/>
    </row>
    <row r="62" ht="15.75" customHeight="1">
      <c r="A62" s="53">
        <f t="shared" si="1"/>
        <v>57</v>
      </c>
      <c r="B62" s="55"/>
      <c r="C62" s="41">
        <v>45523.0</v>
      </c>
      <c r="D62" s="42" t="s">
        <v>145</v>
      </c>
      <c r="E62" s="42" t="s">
        <v>104</v>
      </c>
      <c r="F62" s="42" t="str">
        <f>+IFERROR(VLOOKUP(E62,'DANH MỤC'!$C:$H,2,0),"")</f>
        <v>Lưỡi gà trắng 95mm x 800m x 210gsm</v>
      </c>
      <c r="G62" s="42" t="str">
        <f>+IFERROR(VLOOKUP(E62,'DANH MỤC'!$C:$H,6,0),"")</f>
        <v>Cuộn</v>
      </c>
      <c r="H62" s="42">
        <f>+IFERROR(VLOOKUP(E62,'DANH MỤC'!$C:$H,3,0),"")</f>
        <v>210</v>
      </c>
      <c r="I62" s="42">
        <f>+IFERROR(VLOOKUP(E62,'DANH MỤC'!$C:$H,4,0),"")</f>
        <v>95</v>
      </c>
      <c r="J62" s="42">
        <f>+IFERROR(VLOOKUP(E62,'DANH MỤC'!$C:$H,5,0),"")</f>
        <v>800</v>
      </c>
      <c r="K62" s="53">
        <v>286.0</v>
      </c>
      <c r="L62" s="58"/>
      <c r="M62" s="55"/>
      <c r="N62" s="55"/>
    </row>
    <row r="63" ht="15.75" customHeight="1">
      <c r="A63" s="53">
        <f t="shared" si="1"/>
        <v>58</v>
      </c>
      <c r="B63" s="55"/>
      <c r="C63" s="41">
        <v>45523.0</v>
      </c>
      <c r="D63" s="42" t="s">
        <v>145</v>
      </c>
      <c r="E63" s="42" t="s">
        <v>81</v>
      </c>
      <c r="F63" s="42" t="str">
        <f>+IFERROR(VLOOKUP(E63,'DANH MỤC'!$C:$H,2,0),"")</f>
        <v>Lưỡi gà trắng 71mm x 800m x 210gsm</v>
      </c>
      <c r="G63" s="42" t="str">
        <f>+IFERROR(VLOOKUP(E63,'DANH MỤC'!$C:$H,6,0),"")</f>
        <v>Cuộn</v>
      </c>
      <c r="H63" s="42">
        <f>+IFERROR(VLOOKUP(E63,'DANH MỤC'!$C:$H,3,0),"")</f>
        <v>210</v>
      </c>
      <c r="I63" s="42">
        <f>+IFERROR(VLOOKUP(E63,'DANH MỤC'!$C:$H,4,0),"")</f>
        <v>71</v>
      </c>
      <c r="J63" s="42">
        <f>+IFERROR(VLOOKUP(E63,'DANH MỤC'!$C:$H,5,0),"")</f>
        <v>800</v>
      </c>
      <c r="K63" s="53">
        <v>64.0</v>
      </c>
      <c r="L63" s="58"/>
      <c r="M63" s="55"/>
      <c r="N63" s="55"/>
    </row>
    <row r="64" ht="15.75" customHeight="1">
      <c r="A64" s="53">
        <f t="shared" si="1"/>
        <v>59</v>
      </c>
      <c r="B64" s="55"/>
      <c r="C64" s="41">
        <v>45523.0</v>
      </c>
      <c r="D64" s="42" t="s">
        <v>145</v>
      </c>
      <c r="E64" s="42" t="s">
        <v>89</v>
      </c>
      <c r="F64" s="42" t="str">
        <f>+IFERROR(VLOOKUP(E64,'DANH MỤC'!$C:$H,2,0),"")</f>
        <v>Lưỡi gà trắng 83mm x 800m x 210gsm</v>
      </c>
      <c r="G64" s="42" t="str">
        <f>+IFERROR(VLOOKUP(E64,'DANH MỤC'!$C:$H,6,0),"")</f>
        <v>Cuộn</v>
      </c>
      <c r="H64" s="42">
        <f>+IFERROR(VLOOKUP(E64,'DANH MỤC'!$C:$H,3,0),"")</f>
        <v>210</v>
      </c>
      <c r="I64" s="42">
        <f>+IFERROR(VLOOKUP(E64,'DANH MỤC'!$C:$H,4,0),"")</f>
        <v>83</v>
      </c>
      <c r="J64" s="42">
        <f>+IFERROR(VLOOKUP(E64,'DANH MỤC'!$C:$H,5,0),"")</f>
        <v>800</v>
      </c>
      <c r="K64" s="53">
        <v>32.0</v>
      </c>
      <c r="L64" s="58"/>
      <c r="M64" s="55"/>
      <c r="N64" s="55"/>
    </row>
    <row r="65" ht="15.75" customHeight="1">
      <c r="A65" s="117">
        <f t="shared" si="1"/>
        <v>60</v>
      </c>
      <c r="B65" s="118"/>
      <c r="C65" s="119">
        <v>45524.0</v>
      </c>
      <c r="D65" s="120" t="s">
        <v>130</v>
      </c>
      <c r="E65" s="120" t="s">
        <v>104</v>
      </c>
      <c r="F65" s="120" t="str">
        <f>+IFERROR(VLOOKUP(E65,'DANH MỤC'!$C:$H,2,0),"")</f>
        <v>Lưỡi gà trắng 95mm x 800m x 210gsm</v>
      </c>
      <c r="G65" s="120" t="str">
        <f>+IFERROR(VLOOKUP(E65,'DANH MỤC'!$C:$H,6,0),"")</f>
        <v>Cuộn</v>
      </c>
      <c r="H65" s="120">
        <f>+IFERROR(VLOOKUP(E65,'DANH MỤC'!$C:$H,3,0),"")</f>
        <v>210</v>
      </c>
      <c r="I65" s="120">
        <f>+IFERROR(VLOOKUP(E65,'DANH MỤC'!$C:$H,4,0),"")</f>
        <v>95</v>
      </c>
      <c r="J65" s="120">
        <f>+IFERROR(VLOOKUP(E65,'DANH MỤC'!$C:$H,5,0),"")</f>
        <v>800</v>
      </c>
      <c r="K65" s="117"/>
      <c r="L65" s="121">
        <v>280.0</v>
      </c>
      <c r="M65" s="118" t="s">
        <v>131</v>
      </c>
      <c r="N65" s="118"/>
    </row>
    <row r="66" ht="15.75" customHeight="1">
      <c r="A66" s="117">
        <f t="shared" si="1"/>
        <v>61</v>
      </c>
      <c r="B66" s="118"/>
      <c r="C66" s="119">
        <v>45524.0</v>
      </c>
      <c r="D66" s="120" t="s">
        <v>130</v>
      </c>
      <c r="E66" s="120" t="s">
        <v>104</v>
      </c>
      <c r="F66" s="120" t="str">
        <f>+IFERROR(VLOOKUP(E66,'DANH MỤC'!$C:$H,2,0),"")</f>
        <v>Lưỡi gà trắng 95mm x 800m x 210gsm</v>
      </c>
      <c r="G66" s="120" t="str">
        <f>+IFERROR(VLOOKUP(E66,'DANH MỤC'!$C:$H,6,0),"")</f>
        <v>Cuộn</v>
      </c>
      <c r="H66" s="120">
        <f>+IFERROR(VLOOKUP(E66,'DANH MỤC'!$C:$H,3,0),"")</f>
        <v>210</v>
      </c>
      <c r="I66" s="120">
        <f>+IFERROR(VLOOKUP(E66,'DANH MỤC'!$C:$H,4,0),"")</f>
        <v>95</v>
      </c>
      <c r="J66" s="120">
        <f>+IFERROR(VLOOKUP(E66,'DANH MỤC'!$C:$H,5,0),"")</f>
        <v>800</v>
      </c>
      <c r="K66" s="117"/>
      <c r="L66" s="121">
        <v>240.0</v>
      </c>
      <c r="M66" s="118" t="s">
        <v>131</v>
      </c>
      <c r="N66" s="118"/>
    </row>
    <row r="67" ht="15.75" customHeight="1">
      <c r="A67" s="53">
        <f t="shared" si="1"/>
        <v>62</v>
      </c>
      <c r="B67" s="55"/>
      <c r="C67" s="41">
        <v>45524.0</v>
      </c>
      <c r="D67" s="42" t="s">
        <v>125</v>
      </c>
      <c r="E67" s="42" t="s">
        <v>127</v>
      </c>
      <c r="F67" s="42" t="str">
        <f>+IFERROR(VLOOKUP(E67,'DANH MỤC'!$C:$H,2,0),"")</f>
        <v>Pallet gỗ 1100x1100x130mm</v>
      </c>
      <c r="G67" s="42" t="str">
        <f>+IFERROR(VLOOKUP(E67,'DANH MỤC'!$C:$H,6,0),"")</f>
        <v>Bộ</v>
      </c>
      <c r="H67" s="42">
        <f>+IFERROR(VLOOKUP(E67,'DANH MỤC'!$C:$H,3,0),"")</f>
        <v>1100</v>
      </c>
      <c r="I67" s="42">
        <f>+IFERROR(VLOOKUP(E67,'DANH MỤC'!$C:$H,4,0),"")</f>
        <v>1100</v>
      </c>
      <c r="J67" s="42">
        <f>+IFERROR(VLOOKUP(E67,'DANH MỤC'!$C:$H,5,0),"")</f>
        <v>130</v>
      </c>
      <c r="K67" s="53"/>
      <c r="L67" s="58">
        <v>5.0</v>
      </c>
      <c r="M67" s="55"/>
      <c r="N67" s="55"/>
    </row>
    <row r="68" ht="15.75" customHeight="1">
      <c r="A68" s="53">
        <f t="shared" si="1"/>
        <v>63</v>
      </c>
      <c r="B68" s="55"/>
      <c r="C68" s="41">
        <v>45524.0</v>
      </c>
      <c r="D68" s="42" t="s">
        <v>125</v>
      </c>
      <c r="E68" s="42" t="s">
        <v>115</v>
      </c>
      <c r="F68" s="42" t="str">
        <f>+IFERROR(VLOOKUP(E68,'DANH MỤC'!$C:$H,2,0),"")</f>
        <v>Màng Strecth Film 5.0-0.6kg</v>
      </c>
      <c r="G68" s="42" t="str">
        <f>+IFERROR(VLOOKUP(E68,'DANH MỤC'!$C:$H,6,0),"")</f>
        <v>Kg</v>
      </c>
      <c r="H68" s="42" t="str">
        <f>+IFERROR(VLOOKUP(E68,'DANH MỤC'!$C:$H,3,0),"")</f>
        <v/>
      </c>
      <c r="I68" s="42" t="str">
        <f>+IFERROR(VLOOKUP(E68,'DANH MỤC'!$C:$H,4,0),"")</f>
        <v/>
      </c>
      <c r="J68" s="42" t="str">
        <f>+IFERROR(VLOOKUP(E68,'DANH MỤC'!$C:$H,5,0),"")</f>
        <v/>
      </c>
      <c r="K68" s="53"/>
      <c r="L68" s="58">
        <v>3.36</v>
      </c>
      <c r="M68" s="55"/>
      <c r="N68" s="55"/>
    </row>
    <row r="69" ht="15.75" customHeight="1">
      <c r="A69" s="53">
        <f t="shared" si="1"/>
        <v>64</v>
      </c>
      <c r="B69" s="55"/>
      <c r="C69" s="41">
        <v>45524.0</v>
      </c>
      <c r="D69" s="42" t="s">
        <v>125</v>
      </c>
      <c r="E69" s="42" t="s">
        <v>112</v>
      </c>
      <c r="F69" s="42" t="str">
        <f>+IFERROR(VLOOKUP(E69,'DANH MỤC'!$C:$H,2,0),"")</f>
        <v>Dây đai PET xanh (B)</v>
      </c>
      <c r="G69" s="42" t="str">
        <f>+IFERROR(VLOOKUP(E69,'DANH MỤC'!$C:$H,6,0),"")</f>
        <v>Kg</v>
      </c>
      <c r="H69" s="42" t="str">
        <f>+IFERROR(VLOOKUP(E69,'DANH MỤC'!$C:$H,3,0),"")</f>
        <v/>
      </c>
      <c r="I69" s="42" t="str">
        <f>+IFERROR(VLOOKUP(E69,'DANH MỤC'!$C:$H,4,0),"")</f>
        <v/>
      </c>
      <c r="J69" s="42" t="str">
        <f>+IFERROR(VLOOKUP(E69,'DANH MỤC'!$C:$H,5,0),"")</f>
        <v/>
      </c>
      <c r="K69" s="53"/>
      <c r="L69" s="58">
        <v>5.69</v>
      </c>
      <c r="M69" s="55"/>
      <c r="N69" s="55"/>
    </row>
    <row r="70" ht="15.75" customHeight="1">
      <c r="A70" s="53">
        <f t="shared" si="1"/>
        <v>65</v>
      </c>
      <c r="B70" s="55"/>
      <c r="C70" s="41">
        <v>45524.0</v>
      </c>
      <c r="D70" s="42" t="s">
        <v>125</v>
      </c>
      <c r="E70" s="42" t="s">
        <v>96</v>
      </c>
      <c r="F70" s="42" t="str">
        <f>+IFERROR(VLOOKUP(E70,'DANH MỤC'!$C:$H,2,0),"")</f>
        <v>Giấy bao gói lưỡi gà</v>
      </c>
      <c r="G70" s="42" t="str">
        <f>+IFERROR(VLOOKUP(E70,'DANH MỤC'!$C:$H,6,0),"")</f>
        <v>Kg</v>
      </c>
      <c r="H70" s="42" t="str">
        <f>+IFERROR(VLOOKUP(E70,'DANH MỤC'!$C:$H,3,0),"")</f>
        <v/>
      </c>
      <c r="I70" s="42" t="str">
        <f>+IFERROR(VLOOKUP(E70,'DANH MỤC'!$C:$H,4,0),"")</f>
        <v/>
      </c>
      <c r="J70" s="42" t="str">
        <f>+IFERROR(VLOOKUP(E70,'DANH MỤC'!$C:$H,5,0),"")</f>
        <v/>
      </c>
      <c r="K70" s="53"/>
      <c r="L70" s="58">
        <v>8.23</v>
      </c>
      <c r="M70" s="55"/>
      <c r="N70" s="55"/>
    </row>
    <row r="71" ht="15.75" customHeight="1">
      <c r="A71" s="53">
        <f t="shared" si="1"/>
        <v>66</v>
      </c>
      <c r="B71" s="55"/>
      <c r="C71" s="41">
        <v>45524.0</v>
      </c>
      <c r="D71" s="42" t="s">
        <v>125</v>
      </c>
      <c r="E71" s="42" t="s">
        <v>97</v>
      </c>
      <c r="F71" s="42" t="str">
        <f>+IFERROR(VLOOKUP(E71,'DANH MỤC'!$C:$H,2,0),"")</f>
        <v>Ống lõi giấy phi 120x7x1000mm</v>
      </c>
      <c r="G71" s="42" t="str">
        <f>+IFERROR(VLOOKUP(E71,'DANH MỤC'!$C:$H,6,0),"")</f>
        <v>Cái</v>
      </c>
      <c r="H71" s="42">
        <f>+IFERROR(VLOOKUP(E71,'DANH MỤC'!$C:$H,3,0),"")</f>
        <v>120</v>
      </c>
      <c r="I71" s="42">
        <f>+IFERROR(VLOOKUP(E71,'DANH MỤC'!$C:$H,4,0),"")</f>
        <v>70</v>
      </c>
      <c r="J71" s="42">
        <f>+IFERROR(VLOOKUP(E71,'DANH MỤC'!$C:$H,5,0),"")</f>
        <v>1000</v>
      </c>
      <c r="K71" s="53"/>
      <c r="L71" s="58">
        <v>40.0</v>
      </c>
      <c r="M71" s="55"/>
      <c r="N71" s="55"/>
    </row>
    <row r="72" ht="15.75" customHeight="1">
      <c r="A72" s="117">
        <f t="shared" si="1"/>
        <v>67</v>
      </c>
      <c r="B72" s="118"/>
      <c r="C72" s="119">
        <v>45525.0</v>
      </c>
      <c r="D72" s="120" t="s">
        <v>146</v>
      </c>
      <c r="E72" s="120" t="s">
        <v>104</v>
      </c>
      <c r="F72" s="120" t="str">
        <f>+IFERROR(VLOOKUP(E72,'DANH MỤC'!$C:$H,2,0),"")</f>
        <v>Lưỡi gà trắng 95mm x 800m x 210gsm</v>
      </c>
      <c r="G72" s="120" t="str">
        <f>+IFERROR(VLOOKUP(E72,'DANH MỤC'!$C:$H,6,0),"")</f>
        <v>Cuộn</v>
      </c>
      <c r="H72" s="120">
        <f>+IFERROR(VLOOKUP(E72,'DANH MỤC'!$C:$H,3,0),"")</f>
        <v>210</v>
      </c>
      <c r="I72" s="120">
        <f>+IFERROR(VLOOKUP(E72,'DANH MỤC'!$C:$H,4,0),"")</f>
        <v>95</v>
      </c>
      <c r="J72" s="120">
        <f>+IFERROR(VLOOKUP(E72,'DANH MỤC'!$C:$H,5,0),"")</f>
        <v>800</v>
      </c>
      <c r="K72" s="117"/>
      <c r="L72" s="121">
        <v>60.0</v>
      </c>
      <c r="M72" s="118"/>
      <c r="N72" s="118"/>
    </row>
    <row r="73" ht="15.75" customHeight="1">
      <c r="A73" s="117">
        <f t="shared" si="1"/>
        <v>68</v>
      </c>
      <c r="B73" s="118"/>
      <c r="C73" s="119">
        <v>45525.0</v>
      </c>
      <c r="D73" s="120" t="s">
        <v>146</v>
      </c>
      <c r="E73" s="120" t="s">
        <v>81</v>
      </c>
      <c r="F73" s="120" t="str">
        <f>+IFERROR(VLOOKUP(E73,'DANH MỤC'!$C:$H,2,0),"")</f>
        <v>Lưỡi gà trắng 71mm x 800m x 210gsm</v>
      </c>
      <c r="G73" s="120" t="str">
        <f>+IFERROR(VLOOKUP(E73,'DANH MỤC'!$C:$H,6,0),"")</f>
        <v>Cuộn</v>
      </c>
      <c r="H73" s="120">
        <f>+IFERROR(VLOOKUP(E73,'DANH MỤC'!$C:$H,3,0),"")</f>
        <v>210</v>
      </c>
      <c r="I73" s="120">
        <f>+IFERROR(VLOOKUP(E73,'DANH MỤC'!$C:$H,4,0),"")</f>
        <v>71</v>
      </c>
      <c r="J73" s="120">
        <f>+IFERROR(VLOOKUP(E73,'DANH MỤC'!$C:$H,5,0),"")</f>
        <v>800</v>
      </c>
      <c r="K73" s="117"/>
      <c r="L73" s="121">
        <v>420.0</v>
      </c>
      <c r="M73" s="118"/>
      <c r="N73" s="118"/>
    </row>
    <row r="74" ht="15.75" customHeight="1">
      <c r="A74" s="53">
        <f t="shared" si="1"/>
        <v>69</v>
      </c>
      <c r="B74" s="55"/>
      <c r="C74" s="41">
        <v>45526.0</v>
      </c>
      <c r="D74" s="42" t="s">
        <v>147</v>
      </c>
      <c r="E74" s="42" t="s">
        <v>123</v>
      </c>
      <c r="F74" s="42" t="str">
        <f>+IFERROR(VLOOKUP(E74,'DANH MỤC'!$C:$H,2,0),"")</f>
        <v>Lưỡi gà trắng 90mm x 800m x 250gsm</v>
      </c>
      <c r="G74" s="42" t="str">
        <f>+IFERROR(VLOOKUP(E74,'DANH MỤC'!$C:$H,6,0),"")</f>
        <v>Cuộn</v>
      </c>
      <c r="H74" s="42">
        <f>+IFERROR(VLOOKUP(E74,'DANH MỤC'!$C:$H,3,0),"")</f>
        <v>250</v>
      </c>
      <c r="I74" s="42">
        <f>+IFERROR(VLOOKUP(E74,'DANH MỤC'!$C:$H,4,0),"")</f>
        <v>90</v>
      </c>
      <c r="J74" s="42">
        <f>+IFERROR(VLOOKUP(E74,'DANH MỤC'!$C:$H,5,0),"")</f>
        <v>800</v>
      </c>
      <c r="K74" s="53">
        <v>286.0</v>
      </c>
      <c r="L74" s="58"/>
      <c r="M74" s="55"/>
      <c r="N74" s="55"/>
    </row>
    <row r="75" ht="15.75" customHeight="1">
      <c r="A75" s="117">
        <f t="shared" si="1"/>
        <v>70</v>
      </c>
      <c r="B75" s="118"/>
      <c r="C75" s="119">
        <v>45526.0</v>
      </c>
      <c r="D75" s="120" t="s">
        <v>146</v>
      </c>
      <c r="E75" s="120" t="s">
        <v>120</v>
      </c>
      <c r="F75" s="120" t="str">
        <f>+IFERROR(VLOOKUP(E75,'DANH MỤC'!$C:$H,2,0),"")</f>
        <v>Lưỡi gà trắng 98mm x 800m x 230gsm</v>
      </c>
      <c r="G75" s="120" t="str">
        <f>+IFERROR(VLOOKUP(E75,'DANH MỤC'!$C:$H,6,0),"")</f>
        <v>Cuộn</v>
      </c>
      <c r="H75" s="120">
        <f>+IFERROR(VLOOKUP(E75,'DANH MỤC'!$C:$H,3,0),"")</f>
        <v>230</v>
      </c>
      <c r="I75" s="120">
        <f>+IFERROR(VLOOKUP(E75,'DANH MỤC'!$C:$H,4,0),"")</f>
        <v>98</v>
      </c>
      <c r="J75" s="120">
        <f>+IFERROR(VLOOKUP(E75,'DANH MỤC'!$C:$H,5,0),"")</f>
        <v>800</v>
      </c>
      <c r="K75" s="117"/>
      <c r="L75" s="121">
        <v>360.0</v>
      </c>
      <c r="M75" s="118"/>
      <c r="N75" s="118"/>
    </row>
    <row r="76" ht="15.75" customHeight="1">
      <c r="A76" s="53">
        <f t="shared" si="1"/>
        <v>71</v>
      </c>
      <c r="B76" s="55"/>
      <c r="C76" s="41">
        <v>45527.0</v>
      </c>
      <c r="D76" s="42" t="s">
        <v>35</v>
      </c>
      <c r="E76" s="42" t="s">
        <v>148</v>
      </c>
      <c r="F76" s="42" t="str">
        <f>+IFERROR(VLOOKUP(E76,'DANH MỤC'!$C:$H,2,0),"")</f>
        <v>Ivory Ningbo</v>
      </c>
      <c r="G76" s="42" t="str">
        <f>+IFERROR(VLOOKUP(E76,'DANH MỤC'!$C:$H,6,0),"")</f>
        <v>Kg</v>
      </c>
      <c r="H76" s="42">
        <f>+IFERROR(VLOOKUP(E76,'DANH MỤC'!$C:$H,3,0),"")</f>
        <v>250</v>
      </c>
      <c r="I76" s="42">
        <f>+IFERROR(VLOOKUP(E76,'DANH MỤC'!$C:$H,4,0),"")</f>
        <v>100</v>
      </c>
      <c r="J76" s="42" t="str">
        <f>+IFERROR(VLOOKUP(E76,'DANH MỤC'!$C:$H,5,0),"")</f>
        <v/>
      </c>
      <c r="K76" s="53">
        <v>7200.0</v>
      </c>
      <c r="L76" s="58"/>
      <c r="M76" s="55" t="s">
        <v>149</v>
      </c>
      <c r="N76" s="55"/>
    </row>
    <row r="77" ht="15.75" customHeight="1">
      <c r="A77" s="53">
        <f t="shared" si="1"/>
        <v>72</v>
      </c>
      <c r="B77" s="55"/>
      <c r="C77" s="41">
        <v>45527.0</v>
      </c>
      <c r="D77" s="42" t="s">
        <v>35</v>
      </c>
      <c r="E77" s="42" t="s">
        <v>148</v>
      </c>
      <c r="F77" s="42" t="str">
        <f>+IFERROR(VLOOKUP(E77,'DANH MỤC'!$C:$H,2,0),"")</f>
        <v>Ivory Ningbo</v>
      </c>
      <c r="G77" s="42" t="str">
        <f>+IFERROR(VLOOKUP(E77,'DANH MỤC'!$C:$H,6,0),"")</f>
        <v>Kg</v>
      </c>
      <c r="H77" s="42">
        <f>+IFERROR(VLOOKUP(E77,'DANH MỤC'!$C:$H,3,0),"")</f>
        <v>250</v>
      </c>
      <c r="I77" s="42">
        <f>+IFERROR(VLOOKUP(E77,'DANH MỤC'!$C:$H,4,0),"")</f>
        <v>100</v>
      </c>
      <c r="J77" s="42" t="str">
        <f>+IFERROR(VLOOKUP(E77,'DANH MỤC'!$C:$H,5,0),"")</f>
        <v/>
      </c>
      <c r="K77" s="53">
        <v>7200.0</v>
      </c>
      <c r="L77" s="58"/>
      <c r="M77" s="55" t="s">
        <v>149</v>
      </c>
      <c r="N77" s="55"/>
    </row>
    <row r="78" ht="15.75" customHeight="1">
      <c r="A78" s="117">
        <f t="shared" si="1"/>
        <v>73</v>
      </c>
      <c r="B78" s="118"/>
      <c r="C78" s="119">
        <v>45528.0</v>
      </c>
      <c r="D78" s="120" t="s">
        <v>130</v>
      </c>
      <c r="E78" s="120" t="s">
        <v>123</v>
      </c>
      <c r="F78" s="120" t="str">
        <f>+IFERROR(VLOOKUP(E78,'DANH MỤC'!$C:$H,2,0),"")</f>
        <v>Lưỡi gà trắng 90mm x 800m x 250gsm</v>
      </c>
      <c r="G78" s="120" t="str">
        <f>+IFERROR(VLOOKUP(E78,'DANH MỤC'!$C:$H,6,0),"")</f>
        <v>Cuộn</v>
      </c>
      <c r="H78" s="120">
        <f>+IFERROR(VLOOKUP(E78,'DANH MỤC'!$C:$H,3,0),"")</f>
        <v>250</v>
      </c>
      <c r="I78" s="120">
        <f>+IFERROR(VLOOKUP(E78,'DANH MỤC'!$C:$H,4,0),"")</f>
        <v>90</v>
      </c>
      <c r="J78" s="120">
        <f>+IFERROR(VLOOKUP(E78,'DANH MỤC'!$C:$H,5,0),"")</f>
        <v>800</v>
      </c>
      <c r="K78" s="117"/>
      <c r="L78" s="121">
        <v>260.0</v>
      </c>
      <c r="M78" s="118" t="s">
        <v>131</v>
      </c>
      <c r="N78" s="118"/>
    </row>
    <row r="79" ht="15.75" customHeight="1">
      <c r="A79" s="53">
        <f t="shared" si="1"/>
        <v>74</v>
      </c>
      <c r="B79" s="55"/>
      <c r="C79" s="41">
        <v>45528.0</v>
      </c>
      <c r="D79" s="42" t="s">
        <v>125</v>
      </c>
      <c r="E79" s="42" t="s">
        <v>127</v>
      </c>
      <c r="F79" s="42" t="str">
        <f>+IFERROR(VLOOKUP(E79,'DANH MỤC'!$C:$H,2,0),"")</f>
        <v>Pallet gỗ 1100x1100x130mm</v>
      </c>
      <c r="G79" s="42" t="str">
        <f>+IFERROR(VLOOKUP(E79,'DANH MỤC'!$C:$H,6,0),"")</f>
        <v>Bộ</v>
      </c>
      <c r="H79" s="42">
        <f>+IFERROR(VLOOKUP(E79,'DANH MỤC'!$C:$H,3,0),"")</f>
        <v>1100</v>
      </c>
      <c r="I79" s="42">
        <f>+IFERROR(VLOOKUP(E79,'DANH MỤC'!$C:$H,4,0),"")</f>
        <v>1100</v>
      </c>
      <c r="J79" s="42">
        <f>+IFERROR(VLOOKUP(E79,'DANH MỤC'!$C:$H,5,0),"")</f>
        <v>130</v>
      </c>
      <c r="K79" s="53"/>
      <c r="L79" s="58">
        <v>18.0</v>
      </c>
      <c r="M79" s="55"/>
      <c r="N79" s="55"/>
    </row>
    <row r="80" ht="15.75" customHeight="1">
      <c r="A80" s="53">
        <f t="shared" si="1"/>
        <v>75</v>
      </c>
      <c r="B80" s="55"/>
      <c r="C80" s="41">
        <v>45528.0</v>
      </c>
      <c r="D80" s="42" t="s">
        <v>125</v>
      </c>
      <c r="E80" s="42" t="s">
        <v>115</v>
      </c>
      <c r="F80" s="42" t="str">
        <f>+IFERROR(VLOOKUP(E80,'DANH MỤC'!$C:$H,2,0),"")</f>
        <v>Màng Strecth Film 5.0-0.6kg</v>
      </c>
      <c r="G80" s="42" t="str">
        <f>+IFERROR(VLOOKUP(E80,'DANH MỤC'!$C:$H,6,0),"")</f>
        <v>Kg</v>
      </c>
      <c r="H80" s="42" t="str">
        <f>+IFERROR(VLOOKUP(E80,'DANH MỤC'!$C:$H,3,0),"")</f>
        <v/>
      </c>
      <c r="I80" s="42" t="str">
        <f>+IFERROR(VLOOKUP(E80,'DANH MỤC'!$C:$H,4,0),"")</f>
        <v/>
      </c>
      <c r="J80" s="42" t="str">
        <f>+IFERROR(VLOOKUP(E80,'DANH MỤC'!$C:$H,5,0),"")</f>
        <v/>
      </c>
      <c r="K80" s="53"/>
      <c r="L80" s="58">
        <v>12.11</v>
      </c>
      <c r="M80" s="55"/>
      <c r="N80" s="55"/>
    </row>
    <row r="81" ht="15.75" customHeight="1">
      <c r="A81" s="53">
        <f t="shared" si="1"/>
        <v>76</v>
      </c>
      <c r="B81" s="55"/>
      <c r="C81" s="41">
        <v>45528.0</v>
      </c>
      <c r="D81" s="42" t="s">
        <v>125</v>
      </c>
      <c r="E81" s="42" t="s">
        <v>112</v>
      </c>
      <c r="F81" s="42" t="str">
        <f>+IFERROR(VLOOKUP(E81,'DANH MỤC'!$C:$H,2,0),"")</f>
        <v>Dây đai PET xanh (B)</v>
      </c>
      <c r="G81" s="42" t="str">
        <f>+IFERROR(VLOOKUP(E81,'DANH MỤC'!$C:$H,6,0),"")</f>
        <v>Kg</v>
      </c>
      <c r="H81" s="42" t="str">
        <f>+IFERROR(VLOOKUP(E81,'DANH MỤC'!$C:$H,3,0),"")</f>
        <v/>
      </c>
      <c r="I81" s="42" t="str">
        <f>+IFERROR(VLOOKUP(E81,'DANH MỤC'!$C:$H,4,0),"")</f>
        <v/>
      </c>
      <c r="J81" s="42" t="str">
        <f>+IFERROR(VLOOKUP(E81,'DANH MỤC'!$C:$H,5,0),"")</f>
        <v/>
      </c>
      <c r="K81" s="53"/>
      <c r="L81" s="58">
        <v>20.49</v>
      </c>
      <c r="M81" s="55"/>
      <c r="N81" s="55"/>
    </row>
    <row r="82" ht="15.75" customHeight="1">
      <c r="A82" s="53">
        <f t="shared" si="1"/>
        <v>77</v>
      </c>
      <c r="B82" s="55"/>
      <c r="C82" s="41">
        <v>45528.0</v>
      </c>
      <c r="D82" s="42" t="s">
        <v>125</v>
      </c>
      <c r="E82" s="42" t="s">
        <v>96</v>
      </c>
      <c r="F82" s="42" t="str">
        <f>+IFERROR(VLOOKUP(E82,'DANH MỤC'!$C:$H,2,0),"")</f>
        <v>Giấy bao gói lưỡi gà</v>
      </c>
      <c r="G82" s="42" t="str">
        <f>+IFERROR(VLOOKUP(E82,'DANH MỤC'!$C:$H,6,0),"")</f>
        <v>Kg</v>
      </c>
      <c r="H82" s="42" t="str">
        <f>+IFERROR(VLOOKUP(E82,'DANH MỤC'!$C:$H,3,0),"")</f>
        <v/>
      </c>
      <c r="I82" s="42" t="str">
        <f>+IFERROR(VLOOKUP(E82,'DANH MỤC'!$C:$H,4,0),"")</f>
        <v/>
      </c>
      <c r="J82" s="42" t="str">
        <f>+IFERROR(VLOOKUP(E82,'DANH MỤC'!$C:$H,5,0),"")</f>
        <v/>
      </c>
      <c r="K82" s="53"/>
      <c r="L82" s="58">
        <v>15.68</v>
      </c>
      <c r="M82" s="55"/>
      <c r="N82" s="55"/>
    </row>
    <row r="83" ht="15.75" customHeight="1">
      <c r="A83" s="53">
        <f t="shared" si="1"/>
        <v>78</v>
      </c>
      <c r="B83" s="55"/>
      <c r="C83" s="41">
        <v>45528.0</v>
      </c>
      <c r="D83" s="42" t="s">
        <v>125</v>
      </c>
      <c r="E83" s="42" t="s">
        <v>97</v>
      </c>
      <c r="F83" s="42" t="str">
        <f>+IFERROR(VLOOKUP(E83,'DANH MỤC'!$C:$H,2,0),"")</f>
        <v>Ống lõi giấy phi 120x7x1000mm</v>
      </c>
      <c r="G83" s="42" t="str">
        <f>+IFERROR(VLOOKUP(E83,'DANH MỤC'!$C:$H,6,0),"")</f>
        <v>Cái</v>
      </c>
      <c r="H83" s="42">
        <f>+IFERROR(VLOOKUP(E83,'DANH MỤC'!$C:$H,3,0),"")</f>
        <v>120</v>
      </c>
      <c r="I83" s="42">
        <f>+IFERROR(VLOOKUP(E83,'DANH MỤC'!$C:$H,4,0),"")</f>
        <v>70</v>
      </c>
      <c r="J83" s="42">
        <f>+IFERROR(VLOOKUP(E83,'DANH MỤC'!$C:$H,5,0),"")</f>
        <v>1000</v>
      </c>
      <c r="K83" s="53"/>
      <c r="L83" s="58">
        <v>78.0</v>
      </c>
      <c r="M83" s="55"/>
      <c r="N83" s="55"/>
    </row>
    <row r="84" ht="15.75" customHeight="1">
      <c r="A84" s="53">
        <f t="shared" si="1"/>
        <v>79</v>
      </c>
      <c r="B84" s="55"/>
      <c r="C84" s="41">
        <v>45530.0</v>
      </c>
      <c r="D84" s="42" t="s">
        <v>35</v>
      </c>
      <c r="E84" s="42" t="s">
        <v>60</v>
      </c>
      <c r="F84" s="42" t="str">
        <f>+IFERROR(VLOOKUP(E84,'DANH MỤC'!$C:$H,2,0),"")</f>
        <v>Ivory Ningbo</v>
      </c>
      <c r="G84" s="42" t="str">
        <f>+IFERROR(VLOOKUP(E84,'DANH MỤC'!$C:$H,6,0),"")</f>
        <v>Kg</v>
      </c>
      <c r="H84" s="42">
        <f>+IFERROR(VLOOKUP(E84,'DANH MỤC'!$C:$H,3,0),"")</f>
        <v>210</v>
      </c>
      <c r="I84" s="42">
        <f>+IFERROR(VLOOKUP(E84,'DANH MỤC'!$C:$H,4,0),"")</f>
        <v>86</v>
      </c>
      <c r="J84" s="42" t="str">
        <f>+IFERROR(VLOOKUP(E84,'DANH MỤC'!$C:$H,5,0),"")</f>
        <v/>
      </c>
      <c r="K84" s="53">
        <v>7317.0</v>
      </c>
      <c r="L84" s="58"/>
      <c r="M84" s="55" t="s">
        <v>149</v>
      </c>
      <c r="N84" s="55"/>
    </row>
    <row r="85" ht="15.75" customHeight="1">
      <c r="A85" s="53">
        <f t="shared" si="1"/>
        <v>80</v>
      </c>
      <c r="B85" s="55"/>
      <c r="C85" s="41">
        <v>45531.0</v>
      </c>
      <c r="D85" s="42" t="s">
        <v>35</v>
      </c>
      <c r="E85" s="42" t="s">
        <v>60</v>
      </c>
      <c r="F85" s="42" t="str">
        <f>+IFERROR(VLOOKUP(E85,'DANH MỤC'!$C:$H,2,0),"")</f>
        <v>Ivory Ningbo</v>
      </c>
      <c r="G85" s="42" t="str">
        <f>+IFERROR(VLOOKUP(E85,'DANH MỤC'!$C:$H,6,0),"")</f>
        <v>Kg</v>
      </c>
      <c r="H85" s="42">
        <f>+IFERROR(VLOOKUP(E85,'DANH MỤC'!$C:$H,3,0),"")</f>
        <v>210</v>
      </c>
      <c r="I85" s="42">
        <f>+IFERROR(VLOOKUP(E85,'DANH MỤC'!$C:$H,4,0),"")</f>
        <v>86</v>
      </c>
      <c r="J85" s="42" t="str">
        <f>+IFERROR(VLOOKUP(E85,'DANH MỤC'!$C:$H,5,0),"")</f>
        <v/>
      </c>
      <c r="K85" s="53">
        <v>4065.0</v>
      </c>
      <c r="L85" s="58"/>
      <c r="M85" s="55" t="s">
        <v>149</v>
      </c>
      <c r="N85" s="55"/>
    </row>
    <row r="86" ht="15.75" customHeight="1">
      <c r="A86" s="53">
        <f t="shared" si="1"/>
        <v>81</v>
      </c>
      <c r="B86" s="55"/>
      <c r="C86" s="41">
        <v>45531.0</v>
      </c>
      <c r="D86" s="42" t="s">
        <v>35</v>
      </c>
      <c r="E86" s="42" t="s">
        <v>148</v>
      </c>
      <c r="F86" s="42" t="str">
        <f>+IFERROR(VLOOKUP(E86,'DANH MỤC'!$C:$H,2,0),"")</f>
        <v>Ivory Ningbo</v>
      </c>
      <c r="G86" s="42" t="str">
        <f>+IFERROR(VLOOKUP(E86,'DANH MỤC'!$C:$H,6,0),"")</f>
        <v>Kg</v>
      </c>
      <c r="H86" s="42">
        <f>+IFERROR(VLOOKUP(E86,'DANH MỤC'!$C:$H,3,0),"")</f>
        <v>250</v>
      </c>
      <c r="I86" s="42">
        <f>+IFERROR(VLOOKUP(E86,'DANH MỤC'!$C:$H,4,0),"")</f>
        <v>100</v>
      </c>
      <c r="J86" s="42" t="str">
        <f>+IFERROR(VLOOKUP(E86,'DANH MỤC'!$C:$H,5,0),"")</f>
        <v/>
      </c>
      <c r="K86" s="53">
        <v>2700.0</v>
      </c>
      <c r="L86" s="58"/>
      <c r="M86" s="55" t="s">
        <v>149</v>
      </c>
      <c r="N86" s="55"/>
    </row>
    <row r="87" ht="15.75" customHeight="1">
      <c r="A87" s="53">
        <f t="shared" si="1"/>
        <v>82</v>
      </c>
      <c r="B87" s="55"/>
      <c r="C87" s="41">
        <v>45531.0</v>
      </c>
      <c r="D87" s="42" t="s">
        <v>95</v>
      </c>
      <c r="E87" s="42" t="s">
        <v>127</v>
      </c>
      <c r="F87" s="42" t="str">
        <f>+IFERROR(VLOOKUP(E87,'DANH MỤC'!$C:$H,2,0),"")</f>
        <v>Pallet gỗ 1100x1100x130mm</v>
      </c>
      <c r="G87" s="42" t="str">
        <f>+IFERROR(VLOOKUP(E87,'DANH MỤC'!$C:$H,6,0),"")</f>
        <v>Bộ</v>
      </c>
      <c r="H87" s="42">
        <f>+IFERROR(VLOOKUP(E87,'DANH MỤC'!$C:$H,3,0),"")</f>
        <v>1100</v>
      </c>
      <c r="I87" s="42">
        <f>+IFERROR(VLOOKUP(E87,'DANH MỤC'!$C:$H,4,0),"")</f>
        <v>1100</v>
      </c>
      <c r="J87" s="42">
        <f>+IFERROR(VLOOKUP(E87,'DANH MỤC'!$C:$H,5,0),"")</f>
        <v>130</v>
      </c>
      <c r="K87" s="53">
        <v>50.0</v>
      </c>
      <c r="L87" s="58"/>
      <c r="M87" s="55"/>
      <c r="N87" s="55"/>
    </row>
    <row r="88" ht="15.75" customHeight="1">
      <c r="A88" s="117">
        <f t="shared" si="1"/>
        <v>83</v>
      </c>
      <c r="B88" s="118"/>
      <c r="C88" s="119">
        <v>45545.0</v>
      </c>
      <c r="D88" s="120" t="s">
        <v>146</v>
      </c>
      <c r="E88" s="120" t="s">
        <v>81</v>
      </c>
      <c r="F88" s="120" t="str">
        <f>+IFERROR(VLOOKUP(E88,'DANH MỤC'!$C:$H,2,0),"")</f>
        <v>Lưỡi gà trắng 71mm x 800m x 210gsm</v>
      </c>
      <c r="G88" s="120" t="str">
        <f>+IFERROR(VLOOKUP(E88,'DANH MỤC'!$C:$H,6,0),"")</f>
        <v>Cuộn</v>
      </c>
      <c r="H88" s="120">
        <f>+IFERROR(VLOOKUP(E88,'DANH MỤC'!$C:$H,3,0),"")</f>
        <v>210</v>
      </c>
      <c r="I88" s="120">
        <f>+IFERROR(VLOOKUP(E88,'DANH MỤC'!$C:$H,4,0),"")</f>
        <v>71</v>
      </c>
      <c r="J88" s="120">
        <f>+IFERROR(VLOOKUP(E88,'DANH MỤC'!$C:$H,5,0),"")</f>
        <v>800</v>
      </c>
      <c r="K88" s="117"/>
      <c r="L88" s="121">
        <v>480.0</v>
      </c>
      <c r="M88" s="118"/>
      <c r="N88" s="118"/>
    </row>
    <row r="89" ht="15.75" customHeight="1">
      <c r="A89" s="53">
        <f t="shared" si="1"/>
        <v>84</v>
      </c>
      <c r="B89" s="55"/>
      <c r="C89" s="41">
        <v>45546.0</v>
      </c>
      <c r="D89" s="42" t="s">
        <v>150</v>
      </c>
      <c r="E89" s="42" t="s">
        <v>123</v>
      </c>
      <c r="F89" s="42" t="str">
        <f>+IFERROR(VLOOKUP(E89,'DANH MỤC'!$C:$H,2,0),"")</f>
        <v>Lưỡi gà trắng 90mm x 800m x 250gsm</v>
      </c>
      <c r="G89" s="42" t="str">
        <f>+IFERROR(VLOOKUP(E89,'DANH MỤC'!$C:$H,6,0),"")</f>
        <v>Cuộn</v>
      </c>
      <c r="H89" s="42">
        <f>+IFERROR(VLOOKUP(E89,'DANH MỤC'!$C:$H,3,0),"")</f>
        <v>250</v>
      </c>
      <c r="I89" s="42">
        <f>+IFERROR(VLOOKUP(E89,'DANH MỤC'!$C:$H,4,0),"")</f>
        <v>90</v>
      </c>
      <c r="J89" s="42">
        <f>+IFERROR(VLOOKUP(E89,'DANH MỤC'!$C:$H,5,0),"")</f>
        <v>800</v>
      </c>
      <c r="K89" s="53">
        <v>494.0</v>
      </c>
      <c r="L89" s="58"/>
      <c r="M89" s="55"/>
      <c r="N89" s="55"/>
    </row>
    <row r="90" ht="15.75" customHeight="1">
      <c r="A90" s="117">
        <f t="shared" si="1"/>
        <v>85</v>
      </c>
      <c r="B90" s="118"/>
      <c r="C90" s="119">
        <v>45546.0</v>
      </c>
      <c r="D90" s="120" t="s">
        <v>130</v>
      </c>
      <c r="E90" s="120" t="s">
        <v>123</v>
      </c>
      <c r="F90" s="120" t="str">
        <f>+IFERROR(VLOOKUP(E90,'DANH MỤC'!$C:$H,2,0),"")</f>
        <v>Lưỡi gà trắng 90mm x 800m x 250gsm</v>
      </c>
      <c r="G90" s="120" t="str">
        <f>+IFERROR(VLOOKUP(E90,'DANH MỤC'!$C:$H,6,0),"")</f>
        <v>Cuộn</v>
      </c>
      <c r="H90" s="120">
        <f>+IFERROR(VLOOKUP(E90,'DANH MỤC'!$C:$H,3,0),"")</f>
        <v>250</v>
      </c>
      <c r="I90" s="120">
        <f>+IFERROR(VLOOKUP(E90,'DANH MỤC'!$C:$H,4,0),"")</f>
        <v>90</v>
      </c>
      <c r="J90" s="120">
        <f>+IFERROR(VLOOKUP(E90,'DANH MỤC'!$C:$H,5,0),"")</f>
        <v>800</v>
      </c>
      <c r="K90" s="117"/>
      <c r="L90" s="121">
        <v>520.0</v>
      </c>
      <c r="M90" s="118" t="s">
        <v>131</v>
      </c>
      <c r="N90" s="118"/>
    </row>
    <row r="91" ht="15.75" customHeight="1">
      <c r="A91" s="53">
        <f t="shared" si="1"/>
        <v>86</v>
      </c>
      <c r="B91" s="55"/>
      <c r="C91" s="41">
        <v>45548.0</v>
      </c>
      <c r="D91" s="42" t="s">
        <v>150</v>
      </c>
      <c r="E91" s="42" t="s">
        <v>123</v>
      </c>
      <c r="F91" s="42" t="str">
        <f>+IFERROR(VLOOKUP(E91,'DANH MỤC'!$C:$H,2,0),"")</f>
        <v>Lưỡi gà trắng 90mm x 800m x 250gsm</v>
      </c>
      <c r="G91" s="42" t="str">
        <f>+IFERROR(VLOOKUP(E91,'DANH MỤC'!$C:$H,6,0),"")</f>
        <v>Cuộn</v>
      </c>
      <c r="H91" s="42">
        <f>+IFERROR(VLOOKUP(E91,'DANH MỤC'!$C:$H,3,0),"")</f>
        <v>250</v>
      </c>
      <c r="I91" s="42">
        <f>+IFERROR(VLOOKUP(E91,'DANH MỤC'!$C:$H,4,0),"")</f>
        <v>90</v>
      </c>
      <c r="J91" s="42">
        <f>+IFERROR(VLOOKUP(E91,'DANH MỤC'!$C:$H,5,0),"")</f>
        <v>800</v>
      </c>
      <c r="K91" s="53">
        <v>441.0</v>
      </c>
      <c r="L91" s="58"/>
      <c r="M91" s="55"/>
      <c r="N91" s="55"/>
    </row>
    <row r="92" ht="15.75" customHeight="1">
      <c r="A92" s="53">
        <f t="shared" si="1"/>
        <v>87</v>
      </c>
      <c r="B92" s="55"/>
      <c r="C92" s="41">
        <v>45548.0</v>
      </c>
      <c r="D92" s="42" t="s">
        <v>125</v>
      </c>
      <c r="E92" s="42" t="s">
        <v>127</v>
      </c>
      <c r="F92" s="42" t="str">
        <f>+IFERROR(VLOOKUP(E92,'DANH MỤC'!$C:$H,2,0),"")</f>
        <v>Pallet gỗ 1100x1100x130mm</v>
      </c>
      <c r="G92" s="42" t="str">
        <f>+IFERROR(VLOOKUP(E92,'DANH MỤC'!$C:$H,6,0),"")</f>
        <v>Bộ</v>
      </c>
      <c r="H92" s="42">
        <f>+IFERROR(VLOOKUP(E92,'DANH MỤC'!$C:$H,3,0),"")</f>
        <v>1100</v>
      </c>
      <c r="I92" s="42">
        <f>+IFERROR(VLOOKUP(E92,'DANH MỤC'!$C:$H,4,0),"")</f>
        <v>1100</v>
      </c>
      <c r="J92" s="42">
        <f>+IFERROR(VLOOKUP(E92,'DANH MỤC'!$C:$H,5,0),"")</f>
        <v>130</v>
      </c>
      <c r="K92" s="53"/>
      <c r="L92" s="58">
        <v>7.0</v>
      </c>
      <c r="M92" s="55"/>
      <c r="N92" s="55"/>
    </row>
    <row r="93" ht="15.75" customHeight="1">
      <c r="A93" s="53">
        <f t="shared" si="1"/>
        <v>88</v>
      </c>
      <c r="B93" s="55"/>
      <c r="C93" s="41">
        <v>45548.0</v>
      </c>
      <c r="D93" s="42" t="s">
        <v>125</v>
      </c>
      <c r="E93" s="42" t="s">
        <v>115</v>
      </c>
      <c r="F93" s="42" t="str">
        <f>+IFERROR(VLOOKUP(E93,'DANH MỤC'!$C:$H,2,0),"")</f>
        <v>Màng Strecth Film 5.0-0.6kg</v>
      </c>
      <c r="G93" s="42" t="str">
        <f>+IFERROR(VLOOKUP(E93,'DANH MỤC'!$C:$H,6,0),"")</f>
        <v>Kg</v>
      </c>
      <c r="H93" s="42" t="str">
        <f>+IFERROR(VLOOKUP(E93,'DANH MỤC'!$C:$H,3,0),"")</f>
        <v/>
      </c>
      <c r="I93" s="42" t="str">
        <f>+IFERROR(VLOOKUP(E93,'DANH MỤC'!$C:$H,4,0),"")</f>
        <v/>
      </c>
      <c r="J93" s="42" t="str">
        <f>+IFERROR(VLOOKUP(E93,'DANH MỤC'!$C:$H,5,0),"")</f>
        <v/>
      </c>
      <c r="K93" s="53"/>
      <c r="L93" s="58">
        <v>4.71</v>
      </c>
      <c r="M93" s="55"/>
      <c r="N93" s="55"/>
    </row>
    <row r="94" ht="15.75" customHeight="1">
      <c r="A94" s="53">
        <f t="shared" si="1"/>
        <v>89</v>
      </c>
      <c r="B94" s="55"/>
      <c r="C94" s="41">
        <v>45548.0</v>
      </c>
      <c r="D94" s="42" t="s">
        <v>125</v>
      </c>
      <c r="E94" s="42" t="s">
        <v>112</v>
      </c>
      <c r="F94" s="42" t="str">
        <f>+IFERROR(VLOOKUP(E94,'DANH MỤC'!$C:$H,2,0),"")</f>
        <v>Dây đai PET xanh (B)</v>
      </c>
      <c r="G94" s="42" t="str">
        <f>+IFERROR(VLOOKUP(E94,'DANH MỤC'!$C:$H,6,0),"")</f>
        <v>Kg</v>
      </c>
      <c r="H94" s="42" t="str">
        <f>+IFERROR(VLOOKUP(E94,'DANH MỤC'!$C:$H,3,0),"")</f>
        <v/>
      </c>
      <c r="I94" s="42" t="str">
        <f>+IFERROR(VLOOKUP(E94,'DANH MỤC'!$C:$H,4,0),"")</f>
        <v/>
      </c>
      <c r="J94" s="42" t="str">
        <f>+IFERROR(VLOOKUP(E94,'DANH MỤC'!$C:$H,5,0),"")</f>
        <v/>
      </c>
      <c r="K94" s="53"/>
      <c r="L94" s="58">
        <v>7.97</v>
      </c>
      <c r="M94" s="55"/>
      <c r="N94" s="55"/>
    </row>
    <row r="95" ht="15.75" customHeight="1">
      <c r="A95" s="53">
        <f t="shared" si="1"/>
        <v>90</v>
      </c>
      <c r="B95" s="55"/>
      <c r="C95" s="41">
        <v>45548.0</v>
      </c>
      <c r="D95" s="42" t="s">
        <v>125</v>
      </c>
      <c r="E95" s="42" t="s">
        <v>96</v>
      </c>
      <c r="F95" s="42" t="str">
        <f>+IFERROR(VLOOKUP(E95,'DANH MỤC'!$C:$H,2,0),"")</f>
        <v>Giấy bao gói lưỡi gà</v>
      </c>
      <c r="G95" s="42" t="str">
        <f>+IFERROR(VLOOKUP(E95,'DANH MỤC'!$C:$H,6,0),"")</f>
        <v>Kg</v>
      </c>
      <c r="H95" s="42" t="str">
        <f>+IFERROR(VLOOKUP(E95,'DANH MỤC'!$C:$H,3,0),"")</f>
        <v/>
      </c>
      <c r="I95" s="42" t="str">
        <f>+IFERROR(VLOOKUP(E95,'DANH MỤC'!$C:$H,4,0),"")</f>
        <v/>
      </c>
      <c r="J95" s="42" t="str">
        <f>+IFERROR(VLOOKUP(E95,'DANH MỤC'!$C:$H,5,0),"")</f>
        <v/>
      </c>
      <c r="K95" s="53"/>
      <c r="L95" s="58">
        <v>8.53</v>
      </c>
      <c r="M95" s="55"/>
      <c r="N95" s="55"/>
    </row>
    <row r="96" ht="15.75" customHeight="1">
      <c r="A96" s="53">
        <f t="shared" si="1"/>
        <v>91</v>
      </c>
      <c r="B96" s="55"/>
      <c r="C96" s="41">
        <v>45548.0</v>
      </c>
      <c r="D96" s="42" t="s">
        <v>125</v>
      </c>
      <c r="E96" s="42" t="s">
        <v>97</v>
      </c>
      <c r="F96" s="42" t="str">
        <f>+IFERROR(VLOOKUP(E96,'DANH MỤC'!$C:$H,2,0),"")</f>
        <v>Ống lõi giấy phi 120x7x1000mm</v>
      </c>
      <c r="G96" s="42" t="str">
        <f>+IFERROR(VLOOKUP(E96,'DANH MỤC'!$C:$H,6,0),"")</f>
        <v>Cái</v>
      </c>
      <c r="H96" s="42">
        <f>+IFERROR(VLOOKUP(E96,'DANH MỤC'!$C:$H,3,0),"")</f>
        <v>120</v>
      </c>
      <c r="I96" s="42">
        <f>+IFERROR(VLOOKUP(E96,'DANH MỤC'!$C:$H,4,0),"")</f>
        <v>70</v>
      </c>
      <c r="J96" s="42">
        <f>+IFERROR(VLOOKUP(E96,'DANH MỤC'!$C:$H,5,0),"")</f>
        <v>1000</v>
      </c>
      <c r="K96" s="53"/>
      <c r="L96" s="58">
        <v>36.0</v>
      </c>
      <c r="M96" s="55"/>
      <c r="N96" s="55"/>
    </row>
    <row r="97" ht="15.75" customHeight="1">
      <c r="A97" s="53">
        <f t="shared" si="1"/>
        <v>92</v>
      </c>
      <c r="B97" s="55"/>
      <c r="C97" s="41">
        <v>45548.0</v>
      </c>
      <c r="D97" s="42" t="s">
        <v>125</v>
      </c>
      <c r="E97" s="42" t="s">
        <v>151</v>
      </c>
      <c r="F97" s="42" t="str">
        <f>+IFERROR(VLOOKUP(E97,'DANH MỤC'!$C:$H,2,0),"")</f>
        <v/>
      </c>
      <c r="G97" s="42" t="str">
        <f>+IFERROR(VLOOKUP(E97,'DANH MỤC'!$C:$H,6,0),"")</f>
        <v/>
      </c>
      <c r="H97" s="42" t="str">
        <f>+IFERROR(VLOOKUP(E97,'DANH MỤC'!$C:$H,3,0),"")</f>
        <v/>
      </c>
      <c r="I97" s="42" t="str">
        <f>+IFERROR(VLOOKUP(E97,'DANH MỤC'!$C:$H,4,0),"")</f>
        <v/>
      </c>
      <c r="J97" s="42" t="str">
        <f>+IFERROR(VLOOKUP(E97,'DANH MỤC'!$C:$H,5,0),"")</f>
        <v/>
      </c>
      <c r="K97" s="53"/>
      <c r="L97" s="58">
        <v>6.0</v>
      </c>
      <c r="M97" s="55"/>
      <c r="N97" s="55"/>
    </row>
    <row r="98" ht="15.75" customHeight="1">
      <c r="A98" s="53">
        <f t="shared" si="1"/>
        <v>93</v>
      </c>
      <c r="B98" s="55"/>
      <c r="C98" s="41">
        <v>45551.0</v>
      </c>
      <c r="D98" s="42" t="s">
        <v>35</v>
      </c>
      <c r="E98" s="42" t="s">
        <v>88</v>
      </c>
      <c r="F98" s="42" t="str">
        <f>+IFERROR(VLOOKUP(E98,'DANH MỤC'!$C:$H,2,0),"")</f>
        <v>Ivory Ningbo</v>
      </c>
      <c r="G98" s="42" t="str">
        <f>+IFERROR(VLOOKUP(E98,'DANH MỤC'!$C:$H,6,0),"")</f>
        <v>Kg</v>
      </c>
      <c r="H98" s="42">
        <f>+IFERROR(VLOOKUP(E98,'DANH MỤC'!$C:$H,3,0),"")</f>
        <v>250</v>
      </c>
      <c r="I98" s="42">
        <f>+IFERROR(VLOOKUP(E98,'DANH MỤC'!$C:$H,4,0),"")</f>
        <v>109</v>
      </c>
      <c r="J98" s="42" t="str">
        <f>+IFERROR(VLOOKUP(E98,'DANH MỤC'!$C:$H,5,0),"")</f>
        <v/>
      </c>
      <c r="K98" s="53">
        <v>7848.0</v>
      </c>
      <c r="L98" s="58"/>
      <c r="M98" s="55" t="s">
        <v>149</v>
      </c>
      <c r="N98" s="55"/>
    </row>
    <row r="99" ht="15.75" customHeight="1">
      <c r="A99" s="53">
        <f t="shared" si="1"/>
        <v>94</v>
      </c>
      <c r="B99" s="55" t="s">
        <v>152</v>
      </c>
      <c r="C99" s="41">
        <v>45551.0</v>
      </c>
      <c r="D99" s="42" t="s">
        <v>153</v>
      </c>
      <c r="E99" s="42" t="s">
        <v>36</v>
      </c>
      <c r="F99" s="42" t="str">
        <f>+IFERROR(VLOOKUP(E99,'DANH MỤC'!$C:$H,2,0),"")</f>
        <v>Ivory Ningbo</v>
      </c>
      <c r="G99" s="42" t="str">
        <f>+IFERROR(VLOOKUP(E99,'DANH MỤC'!$C:$H,6,0),"")</f>
        <v>Kg</v>
      </c>
      <c r="H99" s="42">
        <f>+IFERROR(VLOOKUP(E99,'DANH MỤC'!$C:$H,3,0),"")</f>
        <v>210</v>
      </c>
      <c r="I99" s="42">
        <f>+IFERROR(VLOOKUP(E99,'DANH MỤC'!$C:$H,4,0),"")</f>
        <v>65</v>
      </c>
      <c r="J99" s="42" t="str">
        <f>+IFERROR(VLOOKUP(E99,'DANH MỤC'!$C:$H,5,0),"")</f>
        <v/>
      </c>
      <c r="K99" s="53"/>
      <c r="L99" s="58">
        <v>315.0</v>
      </c>
      <c r="M99" s="55"/>
      <c r="N99" s="55"/>
    </row>
    <row r="100" ht="18.75" customHeight="1">
      <c r="A100" s="53">
        <f t="shared" si="1"/>
        <v>95</v>
      </c>
      <c r="B100" s="55" t="s">
        <v>152</v>
      </c>
      <c r="C100" s="41">
        <v>45551.0</v>
      </c>
      <c r="D100" s="42" t="s">
        <v>153</v>
      </c>
      <c r="E100" s="42" t="s">
        <v>47</v>
      </c>
      <c r="F100" s="42" t="str">
        <f>+IFERROR(VLOOKUP(E100,'DANH MỤC'!$C:$H,2,0),"")</f>
        <v>Ivory Ningbo</v>
      </c>
      <c r="G100" s="42" t="str">
        <f>+IFERROR(VLOOKUP(E100,'DANH MỤC'!$C:$H,6,0),"")</f>
        <v>Kg</v>
      </c>
      <c r="H100" s="42">
        <f>+IFERROR(VLOOKUP(E100,'DANH MỤC'!$C:$H,3,0),"")</f>
        <v>210</v>
      </c>
      <c r="I100" s="42">
        <f>+IFERROR(VLOOKUP(E100,'DANH MỤC'!$C:$H,4,0),"")</f>
        <v>109</v>
      </c>
      <c r="J100" s="42" t="str">
        <f>+IFERROR(VLOOKUP(E100,'DANH MỤC'!$C:$H,5,0),"")</f>
        <v/>
      </c>
      <c r="K100" s="53"/>
      <c r="L100" s="58">
        <v>1030.0</v>
      </c>
      <c r="M100" s="55"/>
      <c r="N100" s="55"/>
    </row>
    <row r="101" ht="15.75" customHeight="1">
      <c r="A101" s="53">
        <f t="shared" si="1"/>
        <v>96</v>
      </c>
      <c r="B101" s="55"/>
      <c r="C101" s="41">
        <v>45552.0</v>
      </c>
      <c r="D101" s="42" t="s">
        <v>35</v>
      </c>
      <c r="E101" s="42" t="s">
        <v>88</v>
      </c>
      <c r="F101" s="42" t="str">
        <f>+IFERROR(VLOOKUP(E101,'DANH MỤC'!$C:$H,2,0),"")</f>
        <v>Ivory Ningbo</v>
      </c>
      <c r="G101" s="42" t="str">
        <f>+IFERROR(VLOOKUP(E101,'DANH MỤC'!$C:$H,6,0),"")</f>
        <v>Kg</v>
      </c>
      <c r="H101" s="42">
        <f>+IFERROR(VLOOKUP(E101,'DANH MỤC'!$C:$H,3,0),"")</f>
        <v>250</v>
      </c>
      <c r="I101" s="42">
        <f>+IFERROR(VLOOKUP(E101,'DANH MỤC'!$C:$H,4,0),"")</f>
        <v>109</v>
      </c>
      <c r="J101" s="42" t="str">
        <f>+IFERROR(VLOOKUP(E101,'DANH MỤC'!$C:$H,5,0),"")</f>
        <v/>
      </c>
      <c r="K101" s="53">
        <v>981.0</v>
      </c>
      <c r="L101" s="58"/>
      <c r="M101" s="55" t="s">
        <v>149</v>
      </c>
      <c r="N101" s="55"/>
    </row>
    <row r="102" ht="15.75" customHeight="1">
      <c r="A102" s="53">
        <f t="shared" si="1"/>
        <v>97</v>
      </c>
      <c r="B102" s="55"/>
      <c r="C102" s="41">
        <v>45552.0</v>
      </c>
      <c r="D102" s="42" t="s">
        <v>35</v>
      </c>
      <c r="E102" s="42" t="s">
        <v>154</v>
      </c>
      <c r="F102" s="42" t="str">
        <f>+IFERROR(VLOOKUP(E102,'DANH MỤC'!$C:$H,2,0),"")</f>
        <v>Ivory Ningbo</v>
      </c>
      <c r="G102" s="42" t="str">
        <f>+IFERROR(VLOOKUP(E102,'DANH MỤC'!$C:$H,6,0),"")</f>
        <v>Kg</v>
      </c>
      <c r="H102" s="42">
        <f>+IFERROR(VLOOKUP(E102,'DANH MỤC'!$C:$H,3,0),"")</f>
        <v>210</v>
      </c>
      <c r="I102" s="42">
        <f>+IFERROR(VLOOKUP(E102,'DANH MỤC'!$C:$H,4,0),"")</f>
        <v>79</v>
      </c>
      <c r="J102" s="42" t="str">
        <f>+IFERROR(VLOOKUP(E102,'DANH MỤC'!$C:$H,5,0),"")</f>
        <v/>
      </c>
      <c r="K102" s="53">
        <v>5908.0</v>
      </c>
      <c r="L102" s="58"/>
      <c r="M102" s="55" t="s">
        <v>149</v>
      </c>
      <c r="N102" s="55"/>
    </row>
    <row r="103" ht="15.75" customHeight="1">
      <c r="A103" s="53">
        <f t="shared" si="1"/>
        <v>98</v>
      </c>
      <c r="B103" s="55"/>
      <c r="C103" s="41">
        <v>45553.0</v>
      </c>
      <c r="D103" s="42" t="s">
        <v>155</v>
      </c>
      <c r="E103" s="42" t="s">
        <v>81</v>
      </c>
      <c r="F103" s="42" t="str">
        <f>+IFERROR(VLOOKUP(E103,'DANH MỤC'!$C:$H,2,0),"")</f>
        <v>Lưỡi gà trắng 71mm x 800m x 210gsm</v>
      </c>
      <c r="G103" s="42" t="str">
        <f>+IFERROR(VLOOKUP(E103,'DANH MỤC'!$C:$H,6,0),"")</f>
        <v>Cuộn</v>
      </c>
      <c r="H103" s="42">
        <f>+IFERROR(VLOOKUP(E103,'DANH MỤC'!$C:$H,3,0),"")</f>
        <v>210</v>
      </c>
      <c r="I103" s="42">
        <f>+IFERROR(VLOOKUP(E103,'DANH MỤC'!$C:$H,4,0),"")</f>
        <v>71</v>
      </c>
      <c r="J103" s="42">
        <f>+IFERROR(VLOOKUP(E103,'DANH MỤC'!$C:$H,5,0),"")</f>
        <v>800</v>
      </c>
      <c r="K103" s="53">
        <v>419.0</v>
      </c>
      <c r="L103" s="58"/>
      <c r="M103" s="55"/>
      <c r="N103" s="55"/>
    </row>
    <row r="104" ht="15.75" customHeight="1">
      <c r="A104" s="53">
        <f t="shared" si="1"/>
        <v>99</v>
      </c>
      <c r="B104" s="55"/>
      <c r="C104" s="41">
        <v>45553.0</v>
      </c>
      <c r="D104" s="42" t="s">
        <v>95</v>
      </c>
      <c r="E104" s="42" t="s">
        <v>156</v>
      </c>
      <c r="F104" s="42" t="str">
        <f>+IFERROR(VLOOKUP(E104,'DANH MỤC'!$C:$H,2,0),"")</f>
        <v>Nẹp gỗ pallet dài 1.15m</v>
      </c>
      <c r="G104" s="42" t="str">
        <f>+IFERROR(VLOOKUP(E104,'DANH MỤC'!$C:$H,6,0),"")</f>
        <v>Cái</v>
      </c>
      <c r="H104" s="42" t="str">
        <f>+IFERROR(VLOOKUP(E104,'DANH MỤC'!$C:$H,3,0),"")</f>
        <v/>
      </c>
      <c r="I104" s="42" t="str">
        <f>+IFERROR(VLOOKUP(E104,'DANH MỤC'!$C:$H,4,0),"")</f>
        <v/>
      </c>
      <c r="J104" s="42">
        <f>+IFERROR(VLOOKUP(E104,'DANH MỤC'!$C:$H,5,0),"")</f>
        <v>1150</v>
      </c>
      <c r="K104" s="53">
        <v>100.0</v>
      </c>
      <c r="L104" s="58"/>
      <c r="M104" s="55"/>
      <c r="N104" s="55"/>
    </row>
    <row r="105" ht="15.75" customHeight="1">
      <c r="A105" s="53">
        <f t="shared" si="1"/>
        <v>100</v>
      </c>
      <c r="B105" s="55"/>
      <c r="C105" s="41">
        <v>45553.0</v>
      </c>
      <c r="D105" s="42" t="s">
        <v>125</v>
      </c>
      <c r="E105" s="42" t="s">
        <v>127</v>
      </c>
      <c r="F105" s="42" t="str">
        <f>+IFERROR(VLOOKUP(E105,'DANH MỤC'!$C:$H,2,0),"")</f>
        <v>Pallet gỗ 1100x1100x130mm</v>
      </c>
      <c r="G105" s="42" t="str">
        <f>+IFERROR(VLOOKUP(E105,'DANH MỤC'!$C:$H,6,0),"")</f>
        <v>Bộ</v>
      </c>
      <c r="H105" s="42">
        <f>+IFERROR(VLOOKUP(E105,'DANH MỤC'!$C:$H,3,0),"")</f>
        <v>1100</v>
      </c>
      <c r="I105" s="42">
        <f>+IFERROR(VLOOKUP(E105,'DANH MỤC'!$C:$H,4,0),"")</f>
        <v>1100</v>
      </c>
      <c r="J105" s="42">
        <f>+IFERROR(VLOOKUP(E105,'DANH MỤC'!$C:$H,5,0),"")</f>
        <v>130</v>
      </c>
      <c r="K105" s="53"/>
      <c r="L105" s="58">
        <v>9.0</v>
      </c>
      <c r="M105" s="55"/>
      <c r="N105" s="55"/>
    </row>
    <row r="106" ht="15.75" customHeight="1">
      <c r="A106" s="53">
        <f t="shared" si="1"/>
        <v>101</v>
      </c>
      <c r="B106" s="55"/>
      <c r="C106" s="41">
        <v>45553.0</v>
      </c>
      <c r="D106" s="42" t="s">
        <v>125</v>
      </c>
      <c r="E106" s="42" t="s">
        <v>115</v>
      </c>
      <c r="F106" s="42" t="str">
        <f>+IFERROR(VLOOKUP(E106,'DANH MỤC'!$C:$H,2,0),"")</f>
        <v>Màng Strecth Film 5.0-0.6kg</v>
      </c>
      <c r="G106" s="42" t="str">
        <f>+IFERROR(VLOOKUP(E106,'DANH MỤC'!$C:$H,6,0),"")</f>
        <v>Kg</v>
      </c>
      <c r="H106" s="42" t="str">
        <f>+IFERROR(VLOOKUP(E106,'DANH MỤC'!$C:$H,3,0),"")</f>
        <v/>
      </c>
      <c r="I106" s="42" t="str">
        <f>+IFERROR(VLOOKUP(E106,'DANH MỤC'!$C:$H,4,0),"")</f>
        <v/>
      </c>
      <c r="J106" s="42" t="str">
        <f>+IFERROR(VLOOKUP(E106,'DANH MỤC'!$C:$H,5,0),"")</f>
        <v/>
      </c>
      <c r="K106" s="53"/>
      <c r="L106" s="58">
        <v>6.05</v>
      </c>
      <c r="M106" s="55"/>
      <c r="N106" s="55"/>
    </row>
    <row r="107" ht="15.75" customHeight="1">
      <c r="A107" s="53">
        <f t="shared" si="1"/>
        <v>102</v>
      </c>
      <c r="B107" s="55"/>
      <c r="C107" s="41">
        <v>45553.0</v>
      </c>
      <c r="D107" s="42" t="s">
        <v>125</v>
      </c>
      <c r="E107" s="42" t="s">
        <v>112</v>
      </c>
      <c r="F107" s="42" t="str">
        <f>+IFERROR(VLOOKUP(E107,'DANH MỤC'!$C:$H,2,0),"")</f>
        <v>Dây đai PET xanh (B)</v>
      </c>
      <c r="G107" s="42" t="str">
        <f>+IFERROR(VLOOKUP(E107,'DANH MỤC'!$C:$H,6,0),"")</f>
        <v>Kg</v>
      </c>
      <c r="H107" s="42" t="str">
        <f>+IFERROR(VLOOKUP(E107,'DANH MỤC'!$C:$H,3,0),"")</f>
        <v/>
      </c>
      <c r="I107" s="42" t="str">
        <f>+IFERROR(VLOOKUP(E107,'DANH MỤC'!$C:$H,4,0),"")</f>
        <v/>
      </c>
      <c r="J107" s="42" t="str">
        <f>+IFERROR(VLOOKUP(E107,'DANH MỤC'!$C:$H,5,0),"")</f>
        <v/>
      </c>
      <c r="K107" s="53"/>
      <c r="L107" s="58">
        <v>10.25</v>
      </c>
      <c r="M107" s="55"/>
      <c r="N107" s="55"/>
    </row>
    <row r="108" ht="15.75" customHeight="1">
      <c r="A108" s="53">
        <f t="shared" si="1"/>
        <v>103</v>
      </c>
      <c r="B108" s="55"/>
      <c r="C108" s="41">
        <v>45553.0</v>
      </c>
      <c r="D108" s="42" t="s">
        <v>125</v>
      </c>
      <c r="E108" s="42" t="s">
        <v>96</v>
      </c>
      <c r="F108" s="42" t="str">
        <f>+IFERROR(VLOOKUP(E108,'DANH MỤC'!$C:$H,2,0),"")</f>
        <v>Giấy bao gói lưỡi gà</v>
      </c>
      <c r="G108" s="42" t="str">
        <f>+IFERROR(VLOOKUP(E108,'DANH MỤC'!$C:$H,6,0),"")</f>
        <v>Kg</v>
      </c>
      <c r="H108" s="42" t="str">
        <f>+IFERROR(VLOOKUP(E108,'DANH MỤC'!$C:$H,3,0),"")</f>
        <v/>
      </c>
      <c r="I108" s="42" t="str">
        <f>+IFERROR(VLOOKUP(E108,'DANH MỤC'!$C:$H,4,0),"")</f>
        <v/>
      </c>
      <c r="J108" s="42" t="str">
        <f>+IFERROR(VLOOKUP(E108,'DANH MỤC'!$C:$H,5,0),"")</f>
        <v/>
      </c>
      <c r="K108" s="53"/>
      <c r="L108" s="58">
        <v>9.34</v>
      </c>
      <c r="M108" s="55"/>
      <c r="N108" s="55"/>
    </row>
    <row r="109" ht="15.75" customHeight="1">
      <c r="A109" s="53">
        <f t="shared" si="1"/>
        <v>104</v>
      </c>
      <c r="B109" s="55"/>
      <c r="C109" s="41">
        <v>45553.0</v>
      </c>
      <c r="D109" s="42" t="s">
        <v>125</v>
      </c>
      <c r="E109" s="42" t="s">
        <v>156</v>
      </c>
      <c r="F109" s="42" t="str">
        <f>+IFERROR(VLOOKUP(E109,'DANH MỤC'!$C:$H,2,0),"")</f>
        <v>Nẹp gỗ pallet dài 1.15m</v>
      </c>
      <c r="G109" s="42" t="str">
        <f>+IFERROR(VLOOKUP(E109,'DANH MỤC'!$C:$H,6,0),"")</f>
        <v>Cái</v>
      </c>
      <c r="H109" s="42" t="str">
        <f>+IFERROR(VLOOKUP(E109,'DANH MỤC'!$C:$H,3,0),"")</f>
        <v/>
      </c>
      <c r="I109" s="42" t="str">
        <f>+IFERROR(VLOOKUP(E109,'DANH MỤC'!$C:$H,4,0),"")</f>
        <v/>
      </c>
      <c r="J109" s="42">
        <f>+IFERROR(VLOOKUP(E109,'DANH MỤC'!$C:$H,5,0),"")</f>
        <v>1150</v>
      </c>
      <c r="K109" s="53"/>
      <c r="L109" s="58">
        <v>84.0</v>
      </c>
      <c r="M109" s="55"/>
      <c r="N109" s="55"/>
    </row>
    <row r="110" ht="15.75" customHeight="1">
      <c r="A110" s="117">
        <f t="shared" si="1"/>
        <v>105</v>
      </c>
      <c r="B110" s="118"/>
      <c r="C110" s="119">
        <v>45555.0</v>
      </c>
      <c r="D110" s="120" t="s">
        <v>130</v>
      </c>
      <c r="E110" s="120" t="s">
        <v>123</v>
      </c>
      <c r="F110" s="120" t="str">
        <f>+IFERROR(VLOOKUP(E110,'DANH MỤC'!$C:$H,2,0),"")</f>
        <v>Lưỡi gà trắng 90mm x 800m x 250gsm</v>
      </c>
      <c r="G110" s="120" t="str">
        <f>+IFERROR(VLOOKUP(E110,'DANH MỤC'!$C:$H,6,0),"")</f>
        <v>Cuộn</v>
      </c>
      <c r="H110" s="120">
        <f>+IFERROR(VLOOKUP(E110,'DANH MỤC'!$C:$H,3,0),"")</f>
        <v>250</v>
      </c>
      <c r="I110" s="120">
        <f>+IFERROR(VLOOKUP(E110,'DANH MỤC'!$C:$H,4,0),"")</f>
        <v>90</v>
      </c>
      <c r="J110" s="120">
        <f>+IFERROR(VLOOKUP(E110,'DANH MỤC'!$C:$H,5,0),"")</f>
        <v>800</v>
      </c>
      <c r="K110" s="117"/>
      <c r="L110" s="121">
        <v>520.0</v>
      </c>
      <c r="M110" s="118" t="s">
        <v>131</v>
      </c>
      <c r="N110" s="118"/>
    </row>
    <row r="111" ht="15.75" customHeight="1">
      <c r="A111" s="117">
        <f t="shared" si="1"/>
        <v>106</v>
      </c>
      <c r="B111" s="118"/>
      <c r="C111" s="119">
        <v>45555.0</v>
      </c>
      <c r="D111" s="120" t="s">
        <v>130</v>
      </c>
      <c r="E111" s="120" t="s">
        <v>104</v>
      </c>
      <c r="F111" s="120" t="str">
        <f>+IFERROR(VLOOKUP(E111,'DANH MỤC'!$C:$H,2,0),"")</f>
        <v>Lưỡi gà trắng 95mm x 800m x 210gsm</v>
      </c>
      <c r="G111" s="120" t="str">
        <f>+IFERROR(VLOOKUP(E111,'DANH MỤC'!$C:$H,6,0),"")</f>
        <v>Cuộn</v>
      </c>
      <c r="H111" s="120">
        <f>+IFERROR(VLOOKUP(E111,'DANH MỤC'!$C:$H,3,0),"")</f>
        <v>210</v>
      </c>
      <c r="I111" s="120">
        <f>+IFERROR(VLOOKUP(E111,'DANH MỤC'!$C:$H,4,0),"")</f>
        <v>95</v>
      </c>
      <c r="J111" s="120">
        <f>+IFERROR(VLOOKUP(E111,'DANH MỤC'!$C:$H,5,0),"")</f>
        <v>800</v>
      </c>
      <c r="K111" s="117"/>
      <c r="L111" s="121">
        <v>104.0</v>
      </c>
      <c r="M111" s="118" t="s">
        <v>131</v>
      </c>
      <c r="N111" s="118"/>
    </row>
    <row r="112" ht="15.75" customHeight="1">
      <c r="A112" s="117">
        <f t="shared" si="1"/>
        <v>107</v>
      </c>
      <c r="B112" s="118"/>
      <c r="C112" s="119">
        <v>45558.0</v>
      </c>
      <c r="D112" s="120" t="s">
        <v>146</v>
      </c>
      <c r="E112" s="120" t="s">
        <v>81</v>
      </c>
      <c r="F112" s="120" t="str">
        <f>+IFERROR(VLOOKUP(E112,'DANH MỤC'!$C:$H,2,0),"")</f>
        <v>Lưỡi gà trắng 71mm x 800m x 210gsm</v>
      </c>
      <c r="G112" s="120" t="str">
        <f>+IFERROR(VLOOKUP(E112,'DANH MỤC'!$C:$H,6,0),"")</f>
        <v>Cuộn</v>
      </c>
      <c r="H112" s="120">
        <f>+IFERROR(VLOOKUP(E112,'DANH MỤC'!$C:$H,3,0),"")</f>
        <v>210</v>
      </c>
      <c r="I112" s="120">
        <f>+IFERROR(VLOOKUP(E112,'DANH MỤC'!$C:$H,4,0),"")</f>
        <v>71</v>
      </c>
      <c r="J112" s="120">
        <f>+IFERROR(VLOOKUP(E112,'DANH MỤC'!$C:$H,5,0),"")</f>
        <v>800</v>
      </c>
      <c r="K112" s="117"/>
      <c r="L112" s="121">
        <v>480.0</v>
      </c>
      <c r="M112" s="118"/>
      <c r="N112" s="118"/>
    </row>
    <row r="113" ht="15.75" customHeight="1">
      <c r="A113" s="117">
        <f t="shared" si="1"/>
        <v>108</v>
      </c>
      <c r="B113" s="122"/>
      <c r="C113" s="119">
        <v>45558.0</v>
      </c>
      <c r="D113" s="120" t="s">
        <v>146</v>
      </c>
      <c r="E113" s="120" t="s">
        <v>89</v>
      </c>
      <c r="F113" s="120" t="str">
        <f>+IFERROR(VLOOKUP(E113,'DANH MỤC'!$C:$H,2,0),"")</f>
        <v>Lưỡi gà trắng 83mm x 800m x 210gsm</v>
      </c>
      <c r="G113" s="120" t="str">
        <f>+IFERROR(VLOOKUP(E113,'DANH MỤC'!$C:$H,6,0),"")</f>
        <v>Cuộn</v>
      </c>
      <c r="H113" s="120">
        <f>+IFERROR(VLOOKUP(E113,'DANH MỤC'!$C:$H,3,0),"")</f>
        <v>210</v>
      </c>
      <c r="I113" s="120">
        <f>+IFERROR(VLOOKUP(E113,'DANH MỤC'!$C:$H,4,0),"")</f>
        <v>83</v>
      </c>
      <c r="J113" s="120">
        <f>+IFERROR(VLOOKUP(E113,'DANH MỤC'!$C:$H,5,0),"")</f>
        <v>800</v>
      </c>
      <c r="K113" s="117"/>
      <c r="L113" s="121">
        <v>60.0</v>
      </c>
      <c r="M113" s="118"/>
      <c r="N113" s="118"/>
    </row>
    <row r="114" ht="15.75" customHeight="1">
      <c r="A114" s="53">
        <f t="shared" si="1"/>
        <v>109</v>
      </c>
      <c r="B114" s="55"/>
      <c r="C114" s="41">
        <v>45560.0</v>
      </c>
      <c r="D114" s="42" t="s">
        <v>157</v>
      </c>
      <c r="E114" s="42" t="s">
        <v>123</v>
      </c>
      <c r="F114" s="42" t="str">
        <f>+IFERROR(VLOOKUP(E114,'DANH MỤC'!$C:$H,2,0),"")</f>
        <v>Lưỡi gà trắng 90mm x 800m x 250gsm</v>
      </c>
      <c r="G114" s="42" t="str">
        <f>+IFERROR(VLOOKUP(E114,'DANH MỤC'!$C:$H,6,0),"")</f>
        <v>Cuộn</v>
      </c>
      <c r="H114" s="42">
        <f>+IFERROR(VLOOKUP(E114,'DANH MỤC'!$C:$H,3,0),"")</f>
        <v>250</v>
      </c>
      <c r="I114" s="42">
        <f>+IFERROR(VLOOKUP(E114,'DANH MỤC'!$C:$H,4,0),"")</f>
        <v>90</v>
      </c>
      <c r="J114" s="42">
        <f>+IFERROR(VLOOKUP(E114,'DANH MỤC'!$C:$H,5,0),"")</f>
        <v>800</v>
      </c>
      <c r="K114" s="53">
        <v>463.0</v>
      </c>
      <c r="L114" s="58"/>
      <c r="M114" s="55"/>
      <c r="N114" s="55"/>
    </row>
    <row r="115" ht="15.75" customHeight="1">
      <c r="A115" s="53">
        <f t="shared" si="1"/>
        <v>110</v>
      </c>
      <c r="B115" s="55"/>
      <c r="C115" s="41">
        <v>45560.0</v>
      </c>
      <c r="D115" s="42" t="s">
        <v>125</v>
      </c>
      <c r="E115" s="42" t="s">
        <v>127</v>
      </c>
      <c r="F115" s="42" t="str">
        <f>+IFERROR(VLOOKUP(E115,'DANH MỤC'!$C:$H,2,0),"")</f>
        <v>Pallet gỗ 1100x1100x130mm</v>
      </c>
      <c r="G115" s="42" t="str">
        <f>+IFERROR(VLOOKUP(E115,'DANH MỤC'!$C:$H,6,0),"")</f>
        <v>Bộ</v>
      </c>
      <c r="H115" s="42">
        <f>+IFERROR(VLOOKUP(E115,'DANH MỤC'!$C:$H,3,0),"")</f>
        <v>1100</v>
      </c>
      <c r="I115" s="42">
        <f>+IFERROR(VLOOKUP(E115,'DANH MỤC'!$C:$H,4,0),"")</f>
        <v>1100</v>
      </c>
      <c r="J115" s="42">
        <f>+IFERROR(VLOOKUP(E115,'DANH MỤC'!$C:$H,5,0),"")</f>
        <v>130</v>
      </c>
      <c r="K115" s="53"/>
      <c r="L115" s="58">
        <v>5.0</v>
      </c>
      <c r="M115" s="55"/>
      <c r="N115" s="55"/>
    </row>
    <row r="116" ht="15.75" customHeight="1">
      <c r="A116" s="53">
        <f t="shared" si="1"/>
        <v>111</v>
      </c>
      <c r="B116" s="55"/>
      <c r="C116" s="41">
        <v>45560.0</v>
      </c>
      <c r="D116" s="42" t="s">
        <v>125</v>
      </c>
      <c r="E116" s="42" t="s">
        <v>115</v>
      </c>
      <c r="F116" s="42" t="str">
        <f>+IFERROR(VLOOKUP(E116,'DANH MỤC'!$C:$H,2,0),"")</f>
        <v>Màng Strecth Film 5.0-0.6kg</v>
      </c>
      <c r="G116" s="42" t="str">
        <f>+IFERROR(VLOOKUP(E116,'DANH MỤC'!$C:$H,6,0),"")</f>
        <v>Kg</v>
      </c>
      <c r="H116" s="42" t="str">
        <f>+IFERROR(VLOOKUP(E116,'DANH MỤC'!$C:$H,3,0),"")</f>
        <v/>
      </c>
      <c r="I116" s="42" t="str">
        <f>+IFERROR(VLOOKUP(E116,'DANH MỤC'!$C:$H,4,0),"")</f>
        <v/>
      </c>
      <c r="J116" s="42" t="str">
        <f>+IFERROR(VLOOKUP(E116,'DANH MỤC'!$C:$H,5,0),"")</f>
        <v/>
      </c>
      <c r="K116" s="53"/>
      <c r="L116" s="58">
        <v>3.36</v>
      </c>
      <c r="M116" s="55"/>
      <c r="N116" s="55"/>
    </row>
    <row r="117" ht="15.75" customHeight="1">
      <c r="A117" s="53">
        <f t="shared" si="1"/>
        <v>112</v>
      </c>
      <c r="B117" s="55"/>
      <c r="C117" s="41">
        <v>45560.0</v>
      </c>
      <c r="D117" s="42" t="s">
        <v>125</v>
      </c>
      <c r="E117" s="42" t="s">
        <v>112</v>
      </c>
      <c r="F117" s="42" t="str">
        <f>+IFERROR(VLOOKUP(E117,'DANH MỤC'!$C:$H,2,0),"")</f>
        <v>Dây đai PET xanh (B)</v>
      </c>
      <c r="G117" s="42" t="str">
        <f>+IFERROR(VLOOKUP(E117,'DANH MỤC'!$C:$H,6,0),"")</f>
        <v>Kg</v>
      </c>
      <c r="H117" s="42" t="str">
        <f>+IFERROR(VLOOKUP(E117,'DANH MỤC'!$C:$H,3,0),"")</f>
        <v/>
      </c>
      <c r="I117" s="42" t="str">
        <f>+IFERROR(VLOOKUP(E117,'DANH MỤC'!$C:$H,4,0),"")</f>
        <v/>
      </c>
      <c r="J117" s="42" t="str">
        <f>+IFERROR(VLOOKUP(E117,'DANH MỤC'!$C:$H,5,0),"")</f>
        <v/>
      </c>
      <c r="K117" s="53"/>
      <c r="L117" s="58">
        <v>5.69</v>
      </c>
      <c r="M117" s="55"/>
      <c r="N117" s="55"/>
    </row>
    <row r="118" ht="15.75" customHeight="1">
      <c r="A118" s="53">
        <f t="shared" si="1"/>
        <v>113</v>
      </c>
      <c r="B118" s="55"/>
      <c r="C118" s="41">
        <v>45560.0</v>
      </c>
      <c r="D118" s="42" t="s">
        <v>125</v>
      </c>
      <c r="E118" s="42" t="s">
        <v>96</v>
      </c>
      <c r="F118" s="42" t="str">
        <f>+IFERROR(VLOOKUP(E118,'DANH MỤC'!$C:$H,2,0),"")</f>
        <v>Giấy bao gói lưỡi gà</v>
      </c>
      <c r="G118" s="42" t="str">
        <f>+IFERROR(VLOOKUP(E118,'DANH MỤC'!$C:$H,6,0),"")</f>
        <v>Kg</v>
      </c>
      <c r="H118" s="42" t="str">
        <f>+IFERROR(VLOOKUP(E118,'DANH MỤC'!$C:$H,3,0),"")</f>
        <v/>
      </c>
      <c r="I118" s="42" t="str">
        <f>+IFERROR(VLOOKUP(E118,'DANH MỤC'!$C:$H,4,0),"")</f>
        <v/>
      </c>
      <c r="J118" s="42" t="str">
        <f>+IFERROR(VLOOKUP(E118,'DANH MỤC'!$C:$H,5,0),"")</f>
        <v/>
      </c>
      <c r="K118" s="53"/>
      <c r="L118" s="58">
        <v>9.1</v>
      </c>
      <c r="M118" s="55"/>
      <c r="N118" s="55"/>
    </row>
    <row r="119" ht="15.75" customHeight="1">
      <c r="A119" s="53">
        <f t="shared" si="1"/>
        <v>114</v>
      </c>
      <c r="B119" s="55"/>
      <c r="C119" s="41">
        <v>45560.0</v>
      </c>
      <c r="D119" s="42" t="s">
        <v>125</v>
      </c>
      <c r="E119" s="42" t="s">
        <v>97</v>
      </c>
      <c r="F119" s="42" t="str">
        <f>+IFERROR(VLOOKUP(E119,'DANH MỤC'!$C:$H,2,0),"")</f>
        <v>Ống lõi giấy phi 120x7x1000mm</v>
      </c>
      <c r="G119" s="42" t="str">
        <f>+IFERROR(VLOOKUP(E119,'DANH MỤC'!$C:$H,6,0),"")</f>
        <v>Cái</v>
      </c>
      <c r="H119" s="42">
        <f>+IFERROR(VLOOKUP(E119,'DANH MỤC'!$C:$H,3,0),"")</f>
        <v>120</v>
      </c>
      <c r="I119" s="42">
        <f>+IFERROR(VLOOKUP(E119,'DANH MỤC'!$C:$H,4,0),"")</f>
        <v>70</v>
      </c>
      <c r="J119" s="42">
        <f>+IFERROR(VLOOKUP(E119,'DANH MỤC'!$C:$H,5,0),"")</f>
        <v>1000</v>
      </c>
      <c r="K119" s="53"/>
      <c r="L119" s="58">
        <v>5.0</v>
      </c>
      <c r="M119" s="55"/>
      <c r="N119" s="55"/>
    </row>
    <row r="120" ht="15.75" customHeight="1">
      <c r="A120" s="53">
        <f t="shared" si="1"/>
        <v>115</v>
      </c>
      <c r="B120" s="55" t="s">
        <v>132</v>
      </c>
      <c r="C120" s="41" t="s">
        <v>158</v>
      </c>
      <c r="D120" s="42" t="s">
        <v>159</v>
      </c>
      <c r="E120" s="42" t="s">
        <v>60</v>
      </c>
      <c r="F120" s="42" t="str">
        <f>+IFERROR(VLOOKUP(E120,'DANH MỤC'!$C:$H,2,0),"")</f>
        <v>Ivory Ningbo</v>
      </c>
      <c r="G120" s="42" t="str">
        <f>+IFERROR(VLOOKUP(E120,'DANH MỤC'!$C:$H,6,0),"")</f>
        <v>Kg</v>
      </c>
      <c r="H120" s="42">
        <f>+IFERROR(VLOOKUP(E120,'DANH MỤC'!$C:$H,3,0),"")</f>
        <v>210</v>
      </c>
      <c r="I120" s="42">
        <f>+IFERROR(VLOOKUP(E120,'DANH MỤC'!$C:$H,4,0),"")</f>
        <v>86</v>
      </c>
      <c r="J120" s="42" t="str">
        <f>+IFERROR(VLOOKUP(E120,'DANH MỤC'!$C:$H,5,0),"")</f>
        <v/>
      </c>
      <c r="K120" s="53"/>
      <c r="L120" s="58">
        <f>5691-540</f>
        <v>5151</v>
      </c>
      <c r="M120" s="55"/>
      <c r="N120" s="55"/>
    </row>
    <row r="121" ht="15.75" customHeight="1">
      <c r="A121" s="53">
        <f t="shared" si="1"/>
        <v>116</v>
      </c>
      <c r="B121" s="55" t="s">
        <v>160</v>
      </c>
      <c r="C121" s="41" t="s">
        <v>161</v>
      </c>
      <c r="D121" s="42" t="s">
        <v>162</v>
      </c>
      <c r="E121" s="42" t="s">
        <v>79</v>
      </c>
      <c r="F121" s="42" t="str">
        <f>+IFERROR(VLOOKUP(E121,'DANH MỤC'!$C:$H,2,0),"")</f>
        <v>Ivory IPSUN</v>
      </c>
      <c r="G121" s="42" t="str">
        <f>+IFERROR(VLOOKUP(E121,'DANH MỤC'!$C:$H,6,0),"")</f>
        <v>Kg</v>
      </c>
      <c r="H121" s="42">
        <f>+IFERROR(VLOOKUP(E121,'DANH MỤC'!$C:$H,3,0),"")</f>
        <v>210</v>
      </c>
      <c r="I121" s="42">
        <f>+IFERROR(VLOOKUP(E121,'DANH MỤC'!$C:$H,4,0),"")</f>
        <v>109</v>
      </c>
      <c r="J121" s="42" t="str">
        <f>+IFERROR(VLOOKUP(E121,'DANH MỤC'!$C:$H,5,0),"")</f>
        <v/>
      </c>
      <c r="K121" s="53"/>
      <c r="L121" s="58">
        <f>5983-48</f>
        <v>5935</v>
      </c>
      <c r="M121" s="55"/>
      <c r="N121" s="55"/>
    </row>
    <row r="122" ht="15.75" customHeight="1">
      <c r="A122" s="53">
        <f t="shared" si="1"/>
        <v>117</v>
      </c>
      <c r="B122" s="55" t="s">
        <v>163</v>
      </c>
      <c r="C122" s="41" t="s">
        <v>164</v>
      </c>
      <c r="D122" s="42" t="s">
        <v>165</v>
      </c>
      <c r="E122" s="42" t="s">
        <v>88</v>
      </c>
      <c r="F122" s="42" t="str">
        <f>+IFERROR(VLOOKUP(E122,'DANH MỤC'!$C:$H,2,0),"")</f>
        <v>Ivory Ningbo</v>
      </c>
      <c r="G122" s="42" t="str">
        <f>+IFERROR(VLOOKUP(E122,'DANH MỤC'!$C:$H,6,0),"")</f>
        <v>Kg</v>
      </c>
      <c r="H122" s="42">
        <f>+IFERROR(VLOOKUP(E122,'DANH MỤC'!$C:$H,3,0),"")</f>
        <v>250</v>
      </c>
      <c r="I122" s="42">
        <f>+IFERROR(VLOOKUP(E122,'DANH MỤC'!$C:$H,4,0),"")</f>
        <v>109</v>
      </c>
      <c r="J122" s="42" t="str">
        <f>+IFERROR(VLOOKUP(E122,'DANH MỤC'!$C:$H,5,0),"")</f>
        <v/>
      </c>
      <c r="K122" s="53"/>
      <c r="L122" s="58">
        <f>8829-210</f>
        <v>8619</v>
      </c>
      <c r="M122" s="55"/>
      <c r="N122" s="55"/>
    </row>
    <row r="123" ht="15.75" customHeight="1">
      <c r="A123" s="53">
        <f t="shared" si="1"/>
        <v>118</v>
      </c>
      <c r="B123" s="55" t="s">
        <v>166</v>
      </c>
      <c r="C123" s="41" t="s">
        <v>167</v>
      </c>
      <c r="D123" s="42" t="s">
        <v>168</v>
      </c>
      <c r="E123" s="42" t="s">
        <v>143</v>
      </c>
      <c r="F123" s="42" t="str">
        <f>+IFERROR(VLOOKUP(E123,'DANH MỤC'!$C:$H,2,0),"")</f>
        <v>Ivory Ningbo</v>
      </c>
      <c r="G123" s="42" t="str">
        <f>+IFERROR(VLOOKUP(E123,'DANH MỤC'!$C:$H,6,0),"")</f>
        <v>Kg</v>
      </c>
      <c r="H123" s="42">
        <f>+IFERROR(VLOOKUP(E123,'DANH MỤC'!$C:$H,3,0),"")</f>
        <v>250</v>
      </c>
      <c r="I123" s="42">
        <f>+IFERROR(VLOOKUP(E123,'DANH MỤC'!$C:$H,4,0),"")</f>
        <v>102</v>
      </c>
      <c r="J123" s="42" t="str">
        <f>+IFERROR(VLOOKUP(E123,'DANH MỤC'!$C:$H,5,0),"")</f>
        <v/>
      </c>
      <c r="K123" s="53"/>
      <c r="L123" s="58">
        <f>5508-157</f>
        <v>5351</v>
      </c>
      <c r="M123" s="55"/>
      <c r="N123" s="55"/>
    </row>
    <row r="124" ht="15.75" customHeight="1">
      <c r="A124" s="53">
        <f t="shared" si="1"/>
        <v>119</v>
      </c>
      <c r="B124" s="55" t="s">
        <v>169</v>
      </c>
      <c r="C124" s="41" t="s">
        <v>170</v>
      </c>
      <c r="D124" s="42" t="s">
        <v>171</v>
      </c>
      <c r="E124" s="42" t="s">
        <v>143</v>
      </c>
      <c r="F124" s="42" t="str">
        <f>+IFERROR(VLOOKUP(E124,'DANH MỤC'!$C:$H,2,0),"")</f>
        <v>Ivory Ningbo</v>
      </c>
      <c r="G124" s="42" t="str">
        <f>+IFERROR(VLOOKUP(E124,'DANH MỤC'!$C:$H,6,0),"")</f>
        <v>Kg</v>
      </c>
      <c r="H124" s="42">
        <f>+IFERROR(VLOOKUP(E124,'DANH MỤC'!$C:$H,3,0),"")</f>
        <v>250</v>
      </c>
      <c r="I124" s="42">
        <f>+IFERROR(VLOOKUP(E124,'DANH MỤC'!$C:$H,4,0),"")</f>
        <v>102</v>
      </c>
      <c r="J124" s="42" t="str">
        <f>+IFERROR(VLOOKUP(E124,'DANH MỤC'!$C:$H,5,0),"")</f>
        <v/>
      </c>
      <c r="K124" s="53"/>
      <c r="L124" s="58">
        <v>157.0</v>
      </c>
      <c r="M124" s="55"/>
      <c r="N124" s="55"/>
    </row>
    <row r="125" ht="15.75" customHeight="1">
      <c r="A125" s="53">
        <f t="shared" si="1"/>
        <v>120</v>
      </c>
      <c r="B125" s="55" t="s">
        <v>169</v>
      </c>
      <c r="C125" s="41" t="s">
        <v>170</v>
      </c>
      <c r="D125" s="42" t="s">
        <v>171</v>
      </c>
      <c r="E125" s="42" t="s">
        <v>148</v>
      </c>
      <c r="F125" s="42" t="str">
        <f>+IFERROR(VLOOKUP(E125,'DANH MỤC'!$C:$H,2,0),"")</f>
        <v>Ivory Ningbo</v>
      </c>
      <c r="G125" s="42" t="str">
        <f>+IFERROR(VLOOKUP(E125,'DANH MỤC'!$C:$H,6,0),"")</f>
        <v>Kg</v>
      </c>
      <c r="H125" s="42">
        <f>+IFERROR(VLOOKUP(E125,'DANH MỤC'!$C:$H,3,0),"")</f>
        <v>250</v>
      </c>
      <c r="I125" s="42">
        <f>+IFERROR(VLOOKUP(E125,'DANH MỤC'!$C:$H,4,0),"")</f>
        <v>100</v>
      </c>
      <c r="J125" s="42" t="str">
        <f>+IFERROR(VLOOKUP(E125,'DANH MỤC'!$C:$H,5,0),"")</f>
        <v/>
      </c>
      <c r="K125" s="53"/>
      <c r="L125" s="58">
        <f>17100-83</f>
        <v>17017</v>
      </c>
      <c r="M125" s="55"/>
      <c r="N125" s="55"/>
    </row>
    <row r="126" ht="15.75" customHeight="1">
      <c r="A126" s="53">
        <f t="shared" si="1"/>
        <v>121</v>
      </c>
      <c r="B126" s="55" t="s">
        <v>172</v>
      </c>
      <c r="C126" s="41" t="s">
        <v>173</v>
      </c>
      <c r="D126" s="42" t="s">
        <v>174</v>
      </c>
      <c r="E126" s="42" t="s">
        <v>79</v>
      </c>
      <c r="F126" s="42" t="str">
        <f>+IFERROR(VLOOKUP(E126,'DANH MỤC'!$C:$H,2,0),"")</f>
        <v>Ivory IPSUN</v>
      </c>
      <c r="G126" s="42" t="str">
        <f>+IFERROR(VLOOKUP(E126,'DANH MỤC'!$C:$H,6,0),"")</f>
        <v>Kg</v>
      </c>
      <c r="H126" s="42">
        <f>+IFERROR(VLOOKUP(E126,'DANH MỤC'!$C:$H,3,0),"")</f>
        <v>210</v>
      </c>
      <c r="I126" s="42">
        <f>+IFERROR(VLOOKUP(E126,'DANH MỤC'!$C:$H,4,0),"")</f>
        <v>109</v>
      </c>
      <c r="J126" s="42" t="str">
        <f>+IFERROR(VLOOKUP(E126,'DANH MỤC'!$C:$H,5,0),"")</f>
        <v/>
      </c>
      <c r="K126" s="53"/>
      <c r="L126" s="58">
        <f>4212-200</f>
        <v>4012</v>
      </c>
      <c r="M126" s="55"/>
      <c r="N126" s="55"/>
    </row>
    <row r="127" ht="15.75" customHeight="1">
      <c r="A127" s="53">
        <f t="shared" si="1"/>
        <v>122</v>
      </c>
      <c r="B127" s="55" t="s">
        <v>128</v>
      </c>
      <c r="C127" s="41" t="s">
        <v>175</v>
      </c>
      <c r="D127" s="42" t="s">
        <v>176</v>
      </c>
      <c r="E127" s="42" t="s">
        <v>88</v>
      </c>
      <c r="F127" s="42" t="str">
        <f>+IFERROR(VLOOKUP(E127,'DANH MỤC'!$C:$H,2,0),"")</f>
        <v>Ivory Ningbo</v>
      </c>
      <c r="G127" s="42" t="str">
        <f>+IFERROR(VLOOKUP(E127,'DANH MỤC'!$C:$H,6,0),"")</f>
        <v>Kg</v>
      </c>
      <c r="H127" s="42">
        <f>+IFERROR(VLOOKUP(E127,'DANH MỤC'!$C:$H,3,0),"")</f>
        <v>250</v>
      </c>
      <c r="I127" s="42">
        <f>+IFERROR(VLOOKUP(E127,'DANH MỤC'!$C:$H,4,0),"")</f>
        <v>109</v>
      </c>
      <c r="J127" s="42" t="str">
        <f>+IFERROR(VLOOKUP(E127,'DANH MỤC'!$C:$H,5,0),"")</f>
        <v/>
      </c>
      <c r="K127" s="53"/>
      <c r="L127" s="58">
        <v>2943.0</v>
      </c>
      <c r="M127" s="55"/>
      <c r="N127" s="55"/>
    </row>
    <row r="128" ht="15.75" customHeight="1">
      <c r="A128" s="53">
        <f t="shared" si="1"/>
        <v>123</v>
      </c>
      <c r="B128" s="55" t="s">
        <v>128</v>
      </c>
      <c r="C128" s="41" t="s">
        <v>175</v>
      </c>
      <c r="D128" s="42" t="s">
        <v>176</v>
      </c>
      <c r="E128" s="42" t="s">
        <v>92</v>
      </c>
      <c r="F128" s="42" t="str">
        <f>+IFERROR(VLOOKUP(E128,'DANH MỤC'!$C:$H,2,0),"")</f>
        <v>Ivory Ningbo</v>
      </c>
      <c r="G128" s="42" t="str">
        <f>+IFERROR(VLOOKUP(E128,'DANH MỤC'!$C:$H,6,0),"")</f>
        <v>Kg</v>
      </c>
      <c r="H128" s="42">
        <f>+IFERROR(VLOOKUP(E128,'DANH MỤC'!$C:$H,3,0),"")</f>
        <v>250</v>
      </c>
      <c r="I128" s="42">
        <f>+IFERROR(VLOOKUP(E128,'DANH MỤC'!$C:$H,4,0),"")</f>
        <v>65</v>
      </c>
      <c r="J128" s="42" t="str">
        <f>+IFERROR(VLOOKUP(E128,'DANH MỤC'!$C:$H,5,0),"")</f>
        <v/>
      </c>
      <c r="K128" s="53"/>
      <c r="L128" s="58">
        <v>3510.0</v>
      </c>
      <c r="M128" s="55"/>
      <c r="N128" s="55"/>
    </row>
    <row r="129" ht="15.75" customHeight="1">
      <c r="A129" s="53">
        <f t="shared" si="1"/>
        <v>124</v>
      </c>
      <c r="B129" s="55" t="s">
        <v>128</v>
      </c>
      <c r="C129" s="41" t="s">
        <v>175</v>
      </c>
      <c r="D129" s="42" t="s">
        <v>176</v>
      </c>
      <c r="E129" s="42" t="s">
        <v>121</v>
      </c>
      <c r="F129" s="42" t="str">
        <f>+IFERROR(VLOOKUP(E129,'DANH MỤC'!$C:$H,2,0),"")</f>
        <v>Ivory Ningbo</v>
      </c>
      <c r="G129" s="42" t="str">
        <f>+IFERROR(VLOOKUP(E129,'DANH MỤC'!$C:$H,6,0),"")</f>
        <v>Kg</v>
      </c>
      <c r="H129" s="42">
        <f>+IFERROR(VLOOKUP(E129,'DANH MỤC'!$C:$H,3,0),"")</f>
        <v>250</v>
      </c>
      <c r="I129" s="42">
        <f>+IFERROR(VLOOKUP(E129,'DANH MỤC'!$C:$H,4,0),"")</f>
        <v>75</v>
      </c>
      <c r="J129" s="42" t="str">
        <f>+IFERROR(VLOOKUP(E129,'DANH MỤC'!$C:$H,5,0),"")</f>
        <v/>
      </c>
      <c r="K129" s="53"/>
      <c r="L129" s="58">
        <v>3375.0</v>
      </c>
      <c r="M129" s="55"/>
      <c r="N129" s="55"/>
    </row>
    <row r="130" ht="15.75" customHeight="1">
      <c r="A130" s="53">
        <f t="shared" si="1"/>
        <v>125</v>
      </c>
      <c r="B130" s="55" t="s">
        <v>128</v>
      </c>
      <c r="C130" s="41" t="s">
        <v>175</v>
      </c>
      <c r="D130" s="42" t="s">
        <v>176</v>
      </c>
      <c r="E130" s="42" t="s">
        <v>87</v>
      </c>
      <c r="F130" s="42" t="str">
        <f>+IFERROR(VLOOKUP(E130,'DANH MỤC'!$C:$H,2,0),"")</f>
        <v>Ivory IPSUN</v>
      </c>
      <c r="G130" s="42" t="str">
        <f>+IFERROR(VLOOKUP(E130,'DANH MỤC'!$C:$H,6,0),"")</f>
        <v>Kg</v>
      </c>
      <c r="H130" s="42">
        <f>+IFERROR(VLOOKUP(E130,'DANH MỤC'!$C:$H,3,0),"")</f>
        <v>250</v>
      </c>
      <c r="I130" s="42">
        <f>+IFERROR(VLOOKUP(E130,'DANH MỤC'!$C:$H,4,0),"")</f>
        <v>84</v>
      </c>
      <c r="J130" s="42" t="str">
        <f>+IFERROR(VLOOKUP(E130,'DANH MỤC'!$C:$H,5,0),"")</f>
        <v/>
      </c>
      <c r="K130" s="53"/>
      <c r="L130" s="58">
        <f>128-30</f>
        <v>98</v>
      </c>
      <c r="M130" s="55"/>
      <c r="N130" s="55"/>
    </row>
    <row r="131" ht="15.75" customHeight="1">
      <c r="A131" s="53">
        <f t="shared" si="1"/>
        <v>126</v>
      </c>
      <c r="B131" s="55" t="s">
        <v>177</v>
      </c>
      <c r="C131" s="41">
        <v>45566.0</v>
      </c>
      <c r="D131" s="42" t="s">
        <v>178</v>
      </c>
      <c r="E131" s="42" t="s">
        <v>60</v>
      </c>
      <c r="F131" s="42" t="str">
        <f>+IFERROR(VLOOKUP(E131,'DANH MỤC'!$C:$H,2,0),"")</f>
        <v>Ivory Ningbo</v>
      </c>
      <c r="G131" s="42" t="str">
        <f>+IFERROR(VLOOKUP(E131,'DANH MỤC'!$C:$H,6,0),"")</f>
        <v>Kg</v>
      </c>
      <c r="H131" s="42">
        <f>+IFERROR(VLOOKUP(E131,'DANH MỤC'!$C:$H,3,0),"")</f>
        <v>210</v>
      </c>
      <c r="I131" s="42">
        <f>+IFERROR(VLOOKUP(E131,'DANH MỤC'!$C:$H,4,0),"")</f>
        <v>86</v>
      </c>
      <c r="J131" s="42" t="str">
        <f>+IFERROR(VLOOKUP(E131,'DANH MỤC'!$C:$H,5,0),"")</f>
        <v/>
      </c>
      <c r="K131" s="53"/>
      <c r="L131" s="58">
        <f>4605-50</f>
        <v>4555</v>
      </c>
      <c r="M131" s="55"/>
      <c r="N131" s="55"/>
    </row>
    <row r="132" ht="15.75" customHeight="1">
      <c r="A132" s="53">
        <f t="shared" si="1"/>
        <v>127</v>
      </c>
      <c r="B132" s="55"/>
      <c r="C132" s="41">
        <v>45566.0</v>
      </c>
      <c r="D132" s="42" t="s">
        <v>95</v>
      </c>
      <c r="E132" s="42" t="s">
        <v>107</v>
      </c>
      <c r="F132" s="42" t="str">
        <f>+IFERROR(VLOOKUP(E132,'DANH MỤC'!$C:$H,2,0),"")</f>
        <v>Pallet gỗ 1200x1200x130mm</v>
      </c>
      <c r="G132" s="42" t="str">
        <f>+IFERROR(VLOOKUP(E132,'DANH MỤC'!$C:$H,6,0),"")</f>
        <v>Bộ</v>
      </c>
      <c r="H132" s="42">
        <f>+IFERROR(VLOOKUP(E132,'DANH MỤC'!$C:$H,3,0),"")</f>
        <v>1200</v>
      </c>
      <c r="I132" s="42">
        <f>+IFERROR(VLOOKUP(E132,'DANH MỤC'!$C:$H,4,0),"")</f>
        <v>1200</v>
      </c>
      <c r="J132" s="42">
        <f>+IFERROR(VLOOKUP(E132,'DANH MỤC'!$C:$H,5,0),"")</f>
        <v>130</v>
      </c>
      <c r="K132" s="53">
        <v>50.0</v>
      </c>
      <c r="L132" s="58"/>
      <c r="M132" s="55"/>
      <c r="N132" s="55"/>
    </row>
    <row r="133" ht="15.75" customHeight="1">
      <c r="A133" s="53">
        <f t="shared" si="1"/>
        <v>128</v>
      </c>
      <c r="B133" s="55"/>
      <c r="C133" s="41">
        <v>45566.0</v>
      </c>
      <c r="D133" s="42" t="s">
        <v>95</v>
      </c>
      <c r="E133" s="42" t="s">
        <v>156</v>
      </c>
      <c r="F133" s="42" t="str">
        <f>+IFERROR(VLOOKUP(E133,'DANH MỤC'!$C:$H,2,0),"")</f>
        <v>Nẹp gỗ pallet dài 1.15m</v>
      </c>
      <c r="G133" s="42" t="str">
        <f>+IFERROR(VLOOKUP(E133,'DANH MỤC'!$C:$H,6,0),"")</f>
        <v>Cái</v>
      </c>
      <c r="H133" s="42" t="str">
        <f>+IFERROR(VLOOKUP(E133,'DANH MỤC'!$C:$H,3,0),"")</f>
        <v/>
      </c>
      <c r="I133" s="42" t="str">
        <f>+IFERROR(VLOOKUP(E133,'DANH MỤC'!$C:$H,4,0),"")</f>
        <v/>
      </c>
      <c r="J133" s="42">
        <f>+IFERROR(VLOOKUP(E133,'DANH MỤC'!$C:$H,5,0),"")</f>
        <v>1150</v>
      </c>
      <c r="K133" s="53">
        <v>200.0</v>
      </c>
      <c r="L133" s="58"/>
      <c r="M133" s="55"/>
      <c r="N133" s="55"/>
    </row>
    <row r="134" ht="15.75" customHeight="1">
      <c r="A134" s="53">
        <f t="shared" si="1"/>
        <v>129</v>
      </c>
      <c r="B134" s="55"/>
      <c r="C134" s="41">
        <v>45566.0</v>
      </c>
      <c r="D134" s="42" t="s">
        <v>125</v>
      </c>
      <c r="E134" s="42" t="s">
        <v>127</v>
      </c>
      <c r="F134" s="42" t="str">
        <f>+IFERROR(VLOOKUP(E134,'DANH MỤC'!$C:$H,2,0),"")</f>
        <v>Pallet gỗ 1100x1100x130mm</v>
      </c>
      <c r="G134" s="42" t="str">
        <f>+IFERROR(VLOOKUP(E134,'DANH MỤC'!$C:$H,6,0),"")</f>
        <v>Bộ</v>
      </c>
      <c r="H134" s="42">
        <f>+IFERROR(VLOOKUP(E134,'DANH MỤC'!$C:$H,3,0),"")</f>
        <v>1100</v>
      </c>
      <c r="I134" s="42">
        <f>+IFERROR(VLOOKUP(E134,'DANH MỤC'!$C:$H,4,0),"")</f>
        <v>1100</v>
      </c>
      <c r="J134" s="42">
        <f>+IFERROR(VLOOKUP(E134,'DANH MỤC'!$C:$H,5,0),"")</f>
        <v>130</v>
      </c>
      <c r="K134" s="53"/>
      <c r="L134" s="58">
        <v>5.0</v>
      </c>
      <c r="M134" s="55"/>
      <c r="N134" s="55"/>
    </row>
    <row r="135" ht="15.75" customHeight="1">
      <c r="A135" s="53">
        <f t="shared" si="1"/>
        <v>130</v>
      </c>
      <c r="B135" s="55"/>
      <c r="C135" s="41">
        <v>45566.0</v>
      </c>
      <c r="D135" s="42" t="s">
        <v>125</v>
      </c>
      <c r="E135" s="42" t="s">
        <v>115</v>
      </c>
      <c r="F135" s="42" t="str">
        <f>+IFERROR(VLOOKUP(E135,'DANH MỤC'!$C:$H,2,0),"")</f>
        <v>Màng Strecth Film 5.0-0.6kg</v>
      </c>
      <c r="G135" s="42" t="str">
        <f>+IFERROR(VLOOKUP(E135,'DANH MỤC'!$C:$H,6,0),"")</f>
        <v>Kg</v>
      </c>
      <c r="H135" s="42" t="str">
        <f>+IFERROR(VLOOKUP(E135,'DANH MỤC'!$C:$H,3,0),"")</f>
        <v/>
      </c>
      <c r="I135" s="42" t="str">
        <f>+IFERROR(VLOOKUP(E135,'DANH MỤC'!$C:$H,4,0),"")</f>
        <v/>
      </c>
      <c r="J135" s="42" t="str">
        <f>+IFERROR(VLOOKUP(E135,'DANH MỤC'!$C:$H,5,0),"")</f>
        <v/>
      </c>
      <c r="K135" s="53"/>
      <c r="L135" s="58">
        <v>3.36</v>
      </c>
      <c r="M135" s="55"/>
      <c r="N135" s="55"/>
    </row>
    <row r="136" ht="15.75" customHeight="1">
      <c r="A136" s="53">
        <f t="shared" si="1"/>
        <v>131</v>
      </c>
      <c r="B136" s="55"/>
      <c r="C136" s="41">
        <v>45566.0</v>
      </c>
      <c r="D136" s="42" t="s">
        <v>125</v>
      </c>
      <c r="E136" s="42" t="s">
        <v>112</v>
      </c>
      <c r="F136" s="42" t="str">
        <f>+IFERROR(VLOOKUP(E136,'DANH MỤC'!$C:$H,2,0),"")</f>
        <v>Dây đai PET xanh (B)</v>
      </c>
      <c r="G136" s="42" t="str">
        <f>+IFERROR(VLOOKUP(E136,'DANH MỤC'!$C:$H,6,0),"")</f>
        <v>Kg</v>
      </c>
      <c r="H136" s="42" t="str">
        <f>+IFERROR(VLOOKUP(E136,'DANH MỤC'!$C:$H,3,0),"")</f>
        <v/>
      </c>
      <c r="I136" s="42" t="str">
        <f>+IFERROR(VLOOKUP(E136,'DANH MỤC'!$C:$H,4,0),"")</f>
        <v/>
      </c>
      <c r="J136" s="42" t="str">
        <f>+IFERROR(VLOOKUP(E136,'DANH MỤC'!$C:$H,5,0),"")</f>
        <v/>
      </c>
      <c r="K136" s="53"/>
      <c r="L136" s="58">
        <v>5.69</v>
      </c>
      <c r="M136" s="55"/>
      <c r="N136" s="55"/>
    </row>
    <row r="137" ht="15.75" customHeight="1">
      <c r="A137" s="53">
        <f t="shared" si="1"/>
        <v>132</v>
      </c>
      <c r="B137" s="55"/>
      <c r="C137" s="41">
        <v>45566.0</v>
      </c>
      <c r="D137" s="42" t="s">
        <v>125</v>
      </c>
      <c r="E137" s="42" t="s">
        <v>96</v>
      </c>
      <c r="F137" s="42" t="str">
        <f>+IFERROR(VLOOKUP(E137,'DANH MỤC'!$C:$H,2,0),"")</f>
        <v>Giấy bao gói lưỡi gà</v>
      </c>
      <c r="G137" s="42" t="str">
        <f>+IFERROR(VLOOKUP(E137,'DANH MỤC'!$C:$H,6,0),"")</f>
        <v>Kg</v>
      </c>
      <c r="H137" s="42" t="str">
        <f>+IFERROR(VLOOKUP(E137,'DANH MỤC'!$C:$H,3,0),"")</f>
        <v/>
      </c>
      <c r="I137" s="42" t="str">
        <f>+IFERROR(VLOOKUP(E137,'DANH MỤC'!$C:$H,4,0),"")</f>
        <v/>
      </c>
      <c r="J137" s="42" t="str">
        <f>+IFERROR(VLOOKUP(E137,'DANH MỤC'!$C:$H,5,0),"")</f>
        <v/>
      </c>
      <c r="K137" s="53"/>
      <c r="L137" s="58">
        <v>8.0</v>
      </c>
      <c r="M137" s="55"/>
      <c r="N137" s="55"/>
    </row>
    <row r="138" ht="15.75" customHeight="1">
      <c r="A138" s="53">
        <f t="shared" si="1"/>
        <v>133</v>
      </c>
      <c r="B138" s="55" t="s">
        <v>179</v>
      </c>
      <c r="C138" s="41">
        <v>45568.0</v>
      </c>
      <c r="D138" s="42" t="s">
        <v>180</v>
      </c>
      <c r="E138" s="42" t="s">
        <v>60</v>
      </c>
      <c r="F138" s="42" t="str">
        <f>+IFERROR(VLOOKUP(E138,'DANH MỤC'!$C:$H,2,0),"")</f>
        <v>Ivory Ningbo</v>
      </c>
      <c r="G138" s="42" t="str">
        <f>+IFERROR(VLOOKUP(E138,'DANH MỤC'!$C:$H,6,0),"")</f>
        <v>Kg</v>
      </c>
      <c r="H138" s="42">
        <f>+IFERROR(VLOOKUP(E138,'DANH MỤC'!$C:$H,3,0),"")</f>
        <v>210</v>
      </c>
      <c r="I138" s="42">
        <f>+IFERROR(VLOOKUP(E138,'DANH MỤC'!$C:$H,4,0),"")</f>
        <v>86</v>
      </c>
      <c r="J138" s="42" t="str">
        <f>+IFERROR(VLOOKUP(E138,'DANH MỤC'!$C:$H,5,0),"")</f>
        <v/>
      </c>
      <c r="K138" s="53"/>
      <c r="L138" s="58">
        <f>1676-105</f>
        <v>1571</v>
      </c>
      <c r="M138" s="55"/>
      <c r="N138" s="55"/>
    </row>
    <row r="139" ht="15.75" customHeight="1">
      <c r="A139" s="53">
        <f t="shared" si="1"/>
        <v>134</v>
      </c>
      <c r="B139" s="55"/>
      <c r="C139" s="41">
        <v>45568.0</v>
      </c>
      <c r="D139" s="42" t="s">
        <v>125</v>
      </c>
      <c r="E139" s="42" t="s">
        <v>127</v>
      </c>
      <c r="F139" s="42" t="str">
        <f>+IFERROR(VLOOKUP(E139,'DANH MỤC'!$C:$H,2,0),"")</f>
        <v>Pallet gỗ 1100x1100x130mm</v>
      </c>
      <c r="G139" s="42" t="str">
        <f>+IFERROR(VLOOKUP(E139,'DANH MỤC'!$C:$H,6,0),"")</f>
        <v>Bộ</v>
      </c>
      <c r="H139" s="42">
        <f>+IFERROR(VLOOKUP(E139,'DANH MỤC'!$C:$H,3,0),"")</f>
        <v>1100</v>
      </c>
      <c r="I139" s="42">
        <f>+IFERROR(VLOOKUP(E139,'DANH MỤC'!$C:$H,4,0),"")</f>
        <v>1100</v>
      </c>
      <c r="J139" s="42">
        <f>+IFERROR(VLOOKUP(E139,'DANH MỤC'!$C:$H,5,0),"")</f>
        <v>130</v>
      </c>
      <c r="K139" s="53"/>
      <c r="L139" s="58">
        <v>3.0</v>
      </c>
      <c r="M139" s="55"/>
      <c r="N139" s="55"/>
    </row>
    <row r="140" ht="15.75" customHeight="1">
      <c r="A140" s="53">
        <f t="shared" si="1"/>
        <v>135</v>
      </c>
      <c r="B140" s="55"/>
      <c r="C140" s="41">
        <v>45568.0</v>
      </c>
      <c r="D140" s="42" t="s">
        <v>125</v>
      </c>
      <c r="E140" s="42" t="s">
        <v>115</v>
      </c>
      <c r="F140" s="42" t="str">
        <f>+IFERROR(VLOOKUP(E140,'DANH MỤC'!$C:$H,2,0),"")</f>
        <v>Màng Strecth Film 5.0-0.6kg</v>
      </c>
      <c r="G140" s="42" t="str">
        <f>+IFERROR(VLOOKUP(E140,'DANH MỤC'!$C:$H,6,0),"")</f>
        <v>Kg</v>
      </c>
      <c r="H140" s="42" t="str">
        <f>+IFERROR(VLOOKUP(E140,'DANH MỤC'!$C:$H,3,0),"")</f>
        <v/>
      </c>
      <c r="I140" s="42" t="str">
        <f>+IFERROR(VLOOKUP(E140,'DANH MỤC'!$C:$H,4,0),"")</f>
        <v/>
      </c>
      <c r="J140" s="42" t="str">
        <f>+IFERROR(VLOOKUP(E140,'DANH MỤC'!$C:$H,5,0),"")</f>
        <v/>
      </c>
      <c r="K140" s="53"/>
      <c r="L140" s="58">
        <v>2.02</v>
      </c>
      <c r="M140" s="55"/>
      <c r="N140" s="55"/>
    </row>
    <row r="141" ht="15.75" customHeight="1">
      <c r="A141" s="53">
        <f t="shared" si="1"/>
        <v>136</v>
      </c>
      <c r="B141" s="55"/>
      <c r="C141" s="41">
        <v>45568.0</v>
      </c>
      <c r="D141" s="42" t="s">
        <v>125</v>
      </c>
      <c r="E141" s="42" t="s">
        <v>112</v>
      </c>
      <c r="F141" s="42" t="str">
        <f>+IFERROR(VLOOKUP(E141,'DANH MỤC'!$C:$H,2,0),"")</f>
        <v>Dây đai PET xanh (B)</v>
      </c>
      <c r="G141" s="42" t="str">
        <f>+IFERROR(VLOOKUP(E141,'DANH MỤC'!$C:$H,6,0),"")</f>
        <v>Kg</v>
      </c>
      <c r="H141" s="42" t="str">
        <f>+IFERROR(VLOOKUP(E141,'DANH MỤC'!$C:$H,3,0),"")</f>
        <v/>
      </c>
      <c r="I141" s="42" t="str">
        <f>+IFERROR(VLOOKUP(E141,'DANH MỤC'!$C:$H,4,0),"")</f>
        <v/>
      </c>
      <c r="J141" s="42" t="str">
        <f>+IFERROR(VLOOKUP(E141,'DANH MỤC'!$C:$H,5,0),"")</f>
        <v/>
      </c>
      <c r="K141" s="53"/>
      <c r="L141" s="58">
        <v>3.42</v>
      </c>
      <c r="M141" s="55"/>
      <c r="N141" s="55"/>
    </row>
    <row r="142" ht="15.75" customHeight="1">
      <c r="A142" s="53">
        <f t="shared" si="1"/>
        <v>137</v>
      </c>
      <c r="B142" s="55"/>
      <c r="C142" s="41">
        <v>45568.0</v>
      </c>
      <c r="D142" s="42" t="s">
        <v>125</v>
      </c>
      <c r="E142" s="42" t="s">
        <v>96</v>
      </c>
      <c r="F142" s="42" t="str">
        <f>+IFERROR(VLOOKUP(E142,'DANH MỤC'!$C:$H,2,0),"")</f>
        <v>Giấy bao gói lưỡi gà</v>
      </c>
      <c r="G142" s="42" t="str">
        <f>+IFERROR(VLOOKUP(E142,'DANH MỤC'!$C:$H,6,0),"")</f>
        <v>Kg</v>
      </c>
      <c r="H142" s="42" t="str">
        <f>+IFERROR(VLOOKUP(E142,'DANH MỤC'!$C:$H,3,0),"")</f>
        <v/>
      </c>
      <c r="I142" s="42" t="str">
        <f>+IFERROR(VLOOKUP(E142,'DANH MỤC'!$C:$H,4,0),"")</f>
        <v/>
      </c>
      <c r="J142" s="42" t="str">
        <f>+IFERROR(VLOOKUP(E142,'DANH MỤC'!$C:$H,5,0),"")</f>
        <v/>
      </c>
      <c r="K142" s="53"/>
      <c r="L142" s="58">
        <v>8.56</v>
      </c>
      <c r="M142" s="55"/>
      <c r="N142" s="55"/>
    </row>
    <row r="143" ht="15.75" customHeight="1">
      <c r="A143" s="53">
        <f t="shared" si="1"/>
        <v>138</v>
      </c>
      <c r="B143" s="55"/>
      <c r="C143" s="41">
        <v>45568.0</v>
      </c>
      <c r="D143" s="42" t="s">
        <v>125</v>
      </c>
      <c r="E143" s="42" t="s">
        <v>97</v>
      </c>
      <c r="F143" s="42" t="str">
        <f>+IFERROR(VLOOKUP(E143,'DANH MỤC'!$C:$H,2,0),"")</f>
        <v>Ống lõi giấy phi 120x7x1000mm</v>
      </c>
      <c r="G143" s="42" t="str">
        <f>+IFERROR(VLOOKUP(E143,'DANH MỤC'!$C:$H,6,0),"")</f>
        <v>Cái</v>
      </c>
      <c r="H143" s="42">
        <f>+IFERROR(VLOOKUP(E143,'DANH MỤC'!$C:$H,3,0),"")</f>
        <v>120</v>
      </c>
      <c r="I143" s="42">
        <f>+IFERROR(VLOOKUP(E143,'DANH MỤC'!$C:$H,4,0),"")</f>
        <v>70</v>
      </c>
      <c r="J143" s="42">
        <f>+IFERROR(VLOOKUP(E143,'DANH MỤC'!$C:$H,5,0),"")</f>
        <v>1000</v>
      </c>
      <c r="K143" s="53"/>
      <c r="L143" s="58">
        <v>10.0</v>
      </c>
      <c r="M143" s="55"/>
      <c r="N143" s="55"/>
    </row>
    <row r="144" ht="25.5" customHeight="1">
      <c r="A144" s="53">
        <f t="shared" si="1"/>
        <v>139</v>
      </c>
      <c r="B144" s="55"/>
      <c r="C144" s="41">
        <v>45569.0</v>
      </c>
      <c r="D144" s="42" t="s">
        <v>35</v>
      </c>
      <c r="E144" s="42" t="s">
        <v>154</v>
      </c>
      <c r="F144" s="42" t="str">
        <f>+IFERROR(VLOOKUP(E144,'DANH MỤC'!$C:$H,2,0),"")</f>
        <v>Ivory Ningbo</v>
      </c>
      <c r="G144" s="42" t="str">
        <f>+IFERROR(VLOOKUP(E144,'DANH MỤC'!$C:$H,6,0),"")</f>
        <v>Kg</v>
      </c>
      <c r="H144" s="42">
        <f>+IFERROR(VLOOKUP(E144,'DANH MỤC'!$C:$H,3,0),"")</f>
        <v>210</v>
      </c>
      <c r="I144" s="42">
        <f>+IFERROR(VLOOKUP(E144,'DANH MỤC'!$C:$H,4,0),"")</f>
        <v>79</v>
      </c>
      <c r="J144" s="42" t="str">
        <f>+IFERROR(VLOOKUP(E144,'DANH MỤC'!$C:$H,5,0),"")</f>
        <v/>
      </c>
      <c r="K144" s="53">
        <v>7470.0</v>
      </c>
      <c r="L144" s="58"/>
      <c r="M144" s="55" t="s">
        <v>149</v>
      </c>
      <c r="N144" s="55"/>
    </row>
    <row r="145" ht="25.5" customHeight="1">
      <c r="A145" s="53">
        <f t="shared" si="1"/>
        <v>140</v>
      </c>
      <c r="B145" s="55"/>
      <c r="C145" s="41">
        <v>45570.0</v>
      </c>
      <c r="D145" s="42" t="s">
        <v>181</v>
      </c>
      <c r="E145" s="42" t="s">
        <v>104</v>
      </c>
      <c r="F145" s="42" t="str">
        <f>+IFERROR(VLOOKUP(E145,'DANH MỤC'!$C:$H,2,0),"")</f>
        <v>Lưỡi gà trắng 95mm x 800m x 210gsm</v>
      </c>
      <c r="G145" s="42" t="str">
        <f>+IFERROR(VLOOKUP(E145,'DANH MỤC'!$C:$H,6,0),"")</f>
        <v>Cuộn</v>
      </c>
      <c r="H145" s="42">
        <f>+IFERROR(VLOOKUP(E145,'DANH MỤC'!$C:$H,3,0),"")</f>
        <v>210</v>
      </c>
      <c r="I145" s="42">
        <f>+IFERROR(VLOOKUP(E145,'DANH MỤC'!$C:$H,4,0),"")</f>
        <v>95</v>
      </c>
      <c r="J145" s="42">
        <f>+IFERROR(VLOOKUP(E145,'DANH MỤC'!$C:$H,5,0),"")</f>
        <v>800</v>
      </c>
      <c r="K145" s="53">
        <v>452.0</v>
      </c>
      <c r="L145" s="58"/>
      <c r="M145" s="55"/>
      <c r="N145" s="55"/>
    </row>
    <row r="146" ht="15.75" customHeight="1">
      <c r="A146" s="53">
        <f t="shared" si="1"/>
        <v>141</v>
      </c>
      <c r="B146" s="55"/>
      <c r="C146" s="41">
        <v>45570.0</v>
      </c>
      <c r="D146" s="42" t="s">
        <v>181</v>
      </c>
      <c r="E146" s="42" t="s">
        <v>81</v>
      </c>
      <c r="F146" s="42" t="str">
        <f>+IFERROR(VLOOKUP(E146,'DANH MỤC'!$C:$H,2,0),"")</f>
        <v>Lưỡi gà trắng 71mm x 800m x 210gsm</v>
      </c>
      <c r="G146" s="42" t="str">
        <f>+IFERROR(VLOOKUP(E146,'DANH MỤC'!$C:$H,6,0),"")</f>
        <v>Cuộn</v>
      </c>
      <c r="H146" s="42">
        <f>+IFERROR(VLOOKUP(E146,'DANH MỤC'!$C:$H,3,0),"")</f>
        <v>210</v>
      </c>
      <c r="I146" s="42">
        <f>+IFERROR(VLOOKUP(E146,'DANH MỤC'!$C:$H,4,0),"")</f>
        <v>71</v>
      </c>
      <c r="J146" s="42">
        <f>+IFERROR(VLOOKUP(E146,'DANH MỤC'!$C:$H,5,0),"")</f>
        <v>800</v>
      </c>
      <c r="K146" s="53">
        <v>45.0</v>
      </c>
      <c r="L146" s="58"/>
      <c r="M146" s="55"/>
      <c r="N146" s="55"/>
    </row>
    <row r="147" ht="24.75" customHeight="1">
      <c r="A147" s="53">
        <f t="shared" si="1"/>
        <v>142</v>
      </c>
      <c r="B147" s="55"/>
      <c r="C147" s="41">
        <v>45570.0</v>
      </c>
      <c r="D147" s="42" t="s">
        <v>181</v>
      </c>
      <c r="E147" s="42" t="s">
        <v>89</v>
      </c>
      <c r="F147" s="42" t="str">
        <f>+IFERROR(VLOOKUP(E147,'DANH MỤC'!$C:$H,2,0),"")</f>
        <v>Lưỡi gà trắng 83mm x 800m x 210gsm</v>
      </c>
      <c r="G147" s="42" t="str">
        <f>+IFERROR(VLOOKUP(E147,'DANH MỤC'!$C:$H,6,0),"")</f>
        <v>Cuộn</v>
      </c>
      <c r="H147" s="42">
        <f>+IFERROR(VLOOKUP(E147,'DANH MỤC'!$C:$H,3,0),"")</f>
        <v>210</v>
      </c>
      <c r="I147" s="42">
        <f>+IFERROR(VLOOKUP(E147,'DANH MỤC'!$C:$H,4,0),"")</f>
        <v>83</v>
      </c>
      <c r="J147" s="42">
        <f>+IFERROR(VLOOKUP(E147,'DANH MỤC'!$C:$H,5,0),"")</f>
        <v>800</v>
      </c>
      <c r="K147" s="53">
        <v>20.0</v>
      </c>
      <c r="L147" s="58"/>
      <c r="M147" s="55"/>
      <c r="N147" s="55"/>
    </row>
    <row r="148" ht="24.75" customHeight="1">
      <c r="A148" s="117">
        <f t="shared" si="1"/>
        <v>143</v>
      </c>
      <c r="B148" s="122"/>
      <c r="C148" s="119">
        <v>45570.0</v>
      </c>
      <c r="D148" s="120" t="s">
        <v>130</v>
      </c>
      <c r="E148" s="120" t="s">
        <v>123</v>
      </c>
      <c r="F148" s="120" t="str">
        <f>+IFERROR(VLOOKUP(E148,'DANH MỤC'!$C:$H,2,0),"")</f>
        <v>Lưỡi gà trắng 90mm x 800m x 250gsm</v>
      </c>
      <c r="G148" s="120" t="str">
        <f>+IFERROR(VLOOKUP(E148,'DANH MỤC'!$C:$H,6,0),"")</f>
        <v>Cuộn</v>
      </c>
      <c r="H148" s="120">
        <f>+IFERROR(VLOOKUP(E148,'DANH MỤC'!$C:$H,3,0),"")</f>
        <v>250</v>
      </c>
      <c r="I148" s="120">
        <f>+IFERROR(VLOOKUP(E148,'DANH MỤC'!$C:$H,4,0),"")</f>
        <v>90</v>
      </c>
      <c r="J148" s="120">
        <f>+IFERROR(VLOOKUP(E148,'DANH MỤC'!$C:$H,5,0),"")</f>
        <v>800</v>
      </c>
      <c r="K148" s="117"/>
      <c r="L148" s="121">
        <v>364.0</v>
      </c>
      <c r="M148" s="118" t="s">
        <v>131</v>
      </c>
      <c r="N148" s="118"/>
    </row>
    <row r="149" ht="15.75" customHeight="1">
      <c r="A149" s="117">
        <f t="shared" si="1"/>
        <v>144</v>
      </c>
      <c r="B149" s="118"/>
      <c r="C149" s="119">
        <v>45570.0</v>
      </c>
      <c r="D149" s="120" t="s">
        <v>130</v>
      </c>
      <c r="E149" s="120" t="s">
        <v>104</v>
      </c>
      <c r="F149" s="120" t="str">
        <f>+IFERROR(VLOOKUP(E149,'DANH MỤC'!$C:$H,2,0),"")</f>
        <v>Lưỡi gà trắng 95mm x 800m x 210gsm</v>
      </c>
      <c r="G149" s="120" t="str">
        <f>+IFERROR(VLOOKUP(E149,'DANH MỤC'!$C:$H,6,0),"")</f>
        <v>Cuộn</v>
      </c>
      <c r="H149" s="120">
        <f>+IFERROR(VLOOKUP(E149,'DANH MỤC'!$C:$H,3,0),"")</f>
        <v>210</v>
      </c>
      <c r="I149" s="120">
        <f>+IFERROR(VLOOKUP(E149,'DANH MỤC'!$C:$H,4,0),"")</f>
        <v>95</v>
      </c>
      <c r="J149" s="120">
        <f>+IFERROR(VLOOKUP(E149,'DANH MỤC'!$C:$H,5,0),"")</f>
        <v>800</v>
      </c>
      <c r="K149" s="117"/>
      <c r="L149" s="121">
        <v>416.0</v>
      </c>
      <c r="M149" s="118" t="s">
        <v>131</v>
      </c>
      <c r="N149" s="118"/>
    </row>
    <row r="150" ht="15.75" customHeight="1">
      <c r="A150" s="53">
        <f t="shared" si="1"/>
        <v>145</v>
      </c>
      <c r="B150" s="55"/>
      <c r="C150" s="41">
        <v>45570.0</v>
      </c>
      <c r="D150" s="42" t="s">
        <v>95</v>
      </c>
      <c r="E150" s="42" t="s">
        <v>182</v>
      </c>
      <c r="F150" s="42" t="str">
        <f>+IFERROR(VLOOKUP(E150,'DANH MỤC'!$C:$H,2,0),"")</f>
        <v>Ống lõi giấy phi 120x7x71mm</v>
      </c>
      <c r="G150" s="42" t="str">
        <f>+IFERROR(VLOOKUP(E150,'DANH MỤC'!$C:$H,6,0),"")</f>
        <v>Cái</v>
      </c>
      <c r="H150" s="42">
        <f>+IFERROR(VLOOKUP(E150,'DANH MỤC'!$C:$H,3,0),"")</f>
        <v>120</v>
      </c>
      <c r="I150" s="42">
        <f>+IFERROR(VLOOKUP(E150,'DANH MỤC'!$C:$H,4,0),"")</f>
        <v>70</v>
      </c>
      <c r="J150" s="42">
        <f>+IFERROR(VLOOKUP(E150,'DANH MỤC'!$C:$H,5,0),"")</f>
        <v>71</v>
      </c>
      <c r="K150" s="53">
        <v>2000.0</v>
      </c>
      <c r="L150" s="58"/>
      <c r="M150" s="55"/>
      <c r="N150" s="55"/>
    </row>
    <row r="151" ht="15.75" customHeight="1">
      <c r="A151" s="53">
        <f t="shared" si="1"/>
        <v>146</v>
      </c>
      <c r="B151" s="55"/>
      <c r="C151" s="41">
        <v>45570.0</v>
      </c>
      <c r="D151" s="42" t="s">
        <v>95</v>
      </c>
      <c r="E151" s="42" t="s">
        <v>183</v>
      </c>
      <c r="F151" s="42" t="str">
        <f>+IFERROR(VLOOKUP(E151,'DANH MỤC'!$C:$H,2,0),"")</f>
        <v>Ống lõi giấy phi 120x7x90mm</v>
      </c>
      <c r="G151" s="42" t="str">
        <f>+IFERROR(VLOOKUP(E151,'DANH MỤC'!$C:$H,6,0),"")</f>
        <v>Cái</v>
      </c>
      <c r="H151" s="42">
        <f>+IFERROR(VLOOKUP(E151,'DANH MỤC'!$C:$H,3,0),"")</f>
        <v>120</v>
      </c>
      <c r="I151" s="42">
        <f>+IFERROR(VLOOKUP(E151,'DANH MỤC'!$C:$H,4,0),"")</f>
        <v>70</v>
      </c>
      <c r="J151" s="42">
        <f>+IFERROR(VLOOKUP(E151,'DANH MỤC'!$C:$H,5,0),"")</f>
        <v>90</v>
      </c>
      <c r="K151" s="53">
        <v>2000.0</v>
      </c>
      <c r="L151" s="58"/>
      <c r="M151" s="55"/>
      <c r="N151" s="55"/>
    </row>
    <row r="152" ht="15.75" customHeight="1">
      <c r="A152" s="53">
        <f t="shared" si="1"/>
        <v>147</v>
      </c>
      <c r="B152" s="55"/>
      <c r="C152" s="41">
        <v>45570.0</v>
      </c>
      <c r="D152" s="42" t="s">
        <v>95</v>
      </c>
      <c r="E152" s="42" t="s">
        <v>184</v>
      </c>
      <c r="F152" s="42" t="str">
        <f>+IFERROR(VLOOKUP(E152,'DANH MỤC'!$C:$H,2,0),"")</f>
        <v>Ống lõi giấy phi 120x7x95mm</v>
      </c>
      <c r="G152" s="42" t="str">
        <f>+IFERROR(VLOOKUP(E152,'DANH MỤC'!$C:$H,6,0),"")</f>
        <v>Cái</v>
      </c>
      <c r="H152" s="42">
        <f>+IFERROR(VLOOKUP(E152,'DANH MỤC'!$C:$H,3,0),"")</f>
        <v>120</v>
      </c>
      <c r="I152" s="42">
        <f>+IFERROR(VLOOKUP(E152,'DANH MỤC'!$C:$H,4,0),"")</f>
        <v>70</v>
      </c>
      <c r="J152" s="42">
        <f>+IFERROR(VLOOKUP(E152,'DANH MỤC'!$C:$H,5,0),"")</f>
        <v>95</v>
      </c>
      <c r="K152" s="53">
        <v>1000.0</v>
      </c>
      <c r="L152" s="58"/>
      <c r="M152" s="55"/>
      <c r="N152" s="55"/>
    </row>
    <row r="153" ht="15.75" customHeight="1">
      <c r="A153" s="53">
        <f t="shared" si="1"/>
        <v>148</v>
      </c>
      <c r="B153" s="55" t="s">
        <v>185</v>
      </c>
      <c r="C153" s="41">
        <v>45573.0</v>
      </c>
      <c r="D153" s="42" t="s">
        <v>186</v>
      </c>
      <c r="E153" s="42" t="s">
        <v>154</v>
      </c>
      <c r="F153" s="42" t="str">
        <f>+IFERROR(VLOOKUP(E153,'DANH MỤC'!$C:$H,2,0),"")</f>
        <v>Ivory Ningbo</v>
      </c>
      <c r="G153" s="42" t="str">
        <f>+IFERROR(VLOOKUP(E153,'DANH MỤC'!$C:$H,6,0),"")</f>
        <v>Kg</v>
      </c>
      <c r="H153" s="42">
        <f>+IFERROR(VLOOKUP(E153,'DANH MỤC'!$C:$H,3,0),"")</f>
        <v>210</v>
      </c>
      <c r="I153" s="42">
        <f>+IFERROR(VLOOKUP(E153,'DANH MỤC'!$C:$H,4,0),"")</f>
        <v>79</v>
      </c>
      <c r="J153" s="42" t="str">
        <f>+IFERROR(VLOOKUP(E153,'DANH MỤC'!$C:$H,5,0),"")</f>
        <v/>
      </c>
      <c r="K153" s="53"/>
      <c r="L153" s="58">
        <f>17860-700</f>
        <v>17160</v>
      </c>
      <c r="M153" s="55"/>
      <c r="N153" s="55"/>
    </row>
    <row r="154" ht="15.75" customHeight="1">
      <c r="A154" s="53">
        <f t="shared" si="1"/>
        <v>149</v>
      </c>
      <c r="B154" s="55" t="s">
        <v>185</v>
      </c>
      <c r="C154" s="41">
        <v>45573.0</v>
      </c>
      <c r="D154" s="42" t="s">
        <v>186</v>
      </c>
      <c r="E154" s="42" t="s">
        <v>60</v>
      </c>
      <c r="F154" s="42" t="str">
        <f>+IFERROR(VLOOKUP(E154,'DANH MỤC'!$C:$H,2,0),"")</f>
        <v>Ivory Ningbo</v>
      </c>
      <c r="G154" s="42" t="str">
        <f>+IFERROR(VLOOKUP(E154,'DANH MỤC'!$C:$H,6,0),"")</f>
        <v>Kg</v>
      </c>
      <c r="H154" s="42">
        <f>+IFERROR(VLOOKUP(E154,'DANH MỤC'!$C:$H,3,0),"")</f>
        <v>210</v>
      </c>
      <c r="I154" s="42">
        <f>+IFERROR(VLOOKUP(E154,'DANH MỤC'!$C:$H,4,0),"")</f>
        <v>86</v>
      </c>
      <c r="J154" s="42" t="str">
        <f>+IFERROR(VLOOKUP(E154,'DANH MỤC'!$C:$H,5,0),"")</f>
        <v/>
      </c>
      <c r="K154" s="53"/>
      <c r="L154" s="58">
        <v>105.0</v>
      </c>
      <c r="M154" s="55"/>
      <c r="N154" s="55"/>
    </row>
    <row r="155" ht="15.75" customHeight="1">
      <c r="A155" s="53">
        <f t="shared" si="1"/>
        <v>150</v>
      </c>
      <c r="B155" s="55"/>
      <c r="C155" s="41">
        <v>45573.0</v>
      </c>
      <c r="D155" s="42" t="s">
        <v>125</v>
      </c>
      <c r="E155" s="42" t="s">
        <v>127</v>
      </c>
      <c r="F155" s="42" t="str">
        <f>+IFERROR(VLOOKUP(E155,'DANH MỤC'!$C:$H,2,0),"")</f>
        <v>Pallet gỗ 1100x1100x130mm</v>
      </c>
      <c r="G155" s="42" t="str">
        <f>+IFERROR(VLOOKUP(E155,'DANH MỤC'!$C:$H,6,0),"")</f>
        <v>Bộ</v>
      </c>
      <c r="H155" s="42">
        <f>+IFERROR(VLOOKUP(E155,'DANH MỤC'!$C:$H,3,0),"")</f>
        <v>1100</v>
      </c>
      <c r="I155" s="42">
        <f>+IFERROR(VLOOKUP(E155,'DANH MỤC'!$C:$H,4,0),"")</f>
        <v>1100</v>
      </c>
      <c r="J155" s="42">
        <f>+IFERROR(VLOOKUP(E155,'DANH MỤC'!$C:$H,5,0),"")</f>
        <v>130</v>
      </c>
      <c r="K155" s="53"/>
      <c r="L155" s="58">
        <v>24.0</v>
      </c>
      <c r="M155" s="55"/>
      <c r="N155" s="55"/>
    </row>
    <row r="156" ht="15.75" customHeight="1">
      <c r="A156" s="53">
        <f t="shared" si="1"/>
        <v>151</v>
      </c>
      <c r="B156" s="55"/>
      <c r="C156" s="41">
        <v>45573.0</v>
      </c>
      <c r="D156" s="42" t="s">
        <v>125</v>
      </c>
      <c r="E156" s="42" t="s">
        <v>115</v>
      </c>
      <c r="F156" s="42" t="str">
        <f>+IFERROR(VLOOKUP(E156,'DANH MỤC'!$C:$H,2,0),"")</f>
        <v>Màng Strecth Film 5.0-0.6kg</v>
      </c>
      <c r="G156" s="42" t="str">
        <f>+IFERROR(VLOOKUP(E156,'DANH MỤC'!$C:$H,6,0),"")</f>
        <v>Kg</v>
      </c>
      <c r="H156" s="42" t="str">
        <f>+IFERROR(VLOOKUP(E156,'DANH MỤC'!$C:$H,3,0),"")</f>
        <v/>
      </c>
      <c r="I156" s="42" t="str">
        <f>+IFERROR(VLOOKUP(E156,'DANH MỤC'!$C:$H,4,0),"")</f>
        <v/>
      </c>
      <c r="J156" s="42" t="str">
        <f>+IFERROR(VLOOKUP(E156,'DANH MỤC'!$C:$H,5,0),"")</f>
        <v/>
      </c>
      <c r="K156" s="53"/>
      <c r="L156" s="58">
        <v>16.15</v>
      </c>
      <c r="M156" s="55"/>
      <c r="N156" s="55"/>
    </row>
    <row r="157" ht="15.75" customHeight="1">
      <c r="A157" s="53">
        <f t="shared" si="1"/>
        <v>152</v>
      </c>
      <c r="B157" s="55"/>
      <c r="C157" s="41">
        <v>45573.0</v>
      </c>
      <c r="D157" s="42" t="s">
        <v>125</v>
      </c>
      <c r="E157" s="42" t="s">
        <v>112</v>
      </c>
      <c r="F157" s="42" t="str">
        <f>+IFERROR(VLOOKUP(E157,'DANH MỤC'!$C:$H,2,0),"")</f>
        <v>Dây đai PET xanh (B)</v>
      </c>
      <c r="G157" s="42" t="str">
        <f>+IFERROR(VLOOKUP(E157,'DANH MỤC'!$C:$H,6,0),"")</f>
        <v>Kg</v>
      </c>
      <c r="H157" s="42" t="str">
        <f>+IFERROR(VLOOKUP(E157,'DANH MỤC'!$C:$H,3,0),"")</f>
        <v/>
      </c>
      <c r="I157" s="42" t="str">
        <f>+IFERROR(VLOOKUP(E157,'DANH MỤC'!$C:$H,4,0),"")</f>
        <v/>
      </c>
      <c r="J157" s="42" t="str">
        <f>+IFERROR(VLOOKUP(E157,'DANH MỤC'!$C:$H,5,0),"")</f>
        <v/>
      </c>
      <c r="K157" s="53"/>
      <c r="L157" s="58">
        <v>27.32</v>
      </c>
      <c r="M157" s="55"/>
      <c r="N157" s="55"/>
    </row>
    <row r="158" ht="15.75" customHeight="1">
      <c r="A158" s="53">
        <f t="shared" si="1"/>
        <v>153</v>
      </c>
      <c r="B158" s="55"/>
      <c r="C158" s="41">
        <v>45573.0</v>
      </c>
      <c r="D158" s="42" t="s">
        <v>125</v>
      </c>
      <c r="E158" s="42" t="s">
        <v>96</v>
      </c>
      <c r="F158" s="42" t="str">
        <f>+IFERROR(VLOOKUP(E158,'DANH MỤC'!$C:$H,2,0),"")</f>
        <v>Giấy bao gói lưỡi gà</v>
      </c>
      <c r="G158" s="42" t="str">
        <f>+IFERROR(VLOOKUP(E158,'DANH MỤC'!$C:$H,6,0),"")</f>
        <v>Kg</v>
      </c>
      <c r="H158" s="42" t="str">
        <f>+IFERROR(VLOOKUP(E158,'DANH MỤC'!$C:$H,3,0),"")</f>
        <v/>
      </c>
      <c r="I158" s="42" t="str">
        <f>+IFERROR(VLOOKUP(E158,'DANH MỤC'!$C:$H,4,0),"")</f>
        <v/>
      </c>
      <c r="J158" s="42" t="str">
        <f>+IFERROR(VLOOKUP(E158,'DANH MỤC'!$C:$H,5,0),"")</f>
        <v/>
      </c>
      <c r="K158" s="53"/>
      <c r="L158" s="58">
        <v>15.24</v>
      </c>
      <c r="M158" s="55"/>
      <c r="N158" s="55"/>
    </row>
    <row r="159" ht="15.75" customHeight="1">
      <c r="A159" s="53">
        <f t="shared" si="1"/>
        <v>154</v>
      </c>
      <c r="B159" s="55"/>
      <c r="C159" s="41">
        <v>45573.0</v>
      </c>
      <c r="D159" s="42" t="s">
        <v>125</v>
      </c>
      <c r="E159" s="42" t="s">
        <v>182</v>
      </c>
      <c r="F159" s="42" t="str">
        <f>+IFERROR(VLOOKUP(E159,'DANH MỤC'!$C:$H,2,0),"")</f>
        <v>Ống lõi giấy phi 120x7x71mm</v>
      </c>
      <c r="G159" s="42" t="str">
        <f>+IFERROR(VLOOKUP(E159,'DANH MỤC'!$C:$H,6,0),"")</f>
        <v>Cái</v>
      </c>
      <c r="H159" s="42">
        <f>+IFERROR(VLOOKUP(E159,'DANH MỤC'!$C:$H,3,0),"")</f>
        <v>120</v>
      </c>
      <c r="I159" s="42">
        <f>+IFERROR(VLOOKUP(E159,'DANH MỤC'!$C:$H,4,0),"")</f>
        <v>70</v>
      </c>
      <c r="J159" s="42">
        <f>+IFERROR(VLOOKUP(E159,'DANH MỤC'!$C:$H,5,0),"")</f>
        <v>71</v>
      </c>
      <c r="K159" s="53"/>
      <c r="L159" s="58">
        <v>1425.0</v>
      </c>
      <c r="M159" s="55"/>
      <c r="N159" s="55"/>
    </row>
    <row r="160" ht="15.75" customHeight="1">
      <c r="A160" s="53">
        <f t="shared" si="1"/>
        <v>155</v>
      </c>
      <c r="B160" s="55"/>
      <c r="C160" s="41">
        <v>45576.0</v>
      </c>
      <c r="D160" s="42" t="s">
        <v>35</v>
      </c>
      <c r="E160" s="42" t="s">
        <v>88</v>
      </c>
      <c r="F160" s="42" t="str">
        <f>+IFERROR(VLOOKUP(E160,'DANH MỤC'!$C:$H,2,0),"")</f>
        <v>Ivory Ningbo</v>
      </c>
      <c r="G160" s="42" t="str">
        <f>+IFERROR(VLOOKUP(E160,'DANH MỤC'!$C:$H,6,0),"")</f>
        <v>Kg</v>
      </c>
      <c r="H160" s="42">
        <f>+IFERROR(VLOOKUP(E160,'DANH MỤC'!$C:$H,3,0),"")</f>
        <v>250</v>
      </c>
      <c r="I160" s="42">
        <f>+IFERROR(VLOOKUP(E160,'DANH MỤC'!$C:$H,4,0),"")</f>
        <v>109</v>
      </c>
      <c r="J160" s="42" t="str">
        <f>+IFERROR(VLOOKUP(E160,'DANH MỤC'!$C:$H,5,0),"")</f>
        <v/>
      </c>
      <c r="K160" s="53">
        <v>4905.0</v>
      </c>
      <c r="L160" s="58"/>
      <c r="M160" s="55" t="s">
        <v>187</v>
      </c>
      <c r="N160" s="55"/>
    </row>
    <row r="161" ht="15.75" customHeight="1">
      <c r="A161" s="117">
        <f t="shared" si="1"/>
        <v>156</v>
      </c>
      <c r="B161" s="118"/>
      <c r="C161" s="119">
        <v>45576.0</v>
      </c>
      <c r="D161" s="120" t="s">
        <v>146</v>
      </c>
      <c r="E161" s="120" t="s">
        <v>98</v>
      </c>
      <c r="F161" s="120" t="str">
        <f>+IFERROR(VLOOKUP(E161,'DANH MỤC'!$C:$H,2,0),"")</f>
        <v>Lưỡi gà trắng 91mm x 800m x 210gsm</v>
      </c>
      <c r="G161" s="120" t="str">
        <f>+IFERROR(VLOOKUP(E161,'DANH MỤC'!$C:$H,6,0),"")</f>
        <v>Cuộn</v>
      </c>
      <c r="H161" s="120">
        <f>+IFERROR(VLOOKUP(E161,'DANH MỤC'!$C:$H,3,0),"")</f>
        <v>210</v>
      </c>
      <c r="I161" s="120">
        <f>+IFERROR(VLOOKUP(E161,'DANH MỤC'!$C:$H,4,0),"")</f>
        <v>91</v>
      </c>
      <c r="J161" s="120">
        <f>+IFERROR(VLOOKUP(E161,'DANH MỤC'!$C:$H,5,0),"")</f>
        <v>800</v>
      </c>
      <c r="K161" s="117"/>
      <c r="L161" s="121">
        <v>30.0</v>
      </c>
      <c r="M161" s="118"/>
      <c r="N161" s="118"/>
    </row>
    <row r="162" ht="15.75" customHeight="1">
      <c r="A162" s="117">
        <f t="shared" si="1"/>
        <v>157</v>
      </c>
      <c r="B162" s="118"/>
      <c r="C162" s="119">
        <v>45576.0</v>
      </c>
      <c r="D162" s="120" t="s">
        <v>146</v>
      </c>
      <c r="E162" s="120" t="s">
        <v>81</v>
      </c>
      <c r="F162" s="120" t="str">
        <f>+IFERROR(VLOOKUP(E162,'DANH MỤC'!$C:$H,2,0),"")</f>
        <v>Lưỡi gà trắng 71mm x 800m x 210gsm</v>
      </c>
      <c r="G162" s="120" t="str">
        <f>+IFERROR(VLOOKUP(E162,'DANH MỤC'!$C:$H,6,0),"")</f>
        <v>Cuộn</v>
      </c>
      <c r="H162" s="120">
        <f>+IFERROR(VLOOKUP(E162,'DANH MỤC'!$C:$H,3,0),"")</f>
        <v>210</v>
      </c>
      <c r="I162" s="120">
        <f>+IFERROR(VLOOKUP(E162,'DANH MỤC'!$C:$H,4,0),"")</f>
        <v>71</v>
      </c>
      <c r="J162" s="120">
        <f>+IFERROR(VLOOKUP(E162,'DANH MỤC'!$C:$H,5,0),"")</f>
        <v>800</v>
      </c>
      <c r="K162" s="117"/>
      <c r="L162" s="121">
        <v>420.0</v>
      </c>
      <c r="M162" s="118"/>
      <c r="N162" s="118"/>
    </row>
    <row r="163" ht="15.75" customHeight="1">
      <c r="A163" s="117">
        <f t="shared" si="1"/>
        <v>158</v>
      </c>
      <c r="B163" s="118"/>
      <c r="C163" s="119">
        <v>45582.0</v>
      </c>
      <c r="D163" s="120" t="s">
        <v>146</v>
      </c>
      <c r="E163" s="120" t="s">
        <v>81</v>
      </c>
      <c r="F163" s="120" t="str">
        <f>+IFERROR(VLOOKUP(E163,'DANH MỤC'!$C:$H,2,0),"")</f>
        <v>Lưỡi gà trắng 71mm x 800m x 210gsm</v>
      </c>
      <c r="G163" s="120" t="str">
        <f>+IFERROR(VLOOKUP(E163,'DANH MỤC'!$C:$H,6,0),"")</f>
        <v>Cuộn</v>
      </c>
      <c r="H163" s="120">
        <f>+IFERROR(VLOOKUP(E163,'DANH MỤC'!$C:$H,3,0),"")</f>
        <v>210</v>
      </c>
      <c r="I163" s="120">
        <f>+IFERROR(VLOOKUP(E163,'DANH MỤC'!$C:$H,4,0),"")</f>
        <v>71</v>
      </c>
      <c r="J163" s="120">
        <f>+IFERROR(VLOOKUP(E163,'DANH MỤC'!$C:$H,5,0),"")</f>
        <v>800</v>
      </c>
      <c r="K163" s="117"/>
      <c r="L163" s="121">
        <v>420.0</v>
      </c>
      <c r="M163" s="118"/>
      <c r="N163" s="118"/>
    </row>
    <row r="164" ht="15.75" customHeight="1">
      <c r="A164" s="117">
        <f t="shared" si="1"/>
        <v>159</v>
      </c>
      <c r="B164" s="118"/>
      <c r="C164" s="119">
        <v>45582.0</v>
      </c>
      <c r="D164" s="120" t="s">
        <v>146</v>
      </c>
      <c r="E164" s="120" t="s">
        <v>104</v>
      </c>
      <c r="F164" s="120" t="str">
        <f>+IFERROR(VLOOKUP(E164,'DANH MỤC'!$C:$H,2,0),"")</f>
        <v>Lưỡi gà trắng 95mm x 800m x 210gsm</v>
      </c>
      <c r="G164" s="120" t="str">
        <f>+IFERROR(VLOOKUP(E164,'DANH MỤC'!$C:$H,6,0),"")</f>
        <v>Cuộn</v>
      </c>
      <c r="H164" s="120">
        <f>+IFERROR(VLOOKUP(E164,'DANH MỤC'!$C:$H,3,0),"")</f>
        <v>210</v>
      </c>
      <c r="I164" s="120">
        <f>+IFERROR(VLOOKUP(E164,'DANH MỤC'!$C:$H,4,0),"")</f>
        <v>95</v>
      </c>
      <c r="J164" s="120">
        <f>+IFERROR(VLOOKUP(E164,'DANH MỤC'!$C:$H,5,0),"")</f>
        <v>800</v>
      </c>
      <c r="K164" s="117"/>
      <c r="L164" s="121">
        <v>60.0</v>
      </c>
      <c r="M164" s="118"/>
      <c r="N164" s="118"/>
    </row>
    <row r="165" ht="15.75" customHeight="1">
      <c r="A165" s="53">
        <f t="shared" si="1"/>
        <v>160</v>
      </c>
      <c r="B165" s="55"/>
      <c r="C165" s="41">
        <v>45584.0</v>
      </c>
      <c r="D165" s="42" t="s">
        <v>35</v>
      </c>
      <c r="E165" s="42" t="s">
        <v>154</v>
      </c>
      <c r="F165" s="42" t="str">
        <f>+IFERROR(VLOOKUP(E165,'DANH MỤC'!$C:$H,2,0),"")</f>
        <v>Ivory Ningbo</v>
      </c>
      <c r="G165" s="42" t="str">
        <f>+IFERROR(VLOOKUP(E165,'DANH MỤC'!$C:$H,6,0),"")</f>
        <v>Kg</v>
      </c>
      <c r="H165" s="42">
        <f>+IFERROR(VLOOKUP(E165,'DANH MỤC'!$C:$H,3,0),"")</f>
        <v>210</v>
      </c>
      <c r="I165" s="42">
        <f>+IFERROR(VLOOKUP(E165,'DANH MỤC'!$C:$H,4,0),"")</f>
        <v>79</v>
      </c>
      <c r="J165" s="42" t="str">
        <f>+IFERROR(VLOOKUP(E165,'DANH MỤC'!$C:$H,5,0),"")</f>
        <v/>
      </c>
      <c r="K165" s="53">
        <v>6723.0</v>
      </c>
      <c r="L165" s="58"/>
      <c r="M165" s="55" t="s">
        <v>149</v>
      </c>
      <c r="N165" s="55"/>
    </row>
    <row r="166" ht="15.75" customHeight="1">
      <c r="A166" s="53">
        <f t="shared" si="1"/>
        <v>161</v>
      </c>
      <c r="B166" s="55"/>
      <c r="C166" s="41">
        <v>45587.0</v>
      </c>
      <c r="D166" s="42" t="s">
        <v>35</v>
      </c>
      <c r="E166" s="42" t="s">
        <v>88</v>
      </c>
      <c r="F166" s="42" t="str">
        <f>+IFERROR(VLOOKUP(E166,'DANH MỤC'!$C:$H,2,0),"")</f>
        <v>Ivory Ningbo</v>
      </c>
      <c r="G166" s="42" t="str">
        <f>+IFERROR(VLOOKUP(E166,'DANH MỤC'!$C:$H,6,0),"")</f>
        <v>Kg</v>
      </c>
      <c r="H166" s="42">
        <f>+IFERROR(VLOOKUP(E166,'DANH MỤC'!$C:$H,3,0),"")</f>
        <v>250</v>
      </c>
      <c r="I166" s="42">
        <f>+IFERROR(VLOOKUP(E166,'DANH MỤC'!$C:$H,4,0),"")</f>
        <v>109</v>
      </c>
      <c r="J166" s="42" t="str">
        <f>+IFERROR(VLOOKUP(E166,'DANH MỤC'!$C:$H,5,0),"")</f>
        <v/>
      </c>
      <c r="K166" s="53">
        <v>35316.0</v>
      </c>
      <c r="L166" s="58"/>
      <c r="M166" s="55" t="s">
        <v>188</v>
      </c>
      <c r="N166" s="55"/>
    </row>
    <row r="167" ht="15.75" customHeight="1">
      <c r="A167" s="53">
        <f t="shared" si="1"/>
        <v>162</v>
      </c>
      <c r="B167" s="55"/>
      <c r="C167" s="41">
        <v>45587.0</v>
      </c>
      <c r="D167" s="42" t="s">
        <v>35</v>
      </c>
      <c r="E167" s="42" t="s">
        <v>189</v>
      </c>
      <c r="F167" s="42" t="str">
        <f>+IFERROR(VLOOKUP(E167,'DANH MỤC'!$C:$H,2,0),"")</f>
        <v>Ivory Ningbo</v>
      </c>
      <c r="G167" s="42" t="str">
        <f>+IFERROR(VLOOKUP(E167,'DANH MỤC'!$C:$H,6,0),"")</f>
        <v>Kg</v>
      </c>
      <c r="H167" s="42">
        <f>+IFERROR(VLOOKUP(E167,'DANH MỤC'!$C:$H,3,0),"")</f>
        <v>230</v>
      </c>
      <c r="I167" s="42">
        <f>+IFERROR(VLOOKUP(E167,'DANH MỤC'!$C:$H,4,0),"")</f>
        <v>109</v>
      </c>
      <c r="J167" s="42" t="str">
        <f>+IFERROR(VLOOKUP(E167,'DANH MỤC'!$C:$H,5,0),"")</f>
        <v/>
      </c>
      <c r="K167" s="53">
        <v>30640.0</v>
      </c>
      <c r="L167" s="58"/>
      <c r="M167" s="55" t="s">
        <v>188</v>
      </c>
      <c r="N167" s="55"/>
    </row>
    <row r="168" ht="15.75" customHeight="1">
      <c r="A168" s="53">
        <f t="shared" si="1"/>
        <v>163</v>
      </c>
      <c r="B168" s="55"/>
      <c r="C168" s="41">
        <v>45587.0</v>
      </c>
      <c r="D168" s="42" t="s">
        <v>35</v>
      </c>
      <c r="E168" s="42" t="s">
        <v>47</v>
      </c>
      <c r="F168" s="42" t="str">
        <f>+IFERROR(VLOOKUP(E168,'DANH MỤC'!$C:$H,2,0),"")</f>
        <v>Ivory Ningbo</v>
      </c>
      <c r="G168" s="42" t="str">
        <f>+IFERROR(VLOOKUP(E168,'DANH MỤC'!$C:$H,6,0),"")</f>
        <v>Kg</v>
      </c>
      <c r="H168" s="42">
        <f>+IFERROR(VLOOKUP(E168,'DANH MỤC'!$C:$H,3,0),"")</f>
        <v>210</v>
      </c>
      <c r="I168" s="42">
        <f>+IFERROR(VLOOKUP(E168,'DANH MỤC'!$C:$H,4,0),"")</f>
        <v>109</v>
      </c>
      <c r="J168" s="42" t="str">
        <f>+IFERROR(VLOOKUP(E168,'DANH MỤC'!$C:$H,5,0),"")</f>
        <v/>
      </c>
      <c r="K168" s="53">
        <v>60770.0</v>
      </c>
      <c r="L168" s="58"/>
      <c r="M168" s="55" t="s">
        <v>188</v>
      </c>
      <c r="N168" s="55"/>
    </row>
    <row r="169" ht="15.75" customHeight="1">
      <c r="A169" s="53">
        <f t="shared" si="1"/>
        <v>164</v>
      </c>
      <c r="B169" s="55" t="s">
        <v>190</v>
      </c>
      <c r="C169" s="41">
        <v>45593.0</v>
      </c>
      <c r="D169" s="42" t="s">
        <v>153</v>
      </c>
      <c r="E169" s="42" t="s">
        <v>47</v>
      </c>
      <c r="F169" s="42" t="str">
        <f>+IFERROR(VLOOKUP(E169,'DANH MỤC'!$C:$H,2,0),"")</f>
        <v>Ivory Ningbo</v>
      </c>
      <c r="G169" s="42" t="str">
        <f>+IFERROR(VLOOKUP(E169,'DANH MỤC'!$C:$H,6,0),"")</f>
        <v>Kg</v>
      </c>
      <c r="H169" s="42">
        <f>+IFERROR(VLOOKUP(E169,'DANH MỤC'!$C:$H,3,0),"")</f>
        <v>210</v>
      </c>
      <c r="I169" s="42">
        <f>+IFERROR(VLOOKUP(E169,'DANH MỤC'!$C:$H,4,0),"")</f>
        <v>109</v>
      </c>
      <c r="J169" s="42" t="str">
        <f>+IFERROR(VLOOKUP(E169,'DANH MỤC'!$C:$H,5,0),"")</f>
        <v/>
      </c>
      <c r="K169" s="53"/>
      <c r="L169" s="58">
        <f>2060-610</f>
        <v>1450</v>
      </c>
      <c r="M169" s="55"/>
      <c r="N169" s="55"/>
    </row>
    <row r="170" ht="15.75" customHeight="1">
      <c r="A170" s="53">
        <f t="shared" si="1"/>
        <v>165</v>
      </c>
      <c r="B170" s="55" t="s">
        <v>191</v>
      </c>
      <c r="C170" s="41">
        <v>45593.0</v>
      </c>
      <c r="D170" s="42" t="s">
        <v>192</v>
      </c>
      <c r="E170" s="42" t="s">
        <v>88</v>
      </c>
      <c r="F170" s="42" t="str">
        <f>+IFERROR(VLOOKUP(E170,'DANH MỤC'!$C:$H,2,0),"")</f>
        <v>Ivory Ningbo</v>
      </c>
      <c r="G170" s="42" t="str">
        <f>+IFERROR(VLOOKUP(E170,'DANH MỤC'!$C:$H,6,0),"")</f>
        <v>Kg</v>
      </c>
      <c r="H170" s="42">
        <f>+IFERROR(VLOOKUP(E170,'DANH MỤC'!$C:$H,3,0),"")</f>
        <v>250</v>
      </c>
      <c r="I170" s="42">
        <f>+IFERROR(VLOOKUP(E170,'DANH MỤC'!$C:$H,4,0),"")</f>
        <v>109</v>
      </c>
      <c r="J170" s="42" t="str">
        <f>+IFERROR(VLOOKUP(E170,'DANH MỤC'!$C:$H,5,0),"")</f>
        <v/>
      </c>
      <c r="K170" s="53"/>
      <c r="L170" s="58">
        <f>9039-720</f>
        <v>8319</v>
      </c>
      <c r="M170" s="55"/>
      <c r="N170" s="55"/>
    </row>
    <row r="171" ht="15.75" customHeight="1">
      <c r="A171" s="117">
        <f t="shared" si="1"/>
        <v>166</v>
      </c>
      <c r="B171" s="118"/>
      <c r="C171" s="119">
        <v>45593.0</v>
      </c>
      <c r="D171" s="120" t="s">
        <v>146</v>
      </c>
      <c r="E171" s="120" t="s">
        <v>81</v>
      </c>
      <c r="F171" s="120" t="str">
        <f>+IFERROR(VLOOKUP(E171,'DANH MỤC'!$C:$H,2,0),"")</f>
        <v>Lưỡi gà trắng 71mm x 800m x 210gsm</v>
      </c>
      <c r="G171" s="120" t="str">
        <f>+IFERROR(VLOOKUP(E171,'DANH MỤC'!$C:$H,6,0),"")</f>
        <v>Cuộn</v>
      </c>
      <c r="H171" s="120">
        <f>+IFERROR(VLOOKUP(E171,'DANH MỤC'!$C:$H,3,0),"")</f>
        <v>210</v>
      </c>
      <c r="I171" s="120">
        <f>+IFERROR(VLOOKUP(E171,'DANH MỤC'!$C:$H,4,0),"")</f>
        <v>71</v>
      </c>
      <c r="J171" s="120">
        <f>+IFERROR(VLOOKUP(E171,'DANH MỤC'!$C:$H,5,0),"")</f>
        <v>800</v>
      </c>
      <c r="K171" s="117"/>
      <c r="L171" s="121">
        <v>360.0</v>
      </c>
      <c r="M171" s="118"/>
      <c r="N171" s="118"/>
    </row>
    <row r="172" ht="15.75" customHeight="1">
      <c r="A172" s="53">
        <f t="shared" si="1"/>
        <v>167</v>
      </c>
      <c r="B172" s="55"/>
      <c r="C172" s="41">
        <v>45593.0</v>
      </c>
      <c r="D172" s="42" t="s">
        <v>125</v>
      </c>
      <c r="E172" s="42" t="s">
        <v>107</v>
      </c>
      <c r="F172" s="42" t="str">
        <f>+IFERROR(VLOOKUP(E172,'DANH MỤC'!$C:$H,2,0),"")</f>
        <v>Pallet gỗ 1200x1200x130mm</v>
      </c>
      <c r="G172" s="42" t="str">
        <f>+IFERROR(VLOOKUP(E172,'DANH MỤC'!$C:$H,6,0),"")</f>
        <v>Bộ</v>
      </c>
      <c r="H172" s="42">
        <f>+IFERROR(VLOOKUP(E172,'DANH MỤC'!$C:$H,3,0),"")</f>
        <v>1200</v>
      </c>
      <c r="I172" s="42">
        <f>+IFERROR(VLOOKUP(E172,'DANH MỤC'!$C:$H,4,0),"")</f>
        <v>1200</v>
      </c>
      <c r="J172" s="42">
        <f>+IFERROR(VLOOKUP(E172,'DANH MỤC'!$C:$H,5,0),"")</f>
        <v>130</v>
      </c>
      <c r="K172" s="53"/>
      <c r="L172" s="58">
        <v>9.0</v>
      </c>
      <c r="M172" s="55"/>
      <c r="N172" s="55"/>
    </row>
    <row r="173" ht="15.75" customHeight="1">
      <c r="A173" s="53">
        <f t="shared" si="1"/>
        <v>168</v>
      </c>
      <c r="B173" s="55"/>
      <c r="C173" s="41">
        <v>45593.0</v>
      </c>
      <c r="D173" s="42" t="s">
        <v>125</v>
      </c>
      <c r="E173" s="42" t="s">
        <v>115</v>
      </c>
      <c r="F173" s="42" t="str">
        <f>+IFERROR(VLOOKUP(E173,'DANH MỤC'!$C:$H,2,0),"")</f>
        <v>Màng Strecth Film 5.0-0.6kg</v>
      </c>
      <c r="G173" s="42" t="str">
        <f>+IFERROR(VLOOKUP(E173,'DANH MỤC'!$C:$H,6,0),"")</f>
        <v>Kg</v>
      </c>
      <c r="H173" s="42" t="str">
        <f>+IFERROR(VLOOKUP(E173,'DANH MỤC'!$C:$H,3,0),"")</f>
        <v/>
      </c>
      <c r="I173" s="42" t="str">
        <f>+IFERROR(VLOOKUP(E173,'DANH MỤC'!$C:$H,4,0),"")</f>
        <v/>
      </c>
      <c r="J173" s="42" t="str">
        <f>+IFERROR(VLOOKUP(E173,'DANH MỤC'!$C:$H,5,0),"")</f>
        <v/>
      </c>
      <c r="K173" s="53"/>
      <c r="L173" s="58">
        <v>6.05</v>
      </c>
      <c r="M173" s="55"/>
      <c r="N173" s="55"/>
    </row>
    <row r="174" ht="15.75" customHeight="1">
      <c r="A174" s="53">
        <f t="shared" si="1"/>
        <v>169</v>
      </c>
      <c r="B174" s="55"/>
      <c r="C174" s="41">
        <v>45593.0</v>
      </c>
      <c r="D174" s="42" t="s">
        <v>125</v>
      </c>
      <c r="E174" s="42" t="s">
        <v>112</v>
      </c>
      <c r="F174" s="42" t="str">
        <f>+IFERROR(VLOOKUP(E174,'DANH MỤC'!$C:$H,2,0),"")</f>
        <v>Dây đai PET xanh (B)</v>
      </c>
      <c r="G174" s="42" t="str">
        <f>+IFERROR(VLOOKUP(E174,'DANH MỤC'!$C:$H,6,0),"")</f>
        <v>Kg</v>
      </c>
      <c r="H174" s="42" t="str">
        <f>+IFERROR(VLOOKUP(E174,'DANH MỤC'!$C:$H,3,0),"")</f>
        <v/>
      </c>
      <c r="I174" s="42" t="str">
        <f>+IFERROR(VLOOKUP(E174,'DANH MỤC'!$C:$H,4,0),"")</f>
        <v/>
      </c>
      <c r="J174" s="42" t="str">
        <f>+IFERROR(VLOOKUP(E174,'DANH MỤC'!$C:$H,5,0),"")</f>
        <v/>
      </c>
      <c r="K174" s="53"/>
      <c r="L174" s="58">
        <v>10.25</v>
      </c>
      <c r="M174" s="55"/>
      <c r="N174" s="55"/>
    </row>
    <row r="175" ht="15.75" customHeight="1">
      <c r="A175" s="53">
        <f t="shared" si="1"/>
        <v>170</v>
      </c>
      <c r="B175" s="55"/>
      <c r="C175" s="41">
        <v>45593.0</v>
      </c>
      <c r="D175" s="42" t="s">
        <v>125</v>
      </c>
      <c r="E175" s="42" t="s">
        <v>96</v>
      </c>
      <c r="F175" s="42" t="str">
        <f>+IFERROR(VLOOKUP(E175,'DANH MỤC'!$C:$H,2,0),"")</f>
        <v>Giấy bao gói lưỡi gà</v>
      </c>
      <c r="G175" s="42" t="str">
        <f>+IFERROR(VLOOKUP(E175,'DANH MỤC'!$C:$H,6,0),"")</f>
        <v>Kg</v>
      </c>
      <c r="H175" s="42" t="str">
        <f>+IFERROR(VLOOKUP(E175,'DANH MỤC'!$C:$H,3,0),"")</f>
        <v/>
      </c>
      <c r="I175" s="42" t="str">
        <f>+IFERROR(VLOOKUP(E175,'DANH MỤC'!$C:$H,4,0),"")</f>
        <v/>
      </c>
      <c r="J175" s="42" t="str">
        <f>+IFERROR(VLOOKUP(E175,'DANH MỤC'!$C:$H,5,0),"")</f>
        <v/>
      </c>
      <c r="K175" s="53"/>
      <c r="L175" s="58">
        <v>5.23</v>
      </c>
      <c r="M175" s="55"/>
      <c r="N175" s="55"/>
    </row>
    <row r="176" ht="15.75" customHeight="1">
      <c r="A176" s="53">
        <f t="shared" si="1"/>
        <v>171</v>
      </c>
      <c r="B176" s="55"/>
      <c r="C176" s="41">
        <v>45593.0</v>
      </c>
      <c r="D176" s="42" t="s">
        <v>125</v>
      </c>
      <c r="E176" s="42" t="s">
        <v>156</v>
      </c>
      <c r="F176" s="42" t="str">
        <f>+IFERROR(VLOOKUP(E176,'DANH MỤC'!$C:$H,2,0),"")</f>
        <v>Nẹp gỗ pallet dài 1.15m</v>
      </c>
      <c r="G176" s="42" t="str">
        <f>+IFERROR(VLOOKUP(E176,'DANH MỤC'!$C:$H,6,0),"")</f>
        <v>Cái</v>
      </c>
      <c r="H176" s="42" t="str">
        <f>+IFERROR(VLOOKUP(E176,'DANH MỤC'!$C:$H,3,0),"")</f>
        <v/>
      </c>
      <c r="I176" s="42" t="str">
        <f>+IFERROR(VLOOKUP(E176,'DANH MỤC'!$C:$H,4,0),"")</f>
        <v/>
      </c>
      <c r="J176" s="42">
        <f>+IFERROR(VLOOKUP(E176,'DANH MỤC'!$C:$H,5,0),"")</f>
        <v>1150</v>
      </c>
      <c r="K176" s="53"/>
      <c r="L176" s="58">
        <v>40.0</v>
      </c>
      <c r="M176" s="55"/>
      <c r="N176" s="55"/>
    </row>
    <row r="177" ht="15.75" customHeight="1">
      <c r="A177" s="53">
        <f t="shared" si="1"/>
        <v>172</v>
      </c>
      <c r="B177" s="55"/>
      <c r="C177" s="41">
        <v>45593.0</v>
      </c>
      <c r="D177" s="42" t="s">
        <v>125</v>
      </c>
      <c r="E177" s="42" t="s">
        <v>183</v>
      </c>
      <c r="F177" s="42" t="str">
        <f>+IFERROR(VLOOKUP(E177,'DANH MỤC'!$C:$H,2,0),"")</f>
        <v>Ống lõi giấy phi 120x7x90mm</v>
      </c>
      <c r="G177" s="42" t="str">
        <f>+IFERROR(VLOOKUP(E177,'DANH MỤC'!$C:$H,6,0),"")</f>
        <v>Cái</v>
      </c>
      <c r="H177" s="42">
        <f>+IFERROR(VLOOKUP(E177,'DANH MỤC'!$C:$H,3,0),"")</f>
        <v>120</v>
      </c>
      <c r="I177" s="42">
        <f>+IFERROR(VLOOKUP(E177,'DANH MỤC'!$C:$H,4,0),"")</f>
        <v>70</v>
      </c>
      <c r="J177" s="42">
        <f>+IFERROR(VLOOKUP(E177,'DANH MỤC'!$C:$H,5,0),"")</f>
        <v>90</v>
      </c>
      <c r="K177" s="53"/>
      <c r="L177" s="58">
        <v>460.0</v>
      </c>
      <c r="M177" s="55"/>
      <c r="N177" s="55"/>
    </row>
    <row r="178" ht="15.75" customHeight="1">
      <c r="A178" s="53">
        <f t="shared" si="1"/>
        <v>173</v>
      </c>
      <c r="B178" s="55"/>
      <c r="C178" s="41">
        <v>45594.0</v>
      </c>
      <c r="D178" s="42" t="s">
        <v>193</v>
      </c>
      <c r="E178" s="42" t="s">
        <v>98</v>
      </c>
      <c r="F178" s="42" t="str">
        <f>+IFERROR(VLOOKUP(E178,'DANH MỤC'!$C:$H,2,0),"")</f>
        <v>Lưỡi gà trắng 91mm x 800m x 210gsm</v>
      </c>
      <c r="G178" s="42" t="str">
        <f>+IFERROR(VLOOKUP(E178,'DANH MỤC'!$C:$H,6,0),"")</f>
        <v>Cuộn</v>
      </c>
      <c r="H178" s="42">
        <f>+IFERROR(VLOOKUP(E178,'DANH MỤC'!$C:$H,3,0),"")</f>
        <v>210</v>
      </c>
      <c r="I178" s="42">
        <f>+IFERROR(VLOOKUP(E178,'DANH MỤC'!$C:$H,4,0),"")</f>
        <v>91</v>
      </c>
      <c r="J178" s="42">
        <f>+IFERROR(VLOOKUP(E178,'DANH MỤC'!$C:$H,5,0),"")</f>
        <v>800</v>
      </c>
      <c r="K178" s="53">
        <v>30.0</v>
      </c>
      <c r="L178" s="58"/>
      <c r="M178" s="55"/>
      <c r="N178" s="55"/>
    </row>
    <row r="179" ht="15.75" customHeight="1">
      <c r="A179" s="53">
        <f t="shared" si="1"/>
        <v>174</v>
      </c>
      <c r="B179" s="55"/>
      <c r="C179" s="41">
        <v>45594.0</v>
      </c>
      <c r="D179" s="42" t="s">
        <v>193</v>
      </c>
      <c r="E179" s="42" t="s">
        <v>81</v>
      </c>
      <c r="F179" s="42" t="str">
        <f>+IFERROR(VLOOKUP(E179,'DANH MỤC'!$C:$H,2,0),"")</f>
        <v>Lưỡi gà trắng 71mm x 800m x 210gsm</v>
      </c>
      <c r="G179" s="42" t="str">
        <f>+IFERROR(VLOOKUP(E179,'DANH MỤC'!$C:$H,6,0),"")</f>
        <v>Cuộn</v>
      </c>
      <c r="H179" s="42">
        <f>+IFERROR(VLOOKUP(E179,'DANH MỤC'!$C:$H,3,0),"")</f>
        <v>210</v>
      </c>
      <c r="I179" s="42">
        <f>+IFERROR(VLOOKUP(E179,'DANH MỤC'!$C:$H,4,0),"")</f>
        <v>71</v>
      </c>
      <c r="J179" s="42">
        <f>+IFERROR(VLOOKUP(E179,'DANH MỤC'!$C:$H,5,0),"")</f>
        <v>800</v>
      </c>
      <c r="K179" s="53">
        <v>1502.0</v>
      </c>
      <c r="L179" s="58"/>
      <c r="M179" s="55"/>
      <c r="N179" s="55"/>
    </row>
    <row r="180" ht="15.75" customHeight="1">
      <c r="A180" s="53">
        <f t="shared" si="1"/>
        <v>175</v>
      </c>
      <c r="B180" s="55"/>
      <c r="C180" s="41">
        <v>45596.0</v>
      </c>
      <c r="D180" s="42" t="s">
        <v>95</v>
      </c>
      <c r="E180" s="42" t="s">
        <v>127</v>
      </c>
      <c r="F180" s="42" t="str">
        <f>+IFERROR(VLOOKUP(E180,'DANH MỤC'!$C:$H,2,0),"")</f>
        <v>Pallet gỗ 1100x1100x130mm</v>
      </c>
      <c r="G180" s="42" t="str">
        <f>+IFERROR(VLOOKUP(E180,'DANH MỤC'!$C:$H,6,0),"")</f>
        <v>Bộ</v>
      </c>
      <c r="H180" s="42">
        <f>+IFERROR(VLOOKUP(E180,'DANH MỤC'!$C:$H,3,0),"")</f>
        <v>1100</v>
      </c>
      <c r="I180" s="42">
        <f>+IFERROR(VLOOKUP(E180,'DANH MỤC'!$C:$H,4,0),"")</f>
        <v>1100</v>
      </c>
      <c r="J180" s="42">
        <f>+IFERROR(VLOOKUP(E180,'DANH MỤC'!$C:$H,5,0),"")</f>
        <v>130</v>
      </c>
      <c r="K180" s="53">
        <v>50.0</v>
      </c>
      <c r="L180" s="58"/>
      <c r="M180" s="55"/>
      <c r="N180" s="55"/>
    </row>
    <row r="181" ht="15.75" customHeight="1">
      <c r="A181" s="53">
        <f t="shared" si="1"/>
        <v>176</v>
      </c>
      <c r="B181" s="55" t="s">
        <v>194</v>
      </c>
      <c r="C181" s="41">
        <v>45598.0</v>
      </c>
      <c r="D181" s="42" t="s">
        <v>195</v>
      </c>
      <c r="E181" s="42" t="s">
        <v>47</v>
      </c>
      <c r="F181" s="42" t="str">
        <f>+IFERROR(VLOOKUP(E181,'DANH MỤC'!$C:$H,2,0),"")</f>
        <v>Ivory Ningbo</v>
      </c>
      <c r="G181" s="42" t="str">
        <f>+IFERROR(VLOOKUP(E181,'DANH MỤC'!$C:$H,6,0),"")</f>
        <v>Kg</v>
      </c>
      <c r="H181" s="42">
        <f>+IFERROR(VLOOKUP(E181,'DANH MỤC'!$C:$H,3,0),"")</f>
        <v>210</v>
      </c>
      <c r="I181" s="42">
        <f>+IFERROR(VLOOKUP(E181,'DANH MỤC'!$C:$H,4,0),"")</f>
        <v>109</v>
      </c>
      <c r="J181" s="42" t="str">
        <f>+IFERROR(VLOOKUP(E181,'DANH MỤC'!$C:$H,5,0),"")</f>
        <v/>
      </c>
      <c r="K181" s="53"/>
      <c r="L181" s="58">
        <f>6790-350</f>
        <v>6440</v>
      </c>
      <c r="M181" s="55"/>
      <c r="N181" s="55"/>
    </row>
    <row r="182" ht="15.75" customHeight="1">
      <c r="A182" s="53">
        <f t="shared" si="1"/>
        <v>177</v>
      </c>
      <c r="B182" s="55"/>
      <c r="C182" s="41">
        <v>45598.0</v>
      </c>
      <c r="D182" s="42" t="s">
        <v>125</v>
      </c>
      <c r="E182" s="42" t="s">
        <v>127</v>
      </c>
      <c r="F182" s="42" t="str">
        <f>+IFERROR(VLOOKUP(E182,'DANH MỤC'!$C:$H,2,0),"")</f>
        <v>Pallet gỗ 1100x1100x130mm</v>
      </c>
      <c r="G182" s="42" t="str">
        <f>+IFERROR(VLOOKUP(E182,'DANH MỤC'!$C:$H,6,0),"")</f>
        <v>Bộ</v>
      </c>
      <c r="H182" s="42">
        <f>+IFERROR(VLOOKUP(E182,'DANH MỤC'!$C:$H,3,0),"")</f>
        <v>1100</v>
      </c>
      <c r="I182" s="42">
        <f>+IFERROR(VLOOKUP(E182,'DANH MỤC'!$C:$H,4,0),"")</f>
        <v>1100</v>
      </c>
      <c r="J182" s="42">
        <f>+IFERROR(VLOOKUP(E182,'DANH MỤC'!$C:$H,5,0),"")</f>
        <v>130</v>
      </c>
      <c r="K182" s="53"/>
      <c r="L182" s="58">
        <v>8.0</v>
      </c>
      <c r="M182" s="55"/>
      <c r="N182" s="55"/>
    </row>
    <row r="183" ht="15.75" customHeight="1">
      <c r="A183" s="53">
        <f t="shared" si="1"/>
        <v>178</v>
      </c>
      <c r="B183" s="55"/>
      <c r="C183" s="41">
        <v>45598.0</v>
      </c>
      <c r="D183" s="42" t="s">
        <v>125</v>
      </c>
      <c r="E183" s="42" t="s">
        <v>115</v>
      </c>
      <c r="F183" s="42" t="str">
        <f>+IFERROR(VLOOKUP(E183,'DANH MỤC'!$C:$H,2,0),"")</f>
        <v>Màng Strecth Film 5.0-0.6kg</v>
      </c>
      <c r="G183" s="42" t="str">
        <f>+IFERROR(VLOOKUP(E183,'DANH MỤC'!$C:$H,6,0),"")</f>
        <v>Kg</v>
      </c>
      <c r="H183" s="42" t="str">
        <f>+IFERROR(VLOOKUP(E183,'DANH MỤC'!$C:$H,3,0),"")</f>
        <v/>
      </c>
      <c r="I183" s="42" t="str">
        <f>+IFERROR(VLOOKUP(E183,'DANH MỤC'!$C:$H,4,0),"")</f>
        <v/>
      </c>
      <c r="J183" s="42" t="str">
        <f>+IFERROR(VLOOKUP(E183,'DANH MỤC'!$C:$H,5,0),"")</f>
        <v/>
      </c>
      <c r="K183" s="53"/>
      <c r="L183" s="58">
        <v>5.38</v>
      </c>
      <c r="M183" s="55"/>
      <c r="N183" s="55"/>
    </row>
    <row r="184" ht="15.75" customHeight="1">
      <c r="A184" s="53">
        <f t="shared" si="1"/>
        <v>179</v>
      </c>
      <c r="B184" s="55"/>
      <c r="C184" s="41">
        <v>45598.0</v>
      </c>
      <c r="D184" s="42" t="s">
        <v>125</v>
      </c>
      <c r="E184" s="42" t="s">
        <v>112</v>
      </c>
      <c r="F184" s="42" t="str">
        <f>+IFERROR(VLOOKUP(E184,'DANH MỤC'!$C:$H,2,0),"")</f>
        <v>Dây đai PET xanh (B)</v>
      </c>
      <c r="G184" s="42" t="str">
        <f>+IFERROR(VLOOKUP(E184,'DANH MỤC'!$C:$H,6,0),"")</f>
        <v>Kg</v>
      </c>
      <c r="H184" s="42" t="str">
        <f>+IFERROR(VLOOKUP(E184,'DANH MỤC'!$C:$H,3,0),"")</f>
        <v/>
      </c>
      <c r="I184" s="42" t="str">
        <f>+IFERROR(VLOOKUP(E184,'DANH MỤC'!$C:$H,4,0),"")</f>
        <v/>
      </c>
      <c r="J184" s="42" t="str">
        <f>+IFERROR(VLOOKUP(E184,'DANH MỤC'!$C:$H,5,0),"")</f>
        <v/>
      </c>
      <c r="K184" s="53"/>
      <c r="L184" s="58">
        <v>9.11</v>
      </c>
      <c r="M184" s="55"/>
      <c r="N184" s="55"/>
    </row>
    <row r="185" ht="15.75" customHeight="1">
      <c r="A185" s="53">
        <f t="shared" si="1"/>
        <v>180</v>
      </c>
      <c r="B185" s="55"/>
      <c r="C185" s="41">
        <v>45598.0</v>
      </c>
      <c r="D185" s="42" t="s">
        <v>125</v>
      </c>
      <c r="E185" s="42" t="s">
        <v>96</v>
      </c>
      <c r="F185" s="42" t="str">
        <f>+IFERROR(VLOOKUP(E185,'DANH MỤC'!$C:$H,2,0),"")</f>
        <v>Giấy bao gói lưỡi gà</v>
      </c>
      <c r="G185" s="42" t="str">
        <f>+IFERROR(VLOOKUP(E185,'DANH MỤC'!$C:$H,6,0),"")</f>
        <v>Kg</v>
      </c>
      <c r="H185" s="42" t="str">
        <f>+IFERROR(VLOOKUP(E185,'DANH MỤC'!$C:$H,3,0),"")</f>
        <v/>
      </c>
      <c r="I185" s="42" t="str">
        <f>+IFERROR(VLOOKUP(E185,'DANH MỤC'!$C:$H,4,0),"")</f>
        <v/>
      </c>
      <c r="J185" s="42" t="str">
        <f>+IFERROR(VLOOKUP(E185,'DANH MỤC'!$C:$H,5,0),"")</f>
        <v/>
      </c>
      <c r="K185" s="53"/>
      <c r="L185" s="58">
        <v>6.51</v>
      </c>
      <c r="M185" s="55"/>
      <c r="N185" s="55"/>
    </row>
    <row r="186" ht="15.75" customHeight="1">
      <c r="A186" s="53">
        <f t="shared" si="1"/>
        <v>181</v>
      </c>
      <c r="B186" s="55"/>
      <c r="C186" s="41">
        <v>45598.0</v>
      </c>
      <c r="D186" s="42" t="s">
        <v>125</v>
      </c>
      <c r="E186" s="42" t="s">
        <v>156</v>
      </c>
      <c r="F186" s="42" t="str">
        <f>+IFERROR(VLOOKUP(E186,'DANH MỤC'!$C:$H,2,0),"")</f>
        <v>Nẹp gỗ pallet dài 1.15m</v>
      </c>
      <c r="G186" s="42" t="str">
        <f>+IFERROR(VLOOKUP(E186,'DANH MỤC'!$C:$H,6,0),"")</f>
        <v>Cái</v>
      </c>
      <c r="H186" s="42" t="str">
        <f>+IFERROR(VLOOKUP(E186,'DANH MỤC'!$C:$H,3,0),"")</f>
        <v/>
      </c>
      <c r="I186" s="42" t="str">
        <f>+IFERROR(VLOOKUP(E186,'DANH MỤC'!$C:$H,4,0),"")</f>
        <v/>
      </c>
      <c r="J186" s="42">
        <f>+IFERROR(VLOOKUP(E186,'DANH MỤC'!$C:$H,5,0),"")</f>
        <v>1150</v>
      </c>
      <c r="K186" s="53"/>
      <c r="L186" s="58">
        <v>20.0</v>
      </c>
      <c r="M186" s="55"/>
      <c r="N186" s="55"/>
    </row>
    <row r="187" ht="15.75" customHeight="1">
      <c r="A187" s="53">
        <f t="shared" si="1"/>
        <v>182</v>
      </c>
      <c r="B187" s="55"/>
      <c r="C187" s="41">
        <v>45598.0</v>
      </c>
      <c r="D187" s="42" t="s">
        <v>125</v>
      </c>
      <c r="E187" s="42" t="s">
        <v>184</v>
      </c>
      <c r="F187" s="42" t="str">
        <f>+IFERROR(VLOOKUP(E187,'DANH MỤC'!$C:$H,2,0),"")</f>
        <v>Ống lõi giấy phi 120x7x95mm</v>
      </c>
      <c r="G187" s="42" t="str">
        <f>+IFERROR(VLOOKUP(E187,'DANH MỤC'!$C:$H,6,0),"")</f>
        <v>Cái</v>
      </c>
      <c r="H187" s="42">
        <f>+IFERROR(VLOOKUP(E187,'DANH MỤC'!$C:$H,3,0),"")</f>
        <v>120</v>
      </c>
      <c r="I187" s="42">
        <f>+IFERROR(VLOOKUP(E187,'DANH MỤC'!$C:$H,4,0),"")</f>
        <v>70</v>
      </c>
      <c r="J187" s="42">
        <f>+IFERROR(VLOOKUP(E187,'DANH MỤC'!$C:$H,5,0),"")</f>
        <v>95</v>
      </c>
      <c r="K187" s="53"/>
      <c r="L187" s="58">
        <v>307.0</v>
      </c>
      <c r="M187" s="55"/>
      <c r="N187" s="55"/>
    </row>
    <row r="188" ht="15.75" customHeight="1">
      <c r="A188" s="53">
        <f t="shared" si="1"/>
        <v>183</v>
      </c>
      <c r="B188" s="55"/>
      <c r="C188" s="41">
        <v>45598.0</v>
      </c>
      <c r="D188" s="42" t="s">
        <v>125</v>
      </c>
      <c r="E188" s="42" t="s">
        <v>182</v>
      </c>
      <c r="F188" s="42" t="str">
        <f>+IFERROR(VLOOKUP(E188,'DANH MỤC'!$C:$H,2,0),"")</f>
        <v>Ống lõi giấy phi 120x7x71mm</v>
      </c>
      <c r="G188" s="42" t="str">
        <f>+IFERROR(VLOOKUP(E188,'DANH MỤC'!$C:$H,6,0),"")</f>
        <v>Cái</v>
      </c>
      <c r="H188" s="42">
        <f>+IFERROR(VLOOKUP(E188,'DANH MỤC'!$C:$H,3,0),"")</f>
        <v>120</v>
      </c>
      <c r="I188" s="42">
        <f>+IFERROR(VLOOKUP(E188,'DANH MỤC'!$C:$H,4,0),"")</f>
        <v>70</v>
      </c>
      <c r="J188" s="42">
        <f>+IFERROR(VLOOKUP(E188,'DANH MỤC'!$C:$H,5,0),"")</f>
        <v>71</v>
      </c>
      <c r="K188" s="53"/>
      <c r="L188" s="58">
        <v>70.0</v>
      </c>
      <c r="M188" s="55"/>
      <c r="N188" s="55"/>
    </row>
    <row r="189" ht="15.75" customHeight="1">
      <c r="A189" s="53">
        <f t="shared" si="1"/>
        <v>184</v>
      </c>
      <c r="B189" s="55"/>
      <c r="C189" s="41">
        <v>45598.0</v>
      </c>
      <c r="D189" s="42" t="s">
        <v>125</v>
      </c>
      <c r="E189" s="42" t="s">
        <v>97</v>
      </c>
      <c r="F189" s="42" t="str">
        <f>+IFERROR(VLOOKUP(E189,'DANH MỤC'!$C:$H,2,0),"")</f>
        <v>Ống lõi giấy phi 120x7x1000mm</v>
      </c>
      <c r="G189" s="42" t="str">
        <f>+IFERROR(VLOOKUP(E189,'DANH MỤC'!$C:$H,6,0),"")</f>
        <v>Cái</v>
      </c>
      <c r="H189" s="42">
        <f>+IFERROR(VLOOKUP(E189,'DANH MỤC'!$C:$H,3,0),"")</f>
        <v>120</v>
      </c>
      <c r="I189" s="42">
        <f>+IFERROR(VLOOKUP(E189,'DANH MỤC'!$C:$H,4,0),"")</f>
        <v>70</v>
      </c>
      <c r="J189" s="42">
        <f>+IFERROR(VLOOKUP(E189,'DANH MỤC'!$C:$H,5,0),"")</f>
        <v>1000</v>
      </c>
      <c r="K189" s="53"/>
      <c r="L189" s="58">
        <v>3.0</v>
      </c>
      <c r="M189" s="55"/>
      <c r="N189" s="55"/>
    </row>
    <row r="190" ht="15.75" customHeight="1">
      <c r="A190" s="53">
        <f t="shared" si="1"/>
        <v>185</v>
      </c>
      <c r="B190" s="55"/>
      <c r="C190" s="41">
        <v>45600.0</v>
      </c>
      <c r="D190" s="42" t="s">
        <v>198</v>
      </c>
      <c r="E190" s="42" t="s">
        <v>123</v>
      </c>
      <c r="F190" s="42" t="str">
        <f>+IFERROR(VLOOKUP(E190,'DANH MỤC'!$C:$H,2,0),"")</f>
        <v>Lưỡi gà trắng 90mm x 800m x 250gsm</v>
      </c>
      <c r="G190" s="42" t="str">
        <f>+IFERROR(VLOOKUP(E190,'DANH MỤC'!$C:$H,6,0),"")</f>
        <v>Cuộn</v>
      </c>
      <c r="H190" s="42">
        <f>+IFERROR(VLOOKUP(E190,'DANH MỤC'!$C:$H,3,0),"")</f>
        <v>250</v>
      </c>
      <c r="I190" s="42">
        <f>+IFERROR(VLOOKUP(E190,'DANH MỤC'!$C:$H,4,0),"")</f>
        <v>90</v>
      </c>
      <c r="J190" s="42">
        <f>+IFERROR(VLOOKUP(E190,'DANH MỤC'!$C:$H,5,0),"")</f>
        <v>800</v>
      </c>
      <c r="K190" s="53">
        <v>456.0</v>
      </c>
      <c r="L190" s="58"/>
      <c r="M190" s="55"/>
      <c r="N190" s="55"/>
    </row>
    <row r="191" ht="15.75" customHeight="1">
      <c r="A191" s="53">
        <f t="shared" si="1"/>
        <v>186</v>
      </c>
      <c r="B191" s="55"/>
      <c r="C191" s="41">
        <v>45600.0</v>
      </c>
      <c r="D191" s="42" t="s">
        <v>95</v>
      </c>
      <c r="E191" s="42" t="s">
        <v>182</v>
      </c>
      <c r="F191" s="42" t="str">
        <f>+IFERROR(VLOOKUP(E191,'DANH MỤC'!$C:$H,2,0),"")</f>
        <v>Ống lõi giấy phi 120x7x71mm</v>
      </c>
      <c r="G191" s="42" t="str">
        <f>+IFERROR(VLOOKUP(E191,'DANH MỤC'!$C:$H,6,0),"")</f>
        <v>Cái</v>
      </c>
      <c r="H191" s="42">
        <f>+IFERROR(VLOOKUP(E191,'DANH MỤC'!$C:$H,3,0),"")</f>
        <v>120</v>
      </c>
      <c r="I191" s="42">
        <f>+IFERROR(VLOOKUP(E191,'DANH MỤC'!$C:$H,4,0),"")</f>
        <v>70</v>
      </c>
      <c r="J191" s="42">
        <f>+IFERROR(VLOOKUP(E191,'DANH MỤC'!$C:$H,5,0),"")</f>
        <v>71</v>
      </c>
      <c r="K191" s="53">
        <v>2000.0</v>
      </c>
      <c r="L191" s="58"/>
      <c r="M191" s="55"/>
      <c r="N191" s="55"/>
    </row>
    <row r="192" ht="15.75" customHeight="1">
      <c r="A192" s="53">
        <f t="shared" si="1"/>
        <v>187</v>
      </c>
      <c r="B192" s="55"/>
      <c r="C192" s="41">
        <v>45600.0</v>
      </c>
      <c r="D192" s="42" t="s">
        <v>95</v>
      </c>
      <c r="E192" s="42" t="s">
        <v>204</v>
      </c>
      <c r="F192" s="42" t="str">
        <f>+IFERROR(VLOOKUP(E192,'DANH MỤC'!$C:$H,2,0),"")</f>
        <v>Ống lõi giấy phi 120x7x98mm</v>
      </c>
      <c r="G192" s="42" t="str">
        <f>+IFERROR(VLOOKUP(E192,'DANH MỤC'!$C:$H,6,0),"")</f>
        <v>Cái</v>
      </c>
      <c r="H192" s="42">
        <f>+IFERROR(VLOOKUP(E192,'DANH MỤC'!$C:$H,3,0),"")</f>
        <v>120</v>
      </c>
      <c r="I192" s="42">
        <f>+IFERROR(VLOOKUP(E192,'DANH MỤC'!$C:$H,4,0),"")</f>
        <v>70</v>
      </c>
      <c r="J192" s="42">
        <f>+IFERROR(VLOOKUP(E192,'DANH MỤC'!$C:$H,5,0),"")</f>
        <v>98</v>
      </c>
      <c r="K192" s="53">
        <v>2000.0</v>
      </c>
      <c r="L192" s="58"/>
      <c r="M192" s="55"/>
      <c r="N192" s="55"/>
    </row>
    <row r="193" ht="15.75" customHeight="1">
      <c r="A193" s="53">
        <f t="shared" si="1"/>
        <v>188</v>
      </c>
      <c r="B193" s="55"/>
      <c r="C193" s="41">
        <v>45600.0</v>
      </c>
      <c r="D193" s="42" t="s">
        <v>95</v>
      </c>
      <c r="E193" s="42" t="s">
        <v>97</v>
      </c>
      <c r="F193" s="42" t="str">
        <f>+IFERROR(VLOOKUP(E193,'DANH MỤC'!$C:$H,2,0),"")</f>
        <v>Ống lõi giấy phi 120x7x1000mm</v>
      </c>
      <c r="G193" s="42" t="str">
        <f>+IFERROR(VLOOKUP(E193,'DANH MỤC'!$C:$H,6,0),"")</f>
        <v>Cái</v>
      </c>
      <c r="H193" s="42">
        <f>+IFERROR(VLOOKUP(E193,'DANH MỤC'!$C:$H,3,0),"")</f>
        <v>120</v>
      </c>
      <c r="I193" s="42">
        <f>+IFERROR(VLOOKUP(E193,'DANH MỤC'!$C:$H,4,0),"")</f>
        <v>70</v>
      </c>
      <c r="J193" s="42">
        <f>+IFERROR(VLOOKUP(E193,'DANH MỤC'!$C:$H,5,0),"")</f>
        <v>1000</v>
      </c>
      <c r="K193" s="53">
        <v>100.0</v>
      </c>
      <c r="L193" s="58"/>
      <c r="M193" s="55"/>
      <c r="N193" s="55"/>
    </row>
    <row r="194" ht="15.75" customHeight="1">
      <c r="A194" s="117">
        <f t="shared" si="1"/>
        <v>189</v>
      </c>
      <c r="B194" s="118"/>
      <c r="C194" s="119">
        <v>45602.0</v>
      </c>
      <c r="D194" s="120" t="s">
        <v>146</v>
      </c>
      <c r="E194" s="120" t="s">
        <v>81</v>
      </c>
      <c r="F194" s="120" t="str">
        <f>+IFERROR(VLOOKUP(E194,'DANH MỤC'!$C:$H,2,0),"")</f>
        <v>Lưỡi gà trắng 71mm x 800m x 210gsm</v>
      </c>
      <c r="G194" s="120" t="str">
        <f>+IFERROR(VLOOKUP(E194,'DANH MỤC'!$C:$H,6,0),"")</f>
        <v>Cuộn</v>
      </c>
      <c r="H194" s="120">
        <f>+IFERROR(VLOOKUP(E194,'DANH MỤC'!$C:$H,3,0),"")</f>
        <v>210</v>
      </c>
      <c r="I194" s="120">
        <f>+IFERROR(VLOOKUP(E194,'DANH MỤC'!$C:$H,4,0),"")</f>
        <v>71</v>
      </c>
      <c r="J194" s="120">
        <f>+IFERROR(VLOOKUP(E194,'DANH MỤC'!$C:$H,5,0),"")</f>
        <v>800</v>
      </c>
      <c r="K194" s="117"/>
      <c r="L194" s="121">
        <v>420.0</v>
      </c>
      <c r="M194" s="118"/>
      <c r="N194" s="118"/>
    </row>
    <row r="195" ht="15.75" customHeight="1">
      <c r="A195" s="117">
        <f t="shared" si="1"/>
        <v>190</v>
      </c>
      <c r="B195" s="118"/>
      <c r="C195" s="119">
        <v>45602.0</v>
      </c>
      <c r="D195" s="120" t="s">
        <v>146</v>
      </c>
      <c r="E195" s="120" t="s">
        <v>120</v>
      </c>
      <c r="F195" s="120" t="str">
        <f>+IFERROR(VLOOKUP(E195,'DANH MỤC'!$C:$H,2,0),"")</f>
        <v>Lưỡi gà trắng 98mm x 800m x 230gsm</v>
      </c>
      <c r="G195" s="120" t="str">
        <f>+IFERROR(VLOOKUP(E195,'DANH MỤC'!$C:$H,6,0),"")</f>
        <v>Cuộn</v>
      </c>
      <c r="H195" s="120">
        <f>+IFERROR(VLOOKUP(E195,'DANH MỤC'!$C:$H,3,0),"")</f>
        <v>230</v>
      </c>
      <c r="I195" s="120">
        <f>+IFERROR(VLOOKUP(E195,'DANH MỤC'!$C:$H,4,0),"")</f>
        <v>98</v>
      </c>
      <c r="J195" s="120">
        <f>+IFERROR(VLOOKUP(E195,'DANH MỤC'!$C:$H,5,0),"")</f>
        <v>800</v>
      </c>
      <c r="K195" s="117"/>
      <c r="L195" s="121">
        <v>120.0</v>
      </c>
      <c r="M195" s="118"/>
      <c r="N195" s="118"/>
    </row>
    <row r="196" ht="15.75" customHeight="1">
      <c r="A196" s="117">
        <f t="shared" si="1"/>
        <v>191</v>
      </c>
      <c r="B196" s="118"/>
      <c r="C196" s="119">
        <v>45602.0</v>
      </c>
      <c r="D196" s="120" t="s">
        <v>130</v>
      </c>
      <c r="E196" s="120" t="s">
        <v>123</v>
      </c>
      <c r="F196" s="120" t="str">
        <f>+IFERROR(VLOOKUP(E196,'DANH MỤC'!$C:$H,2,0),"")</f>
        <v>Lưỡi gà trắng 90mm x 800m x 250gsm</v>
      </c>
      <c r="G196" s="120" t="str">
        <f>+IFERROR(VLOOKUP(E196,'DANH MỤC'!$C:$H,6,0),"")</f>
        <v>Cuộn</v>
      </c>
      <c r="H196" s="120">
        <f>+IFERROR(VLOOKUP(E196,'DANH MỤC'!$C:$H,3,0),"")</f>
        <v>250</v>
      </c>
      <c r="I196" s="120">
        <f>+IFERROR(VLOOKUP(E196,'DANH MỤC'!$C:$H,4,0),"")</f>
        <v>90</v>
      </c>
      <c r="J196" s="120">
        <f>+IFERROR(VLOOKUP(E196,'DANH MỤC'!$C:$H,5,0),"")</f>
        <v>800</v>
      </c>
      <c r="K196" s="117"/>
      <c r="L196" s="121">
        <v>468.0</v>
      </c>
      <c r="M196" s="118" t="s">
        <v>131</v>
      </c>
      <c r="N196" s="118"/>
    </row>
    <row r="197" ht="15.75" customHeight="1">
      <c r="A197" s="117">
        <f t="shared" si="1"/>
        <v>192</v>
      </c>
      <c r="B197" s="118"/>
      <c r="C197" s="119">
        <v>45602.0</v>
      </c>
      <c r="D197" s="120" t="s">
        <v>130</v>
      </c>
      <c r="E197" s="120" t="s">
        <v>104</v>
      </c>
      <c r="F197" s="120" t="str">
        <f>+IFERROR(VLOOKUP(E197,'DANH MỤC'!$C:$H,2,0),"")</f>
        <v>Lưỡi gà trắng 95mm x 800m x 210gsm</v>
      </c>
      <c r="G197" s="120" t="str">
        <f>+IFERROR(VLOOKUP(E197,'DANH MỤC'!$C:$H,6,0),"")</f>
        <v>Cuộn</v>
      </c>
      <c r="H197" s="120">
        <f>+IFERROR(VLOOKUP(E197,'DANH MỤC'!$C:$H,3,0),"")</f>
        <v>210</v>
      </c>
      <c r="I197" s="120">
        <f>+IFERROR(VLOOKUP(E197,'DANH MỤC'!$C:$H,4,0),"")</f>
        <v>95</v>
      </c>
      <c r="J197" s="120">
        <f>+IFERROR(VLOOKUP(E197,'DANH MỤC'!$C:$H,5,0),"")</f>
        <v>800</v>
      </c>
      <c r="K197" s="117"/>
      <c r="L197" s="121">
        <v>260.0</v>
      </c>
      <c r="M197" s="118" t="s">
        <v>131</v>
      </c>
      <c r="N197" s="118"/>
    </row>
    <row r="198" ht="15.75" customHeight="1">
      <c r="A198" s="53">
        <f t="shared" si="1"/>
        <v>193</v>
      </c>
      <c r="B198" s="55"/>
      <c r="C198" s="41">
        <v>45603.0</v>
      </c>
      <c r="D198" s="42" t="s">
        <v>208</v>
      </c>
      <c r="E198" s="42" t="s">
        <v>104</v>
      </c>
      <c r="F198" s="42" t="str">
        <f>+IFERROR(VLOOKUP(E198,'DANH MỤC'!$C:$H,2,0),"")</f>
        <v>Lưỡi gà trắng 95mm x 800m x 210gsm</v>
      </c>
      <c r="G198" s="42" t="str">
        <f>+IFERROR(VLOOKUP(E198,'DANH MỤC'!$C:$H,6,0),"")</f>
        <v>Cuộn</v>
      </c>
      <c r="H198" s="42">
        <f>+IFERROR(VLOOKUP(E198,'DANH MỤC'!$C:$H,3,0),"")</f>
        <v>210</v>
      </c>
      <c r="I198" s="42">
        <f>+IFERROR(VLOOKUP(E198,'DANH MỤC'!$C:$H,4,0),"")</f>
        <v>95</v>
      </c>
      <c r="J198" s="42">
        <f>+IFERROR(VLOOKUP(E198,'DANH MỤC'!$C:$H,5,0),"")</f>
        <v>800</v>
      </c>
      <c r="K198" s="53">
        <v>319.0</v>
      </c>
      <c r="L198" s="58"/>
      <c r="M198" s="55"/>
      <c r="N198" s="55"/>
    </row>
    <row r="199" ht="15.75" customHeight="1">
      <c r="A199" s="53">
        <f t="shared" si="1"/>
        <v>194</v>
      </c>
      <c r="B199" s="55"/>
      <c r="C199" s="41">
        <v>45603.0</v>
      </c>
      <c r="D199" s="42" t="s">
        <v>208</v>
      </c>
      <c r="E199" s="42" t="s">
        <v>81</v>
      </c>
      <c r="F199" s="42" t="str">
        <f>+IFERROR(VLOOKUP(E199,'DANH MỤC'!$C:$H,2,0),"")</f>
        <v>Lưỡi gà trắng 71mm x 800m x 210gsm</v>
      </c>
      <c r="G199" s="42" t="str">
        <f>+IFERROR(VLOOKUP(E199,'DANH MỤC'!$C:$H,6,0),"")</f>
        <v>Cuộn</v>
      </c>
      <c r="H199" s="42">
        <f>+IFERROR(VLOOKUP(E199,'DANH MỤC'!$C:$H,3,0),"")</f>
        <v>210</v>
      </c>
      <c r="I199" s="42">
        <f>+IFERROR(VLOOKUP(E199,'DANH MỤC'!$C:$H,4,0),"")</f>
        <v>71</v>
      </c>
      <c r="J199" s="42">
        <f>+IFERROR(VLOOKUP(E199,'DANH MỤC'!$C:$H,5,0),"")</f>
        <v>800</v>
      </c>
      <c r="K199" s="53">
        <v>77.0</v>
      </c>
      <c r="L199" s="58"/>
      <c r="M199" s="55"/>
      <c r="N199" s="55"/>
    </row>
    <row r="200" ht="15.75" customHeight="1">
      <c r="A200" s="53">
        <f t="shared" si="1"/>
        <v>195</v>
      </c>
      <c r="B200" s="55"/>
      <c r="C200" s="41">
        <v>45603.0</v>
      </c>
      <c r="D200" s="42" t="s">
        <v>208</v>
      </c>
      <c r="E200" s="42" t="s">
        <v>89</v>
      </c>
      <c r="F200" s="42" t="str">
        <f>+IFERROR(VLOOKUP(E200,'DANH MỤC'!$C:$H,2,0),"")</f>
        <v>Lưỡi gà trắng 83mm x 800m x 210gsm</v>
      </c>
      <c r="G200" s="42" t="str">
        <f>+IFERROR(VLOOKUP(E200,'DANH MỤC'!$C:$H,6,0),"")</f>
        <v>Cuộn</v>
      </c>
      <c r="H200" s="42">
        <f>+IFERROR(VLOOKUP(E200,'DANH MỤC'!$C:$H,3,0),"")</f>
        <v>210</v>
      </c>
      <c r="I200" s="42">
        <f>+IFERROR(VLOOKUP(E200,'DANH MỤC'!$C:$H,4,0),"")</f>
        <v>83</v>
      </c>
      <c r="J200" s="42">
        <f>+IFERROR(VLOOKUP(E200,'DANH MỤC'!$C:$H,5,0),"")</f>
        <v>800</v>
      </c>
      <c r="K200" s="53">
        <v>34.0</v>
      </c>
      <c r="L200" s="58"/>
      <c r="M200" s="55"/>
      <c r="N200" s="55"/>
    </row>
    <row r="201" ht="15.75" customHeight="1">
      <c r="A201" s="53">
        <f t="shared" si="1"/>
        <v>196</v>
      </c>
      <c r="B201" s="55" t="s">
        <v>210</v>
      </c>
      <c r="C201" s="41">
        <v>45603.0</v>
      </c>
      <c r="D201" s="42" t="s">
        <v>211</v>
      </c>
      <c r="E201" s="42" t="s">
        <v>86</v>
      </c>
      <c r="F201" s="42" t="str">
        <f>+IFERROR(VLOOKUP(E201,'DANH MỤC'!$C:$H,2,0),"")</f>
        <v>Ivory IPSUN</v>
      </c>
      <c r="G201" s="42" t="str">
        <f>+IFERROR(VLOOKUP(E201,'DANH MỤC'!$C:$H,6,0),"")</f>
        <v>Kg</v>
      </c>
      <c r="H201" s="42">
        <f>+IFERROR(VLOOKUP(E201,'DANH MỤC'!$C:$H,3,0),"")</f>
        <v>230</v>
      </c>
      <c r="I201" s="42">
        <f>+IFERROR(VLOOKUP(E201,'DANH MỤC'!$C:$H,4,0),"")</f>
        <v>109</v>
      </c>
      <c r="J201" s="42" t="str">
        <f>+IFERROR(VLOOKUP(E201,'DANH MỤC'!$C:$H,5,0),"")</f>
        <v/>
      </c>
      <c r="K201" s="53"/>
      <c r="L201" s="58">
        <f>5567</f>
        <v>5567</v>
      </c>
      <c r="M201" s="55"/>
      <c r="N201" s="55"/>
    </row>
    <row r="202" ht="15.75" customHeight="1">
      <c r="A202" s="53">
        <f t="shared" si="1"/>
        <v>197</v>
      </c>
      <c r="B202" s="55" t="s">
        <v>210</v>
      </c>
      <c r="C202" s="41">
        <v>45603.0</v>
      </c>
      <c r="D202" s="42" t="s">
        <v>211</v>
      </c>
      <c r="E202" s="42" t="s">
        <v>189</v>
      </c>
      <c r="F202" s="42" t="str">
        <f>+IFERROR(VLOOKUP(E202,'DANH MỤC'!$C:$H,2,0),"")</f>
        <v>Ivory Ningbo</v>
      </c>
      <c r="G202" s="42" t="str">
        <f>+IFERROR(VLOOKUP(E202,'DANH MỤC'!$C:$H,6,0),"")</f>
        <v>Kg</v>
      </c>
      <c r="H202" s="42">
        <f>+IFERROR(VLOOKUP(E202,'DANH MỤC'!$C:$H,3,0),"")</f>
        <v>230</v>
      </c>
      <c r="I202" s="42">
        <f>+IFERROR(VLOOKUP(E202,'DANH MỤC'!$C:$H,4,0),"")</f>
        <v>109</v>
      </c>
      <c r="J202" s="42" t="str">
        <f>+IFERROR(VLOOKUP(E202,'DANH MỤC'!$C:$H,5,0),"")</f>
        <v/>
      </c>
      <c r="K202" s="53"/>
      <c r="L202" s="58">
        <f>990-100</f>
        <v>890</v>
      </c>
      <c r="M202" s="55"/>
      <c r="N202" s="55"/>
    </row>
    <row r="203" ht="15.75" customHeight="1">
      <c r="A203" s="53">
        <f t="shared" si="1"/>
        <v>198</v>
      </c>
      <c r="B203" s="55"/>
      <c r="C203" s="41">
        <v>45603.0</v>
      </c>
      <c r="D203" s="42" t="s">
        <v>125</v>
      </c>
      <c r="E203" s="42" t="s">
        <v>127</v>
      </c>
      <c r="F203" s="42" t="str">
        <f>+IFERROR(VLOOKUP(E203,'DANH MỤC'!$C:$H,2,0),"")</f>
        <v>Pallet gỗ 1100x1100x130mm</v>
      </c>
      <c r="G203" s="42" t="str">
        <f>+IFERROR(VLOOKUP(E203,'DANH MỤC'!$C:$H,6,0),"")</f>
        <v>Bộ</v>
      </c>
      <c r="H203" s="42">
        <f>+IFERROR(VLOOKUP(E203,'DANH MỤC'!$C:$H,3,0),"")</f>
        <v>1100</v>
      </c>
      <c r="I203" s="42">
        <f>+IFERROR(VLOOKUP(E203,'DANH MỤC'!$C:$H,4,0),"")</f>
        <v>1100</v>
      </c>
      <c r="J203" s="42">
        <f>+IFERROR(VLOOKUP(E203,'DANH MỤC'!$C:$H,5,0),"")</f>
        <v>130</v>
      </c>
      <c r="K203" s="53"/>
      <c r="L203" s="58">
        <v>6.0</v>
      </c>
      <c r="M203" s="55"/>
      <c r="N203" s="55"/>
    </row>
    <row r="204" ht="15.75" customHeight="1">
      <c r="A204" s="53">
        <f t="shared" si="1"/>
        <v>199</v>
      </c>
      <c r="B204" s="55"/>
      <c r="C204" s="41">
        <v>45603.0</v>
      </c>
      <c r="D204" s="42" t="s">
        <v>125</v>
      </c>
      <c r="E204" s="42" t="s">
        <v>115</v>
      </c>
      <c r="F204" s="42" t="str">
        <f>+IFERROR(VLOOKUP(E204,'DANH MỤC'!$C:$H,2,0),"")</f>
        <v>Màng Strecth Film 5.0-0.6kg</v>
      </c>
      <c r="G204" s="42" t="str">
        <f>+IFERROR(VLOOKUP(E204,'DANH MỤC'!$C:$H,6,0),"")</f>
        <v>Kg</v>
      </c>
      <c r="H204" s="42" t="str">
        <f>+IFERROR(VLOOKUP(E204,'DANH MỤC'!$C:$H,3,0),"")</f>
        <v/>
      </c>
      <c r="I204" s="42" t="str">
        <f>+IFERROR(VLOOKUP(E204,'DANH MỤC'!$C:$H,4,0),"")</f>
        <v/>
      </c>
      <c r="J204" s="42" t="str">
        <f>+IFERROR(VLOOKUP(E204,'DANH MỤC'!$C:$H,5,0),"")</f>
        <v/>
      </c>
      <c r="K204" s="53"/>
      <c r="L204" s="58">
        <v>4.04</v>
      </c>
      <c r="M204" s="55"/>
      <c r="N204" s="55"/>
    </row>
    <row r="205" ht="15.75" customHeight="1">
      <c r="A205" s="53">
        <f t="shared" si="1"/>
        <v>200</v>
      </c>
      <c r="B205" s="55"/>
      <c r="C205" s="41">
        <v>45603.0</v>
      </c>
      <c r="D205" s="42" t="s">
        <v>125</v>
      </c>
      <c r="E205" s="42" t="s">
        <v>112</v>
      </c>
      <c r="F205" s="42" t="str">
        <f>+IFERROR(VLOOKUP(E205,'DANH MỤC'!$C:$H,2,0),"")</f>
        <v>Dây đai PET xanh (B)</v>
      </c>
      <c r="G205" s="42" t="str">
        <f>+IFERROR(VLOOKUP(E205,'DANH MỤC'!$C:$H,6,0),"")</f>
        <v>Kg</v>
      </c>
      <c r="H205" s="42" t="str">
        <f>+IFERROR(VLOOKUP(E205,'DANH MỤC'!$C:$H,3,0),"")</f>
        <v/>
      </c>
      <c r="I205" s="42" t="str">
        <f>+IFERROR(VLOOKUP(E205,'DANH MỤC'!$C:$H,4,0),"")</f>
        <v/>
      </c>
      <c r="J205" s="42" t="str">
        <f>+IFERROR(VLOOKUP(E205,'DANH MỤC'!$C:$H,5,0),"")</f>
        <v/>
      </c>
      <c r="K205" s="53"/>
      <c r="L205" s="58">
        <v>6.83</v>
      </c>
      <c r="M205" s="55"/>
      <c r="N205" s="55"/>
    </row>
    <row r="206" ht="15.75" customHeight="1">
      <c r="A206" s="53">
        <f t="shared" si="1"/>
        <v>201</v>
      </c>
      <c r="B206" s="55"/>
      <c r="C206" s="41">
        <v>45603.0</v>
      </c>
      <c r="D206" s="42" t="s">
        <v>125</v>
      </c>
      <c r="E206" s="42" t="s">
        <v>96</v>
      </c>
      <c r="F206" s="42" t="str">
        <f>+IFERROR(VLOOKUP(E206,'DANH MỤC'!$C:$H,2,0),"")</f>
        <v>Giấy bao gói lưỡi gà</v>
      </c>
      <c r="G206" s="42" t="str">
        <f>+IFERROR(VLOOKUP(E206,'DANH MỤC'!$C:$H,6,0),"")</f>
        <v>Kg</v>
      </c>
      <c r="H206" s="42" t="str">
        <f>+IFERROR(VLOOKUP(E206,'DANH MỤC'!$C:$H,3,0),"")</f>
        <v/>
      </c>
      <c r="I206" s="42" t="str">
        <f>+IFERROR(VLOOKUP(E206,'DANH MỤC'!$C:$H,4,0),"")</f>
        <v/>
      </c>
      <c r="J206" s="42" t="str">
        <f>+IFERROR(VLOOKUP(E206,'DANH MỤC'!$C:$H,5,0),"")</f>
        <v/>
      </c>
      <c r="K206" s="53"/>
      <c r="L206" s="58">
        <v>9.48</v>
      </c>
      <c r="M206" s="55"/>
      <c r="N206" s="55"/>
    </row>
    <row r="207" ht="15.75" customHeight="1">
      <c r="A207" s="53">
        <f t="shared" si="1"/>
        <v>202</v>
      </c>
      <c r="B207" s="55"/>
      <c r="C207" s="41">
        <v>45603.0</v>
      </c>
      <c r="D207" s="42" t="s">
        <v>125</v>
      </c>
      <c r="E207" s="42" t="s">
        <v>204</v>
      </c>
      <c r="F207" s="42" t="str">
        <f>+IFERROR(VLOOKUP(E207,'DANH MỤC'!$C:$H,2,0),"")</f>
        <v>Ống lõi giấy phi 120x7x98mm</v>
      </c>
      <c r="G207" s="42" t="str">
        <f>+IFERROR(VLOOKUP(E207,'DANH MỤC'!$C:$H,6,0),"")</f>
        <v>Cái</v>
      </c>
      <c r="H207" s="42">
        <f>+IFERROR(VLOOKUP(E207,'DANH MỤC'!$C:$H,3,0),"")</f>
        <v>120</v>
      </c>
      <c r="I207" s="42">
        <f>+IFERROR(VLOOKUP(E207,'DANH MỤC'!$C:$H,4,0),"")</f>
        <v>70</v>
      </c>
      <c r="J207" s="42">
        <f>+IFERROR(VLOOKUP(E207,'DANH MỤC'!$C:$H,5,0),"")</f>
        <v>98</v>
      </c>
      <c r="K207" s="53"/>
      <c r="L207" s="58">
        <v>255.0</v>
      </c>
      <c r="M207" s="55"/>
      <c r="N207" s="55"/>
    </row>
    <row r="208" ht="15.75" customHeight="1">
      <c r="A208" s="53">
        <f t="shared" si="1"/>
        <v>203</v>
      </c>
      <c r="B208" s="55"/>
      <c r="C208" s="41">
        <v>45607.0</v>
      </c>
      <c r="D208" s="42" t="s">
        <v>215</v>
      </c>
      <c r="E208" s="42" t="s">
        <v>104</v>
      </c>
      <c r="F208" s="42" t="str">
        <f>+IFERROR(VLOOKUP(E208,'DANH MỤC'!$C:$H,2,0),"")</f>
        <v>Lưỡi gà trắng 95mm x 800m x 210gsm</v>
      </c>
      <c r="G208" s="42" t="str">
        <f>+IFERROR(VLOOKUP(E208,'DANH MỤC'!$C:$H,6,0),"")</f>
        <v>Cuộn</v>
      </c>
      <c r="H208" s="42">
        <f>+IFERROR(VLOOKUP(E208,'DANH MỤC'!$C:$H,3,0),"")</f>
        <v>210</v>
      </c>
      <c r="I208" s="42">
        <f>+IFERROR(VLOOKUP(E208,'DANH MỤC'!$C:$H,4,0),"")</f>
        <v>95</v>
      </c>
      <c r="J208" s="42">
        <f>+IFERROR(VLOOKUP(E208,'DANH MỤC'!$C:$H,5,0),"")</f>
        <v>800</v>
      </c>
      <c r="K208" s="53"/>
      <c r="L208" s="58">
        <v>1.0</v>
      </c>
      <c r="M208" s="55"/>
      <c r="N208" s="55"/>
    </row>
    <row r="209" ht="15.75" customHeight="1">
      <c r="A209" s="53">
        <f t="shared" si="1"/>
        <v>204</v>
      </c>
      <c r="B209" s="55" t="s">
        <v>216</v>
      </c>
      <c r="C209" s="41">
        <v>45608.0</v>
      </c>
      <c r="D209" s="42" t="s">
        <v>217</v>
      </c>
      <c r="E209" s="42" t="s">
        <v>79</v>
      </c>
      <c r="F209" s="42" t="str">
        <f>+IFERROR(VLOOKUP(E209,'DANH MỤC'!$C:$H,2,0),"")</f>
        <v>Ivory IPSUN</v>
      </c>
      <c r="G209" s="42" t="str">
        <f>+IFERROR(VLOOKUP(E209,'DANH MỤC'!$C:$H,6,0),"")</f>
        <v>Kg</v>
      </c>
      <c r="H209" s="42">
        <f>+IFERROR(VLOOKUP(E209,'DANH MỤC'!$C:$H,3,0),"")</f>
        <v>210</v>
      </c>
      <c r="I209" s="42">
        <f>+IFERROR(VLOOKUP(E209,'DANH MỤC'!$C:$H,4,0),"")</f>
        <v>109</v>
      </c>
      <c r="J209" s="42" t="str">
        <f>+IFERROR(VLOOKUP(E209,'DANH MỤC'!$C:$H,5,0),"")</f>
        <v/>
      </c>
      <c r="K209" s="53"/>
      <c r="L209" s="58">
        <v>248.0</v>
      </c>
      <c r="M209" s="55"/>
      <c r="N209" s="55"/>
    </row>
    <row r="210" ht="15.75" customHeight="1">
      <c r="A210" s="53">
        <f t="shared" si="1"/>
        <v>205</v>
      </c>
      <c r="B210" s="55" t="s">
        <v>216</v>
      </c>
      <c r="C210" s="41">
        <v>45608.0</v>
      </c>
      <c r="D210" s="42" t="s">
        <v>217</v>
      </c>
      <c r="E210" s="42" t="s">
        <v>47</v>
      </c>
      <c r="F210" s="42" t="str">
        <f>+IFERROR(VLOOKUP(E210,'DANH MỤC'!$C:$H,2,0),"")</f>
        <v>Ivory Ningbo</v>
      </c>
      <c r="G210" s="42" t="str">
        <f>+IFERROR(VLOOKUP(E210,'DANH MỤC'!$C:$H,6,0),"")</f>
        <v>Kg</v>
      </c>
      <c r="H210" s="42">
        <f>+IFERROR(VLOOKUP(E210,'DANH MỤC'!$C:$H,3,0),"")</f>
        <v>210</v>
      </c>
      <c r="I210" s="42">
        <f>+IFERROR(VLOOKUP(E210,'DANH MỤC'!$C:$H,4,0),"")</f>
        <v>109</v>
      </c>
      <c r="J210" s="42" t="str">
        <f>+IFERROR(VLOOKUP(E210,'DANH MỤC'!$C:$H,5,0),"")</f>
        <v/>
      </c>
      <c r="K210" s="53"/>
      <c r="L210" s="58">
        <v>12710.0</v>
      </c>
      <c r="M210" s="55"/>
      <c r="N210" s="55"/>
    </row>
    <row r="211" ht="15.75" customHeight="1">
      <c r="A211" s="53">
        <f t="shared" si="1"/>
        <v>206</v>
      </c>
      <c r="B211" s="55"/>
      <c r="C211" s="41">
        <v>45609.0</v>
      </c>
      <c r="D211" s="42" t="s">
        <v>220</v>
      </c>
      <c r="E211" s="42" t="s">
        <v>120</v>
      </c>
      <c r="F211" s="42" t="str">
        <f>+IFERROR(VLOOKUP(E211,'DANH MỤC'!$C:$H,2,0),"")</f>
        <v>Lưỡi gà trắng 98mm x 800m x 230gsm</v>
      </c>
      <c r="G211" s="42" t="str">
        <f>+IFERROR(VLOOKUP(E211,'DANH MỤC'!$C:$H,6,0),"")</f>
        <v>Cuộn</v>
      </c>
      <c r="H211" s="42">
        <f>+IFERROR(VLOOKUP(E211,'DANH MỤC'!$C:$H,3,0),"")</f>
        <v>230</v>
      </c>
      <c r="I211" s="42">
        <f>+IFERROR(VLOOKUP(E211,'DANH MỤC'!$C:$H,4,0),"")</f>
        <v>98</v>
      </c>
      <c r="J211" s="42">
        <f>+IFERROR(VLOOKUP(E211,'DANH MỤC'!$C:$H,5,0),"")</f>
        <v>800</v>
      </c>
      <c r="K211" s="53">
        <v>347.0</v>
      </c>
      <c r="L211" s="58"/>
      <c r="M211" s="55"/>
      <c r="N211" s="55"/>
    </row>
    <row r="212" ht="15.75" customHeight="1">
      <c r="A212" s="53">
        <f t="shared" si="1"/>
        <v>207</v>
      </c>
      <c r="B212" s="55"/>
      <c r="C212" s="41">
        <v>45609.0</v>
      </c>
      <c r="D212" s="42" t="s">
        <v>221</v>
      </c>
      <c r="E212" s="42" t="s">
        <v>89</v>
      </c>
      <c r="F212" s="42" t="str">
        <f>+IFERROR(VLOOKUP(E212,'DANH MỤC'!$C:$H,2,0),"")</f>
        <v>Lưỡi gà trắng 83mm x 800m x 210gsm</v>
      </c>
      <c r="G212" s="42" t="str">
        <f>+IFERROR(VLOOKUP(E212,'DANH MỤC'!$C:$H,6,0),"")</f>
        <v>Cuộn</v>
      </c>
      <c r="H212" s="42">
        <f>+IFERROR(VLOOKUP(E212,'DANH MỤC'!$C:$H,3,0),"")</f>
        <v>210</v>
      </c>
      <c r="I212" s="42">
        <f>+IFERROR(VLOOKUP(E212,'DANH MỤC'!$C:$H,4,0),"")</f>
        <v>83</v>
      </c>
      <c r="J212" s="42">
        <f>+IFERROR(VLOOKUP(E212,'DANH MỤC'!$C:$H,5,0),"")</f>
        <v>800</v>
      </c>
      <c r="K212" s="53">
        <v>133.0</v>
      </c>
      <c r="L212" s="58"/>
      <c r="M212" s="55"/>
      <c r="N212" s="55"/>
    </row>
    <row r="213" ht="15.75" customHeight="1">
      <c r="A213" s="53">
        <f t="shared" si="1"/>
        <v>208</v>
      </c>
      <c r="B213" s="55"/>
      <c r="C213" s="41">
        <v>45609.0</v>
      </c>
      <c r="D213" s="42" t="s">
        <v>221</v>
      </c>
      <c r="E213" s="42" t="s">
        <v>104</v>
      </c>
      <c r="F213" s="42" t="str">
        <f>+IFERROR(VLOOKUP(E213,'DANH MỤC'!$C:$H,2,0),"")</f>
        <v>Lưỡi gà trắng 95mm x 800m x 210gsm</v>
      </c>
      <c r="G213" s="42" t="str">
        <f>+IFERROR(VLOOKUP(E213,'DANH MỤC'!$C:$H,6,0),"")</f>
        <v>Cuộn</v>
      </c>
      <c r="H213" s="42">
        <f>+IFERROR(VLOOKUP(E213,'DANH MỤC'!$C:$H,3,0),"")</f>
        <v>210</v>
      </c>
      <c r="I213" s="42">
        <f>+IFERROR(VLOOKUP(E213,'DANH MỤC'!$C:$H,4,0),"")</f>
        <v>95</v>
      </c>
      <c r="J213" s="42">
        <f>+IFERROR(VLOOKUP(E213,'DANH MỤC'!$C:$H,5,0),"")</f>
        <v>800</v>
      </c>
      <c r="K213" s="53">
        <v>12.0</v>
      </c>
      <c r="L213" s="58"/>
      <c r="M213" s="55"/>
      <c r="N213" s="55"/>
    </row>
    <row r="214" ht="15.75" customHeight="1">
      <c r="A214" s="117">
        <f t="shared" si="1"/>
        <v>209</v>
      </c>
      <c r="B214" s="118"/>
      <c r="C214" s="119">
        <v>45610.0</v>
      </c>
      <c r="D214" s="120" t="s">
        <v>146</v>
      </c>
      <c r="E214" s="120" t="s">
        <v>89</v>
      </c>
      <c r="F214" s="120" t="str">
        <f>+IFERROR(VLOOKUP(E214,'DANH MỤC'!$C:$H,2,0),"")</f>
        <v>Lưỡi gà trắng 83mm x 800m x 210gsm</v>
      </c>
      <c r="G214" s="120" t="str">
        <f>+IFERROR(VLOOKUP(E214,'DANH MỤC'!$C:$H,6,0),"")</f>
        <v>Cuộn</v>
      </c>
      <c r="H214" s="120">
        <f>+IFERROR(VLOOKUP(E214,'DANH MỤC'!$C:$H,3,0),"")</f>
        <v>210</v>
      </c>
      <c r="I214" s="120">
        <f>+IFERROR(VLOOKUP(E214,'DANH MỤC'!$C:$H,4,0),"")</f>
        <v>83</v>
      </c>
      <c r="J214" s="120">
        <f>+IFERROR(VLOOKUP(E214,'DANH MỤC'!$C:$H,5,0),"")</f>
        <v>800</v>
      </c>
      <c r="K214" s="117"/>
      <c r="L214" s="121">
        <v>180.0</v>
      </c>
      <c r="M214" s="118"/>
      <c r="N214" s="118"/>
    </row>
    <row r="215" ht="15.75" customHeight="1">
      <c r="A215" s="117">
        <f t="shared" si="1"/>
        <v>210</v>
      </c>
      <c r="B215" s="118"/>
      <c r="C215" s="119">
        <v>45610.0</v>
      </c>
      <c r="D215" s="120" t="s">
        <v>146</v>
      </c>
      <c r="E215" s="120" t="s">
        <v>120</v>
      </c>
      <c r="F215" s="120" t="str">
        <f>+IFERROR(VLOOKUP(E215,'DANH MỤC'!$C:$H,2,0),"")</f>
        <v>Lưỡi gà trắng 98mm x 800m x 230gsm</v>
      </c>
      <c r="G215" s="120" t="str">
        <f>+IFERROR(VLOOKUP(E215,'DANH MỤC'!$C:$H,6,0),"")</f>
        <v>Cuộn</v>
      </c>
      <c r="H215" s="120">
        <f>+IFERROR(VLOOKUP(E215,'DANH MỤC'!$C:$H,3,0),"")</f>
        <v>230</v>
      </c>
      <c r="I215" s="120">
        <f>+IFERROR(VLOOKUP(E215,'DANH MỤC'!$C:$H,4,0),"")</f>
        <v>98</v>
      </c>
      <c r="J215" s="120">
        <f>+IFERROR(VLOOKUP(E215,'DANH MỤC'!$C:$H,5,0),"")</f>
        <v>800</v>
      </c>
      <c r="K215" s="117"/>
      <c r="L215" s="121">
        <v>240.0</v>
      </c>
      <c r="M215" s="118"/>
      <c r="N215" s="118"/>
    </row>
    <row r="216" ht="15.75" customHeight="1">
      <c r="A216" s="117">
        <f t="shared" si="1"/>
        <v>211</v>
      </c>
      <c r="B216" s="118"/>
      <c r="C216" s="119">
        <v>45610.0</v>
      </c>
      <c r="D216" s="120" t="s">
        <v>146</v>
      </c>
      <c r="E216" s="120" t="s">
        <v>104</v>
      </c>
      <c r="F216" s="120" t="str">
        <f>+IFERROR(VLOOKUP(E216,'DANH MỤC'!$C:$H,2,0),"")</f>
        <v>Lưỡi gà trắng 95mm x 800m x 210gsm</v>
      </c>
      <c r="G216" s="120" t="str">
        <f>+IFERROR(VLOOKUP(E216,'DANH MỤC'!$C:$H,6,0),"")</f>
        <v>Cuộn</v>
      </c>
      <c r="H216" s="120">
        <f>+IFERROR(VLOOKUP(E216,'DANH MỤC'!$C:$H,3,0),"")</f>
        <v>210</v>
      </c>
      <c r="I216" s="120">
        <f>+IFERROR(VLOOKUP(E216,'DANH MỤC'!$C:$H,4,0),"")</f>
        <v>95</v>
      </c>
      <c r="J216" s="120">
        <f>+IFERROR(VLOOKUP(E216,'DANH MỤC'!$C:$H,5,0),"")</f>
        <v>800</v>
      </c>
      <c r="K216" s="117"/>
      <c r="L216" s="121">
        <v>60.0</v>
      </c>
      <c r="M216" s="118"/>
      <c r="N216" s="118"/>
    </row>
    <row r="217" ht="15.75" customHeight="1">
      <c r="A217" s="53">
        <f t="shared" si="1"/>
        <v>212</v>
      </c>
      <c r="B217" s="55"/>
      <c r="C217" s="41">
        <v>45612.0</v>
      </c>
      <c r="D217" s="42" t="s">
        <v>221</v>
      </c>
      <c r="E217" s="42" t="s">
        <v>81</v>
      </c>
      <c r="F217" s="42" t="str">
        <f>+IFERROR(VLOOKUP(E217,'DANH MỤC'!$C:$H,2,0),"")</f>
        <v>Lưỡi gà trắng 71mm x 800m x 210gsm</v>
      </c>
      <c r="G217" s="42" t="str">
        <f>+IFERROR(VLOOKUP(E217,'DANH MỤC'!$C:$H,6,0),"")</f>
        <v>Cuộn</v>
      </c>
      <c r="H217" s="42">
        <f>+IFERROR(VLOOKUP(E217,'DANH MỤC'!$C:$H,3,0),"")</f>
        <v>210</v>
      </c>
      <c r="I217" s="42">
        <f>+IFERROR(VLOOKUP(E217,'DANH MỤC'!$C:$H,4,0),"")</f>
        <v>71</v>
      </c>
      <c r="J217" s="42">
        <f>+IFERROR(VLOOKUP(E217,'DANH MỤC'!$C:$H,5,0),"")</f>
        <v>800</v>
      </c>
      <c r="K217" s="53">
        <v>331.0</v>
      </c>
      <c r="L217" s="58"/>
      <c r="M217" s="55"/>
      <c r="N217" s="55"/>
    </row>
    <row r="218" ht="15.75" customHeight="1">
      <c r="A218" s="53">
        <f t="shared" si="1"/>
        <v>213</v>
      </c>
      <c r="B218" s="55"/>
      <c r="C218" s="41">
        <v>45612.0</v>
      </c>
      <c r="D218" s="42" t="s">
        <v>220</v>
      </c>
      <c r="E218" s="42" t="s">
        <v>120</v>
      </c>
      <c r="F218" s="42" t="str">
        <f>+IFERROR(VLOOKUP(E218,'DANH MỤC'!$C:$H,2,0),"")</f>
        <v>Lưỡi gà trắng 98mm x 800m x 230gsm</v>
      </c>
      <c r="G218" s="42" t="str">
        <f>+IFERROR(VLOOKUP(E218,'DANH MỤC'!$C:$H,6,0),"")</f>
        <v>Cuộn</v>
      </c>
      <c r="H218" s="42">
        <f>+IFERROR(VLOOKUP(E218,'DANH MỤC'!$C:$H,3,0),"")</f>
        <v>230</v>
      </c>
      <c r="I218" s="42">
        <f>+IFERROR(VLOOKUP(E218,'DANH MỤC'!$C:$H,4,0),"")</f>
        <v>98</v>
      </c>
      <c r="J218" s="42">
        <f>+IFERROR(VLOOKUP(E218,'DANH MỤC'!$C:$H,5,0),"")</f>
        <v>800</v>
      </c>
      <c r="K218" s="53">
        <v>4.0</v>
      </c>
      <c r="L218" s="58"/>
      <c r="M218" s="55"/>
      <c r="N218" s="55"/>
    </row>
    <row r="219" ht="15.75" customHeight="1">
      <c r="A219" s="117">
        <f t="shared" si="1"/>
        <v>214</v>
      </c>
      <c r="B219" s="118"/>
      <c r="C219" s="119">
        <v>45612.0</v>
      </c>
      <c r="D219" s="120" t="s">
        <v>146</v>
      </c>
      <c r="E219" s="120" t="s">
        <v>81</v>
      </c>
      <c r="F219" s="120" t="str">
        <f>+IFERROR(VLOOKUP(E219,'DANH MỤC'!$C:$H,2,0),"")</f>
        <v>Lưỡi gà trắng 71mm x 800m x 210gsm</v>
      </c>
      <c r="G219" s="120" t="str">
        <f>+IFERROR(VLOOKUP(E219,'DANH MỤC'!$C:$H,6,0),"")</f>
        <v>Cuộn</v>
      </c>
      <c r="H219" s="120">
        <f>+IFERROR(VLOOKUP(E219,'DANH MỤC'!$C:$H,3,0),"")</f>
        <v>210</v>
      </c>
      <c r="I219" s="120">
        <f>+IFERROR(VLOOKUP(E219,'DANH MỤC'!$C:$H,4,0),"")</f>
        <v>71</v>
      </c>
      <c r="J219" s="120">
        <f>+IFERROR(VLOOKUP(E219,'DANH MỤC'!$C:$H,5,0),"")</f>
        <v>800</v>
      </c>
      <c r="K219" s="117"/>
      <c r="L219" s="121">
        <v>420.0</v>
      </c>
      <c r="M219" s="118"/>
      <c r="N219" s="118"/>
    </row>
    <row r="220" ht="15.75" customHeight="1">
      <c r="A220" s="117">
        <f t="shared" si="1"/>
        <v>215</v>
      </c>
      <c r="B220" s="118"/>
      <c r="C220" s="119">
        <v>45612.0</v>
      </c>
      <c r="D220" s="120" t="s">
        <v>146</v>
      </c>
      <c r="E220" s="120" t="s">
        <v>120</v>
      </c>
      <c r="F220" s="120" t="str">
        <f>+IFERROR(VLOOKUP(E220,'DANH MỤC'!$C:$H,2,0),"")</f>
        <v>Lưỡi gà trắng 98mm x 800m x 230gsm</v>
      </c>
      <c r="G220" s="120" t="str">
        <f>+IFERROR(VLOOKUP(E220,'DANH MỤC'!$C:$H,6,0),"")</f>
        <v>Cuộn</v>
      </c>
      <c r="H220" s="120">
        <f>+IFERROR(VLOOKUP(E220,'DANH MỤC'!$C:$H,3,0),"")</f>
        <v>230</v>
      </c>
      <c r="I220" s="120">
        <f>+IFERROR(VLOOKUP(E220,'DANH MỤC'!$C:$H,4,0),"")</f>
        <v>98</v>
      </c>
      <c r="J220" s="120">
        <f>+IFERROR(VLOOKUP(E220,'DANH MỤC'!$C:$H,5,0),"")</f>
        <v>800</v>
      </c>
      <c r="K220" s="117"/>
      <c r="L220" s="121">
        <v>120.0</v>
      </c>
      <c r="M220" s="118"/>
      <c r="N220" s="118"/>
    </row>
    <row r="221" ht="15.75" customHeight="1">
      <c r="A221" s="53">
        <f t="shared" si="1"/>
        <v>216</v>
      </c>
      <c r="B221" s="55"/>
      <c r="C221" s="41">
        <v>45616.0</v>
      </c>
      <c r="D221" s="42" t="s">
        <v>95</v>
      </c>
      <c r="E221" s="42" t="s">
        <v>96</v>
      </c>
      <c r="F221" s="42" t="str">
        <f>+IFERROR(VLOOKUP(E221,'DANH MỤC'!$C:$H,2,0),"")</f>
        <v>Giấy bao gói lưỡi gà</v>
      </c>
      <c r="G221" s="42" t="str">
        <f>+IFERROR(VLOOKUP(E221,'DANH MỤC'!$C:$H,6,0),"")</f>
        <v>Kg</v>
      </c>
      <c r="H221" s="42" t="str">
        <f>+IFERROR(VLOOKUP(E221,'DANH MỤC'!$C:$H,3,0),"")</f>
        <v/>
      </c>
      <c r="I221" s="42" t="str">
        <f>+IFERROR(VLOOKUP(E221,'DANH MỤC'!$C:$H,4,0),"")</f>
        <v/>
      </c>
      <c r="J221" s="42" t="str">
        <f>+IFERROR(VLOOKUP(E221,'DANH MỤC'!$C:$H,5,0),"")</f>
        <v/>
      </c>
      <c r="K221" s="53">
        <v>69.0</v>
      </c>
      <c r="L221" s="58"/>
      <c r="M221" s="55"/>
      <c r="N221" s="55"/>
    </row>
    <row r="222" ht="15.75" customHeight="1">
      <c r="A222" s="53">
        <f t="shared" si="1"/>
        <v>217</v>
      </c>
      <c r="B222" s="55" t="s">
        <v>226</v>
      </c>
      <c r="C222" s="41">
        <v>45617.0</v>
      </c>
      <c r="D222" s="42" t="s">
        <v>227</v>
      </c>
      <c r="E222" s="42" t="s">
        <v>88</v>
      </c>
      <c r="F222" s="42" t="str">
        <f>+IFERROR(VLOOKUP(E222,'DANH MỤC'!$C:$H,2,0),"")</f>
        <v>Ivory Ningbo</v>
      </c>
      <c r="G222" s="42" t="str">
        <f>+IFERROR(VLOOKUP(E222,'DANH MỤC'!$C:$H,6,0),"")</f>
        <v>Kg</v>
      </c>
      <c r="H222" s="42">
        <f>+IFERROR(VLOOKUP(E222,'DANH MỤC'!$C:$H,3,0),"")</f>
        <v>250</v>
      </c>
      <c r="I222" s="42">
        <f>+IFERROR(VLOOKUP(E222,'DANH MỤC'!$C:$H,4,0),"")</f>
        <v>109</v>
      </c>
      <c r="J222" s="42" t="str">
        <f>+IFERROR(VLOOKUP(E222,'DANH MỤC'!$C:$H,5,0),"")</f>
        <v/>
      </c>
      <c r="K222" s="53"/>
      <c r="L222" s="58">
        <v>8568.0</v>
      </c>
      <c r="M222" s="55"/>
      <c r="N222" s="55"/>
    </row>
    <row r="223" ht="15.75" customHeight="1">
      <c r="A223" s="53">
        <f t="shared" si="1"/>
        <v>218</v>
      </c>
      <c r="B223" s="55"/>
      <c r="C223" s="41">
        <v>45617.0</v>
      </c>
      <c r="D223" s="42" t="s">
        <v>125</v>
      </c>
      <c r="E223" s="42" t="s">
        <v>110</v>
      </c>
      <c r="F223" s="42" t="str">
        <f>+IFERROR(VLOOKUP(E223,'DANH MỤC'!$C:$H,2,0),"")</f>
        <v>Kraft nâu LG (cuộn)</v>
      </c>
      <c r="G223" s="42" t="str">
        <f>+IFERROR(VLOOKUP(E223,'DANH MỤC'!$C:$H,6,0),"")</f>
        <v>Kg</v>
      </c>
      <c r="H223" s="42" t="str">
        <f>+IFERROR(VLOOKUP(E223,'DANH MỤC'!$C:$H,3,0),"")</f>
        <v/>
      </c>
      <c r="I223" s="42" t="str">
        <f>+IFERROR(VLOOKUP(E223,'DANH MỤC'!$C:$H,4,0),"")</f>
        <v/>
      </c>
      <c r="J223" s="42" t="str">
        <f>+IFERROR(VLOOKUP(E223,'DANH MỤC'!$C:$H,5,0),"")</f>
        <v/>
      </c>
      <c r="K223" s="53"/>
      <c r="L223" s="58">
        <v>67.0</v>
      </c>
      <c r="M223" s="55"/>
      <c r="N223" s="55"/>
    </row>
    <row r="224" ht="15.75" customHeight="1">
      <c r="A224" s="53">
        <f t="shared" si="1"/>
        <v>219</v>
      </c>
      <c r="B224" s="55"/>
      <c r="C224" s="41">
        <v>45617.0</v>
      </c>
      <c r="D224" s="42" t="s">
        <v>125</v>
      </c>
      <c r="E224" s="42" t="s">
        <v>107</v>
      </c>
      <c r="F224" s="42" t="str">
        <f>+IFERROR(VLOOKUP(E224,'DANH MỤC'!$C:$H,2,0),"")</f>
        <v>Pallet gỗ 1200x1200x130mm</v>
      </c>
      <c r="G224" s="42" t="str">
        <f>+IFERROR(VLOOKUP(E224,'DANH MỤC'!$C:$H,6,0),"")</f>
        <v>Bộ</v>
      </c>
      <c r="H224" s="42">
        <f>+IFERROR(VLOOKUP(E224,'DANH MỤC'!$C:$H,3,0),"")</f>
        <v>1200</v>
      </c>
      <c r="I224" s="42">
        <f>+IFERROR(VLOOKUP(E224,'DANH MỤC'!$C:$H,4,0),"")</f>
        <v>1200</v>
      </c>
      <c r="J224" s="42">
        <f>+IFERROR(VLOOKUP(E224,'DANH MỤC'!$C:$H,5,0),"")</f>
        <v>130</v>
      </c>
      <c r="K224" s="53"/>
      <c r="L224" s="58">
        <v>9.0</v>
      </c>
      <c r="M224" s="55"/>
      <c r="N224" s="55"/>
    </row>
    <row r="225" ht="15.75" customHeight="1">
      <c r="A225" s="53">
        <f t="shared" si="1"/>
        <v>220</v>
      </c>
      <c r="B225" s="55"/>
      <c r="C225" s="41">
        <v>45617.0</v>
      </c>
      <c r="D225" s="42" t="s">
        <v>125</v>
      </c>
      <c r="E225" s="42" t="s">
        <v>115</v>
      </c>
      <c r="F225" s="42" t="str">
        <f>+IFERROR(VLOOKUP(E225,'DANH MỤC'!$C:$H,2,0),"")</f>
        <v>Màng Strecth Film 5.0-0.6kg</v>
      </c>
      <c r="G225" s="42" t="str">
        <f>+IFERROR(VLOOKUP(E225,'DANH MỤC'!$C:$H,6,0),"")</f>
        <v>Kg</v>
      </c>
      <c r="H225" s="42" t="str">
        <f>+IFERROR(VLOOKUP(E225,'DANH MỤC'!$C:$H,3,0),"")</f>
        <v/>
      </c>
      <c r="I225" s="42" t="str">
        <f>+IFERROR(VLOOKUP(E225,'DANH MỤC'!$C:$H,4,0),"")</f>
        <v/>
      </c>
      <c r="J225" s="42" t="str">
        <f>+IFERROR(VLOOKUP(E225,'DANH MỤC'!$C:$H,5,0),"")</f>
        <v/>
      </c>
      <c r="K225" s="53"/>
      <c r="L225" s="58">
        <v>6.05</v>
      </c>
      <c r="M225" s="55"/>
      <c r="N225" s="55"/>
    </row>
    <row r="226" ht="15.75" customHeight="1">
      <c r="A226" s="53">
        <f t="shared" si="1"/>
        <v>221</v>
      </c>
      <c r="B226" s="55"/>
      <c r="C226" s="41">
        <v>45617.0</v>
      </c>
      <c r="D226" s="42" t="s">
        <v>125</v>
      </c>
      <c r="E226" s="42" t="s">
        <v>112</v>
      </c>
      <c r="F226" s="42" t="str">
        <f>+IFERROR(VLOOKUP(E226,'DANH MỤC'!$C:$H,2,0),"")</f>
        <v>Dây đai PET xanh (B)</v>
      </c>
      <c r="G226" s="42" t="str">
        <f>+IFERROR(VLOOKUP(E226,'DANH MỤC'!$C:$H,6,0),"")</f>
        <v>Kg</v>
      </c>
      <c r="H226" s="42" t="str">
        <f>+IFERROR(VLOOKUP(E226,'DANH MỤC'!$C:$H,3,0),"")</f>
        <v/>
      </c>
      <c r="I226" s="42" t="str">
        <f>+IFERROR(VLOOKUP(E226,'DANH MỤC'!$C:$H,4,0),"")</f>
        <v/>
      </c>
      <c r="J226" s="42" t="str">
        <f>+IFERROR(VLOOKUP(E226,'DANH MỤC'!$C:$H,5,0),"")</f>
        <v/>
      </c>
      <c r="K226" s="53"/>
      <c r="L226" s="58">
        <v>10.25</v>
      </c>
      <c r="M226" s="55"/>
      <c r="N226" s="55"/>
    </row>
    <row r="227" ht="15.75" customHeight="1">
      <c r="A227" s="53">
        <f t="shared" si="1"/>
        <v>222</v>
      </c>
      <c r="B227" s="55"/>
      <c r="C227" s="41">
        <v>45617.0</v>
      </c>
      <c r="D227" s="42" t="s">
        <v>125</v>
      </c>
      <c r="E227" s="42" t="s">
        <v>96</v>
      </c>
      <c r="F227" s="42" t="str">
        <f>+IFERROR(VLOOKUP(E227,'DANH MỤC'!$C:$H,2,0),"")</f>
        <v>Giấy bao gói lưỡi gà</v>
      </c>
      <c r="G227" s="42" t="str">
        <f>+IFERROR(VLOOKUP(E227,'DANH MỤC'!$C:$H,6,0),"")</f>
        <v>Kg</v>
      </c>
      <c r="H227" s="42" t="str">
        <f>+IFERROR(VLOOKUP(E227,'DANH MỤC'!$C:$H,3,0),"")</f>
        <v/>
      </c>
      <c r="I227" s="42" t="str">
        <f>+IFERROR(VLOOKUP(E227,'DANH MỤC'!$C:$H,4,0),"")</f>
        <v/>
      </c>
      <c r="J227" s="42" t="str">
        <f>+IFERROR(VLOOKUP(E227,'DANH MỤC'!$C:$H,5,0),"")</f>
        <v/>
      </c>
      <c r="K227" s="53"/>
      <c r="L227" s="58">
        <v>6.49</v>
      </c>
      <c r="M227" s="55"/>
      <c r="N227" s="55"/>
    </row>
    <row r="228" ht="15.75" customHeight="1">
      <c r="A228" s="53">
        <f t="shared" si="1"/>
        <v>223</v>
      </c>
      <c r="B228" s="55"/>
      <c r="C228" s="41">
        <v>45617.0</v>
      </c>
      <c r="D228" s="42" t="s">
        <v>125</v>
      </c>
      <c r="E228" s="42" t="s">
        <v>156</v>
      </c>
      <c r="F228" s="42" t="str">
        <f>+IFERROR(VLOOKUP(E228,'DANH MỤC'!$C:$H,2,0),"")</f>
        <v>Nẹp gỗ pallet dài 1.15m</v>
      </c>
      <c r="G228" s="42" t="str">
        <f>+IFERROR(VLOOKUP(E228,'DANH MỤC'!$C:$H,6,0),"")</f>
        <v>Cái</v>
      </c>
      <c r="H228" s="42" t="str">
        <f>+IFERROR(VLOOKUP(E228,'DANH MỤC'!$C:$H,3,0),"")</f>
        <v/>
      </c>
      <c r="I228" s="42" t="str">
        <f>+IFERROR(VLOOKUP(E228,'DANH MỤC'!$C:$H,4,0),"")</f>
        <v/>
      </c>
      <c r="J228" s="42">
        <f>+IFERROR(VLOOKUP(E228,'DANH MỤC'!$C:$H,5,0),"")</f>
        <v>1150</v>
      </c>
      <c r="K228" s="53"/>
      <c r="L228" s="58">
        <v>36.0</v>
      </c>
      <c r="M228" s="55"/>
      <c r="N228" s="55"/>
    </row>
    <row r="229" ht="15.75" customHeight="1">
      <c r="A229" s="53">
        <f t="shared" si="1"/>
        <v>224</v>
      </c>
      <c r="B229" s="55"/>
      <c r="C229" s="41">
        <v>45617.0</v>
      </c>
      <c r="D229" s="42" t="s">
        <v>125</v>
      </c>
      <c r="E229" s="42" t="s">
        <v>183</v>
      </c>
      <c r="F229" s="42" t="str">
        <f>+IFERROR(VLOOKUP(E229,'DANH MỤC'!$C:$H,2,0),"")</f>
        <v>Ống lõi giấy phi 120x7x90mm</v>
      </c>
      <c r="G229" s="42" t="str">
        <f>+IFERROR(VLOOKUP(E229,'DANH MỤC'!$C:$H,6,0),"")</f>
        <v>Cái</v>
      </c>
      <c r="H229" s="42">
        <f>+IFERROR(VLOOKUP(E229,'DANH MỤC'!$C:$H,3,0),"")</f>
        <v>120</v>
      </c>
      <c r="I229" s="42">
        <f>+IFERROR(VLOOKUP(E229,'DANH MỤC'!$C:$H,4,0),"")</f>
        <v>70</v>
      </c>
      <c r="J229" s="42">
        <f>+IFERROR(VLOOKUP(E229,'DANH MỤC'!$C:$H,5,0),"")</f>
        <v>90</v>
      </c>
      <c r="K229" s="53"/>
      <c r="L229" s="58">
        <v>470.0</v>
      </c>
      <c r="M229" s="55"/>
      <c r="N229" s="55"/>
    </row>
    <row r="230" ht="15.75" customHeight="1">
      <c r="A230" s="117">
        <f t="shared" si="1"/>
        <v>225</v>
      </c>
      <c r="B230" s="118"/>
      <c r="C230" s="119">
        <v>45618.0</v>
      </c>
      <c r="D230" s="120" t="s">
        <v>146</v>
      </c>
      <c r="E230" s="120" t="s">
        <v>81</v>
      </c>
      <c r="F230" s="120" t="str">
        <f>+IFERROR(VLOOKUP(E230,'DANH MỤC'!$C:$H,2,0),"")</f>
        <v>Lưỡi gà trắng 71mm x 800m x 210gsm</v>
      </c>
      <c r="G230" s="120" t="str">
        <f>+IFERROR(VLOOKUP(E230,'DANH MỤC'!$C:$H,6,0),"")</f>
        <v>Cuộn</v>
      </c>
      <c r="H230" s="120">
        <f>+IFERROR(VLOOKUP(E230,'DANH MỤC'!$C:$H,3,0),"")</f>
        <v>210</v>
      </c>
      <c r="I230" s="120">
        <f>+IFERROR(VLOOKUP(E230,'DANH MỤC'!$C:$H,4,0),"")</f>
        <v>71</v>
      </c>
      <c r="J230" s="120">
        <f>+IFERROR(VLOOKUP(E230,'DANH MỤC'!$C:$H,5,0),"")</f>
        <v>800</v>
      </c>
      <c r="K230" s="117"/>
      <c r="L230" s="121">
        <v>420.0</v>
      </c>
      <c r="M230" s="118"/>
      <c r="N230" s="118"/>
    </row>
    <row r="231" ht="15.75" customHeight="1">
      <c r="A231" s="53">
        <f t="shared" si="1"/>
        <v>226</v>
      </c>
      <c r="B231" s="55" t="s">
        <v>230</v>
      </c>
      <c r="C231" s="41">
        <v>45622.0</v>
      </c>
      <c r="D231" s="42" t="s">
        <v>231</v>
      </c>
      <c r="E231" s="42" t="s">
        <v>47</v>
      </c>
      <c r="F231" s="42" t="str">
        <f>+IFERROR(VLOOKUP(E231,'DANH MỤC'!$C:$H,2,0),"")</f>
        <v>Ivory Ningbo</v>
      </c>
      <c r="G231" s="42" t="str">
        <f>+IFERROR(VLOOKUP(E231,'DANH MỤC'!$C:$H,6,0),"")</f>
        <v>Kg</v>
      </c>
      <c r="H231" s="42">
        <f>+IFERROR(VLOOKUP(E231,'DANH MỤC'!$C:$H,3,0),"")</f>
        <v>210</v>
      </c>
      <c r="I231" s="42">
        <f>+IFERROR(VLOOKUP(E231,'DANH MỤC'!$C:$H,4,0),"")</f>
        <v>109</v>
      </c>
      <c r="J231" s="42" t="str">
        <f>+IFERROR(VLOOKUP(E231,'DANH MỤC'!$C:$H,5,0),"")</f>
        <v/>
      </c>
      <c r="K231" s="53"/>
      <c r="L231" s="58">
        <f>7210-965</f>
        <v>6245</v>
      </c>
      <c r="M231" s="55"/>
      <c r="N231" s="55"/>
    </row>
    <row r="232" ht="15.75" customHeight="1">
      <c r="A232" s="53">
        <f t="shared" si="1"/>
        <v>227</v>
      </c>
      <c r="B232" s="55"/>
      <c r="C232" s="41">
        <v>45622.0</v>
      </c>
      <c r="D232" s="42" t="s">
        <v>125</v>
      </c>
      <c r="E232" s="42" t="s">
        <v>127</v>
      </c>
      <c r="F232" s="42" t="str">
        <f>+IFERROR(VLOOKUP(E232,'DANH MỤC'!$C:$H,2,0),"")</f>
        <v>Pallet gỗ 1100x1100x130mm</v>
      </c>
      <c r="G232" s="42" t="str">
        <f>+IFERROR(VLOOKUP(E232,'DANH MỤC'!$C:$H,6,0),"")</f>
        <v>Bộ</v>
      </c>
      <c r="H232" s="42">
        <f>+IFERROR(VLOOKUP(E232,'DANH MỤC'!$C:$H,3,0),"")</f>
        <v>1100</v>
      </c>
      <c r="I232" s="42">
        <f>+IFERROR(VLOOKUP(E232,'DANH MỤC'!$C:$H,4,0),"")</f>
        <v>1100</v>
      </c>
      <c r="J232" s="42">
        <f>+IFERROR(VLOOKUP(E232,'DANH MỤC'!$C:$H,5,0),"")</f>
        <v>130</v>
      </c>
      <c r="K232" s="53"/>
      <c r="L232" s="58">
        <v>1.0</v>
      </c>
      <c r="M232" s="55"/>
      <c r="N232" s="55"/>
    </row>
    <row r="233" ht="15.75" customHeight="1">
      <c r="A233" s="53">
        <f t="shared" si="1"/>
        <v>228</v>
      </c>
      <c r="B233" s="55"/>
      <c r="C233" s="41">
        <v>45622.0</v>
      </c>
      <c r="D233" s="42" t="s">
        <v>125</v>
      </c>
      <c r="E233" s="42" t="s">
        <v>127</v>
      </c>
      <c r="F233" s="42" t="str">
        <f>+IFERROR(VLOOKUP(E233,'DANH MỤC'!$C:$H,2,0),"")</f>
        <v>Pallet gỗ 1100x1100x130mm</v>
      </c>
      <c r="G233" s="42" t="str">
        <f>+IFERROR(VLOOKUP(E233,'DANH MỤC'!$C:$H,6,0),"")</f>
        <v>Bộ</v>
      </c>
      <c r="H233" s="42">
        <f>+IFERROR(VLOOKUP(E233,'DANH MỤC'!$C:$H,3,0),"")</f>
        <v>1100</v>
      </c>
      <c r="I233" s="42">
        <f>+IFERROR(VLOOKUP(E233,'DANH MỤC'!$C:$H,4,0),"")</f>
        <v>1100</v>
      </c>
      <c r="J233" s="42">
        <f>+IFERROR(VLOOKUP(E233,'DANH MỤC'!$C:$H,5,0),"")</f>
        <v>130</v>
      </c>
      <c r="K233" s="53"/>
      <c r="L233" s="58">
        <v>7.0</v>
      </c>
      <c r="M233" s="55"/>
      <c r="N233" s="55"/>
    </row>
    <row r="234" ht="15.75" customHeight="1">
      <c r="A234" s="53">
        <f t="shared" si="1"/>
        <v>229</v>
      </c>
      <c r="B234" s="55"/>
      <c r="C234" s="41">
        <v>45622.0</v>
      </c>
      <c r="D234" s="42" t="s">
        <v>125</v>
      </c>
      <c r="E234" s="42" t="s">
        <v>115</v>
      </c>
      <c r="F234" s="42" t="str">
        <f>+IFERROR(VLOOKUP(E234,'DANH MỤC'!$C:$H,2,0),"")</f>
        <v>Màng Strecth Film 5.0-0.6kg</v>
      </c>
      <c r="G234" s="42" t="str">
        <f>+IFERROR(VLOOKUP(E234,'DANH MỤC'!$C:$H,6,0),"")</f>
        <v>Kg</v>
      </c>
      <c r="H234" s="42" t="str">
        <f>+IFERROR(VLOOKUP(E234,'DANH MỤC'!$C:$H,3,0),"")</f>
        <v/>
      </c>
      <c r="I234" s="42" t="str">
        <f>+IFERROR(VLOOKUP(E234,'DANH MỤC'!$C:$H,4,0),"")</f>
        <v/>
      </c>
      <c r="J234" s="42" t="str">
        <f>+IFERROR(VLOOKUP(E234,'DANH MỤC'!$C:$H,5,0),"")</f>
        <v/>
      </c>
      <c r="K234" s="53"/>
      <c r="L234" s="58">
        <v>5.38</v>
      </c>
      <c r="M234" s="55"/>
      <c r="N234" s="55"/>
    </row>
    <row r="235" ht="15.75" customHeight="1">
      <c r="A235" s="53">
        <f t="shared" si="1"/>
        <v>230</v>
      </c>
      <c r="B235" s="55"/>
      <c r="C235" s="41">
        <v>45622.0</v>
      </c>
      <c r="D235" s="42" t="s">
        <v>125</v>
      </c>
      <c r="E235" s="42" t="s">
        <v>112</v>
      </c>
      <c r="F235" s="42" t="str">
        <f>+IFERROR(VLOOKUP(E235,'DANH MỤC'!$C:$H,2,0),"")</f>
        <v>Dây đai PET xanh (B)</v>
      </c>
      <c r="G235" s="42" t="str">
        <f>+IFERROR(VLOOKUP(E235,'DANH MỤC'!$C:$H,6,0),"")</f>
        <v>Kg</v>
      </c>
      <c r="H235" s="42" t="str">
        <f>+IFERROR(VLOOKUP(E235,'DANH MỤC'!$C:$H,3,0),"")</f>
        <v/>
      </c>
      <c r="I235" s="42" t="str">
        <f>+IFERROR(VLOOKUP(E235,'DANH MỤC'!$C:$H,4,0),"")</f>
        <v/>
      </c>
      <c r="J235" s="42" t="str">
        <f>+IFERROR(VLOOKUP(E235,'DANH MỤC'!$C:$H,5,0),"")</f>
        <v/>
      </c>
      <c r="K235" s="53"/>
      <c r="L235" s="58">
        <v>9.11</v>
      </c>
      <c r="M235" s="55"/>
      <c r="N235" s="55"/>
    </row>
    <row r="236" ht="15.75" customHeight="1">
      <c r="A236" s="53">
        <f t="shared" si="1"/>
        <v>231</v>
      </c>
      <c r="B236" s="55"/>
      <c r="C236" s="41">
        <v>45622.0</v>
      </c>
      <c r="D236" s="42" t="s">
        <v>125</v>
      </c>
      <c r="E236" s="42" t="s">
        <v>96</v>
      </c>
      <c r="F236" s="42" t="str">
        <f>+IFERROR(VLOOKUP(E236,'DANH MỤC'!$C:$H,2,0),"")</f>
        <v>Giấy bao gói lưỡi gà</v>
      </c>
      <c r="G236" s="42" t="str">
        <f>+IFERROR(VLOOKUP(E236,'DANH MỤC'!$C:$H,6,0),"")</f>
        <v>Kg</v>
      </c>
      <c r="H236" s="42" t="str">
        <f>+IFERROR(VLOOKUP(E236,'DANH MỤC'!$C:$H,3,0),"")</f>
        <v/>
      </c>
      <c r="I236" s="42" t="str">
        <f>+IFERROR(VLOOKUP(E236,'DANH MỤC'!$C:$H,4,0),"")</f>
        <v/>
      </c>
      <c r="J236" s="42" t="str">
        <f>+IFERROR(VLOOKUP(E236,'DANH MỤC'!$C:$H,5,0),"")</f>
        <v/>
      </c>
      <c r="K236" s="53"/>
      <c r="L236" s="58">
        <v>5.52</v>
      </c>
      <c r="M236" s="55"/>
      <c r="N236" s="55"/>
    </row>
    <row r="237" ht="15.75" customHeight="1">
      <c r="A237" s="53">
        <f t="shared" si="1"/>
        <v>232</v>
      </c>
      <c r="B237" s="55"/>
      <c r="C237" s="41">
        <v>45622.0</v>
      </c>
      <c r="D237" s="42" t="s">
        <v>125</v>
      </c>
      <c r="E237" s="42" t="s">
        <v>182</v>
      </c>
      <c r="F237" s="42" t="str">
        <f>+IFERROR(VLOOKUP(E237,'DANH MỤC'!$C:$H,2,0),"")</f>
        <v>Ống lõi giấy phi 120x7x71mm</v>
      </c>
      <c r="G237" s="42" t="str">
        <f>+IFERROR(VLOOKUP(E237,'DANH MỤC'!$C:$H,6,0),"")</f>
        <v>Cái</v>
      </c>
      <c r="H237" s="42">
        <f>+IFERROR(VLOOKUP(E237,'DANH MỤC'!$C:$H,3,0),"")</f>
        <v>120</v>
      </c>
      <c r="I237" s="42">
        <f>+IFERROR(VLOOKUP(E237,'DANH MỤC'!$C:$H,4,0),"")</f>
        <v>70</v>
      </c>
      <c r="J237" s="42">
        <f>+IFERROR(VLOOKUP(E237,'DANH MỤC'!$C:$H,5,0),"")</f>
        <v>71</v>
      </c>
      <c r="K237" s="53"/>
      <c r="L237" s="58">
        <v>105.0</v>
      </c>
      <c r="M237" s="55"/>
      <c r="N237" s="55"/>
    </row>
    <row r="238" ht="15.75" customHeight="1">
      <c r="A238" s="53">
        <f t="shared" si="1"/>
        <v>233</v>
      </c>
      <c r="B238" s="55"/>
      <c r="C238" s="41">
        <v>45622.0</v>
      </c>
      <c r="D238" s="42" t="s">
        <v>125</v>
      </c>
      <c r="E238" s="42" t="s">
        <v>184</v>
      </c>
      <c r="F238" s="42" t="str">
        <f>+IFERROR(VLOOKUP(E238,'DANH MỤC'!$C:$H,2,0),"")</f>
        <v>Ống lõi giấy phi 120x7x95mm</v>
      </c>
      <c r="G238" s="42" t="str">
        <f>+IFERROR(VLOOKUP(E238,'DANH MỤC'!$C:$H,6,0),"")</f>
        <v>Cái</v>
      </c>
      <c r="H238" s="42">
        <f>+IFERROR(VLOOKUP(E238,'DANH MỤC'!$C:$H,3,0),"")</f>
        <v>120</v>
      </c>
      <c r="I238" s="42">
        <f>+IFERROR(VLOOKUP(E238,'DANH MỤC'!$C:$H,4,0),"")</f>
        <v>70</v>
      </c>
      <c r="J238" s="42">
        <f>+IFERROR(VLOOKUP(E238,'DANH MỤC'!$C:$H,5,0),"")</f>
        <v>95</v>
      </c>
      <c r="K238" s="53"/>
      <c r="L238" s="58">
        <v>310.0</v>
      </c>
      <c r="M238" s="55"/>
      <c r="N238" s="55"/>
    </row>
    <row r="239" ht="15.75" customHeight="1">
      <c r="A239" s="53">
        <f t="shared" si="1"/>
        <v>234</v>
      </c>
      <c r="B239" s="55"/>
      <c r="C239" s="41">
        <v>45622.0</v>
      </c>
      <c r="D239" s="42" t="s">
        <v>125</v>
      </c>
      <c r="E239" s="42" t="s">
        <v>156</v>
      </c>
      <c r="F239" s="42" t="str">
        <f>+IFERROR(VLOOKUP(E239,'DANH MỤC'!$C:$H,2,0),"")</f>
        <v>Nẹp gỗ pallet dài 1.15m</v>
      </c>
      <c r="G239" s="42" t="str">
        <f>+IFERROR(VLOOKUP(E239,'DANH MỤC'!$C:$H,6,0),"")</f>
        <v>Cái</v>
      </c>
      <c r="H239" s="42" t="str">
        <f>+IFERROR(VLOOKUP(E239,'DANH MỤC'!$C:$H,3,0),"")</f>
        <v/>
      </c>
      <c r="I239" s="42" t="str">
        <f>+IFERROR(VLOOKUP(E239,'DANH MỤC'!$C:$H,4,0),"")</f>
        <v/>
      </c>
      <c r="J239" s="42">
        <f>+IFERROR(VLOOKUP(E239,'DANH MỤC'!$C:$H,5,0),"")</f>
        <v>1150</v>
      </c>
      <c r="K239" s="53"/>
      <c r="L239" s="58">
        <v>20.0</v>
      </c>
      <c r="M239" s="55"/>
      <c r="N239" s="55"/>
    </row>
    <row r="240" ht="15.75" customHeight="1">
      <c r="A240" s="53">
        <f t="shared" si="1"/>
        <v>235</v>
      </c>
      <c r="B240" s="55"/>
      <c r="C240" s="41">
        <v>45625.0</v>
      </c>
      <c r="D240" s="42" t="s">
        <v>237</v>
      </c>
      <c r="E240" s="42" t="s">
        <v>123</v>
      </c>
      <c r="F240" s="42" t="str">
        <f>+IFERROR(VLOOKUP(E240,'DANH MỤC'!$C:$H,2,0),"")</f>
        <v>Lưỡi gà trắng 90mm x 800m x 250gsm</v>
      </c>
      <c r="G240" s="42" t="str">
        <f>+IFERROR(VLOOKUP(E240,'DANH MỤC'!$C:$H,6,0),"")</f>
        <v>Cuộn</v>
      </c>
      <c r="H240" s="42">
        <f>+IFERROR(VLOOKUP(E240,'DANH MỤC'!$C:$H,3,0),"")</f>
        <v>250</v>
      </c>
      <c r="I240" s="42">
        <f>+IFERROR(VLOOKUP(E240,'DANH MỤC'!$C:$H,4,0),"")</f>
        <v>90</v>
      </c>
      <c r="J240" s="42">
        <f>+IFERROR(VLOOKUP(E240,'DANH MỤC'!$C:$H,5,0),"")</f>
        <v>800</v>
      </c>
      <c r="K240" s="53">
        <v>474.0</v>
      </c>
      <c r="L240" s="58"/>
      <c r="M240" s="55"/>
      <c r="N240" s="55"/>
    </row>
    <row r="241" ht="15.75" customHeight="1">
      <c r="A241" s="53">
        <f t="shared" si="1"/>
        <v>236</v>
      </c>
      <c r="B241" s="55"/>
      <c r="C241" s="41">
        <v>45625.0</v>
      </c>
      <c r="D241" s="42" t="s">
        <v>239</v>
      </c>
      <c r="E241" s="42" t="s">
        <v>81</v>
      </c>
      <c r="F241" s="42" t="str">
        <f>+IFERROR(VLOOKUP(E241,'DANH MỤC'!$C:$H,2,0),"")</f>
        <v>Lưỡi gà trắng 71mm x 800m x 210gsm</v>
      </c>
      <c r="G241" s="42" t="str">
        <f>+IFERROR(VLOOKUP(E241,'DANH MỤC'!$C:$H,6,0),"")</f>
        <v>Cuộn</v>
      </c>
      <c r="H241" s="42">
        <f>+IFERROR(VLOOKUP(E241,'DANH MỤC'!$C:$H,3,0),"")</f>
        <v>210</v>
      </c>
      <c r="I241" s="42">
        <f>+IFERROR(VLOOKUP(E241,'DANH MỤC'!$C:$H,4,0),"")</f>
        <v>71</v>
      </c>
      <c r="J241" s="42">
        <f>+IFERROR(VLOOKUP(E241,'DANH MỤC'!$C:$H,5,0),"")</f>
        <v>800</v>
      </c>
      <c r="K241" s="53">
        <v>602.0</v>
      </c>
      <c r="L241" s="58"/>
      <c r="M241" s="55"/>
      <c r="N241" s="55"/>
    </row>
    <row r="242" ht="15.75" customHeight="1">
      <c r="A242" s="53">
        <f t="shared" si="1"/>
        <v>237</v>
      </c>
      <c r="B242" s="55"/>
      <c r="C242" s="41">
        <v>45625.0</v>
      </c>
      <c r="D242" s="42" t="s">
        <v>239</v>
      </c>
      <c r="E242" s="42" t="s">
        <v>89</v>
      </c>
      <c r="F242" s="42" t="str">
        <f>+IFERROR(VLOOKUP(E242,'DANH MỤC'!$C:$H,2,0),"")</f>
        <v>Lưỡi gà trắng 83mm x 800m x 210gsm</v>
      </c>
      <c r="G242" s="42" t="str">
        <f>+IFERROR(VLOOKUP(E242,'DANH MỤC'!$C:$H,6,0),"")</f>
        <v>Cuộn</v>
      </c>
      <c r="H242" s="42">
        <f>+IFERROR(VLOOKUP(E242,'DANH MỤC'!$C:$H,3,0),"")</f>
        <v>210</v>
      </c>
      <c r="I242" s="42">
        <f>+IFERROR(VLOOKUP(E242,'DANH MỤC'!$C:$H,4,0),"")</f>
        <v>83</v>
      </c>
      <c r="J242" s="42">
        <f>+IFERROR(VLOOKUP(E242,'DANH MỤC'!$C:$H,5,0),"")</f>
        <v>800</v>
      </c>
      <c r="K242" s="53">
        <v>57.0</v>
      </c>
      <c r="L242" s="58"/>
      <c r="M242" s="55"/>
      <c r="N242" s="55"/>
    </row>
    <row r="243" ht="15.75" customHeight="1">
      <c r="A243" s="53">
        <f t="shared" si="1"/>
        <v>238</v>
      </c>
      <c r="B243" s="55"/>
      <c r="C243" s="41">
        <v>45625.0</v>
      </c>
      <c r="D243" s="42" t="s">
        <v>239</v>
      </c>
      <c r="E243" s="42" t="s">
        <v>104</v>
      </c>
      <c r="F243" s="42" t="str">
        <f>+IFERROR(VLOOKUP(E243,'DANH MỤC'!$C:$H,2,0),"")</f>
        <v>Lưỡi gà trắng 95mm x 800m x 210gsm</v>
      </c>
      <c r="G243" s="42" t="str">
        <f>+IFERROR(VLOOKUP(E243,'DANH MỤC'!$C:$H,6,0),"")</f>
        <v>Cuộn</v>
      </c>
      <c r="H243" s="42">
        <f>+IFERROR(VLOOKUP(E243,'DANH MỤC'!$C:$H,3,0),"")</f>
        <v>210</v>
      </c>
      <c r="I243" s="42">
        <f>+IFERROR(VLOOKUP(E243,'DANH MỤC'!$C:$H,4,0),"")</f>
        <v>95</v>
      </c>
      <c r="J243" s="42">
        <f>+IFERROR(VLOOKUP(E243,'DANH MỤC'!$C:$H,5,0),"")</f>
        <v>800</v>
      </c>
      <c r="K243" s="53">
        <v>306.0</v>
      </c>
      <c r="L243" s="58"/>
      <c r="M243" s="55"/>
      <c r="N243" s="55"/>
    </row>
    <row r="244" ht="15.75" customHeight="1">
      <c r="A244" s="53">
        <f t="shared" si="1"/>
        <v>239</v>
      </c>
      <c r="B244" s="55" t="s">
        <v>242</v>
      </c>
      <c r="C244" s="41">
        <v>45626.0</v>
      </c>
      <c r="D244" s="42" t="s">
        <v>243</v>
      </c>
      <c r="E244" s="42" t="s">
        <v>189</v>
      </c>
      <c r="F244" s="42" t="str">
        <f>+IFERROR(VLOOKUP(E244,'DANH MỤC'!$C:$H,2,0),"")</f>
        <v>Ivory Ningbo</v>
      </c>
      <c r="G244" s="42" t="str">
        <f>+IFERROR(VLOOKUP(E244,'DANH MỤC'!$C:$H,6,0),"")</f>
        <v>Kg</v>
      </c>
      <c r="H244" s="42">
        <f>+IFERROR(VLOOKUP(E244,'DANH MỤC'!$C:$H,3,0),"")</f>
        <v>230</v>
      </c>
      <c r="I244" s="42">
        <f>+IFERROR(VLOOKUP(E244,'DANH MỤC'!$C:$H,4,0),"")</f>
        <v>109</v>
      </c>
      <c r="J244" s="42" t="str">
        <f>+IFERROR(VLOOKUP(E244,'DANH MỤC'!$C:$H,5,0),"")</f>
        <v/>
      </c>
      <c r="K244" s="53"/>
      <c r="L244" s="58">
        <f>6040-610</f>
        <v>5430</v>
      </c>
      <c r="M244" s="55"/>
      <c r="N244" s="55"/>
    </row>
    <row r="245" ht="15.75" customHeight="1">
      <c r="A245" s="53">
        <f t="shared" si="1"/>
        <v>240</v>
      </c>
      <c r="B245" s="55"/>
      <c r="C245" s="41">
        <v>45626.0</v>
      </c>
      <c r="D245" s="42" t="s">
        <v>125</v>
      </c>
      <c r="E245" s="42" t="s">
        <v>127</v>
      </c>
      <c r="F245" s="42" t="str">
        <f>+IFERROR(VLOOKUP(E245,'DANH MỤC'!$C:$H,2,0),"")</f>
        <v>Pallet gỗ 1100x1100x130mm</v>
      </c>
      <c r="G245" s="42" t="str">
        <f>+IFERROR(VLOOKUP(E245,'DANH MỤC'!$C:$H,6,0),"")</f>
        <v>Bộ</v>
      </c>
      <c r="H245" s="42">
        <f>+IFERROR(VLOOKUP(E245,'DANH MỤC'!$C:$H,3,0),"")</f>
        <v>1100</v>
      </c>
      <c r="I245" s="42">
        <f>+IFERROR(VLOOKUP(E245,'DANH MỤC'!$C:$H,4,0),"")</f>
        <v>1100</v>
      </c>
      <c r="J245" s="42">
        <f>+IFERROR(VLOOKUP(E245,'DANH MỤC'!$C:$H,5,0),"")</f>
        <v>130</v>
      </c>
      <c r="K245" s="53"/>
      <c r="L245" s="58">
        <v>5.0</v>
      </c>
      <c r="M245" s="55"/>
      <c r="N245" s="55"/>
    </row>
    <row r="246" ht="15.75" customHeight="1">
      <c r="A246" s="53">
        <f t="shared" si="1"/>
        <v>241</v>
      </c>
      <c r="B246" s="55"/>
      <c r="C246" s="41">
        <v>45626.0</v>
      </c>
      <c r="D246" s="42" t="s">
        <v>125</v>
      </c>
      <c r="E246" s="42" t="s">
        <v>115</v>
      </c>
      <c r="F246" s="42" t="str">
        <f>+IFERROR(VLOOKUP(E246,'DANH MỤC'!$C:$H,2,0),"")</f>
        <v>Màng Strecth Film 5.0-0.6kg</v>
      </c>
      <c r="G246" s="42" t="str">
        <f>+IFERROR(VLOOKUP(E246,'DANH MỤC'!$C:$H,6,0),"")</f>
        <v>Kg</v>
      </c>
      <c r="H246" s="42" t="str">
        <f>+IFERROR(VLOOKUP(E246,'DANH MỤC'!$C:$H,3,0),"")</f>
        <v/>
      </c>
      <c r="I246" s="42" t="str">
        <f>+IFERROR(VLOOKUP(E246,'DANH MỤC'!$C:$H,4,0),"")</f>
        <v/>
      </c>
      <c r="J246" s="42" t="str">
        <f>+IFERROR(VLOOKUP(E246,'DANH MỤC'!$C:$H,5,0),"")</f>
        <v/>
      </c>
      <c r="K246" s="53"/>
      <c r="L246" s="58">
        <v>3.36</v>
      </c>
      <c r="M246" s="55"/>
      <c r="N246" s="55"/>
    </row>
    <row r="247" ht="15.75" customHeight="1">
      <c r="A247" s="53">
        <f t="shared" si="1"/>
        <v>242</v>
      </c>
      <c r="B247" s="55"/>
      <c r="C247" s="41">
        <v>45626.0</v>
      </c>
      <c r="D247" s="42" t="s">
        <v>125</v>
      </c>
      <c r="E247" s="42" t="s">
        <v>112</v>
      </c>
      <c r="F247" s="42" t="str">
        <f>+IFERROR(VLOOKUP(E247,'DANH MỤC'!$C:$H,2,0),"")</f>
        <v>Dây đai PET xanh (B)</v>
      </c>
      <c r="G247" s="42" t="str">
        <f>+IFERROR(VLOOKUP(E247,'DANH MỤC'!$C:$H,6,0),"")</f>
        <v>Kg</v>
      </c>
      <c r="H247" s="42" t="str">
        <f>+IFERROR(VLOOKUP(E247,'DANH MỤC'!$C:$H,3,0),"")</f>
        <v/>
      </c>
      <c r="I247" s="42" t="str">
        <f>+IFERROR(VLOOKUP(E247,'DANH MỤC'!$C:$H,4,0),"")</f>
        <v/>
      </c>
      <c r="J247" s="42" t="str">
        <f>+IFERROR(VLOOKUP(E247,'DANH MỤC'!$C:$H,5,0),"")</f>
        <v/>
      </c>
      <c r="K247" s="53"/>
      <c r="L247" s="58">
        <v>5.69</v>
      </c>
      <c r="M247" s="55"/>
      <c r="N247" s="55"/>
    </row>
    <row r="248" ht="15.75" customHeight="1">
      <c r="A248" s="53">
        <f t="shared" si="1"/>
        <v>243</v>
      </c>
      <c r="B248" s="55"/>
      <c r="C248" s="41">
        <v>45626.0</v>
      </c>
      <c r="D248" s="42" t="s">
        <v>125</v>
      </c>
      <c r="E248" s="42" t="s">
        <v>96</v>
      </c>
      <c r="F248" s="42" t="str">
        <f>+IFERROR(VLOOKUP(E248,'DANH MỤC'!$C:$H,2,0),"")</f>
        <v>Giấy bao gói lưỡi gà</v>
      </c>
      <c r="G248" s="42" t="str">
        <f>+IFERROR(VLOOKUP(E248,'DANH MỤC'!$C:$H,6,0),"")</f>
        <v>Kg</v>
      </c>
      <c r="H248" s="42" t="str">
        <f>+IFERROR(VLOOKUP(E248,'DANH MỤC'!$C:$H,3,0),"")</f>
        <v/>
      </c>
      <c r="I248" s="42" t="str">
        <f>+IFERROR(VLOOKUP(E248,'DANH MỤC'!$C:$H,4,0),"")</f>
        <v/>
      </c>
      <c r="J248" s="42" t="str">
        <f>+IFERROR(VLOOKUP(E248,'DANH MỤC'!$C:$H,5,0),"")</f>
        <v/>
      </c>
      <c r="K248" s="53"/>
      <c r="L248" s="58">
        <v>4.43</v>
      </c>
      <c r="M248" s="55"/>
      <c r="N248" s="55"/>
    </row>
    <row r="249" ht="15.75" customHeight="1">
      <c r="A249" s="53">
        <f t="shared" si="1"/>
        <v>244</v>
      </c>
      <c r="B249" s="55"/>
      <c r="C249" s="41">
        <v>45626.0</v>
      </c>
      <c r="D249" s="42" t="s">
        <v>125</v>
      </c>
      <c r="E249" s="42" t="s">
        <v>204</v>
      </c>
      <c r="F249" s="42" t="str">
        <f>+IFERROR(VLOOKUP(E249,'DANH MỤC'!$C:$H,2,0),"")</f>
        <v>Ống lõi giấy phi 120x7x98mm</v>
      </c>
      <c r="G249" s="42" t="str">
        <f>+IFERROR(VLOOKUP(E249,'DANH MỤC'!$C:$H,6,0),"")</f>
        <v>Cái</v>
      </c>
      <c r="H249" s="42">
        <f>+IFERROR(VLOOKUP(E249,'DANH MỤC'!$C:$H,3,0),"")</f>
        <v>120</v>
      </c>
      <c r="I249" s="42">
        <f>+IFERROR(VLOOKUP(E249,'DANH MỤC'!$C:$H,4,0),"")</f>
        <v>70</v>
      </c>
      <c r="J249" s="42">
        <f>+IFERROR(VLOOKUP(E249,'DANH MỤC'!$C:$H,5,0),"")</f>
        <v>98</v>
      </c>
      <c r="K249" s="53"/>
      <c r="L249" s="58">
        <v>200.0</v>
      </c>
      <c r="M249" s="55"/>
      <c r="N249" s="55"/>
    </row>
    <row r="250" ht="15.75" customHeight="1">
      <c r="A250" s="53">
        <f t="shared" si="1"/>
        <v>245</v>
      </c>
      <c r="B250" s="55"/>
      <c r="C250" s="41">
        <v>45629.0</v>
      </c>
      <c r="D250" s="42" t="s">
        <v>249</v>
      </c>
      <c r="E250" s="42" t="s">
        <v>120</v>
      </c>
      <c r="F250" s="42" t="str">
        <f>+IFERROR(VLOOKUP(E250,'DANH MỤC'!$C:$H,2,0),"")</f>
        <v>Lưỡi gà trắng 98mm x 800m x 230gsm</v>
      </c>
      <c r="G250" s="42" t="str">
        <f>+IFERROR(VLOOKUP(E250,'DANH MỤC'!$C:$H,6,0),"")</f>
        <v>Cuộn</v>
      </c>
      <c r="H250" s="42">
        <f>+IFERROR(VLOOKUP(E250,'DANH MỤC'!$C:$H,3,0),"")</f>
        <v>230</v>
      </c>
      <c r="I250" s="42">
        <f>+IFERROR(VLOOKUP(E250,'DANH MỤC'!$C:$H,4,0),"")</f>
        <v>98</v>
      </c>
      <c r="J250" s="42">
        <f>+IFERROR(VLOOKUP(E250,'DANH MỤC'!$C:$H,5,0),"")</f>
        <v>800</v>
      </c>
      <c r="K250" s="53">
        <v>297.0</v>
      </c>
      <c r="L250" s="58"/>
      <c r="M250" s="55"/>
      <c r="N250" s="55"/>
    </row>
    <row r="251" ht="15.75" customHeight="1">
      <c r="A251" s="117">
        <f t="shared" si="1"/>
        <v>246</v>
      </c>
      <c r="B251" s="118"/>
      <c r="C251" s="119">
        <v>45629.0</v>
      </c>
      <c r="D251" s="120" t="s">
        <v>130</v>
      </c>
      <c r="E251" s="120" t="s">
        <v>123</v>
      </c>
      <c r="F251" s="120" t="str">
        <f>+IFERROR(VLOOKUP(E251,'DANH MỤC'!$C:$H,2,0),"")</f>
        <v>Lưỡi gà trắng 90mm x 800m x 250gsm</v>
      </c>
      <c r="G251" s="120" t="str">
        <f>+IFERROR(VLOOKUP(E251,'DANH MỤC'!$C:$H,6,0),"")</f>
        <v>Cuộn</v>
      </c>
      <c r="H251" s="120">
        <f>+IFERROR(VLOOKUP(E251,'DANH MỤC'!$C:$H,3,0),"")</f>
        <v>250</v>
      </c>
      <c r="I251" s="120">
        <f>+IFERROR(VLOOKUP(E251,'DANH MỤC'!$C:$H,4,0),"")</f>
        <v>90</v>
      </c>
      <c r="J251" s="120">
        <f>+IFERROR(VLOOKUP(E251,'DANH MỤC'!$C:$H,5,0),"")</f>
        <v>800</v>
      </c>
      <c r="K251" s="117"/>
      <c r="L251" s="121">
        <v>468.0</v>
      </c>
      <c r="M251" s="118" t="s">
        <v>131</v>
      </c>
      <c r="N251" s="118"/>
    </row>
    <row r="252" ht="15.75" customHeight="1">
      <c r="A252" s="117">
        <f t="shared" si="1"/>
        <v>247</v>
      </c>
      <c r="B252" s="118"/>
      <c r="C252" s="119">
        <v>45629.0</v>
      </c>
      <c r="D252" s="120" t="s">
        <v>130</v>
      </c>
      <c r="E252" s="120" t="s">
        <v>104</v>
      </c>
      <c r="F252" s="120" t="str">
        <f>+IFERROR(VLOOKUP(E252,'DANH MỤC'!$C:$H,2,0),"")</f>
        <v>Lưỡi gà trắng 95mm x 800m x 210gsm</v>
      </c>
      <c r="G252" s="120" t="str">
        <f>+IFERROR(VLOOKUP(E252,'DANH MỤC'!$C:$H,6,0),"")</f>
        <v>Cuộn</v>
      </c>
      <c r="H252" s="120">
        <f>+IFERROR(VLOOKUP(E252,'DANH MỤC'!$C:$H,3,0),"")</f>
        <v>210</v>
      </c>
      <c r="I252" s="120">
        <f>+IFERROR(VLOOKUP(E252,'DANH MỤC'!$C:$H,4,0),"")</f>
        <v>95</v>
      </c>
      <c r="J252" s="120">
        <f>+IFERROR(VLOOKUP(E252,'DANH MỤC'!$C:$H,5,0),"")</f>
        <v>800</v>
      </c>
      <c r="K252" s="117"/>
      <c r="L252" s="121">
        <v>260.0</v>
      </c>
      <c r="M252" s="118" t="s">
        <v>131</v>
      </c>
      <c r="N252" s="118"/>
    </row>
    <row r="253" ht="15.75" customHeight="1">
      <c r="A253" s="53">
        <f t="shared" si="1"/>
        <v>248</v>
      </c>
      <c r="B253" s="55" t="s">
        <v>242</v>
      </c>
      <c r="C253" s="41">
        <v>45630.0</v>
      </c>
      <c r="D253" s="42" t="s">
        <v>251</v>
      </c>
      <c r="E253" s="42" t="s">
        <v>47</v>
      </c>
      <c r="F253" s="42" t="str">
        <f>+IFERROR(VLOOKUP(E253,'DANH MỤC'!$C:$H,2,0),"")</f>
        <v>Ivory Ningbo</v>
      </c>
      <c r="G253" s="42" t="str">
        <f>+IFERROR(VLOOKUP(E253,'DANH MỤC'!$C:$H,6,0),"")</f>
        <v>Kg</v>
      </c>
      <c r="H253" s="42">
        <f>+IFERROR(VLOOKUP(E253,'DANH MỤC'!$C:$H,3,0),"")</f>
        <v>210</v>
      </c>
      <c r="I253" s="42">
        <f>+IFERROR(VLOOKUP(E253,'DANH MỤC'!$C:$H,4,0),"")</f>
        <v>109</v>
      </c>
      <c r="J253" s="42" t="str">
        <f>+IFERROR(VLOOKUP(E253,'DANH MỤC'!$C:$H,5,0),"")</f>
        <v/>
      </c>
      <c r="K253" s="53"/>
      <c r="L253" s="58">
        <f>11265-260</f>
        <v>11005</v>
      </c>
      <c r="M253" s="55"/>
      <c r="N253" s="55"/>
    </row>
    <row r="254" ht="15.75" customHeight="1">
      <c r="A254" s="117">
        <f t="shared" si="1"/>
        <v>249</v>
      </c>
      <c r="B254" s="118"/>
      <c r="C254" s="119">
        <v>45630.0</v>
      </c>
      <c r="D254" s="120" t="s">
        <v>146</v>
      </c>
      <c r="E254" s="120" t="s">
        <v>81</v>
      </c>
      <c r="F254" s="120" t="str">
        <f>+IFERROR(VLOOKUP(E254,'DANH MỤC'!$C:$H,2,0),"")</f>
        <v>Lưỡi gà trắng 71mm x 800m x 210gsm</v>
      </c>
      <c r="G254" s="120" t="str">
        <f>+IFERROR(VLOOKUP(E254,'DANH MỤC'!$C:$H,6,0),"")</f>
        <v>Cuộn</v>
      </c>
      <c r="H254" s="120">
        <f>+IFERROR(VLOOKUP(E254,'DANH MỤC'!$C:$H,3,0),"")</f>
        <v>210</v>
      </c>
      <c r="I254" s="120">
        <f>+IFERROR(VLOOKUP(E254,'DANH MỤC'!$C:$H,4,0),"")</f>
        <v>71</v>
      </c>
      <c r="J254" s="120">
        <f>+IFERROR(VLOOKUP(E254,'DANH MỤC'!$C:$H,5,0),"")</f>
        <v>800</v>
      </c>
      <c r="K254" s="117"/>
      <c r="L254" s="121">
        <v>180.0</v>
      </c>
      <c r="M254" s="118"/>
      <c r="N254" s="118"/>
    </row>
    <row r="255" ht="15.75" customHeight="1">
      <c r="A255" s="117">
        <f t="shared" si="1"/>
        <v>250</v>
      </c>
      <c r="B255" s="118"/>
      <c r="C255" s="119">
        <v>45630.0</v>
      </c>
      <c r="D255" s="120" t="s">
        <v>146</v>
      </c>
      <c r="E255" s="120" t="s">
        <v>120</v>
      </c>
      <c r="F255" s="120" t="str">
        <f>+IFERROR(VLOOKUP(E255,'DANH MỤC'!$C:$H,2,0),"")</f>
        <v>Lưỡi gà trắng 98mm x 800m x 230gsm</v>
      </c>
      <c r="G255" s="120" t="str">
        <f>+IFERROR(VLOOKUP(E255,'DANH MỤC'!$C:$H,6,0),"")</f>
        <v>Cuộn</v>
      </c>
      <c r="H255" s="120">
        <f>+IFERROR(VLOOKUP(E255,'DANH MỤC'!$C:$H,3,0),"")</f>
        <v>230</v>
      </c>
      <c r="I255" s="120">
        <f>+IFERROR(VLOOKUP(E255,'DANH MỤC'!$C:$H,4,0),"")</f>
        <v>98</v>
      </c>
      <c r="J255" s="120">
        <f>+IFERROR(VLOOKUP(E255,'DANH MỤC'!$C:$H,5,0),"")</f>
        <v>800</v>
      </c>
      <c r="K255" s="117"/>
      <c r="L255" s="121">
        <v>300.0</v>
      </c>
      <c r="M255" s="118"/>
      <c r="N255" s="118"/>
    </row>
    <row r="256" ht="15.75" customHeight="1">
      <c r="A256" s="53">
        <f t="shared" si="1"/>
        <v>251</v>
      </c>
      <c r="B256" s="55"/>
      <c r="C256" s="41">
        <v>45630.0</v>
      </c>
      <c r="D256" s="42" t="s">
        <v>125</v>
      </c>
      <c r="E256" s="42" t="s">
        <v>127</v>
      </c>
      <c r="F256" s="42" t="str">
        <f>+IFERROR(VLOOKUP(E256,'DANH MỤC'!$C:$H,2,0),"")</f>
        <v>Pallet gỗ 1100x1100x130mm</v>
      </c>
      <c r="G256" s="42" t="str">
        <f>+IFERROR(VLOOKUP(E256,'DANH MỤC'!$C:$H,6,0),"")</f>
        <v>Bộ</v>
      </c>
      <c r="H256" s="42">
        <f>+IFERROR(VLOOKUP(E256,'DANH MỤC'!$C:$H,3,0),"")</f>
        <v>1100</v>
      </c>
      <c r="I256" s="42">
        <f>+IFERROR(VLOOKUP(E256,'DANH MỤC'!$C:$H,4,0),"")</f>
        <v>1100</v>
      </c>
      <c r="J256" s="42">
        <f>+IFERROR(VLOOKUP(E256,'DANH MỤC'!$C:$H,5,0),"")</f>
        <v>130</v>
      </c>
      <c r="K256" s="53"/>
      <c r="L256" s="58">
        <v>16.0</v>
      </c>
      <c r="M256" s="55"/>
      <c r="N256" s="55"/>
    </row>
    <row r="257" ht="15.75" customHeight="1">
      <c r="A257" s="53">
        <f t="shared" si="1"/>
        <v>252</v>
      </c>
      <c r="B257" s="55"/>
      <c r="C257" s="41">
        <v>45630.0</v>
      </c>
      <c r="D257" s="42" t="s">
        <v>125</v>
      </c>
      <c r="E257" s="42" t="s">
        <v>115</v>
      </c>
      <c r="F257" s="42" t="str">
        <f>+IFERROR(VLOOKUP(E257,'DANH MỤC'!$C:$H,2,0),"")</f>
        <v>Màng Strecth Film 5.0-0.6kg</v>
      </c>
      <c r="G257" s="42" t="str">
        <f>+IFERROR(VLOOKUP(E257,'DANH MỤC'!$C:$H,6,0),"")</f>
        <v>Kg</v>
      </c>
      <c r="H257" s="42" t="str">
        <f>+IFERROR(VLOOKUP(E257,'DANH MỤC'!$C:$H,3,0),"")</f>
        <v/>
      </c>
      <c r="I257" s="42" t="str">
        <f>+IFERROR(VLOOKUP(E257,'DANH MỤC'!$C:$H,4,0),"")</f>
        <v/>
      </c>
      <c r="J257" s="42" t="str">
        <f>+IFERROR(VLOOKUP(E257,'DANH MỤC'!$C:$H,5,0),"")</f>
        <v/>
      </c>
      <c r="K257" s="53"/>
      <c r="L257" s="58">
        <v>13.46</v>
      </c>
      <c r="M257" s="55"/>
      <c r="N257" s="55"/>
    </row>
    <row r="258" ht="15.75" customHeight="1">
      <c r="A258" s="53">
        <f t="shared" si="1"/>
        <v>253</v>
      </c>
      <c r="B258" s="55"/>
      <c r="C258" s="41">
        <v>45630.0</v>
      </c>
      <c r="D258" s="42" t="s">
        <v>125</v>
      </c>
      <c r="E258" s="42" t="s">
        <v>112</v>
      </c>
      <c r="F258" s="42" t="str">
        <f>+IFERROR(VLOOKUP(E258,'DANH MỤC'!$C:$H,2,0),"")</f>
        <v>Dây đai PET xanh (B)</v>
      </c>
      <c r="G258" s="42" t="str">
        <f>+IFERROR(VLOOKUP(E258,'DANH MỤC'!$C:$H,6,0),"")</f>
        <v>Kg</v>
      </c>
      <c r="H258" s="42" t="str">
        <f>+IFERROR(VLOOKUP(E258,'DANH MỤC'!$C:$H,3,0),"")</f>
        <v/>
      </c>
      <c r="I258" s="42" t="str">
        <f>+IFERROR(VLOOKUP(E258,'DANH MỤC'!$C:$H,4,0),"")</f>
        <v/>
      </c>
      <c r="J258" s="42" t="str">
        <f>+IFERROR(VLOOKUP(E258,'DANH MỤC'!$C:$H,5,0),"")</f>
        <v/>
      </c>
      <c r="K258" s="53"/>
      <c r="L258" s="58">
        <v>22.77</v>
      </c>
      <c r="M258" s="55"/>
      <c r="N258" s="55"/>
    </row>
    <row r="259" ht="15.75" customHeight="1">
      <c r="A259" s="53">
        <f t="shared" si="1"/>
        <v>254</v>
      </c>
      <c r="B259" s="55"/>
      <c r="C259" s="41">
        <v>45630.0</v>
      </c>
      <c r="D259" s="42" t="s">
        <v>125</v>
      </c>
      <c r="E259" s="42" t="s">
        <v>96</v>
      </c>
      <c r="F259" s="42" t="str">
        <f>+IFERROR(VLOOKUP(E259,'DANH MỤC'!$C:$H,2,0),"")</f>
        <v>Giấy bao gói lưỡi gà</v>
      </c>
      <c r="G259" s="42" t="str">
        <f>+IFERROR(VLOOKUP(E259,'DANH MỤC'!$C:$H,6,0),"")</f>
        <v>Kg</v>
      </c>
      <c r="H259" s="42" t="str">
        <f>+IFERROR(VLOOKUP(E259,'DANH MỤC'!$C:$H,3,0),"")</f>
        <v/>
      </c>
      <c r="I259" s="42" t="str">
        <f>+IFERROR(VLOOKUP(E259,'DANH MỤC'!$C:$H,4,0),"")</f>
        <v/>
      </c>
      <c r="J259" s="42" t="str">
        <f>+IFERROR(VLOOKUP(E259,'DANH MỤC'!$C:$H,5,0),"")</f>
        <v/>
      </c>
      <c r="K259" s="53"/>
      <c r="L259" s="58">
        <v>9.79</v>
      </c>
      <c r="M259" s="55"/>
      <c r="N259" s="55"/>
    </row>
    <row r="260" ht="15.75" customHeight="1">
      <c r="A260" s="53">
        <f t="shared" si="1"/>
        <v>255</v>
      </c>
      <c r="B260" s="55"/>
      <c r="C260" s="41">
        <v>45630.0</v>
      </c>
      <c r="D260" s="42" t="s">
        <v>125</v>
      </c>
      <c r="E260" s="42" t="s">
        <v>97</v>
      </c>
      <c r="F260" s="42" t="str">
        <f>+IFERROR(VLOOKUP(E260,'DANH MỤC'!$C:$H,2,0),"")</f>
        <v>Ống lõi giấy phi 120x7x1000mm</v>
      </c>
      <c r="G260" s="42" t="str">
        <f>+IFERROR(VLOOKUP(E260,'DANH MỤC'!$C:$H,6,0),"")</f>
        <v>Cái</v>
      </c>
      <c r="H260" s="42">
        <f>+IFERROR(VLOOKUP(E260,'DANH MỤC'!$C:$H,3,0),"")</f>
        <v>120</v>
      </c>
      <c r="I260" s="42">
        <f>+IFERROR(VLOOKUP(E260,'DANH MỤC'!$C:$H,4,0),"")</f>
        <v>70</v>
      </c>
      <c r="J260" s="42">
        <f>+IFERROR(VLOOKUP(E260,'DANH MỤC'!$C:$H,5,0),"")</f>
        <v>1000</v>
      </c>
      <c r="K260" s="53"/>
      <c r="L260" s="58">
        <v>6.0</v>
      </c>
      <c r="M260" s="55"/>
      <c r="N260" s="55"/>
    </row>
    <row r="261" ht="15.75" customHeight="1">
      <c r="A261" s="53">
        <f t="shared" si="1"/>
        <v>256</v>
      </c>
      <c r="B261" s="55"/>
      <c r="C261" s="41">
        <v>45630.0</v>
      </c>
      <c r="D261" s="42" t="s">
        <v>125</v>
      </c>
      <c r="E261" s="42" t="s">
        <v>182</v>
      </c>
      <c r="F261" s="42" t="str">
        <f>+IFERROR(VLOOKUP(E261,'DANH MỤC'!$C:$H,2,0),"")</f>
        <v>Ống lõi giấy phi 120x7x71mm</v>
      </c>
      <c r="G261" s="42" t="str">
        <f>+IFERROR(VLOOKUP(E261,'DANH MỤC'!$C:$H,6,0),"")</f>
        <v>Cái</v>
      </c>
      <c r="H261" s="42">
        <f>+IFERROR(VLOOKUP(E261,'DANH MỤC'!$C:$H,3,0),"")</f>
        <v>120</v>
      </c>
      <c r="I261" s="42">
        <f>+IFERROR(VLOOKUP(E261,'DANH MỤC'!$C:$H,4,0),"")</f>
        <v>70</v>
      </c>
      <c r="J261" s="42">
        <f>+IFERROR(VLOOKUP(E261,'DANH MỤC'!$C:$H,5,0),"")</f>
        <v>71</v>
      </c>
      <c r="K261" s="53"/>
      <c r="L261" s="58">
        <v>830.0</v>
      </c>
      <c r="M261" s="55"/>
      <c r="N261" s="55"/>
    </row>
    <row r="262" ht="15.75" customHeight="1">
      <c r="A262" s="53">
        <f t="shared" si="1"/>
        <v>257</v>
      </c>
      <c r="B262" s="55"/>
      <c r="C262" s="41">
        <v>45633.0</v>
      </c>
      <c r="D262" s="42" t="s">
        <v>249</v>
      </c>
      <c r="E262" s="42" t="s">
        <v>81</v>
      </c>
      <c r="F262" s="42" t="str">
        <f>+IFERROR(VLOOKUP(E262,'DANH MỤC'!$C:$H,2,0),"")</f>
        <v>Lưỡi gà trắng 71mm x 800m x 210gsm</v>
      </c>
      <c r="G262" s="42" t="str">
        <f>+IFERROR(VLOOKUP(E262,'DANH MỤC'!$C:$H,6,0),"")</f>
        <v>Cuộn</v>
      </c>
      <c r="H262" s="42">
        <f>+IFERROR(VLOOKUP(E262,'DANH MỤC'!$C:$H,3,0),"")</f>
        <v>210</v>
      </c>
      <c r="I262" s="42">
        <f>+IFERROR(VLOOKUP(E262,'DANH MỤC'!$C:$H,4,0),"")</f>
        <v>71</v>
      </c>
      <c r="J262" s="42">
        <f>+IFERROR(VLOOKUP(E262,'DANH MỤC'!$C:$H,5,0),"")</f>
        <v>800</v>
      </c>
      <c r="K262" s="53">
        <v>240.0</v>
      </c>
      <c r="L262" s="58"/>
      <c r="M262" s="55"/>
      <c r="N262" s="55"/>
    </row>
    <row r="263" ht="15.75" customHeight="1">
      <c r="A263" s="117">
        <f t="shared" si="1"/>
        <v>258</v>
      </c>
      <c r="B263" s="118"/>
      <c r="C263" s="119">
        <v>45635.0</v>
      </c>
      <c r="D263" s="120" t="s">
        <v>146</v>
      </c>
      <c r="E263" s="120" t="s">
        <v>81</v>
      </c>
      <c r="F263" s="120" t="str">
        <f>+IFERROR(VLOOKUP(E263,'DANH MỤC'!$C:$H,2,0),"")</f>
        <v>Lưỡi gà trắng 71mm x 800m x 210gsm</v>
      </c>
      <c r="G263" s="120" t="str">
        <f>+IFERROR(VLOOKUP(E263,'DANH MỤC'!$C:$H,6,0),"")</f>
        <v>Cuộn</v>
      </c>
      <c r="H263" s="120">
        <f>+IFERROR(VLOOKUP(E263,'DANH MỤC'!$C:$H,3,0),"")</f>
        <v>210</v>
      </c>
      <c r="I263" s="120">
        <f>+IFERROR(VLOOKUP(E263,'DANH MỤC'!$C:$H,4,0),"")</f>
        <v>71</v>
      </c>
      <c r="J263" s="120">
        <f>+IFERROR(VLOOKUP(E263,'DANH MỤC'!$C:$H,5,0),"")</f>
        <v>800</v>
      </c>
      <c r="K263" s="117"/>
      <c r="L263" s="121">
        <v>240.0</v>
      </c>
      <c r="M263" s="118"/>
      <c r="N263" s="118"/>
    </row>
    <row r="264" ht="15.75" customHeight="1">
      <c r="A264" s="53">
        <f t="shared" si="1"/>
        <v>259</v>
      </c>
      <c r="B264" s="55"/>
      <c r="C264" s="41">
        <v>45635.0</v>
      </c>
      <c r="D264" s="42" t="s">
        <v>95</v>
      </c>
      <c r="E264" s="42" t="s">
        <v>182</v>
      </c>
      <c r="F264" s="42" t="str">
        <f>+IFERROR(VLOOKUP(E264,'DANH MỤC'!$C:$H,2,0),"")</f>
        <v>Ống lõi giấy phi 120x7x71mm</v>
      </c>
      <c r="G264" s="42" t="str">
        <f>+IFERROR(VLOOKUP(E264,'DANH MỤC'!$C:$H,6,0),"")</f>
        <v>Cái</v>
      </c>
      <c r="H264" s="42">
        <f>+IFERROR(VLOOKUP(E264,'DANH MỤC'!$C:$H,3,0),"")</f>
        <v>120</v>
      </c>
      <c r="I264" s="42">
        <f>+IFERROR(VLOOKUP(E264,'DANH MỤC'!$C:$H,4,0),"")</f>
        <v>70</v>
      </c>
      <c r="J264" s="42">
        <f>+IFERROR(VLOOKUP(E264,'DANH MỤC'!$C:$H,5,0),"")</f>
        <v>71</v>
      </c>
      <c r="K264" s="53">
        <v>2000.0</v>
      </c>
      <c r="L264" s="58"/>
      <c r="M264" s="55"/>
      <c r="N264" s="55"/>
    </row>
    <row r="265" ht="15.75" customHeight="1">
      <c r="A265" s="53">
        <f t="shared" si="1"/>
        <v>260</v>
      </c>
      <c r="B265" s="55"/>
      <c r="C265" s="41">
        <v>45635.0</v>
      </c>
      <c r="D265" s="42" t="s">
        <v>95</v>
      </c>
      <c r="E265" s="42" t="s">
        <v>183</v>
      </c>
      <c r="F265" s="42" t="str">
        <f>+IFERROR(VLOOKUP(E265,'DANH MỤC'!$C:$H,2,0),"")</f>
        <v>Ống lõi giấy phi 120x7x90mm</v>
      </c>
      <c r="G265" s="42" t="str">
        <f>+IFERROR(VLOOKUP(E265,'DANH MỤC'!$C:$H,6,0),"")</f>
        <v>Cái</v>
      </c>
      <c r="H265" s="42">
        <f>+IFERROR(VLOOKUP(E265,'DANH MỤC'!$C:$H,3,0),"")</f>
        <v>120</v>
      </c>
      <c r="I265" s="42">
        <f>+IFERROR(VLOOKUP(E265,'DANH MỤC'!$C:$H,4,0),"")</f>
        <v>70</v>
      </c>
      <c r="J265" s="42">
        <f>+IFERROR(VLOOKUP(E265,'DANH MỤC'!$C:$H,5,0),"")</f>
        <v>90</v>
      </c>
      <c r="K265" s="53">
        <v>2000.0</v>
      </c>
      <c r="L265" s="58"/>
      <c r="M265" s="55"/>
      <c r="N265" s="55"/>
    </row>
    <row r="266" ht="15.75" customHeight="1">
      <c r="A266" s="53">
        <f t="shared" si="1"/>
        <v>261</v>
      </c>
      <c r="B266" s="55"/>
      <c r="C266" s="41">
        <v>45635.0</v>
      </c>
      <c r="D266" s="42" t="s">
        <v>95</v>
      </c>
      <c r="E266" s="42" t="s">
        <v>184</v>
      </c>
      <c r="F266" s="42" t="str">
        <f>+IFERROR(VLOOKUP(E266,'DANH MỤC'!$C:$H,2,0),"")</f>
        <v>Ống lõi giấy phi 120x7x95mm</v>
      </c>
      <c r="G266" s="42" t="str">
        <f>+IFERROR(VLOOKUP(E266,'DANH MỤC'!$C:$H,6,0),"")</f>
        <v>Cái</v>
      </c>
      <c r="H266" s="42">
        <f>+IFERROR(VLOOKUP(E266,'DANH MỤC'!$C:$H,3,0),"")</f>
        <v>120</v>
      </c>
      <c r="I266" s="42">
        <f>+IFERROR(VLOOKUP(E266,'DANH MỤC'!$C:$H,4,0),"")</f>
        <v>70</v>
      </c>
      <c r="J266" s="42">
        <f>+IFERROR(VLOOKUP(E266,'DANH MỤC'!$C:$H,5,0),"")</f>
        <v>95</v>
      </c>
      <c r="K266" s="53">
        <v>1000.0</v>
      </c>
      <c r="L266" s="58"/>
      <c r="M266" s="55"/>
      <c r="N266" s="55"/>
    </row>
    <row r="267" ht="15.75" customHeight="1">
      <c r="A267" s="53">
        <f t="shared" si="1"/>
        <v>262</v>
      </c>
      <c r="B267" s="55"/>
      <c r="C267" s="41">
        <v>45637.0</v>
      </c>
      <c r="D267" s="42" t="s">
        <v>125</v>
      </c>
      <c r="E267" s="42" t="s">
        <v>127</v>
      </c>
      <c r="F267" s="42" t="str">
        <f>+IFERROR(VLOOKUP(E267,'DANH MỤC'!$C:$H,2,0),"")</f>
        <v>Pallet gỗ 1100x1100x130mm</v>
      </c>
      <c r="G267" s="42" t="str">
        <f>+IFERROR(VLOOKUP(E267,'DANH MỤC'!$C:$H,6,0),"")</f>
        <v>Bộ</v>
      </c>
      <c r="H267" s="42">
        <f>+IFERROR(VLOOKUP(E267,'DANH MỤC'!$C:$H,3,0),"")</f>
        <v>1100</v>
      </c>
      <c r="I267" s="42">
        <f>+IFERROR(VLOOKUP(E267,'DANH MỤC'!$C:$H,4,0),"")</f>
        <v>1100</v>
      </c>
      <c r="J267" s="42">
        <f>+IFERROR(VLOOKUP(E267,'DANH MỤC'!$C:$H,5,0),"")</f>
        <v>130</v>
      </c>
      <c r="K267" s="53"/>
      <c r="L267" s="58">
        <v>17.0</v>
      </c>
      <c r="M267" s="55"/>
      <c r="N267" s="55"/>
    </row>
    <row r="268" ht="15.75" customHeight="1">
      <c r="A268" s="53">
        <f t="shared" si="1"/>
        <v>263</v>
      </c>
      <c r="B268" s="55"/>
      <c r="C268" s="41">
        <v>45637.0</v>
      </c>
      <c r="D268" s="42" t="s">
        <v>125</v>
      </c>
      <c r="E268" s="42" t="s">
        <v>115</v>
      </c>
      <c r="F268" s="42" t="str">
        <f>+IFERROR(VLOOKUP(E268,'DANH MỤC'!$C:$H,2,0),"")</f>
        <v>Màng Strecth Film 5.0-0.6kg</v>
      </c>
      <c r="G268" s="42" t="str">
        <f>+IFERROR(VLOOKUP(E268,'DANH MỤC'!$C:$H,6,0),"")</f>
        <v>Kg</v>
      </c>
      <c r="H268" s="42" t="str">
        <f>+IFERROR(VLOOKUP(E268,'DANH MỤC'!$C:$H,3,0),"")</f>
        <v/>
      </c>
      <c r="I268" s="42" t="str">
        <f>+IFERROR(VLOOKUP(E268,'DANH MỤC'!$C:$H,4,0),"")</f>
        <v/>
      </c>
      <c r="J268" s="42" t="str">
        <f>+IFERROR(VLOOKUP(E268,'DANH MỤC'!$C:$H,5,0),"")</f>
        <v/>
      </c>
      <c r="K268" s="53"/>
      <c r="L268" s="58">
        <v>11.44</v>
      </c>
      <c r="M268" s="55"/>
      <c r="N268" s="55"/>
    </row>
    <row r="269" ht="15.75" customHeight="1">
      <c r="A269" s="53">
        <f t="shared" si="1"/>
        <v>264</v>
      </c>
      <c r="B269" s="55"/>
      <c r="C269" s="41">
        <v>45637.0</v>
      </c>
      <c r="D269" s="42" t="s">
        <v>125</v>
      </c>
      <c r="E269" s="42" t="s">
        <v>112</v>
      </c>
      <c r="F269" s="42" t="str">
        <f>+IFERROR(VLOOKUP(E269,'DANH MỤC'!$C:$H,2,0),"")</f>
        <v>Dây đai PET xanh (B)</v>
      </c>
      <c r="G269" s="42" t="str">
        <f>+IFERROR(VLOOKUP(E269,'DANH MỤC'!$C:$H,6,0),"")</f>
        <v>Kg</v>
      </c>
      <c r="H269" s="42" t="str">
        <f>+IFERROR(VLOOKUP(E269,'DANH MỤC'!$C:$H,3,0),"")</f>
        <v/>
      </c>
      <c r="I269" s="42" t="str">
        <f>+IFERROR(VLOOKUP(E269,'DANH MỤC'!$C:$H,4,0),"")</f>
        <v/>
      </c>
      <c r="J269" s="42" t="str">
        <f>+IFERROR(VLOOKUP(E269,'DANH MỤC'!$C:$H,5,0),"")</f>
        <v/>
      </c>
      <c r="K269" s="53"/>
      <c r="L269" s="58">
        <v>19.35</v>
      </c>
      <c r="M269" s="55"/>
      <c r="N269" s="55"/>
    </row>
    <row r="270" ht="15.75" customHeight="1">
      <c r="A270" s="53">
        <f t="shared" si="1"/>
        <v>265</v>
      </c>
      <c r="B270" s="55"/>
      <c r="C270" s="41">
        <v>45637.0</v>
      </c>
      <c r="D270" s="42" t="s">
        <v>125</v>
      </c>
      <c r="E270" s="42" t="s">
        <v>96</v>
      </c>
      <c r="F270" s="42" t="str">
        <f>+IFERROR(VLOOKUP(E270,'DANH MỤC'!$C:$H,2,0),"")</f>
        <v>Giấy bao gói lưỡi gà</v>
      </c>
      <c r="G270" s="42" t="str">
        <f>+IFERROR(VLOOKUP(E270,'DANH MỤC'!$C:$H,6,0),"")</f>
        <v>Kg</v>
      </c>
      <c r="H270" s="42" t="str">
        <f>+IFERROR(VLOOKUP(E270,'DANH MỤC'!$C:$H,3,0),"")</f>
        <v/>
      </c>
      <c r="I270" s="42" t="str">
        <f>+IFERROR(VLOOKUP(E270,'DANH MỤC'!$C:$H,4,0),"")</f>
        <v/>
      </c>
      <c r="J270" s="42" t="str">
        <f>+IFERROR(VLOOKUP(E270,'DANH MỤC'!$C:$H,5,0),"")</f>
        <v/>
      </c>
      <c r="K270" s="53"/>
      <c r="L270" s="58">
        <v>11.45</v>
      </c>
      <c r="M270" s="55"/>
      <c r="N270" s="55"/>
    </row>
    <row r="271" ht="15.75" customHeight="1">
      <c r="A271" s="53">
        <f t="shared" si="1"/>
        <v>266</v>
      </c>
      <c r="B271" s="55"/>
      <c r="C271" s="41">
        <v>45637.0</v>
      </c>
      <c r="D271" s="42" t="s">
        <v>125</v>
      </c>
      <c r="E271" s="42" t="s">
        <v>97</v>
      </c>
      <c r="F271" s="42" t="str">
        <f>+IFERROR(VLOOKUP(E271,'DANH MỤC'!$C:$H,2,0),"")</f>
        <v>Ống lõi giấy phi 120x7x1000mm</v>
      </c>
      <c r="G271" s="42" t="str">
        <f>+IFERROR(VLOOKUP(E271,'DANH MỤC'!$C:$H,6,0),"")</f>
        <v>Cái</v>
      </c>
      <c r="H271" s="42">
        <f>+IFERROR(VLOOKUP(E271,'DANH MỤC'!$C:$H,3,0),"")</f>
        <v>120</v>
      </c>
      <c r="I271" s="42">
        <f>+IFERROR(VLOOKUP(E271,'DANH MỤC'!$C:$H,4,0),"")</f>
        <v>70</v>
      </c>
      <c r="J271" s="42">
        <f>+IFERROR(VLOOKUP(E271,'DANH MỤC'!$C:$H,5,0),"")</f>
        <v>1000</v>
      </c>
      <c r="K271" s="53"/>
      <c r="L271" s="58">
        <v>16.0</v>
      </c>
      <c r="M271" s="55"/>
      <c r="N271" s="55"/>
    </row>
    <row r="272" ht="15.75" customHeight="1">
      <c r="A272" s="53">
        <f t="shared" si="1"/>
        <v>267</v>
      </c>
      <c r="B272" s="55"/>
      <c r="C272" s="41">
        <v>45637.0</v>
      </c>
      <c r="D272" s="42" t="s">
        <v>125</v>
      </c>
      <c r="E272" s="42" t="s">
        <v>182</v>
      </c>
      <c r="F272" s="42" t="str">
        <f>+IFERROR(VLOOKUP(E272,'DANH MỤC'!$C:$H,2,0),"")</f>
        <v>Ống lõi giấy phi 120x7x71mm</v>
      </c>
      <c r="G272" s="42" t="str">
        <f>+IFERROR(VLOOKUP(E272,'DANH MỤC'!$C:$H,6,0),"")</f>
        <v>Cái</v>
      </c>
      <c r="H272" s="42">
        <f>+IFERROR(VLOOKUP(E272,'DANH MỤC'!$C:$H,3,0),"")</f>
        <v>120</v>
      </c>
      <c r="I272" s="42">
        <f>+IFERROR(VLOOKUP(E272,'DANH MỤC'!$C:$H,4,0),"")</f>
        <v>70</v>
      </c>
      <c r="J272" s="42">
        <f>+IFERROR(VLOOKUP(E272,'DANH MỤC'!$C:$H,5,0),"")</f>
        <v>71</v>
      </c>
      <c r="K272" s="53"/>
      <c r="L272" s="58">
        <v>860.0</v>
      </c>
      <c r="M272" s="55"/>
      <c r="N272" s="55"/>
    </row>
    <row r="273" ht="15.75" customHeight="1">
      <c r="A273" s="53">
        <f t="shared" si="1"/>
        <v>268</v>
      </c>
      <c r="B273" s="55" t="s">
        <v>300</v>
      </c>
      <c r="C273" s="41">
        <v>45638.0</v>
      </c>
      <c r="D273" s="42" t="s">
        <v>301</v>
      </c>
      <c r="E273" s="42" t="s">
        <v>189</v>
      </c>
      <c r="F273" s="42" t="str">
        <f>+IFERROR(VLOOKUP(E273,'DANH MỤC'!$C:$H,2,0),"")</f>
        <v>Ivory Ningbo</v>
      </c>
      <c r="G273" s="42" t="str">
        <f>+IFERROR(VLOOKUP(E273,'DANH MỤC'!$C:$H,6,0),"")</f>
        <v>Kg</v>
      </c>
      <c r="H273" s="42">
        <f>+IFERROR(VLOOKUP(E273,'DANH MỤC'!$C:$H,3,0),"")</f>
        <v>230</v>
      </c>
      <c r="I273" s="42">
        <f>+IFERROR(VLOOKUP(E273,'DANH MỤC'!$C:$H,4,0),"")</f>
        <v>109</v>
      </c>
      <c r="J273" s="42" t="str">
        <f>+IFERROR(VLOOKUP(E273,'DANH MỤC'!$C:$H,5,0),"")</f>
        <v/>
      </c>
      <c r="K273" s="53"/>
      <c r="L273" s="58">
        <f>11450-240</f>
        <v>11210</v>
      </c>
      <c r="M273" s="55"/>
      <c r="N273" s="55"/>
    </row>
    <row r="274" ht="15.75" customHeight="1">
      <c r="A274" s="53">
        <f t="shared" si="1"/>
        <v>269</v>
      </c>
      <c r="B274" s="55"/>
      <c r="C274" s="41">
        <v>45638.0</v>
      </c>
      <c r="D274" s="42" t="s">
        <v>249</v>
      </c>
      <c r="E274" s="42" t="s">
        <v>81</v>
      </c>
      <c r="F274" s="42" t="str">
        <f>+IFERROR(VLOOKUP(E274,'DANH MỤC'!$C:$H,2,0),"")</f>
        <v>Lưỡi gà trắng 71mm x 800m x 210gsm</v>
      </c>
      <c r="G274" s="42" t="str">
        <f>+IFERROR(VLOOKUP(E274,'DANH MỤC'!$C:$H,6,0),"")</f>
        <v>Cuộn</v>
      </c>
      <c r="H274" s="42">
        <f>+IFERROR(VLOOKUP(E274,'DANH MỤC'!$C:$H,3,0),"")</f>
        <v>210</v>
      </c>
      <c r="I274" s="42">
        <f>+IFERROR(VLOOKUP(E274,'DANH MỤC'!$C:$H,4,0),"")</f>
        <v>71</v>
      </c>
      <c r="J274" s="42">
        <f>+IFERROR(VLOOKUP(E274,'DANH MỤC'!$C:$H,5,0),"")</f>
        <v>800</v>
      </c>
      <c r="K274" s="53">
        <v>589.0</v>
      </c>
      <c r="L274" s="58"/>
      <c r="M274" s="55"/>
      <c r="N274" s="55"/>
    </row>
    <row r="275" ht="15.75" customHeight="1">
      <c r="A275" s="53">
        <f t="shared" si="1"/>
        <v>270</v>
      </c>
      <c r="B275" s="55"/>
      <c r="C275" s="41">
        <v>45638.0</v>
      </c>
      <c r="D275" s="42" t="s">
        <v>249</v>
      </c>
      <c r="E275" s="42" t="s">
        <v>89</v>
      </c>
      <c r="F275" s="42" t="str">
        <f>+IFERROR(VLOOKUP(E275,'DANH MỤC'!$C:$H,2,0),"")</f>
        <v>Lưỡi gà trắng 83mm x 800m x 210gsm</v>
      </c>
      <c r="G275" s="42" t="str">
        <f>+IFERROR(VLOOKUP(E275,'DANH MỤC'!$C:$H,6,0),"")</f>
        <v>Cuộn</v>
      </c>
      <c r="H275" s="42">
        <f>+IFERROR(VLOOKUP(E275,'DANH MỤC'!$C:$H,3,0),"")</f>
        <v>210</v>
      </c>
      <c r="I275" s="42">
        <f>+IFERROR(VLOOKUP(E275,'DANH MỤC'!$C:$H,4,0),"")</f>
        <v>83</v>
      </c>
      <c r="J275" s="42">
        <f>+IFERROR(VLOOKUP(E275,'DANH MỤC'!$C:$H,5,0),"")</f>
        <v>800</v>
      </c>
      <c r="K275" s="53">
        <v>58.0</v>
      </c>
      <c r="L275" s="58"/>
      <c r="M275" s="55"/>
      <c r="N275" s="55"/>
    </row>
    <row r="276" ht="15.75" customHeight="1">
      <c r="A276" s="53">
        <f t="shared" si="1"/>
        <v>271</v>
      </c>
      <c r="B276" s="55"/>
      <c r="C276" s="41">
        <v>45638.0</v>
      </c>
      <c r="D276" s="42" t="s">
        <v>249</v>
      </c>
      <c r="E276" s="42" t="s">
        <v>98</v>
      </c>
      <c r="F276" s="42" t="str">
        <f>+IFERROR(VLOOKUP(E276,'DANH MỤC'!$C:$H,2,0),"")</f>
        <v>Lưỡi gà trắng 91mm x 800m x 210gsm</v>
      </c>
      <c r="G276" s="42" t="str">
        <f>+IFERROR(VLOOKUP(E276,'DANH MỤC'!$C:$H,6,0),"")</f>
        <v>Cuộn</v>
      </c>
      <c r="H276" s="42">
        <f>+IFERROR(VLOOKUP(E276,'DANH MỤC'!$C:$H,3,0),"")</f>
        <v>210</v>
      </c>
      <c r="I276" s="42">
        <f>+IFERROR(VLOOKUP(E276,'DANH MỤC'!$C:$H,4,0),"")</f>
        <v>91</v>
      </c>
      <c r="J276" s="42">
        <f>+IFERROR(VLOOKUP(E276,'DANH MỤC'!$C:$H,5,0),"")</f>
        <v>800</v>
      </c>
      <c r="K276" s="53">
        <v>10.0</v>
      </c>
      <c r="L276" s="58"/>
      <c r="M276" s="55"/>
      <c r="N276" s="55"/>
    </row>
    <row r="277" ht="15.75" customHeight="1">
      <c r="A277" s="53">
        <f t="shared" si="1"/>
        <v>272</v>
      </c>
      <c r="B277" s="55"/>
      <c r="C277" s="41">
        <v>45638.0</v>
      </c>
      <c r="D277" s="42" t="s">
        <v>125</v>
      </c>
      <c r="E277" s="42" t="s">
        <v>107</v>
      </c>
      <c r="F277" s="42" t="str">
        <f>+IFERROR(VLOOKUP(E277,'DANH MỤC'!$C:$H,2,0),"")</f>
        <v>Pallet gỗ 1200x1200x130mm</v>
      </c>
      <c r="G277" s="42" t="str">
        <f>+IFERROR(VLOOKUP(E277,'DANH MỤC'!$C:$H,6,0),"")</f>
        <v>Bộ</v>
      </c>
      <c r="H277" s="42">
        <f>+IFERROR(VLOOKUP(E277,'DANH MỤC'!$C:$H,3,0),"")</f>
        <v>1200</v>
      </c>
      <c r="I277" s="42">
        <f>+IFERROR(VLOOKUP(E277,'DANH MỤC'!$C:$H,4,0),"")</f>
        <v>1200</v>
      </c>
      <c r="J277" s="42">
        <f>+IFERROR(VLOOKUP(E277,'DANH MỤC'!$C:$H,5,0),"")</f>
        <v>130</v>
      </c>
      <c r="K277" s="53"/>
      <c r="L277" s="58">
        <v>11.0</v>
      </c>
      <c r="M277" s="55"/>
      <c r="N277" s="55"/>
    </row>
    <row r="278" ht="15.75" customHeight="1">
      <c r="A278" s="53">
        <f t="shared" si="1"/>
        <v>273</v>
      </c>
      <c r="B278" s="55"/>
      <c r="C278" s="41">
        <v>45638.0</v>
      </c>
      <c r="D278" s="42" t="s">
        <v>125</v>
      </c>
      <c r="E278" s="42" t="s">
        <v>115</v>
      </c>
      <c r="F278" s="42" t="str">
        <f>+IFERROR(VLOOKUP(E278,'DANH MỤC'!$C:$H,2,0),"")</f>
        <v>Màng Strecth Film 5.0-0.6kg</v>
      </c>
      <c r="G278" s="42" t="str">
        <f>+IFERROR(VLOOKUP(E278,'DANH MỤC'!$C:$H,6,0),"")</f>
        <v>Kg</v>
      </c>
      <c r="H278" s="42" t="str">
        <f>+IFERROR(VLOOKUP(E278,'DANH MỤC'!$C:$H,3,0),"")</f>
        <v/>
      </c>
      <c r="I278" s="42" t="str">
        <f>+IFERROR(VLOOKUP(E278,'DANH MỤC'!$C:$H,4,0),"")</f>
        <v/>
      </c>
      <c r="J278" s="42" t="str">
        <f>+IFERROR(VLOOKUP(E278,'DANH MỤC'!$C:$H,5,0),"")</f>
        <v/>
      </c>
      <c r="K278" s="53"/>
      <c r="L278" s="58">
        <v>6.7275</v>
      </c>
      <c r="M278" s="55"/>
      <c r="N278" s="55"/>
    </row>
    <row r="279" ht="15.75" customHeight="1">
      <c r="A279" s="53">
        <f t="shared" si="1"/>
        <v>274</v>
      </c>
      <c r="B279" s="55"/>
      <c r="C279" s="41">
        <v>45638.0</v>
      </c>
      <c r="D279" s="42" t="s">
        <v>125</v>
      </c>
      <c r="E279" s="42" t="s">
        <v>112</v>
      </c>
      <c r="F279" s="42" t="str">
        <f>+IFERROR(VLOOKUP(E279,'DANH MỤC'!$C:$H,2,0),"")</f>
        <v>Dây đai PET xanh (B)</v>
      </c>
      <c r="G279" s="42" t="str">
        <f>+IFERROR(VLOOKUP(E279,'DANH MỤC'!$C:$H,6,0),"")</f>
        <v>Kg</v>
      </c>
      <c r="H279" s="42" t="str">
        <f>+IFERROR(VLOOKUP(E279,'DANH MỤC'!$C:$H,3,0),"")</f>
        <v/>
      </c>
      <c r="I279" s="42" t="str">
        <f>+IFERROR(VLOOKUP(E279,'DANH MỤC'!$C:$H,4,0),"")</f>
        <v/>
      </c>
      <c r="J279" s="42" t="str">
        <f>+IFERROR(VLOOKUP(E279,'DANH MỤC'!$C:$H,5,0),"")</f>
        <v/>
      </c>
      <c r="K279" s="53"/>
      <c r="L279" s="58">
        <v>11.385</v>
      </c>
      <c r="M279" s="55"/>
      <c r="N279" s="55"/>
    </row>
    <row r="280" ht="15.75" customHeight="1">
      <c r="A280" s="53">
        <f t="shared" si="1"/>
        <v>275</v>
      </c>
      <c r="B280" s="55"/>
      <c r="C280" s="41">
        <v>45638.0</v>
      </c>
      <c r="D280" s="42" t="s">
        <v>125</v>
      </c>
      <c r="E280" s="42" t="s">
        <v>96</v>
      </c>
      <c r="F280" s="42" t="str">
        <f>+IFERROR(VLOOKUP(E280,'DANH MỤC'!$C:$H,2,0),"")</f>
        <v>Giấy bao gói lưỡi gà</v>
      </c>
      <c r="G280" s="42" t="str">
        <f>+IFERROR(VLOOKUP(E280,'DANH MỤC'!$C:$H,6,0),"")</f>
        <v>Kg</v>
      </c>
      <c r="H280" s="42" t="str">
        <f>+IFERROR(VLOOKUP(E280,'DANH MỤC'!$C:$H,3,0),"")</f>
        <v/>
      </c>
      <c r="I280" s="42" t="str">
        <f>+IFERROR(VLOOKUP(E280,'DANH MỤC'!$C:$H,4,0),"")</f>
        <v/>
      </c>
      <c r="J280" s="42" t="str">
        <f>+IFERROR(VLOOKUP(E280,'DANH MỤC'!$C:$H,5,0),"")</f>
        <v/>
      </c>
      <c r="K280" s="53"/>
      <c r="L280" s="58">
        <v>9.18468936</v>
      </c>
      <c r="M280" s="55"/>
      <c r="N280" s="55"/>
    </row>
    <row r="281" ht="15.75" customHeight="1">
      <c r="A281" s="53">
        <f t="shared" si="1"/>
        <v>276</v>
      </c>
      <c r="B281" s="55"/>
      <c r="C281" s="41">
        <v>45638.0</v>
      </c>
      <c r="D281" s="42" t="s">
        <v>125</v>
      </c>
      <c r="E281" s="42" t="s">
        <v>204</v>
      </c>
      <c r="F281" s="42" t="str">
        <f>+IFERROR(VLOOKUP(E281,'DANH MỤC'!$C:$H,2,0),"")</f>
        <v>Ống lõi giấy phi 120x7x98mm</v>
      </c>
      <c r="G281" s="42" t="str">
        <f>+IFERROR(VLOOKUP(E281,'DANH MỤC'!$C:$H,6,0),"")</f>
        <v>Cái</v>
      </c>
      <c r="H281" s="42">
        <f>+IFERROR(VLOOKUP(E281,'DANH MỤC'!$C:$H,3,0),"")</f>
        <v>120</v>
      </c>
      <c r="I281" s="42">
        <f>+IFERROR(VLOOKUP(E281,'DANH MỤC'!$C:$H,4,0),"")</f>
        <v>70</v>
      </c>
      <c r="J281" s="42">
        <f>+IFERROR(VLOOKUP(E281,'DANH MỤC'!$C:$H,5,0),"")</f>
        <v>98</v>
      </c>
      <c r="K281" s="53"/>
      <c r="L281" s="58">
        <v>416.0</v>
      </c>
      <c r="M281" s="55"/>
      <c r="N281" s="55"/>
    </row>
    <row r="282" ht="15.75" customHeight="1">
      <c r="A282" s="117">
        <f t="shared" si="1"/>
        <v>277</v>
      </c>
      <c r="B282" s="118"/>
      <c r="C282" s="119">
        <v>45639.0</v>
      </c>
      <c r="D282" s="120" t="s">
        <v>146</v>
      </c>
      <c r="E282" s="120" t="s">
        <v>81</v>
      </c>
      <c r="F282" s="120" t="str">
        <f>+IFERROR(VLOOKUP(E282,'DANH MỤC'!$C:$H,2,0),"")</f>
        <v>Lưỡi gà trắng 71mm x 800m x 210gsm</v>
      </c>
      <c r="G282" s="120" t="str">
        <f>+IFERROR(VLOOKUP(E282,'DANH MỤC'!$C:$H,6,0),"")</f>
        <v>Cuộn</v>
      </c>
      <c r="H282" s="120">
        <f>+IFERROR(VLOOKUP(E282,'DANH MỤC'!$C:$H,3,0),"")</f>
        <v>210</v>
      </c>
      <c r="I282" s="120">
        <f>+IFERROR(VLOOKUP(E282,'DANH MỤC'!$C:$H,4,0),"")</f>
        <v>71</v>
      </c>
      <c r="J282" s="120">
        <f>+IFERROR(VLOOKUP(E282,'DANH MỤC'!$C:$H,5,0),"")</f>
        <v>800</v>
      </c>
      <c r="K282" s="117"/>
      <c r="L282" s="121">
        <v>420.0</v>
      </c>
      <c r="M282" s="118"/>
      <c r="N282" s="118"/>
    </row>
    <row r="283" ht="15.75" customHeight="1">
      <c r="A283" s="117">
        <f t="shared" si="1"/>
        <v>278</v>
      </c>
      <c r="B283" s="118"/>
      <c r="C283" s="119">
        <v>45639.0</v>
      </c>
      <c r="D283" s="120" t="s">
        <v>146</v>
      </c>
      <c r="E283" s="120" t="s">
        <v>104</v>
      </c>
      <c r="F283" s="120" t="str">
        <f>+IFERROR(VLOOKUP(E283,'DANH MỤC'!$C:$H,2,0),"")</f>
        <v>Lưỡi gà trắng 95mm x 800m x 210gsm</v>
      </c>
      <c r="G283" s="120" t="str">
        <f>+IFERROR(VLOOKUP(E283,'DANH MỤC'!$C:$H,6,0),"")</f>
        <v>Cuộn</v>
      </c>
      <c r="H283" s="120">
        <f>+IFERROR(VLOOKUP(E283,'DANH MỤC'!$C:$H,3,0),"")</f>
        <v>210</v>
      </c>
      <c r="I283" s="120">
        <f>+IFERROR(VLOOKUP(E283,'DANH MỤC'!$C:$H,4,0),"")</f>
        <v>95</v>
      </c>
      <c r="J283" s="120">
        <f>+IFERROR(VLOOKUP(E283,'DANH MỤC'!$C:$H,5,0),"")</f>
        <v>800</v>
      </c>
      <c r="K283" s="117"/>
      <c r="L283" s="121">
        <v>60.0</v>
      </c>
      <c r="M283" s="118"/>
      <c r="N283" s="118"/>
    </row>
    <row r="284" ht="15.75" customHeight="1">
      <c r="A284" s="117">
        <f t="shared" si="1"/>
        <v>279</v>
      </c>
      <c r="B284" s="118"/>
      <c r="C284" s="119">
        <v>45639.0</v>
      </c>
      <c r="D284" s="120" t="s">
        <v>146</v>
      </c>
      <c r="E284" s="120" t="s">
        <v>98</v>
      </c>
      <c r="F284" s="120" t="str">
        <f>+IFERROR(VLOOKUP(E284,'DANH MỤC'!$C:$H,2,0),"")</f>
        <v>Lưỡi gà trắng 91mm x 800m x 210gsm</v>
      </c>
      <c r="G284" s="120" t="str">
        <f>+IFERROR(VLOOKUP(E284,'DANH MỤC'!$C:$H,6,0),"")</f>
        <v>Cuộn</v>
      </c>
      <c r="H284" s="120">
        <f>+IFERROR(VLOOKUP(E284,'DANH MỤC'!$C:$H,3,0),"")</f>
        <v>210</v>
      </c>
      <c r="I284" s="120">
        <f>+IFERROR(VLOOKUP(E284,'DANH MỤC'!$C:$H,4,0),"")</f>
        <v>91</v>
      </c>
      <c r="J284" s="120">
        <f>+IFERROR(VLOOKUP(E284,'DANH MỤC'!$C:$H,5,0),"")</f>
        <v>800</v>
      </c>
      <c r="K284" s="117"/>
      <c r="L284" s="121">
        <v>10.0</v>
      </c>
      <c r="M284" s="118"/>
      <c r="N284" s="118"/>
    </row>
    <row r="285" ht="15.75" customHeight="1">
      <c r="A285" s="53">
        <f t="shared" si="1"/>
        <v>280</v>
      </c>
      <c r="B285" s="55"/>
      <c r="C285" s="41">
        <v>45639.0</v>
      </c>
      <c r="D285" s="42" t="s">
        <v>95</v>
      </c>
      <c r="E285" s="42" t="s">
        <v>107</v>
      </c>
      <c r="F285" s="42" t="str">
        <f>+IFERROR(VLOOKUP(E285,'DANH MỤC'!$C:$H,2,0),"")</f>
        <v>Pallet gỗ 1200x1200x130mm</v>
      </c>
      <c r="G285" s="42" t="str">
        <f>+IFERROR(VLOOKUP(E285,'DANH MỤC'!$C:$H,6,0),"")</f>
        <v>Bộ</v>
      </c>
      <c r="H285" s="42">
        <f>+IFERROR(VLOOKUP(E285,'DANH MỤC'!$C:$H,3,0),"")</f>
        <v>1200</v>
      </c>
      <c r="I285" s="42">
        <f>+IFERROR(VLOOKUP(E285,'DANH MỤC'!$C:$H,4,0),"")</f>
        <v>1200</v>
      </c>
      <c r="J285" s="42">
        <f>+IFERROR(VLOOKUP(E285,'DANH MỤC'!$C:$H,5,0),"")</f>
        <v>130</v>
      </c>
      <c r="K285" s="53">
        <v>50.0</v>
      </c>
      <c r="L285" s="58"/>
      <c r="M285" s="55"/>
      <c r="N285" s="55"/>
    </row>
    <row r="286" ht="15.75" customHeight="1">
      <c r="A286" s="53">
        <f t="shared" si="1"/>
        <v>281</v>
      </c>
      <c r="B286" s="55"/>
      <c r="C286" s="41">
        <v>45639.0</v>
      </c>
      <c r="D286" s="42" t="s">
        <v>95</v>
      </c>
      <c r="E286" s="42" t="s">
        <v>127</v>
      </c>
      <c r="F286" s="42" t="str">
        <f>+IFERROR(VLOOKUP(E286,'DANH MỤC'!$C:$H,2,0),"")</f>
        <v>Pallet gỗ 1100x1100x130mm</v>
      </c>
      <c r="G286" s="42" t="str">
        <f>+IFERROR(VLOOKUP(E286,'DANH MỤC'!$C:$H,6,0),"")</f>
        <v>Bộ</v>
      </c>
      <c r="H286" s="42">
        <f>+IFERROR(VLOOKUP(E286,'DANH MỤC'!$C:$H,3,0),"")</f>
        <v>1100</v>
      </c>
      <c r="I286" s="42">
        <f>+IFERROR(VLOOKUP(E286,'DANH MỤC'!$C:$H,4,0),"")</f>
        <v>1100</v>
      </c>
      <c r="J286" s="42">
        <f>+IFERROR(VLOOKUP(E286,'DANH MỤC'!$C:$H,5,0),"")</f>
        <v>130</v>
      </c>
      <c r="K286" s="53">
        <v>50.0</v>
      </c>
      <c r="L286" s="58"/>
      <c r="M286" s="55"/>
      <c r="N286" s="55"/>
    </row>
    <row r="287" ht="15.75" customHeight="1">
      <c r="A287" s="53">
        <f t="shared" si="1"/>
        <v>282</v>
      </c>
      <c r="B287" s="55"/>
      <c r="C287" s="41">
        <v>45639.0</v>
      </c>
      <c r="D287" s="42" t="s">
        <v>95</v>
      </c>
      <c r="E287" s="42" t="s">
        <v>156</v>
      </c>
      <c r="F287" s="42" t="str">
        <f>+IFERROR(VLOOKUP(E287,'DANH MỤC'!$C:$H,2,0),"")</f>
        <v>Nẹp gỗ pallet dài 1.15m</v>
      </c>
      <c r="G287" s="42" t="str">
        <f>+IFERROR(VLOOKUP(E287,'DANH MỤC'!$C:$H,6,0),"")</f>
        <v>Cái</v>
      </c>
      <c r="H287" s="42" t="str">
        <f>+IFERROR(VLOOKUP(E287,'DANH MỤC'!$C:$H,3,0),"")</f>
        <v/>
      </c>
      <c r="I287" s="42" t="str">
        <f>+IFERROR(VLOOKUP(E287,'DANH MỤC'!$C:$H,4,0),"")</f>
        <v/>
      </c>
      <c r="J287" s="42">
        <f>+IFERROR(VLOOKUP(E287,'DANH MỤC'!$C:$H,5,0),"")</f>
        <v>1150</v>
      </c>
      <c r="K287" s="53">
        <v>200.0</v>
      </c>
      <c r="L287" s="58"/>
      <c r="M287" s="55"/>
      <c r="N287" s="55"/>
    </row>
    <row r="288" ht="15.75" customHeight="1">
      <c r="A288" s="53">
        <f t="shared" si="1"/>
        <v>283</v>
      </c>
      <c r="B288" s="55"/>
      <c r="C288" s="41">
        <v>45642.0</v>
      </c>
      <c r="D288" s="42" t="s">
        <v>249</v>
      </c>
      <c r="E288" s="42" t="s">
        <v>120</v>
      </c>
      <c r="F288" s="42" t="str">
        <f>+IFERROR(VLOOKUP(E288,'DANH MỤC'!$C:$H,2,0),"")</f>
        <v>Lưỡi gà trắng 98mm x 800m x 230gsm</v>
      </c>
      <c r="G288" s="42" t="str">
        <f>+IFERROR(VLOOKUP(E288,'DANH MỤC'!$C:$H,6,0),"")</f>
        <v>Cuộn</v>
      </c>
      <c r="H288" s="42">
        <f>+IFERROR(VLOOKUP(E288,'DANH MỤC'!$C:$H,3,0),"")</f>
        <v>230</v>
      </c>
      <c r="I288" s="42">
        <f>+IFERROR(VLOOKUP(E288,'DANH MỤC'!$C:$H,4,0),"")</f>
        <v>98</v>
      </c>
      <c r="J288" s="42">
        <f>+IFERROR(VLOOKUP(E288,'DANH MỤC'!$C:$H,5,0),"")</f>
        <v>800</v>
      </c>
      <c r="K288" s="53">
        <v>300.0</v>
      </c>
      <c r="L288" s="58"/>
      <c r="M288" s="55"/>
      <c r="N288" s="55"/>
    </row>
    <row r="289" ht="15.75" customHeight="1">
      <c r="A289" s="117">
        <f t="shared" si="1"/>
        <v>284</v>
      </c>
      <c r="B289" s="118"/>
      <c r="C289" s="119">
        <v>45642.0</v>
      </c>
      <c r="D289" s="120" t="s">
        <v>146</v>
      </c>
      <c r="E289" s="120" t="s">
        <v>120</v>
      </c>
      <c r="F289" s="120" t="str">
        <f>+IFERROR(VLOOKUP(E289,'DANH MỤC'!$C:$H,2,0),"")</f>
        <v>Lưỡi gà trắng 98mm x 800m x 230gsm</v>
      </c>
      <c r="G289" s="120" t="str">
        <f>+IFERROR(VLOOKUP(E289,'DANH MỤC'!$C:$H,6,0),"")</f>
        <v>Cuộn</v>
      </c>
      <c r="H289" s="120">
        <f>+IFERROR(VLOOKUP(E289,'DANH MỤC'!$C:$H,3,0),"")</f>
        <v>230</v>
      </c>
      <c r="I289" s="120">
        <f>+IFERROR(VLOOKUP(E289,'DANH MỤC'!$C:$H,4,0),"")</f>
        <v>98</v>
      </c>
      <c r="J289" s="120">
        <f>+IFERROR(VLOOKUP(E289,'DANH MỤC'!$C:$H,5,0),"")</f>
        <v>800</v>
      </c>
      <c r="K289" s="117"/>
      <c r="L289" s="121">
        <v>300.0</v>
      </c>
      <c r="M289" s="118"/>
      <c r="N289" s="118"/>
    </row>
    <row r="290" ht="15.75" customHeight="1">
      <c r="A290" s="53">
        <f t="shared" si="1"/>
        <v>285</v>
      </c>
      <c r="B290" s="55"/>
      <c r="C290" s="41">
        <v>45644.0</v>
      </c>
      <c r="D290" s="42" t="s">
        <v>249</v>
      </c>
      <c r="E290" s="42" t="s">
        <v>120</v>
      </c>
      <c r="F290" s="42" t="str">
        <f>+IFERROR(VLOOKUP(E290,'DANH MỤC'!$C:$H,2,0),"")</f>
        <v>Lưỡi gà trắng 98mm x 800m x 230gsm</v>
      </c>
      <c r="G290" s="42" t="str">
        <f>+IFERROR(VLOOKUP(E290,'DANH MỤC'!$C:$H,6,0),"")</f>
        <v>Cuộn</v>
      </c>
      <c r="H290" s="42">
        <f>+IFERROR(VLOOKUP(E290,'DANH MỤC'!$C:$H,3,0),"")</f>
        <v>230</v>
      </c>
      <c r="I290" s="42">
        <f>+IFERROR(VLOOKUP(E290,'DANH MỤC'!$C:$H,4,0),"")</f>
        <v>98</v>
      </c>
      <c r="J290" s="42">
        <f>+IFERROR(VLOOKUP(E290,'DANH MỤC'!$C:$H,5,0),"")</f>
        <v>800</v>
      </c>
      <c r="K290" s="53">
        <v>316.0</v>
      </c>
      <c r="L290" s="58"/>
      <c r="M290" s="55"/>
      <c r="N290" s="55"/>
    </row>
    <row r="291" ht="15.75" customHeight="1">
      <c r="A291" s="53">
        <f t="shared" si="1"/>
        <v>286</v>
      </c>
      <c r="B291" s="55"/>
      <c r="C291" s="41">
        <v>45644.0</v>
      </c>
      <c r="D291" s="42" t="s">
        <v>125</v>
      </c>
      <c r="E291" s="42" t="s">
        <v>107</v>
      </c>
      <c r="F291" s="42" t="str">
        <f>+IFERROR(VLOOKUP(E291,'DANH MỤC'!$C:$H,2,0),"")</f>
        <v>Pallet gỗ 1200x1200x130mm</v>
      </c>
      <c r="G291" s="42" t="str">
        <f>+IFERROR(VLOOKUP(E291,'DANH MỤC'!$C:$H,6,0),"")</f>
        <v>Bộ</v>
      </c>
      <c r="H291" s="42">
        <f>+IFERROR(VLOOKUP(E291,'DANH MỤC'!$C:$H,3,0),"")</f>
        <v>1200</v>
      </c>
      <c r="I291" s="42">
        <f>+IFERROR(VLOOKUP(E291,'DANH MỤC'!$C:$H,4,0),"")</f>
        <v>1200</v>
      </c>
      <c r="J291" s="42">
        <f>+IFERROR(VLOOKUP(E291,'DANH MỤC'!$C:$H,5,0),"")</f>
        <v>130</v>
      </c>
      <c r="K291" s="53"/>
      <c r="L291" s="58">
        <v>11.0</v>
      </c>
      <c r="M291" s="55"/>
      <c r="N291" s="55"/>
    </row>
    <row r="292" ht="15.75" customHeight="1">
      <c r="A292" s="53">
        <f t="shared" si="1"/>
        <v>287</v>
      </c>
      <c r="B292" s="55"/>
      <c r="C292" s="41">
        <v>45644.0</v>
      </c>
      <c r="D292" s="42" t="s">
        <v>125</v>
      </c>
      <c r="E292" s="42" t="s">
        <v>204</v>
      </c>
      <c r="F292" s="42" t="str">
        <f>+IFERROR(VLOOKUP(E292,'DANH MỤC'!$C:$H,2,0),"")</f>
        <v>Ống lõi giấy phi 120x7x98mm</v>
      </c>
      <c r="G292" s="42" t="str">
        <f>+IFERROR(VLOOKUP(E292,'DANH MỤC'!$C:$H,6,0),"")</f>
        <v>Cái</v>
      </c>
      <c r="H292" s="42">
        <f>+IFERROR(VLOOKUP(E292,'DANH MỤC'!$C:$H,3,0),"")</f>
        <v>120</v>
      </c>
      <c r="I292" s="42">
        <f>+IFERROR(VLOOKUP(E292,'DANH MỤC'!$C:$H,4,0),"")</f>
        <v>70</v>
      </c>
      <c r="J292" s="42">
        <f>+IFERROR(VLOOKUP(E292,'DANH MỤC'!$C:$H,5,0),"")</f>
        <v>98</v>
      </c>
      <c r="K292" s="53"/>
      <c r="L292" s="58">
        <v>416.0</v>
      </c>
      <c r="M292" s="55"/>
      <c r="N292" s="55"/>
    </row>
    <row r="293" ht="15.75" customHeight="1">
      <c r="A293" s="53">
        <f t="shared" si="1"/>
        <v>288</v>
      </c>
      <c r="B293" s="55"/>
      <c r="C293" s="41">
        <v>45645.0</v>
      </c>
      <c r="D293" s="42" t="s">
        <v>313</v>
      </c>
      <c r="E293" s="42" t="s">
        <v>47</v>
      </c>
      <c r="F293" s="42" t="str">
        <f>+IFERROR(VLOOKUP(E293,'DANH MỤC'!$C:$H,2,0),"")</f>
        <v>Ivory Ningbo</v>
      </c>
      <c r="G293" s="42" t="str">
        <f>+IFERROR(VLOOKUP(E293,'DANH MỤC'!$C:$H,6,0),"")</f>
        <v>Kg</v>
      </c>
      <c r="H293" s="42">
        <f>+IFERROR(VLOOKUP(E293,'DANH MỤC'!$C:$H,3,0),"")</f>
        <v>210</v>
      </c>
      <c r="I293" s="42">
        <f>+IFERROR(VLOOKUP(E293,'DANH MỤC'!$C:$H,4,0),"")</f>
        <v>109</v>
      </c>
      <c r="J293" s="42" t="str">
        <f>+IFERROR(VLOOKUP(E293,'DANH MỤC'!$C:$H,5,0),"")</f>
        <v/>
      </c>
      <c r="K293" s="53"/>
      <c r="L293" s="58">
        <v>7470.0</v>
      </c>
      <c r="M293" s="55"/>
      <c r="N293" s="55"/>
    </row>
    <row r="294" ht="15.75" customHeight="1">
      <c r="A294" s="53">
        <f t="shared" si="1"/>
        <v>289</v>
      </c>
      <c r="B294" s="55"/>
      <c r="C294" s="41">
        <v>45645.0</v>
      </c>
      <c r="D294" s="42" t="s">
        <v>249</v>
      </c>
      <c r="E294" s="42" t="s">
        <v>81</v>
      </c>
      <c r="F294" s="42" t="str">
        <f>+IFERROR(VLOOKUP(E294,'DANH MỤC'!$C:$H,2,0),"")</f>
        <v>Lưỡi gà trắng 71mm x 800m x 210gsm</v>
      </c>
      <c r="G294" s="42" t="str">
        <f>+IFERROR(VLOOKUP(E294,'DANH MỤC'!$C:$H,6,0),"")</f>
        <v>Cuộn</v>
      </c>
      <c r="H294" s="42">
        <f>+IFERROR(VLOOKUP(E294,'DANH MỤC'!$C:$H,3,0),"")</f>
        <v>210</v>
      </c>
      <c r="I294" s="42">
        <f>+IFERROR(VLOOKUP(E294,'DANH MỤC'!$C:$H,4,0),"")</f>
        <v>71</v>
      </c>
      <c r="J294" s="42">
        <f>+IFERROR(VLOOKUP(E294,'DANH MỤC'!$C:$H,5,0),"")</f>
        <v>800</v>
      </c>
      <c r="K294" s="53">
        <v>99.0</v>
      </c>
      <c r="L294" s="58"/>
      <c r="M294" s="55"/>
      <c r="N294" s="55"/>
    </row>
    <row r="295" ht="15.75" customHeight="1">
      <c r="A295" s="53">
        <f t="shared" si="1"/>
        <v>290</v>
      </c>
      <c r="B295" s="55"/>
      <c r="C295" s="41">
        <v>45645.0</v>
      </c>
      <c r="D295" s="42" t="s">
        <v>249</v>
      </c>
      <c r="E295" s="42" t="s">
        <v>104</v>
      </c>
      <c r="F295" s="42" t="str">
        <f>+IFERROR(VLOOKUP(E295,'DANH MỤC'!$C:$H,2,0),"")</f>
        <v>Lưỡi gà trắng 95mm x 800m x 210gsm</v>
      </c>
      <c r="G295" s="42" t="str">
        <f>+IFERROR(VLOOKUP(E295,'DANH MỤC'!$C:$H,6,0),"")</f>
        <v>Cuộn</v>
      </c>
      <c r="H295" s="42">
        <f>+IFERROR(VLOOKUP(E295,'DANH MỤC'!$C:$H,3,0),"")</f>
        <v>210</v>
      </c>
      <c r="I295" s="42">
        <f>+IFERROR(VLOOKUP(E295,'DANH MỤC'!$C:$H,4,0),"")</f>
        <v>95</v>
      </c>
      <c r="J295" s="42">
        <f>+IFERROR(VLOOKUP(E295,'DANH MỤC'!$C:$H,5,0),"")</f>
        <v>800</v>
      </c>
      <c r="K295" s="53">
        <v>27.0</v>
      </c>
      <c r="L295" s="58"/>
      <c r="M295" s="55"/>
      <c r="N295" s="55"/>
    </row>
    <row r="296" ht="15.75" customHeight="1">
      <c r="A296" s="53">
        <f t="shared" si="1"/>
        <v>291</v>
      </c>
      <c r="B296" s="55"/>
      <c r="C296" s="41">
        <v>45646.0</v>
      </c>
      <c r="D296" s="42" t="s">
        <v>249</v>
      </c>
      <c r="E296" s="42" t="s">
        <v>81</v>
      </c>
      <c r="F296" s="42" t="str">
        <f>+IFERROR(VLOOKUP(E296,'DANH MỤC'!$C:$H,2,0),"")</f>
        <v>Lưỡi gà trắng 71mm x 800m x 210gsm</v>
      </c>
      <c r="G296" s="42" t="str">
        <f>+IFERROR(VLOOKUP(E296,'DANH MỤC'!$C:$H,6,0),"")</f>
        <v>Cuộn</v>
      </c>
      <c r="H296" s="42">
        <f>+IFERROR(VLOOKUP(E296,'DANH MỤC'!$C:$H,3,0),"")</f>
        <v>210</v>
      </c>
      <c r="I296" s="42">
        <f>+IFERROR(VLOOKUP(E296,'DANH MỤC'!$C:$H,4,0),"")</f>
        <v>71</v>
      </c>
      <c r="J296" s="42">
        <f>+IFERROR(VLOOKUP(E296,'DANH MỤC'!$C:$H,5,0),"")</f>
        <v>800</v>
      </c>
      <c r="K296" s="53">
        <v>121.0</v>
      </c>
      <c r="L296" s="58"/>
      <c r="M296" s="55"/>
      <c r="N296" s="55"/>
    </row>
    <row r="297" ht="15.75" customHeight="1">
      <c r="A297" s="53">
        <f t="shared" si="1"/>
        <v>292</v>
      </c>
      <c r="B297" s="55"/>
      <c r="C297" s="41">
        <v>45646.0</v>
      </c>
      <c r="D297" s="42" t="s">
        <v>249</v>
      </c>
      <c r="E297" s="42" t="s">
        <v>104</v>
      </c>
      <c r="F297" s="42" t="str">
        <f>+IFERROR(VLOOKUP(E297,'DANH MỤC'!$C:$H,2,0),"")</f>
        <v>Lưỡi gà trắng 95mm x 800m x 210gsm</v>
      </c>
      <c r="G297" s="42" t="str">
        <f>+IFERROR(VLOOKUP(E297,'DANH MỤC'!$C:$H,6,0),"")</f>
        <v>Cuộn</v>
      </c>
      <c r="H297" s="42">
        <f>+IFERROR(VLOOKUP(E297,'DANH MỤC'!$C:$H,3,0),"")</f>
        <v>210</v>
      </c>
      <c r="I297" s="42">
        <f>+IFERROR(VLOOKUP(E297,'DANH MỤC'!$C:$H,4,0),"")</f>
        <v>95</v>
      </c>
      <c r="J297" s="42">
        <f>+IFERROR(VLOOKUP(E297,'DANH MỤC'!$C:$H,5,0),"")</f>
        <v>800</v>
      </c>
      <c r="K297" s="53">
        <v>33.0</v>
      </c>
      <c r="L297" s="58"/>
      <c r="M297" s="55"/>
      <c r="N297" s="55"/>
    </row>
    <row r="298" ht="15.75" customHeight="1">
      <c r="A298" s="53">
        <f t="shared" si="1"/>
        <v>293</v>
      </c>
      <c r="B298" s="55"/>
      <c r="C298" s="41">
        <v>45647.0</v>
      </c>
      <c r="D298" s="42" t="s">
        <v>249</v>
      </c>
      <c r="E298" s="42" t="s">
        <v>81</v>
      </c>
      <c r="F298" s="42" t="str">
        <f>+IFERROR(VLOOKUP(E298,'DANH MỤC'!$C:$H,2,0),"")</f>
        <v>Lưỡi gà trắng 71mm x 800m x 210gsm</v>
      </c>
      <c r="G298" s="42" t="str">
        <f>+IFERROR(VLOOKUP(E298,'DANH MỤC'!$C:$H,6,0),"")</f>
        <v>Cuộn</v>
      </c>
      <c r="H298" s="42">
        <f>+IFERROR(VLOOKUP(E298,'DANH MỤC'!$C:$H,3,0),"")</f>
        <v>210</v>
      </c>
      <c r="I298" s="42">
        <f>+IFERROR(VLOOKUP(E298,'DANH MỤC'!$C:$H,4,0),"")</f>
        <v>71</v>
      </c>
      <c r="J298" s="42">
        <f>+IFERROR(VLOOKUP(E298,'DANH MỤC'!$C:$H,5,0),"")</f>
        <v>800</v>
      </c>
      <c r="K298" s="53">
        <v>55.0</v>
      </c>
      <c r="L298" s="58"/>
      <c r="M298" s="55"/>
      <c r="N298" s="55"/>
    </row>
    <row r="299" ht="15.75" customHeight="1">
      <c r="A299" s="53">
        <f t="shared" si="1"/>
        <v>294</v>
      </c>
      <c r="B299" s="55"/>
      <c r="C299" s="41">
        <v>45647.0</v>
      </c>
      <c r="D299" s="42" t="s">
        <v>249</v>
      </c>
      <c r="E299" s="42" t="s">
        <v>104</v>
      </c>
      <c r="F299" s="42" t="str">
        <f>+IFERROR(VLOOKUP(E299,'DANH MỤC'!$C:$H,2,0),"")</f>
        <v>Lưỡi gà trắng 95mm x 800m x 210gsm</v>
      </c>
      <c r="G299" s="42" t="str">
        <f>+IFERROR(VLOOKUP(E299,'DANH MỤC'!$C:$H,6,0),"")</f>
        <v>Cuộn</v>
      </c>
      <c r="H299" s="42">
        <f>+IFERROR(VLOOKUP(E299,'DANH MỤC'!$C:$H,3,0),"")</f>
        <v>210</v>
      </c>
      <c r="I299" s="42">
        <f>+IFERROR(VLOOKUP(E299,'DANH MỤC'!$C:$H,4,0),"")</f>
        <v>95</v>
      </c>
      <c r="J299" s="42">
        <f>+IFERROR(VLOOKUP(E299,'DANH MỤC'!$C:$H,5,0),"")</f>
        <v>800</v>
      </c>
      <c r="K299" s="53">
        <v>15.0</v>
      </c>
      <c r="L299" s="58"/>
      <c r="M299" s="55"/>
      <c r="N299" s="55"/>
    </row>
    <row r="300" ht="15.75" customHeight="1">
      <c r="A300" s="53">
        <f t="shared" si="1"/>
        <v>295</v>
      </c>
      <c r="B300" s="55"/>
      <c r="C300" s="41">
        <v>45649.0</v>
      </c>
      <c r="D300" s="42" t="s">
        <v>313</v>
      </c>
      <c r="E300" s="42" t="s">
        <v>47</v>
      </c>
      <c r="F300" s="42" t="str">
        <f>+IFERROR(VLOOKUP(E300,'DANH MỤC'!$C:$H,2,0),"")</f>
        <v>Ivory Ningbo</v>
      </c>
      <c r="G300" s="42" t="str">
        <f>+IFERROR(VLOOKUP(E300,'DANH MỤC'!$C:$H,6,0),"")</f>
        <v>Kg</v>
      </c>
      <c r="H300" s="42">
        <f>+IFERROR(VLOOKUP(E300,'DANH MỤC'!$C:$H,3,0),"")</f>
        <v>210</v>
      </c>
      <c r="I300" s="42">
        <f>+IFERROR(VLOOKUP(E300,'DANH MỤC'!$C:$H,4,0),"")</f>
        <v>109</v>
      </c>
      <c r="J300" s="42" t="str">
        <f>+IFERROR(VLOOKUP(E300,'DANH MỤC'!$C:$H,5,0),"")</f>
        <v/>
      </c>
      <c r="K300" s="53"/>
      <c r="L300" s="58">
        <f>3090-140</f>
        <v>2950</v>
      </c>
      <c r="M300" s="55"/>
      <c r="N300" s="55"/>
    </row>
    <row r="301" ht="15.75" customHeight="1">
      <c r="A301" s="53">
        <f t="shared" si="1"/>
        <v>296</v>
      </c>
      <c r="B301" s="55"/>
      <c r="C301" s="41">
        <v>45649.0</v>
      </c>
      <c r="D301" s="42" t="s">
        <v>249</v>
      </c>
      <c r="E301" s="42" t="s">
        <v>81</v>
      </c>
      <c r="F301" s="42" t="str">
        <f>+IFERROR(VLOOKUP(E301,'DANH MỤC'!$C:$H,2,0),"")</f>
        <v>Lưỡi gà trắng 71mm x 800m x 210gsm</v>
      </c>
      <c r="G301" s="42" t="str">
        <f>+IFERROR(VLOOKUP(E301,'DANH MỤC'!$C:$H,6,0),"")</f>
        <v>Cuộn</v>
      </c>
      <c r="H301" s="42">
        <f>+IFERROR(VLOOKUP(E301,'DANH MỤC'!$C:$H,3,0),"")</f>
        <v>210</v>
      </c>
      <c r="I301" s="42">
        <f>+IFERROR(VLOOKUP(E301,'DANH MỤC'!$C:$H,4,0),"")</f>
        <v>71</v>
      </c>
      <c r="J301" s="42">
        <f>+IFERROR(VLOOKUP(E301,'DANH MỤC'!$C:$H,5,0),"")</f>
        <v>800</v>
      </c>
      <c r="K301" s="53">
        <v>121.0</v>
      </c>
      <c r="L301" s="58"/>
      <c r="M301" s="55"/>
      <c r="N301" s="55"/>
    </row>
    <row r="302" ht="15.75" customHeight="1">
      <c r="A302" s="53">
        <f t="shared" si="1"/>
        <v>297</v>
      </c>
      <c r="B302" s="55"/>
      <c r="C302" s="41">
        <v>45649.0</v>
      </c>
      <c r="D302" s="42" t="s">
        <v>249</v>
      </c>
      <c r="E302" s="42" t="s">
        <v>104</v>
      </c>
      <c r="F302" s="42" t="str">
        <f>+IFERROR(VLOOKUP(E302,'DANH MỤC'!$C:$H,2,0),"")</f>
        <v>Lưỡi gà trắng 95mm x 800m x 210gsm</v>
      </c>
      <c r="G302" s="42" t="str">
        <f>+IFERROR(VLOOKUP(E302,'DANH MỤC'!$C:$H,6,0),"")</f>
        <v>Cuộn</v>
      </c>
      <c r="H302" s="42">
        <f>+IFERROR(VLOOKUP(E302,'DANH MỤC'!$C:$H,3,0),"")</f>
        <v>210</v>
      </c>
      <c r="I302" s="42">
        <f>+IFERROR(VLOOKUP(E302,'DANH MỤC'!$C:$H,4,0),"")</f>
        <v>95</v>
      </c>
      <c r="J302" s="42">
        <f>+IFERROR(VLOOKUP(E302,'DANH MỤC'!$C:$H,5,0),"")</f>
        <v>800</v>
      </c>
      <c r="K302" s="53">
        <v>33.0</v>
      </c>
      <c r="L302" s="58"/>
      <c r="M302" s="55"/>
      <c r="N302" s="55"/>
    </row>
    <row r="303" ht="15.75" customHeight="1">
      <c r="A303" s="117">
        <f t="shared" si="1"/>
        <v>298</v>
      </c>
      <c r="B303" s="118"/>
      <c r="C303" s="119">
        <v>45649.0</v>
      </c>
      <c r="D303" s="120" t="s">
        <v>146</v>
      </c>
      <c r="E303" s="120" t="s">
        <v>81</v>
      </c>
      <c r="F303" s="120" t="str">
        <f>+IFERROR(VLOOKUP(E303,'DANH MỤC'!$C:$H,2,0),"")</f>
        <v>Lưỡi gà trắng 71mm x 800m x 210gsm</v>
      </c>
      <c r="G303" s="120" t="str">
        <f>+IFERROR(VLOOKUP(E303,'DANH MỤC'!$C:$H,6,0),"")</f>
        <v>Cuộn</v>
      </c>
      <c r="H303" s="120">
        <f>+IFERROR(VLOOKUP(E303,'DANH MỤC'!$C:$H,3,0),"")</f>
        <v>210</v>
      </c>
      <c r="I303" s="120">
        <f>+IFERROR(VLOOKUP(E303,'DANH MỤC'!$C:$H,4,0),"")</f>
        <v>71</v>
      </c>
      <c r="J303" s="120">
        <f>+IFERROR(VLOOKUP(E303,'DANH MỤC'!$C:$H,5,0),"")</f>
        <v>800</v>
      </c>
      <c r="K303" s="117"/>
      <c r="L303" s="121">
        <v>180.0</v>
      </c>
      <c r="M303" s="118"/>
      <c r="N303" s="118"/>
    </row>
    <row r="304" ht="15.75" customHeight="1">
      <c r="A304" s="117">
        <f t="shared" si="1"/>
        <v>299</v>
      </c>
      <c r="B304" s="118"/>
      <c r="C304" s="119">
        <v>45649.0</v>
      </c>
      <c r="D304" s="120" t="s">
        <v>146</v>
      </c>
      <c r="E304" s="120" t="s">
        <v>120</v>
      </c>
      <c r="F304" s="120" t="str">
        <f>+IFERROR(VLOOKUP(E304,'DANH MỤC'!$C:$H,2,0),"")</f>
        <v>Lưỡi gà trắng 98mm x 800m x 230gsm</v>
      </c>
      <c r="G304" s="120" t="str">
        <f>+IFERROR(VLOOKUP(E304,'DANH MỤC'!$C:$H,6,0),"")</f>
        <v>Cuộn</v>
      </c>
      <c r="H304" s="120">
        <f>+IFERROR(VLOOKUP(E304,'DANH MỤC'!$C:$H,3,0),"")</f>
        <v>230</v>
      </c>
      <c r="I304" s="120">
        <f>+IFERROR(VLOOKUP(E304,'DANH MỤC'!$C:$H,4,0),"")</f>
        <v>98</v>
      </c>
      <c r="J304" s="120">
        <f>+IFERROR(VLOOKUP(E304,'DANH MỤC'!$C:$H,5,0),"")</f>
        <v>800</v>
      </c>
      <c r="K304" s="117"/>
      <c r="L304" s="121">
        <v>300.0</v>
      </c>
      <c r="M304" s="118"/>
      <c r="N304" s="118"/>
    </row>
    <row r="305" ht="15.75" customHeight="1">
      <c r="A305" s="53">
        <f t="shared" si="1"/>
        <v>300</v>
      </c>
      <c r="B305" s="55"/>
      <c r="C305" s="41">
        <v>45650.0</v>
      </c>
      <c r="D305" s="42" t="s">
        <v>249</v>
      </c>
      <c r="E305" s="42" t="s">
        <v>81</v>
      </c>
      <c r="F305" s="42" t="str">
        <f>+IFERROR(VLOOKUP(E305,'DANH MỤC'!$C:$H,2,0),"")</f>
        <v>Lưỡi gà trắng 71mm x 800m x 210gsm</v>
      </c>
      <c r="G305" s="42" t="str">
        <f>+IFERROR(VLOOKUP(E305,'DANH MỤC'!$C:$H,6,0),"")</f>
        <v>Cuộn</v>
      </c>
      <c r="H305" s="42">
        <f>+IFERROR(VLOOKUP(E305,'DANH MỤC'!$C:$H,3,0),"")</f>
        <v>210</v>
      </c>
      <c r="I305" s="42">
        <f>+IFERROR(VLOOKUP(E305,'DANH MỤC'!$C:$H,4,0),"")</f>
        <v>71</v>
      </c>
      <c r="J305" s="42">
        <f>+IFERROR(VLOOKUP(E305,'DANH MỤC'!$C:$H,5,0),"")</f>
        <v>800</v>
      </c>
      <c r="K305" s="53">
        <v>110.0</v>
      </c>
      <c r="L305" s="58"/>
      <c r="M305" s="55"/>
      <c r="N305" s="55"/>
    </row>
    <row r="306" ht="15.75" customHeight="1">
      <c r="A306" s="53">
        <f t="shared" si="1"/>
        <v>301</v>
      </c>
      <c r="B306" s="55"/>
      <c r="C306" s="41">
        <v>45650.0</v>
      </c>
      <c r="D306" s="42" t="s">
        <v>249</v>
      </c>
      <c r="E306" s="42" t="s">
        <v>104</v>
      </c>
      <c r="F306" s="42" t="str">
        <f>+IFERROR(VLOOKUP(E306,'DANH MỤC'!$C:$H,2,0),"")</f>
        <v>Lưỡi gà trắng 95mm x 800m x 210gsm</v>
      </c>
      <c r="G306" s="42" t="str">
        <f>+IFERROR(VLOOKUP(E306,'DANH MỤC'!$C:$H,6,0),"")</f>
        <v>Cuộn</v>
      </c>
      <c r="H306" s="42">
        <f>+IFERROR(VLOOKUP(E306,'DANH MỤC'!$C:$H,3,0),"")</f>
        <v>210</v>
      </c>
      <c r="I306" s="42">
        <f>+IFERROR(VLOOKUP(E306,'DANH MỤC'!$C:$H,4,0),"")</f>
        <v>95</v>
      </c>
      <c r="J306" s="42">
        <f>+IFERROR(VLOOKUP(E306,'DANH MỤC'!$C:$H,5,0),"")</f>
        <v>800</v>
      </c>
      <c r="K306" s="53">
        <v>30.0</v>
      </c>
      <c r="L306" s="58"/>
      <c r="M306" s="55"/>
      <c r="N306" s="55"/>
    </row>
    <row r="307" ht="15.75" customHeight="1">
      <c r="A307" s="53">
        <f t="shared" si="1"/>
        <v>302</v>
      </c>
      <c r="B307" s="55"/>
      <c r="C307" s="41">
        <v>45651.0</v>
      </c>
      <c r="D307" s="42" t="s">
        <v>249</v>
      </c>
      <c r="E307" s="42" t="s">
        <v>81</v>
      </c>
      <c r="F307" s="42" t="str">
        <f>+IFERROR(VLOOKUP(E307,'DANH MỤC'!$C:$H,2,0),"")</f>
        <v>Lưỡi gà trắng 71mm x 800m x 210gsm</v>
      </c>
      <c r="G307" s="42" t="str">
        <f>+IFERROR(VLOOKUP(E307,'DANH MỤC'!$C:$H,6,0),"")</f>
        <v>Cuộn</v>
      </c>
      <c r="H307" s="42">
        <f>+IFERROR(VLOOKUP(E307,'DANH MỤC'!$C:$H,3,0),"")</f>
        <v>210</v>
      </c>
      <c r="I307" s="42">
        <f>+IFERROR(VLOOKUP(E307,'DANH MỤC'!$C:$H,4,0),"")</f>
        <v>71</v>
      </c>
      <c r="J307" s="42">
        <f>+IFERROR(VLOOKUP(E307,'DANH MỤC'!$C:$H,5,0),"")</f>
        <v>800</v>
      </c>
      <c r="K307" s="53">
        <v>110.0</v>
      </c>
      <c r="L307" s="58"/>
      <c r="M307" s="55"/>
      <c r="N307" s="55"/>
    </row>
    <row r="308" ht="15.75" customHeight="1">
      <c r="A308" s="53">
        <f t="shared" si="1"/>
        <v>303</v>
      </c>
      <c r="B308" s="55"/>
      <c r="C308" s="41">
        <v>45651.0</v>
      </c>
      <c r="D308" s="42" t="s">
        <v>249</v>
      </c>
      <c r="E308" s="42" t="s">
        <v>104</v>
      </c>
      <c r="F308" s="42" t="str">
        <f>+IFERROR(VLOOKUP(E308,'DANH MỤC'!$C:$H,2,0),"")</f>
        <v>Lưỡi gà trắng 95mm x 800m x 210gsm</v>
      </c>
      <c r="G308" s="42" t="str">
        <f>+IFERROR(VLOOKUP(E308,'DANH MỤC'!$C:$H,6,0),"")</f>
        <v>Cuộn</v>
      </c>
      <c r="H308" s="42">
        <f>+IFERROR(VLOOKUP(E308,'DANH MỤC'!$C:$H,3,0),"")</f>
        <v>210</v>
      </c>
      <c r="I308" s="42">
        <f>+IFERROR(VLOOKUP(E308,'DANH MỤC'!$C:$H,4,0),"")</f>
        <v>95</v>
      </c>
      <c r="J308" s="42">
        <f>+IFERROR(VLOOKUP(E308,'DANH MỤC'!$C:$H,5,0),"")</f>
        <v>800</v>
      </c>
      <c r="K308" s="53">
        <v>30.0</v>
      </c>
      <c r="L308" s="58"/>
      <c r="M308" s="55"/>
      <c r="N308" s="55"/>
    </row>
    <row r="309" ht="15.75" customHeight="1">
      <c r="A309" s="53">
        <f t="shared" si="1"/>
        <v>304</v>
      </c>
      <c r="B309" s="55"/>
      <c r="C309" s="41">
        <v>45651.0</v>
      </c>
      <c r="D309" s="42" t="s">
        <v>319</v>
      </c>
      <c r="E309" s="42" t="s">
        <v>123</v>
      </c>
      <c r="F309" s="42" t="str">
        <f>+IFERROR(VLOOKUP(E309,'DANH MỤC'!$C:$H,2,0),"")</f>
        <v>Lưỡi gà trắng 90mm x 800m x 250gsm</v>
      </c>
      <c r="G309" s="42" t="str">
        <f>+IFERROR(VLOOKUP(E309,'DANH MỤC'!$C:$H,6,0),"")</f>
        <v>Cuộn</v>
      </c>
      <c r="H309" s="42">
        <f>+IFERROR(VLOOKUP(E309,'DANH MỤC'!$C:$H,3,0),"")</f>
        <v>250</v>
      </c>
      <c r="I309" s="42">
        <f>+IFERROR(VLOOKUP(E309,'DANH MỤC'!$C:$H,4,0),"")</f>
        <v>90</v>
      </c>
      <c r="J309" s="42">
        <f>+IFERROR(VLOOKUP(E309,'DANH MỤC'!$C:$H,5,0),"")</f>
        <v>800</v>
      </c>
      <c r="K309" s="53">
        <v>1.0</v>
      </c>
      <c r="L309" s="58"/>
      <c r="M309" s="55"/>
      <c r="N309" s="55"/>
    </row>
    <row r="310" ht="15.75" customHeight="1">
      <c r="A310" s="117">
        <f t="shared" si="1"/>
        <v>305</v>
      </c>
      <c r="B310" s="118"/>
      <c r="C310" s="119">
        <v>45651.0</v>
      </c>
      <c r="D310" s="120" t="s">
        <v>146</v>
      </c>
      <c r="E310" s="120" t="s">
        <v>81</v>
      </c>
      <c r="F310" s="120" t="str">
        <f>+IFERROR(VLOOKUP(E310,'DANH MỤC'!$C:$H,2,0),"")</f>
        <v>Lưỡi gà trắng 71mm x 800m x 210gsm</v>
      </c>
      <c r="G310" s="120" t="str">
        <f>+IFERROR(VLOOKUP(E310,'DANH MỤC'!$C:$H,6,0),"")</f>
        <v>Cuộn</v>
      </c>
      <c r="H310" s="120">
        <f>+IFERROR(VLOOKUP(E310,'DANH MỤC'!$C:$H,3,0),"")</f>
        <v>210</v>
      </c>
      <c r="I310" s="120">
        <f>+IFERROR(VLOOKUP(E310,'DANH MỤC'!$C:$H,4,0),"")</f>
        <v>71</v>
      </c>
      <c r="J310" s="120">
        <f>+IFERROR(VLOOKUP(E310,'DANH MỤC'!$C:$H,5,0),"")</f>
        <v>800</v>
      </c>
      <c r="K310" s="117"/>
      <c r="L310" s="121">
        <v>420.0</v>
      </c>
      <c r="M310" s="118"/>
      <c r="N310" s="118"/>
    </row>
    <row r="311" ht="15.75" customHeight="1">
      <c r="A311" s="117">
        <f t="shared" si="1"/>
        <v>306</v>
      </c>
      <c r="B311" s="118"/>
      <c r="C311" s="119">
        <v>45651.0</v>
      </c>
      <c r="D311" s="120" t="s">
        <v>146</v>
      </c>
      <c r="E311" s="120" t="s">
        <v>104</v>
      </c>
      <c r="F311" s="120" t="str">
        <f>+IFERROR(VLOOKUP(E311,'DANH MỤC'!$C:$H,2,0),"")</f>
        <v>Lưỡi gà trắng 95mm x 800m x 210gsm</v>
      </c>
      <c r="G311" s="120" t="str">
        <f>+IFERROR(VLOOKUP(E311,'DANH MỤC'!$C:$H,6,0),"")</f>
        <v>Cuộn</v>
      </c>
      <c r="H311" s="120">
        <f>+IFERROR(VLOOKUP(E311,'DANH MỤC'!$C:$H,3,0),"")</f>
        <v>210</v>
      </c>
      <c r="I311" s="120">
        <f>+IFERROR(VLOOKUP(E311,'DANH MỤC'!$C:$H,4,0),"")</f>
        <v>95</v>
      </c>
      <c r="J311" s="120">
        <f>+IFERROR(VLOOKUP(E311,'DANH MỤC'!$C:$H,5,0),"")</f>
        <v>800</v>
      </c>
      <c r="K311" s="117"/>
      <c r="L311" s="121">
        <v>120.0</v>
      </c>
      <c r="M311" s="118"/>
      <c r="N311" s="118"/>
    </row>
    <row r="312" ht="15.75" customHeight="1">
      <c r="A312" s="53">
        <f t="shared" si="1"/>
        <v>307</v>
      </c>
      <c r="B312" s="55"/>
      <c r="C312" s="41">
        <v>45651.0</v>
      </c>
      <c r="D312" s="42" t="s">
        <v>125</v>
      </c>
      <c r="E312" s="42" t="s">
        <v>127</v>
      </c>
      <c r="F312" s="42" t="str">
        <f>+IFERROR(VLOOKUP(E312,'DANH MỤC'!$C:$H,2,0),"")</f>
        <v>Pallet gỗ 1100x1100x130mm</v>
      </c>
      <c r="G312" s="42" t="str">
        <f>+IFERROR(VLOOKUP(E312,'DANH MỤC'!$C:$H,6,0),"")</f>
        <v>Bộ</v>
      </c>
      <c r="H312" s="42">
        <f>+IFERROR(VLOOKUP(E312,'DANH MỤC'!$C:$H,3,0),"")</f>
        <v>1100</v>
      </c>
      <c r="I312" s="42">
        <f>+IFERROR(VLOOKUP(E312,'DANH MỤC'!$C:$H,4,0),"")</f>
        <v>1100</v>
      </c>
      <c r="J312" s="42">
        <f>+IFERROR(VLOOKUP(E312,'DANH MỤC'!$C:$H,5,0),"")</f>
        <v>130</v>
      </c>
      <c r="K312" s="53"/>
      <c r="L312" s="58">
        <v>14.0</v>
      </c>
      <c r="M312" s="55"/>
      <c r="N312" s="55"/>
    </row>
    <row r="313" ht="15.75" customHeight="1">
      <c r="A313" s="53">
        <f t="shared" si="1"/>
        <v>308</v>
      </c>
      <c r="B313" s="55"/>
      <c r="C313" s="41">
        <v>45651.0</v>
      </c>
      <c r="D313" s="42" t="s">
        <v>125</v>
      </c>
      <c r="E313" s="42" t="s">
        <v>182</v>
      </c>
      <c r="F313" s="42" t="str">
        <f>+IFERROR(VLOOKUP(E313,'DANH MỤC'!$C:$H,2,0),"")</f>
        <v>Ống lõi giấy phi 120x7x71mm</v>
      </c>
      <c r="G313" s="42" t="str">
        <f>+IFERROR(VLOOKUP(E313,'DANH MỤC'!$C:$H,6,0),"")</f>
        <v>Cái</v>
      </c>
      <c r="H313" s="42">
        <f>+IFERROR(VLOOKUP(E313,'DANH MỤC'!$C:$H,3,0),"")</f>
        <v>120</v>
      </c>
      <c r="I313" s="42">
        <f>+IFERROR(VLOOKUP(E313,'DANH MỤC'!$C:$H,4,0),"")</f>
        <v>70</v>
      </c>
      <c r="J313" s="42">
        <f>+IFERROR(VLOOKUP(E313,'DANH MỤC'!$C:$H,5,0),"")</f>
        <v>71</v>
      </c>
      <c r="K313" s="53"/>
      <c r="L313" s="58">
        <v>616.0</v>
      </c>
      <c r="M313" s="55"/>
      <c r="N313" s="55"/>
    </row>
    <row r="314" ht="15.75" customHeight="1">
      <c r="A314" s="53">
        <f t="shared" si="1"/>
        <v>309</v>
      </c>
      <c r="B314" s="55"/>
      <c r="C314" s="41">
        <v>45651.0</v>
      </c>
      <c r="D314" s="42" t="s">
        <v>125</v>
      </c>
      <c r="E314" s="42" t="s">
        <v>184</v>
      </c>
      <c r="F314" s="42" t="str">
        <f>+IFERROR(VLOOKUP(E314,'DANH MỤC'!$C:$H,2,0),"")</f>
        <v>Ống lõi giấy phi 120x7x95mm</v>
      </c>
      <c r="G314" s="42" t="str">
        <f>+IFERROR(VLOOKUP(E314,'DANH MỤC'!$C:$H,6,0),"")</f>
        <v>Cái</v>
      </c>
      <c r="H314" s="42">
        <f>+IFERROR(VLOOKUP(E314,'DANH MỤC'!$C:$H,3,0),"")</f>
        <v>120</v>
      </c>
      <c r="I314" s="42">
        <f>+IFERROR(VLOOKUP(E314,'DANH MỤC'!$C:$H,4,0),"")</f>
        <v>70</v>
      </c>
      <c r="J314" s="42">
        <f>+IFERROR(VLOOKUP(E314,'DANH MỤC'!$C:$H,5,0),"")</f>
        <v>95</v>
      </c>
      <c r="K314" s="53"/>
      <c r="L314" s="58">
        <v>168.0</v>
      </c>
      <c r="M314" s="55"/>
      <c r="N314" s="55"/>
    </row>
    <row r="315" ht="15.75" customHeight="1">
      <c r="A315" s="53">
        <f t="shared" si="1"/>
        <v>310</v>
      </c>
      <c r="B315" s="55"/>
      <c r="C315" s="41">
        <v>45652.0</v>
      </c>
      <c r="D315" s="42" t="s">
        <v>323</v>
      </c>
      <c r="E315" s="42" t="s">
        <v>88</v>
      </c>
      <c r="F315" s="42" t="str">
        <f>+IFERROR(VLOOKUP(E315,'DANH MỤC'!$C:$H,2,0),"")</f>
        <v>Ivory Ningbo</v>
      </c>
      <c r="G315" s="42" t="str">
        <f>+IFERROR(VLOOKUP(E315,'DANH MỤC'!$C:$H,6,0),"")</f>
        <v>Kg</v>
      </c>
      <c r="H315" s="42">
        <f>+IFERROR(VLOOKUP(E315,'DANH MỤC'!$C:$H,3,0),"")</f>
        <v>250</v>
      </c>
      <c r="I315" s="42">
        <f>+IFERROR(VLOOKUP(E315,'DANH MỤC'!$C:$H,4,0),"")</f>
        <v>109</v>
      </c>
      <c r="J315" s="42" t="str">
        <f>+IFERROR(VLOOKUP(E315,'DANH MỤC'!$C:$H,5,0),"")</f>
        <v/>
      </c>
      <c r="K315" s="53"/>
      <c r="L315" s="58">
        <f>9810-182</f>
        <v>9628</v>
      </c>
      <c r="M315" s="55"/>
      <c r="N315" s="55"/>
    </row>
    <row r="316" ht="15.75" customHeight="1">
      <c r="A316" s="53">
        <f t="shared" si="1"/>
        <v>311</v>
      </c>
      <c r="B316" s="55"/>
      <c r="C316" s="41">
        <v>45652.0</v>
      </c>
      <c r="D316" s="42" t="s">
        <v>249</v>
      </c>
      <c r="E316" s="42" t="s">
        <v>123</v>
      </c>
      <c r="F316" s="42" t="str">
        <f>+IFERROR(VLOOKUP(E316,'DANH MỤC'!$C:$H,2,0),"")</f>
        <v>Lưỡi gà trắng 90mm x 800m x 250gsm</v>
      </c>
      <c r="G316" s="42" t="str">
        <f>+IFERROR(VLOOKUP(E316,'DANH MỤC'!$C:$H,6,0),"")</f>
        <v>Cuộn</v>
      </c>
      <c r="H316" s="42">
        <f>+IFERROR(VLOOKUP(E316,'DANH MỤC'!$C:$H,3,0),"")</f>
        <v>250</v>
      </c>
      <c r="I316" s="42">
        <f>+IFERROR(VLOOKUP(E316,'DANH MỤC'!$C:$H,4,0),"")</f>
        <v>90</v>
      </c>
      <c r="J316" s="42">
        <f>+IFERROR(VLOOKUP(E316,'DANH MỤC'!$C:$H,5,0),"")</f>
        <v>800</v>
      </c>
      <c r="K316" s="53">
        <v>132.0</v>
      </c>
      <c r="L316" s="58"/>
      <c r="M316" s="55"/>
      <c r="N316" s="55"/>
    </row>
    <row r="317" ht="15.75" customHeight="1">
      <c r="A317" s="53">
        <f t="shared" si="1"/>
        <v>312</v>
      </c>
      <c r="B317" s="55"/>
      <c r="C317" s="41">
        <v>45653.0</v>
      </c>
      <c r="D317" s="42" t="s">
        <v>249</v>
      </c>
      <c r="E317" s="42" t="s">
        <v>123</v>
      </c>
      <c r="F317" s="42" t="str">
        <f>+IFERROR(VLOOKUP(E317,'DANH MỤC'!$C:$H,2,0),"")</f>
        <v>Lưỡi gà trắng 90mm x 800m x 250gsm</v>
      </c>
      <c r="G317" s="42" t="str">
        <f>+IFERROR(VLOOKUP(E317,'DANH MỤC'!$C:$H,6,0),"")</f>
        <v>Cuộn</v>
      </c>
      <c r="H317" s="42">
        <f>+IFERROR(VLOOKUP(E317,'DANH MỤC'!$C:$H,3,0),"")</f>
        <v>250</v>
      </c>
      <c r="I317" s="42">
        <f>+IFERROR(VLOOKUP(E317,'DANH MỤC'!$C:$H,4,0),"")</f>
        <v>90</v>
      </c>
      <c r="J317" s="42">
        <f>+IFERROR(VLOOKUP(E317,'DANH MỤC'!$C:$H,5,0),"")</f>
        <v>800</v>
      </c>
      <c r="K317" s="53">
        <v>132.0</v>
      </c>
      <c r="L317" s="58"/>
      <c r="M317" s="55"/>
      <c r="N317" s="55"/>
    </row>
    <row r="318" ht="15.75" customHeight="1">
      <c r="A318" s="53">
        <f t="shared" si="1"/>
        <v>313</v>
      </c>
      <c r="B318" s="55"/>
      <c r="C318" s="41">
        <v>45654.0</v>
      </c>
      <c r="D318" s="42" t="s">
        <v>249</v>
      </c>
      <c r="E318" s="42" t="s">
        <v>123</v>
      </c>
      <c r="F318" s="42" t="str">
        <f>+IFERROR(VLOOKUP(E318,'DANH MỤC'!$C:$H,2,0),"")</f>
        <v>Lưỡi gà trắng 90mm x 800m x 250gsm</v>
      </c>
      <c r="G318" s="42" t="str">
        <f>+IFERROR(VLOOKUP(E318,'DANH MỤC'!$C:$H,6,0),"")</f>
        <v>Cuộn</v>
      </c>
      <c r="H318" s="42">
        <f>+IFERROR(VLOOKUP(E318,'DANH MỤC'!$C:$H,3,0),"")</f>
        <v>250</v>
      </c>
      <c r="I318" s="42">
        <f>+IFERROR(VLOOKUP(E318,'DANH MỤC'!$C:$H,4,0),"")</f>
        <v>90</v>
      </c>
      <c r="J318" s="42">
        <f>+IFERROR(VLOOKUP(E318,'DANH MỤC'!$C:$H,5,0),"")</f>
        <v>800</v>
      </c>
      <c r="K318" s="53">
        <v>72.0</v>
      </c>
      <c r="L318" s="58"/>
      <c r="M318" s="55"/>
      <c r="N318" s="55"/>
    </row>
    <row r="319" ht="15.75" customHeight="1">
      <c r="A319" s="53">
        <f t="shared" si="1"/>
        <v>314</v>
      </c>
      <c r="B319" s="55"/>
      <c r="C319" s="41">
        <v>45656.0</v>
      </c>
      <c r="D319" s="42" t="s">
        <v>249</v>
      </c>
      <c r="E319" s="42" t="s">
        <v>123</v>
      </c>
      <c r="F319" s="42" t="str">
        <f>+IFERROR(VLOOKUP(E319,'DANH MỤC'!$C:$H,2,0),"")</f>
        <v>Lưỡi gà trắng 90mm x 800m x 250gsm</v>
      </c>
      <c r="G319" s="42" t="str">
        <f>+IFERROR(VLOOKUP(E319,'DANH MỤC'!$C:$H,6,0),"")</f>
        <v>Cuộn</v>
      </c>
      <c r="H319" s="42">
        <f>+IFERROR(VLOOKUP(E319,'DANH MỤC'!$C:$H,3,0),"")</f>
        <v>250</v>
      </c>
      <c r="I319" s="42">
        <f>+IFERROR(VLOOKUP(E319,'DANH MỤC'!$C:$H,4,0),"")</f>
        <v>90</v>
      </c>
      <c r="J319" s="42">
        <f>+IFERROR(VLOOKUP(E319,'DANH MỤC'!$C:$H,5,0),"")</f>
        <v>800</v>
      </c>
      <c r="K319" s="53">
        <v>144.0</v>
      </c>
      <c r="L319" s="58"/>
      <c r="M319" s="55"/>
      <c r="N319" s="55"/>
    </row>
    <row r="320" ht="15.75" customHeight="1">
      <c r="A320" s="53">
        <f t="shared" si="1"/>
        <v>315</v>
      </c>
      <c r="B320" s="55"/>
      <c r="C320" s="41">
        <v>45657.0</v>
      </c>
      <c r="D320" s="42" t="s">
        <v>326</v>
      </c>
      <c r="E320" s="42" t="s">
        <v>47</v>
      </c>
      <c r="F320" s="42" t="str">
        <f>+IFERROR(VLOOKUP(E320,'DANH MỤC'!$C:$H,2,0),"")</f>
        <v>Ivory Ningbo</v>
      </c>
      <c r="G320" s="42" t="str">
        <f>+IFERROR(VLOOKUP(E320,'DANH MỤC'!$C:$H,6,0),"")</f>
        <v>Kg</v>
      </c>
      <c r="H320" s="42">
        <f>+IFERROR(VLOOKUP(E320,'DANH MỤC'!$C:$H,3,0),"")</f>
        <v>210</v>
      </c>
      <c r="I320" s="42">
        <f>+IFERROR(VLOOKUP(E320,'DANH MỤC'!$C:$H,4,0),"")</f>
        <v>109</v>
      </c>
      <c r="J320" s="42" t="str">
        <f>+IFERROR(VLOOKUP(E320,'DANH MỤC'!$C:$H,5,0),"")</f>
        <v/>
      </c>
      <c r="K320" s="53"/>
      <c r="L320" s="58">
        <v>6320.0</v>
      </c>
      <c r="M320" s="55"/>
      <c r="N320" s="55"/>
    </row>
    <row r="321" ht="15.75" customHeight="1">
      <c r="A321" s="53">
        <f t="shared" si="1"/>
        <v>316</v>
      </c>
      <c r="B321" s="55"/>
      <c r="C321" s="41">
        <v>45657.0</v>
      </c>
      <c r="D321" s="42" t="s">
        <v>249</v>
      </c>
      <c r="E321" s="42" t="s">
        <v>123</v>
      </c>
      <c r="F321" s="42" t="str">
        <f>+IFERROR(VLOOKUP(E321,'DANH MỤC'!$C:$H,2,0),"")</f>
        <v>Lưỡi gà trắng 90mm x 800m x 250gsm</v>
      </c>
      <c r="G321" s="42" t="str">
        <f>+IFERROR(VLOOKUP(E321,'DANH MỤC'!$C:$H,6,0),"")</f>
        <v>Cuộn</v>
      </c>
      <c r="H321" s="42">
        <f>+IFERROR(VLOOKUP(E321,'DANH MỤC'!$C:$H,3,0),"")</f>
        <v>250</v>
      </c>
      <c r="I321" s="42">
        <f>+IFERROR(VLOOKUP(E321,'DANH MỤC'!$C:$H,4,0),"")</f>
        <v>90</v>
      </c>
      <c r="J321" s="42">
        <f>+IFERROR(VLOOKUP(E321,'DANH MỤC'!$C:$H,5,0),"")</f>
        <v>800</v>
      </c>
      <c r="K321" s="53">
        <v>45.0</v>
      </c>
      <c r="L321" s="58"/>
      <c r="M321" s="55"/>
      <c r="N321" s="55"/>
    </row>
    <row r="322" ht="15.75" customHeight="1">
      <c r="A322" s="53">
        <f t="shared" si="1"/>
        <v>317</v>
      </c>
      <c r="B322" s="55"/>
      <c r="C322" s="41">
        <v>45657.0</v>
      </c>
      <c r="D322" s="42" t="s">
        <v>249</v>
      </c>
      <c r="E322" s="42" t="s">
        <v>81</v>
      </c>
      <c r="F322" s="42" t="str">
        <f>+IFERROR(VLOOKUP(E322,'DANH MỤC'!$C:$H,2,0),"")</f>
        <v>Lưỡi gà trắng 71mm x 800m x 210gsm</v>
      </c>
      <c r="G322" s="42" t="str">
        <f>+IFERROR(VLOOKUP(E322,'DANH MỤC'!$C:$H,6,0),"")</f>
        <v>Cuộn</v>
      </c>
      <c r="H322" s="42">
        <f>+IFERROR(VLOOKUP(E322,'DANH MỤC'!$C:$H,3,0),"")</f>
        <v>210</v>
      </c>
      <c r="I322" s="42">
        <f>+IFERROR(VLOOKUP(E322,'DANH MỤC'!$C:$H,4,0),"")</f>
        <v>71</v>
      </c>
      <c r="J322" s="42">
        <f>+IFERROR(VLOOKUP(E322,'DANH MỤC'!$C:$H,5,0),"")</f>
        <v>800</v>
      </c>
      <c r="K322" s="53">
        <v>55.0</v>
      </c>
      <c r="L322" s="58"/>
      <c r="M322" s="55"/>
      <c r="N322" s="55"/>
    </row>
    <row r="323" ht="15.75" customHeight="1">
      <c r="A323" s="53">
        <f t="shared" si="1"/>
        <v>318</v>
      </c>
      <c r="B323" s="55"/>
      <c r="C323" s="41">
        <v>45657.0</v>
      </c>
      <c r="D323" s="42" t="s">
        <v>249</v>
      </c>
      <c r="E323" s="42" t="s">
        <v>104</v>
      </c>
      <c r="F323" s="42" t="str">
        <f>+IFERROR(VLOOKUP(E323,'DANH MỤC'!$C:$H,2,0),"")</f>
        <v>Lưỡi gà trắng 95mm x 800m x 210gsm</v>
      </c>
      <c r="G323" s="42" t="str">
        <f>+IFERROR(VLOOKUP(E323,'DANH MỤC'!$C:$H,6,0),"")</f>
        <v>Cuộn</v>
      </c>
      <c r="H323" s="42">
        <f>+IFERROR(VLOOKUP(E323,'DANH MỤC'!$C:$H,3,0),"")</f>
        <v>210</v>
      </c>
      <c r="I323" s="42">
        <f>+IFERROR(VLOOKUP(E323,'DANH MỤC'!$C:$H,4,0),"")</f>
        <v>95</v>
      </c>
      <c r="J323" s="42">
        <f>+IFERROR(VLOOKUP(E323,'DANH MỤC'!$C:$H,5,0),"")</f>
        <v>800</v>
      </c>
      <c r="K323" s="53">
        <v>15.0</v>
      </c>
      <c r="L323" s="58"/>
      <c r="M323" s="55"/>
      <c r="N323" s="55"/>
    </row>
    <row r="324" ht="15.75" customHeight="1">
      <c r="A324" s="53">
        <f t="shared" si="1"/>
        <v>319</v>
      </c>
      <c r="B324" s="55"/>
      <c r="C324" s="41">
        <v>45657.0</v>
      </c>
      <c r="D324" s="42" t="s">
        <v>125</v>
      </c>
      <c r="E324" s="42" t="s">
        <v>107</v>
      </c>
      <c r="F324" s="42" t="str">
        <f>+IFERROR(VLOOKUP(E324,'DANH MỤC'!$C:$H,2,0),"")</f>
        <v>Pallet gỗ 1200x1200x130mm</v>
      </c>
      <c r="G324" s="42" t="str">
        <f>+IFERROR(VLOOKUP(E324,'DANH MỤC'!$C:$H,6,0),"")</f>
        <v>Bộ</v>
      </c>
      <c r="H324" s="42">
        <f>+IFERROR(VLOOKUP(E324,'DANH MỤC'!$C:$H,3,0),"")</f>
        <v>1200</v>
      </c>
      <c r="I324" s="42">
        <f>+IFERROR(VLOOKUP(E324,'DANH MỤC'!$C:$H,4,0),"")</f>
        <v>1200</v>
      </c>
      <c r="J324" s="42">
        <f>+IFERROR(VLOOKUP(E324,'DANH MỤC'!$C:$H,5,0),"")</f>
        <v>130</v>
      </c>
      <c r="K324" s="53"/>
      <c r="L324" s="58">
        <v>10.0</v>
      </c>
      <c r="M324" s="55"/>
      <c r="N324" s="55"/>
    </row>
    <row r="325" ht="15.75" customHeight="1">
      <c r="A325" s="53">
        <f t="shared" si="1"/>
        <v>320</v>
      </c>
      <c r="B325" s="55"/>
      <c r="C325" s="41">
        <v>45657.0</v>
      </c>
      <c r="D325" s="42" t="s">
        <v>125</v>
      </c>
      <c r="E325" s="42" t="s">
        <v>156</v>
      </c>
      <c r="F325" s="42" t="str">
        <f>+IFERROR(VLOOKUP(E325,'DANH MỤC'!$C:$H,2,0),"")</f>
        <v>Nẹp gỗ pallet dài 1.15m</v>
      </c>
      <c r="G325" s="42" t="str">
        <f>+IFERROR(VLOOKUP(E325,'DANH MỤC'!$C:$H,6,0),"")</f>
        <v>Cái</v>
      </c>
      <c r="H325" s="42" t="str">
        <f>+IFERROR(VLOOKUP(E325,'DANH MỤC'!$C:$H,3,0),"")</f>
        <v/>
      </c>
      <c r="I325" s="42" t="str">
        <f>+IFERROR(VLOOKUP(E325,'DANH MỤC'!$C:$H,4,0),"")</f>
        <v/>
      </c>
      <c r="J325" s="42">
        <f>+IFERROR(VLOOKUP(E325,'DANH MỤC'!$C:$H,5,0),"")</f>
        <v>1150</v>
      </c>
      <c r="K325" s="53"/>
      <c r="L325" s="58">
        <v>40.0</v>
      </c>
      <c r="M325" s="55"/>
      <c r="N325" s="55"/>
    </row>
    <row r="326" ht="15.75" customHeight="1">
      <c r="A326" s="53">
        <f t="shared" si="1"/>
        <v>321</v>
      </c>
      <c r="B326" s="55"/>
      <c r="C326" s="41">
        <v>45657.0</v>
      </c>
      <c r="D326" s="42" t="s">
        <v>125</v>
      </c>
      <c r="E326" s="42" t="s">
        <v>183</v>
      </c>
      <c r="F326" s="42" t="str">
        <f>+IFERROR(VLOOKUP(E326,'DANH MỤC'!$C:$H,2,0),"")</f>
        <v>Ống lõi giấy phi 120x7x90mm</v>
      </c>
      <c r="G326" s="42" t="str">
        <f>+IFERROR(VLOOKUP(E326,'DANH MỤC'!$C:$H,6,0),"")</f>
        <v>Cái</v>
      </c>
      <c r="H326" s="42">
        <f>+IFERROR(VLOOKUP(E326,'DANH MỤC'!$C:$H,3,0),"")</f>
        <v>120</v>
      </c>
      <c r="I326" s="42">
        <f>+IFERROR(VLOOKUP(E326,'DANH MỤC'!$C:$H,4,0),"")</f>
        <v>70</v>
      </c>
      <c r="J326" s="42">
        <f>+IFERROR(VLOOKUP(E326,'DANH MỤC'!$C:$H,5,0),"")</f>
        <v>90</v>
      </c>
      <c r="K326" s="53"/>
      <c r="L326" s="58">
        <v>525.0</v>
      </c>
      <c r="M326" s="55"/>
      <c r="N326" s="55"/>
    </row>
    <row r="327" ht="15.75" customHeight="1">
      <c r="A327" s="53">
        <f t="shared" si="1"/>
        <v>322</v>
      </c>
      <c r="B327" s="55" t="s">
        <v>330</v>
      </c>
      <c r="C327" s="41">
        <v>45659.0</v>
      </c>
      <c r="D327" s="42" t="s">
        <v>249</v>
      </c>
      <c r="E327" s="42" t="s">
        <v>81</v>
      </c>
      <c r="F327" s="42" t="str">
        <f>+IFERROR(VLOOKUP(E327,'DANH MỤC'!$C:$H,2,0),"")</f>
        <v>Lưỡi gà trắng 71mm x 800m x 210gsm</v>
      </c>
      <c r="G327" s="42" t="str">
        <f>+IFERROR(VLOOKUP(E327,'DANH MỤC'!$C:$H,6,0),"")</f>
        <v>Cuộn</v>
      </c>
      <c r="H327" s="42">
        <f>+IFERROR(VLOOKUP(E327,'DANH MỤC'!$C:$H,3,0),"")</f>
        <v>210</v>
      </c>
      <c r="I327" s="42">
        <f>+IFERROR(VLOOKUP(E327,'DANH MỤC'!$C:$H,4,0),"")</f>
        <v>71</v>
      </c>
      <c r="J327" s="42">
        <f>+IFERROR(VLOOKUP(E327,'DANH MỤC'!$C:$H,5,0),"")</f>
        <v>800</v>
      </c>
      <c r="K327" s="53">
        <v>132.0</v>
      </c>
      <c r="L327" s="58"/>
      <c r="M327" s="55"/>
      <c r="N327" s="55" t="s">
        <v>333</v>
      </c>
    </row>
    <row r="328" ht="15.75" customHeight="1">
      <c r="A328" s="53">
        <f t="shared" si="1"/>
        <v>323</v>
      </c>
      <c r="B328" s="55" t="s">
        <v>330</v>
      </c>
      <c r="C328" s="41">
        <v>45659.0</v>
      </c>
      <c r="D328" s="42" t="s">
        <v>249</v>
      </c>
      <c r="E328" s="42" t="s">
        <v>104</v>
      </c>
      <c r="F328" s="42" t="str">
        <f>+IFERROR(VLOOKUP(E328,'DANH MỤC'!$C:$H,2,0),"")</f>
        <v>Lưỡi gà trắng 95mm x 800m x 210gsm</v>
      </c>
      <c r="G328" s="42" t="str">
        <f>+IFERROR(VLOOKUP(E328,'DANH MỤC'!$C:$H,6,0),"")</f>
        <v>Cuộn</v>
      </c>
      <c r="H328" s="42">
        <f>+IFERROR(VLOOKUP(E328,'DANH MỤC'!$C:$H,3,0),"")</f>
        <v>210</v>
      </c>
      <c r="I328" s="42">
        <f>+IFERROR(VLOOKUP(E328,'DANH MỤC'!$C:$H,4,0),"")</f>
        <v>95</v>
      </c>
      <c r="J328" s="42">
        <f>+IFERROR(VLOOKUP(E328,'DANH MỤC'!$C:$H,5,0),"")</f>
        <v>800</v>
      </c>
      <c r="K328" s="53">
        <v>36.0</v>
      </c>
      <c r="L328" s="58"/>
      <c r="M328" s="55"/>
      <c r="N328" s="55" t="s">
        <v>333</v>
      </c>
    </row>
    <row r="329" ht="15.75" customHeight="1">
      <c r="A329" s="53">
        <f t="shared" si="1"/>
        <v>324</v>
      </c>
      <c r="B329" s="55" t="s">
        <v>330</v>
      </c>
      <c r="C329" s="41">
        <v>45659.0</v>
      </c>
      <c r="D329" s="42" t="s">
        <v>334</v>
      </c>
      <c r="E329" s="42" t="s">
        <v>182</v>
      </c>
      <c r="F329" s="42" t="str">
        <f>+IFERROR(VLOOKUP(E329,'DANH MỤC'!$C:$H,2,0),"")</f>
        <v>Ống lõi giấy phi 120x7x71mm</v>
      </c>
      <c r="G329" s="42" t="str">
        <f>+IFERROR(VLOOKUP(E329,'DANH MỤC'!$C:$H,6,0),"")</f>
        <v>Cái</v>
      </c>
      <c r="H329" s="42">
        <f>+IFERROR(VLOOKUP(E329,'DANH MỤC'!$C:$H,3,0),"")</f>
        <v>120</v>
      </c>
      <c r="I329" s="42">
        <f>+IFERROR(VLOOKUP(E329,'DANH MỤC'!$C:$H,4,0),"")</f>
        <v>70</v>
      </c>
      <c r="J329" s="42">
        <f>+IFERROR(VLOOKUP(E329,'DANH MỤC'!$C:$H,5,0),"")</f>
        <v>71</v>
      </c>
      <c r="K329" s="53"/>
      <c r="L329" s="58">
        <v>132.0</v>
      </c>
      <c r="M329" s="55"/>
      <c r="N329" s="55" t="s">
        <v>333</v>
      </c>
    </row>
    <row r="330" ht="15.75" customHeight="1">
      <c r="A330" s="53">
        <f t="shared" si="1"/>
        <v>325</v>
      </c>
      <c r="B330" s="55" t="s">
        <v>330</v>
      </c>
      <c r="C330" s="41">
        <v>45659.0</v>
      </c>
      <c r="D330" s="42" t="s">
        <v>334</v>
      </c>
      <c r="E330" s="42" t="s">
        <v>184</v>
      </c>
      <c r="F330" s="42" t="str">
        <f>+IFERROR(VLOOKUP(E330,'DANH MỤC'!$C:$H,2,0),"")</f>
        <v>Ống lõi giấy phi 120x7x95mm</v>
      </c>
      <c r="G330" s="42" t="str">
        <f>+IFERROR(VLOOKUP(E330,'DANH MỤC'!$C:$H,6,0),"")</f>
        <v>Cái</v>
      </c>
      <c r="H330" s="42">
        <f>+IFERROR(VLOOKUP(E330,'DANH MỤC'!$C:$H,3,0),"")</f>
        <v>120</v>
      </c>
      <c r="I330" s="42">
        <f>+IFERROR(VLOOKUP(E330,'DANH MỤC'!$C:$H,4,0),"")</f>
        <v>70</v>
      </c>
      <c r="J330" s="42">
        <f>+IFERROR(VLOOKUP(E330,'DANH MỤC'!$C:$H,5,0),"")</f>
        <v>95</v>
      </c>
      <c r="K330" s="53"/>
      <c r="L330" s="58">
        <v>36.0</v>
      </c>
      <c r="M330" s="55"/>
      <c r="N330" s="55" t="s">
        <v>333</v>
      </c>
    </row>
    <row r="331" ht="15.75" customHeight="1">
      <c r="A331" s="53">
        <f t="shared" si="1"/>
        <v>326</v>
      </c>
      <c r="B331" s="55" t="s">
        <v>330</v>
      </c>
      <c r="C331" s="41">
        <v>45659.0</v>
      </c>
      <c r="D331" s="42" t="s">
        <v>334</v>
      </c>
      <c r="E331" s="42" t="s">
        <v>127</v>
      </c>
      <c r="F331" s="42" t="str">
        <f>+IFERROR(VLOOKUP(E331,'DANH MỤC'!$C:$H,2,0),"")</f>
        <v>Pallet gỗ 1100x1100x130mm</v>
      </c>
      <c r="G331" s="42" t="str">
        <f>+IFERROR(VLOOKUP(E331,'DANH MỤC'!$C:$H,6,0),"")</f>
        <v>Bộ</v>
      </c>
      <c r="H331" s="42">
        <f>+IFERROR(VLOOKUP(E331,'DANH MỤC'!$C:$H,3,0),"")</f>
        <v>1100</v>
      </c>
      <c r="I331" s="42">
        <f>+IFERROR(VLOOKUP(E331,'DANH MỤC'!$C:$H,4,0),"")</f>
        <v>1100</v>
      </c>
      <c r="J331" s="42">
        <f>+IFERROR(VLOOKUP(E331,'DANH MỤC'!$C:$H,5,0),"")</f>
        <v>130</v>
      </c>
      <c r="K331" s="53"/>
      <c r="L331" s="58">
        <v>3.0</v>
      </c>
      <c r="M331" s="55"/>
      <c r="N331" s="55" t="s">
        <v>333</v>
      </c>
    </row>
    <row r="332" ht="15.75" customHeight="1">
      <c r="A332" s="53">
        <f t="shared" si="1"/>
        <v>327</v>
      </c>
      <c r="B332" s="55" t="s">
        <v>330</v>
      </c>
      <c r="C332" s="41">
        <v>45660.0</v>
      </c>
      <c r="D332" s="42" t="s">
        <v>249</v>
      </c>
      <c r="E332" s="42" t="s">
        <v>81</v>
      </c>
      <c r="F332" s="42" t="str">
        <f>+IFERROR(VLOOKUP(E332,'DANH MỤC'!$C:$H,2,0),"")</f>
        <v>Lưỡi gà trắng 71mm x 800m x 210gsm</v>
      </c>
      <c r="G332" s="42" t="str">
        <f>+IFERROR(VLOOKUP(E332,'DANH MỤC'!$C:$H,6,0),"")</f>
        <v>Cuộn</v>
      </c>
      <c r="H332" s="42">
        <f>+IFERROR(VLOOKUP(E332,'DANH MỤC'!$C:$H,3,0),"")</f>
        <v>210</v>
      </c>
      <c r="I332" s="42">
        <f>+IFERROR(VLOOKUP(E332,'DANH MỤC'!$C:$H,4,0),"")</f>
        <v>71</v>
      </c>
      <c r="J332" s="42">
        <f>+IFERROR(VLOOKUP(E332,'DANH MỤC'!$C:$H,5,0),"")</f>
        <v>800</v>
      </c>
      <c r="K332" s="53">
        <v>132.0</v>
      </c>
      <c r="L332" s="58"/>
      <c r="M332" s="55"/>
      <c r="N332" s="55" t="s">
        <v>333</v>
      </c>
    </row>
    <row r="333" ht="15.75" customHeight="1">
      <c r="A333" s="53">
        <f t="shared" si="1"/>
        <v>328</v>
      </c>
      <c r="B333" s="55" t="s">
        <v>330</v>
      </c>
      <c r="C333" s="41">
        <v>45660.0</v>
      </c>
      <c r="D333" s="42" t="s">
        <v>249</v>
      </c>
      <c r="E333" s="42" t="s">
        <v>104</v>
      </c>
      <c r="F333" s="42" t="str">
        <f>+IFERROR(VLOOKUP(E333,'DANH MỤC'!$C:$H,2,0),"")</f>
        <v>Lưỡi gà trắng 95mm x 800m x 210gsm</v>
      </c>
      <c r="G333" s="42" t="str">
        <f>+IFERROR(VLOOKUP(E333,'DANH MỤC'!$C:$H,6,0),"")</f>
        <v>Cuộn</v>
      </c>
      <c r="H333" s="42">
        <f>+IFERROR(VLOOKUP(E333,'DANH MỤC'!$C:$H,3,0),"")</f>
        <v>210</v>
      </c>
      <c r="I333" s="42">
        <f>+IFERROR(VLOOKUP(E333,'DANH MỤC'!$C:$H,4,0),"")</f>
        <v>95</v>
      </c>
      <c r="J333" s="42">
        <f>+IFERROR(VLOOKUP(E333,'DANH MỤC'!$C:$H,5,0),"")</f>
        <v>800</v>
      </c>
      <c r="K333" s="53">
        <v>36.0</v>
      </c>
      <c r="L333" s="58"/>
      <c r="M333" s="55"/>
      <c r="N333" s="55" t="s">
        <v>333</v>
      </c>
    </row>
    <row r="334" ht="15.75" customHeight="1">
      <c r="A334" s="53">
        <f t="shared" si="1"/>
        <v>329</v>
      </c>
      <c r="B334" s="55" t="s">
        <v>330</v>
      </c>
      <c r="C334" s="41">
        <v>45660.0</v>
      </c>
      <c r="D334" s="42" t="s">
        <v>334</v>
      </c>
      <c r="E334" s="42" t="s">
        <v>182</v>
      </c>
      <c r="F334" s="42" t="str">
        <f>+IFERROR(VLOOKUP(E334,'DANH MỤC'!$C:$H,2,0),"")</f>
        <v>Ống lõi giấy phi 120x7x71mm</v>
      </c>
      <c r="G334" s="42" t="str">
        <f>+IFERROR(VLOOKUP(E334,'DANH MỤC'!$C:$H,6,0),"")</f>
        <v>Cái</v>
      </c>
      <c r="H334" s="42">
        <f>+IFERROR(VLOOKUP(E334,'DANH MỤC'!$C:$H,3,0),"")</f>
        <v>120</v>
      </c>
      <c r="I334" s="42">
        <f>+IFERROR(VLOOKUP(E334,'DANH MỤC'!$C:$H,4,0),"")</f>
        <v>70</v>
      </c>
      <c r="J334" s="42">
        <f>+IFERROR(VLOOKUP(E334,'DANH MỤC'!$C:$H,5,0),"")</f>
        <v>71</v>
      </c>
      <c r="K334" s="53"/>
      <c r="L334" s="58">
        <v>132.0</v>
      </c>
      <c r="M334" s="55"/>
      <c r="N334" s="55" t="s">
        <v>333</v>
      </c>
    </row>
    <row r="335" ht="15.75" customHeight="1">
      <c r="A335" s="53">
        <f t="shared" si="1"/>
        <v>330</v>
      </c>
      <c r="B335" s="55" t="s">
        <v>330</v>
      </c>
      <c r="C335" s="41">
        <v>45660.0</v>
      </c>
      <c r="D335" s="42" t="s">
        <v>334</v>
      </c>
      <c r="E335" s="42" t="s">
        <v>184</v>
      </c>
      <c r="F335" s="42" t="str">
        <f>+IFERROR(VLOOKUP(E335,'DANH MỤC'!$C:$H,2,0),"")</f>
        <v>Ống lõi giấy phi 120x7x95mm</v>
      </c>
      <c r="G335" s="42" t="str">
        <f>+IFERROR(VLOOKUP(E335,'DANH MỤC'!$C:$H,6,0),"")</f>
        <v>Cái</v>
      </c>
      <c r="H335" s="42">
        <f>+IFERROR(VLOOKUP(E335,'DANH MỤC'!$C:$H,3,0),"")</f>
        <v>120</v>
      </c>
      <c r="I335" s="42">
        <f>+IFERROR(VLOOKUP(E335,'DANH MỤC'!$C:$H,4,0),"")</f>
        <v>70</v>
      </c>
      <c r="J335" s="42">
        <f>+IFERROR(VLOOKUP(E335,'DANH MỤC'!$C:$H,5,0),"")</f>
        <v>95</v>
      </c>
      <c r="K335" s="53"/>
      <c r="L335" s="58">
        <v>40.0</v>
      </c>
      <c r="M335" s="55"/>
      <c r="N335" s="55" t="s">
        <v>333</v>
      </c>
    </row>
    <row r="336" ht="15.75" customHeight="1">
      <c r="A336" s="53">
        <f t="shared" si="1"/>
        <v>331</v>
      </c>
      <c r="B336" s="55" t="s">
        <v>330</v>
      </c>
      <c r="C336" s="41">
        <v>45660.0</v>
      </c>
      <c r="D336" s="42" t="s">
        <v>334</v>
      </c>
      <c r="E336" s="42" t="s">
        <v>127</v>
      </c>
      <c r="F336" s="42" t="str">
        <f>+IFERROR(VLOOKUP(E336,'DANH MỤC'!$C:$H,2,0),"")</f>
        <v>Pallet gỗ 1100x1100x130mm</v>
      </c>
      <c r="G336" s="42" t="str">
        <f>+IFERROR(VLOOKUP(E336,'DANH MỤC'!$C:$H,6,0),"")</f>
        <v>Bộ</v>
      </c>
      <c r="H336" s="42">
        <f>+IFERROR(VLOOKUP(E336,'DANH MỤC'!$C:$H,3,0),"")</f>
        <v>1100</v>
      </c>
      <c r="I336" s="42">
        <f>+IFERROR(VLOOKUP(E336,'DANH MỤC'!$C:$H,4,0),"")</f>
        <v>1100</v>
      </c>
      <c r="J336" s="42">
        <f>+IFERROR(VLOOKUP(E336,'DANH MỤC'!$C:$H,5,0),"")</f>
        <v>130</v>
      </c>
      <c r="K336" s="53"/>
      <c r="L336" s="58">
        <v>3.0</v>
      </c>
      <c r="M336" s="55"/>
      <c r="N336" s="55" t="s">
        <v>333</v>
      </c>
    </row>
    <row r="337" ht="15.75" customHeight="1">
      <c r="A337" s="53">
        <f t="shared" si="1"/>
        <v>332</v>
      </c>
      <c r="B337" s="55" t="s">
        <v>330</v>
      </c>
      <c r="C337" s="41">
        <v>45661.0</v>
      </c>
      <c r="D337" s="42" t="s">
        <v>249</v>
      </c>
      <c r="E337" s="42" t="s">
        <v>81</v>
      </c>
      <c r="F337" s="42" t="str">
        <f>+IFERROR(VLOOKUP(E337,'DANH MỤC'!$C:$H,2,0),"")</f>
        <v>Lưỡi gà trắng 71mm x 800m x 210gsm</v>
      </c>
      <c r="G337" s="42" t="str">
        <f>+IFERROR(VLOOKUP(E337,'DANH MỤC'!$C:$H,6,0),"")</f>
        <v>Cuộn</v>
      </c>
      <c r="H337" s="42">
        <f>+IFERROR(VLOOKUP(E337,'DANH MỤC'!$C:$H,3,0),"")</f>
        <v>210</v>
      </c>
      <c r="I337" s="42">
        <f>+IFERROR(VLOOKUP(E337,'DANH MỤC'!$C:$H,4,0),"")</f>
        <v>71</v>
      </c>
      <c r="J337" s="42">
        <f>+IFERROR(VLOOKUP(E337,'DANH MỤC'!$C:$H,5,0),"")</f>
        <v>800</v>
      </c>
      <c r="K337" s="53">
        <v>33.0</v>
      </c>
      <c r="L337" s="58"/>
      <c r="M337" s="55"/>
      <c r="N337" s="55" t="s">
        <v>333</v>
      </c>
    </row>
    <row r="338" ht="15.75" customHeight="1">
      <c r="A338" s="53">
        <f t="shared" si="1"/>
        <v>333</v>
      </c>
      <c r="B338" s="55" t="s">
        <v>330</v>
      </c>
      <c r="C338" s="41">
        <v>45661.0</v>
      </c>
      <c r="D338" s="42" t="s">
        <v>249</v>
      </c>
      <c r="E338" s="42" t="s">
        <v>104</v>
      </c>
      <c r="F338" s="42" t="str">
        <f>+IFERROR(VLOOKUP(E338,'DANH MỤC'!$C:$H,2,0),"")</f>
        <v>Lưỡi gà trắng 95mm x 800m x 210gsm</v>
      </c>
      <c r="G338" s="42" t="str">
        <f>+IFERROR(VLOOKUP(E338,'DANH MỤC'!$C:$H,6,0),"")</f>
        <v>Cuộn</v>
      </c>
      <c r="H338" s="42">
        <f>+IFERROR(VLOOKUP(E338,'DANH MỤC'!$C:$H,3,0),"")</f>
        <v>210</v>
      </c>
      <c r="I338" s="42">
        <f>+IFERROR(VLOOKUP(E338,'DANH MỤC'!$C:$H,4,0),"")</f>
        <v>95</v>
      </c>
      <c r="J338" s="42">
        <f>+IFERROR(VLOOKUP(E338,'DANH MỤC'!$C:$H,5,0),"")</f>
        <v>800</v>
      </c>
      <c r="K338" s="53">
        <v>6.0</v>
      </c>
      <c r="L338" s="58"/>
      <c r="M338" s="55"/>
      <c r="N338" s="55" t="s">
        <v>333</v>
      </c>
    </row>
    <row r="339" ht="15.75" customHeight="1">
      <c r="A339" s="53">
        <f t="shared" si="1"/>
        <v>334</v>
      </c>
      <c r="B339" s="55" t="s">
        <v>330</v>
      </c>
      <c r="C339" s="41">
        <v>45661.0</v>
      </c>
      <c r="D339" s="42" t="s">
        <v>249</v>
      </c>
      <c r="E339" s="42" t="s">
        <v>98</v>
      </c>
      <c r="F339" s="42" t="str">
        <f>+IFERROR(VLOOKUP(E339,'DANH MỤC'!$C:$H,2,0),"")</f>
        <v>Lưỡi gà trắng 91mm x 800m x 210gsm</v>
      </c>
      <c r="G339" s="42" t="str">
        <f>+IFERROR(VLOOKUP(E339,'DANH MỤC'!$C:$H,6,0),"")</f>
        <v>Cuộn</v>
      </c>
      <c r="H339" s="42">
        <f>+IFERROR(VLOOKUP(E339,'DANH MỤC'!$C:$H,3,0),"")</f>
        <v>210</v>
      </c>
      <c r="I339" s="42">
        <f>+IFERROR(VLOOKUP(E339,'DANH MỤC'!$C:$H,4,0),"")</f>
        <v>91</v>
      </c>
      <c r="J339" s="42">
        <f>+IFERROR(VLOOKUP(E339,'DANH MỤC'!$C:$H,5,0),"")</f>
        <v>800</v>
      </c>
      <c r="K339" s="53">
        <v>3.0</v>
      </c>
      <c r="L339" s="58"/>
      <c r="M339" s="55"/>
      <c r="N339" s="55" t="s">
        <v>333</v>
      </c>
    </row>
    <row r="340" ht="15.75" customHeight="1">
      <c r="A340" s="53">
        <f t="shared" si="1"/>
        <v>335</v>
      </c>
      <c r="B340" s="55" t="s">
        <v>330</v>
      </c>
      <c r="C340" s="41">
        <v>45661.0</v>
      </c>
      <c r="D340" s="42" t="s">
        <v>334</v>
      </c>
      <c r="E340" s="42" t="s">
        <v>182</v>
      </c>
      <c r="F340" s="42" t="str">
        <f>+IFERROR(VLOOKUP(E340,'DANH MỤC'!$C:$H,2,0),"")</f>
        <v>Ống lõi giấy phi 120x7x71mm</v>
      </c>
      <c r="G340" s="42" t="str">
        <f>+IFERROR(VLOOKUP(E340,'DANH MỤC'!$C:$H,6,0),"")</f>
        <v>Cái</v>
      </c>
      <c r="H340" s="42">
        <f>+IFERROR(VLOOKUP(E340,'DANH MỤC'!$C:$H,3,0),"")</f>
        <v>120</v>
      </c>
      <c r="I340" s="42">
        <f>+IFERROR(VLOOKUP(E340,'DANH MỤC'!$C:$H,4,0),"")</f>
        <v>70</v>
      </c>
      <c r="J340" s="42">
        <f>+IFERROR(VLOOKUP(E340,'DANH MỤC'!$C:$H,5,0),"")</f>
        <v>71</v>
      </c>
      <c r="K340" s="53"/>
      <c r="L340" s="58">
        <v>63.0</v>
      </c>
      <c r="M340" s="55"/>
      <c r="N340" s="55" t="s">
        <v>333</v>
      </c>
    </row>
    <row r="341" ht="15.75" customHeight="1">
      <c r="A341" s="53">
        <f t="shared" si="1"/>
        <v>336</v>
      </c>
      <c r="B341" s="55" t="s">
        <v>330</v>
      </c>
      <c r="C341" s="41">
        <v>45661.0</v>
      </c>
      <c r="D341" s="42" t="s">
        <v>334</v>
      </c>
      <c r="E341" s="42" t="s">
        <v>184</v>
      </c>
      <c r="F341" s="42" t="str">
        <f>+IFERROR(VLOOKUP(E341,'DANH MỤC'!$C:$H,2,0),"")</f>
        <v>Ống lõi giấy phi 120x7x95mm</v>
      </c>
      <c r="G341" s="42" t="str">
        <f>+IFERROR(VLOOKUP(E341,'DANH MỤC'!$C:$H,6,0),"")</f>
        <v>Cái</v>
      </c>
      <c r="H341" s="42">
        <f>+IFERROR(VLOOKUP(E341,'DANH MỤC'!$C:$H,3,0),"")</f>
        <v>120</v>
      </c>
      <c r="I341" s="42">
        <f>+IFERROR(VLOOKUP(E341,'DANH MỤC'!$C:$H,4,0),"")</f>
        <v>70</v>
      </c>
      <c r="J341" s="42">
        <f>+IFERROR(VLOOKUP(E341,'DANH MỤC'!$C:$H,5,0),"")</f>
        <v>95</v>
      </c>
      <c r="K341" s="53"/>
      <c r="L341" s="58">
        <v>6.0</v>
      </c>
      <c r="M341" s="55"/>
      <c r="N341" s="55" t="s">
        <v>333</v>
      </c>
    </row>
    <row r="342" ht="15.75" customHeight="1">
      <c r="A342" s="53">
        <f t="shared" si="1"/>
        <v>337</v>
      </c>
      <c r="B342" s="55" t="s">
        <v>330</v>
      </c>
      <c r="C342" s="41">
        <v>45661.0</v>
      </c>
      <c r="D342" s="42" t="s">
        <v>334</v>
      </c>
      <c r="E342" s="42" t="s">
        <v>183</v>
      </c>
      <c r="F342" s="42" t="str">
        <f>+IFERROR(VLOOKUP(E342,'DANH MỤC'!$C:$H,2,0),"")</f>
        <v>Ống lõi giấy phi 120x7x90mm</v>
      </c>
      <c r="G342" s="42" t="str">
        <f>+IFERROR(VLOOKUP(E342,'DANH MỤC'!$C:$H,6,0),"")</f>
        <v>Cái</v>
      </c>
      <c r="H342" s="42">
        <f>+IFERROR(VLOOKUP(E342,'DANH MỤC'!$C:$H,3,0),"")</f>
        <v>120</v>
      </c>
      <c r="I342" s="42">
        <f>+IFERROR(VLOOKUP(E342,'DANH MỤC'!$C:$H,4,0),"")</f>
        <v>70</v>
      </c>
      <c r="J342" s="42">
        <f>+IFERROR(VLOOKUP(E342,'DANH MỤC'!$C:$H,5,0),"")</f>
        <v>90</v>
      </c>
      <c r="K342" s="53"/>
      <c r="L342" s="58">
        <v>10.0</v>
      </c>
      <c r="M342" s="55"/>
      <c r="N342" s="55" t="s">
        <v>333</v>
      </c>
    </row>
    <row r="343" ht="15.75" customHeight="1">
      <c r="A343" s="53">
        <f t="shared" si="1"/>
        <v>338</v>
      </c>
      <c r="B343" s="55" t="s">
        <v>330</v>
      </c>
      <c r="C343" s="41">
        <v>45661.0</v>
      </c>
      <c r="D343" s="42" t="s">
        <v>334</v>
      </c>
      <c r="E343" s="42" t="s">
        <v>127</v>
      </c>
      <c r="F343" s="42" t="str">
        <f>+IFERROR(VLOOKUP(E343,'DANH MỤC'!$C:$H,2,0),"")</f>
        <v>Pallet gỗ 1100x1100x130mm</v>
      </c>
      <c r="G343" s="42" t="str">
        <f>+IFERROR(VLOOKUP(E343,'DANH MỤC'!$C:$H,6,0),"")</f>
        <v>Bộ</v>
      </c>
      <c r="H343" s="42">
        <f>+IFERROR(VLOOKUP(E343,'DANH MỤC'!$C:$H,3,0),"")</f>
        <v>1100</v>
      </c>
      <c r="I343" s="42">
        <f>+IFERROR(VLOOKUP(E343,'DANH MỤC'!$C:$H,4,0),"")</f>
        <v>1100</v>
      </c>
      <c r="J343" s="42">
        <f>+IFERROR(VLOOKUP(E343,'DANH MỤC'!$C:$H,5,0),"")</f>
        <v>130</v>
      </c>
      <c r="K343" s="53"/>
      <c r="L343" s="58">
        <v>1.0</v>
      </c>
      <c r="M343" s="55"/>
      <c r="N343" s="55" t="s">
        <v>333</v>
      </c>
    </row>
    <row r="344" ht="15.75" customHeight="1">
      <c r="A344" s="53">
        <f t="shared" si="1"/>
        <v>339</v>
      </c>
      <c r="B344" s="55" t="s">
        <v>330</v>
      </c>
      <c r="C344" s="41">
        <v>45663.0</v>
      </c>
      <c r="D344" s="42" t="s">
        <v>249</v>
      </c>
      <c r="E344" s="42" t="s">
        <v>81</v>
      </c>
      <c r="F344" s="42" t="str">
        <f>+IFERROR(VLOOKUP(E344,'DANH MỤC'!$C:$H,2,0),"")</f>
        <v>Lưỡi gà trắng 71mm x 800m x 210gsm</v>
      </c>
      <c r="G344" s="42" t="str">
        <f>+IFERROR(VLOOKUP(E344,'DANH MỤC'!$C:$H,6,0),"")</f>
        <v>Cuộn</v>
      </c>
      <c r="H344" s="42">
        <f>+IFERROR(VLOOKUP(E344,'DANH MỤC'!$C:$H,3,0),"")</f>
        <v>210</v>
      </c>
      <c r="I344" s="42">
        <f>+IFERROR(VLOOKUP(E344,'DANH MỤC'!$C:$H,4,0),"")</f>
        <v>71</v>
      </c>
      <c r="J344" s="42">
        <f>+IFERROR(VLOOKUP(E344,'DANH MỤC'!$C:$H,5,0),"")</f>
        <v>800</v>
      </c>
      <c r="K344" s="53">
        <v>66.0</v>
      </c>
      <c r="L344" s="58"/>
      <c r="M344" s="55"/>
      <c r="N344" s="55" t="s">
        <v>333</v>
      </c>
    </row>
    <row r="345" ht="15.75" customHeight="1">
      <c r="A345" s="53">
        <f t="shared" si="1"/>
        <v>340</v>
      </c>
      <c r="B345" s="55" t="s">
        <v>330</v>
      </c>
      <c r="C345" s="41">
        <v>45663.0</v>
      </c>
      <c r="D345" s="42" t="s">
        <v>249</v>
      </c>
      <c r="E345" s="42" t="s">
        <v>104</v>
      </c>
      <c r="F345" s="42" t="str">
        <f>+IFERROR(VLOOKUP(E345,'DANH MỤC'!$C:$H,2,0),"")</f>
        <v>Lưỡi gà trắng 95mm x 800m x 210gsm</v>
      </c>
      <c r="G345" s="42" t="str">
        <f>+IFERROR(VLOOKUP(E345,'DANH MỤC'!$C:$H,6,0),"")</f>
        <v>Cuộn</v>
      </c>
      <c r="H345" s="42">
        <f>+IFERROR(VLOOKUP(E345,'DANH MỤC'!$C:$H,3,0),"")</f>
        <v>210</v>
      </c>
      <c r="I345" s="42">
        <f>+IFERROR(VLOOKUP(E345,'DANH MỤC'!$C:$H,4,0),"")</f>
        <v>95</v>
      </c>
      <c r="J345" s="42">
        <f>+IFERROR(VLOOKUP(E345,'DANH MỤC'!$C:$H,5,0),"")</f>
        <v>800</v>
      </c>
      <c r="K345" s="53">
        <v>12.0</v>
      </c>
      <c r="L345" s="58"/>
      <c r="M345" s="55"/>
      <c r="N345" s="55" t="s">
        <v>333</v>
      </c>
    </row>
    <row r="346" ht="15.75" customHeight="1">
      <c r="A346" s="53">
        <f t="shared" si="1"/>
        <v>341</v>
      </c>
      <c r="B346" s="55" t="s">
        <v>330</v>
      </c>
      <c r="C346" s="41">
        <v>45663.0</v>
      </c>
      <c r="D346" s="42" t="s">
        <v>249</v>
      </c>
      <c r="E346" s="42" t="s">
        <v>98</v>
      </c>
      <c r="F346" s="42" t="str">
        <f>+IFERROR(VLOOKUP(E346,'DANH MỤC'!$C:$H,2,0),"")</f>
        <v>Lưỡi gà trắng 91mm x 800m x 210gsm</v>
      </c>
      <c r="G346" s="42" t="str">
        <f>+IFERROR(VLOOKUP(E346,'DANH MỤC'!$C:$H,6,0),"")</f>
        <v>Cuộn</v>
      </c>
      <c r="H346" s="42">
        <f>+IFERROR(VLOOKUP(E346,'DANH MỤC'!$C:$H,3,0),"")</f>
        <v>210</v>
      </c>
      <c r="I346" s="42">
        <f>+IFERROR(VLOOKUP(E346,'DANH MỤC'!$C:$H,4,0),"")</f>
        <v>91</v>
      </c>
      <c r="J346" s="42">
        <f>+IFERROR(VLOOKUP(E346,'DANH MỤC'!$C:$H,5,0),"")</f>
        <v>800</v>
      </c>
      <c r="K346" s="53">
        <v>6.0</v>
      </c>
      <c r="L346" s="58"/>
      <c r="M346" s="55"/>
      <c r="N346" s="55" t="s">
        <v>333</v>
      </c>
    </row>
    <row r="347" ht="15.75" customHeight="1">
      <c r="A347" s="53">
        <f t="shared" si="1"/>
        <v>342</v>
      </c>
      <c r="B347" s="55" t="s">
        <v>330</v>
      </c>
      <c r="C347" s="41">
        <v>45663.0</v>
      </c>
      <c r="D347" s="42" t="s">
        <v>334</v>
      </c>
      <c r="E347" s="42" t="s">
        <v>182</v>
      </c>
      <c r="F347" s="42" t="str">
        <f>+IFERROR(VLOOKUP(E347,'DANH MỤC'!$C:$H,2,0),"")</f>
        <v>Ống lõi giấy phi 120x7x71mm</v>
      </c>
      <c r="G347" s="42" t="str">
        <f>+IFERROR(VLOOKUP(E347,'DANH MỤC'!$C:$H,6,0),"")</f>
        <v>Cái</v>
      </c>
      <c r="H347" s="42">
        <f>+IFERROR(VLOOKUP(E347,'DANH MỤC'!$C:$H,3,0),"")</f>
        <v>120</v>
      </c>
      <c r="I347" s="42">
        <f>+IFERROR(VLOOKUP(E347,'DANH MỤC'!$C:$H,4,0),"")</f>
        <v>70</v>
      </c>
      <c r="J347" s="42">
        <f>+IFERROR(VLOOKUP(E347,'DANH MỤC'!$C:$H,5,0),"")</f>
        <v>71</v>
      </c>
      <c r="K347" s="53"/>
      <c r="L347" s="58">
        <v>80.0</v>
      </c>
      <c r="M347" s="55"/>
      <c r="N347" s="55" t="s">
        <v>333</v>
      </c>
    </row>
    <row r="348" ht="15.75" customHeight="1">
      <c r="A348" s="53">
        <f t="shared" si="1"/>
        <v>343</v>
      </c>
      <c r="B348" s="55" t="s">
        <v>330</v>
      </c>
      <c r="C348" s="41">
        <v>45663.0</v>
      </c>
      <c r="D348" s="42" t="s">
        <v>334</v>
      </c>
      <c r="E348" s="42" t="s">
        <v>184</v>
      </c>
      <c r="F348" s="42" t="str">
        <f>+IFERROR(VLOOKUP(E348,'DANH MỤC'!$C:$H,2,0),"")</f>
        <v>Ống lõi giấy phi 120x7x95mm</v>
      </c>
      <c r="G348" s="42" t="str">
        <f>+IFERROR(VLOOKUP(E348,'DANH MỤC'!$C:$H,6,0),"")</f>
        <v>Cái</v>
      </c>
      <c r="H348" s="42">
        <f>+IFERROR(VLOOKUP(E348,'DANH MỤC'!$C:$H,3,0),"")</f>
        <v>120</v>
      </c>
      <c r="I348" s="42">
        <f>+IFERROR(VLOOKUP(E348,'DANH MỤC'!$C:$H,4,0),"")</f>
        <v>70</v>
      </c>
      <c r="J348" s="42">
        <f>+IFERROR(VLOOKUP(E348,'DANH MỤC'!$C:$H,5,0),"")</f>
        <v>95</v>
      </c>
      <c r="K348" s="53"/>
      <c r="L348" s="58">
        <v>15.0</v>
      </c>
      <c r="M348" s="55"/>
      <c r="N348" s="55" t="s">
        <v>333</v>
      </c>
    </row>
    <row r="349" ht="15.75" customHeight="1">
      <c r="A349" s="53">
        <f t="shared" si="1"/>
        <v>344</v>
      </c>
      <c r="B349" s="55" t="s">
        <v>330</v>
      </c>
      <c r="C349" s="41">
        <v>45663.0</v>
      </c>
      <c r="D349" s="42" t="s">
        <v>334</v>
      </c>
      <c r="E349" s="42" t="s">
        <v>183</v>
      </c>
      <c r="F349" s="42" t="str">
        <f>+IFERROR(VLOOKUP(E349,'DANH MỤC'!$C:$H,2,0),"")</f>
        <v>Ống lõi giấy phi 120x7x90mm</v>
      </c>
      <c r="G349" s="42" t="str">
        <f>+IFERROR(VLOOKUP(E349,'DANH MỤC'!$C:$H,6,0),"")</f>
        <v>Cái</v>
      </c>
      <c r="H349" s="42">
        <f>+IFERROR(VLOOKUP(E349,'DANH MỤC'!$C:$H,3,0),"")</f>
        <v>120</v>
      </c>
      <c r="I349" s="42">
        <f>+IFERROR(VLOOKUP(E349,'DANH MỤC'!$C:$H,4,0),"")</f>
        <v>70</v>
      </c>
      <c r="J349" s="42">
        <f>+IFERROR(VLOOKUP(E349,'DANH MỤC'!$C:$H,5,0),"")</f>
        <v>90</v>
      </c>
      <c r="K349" s="53"/>
      <c r="L349" s="58">
        <v>7.0</v>
      </c>
      <c r="M349" s="55"/>
      <c r="N349" s="55" t="s">
        <v>333</v>
      </c>
    </row>
    <row r="350" ht="15.75" customHeight="1">
      <c r="A350" s="53">
        <f t="shared" si="1"/>
        <v>345</v>
      </c>
      <c r="B350" s="55" t="s">
        <v>330</v>
      </c>
      <c r="C350" s="41">
        <v>45663.0</v>
      </c>
      <c r="D350" s="42" t="s">
        <v>334</v>
      </c>
      <c r="E350" s="42" t="s">
        <v>127</v>
      </c>
      <c r="F350" s="42" t="str">
        <f>+IFERROR(VLOOKUP(E350,'DANH MỤC'!$C:$H,2,0),"")</f>
        <v>Pallet gỗ 1100x1100x130mm</v>
      </c>
      <c r="G350" s="42" t="str">
        <f>+IFERROR(VLOOKUP(E350,'DANH MỤC'!$C:$H,6,0),"")</f>
        <v>Bộ</v>
      </c>
      <c r="H350" s="42">
        <f>+IFERROR(VLOOKUP(E350,'DANH MỤC'!$C:$H,3,0),"")</f>
        <v>1100</v>
      </c>
      <c r="I350" s="42">
        <f>+IFERROR(VLOOKUP(E350,'DANH MỤC'!$C:$H,4,0),"")</f>
        <v>1100</v>
      </c>
      <c r="J350" s="42">
        <f>+IFERROR(VLOOKUP(E350,'DANH MỤC'!$C:$H,5,0),"")</f>
        <v>130</v>
      </c>
      <c r="K350" s="53"/>
      <c r="L350" s="58">
        <v>2.0</v>
      </c>
      <c r="M350" s="55"/>
      <c r="N350" s="55" t="s">
        <v>333</v>
      </c>
    </row>
    <row r="351" ht="15.75" customHeight="1">
      <c r="A351" s="53">
        <f t="shared" si="1"/>
        <v>346</v>
      </c>
      <c r="B351" s="55" t="s">
        <v>330</v>
      </c>
      <c r="C351" s="41">
        <v>45663.0</v>
      </c>
      <c r="D351" s="42" t="s">
        <v>342</v>
      </c>
      <c r="E351" s="42" t="s">
        <v>47</v>
      </c>
      <c r="F351" s="42" t="str">
        <f>+IFERROR(VLOOKUP(E351,'DANH MỤC'!$C:$H,2,0),"")</f>
        <v>Ivory Ningbo</v>
      </c>
      <c r="G351" s="42" t="str">
        <f>+IFERROR(VLOOKUP(E351,'DANH MỤC'!$C:$H,6,0),"")</f>
        <v>Kg</v>
      </c>
      <c r="H351" s="42">
        <f>+IFERROR(VLOOKUP(E351,'DANH MỤC'!$C:$H,3,0),"")</f>
        <v>210</v>
      </c>
      <c r="I351" s="42">
        <f>+IFERROR(VLOOKUP(E351,'DANH MỤC'!$C:$H,4,0),"")</f>
        <v>109</v>
      </c>
      <c r="J351" s="42" t="str">
        <f>+IFERROR(VLOOKUP(E351,'DANH MỤC'!$C:$H,5,0),"")</f>
        <v/>
      </c>
      <c r="K351" s="53"/>
      <c r="L351" s="58">
        <v>2060.0</v>
      </c>
      <c r="M351" s="55"/>
      <c r="N351" s="55" t="s">
        <v>333</v>
      </c>
    </row>
    <row r="352" ht="15.75" customHeight="1">
      <c r="A352" s="117">
        <f t="shared" si="1"/>
        <v>347</v>
      </c>
      <c r="B352" s="118" t="s">
        <v>330</v>
      </c>
      <c r="C352" s="119">
        <v>45664.0</v>
      </c>
      <c r="D352" s="120" t="s">
        <v>146</v>
      </c>
      <c r="E352" s="120" t="s">
        <v>81</v>
      </c>
      <c r="F352" s="120" t="str">
        <f>+IFERROR(VLOOKUP(E352,'DANH MỤC'!$C:$H,2,0),"")</f>
        <v>Lưỡi gà trắng 71mm x 800m x 210gsm</v>
      </c>
      <c r="G352" s="120" t="str">
        <f>+IFERROR(VLOOKUP(E352,'DANH MỤC'!$C:$H,6,0),"")</f>
        <v>Cuộn</v>
      </c>
      <c r="H352" s="120">
        <f>+IFERROR(VLOOKUP(E352,'DANH MỤC'!$C:$H,3,0),"")</f>
        <v>210</v>
      </c>
      <c r="I352" s="120">
        <f>+IFERROR(VLOOKUP(E352,'DANH MỤC'!$C:$H,4,0),"")</f>
        <v>71</v>
      </c>
      <c r="J352" s="120">
        <f>+IFERROR(VLOOKUP(E352,'DANH MỤC'!$C:$H,5,0),"")</f>
        <v>800</v>
      </c>
      <c r="K352" s="117"/>
      <c r="L352" s="121">
        <v>420.0</v>
      </c>
      <c r="M352" s="118" t="s">
        <v>304</v>
      </c>
      <c r="N352" s="118"/>
    </row>
    <row r="353" ht="15.75" customHeight="1">
      <c r="A353" s="117">
        <f t="shared" si="1"/>
        <v>348</v>
      </c>
      <c r="B353" s="118" t="s">
        <v>330</v>
      </c>
      <c r="C353" s="119">
        <v>45664.0</v>
      </c>
      <c r="D353" s="120" t="s">
        <v>146</v>
      </c>
      <c r="E353" s="120" t="s">
        <v>104</v>
      </c>
      <c r="F353" s="120" t="str">
        <f>+IFERROR(VLOOKUP(E353,'DANH MỤC'!$C:$H,2,0),"")</f>
        <v>Lưỡi gà trắng 95mm x 800m x 210gsm</v>
      </c>
      <c r="G353" s="120" t="str">
        <f>+IFERROR(VLOOKUP(E353,'DANH MỤC'!$C:$H,6,0),"")</f>
        <v>Cuộn</v>
      </c>
      <c r="H353" s="120">
        <f>+IFERROR(VLOOKUP(E353,'DANH MỤC'!$C:$H,3,0),"")</f>
        <v>210</v>
      </c>
      <c r="I353" s="120">
        <f>+IFERROR(VLOOKUP(E353,'DANH MỤC'!$C:$H,4,0),"")</f>
        <v>95</v>
      </c>
      <c r="J353" s="120">
        <f>+IFERROR(VLOOKUP(E353,'DANH MỤC'!$C:$H,5,0),"")</f>
        <v>800</v>
      </c>
      <c r="K353" s="117"/>
      <c r="L353" s="121">
        <v>120.0</v>
      </c>
      <c r="M353" s="118" t="s">
        <v>304</v>
      </c>
      <c r="N353" s="118"/>
    </row>
    <row r="354" ht="15.75" customHeight="1">
      <c r="A354" s="117">
        <f t="shared" si="1"/>
        <v>349</v>
      </c>
      <c r="B354" s="118" t="s">
        <v>330</v>
      </c>
      <c r="C354" s="119">
        <v>45664.0</v>
      </c>
      <c r="D354" s="120" t="s">
        <v>146</v>
      </c>
      <c r="E354" s="120" t="s">
        <v>98</v>
      </c>
      <c r="F354" s="120" t="str">
        <f>+IFERROR(VLOOKUP(E354,'DANH MỤC'!$C:$H,2,0),"")</f>
        <v>Lưỡi gà trắng 91mm x 800m x 210gsm</v>
      </c>
      <c r="G354" s="120" t="str">
        <f>+IFERROR(VLOOKUP(E354,'DANH MỤC'!$C:$H,6,0),"")</f>
        <v>Cuộn</v>
      </c>
      <c r="H354" s="120">
        <f>+IFERROR(VLOOKUP(E354,'DANH MỤC'!$C:$H,3,0),"")</f>
        <v>210</v>
      </c>
      <c r="I354" s="120">
        <f>+IFERROR(VLOOKUP(E354,'DANH MỤC'!$C:$H,4,0),"")</f>
        <v>91</v>
      </c>
      <c r="J354" s="120">
        <f>+IFERROR(VLOOKUP(E354,'DANH MỤC'!$C:$H,5,0),"")</f>
        <v>800</v>
      </c>
      <c r="K354" s="117"/>
      <c r="L354" s="121">
        <v>10.0</v>
      </c>
      <c r="M354" s="118" t="s">
        <v>304</v>
      </c>
      <c r="N354" s="118"/>
    </row>
    <row r="355" ht="15.75" customHeight="1">
      <c r="A355" s="53">
        <f t="shared" si="1"/>
        <v>350</v>
      </c>
      <c r="B355" s="55" t="s">
        <v>330</v>
      </c>
      <c r="C355" s="41">
        <v>45664.0</v>
      </c>
      <c r="D355" s="42" t="s">
        <v>249</v>
      </c>
      <c r="E355" s="42" t="s">
        <v>81</v>
      </c>
      <c r="F355" s="42" t="str">
        <f>+IFERROR(VLOOKUP(E355,'DANH MỤC'!$C:$H,2,0),"")</f>
        <v>Lưỡi gà trắng 71mm x 800m x 210gsm</v>
      </c>
      <c r="G355" s="42" t="str">
        <f>+IFERROR(VLOOKUP(E355,'DANH MỤC'!$C:$H,6,0),"")</f>
        <v>Cuộn</v>
      </c>
      <c r="H355" s="42">
        <f>+IFERROR(VLOOKUP(E355,'DANH MỤC'!$C:$H,3,0),"")</f>
        <v>210</v>
      </c>
      <c r="I355" s="42">
        <f>+IFERROR(VLOOKUP(E355,'DANH MỤC'!$C:$H,4,0),"")</f>
        <v>71</v>
      </c>
      <c r="J355" s="42">
        <f>+IFERROR(VLOOKUP(E355,'DANH MỤC'!$C:$H,5,0),"")</f>
        <v>800</v>
      </c>
      <c r="K355" s="53">
        <v>77.0</v>
      </c>
      <c r="L355" s="58"/>
      <c r="M355" s="55"/>
      <c r="N355" s="55" t="s">
        <v>333</v>
      </c>
    </row>
    <row r="356" ht="15.75" customHeight="1">
      <c r="A356" s="53">
        <f t="shared" si="1"/>
        <v>351</v>
      </c>
      <c r="B356" s="55" t="s">
        <v>330</v>
      </c>
      <c r="C356" s="41">
        <v>45664.0</v>
      </c>
      <c r="D356" s="42" t="s">
        <v>249</v>
      </c>
      <c r="E356" s="42" t="s">
        <v>104</v>
      </c>
      <c r="F356" s="42" t="str">
        <f>+IFERROR(VLOOKUP(E356,'DANH MỤC'!$C:$H,2,0),"")</f>
        <v>Lưỡi gà trắng 95mm x 800m x 210gsm</v>
      </c>
      <c r="G356" s="42" t="str">
        <f>+IFERROR(VLOOKUP(E356,'DANH MỤC'!$C:$H,6,0),"")</f>
        <v>Cuộn</v>
      </c>
      <c r="H356" s="42">
        <f>+IFERROR(VLOOKUP(E356,'DANH MỤC'!$C:$H,3,0),"")</f>
        <v>210</v>
      </c>
      <c r="I356" s="42">
        <f>+IFERROR(VLOOKUP(E356,'DANH MỤC'!$C:$H,4,0),"")</f>
        <v>95</v>
      </c>
      <c r="J356" s="42">
        <f>+IFERROR(VLOOKUP(E356,'DANH MỤC'!$C:$H,5,0),"")</f>
        <v>800</v>
      </c>
      <c r="K356" s="53">
        <v>18.0</v>
      </c>
      <c r="L356" s="58"/>
      <c r="M356" s="55"/>
      <c r="N356" s="55" t="s">
        <v>333</v>
      </c>
    </row>
    <row r="357" ht="15.75" customHeight="1">
      <c r="A357" s="53">
        <f t="shared" si="1"/>
        <v>352</v>
      </c>
      <c r="B357" s="55" t="s">
        <v>330</v>
      </c>
      <c r="C357" s="41">
        <v>45664.0</v>
      </c>
      <c r="D357" s="42" t="s">
        <v>249</v>
      </c>
      <c r="E357" s="42" t="s">
        <v>98</v>
      </c>
      <c r="F357" s="42" t="str">
        <f>+IFERROR(VLOOKUP(E357,'DANH MỤC'!$C:$H,2,0),"")</f>
        <v>Lưỡi gà trắng 91mm x 800m x 210gsm</v>
      </c>
      <c r="G357" s="42" t="str">
        <f>+IFERROR(VLOOKUP(E357,'DANH MỤC'!$C:$H,6,0),"")</f>
        <v>Cuộn</v>
      </c>
      <c r="H357" s="42">
        <f>+IFERROR(VLOOKUP(E357,'DANH MỤC'!$C:$H,3,0),"")</f>
        <v>210</v>
      </c>
      <c r="I357" s="42">
        <f>+IFERROR(VLOOKUP(E357,'DANH MỤC'!$C:$H,4,0),"")</f>
        <v>91</v>
      </c>
      <c r="J357" s="42">
        <f>+IFERROR(VLOOKUP(E357,'DANH MỤC'!$C:$H,5,0),"")</f>
        <v>800</v>
      </c>
      <c r="K357" s="53">
        <v>1.0</v>
      </c>
      <c r="L357" s="58"/>
      <c r="M357" s="55"/>
      <c r="N357" s="55" t="s">
        <v>333</v>
      </c>
    </row>
    <row r="358" ht="15.75" customHeight="1">
      <c r="A358" s="53">
        <f t="shared" si="1"/>
        <v>353</v>
      </c>
      <c r="B358" s="55" t="s">
        <v>330</v>
      </c>
      <c r="C358" s="41">
        <v>45664.0</v>
      </c>
      <c r="D358" s="42" t="s">
        <v>344</v>
      </c>
      <c r="E358" s="42" t="s">
        <v>47</v>
      </c>
      <c r="F358" s="42" t="str">
        <f>+IFERROR(VLOOKUP(E358,'DANH MỤC'!$C:$H,2,0),"")</f>
        <v>Ivory Ningbo</v>
      </c>
      <c r="G358" s="42" t="str">
        <f>+IFERROR(VLOOKUP(E358,'DANH MỤC'!$C:$H,6,0),"")</f>
        <v>Kg</v>
      </c>
      <c r="H358" s="42">
        <f>+IFERROR(VLOOKUP(E358,'DANH MỤC'!$C:$H,3,0),"")</f>
        <v>210</v>
      </c>
      <c r="I358" s="42">
        <f>+IFERROR(VLOOKUP(E358,'DANH MỤC'!$C:$H,4,0),"")</f>
        <v>109</v>
      </c>
      <c r="J358" s="42" t="str">
        <f>+IFERROR(VLOOKUP(E358,'DANH MỤC'!$C:$H,5,0),"")</f>
        <v/>
      </c>
      <c r="K358" s="53">
        <v>140.0</v>
      </c>
      <c r="L358" s="58"/>
      <c r="M358" s="55"/>
      <c r="N358" s="55" t="s">
        <v>333</v>
      </c>
    </row>
    <row r="359" ht="15.75" customHeight="1">
      <c r="A359" s="53">
        <f t="shared" si="1"/>
        <v>354</v>
      </c>
      <c r="B359" s="55" t="s">
        <v>330</v>
      </c>
      <c r="C359" s="41">
        <v>45664.0</v>
      </c>
      <c r="D359" s="42" t="s">
        <v>334</v>
      </c>
      <c r="E359" s="42" t="s">
        <v>182</v>
      </c>
      <c r="F359" s="42" t="str">
        <f>+IFERROR(VLOOKUP(E359,'DANH MỤC'!$C:$H,2,0),"")</f>
        <v>Ống lõi giấy phi 120x7x71mm</v>
      </c>
      <c r="G359" s="42" t="str">
        <f>+IFERROR(VLOOKUP(E359,'DANH MỤC'!$C:$H,6,0),"")</f>
        <v>Cái</v>
      </c>
      <c r="H359" s="42">
        <f>+IFERROR(VLOOKUP(E359,'DANH MỤC'!$C:$H,3,0),"")</f>
        <v>120</v>
      </c>
      <c r="I359" s="42">
        <f>+IFERROR(VLOOKUP(E359,'DANH MỤC'!$C:$H,4,0),"")</f>
        <v>70</v>
      </c>
      <c r="J359" s="42">
        <f>+IFERROR(VLOOKUP(E359,'DANH MỤC'!$C:$H,5,0),"")</f>
        <v>71</v>
      </c>
      <c r="K359" s="53"/>
      <c r="L359" s="58">
        <v>90.0</v>
      </c>
      <c r="M359" s="55"/>
      <c r="N359" s="55" t="s">
        <v>333</v>
      </c>
    </row>
    <row r="360" ht="15.75" customHeight="1">
      <c r="A360" s="53">
        <f t="shared" si="1"/>
        <v>355</v>
      </c>
      <c r="B360" s="55" t="s">
        <v>330</v>
      </c>
      <c r="C360" s="41">
        <v>45664.0</v>
      </c>
      <c r="D360" s="42" t="s">
        <v>334</v>
      </c>
      <c r="E360" s="42" t="s">
        <v>184</v>
      </c>
      <c r="F360" s="42" t="str">
        <f>+IFERROR(VLOOKUP(E360,'DANH MỤC'!$C:$H,2,0),"")</f>
        <v>Ống lõi giấy phi 120x7x95mm</v>
      </c>
      <c r="G360" s="42" t="str">
        <f>+IFERROR(VLOOKUP(E360,'DANH MỤC'!$C:$H,6,0),"")</f>
        <v>Cái</v>
      </c>
      <c r="H360" s="42">
        <f>+IFERROR(VLOOKUP(E360,'DANH MỤC'!$C:$H,3,0),"")</f>
        <v>120</v>
      </c>
      <c r="I360" s="42">
        <f>+IFERROR(VLOOKUP(E360,'DANH MỤC'!$C:$H,4,0),"")</f>
        <v>70</v>
      </c>
      <c r="J360" s="42">
        <f>+IFERROR(VLOOKUP(E360,'DANH MỤC'!$C:$H,5,0),"")</f>
        <v>95</v>
      </c>
      <c r="K360" s="53"/>
      <c r="L360" s="58">
        <v>20.0</v>
      </c>
      <c r="M360" s="55"/>
      <c r="N360" s="55" t="s">
        <v>333</v>
      </c>
    </row>
    <row r="361" ht="15.75" customHeight="1">
      <c r="A361" s="53">
        <f t="shared" si="1"/>
        <v>356</v>
      </c>
      <c r="B361" s="55" t="s">
        <v>330</v>
      </c>
      <c r="C361" s="41">
        <v>45664.0</v>
      </c>
      <c r="D361" s="42" t="s">
        <v>334</v>
      </c>
      <c r="E361" s="42" t="s">
        <v>183</v>
      </c>
      <c r="F361" s="42" t="str">
        <f>+IFERROR(VLOOKUP(E361,'DANH MỤC'!$C:$H,2,0),"")</f>
        <v>Ống lõi giấy phi 120x7x90mm</v>
      </c>
      <c r="G361" s="42" t="str">
        <f>+IFERROR(VLOOKUP(E361,'DANH MỤC'!$C:$H,6,0),"")</f>
        <v>Cái</v>
      </c>
      <c r="H361" s="42">
        <f>+IFERROR(VLOOKUP(E361,'DANH MỤC'!$C:$H,3,0),"")</f>
        <v>120</v>
      </c>
      <c r="I361" s="42">
        <f>+IFERROR(VLOOKUP(E361,'DANH MỤC'!$C:$H,4,0),"")</f>
        <v>70</v>
      </c>
      <c r="J361" s="42">
        <f>+IFERROR(VLOOKUP(E361,'DANH MỤC'!$C:$H,5,0),"")</f>
        <v>90</v>
      </c>
      <c r="K361" s="53"/>
      <c r="L361" s="58">
        <v>5.0</v>
      </c>
      <c r="M361" s="55"/>
      <c r="N361" s="55" t="s">
        <v>333</v>
      </c>
    </row>
    <row r="362" ht="15.75" customHeight="1">
      <c r="A362" s="53">
        <f t="shared" si="1"/>
        <v>357</v>
      </c>
      <c r="B362" s="55" t="s">
        <v>330</v>
      </c>
      <c r="C362" s="41">
        <v>45664.0</v>
      </c>
      <c r="D362" s="42" t="s">
        <v>334</v>
      </c>
      <c r="E362" s="42" t="s">
        <v>127</v>
      </c>
      <c r="F362" s="42" t="str">
        <f>+IFERROR(VLOOKUP(E362,'DANH MỤC'!$C:$H,2,0),"")</f>
        <v>Pallet gỗ 1100x1100x130mm</v>
      </c>
      <c r="G362" s="42" t="str">
        <f>+IFERROR(VLOOKUP(E362,'DANH MỤC'!$C:$H,6,0),"")</f>
        <v>Bộ</v>
      </c>
      <c r="H362" s="42">
        <f>+IFERROR(VLOOKUP(E362,'DANH MỤC'!$C:$H,3,0),"")</f>
        <v>1100</v>
      </c>
      <c r="I362" s="42">
        <f>+IFERROR(VLOOKUP(E362,'DANH MỤC'!$C:$H,4,0),"")</f>
        <v>1100</v>
      </c>
      <c r="J362" s="42">
        <f>+IFERROR(VLOOKUP(E362,'DANH MỤC'!$C:$H,5,0),"")</f>
        <v>130</v>
      </c>
      <c r="K362" s="53"/>
      <c r="L362" s="58">
        <v>1.0</v>
      </c>
      <c r="M362" s="55"/>
      <c r="N362" s="55" t="s">
        <v>333</v>
      </c>
    </row>
    <row r="363" ht="15.75" customHeight="1">
      <c r="A363" s="53">
        <f t="shared" si="1"/>
        <v>358</v>
      </c>
      <c r="B363" s="55" t="s">
        <v>330</v>
      </c>
      <c r="C363" s="41">
        <v>45664.0</v>
      </c>
      <c r="D363" s="42" t="s">
        <v>348</v>
      </c>
      <c r="E363" s="42" t="s">
        <v>189</v>
      </c>
      <c r="F363" s="42" t="str">
        <f>+IFERROR(VLOOKUP(E363,'DANH MỤC'!$C:$H,2,0),"")</f>
        <v>Ivory Ningbo</v>
      </c>
      <c r="G363" s="42" t="str">
        <f>+IFERROR(VLOOKUP(E363,'DANH MỤC'!$C:$H,6,0),"")</f>
        <v>Kg</v>
      </c>
      <c r="H363" s="42">
        <f>+IFERROR(VLOOKUP(E363,'DANH MỤC'!$C:$H,3,0),"")</f>
        <v>230</v>
      </c>
      <c r="I363" s="42">
        <f>+IFERROR(VLOOKUP(E363,'DANH MỤC'!$C:$H,4,0),"")</f>
        <v>109</v>
      </c>
      <c r="J363" s="42" t="str">
        <f>+IFERROR(VLOOKUP(E363,'DANH MỤC'!$C:$H,5,0),"")</f>
        <v/>
      </c>
      <c r="K363" s="53"/>
      <c r="L363" s="58">
        <v>7170.0</v>
      </c>
      <c r="M363" s="55"/>
      <c r="N363" s="55" t="s">
        <v>333</v>
      </c>
    </row>
    <row r="364" ht="15.75" customHeight="1">
      <c r="A364" s="53">
        <f t="shared" si="1"/>
        <v>359</v>
      </c>
      <c r="B364" s="55" t="s">
        <v>330</v>
      </c>
      <c r="C364" s="41">
        <v>45664.0</v>
      </c>
      <c r="D364" s="42" t="s">
        <v>349</v>
      </c>
      <c r="E364" s="42" t="s">
        <v>204</v>
      </c>
      <c r="F364" s="42" t="str">
        <f>+IFERROR(VLOOKUP(E364,'DANH MỤC'!$C:$H,2,0),"")</f>
        <v>Ống lõi giấy phi 120x7x98mm</v>
      </c>
      <c r="G364" s="42" t="str">
        <f>+IFERROR(VLOOKUP(E364,'DANH MỤC'!$C:$H,6,0),"")</f>
        <v>Cái</v>
      </c>
      <c r="H364" s="42">
        <f>+IFERROR(VLOOKUP(E364,'DANH MỤC'!$C:$H,3,0),"")</f>
        <v>120</v>
      </c>
      <c r="I364" s="42">
        <f>+IFERROR(VLOOKUP(E364,'DANH MỤC'!$C:$H,4,0),"")</f>
        <v>70</v>
      </c>
      <c r="J364" s="42">
        <f>+IFERROR(VLOOKUP(E364,'DANH MỤC'!$C:$H,5,0),"")</f>
        <v>98</v>
      </c>
      <c r="K364" s="53"/>
      <c r="L364" s="58">
        <v>32.0</v>
      </c>
      <c r="M364" s="55"/>
      <c r="N364" s="55" t="s">
        <v>333</v>
      </c>
    </row>
    <row r="365" ht="15.75" customHeight="1">
      <c r="A365" s="53">
        <f t="shared" si="1"/>
        <v>360</v>
      </c>
      <c r="B365" s="55" t="s">
        <v>330</v>
      </c>
      <c r="C365" s="41">
        <v>45664.0</v>
      </c>
      <c r="D365" s="42" t="s">
        <v>249</v>
      </c>
      <c r="E365" s="42" t="s">
        <v>120</v>
      </c>
      <c r="F365" s="42" t="str">
        <f>+IFERROR(VLOOKUP(E365,'DANH MỤC'!$C:$H,2,0),"")</f>
        <v>Lưỡi gà trắng 98mm x 800m x 230gsm</v>
      </c>
      <c r="G365" s="42" t="str">
        <f>+IFERROR(VLOOKUP(E365,'DANH MỤC'!$C:$H,6,0),"")</f>
        <v>Cuộn</v>
      </c>
      <c r="H365" s="42">
        <f>+IFERROR(VLOOKUP(E365,'DANH MỤC'!$C:$H,3,0),"")</f>
        <v>230</v>
      </c>
      <c r="I365" s="42">
        <f>+IFERROR(VLOOKUP(E365,'DANH MỤC'!$C:$H,4,0),"")</f>
        <v>98</v>
      </c>
      <c r="J365" s="42">
        <f>+IFERROR(VLOOKUP(E365,'DANH MỤC'!$C:$H,5,0),"")</f>
        <v>800</v>
      </c>
      <c r="K365" s="53">
        <v>32.0</v>
      </c>
      <c r="L365" s="58"/>
      <c r="M365" s="55"/>
      <c r="N365" s="55" t="s">
        <v>333</v>
      </c>
    </row>
    <row r="366" ht="15.75" customHeight="1">
      <c r="A366" s="53">
        <f t="shared" si="1"/>
        <v>361</v>
      </c>
      <c r="B366" s="55" t="s">
        <v>330</v>
      </c>
      <c r="C366" s="41">
        <v>45665.0</v>
      </c>
      <c r="D366" s="42" t="s">
        <v>349</v>
      </c>
      <c r="E366" s="42" t="s">
        <v>204</v>
      </c>
      <c r="F366" s="42" t="str">
        <f>+IFERROR(VLOOKUP(E366,'DANH MỤC'!$C:$H,2,0),"")</f>
        <v>Ống lõi giấy phi 120x7x98mm</v>
      </c>
      <c r="G366" s="42" t="str">
        <f>+IFERROR(VLOOKUP(E366,'DANH MỤC'!$C:$H,6,0),"")</f>
        <v>Cái</v>
      </c>
      <c r="H366" s="42">
        <f>+IFERROR(VLOOKUP(E366,'DANH MỤC'!$C:$H,3,0),"")</f>
        <v>120</v>
      </c>
      <c r="I366" s="42">
        <f>+IFERROR(VLOOKUP(E366,'DANH MỤC'!$C:$H,4,0),"")</f>
        <v>70</v>
      </c>
      <c r="J366" s="42">
        <f>+IFERROR(VLOOKUP(E366,'DANH MỤC'!$C:$H,5,0),"")</f>
        <v>98</v>
      </c>
      <c r="K366" s="53"/>
      <c r="L366" s="58">
        <f>135-17</f>
        <v>118</v>
      </c>
      <c r="M366" s="55"/>
      <c r="N366" s="55" t="s">
        <v>333</v>
      </c>
    </row>
    <row r="367" ht="15.75" customHeight="1">
      <c r="A367" s="53">
        <f t="shared" si="1"/>
        <v>362</v>
      </c>
      <c r="B367" s="55" t="s">
        <v>330</v>
      </c>
      <c r="C367" s="41">
        <v>45665.0</v>
      </c>
      <c r="D367" s="42" t="s">
        <v>349</v>
      </c>
      <c r="E367" s="42" t="s">
        <v>107</v>
      </c>
      <c r="F367" s="42" t="str">
        <f>+IFERROR(VLOOKUP(E367,'DANH MỤC'!$C:$H,2,0),"")</f>
        <v>Pallet gỗ 1200x1200x130mm</v>
      </c>
      <c r="G367" s="42" t="str">
        <f>+IFERROR(VLOOKUP(E367,'DANH MỤC'!$C:$H,6,0),"")</f>
        <v>Bộ</v>
      </c>
      <c r="H367" s="42">
        <f>+IFERROR(VLOOKUP(E367,'DANH MỤC'!$C:$H,3,0),"")</f>
        <v>1200</v>
      </c>
      <c r="I367" s="42">
        <f>+IFERROR(VLOOKUP(E367,'DANH MỤC'!$C:$H,4,0),"")</f>
        <v>1200</v>
      </c>
      <c r="J367" s="42">
        <f>+IFERROR(VLOOKUP(E367,'DANH MỤC'!$C:$H,5,0),"")</f>
        <v>130</v>
      </c>
      <c r="K367" s="53"/>
      <c r="L367" s="58">
        <v>2.0</v>
      </c>
      <c r="M367" s="55"/>
      <c r="N367" s="55" t="s">
        <v>333</v>
      </c>
    </row>
    <row r="368" ht="15.75" customHeight="1">
      <c r="A368" s="53">
        <f t="shared" si="1"/>
        <v>363</v>
      </c>
      <c r="B368" s="55" t="s">
        <v>330</v>
      </c>
      <c r="C368" s="41">
        <v>45665.0</v>
      </c>
      <c r="D368" s="42" t="s">
        <v>249</v>
      </c>
      <c r="E368" s="42" t="s">
        <v>120</v>
      </c>
      <c r="F368" s="42" t="str">
        <f>+IFERROR(VLOOKUP(E368,'DANH MỤC'!$C:$H,2,0),"")</f>
        <v>Lưỡi gà trắng 98mm x 800m x 230gsm</v>
      </c>
      <c r="G368" s="42" t="str">
        <f>+IFERROR(VLOOKUP(E368,'DANH MỤC'!$C:$H,6,0),"")</f>
        <v>Cuộn</v>
      </c>
      <c r="H368" s="42">
        <f>+IFERROR(VLOOKUP(E368,'DANH MỤC'!$C:$H,3,0),"")</f>
        <v>230</v>
      </c>
      <c r="I368" s="42">
        <f>+IFERROR(VLOOKUP(E368,'DANH MỤC'!$C:$H,4,0),"")</f>
        <v>98</v>
      </c>
      <c r="J368" s="42">
        <f>+IFERROR(VLOOKUP(E368,'DANH MỤC'!$C:$H,5,0),"")</f>
        <v>800</v>
      </c>
      <c r="K368" s="53">
        <v>132.0</v>
      </c>
      <c r="L368" s="58"/>
      <c r="M368" s="55"/>
      <c r="N368" s="55" t="s">
        <v>333</v>
      </c>
    </row>
    <row r="369" ht="15.75" customHeight="1">
      <c r="A369" s="53">
        <f t="shared" si="1"/>
        <v>364</v>
      </c>
      <c r="B369" s="55" t="s">
        <v>330</v>
      </c>
      <c r="C369" s="41">
        <v>45666.0</v>
      </c>
      <c r="D369" s="42" t="s">
        <v>349</v>
      </c>
      <c r="E369" s="42" t="s">
        <v>204</v>
      </c>
      <c r="F369" s="42" t="str">
        <f>+IFERROR(VLOOKUP(E369,'DANH MỤC'!$C:$H,2,0),"")</f>
        <v>Ống lõi giấy phi 120x7x98mm</v>
      </c>
      <c r="G369" s="42" t="str">
        <f>+IFERROR(VLOOKUP(E369,'DANH MỤC'!$C:$H,6,0),"")</f>
        <v>Cái</v>
      </c>
      <c r="H369" s="42">
        <f>+IFERROR(VLOOKUP(E369,'DANH MỤC'!$C:$H,3,0),"")</f>
        <v>120</v>
      </c>
      <c r="I369" s="42">
        <f>+IFERROR(VLOOKUP(E369,'DANH MỤC'!$C:$H,4,0),"")</f>
        <v>70</v>
      </c>
      <c r="J369" s="42">
        <f>+IFERROR(VLOOKUP(E369,'DANH MỤC'!$C:$H,5,0),"")</f>
        <v>98</v>
      </c>
      <c r="K369" s="53"/>
      <c r="L369" s="58">
        <v>132.0</v>
      </c>
      <c r="M369" s="55"/>
      <c r="N369" s="55" t="s">
        <v>333</v>
      </c>
    </row>
    <row r="370" ht="15.75" customHeight="1">
      <c r="A370" s="53">
        <f t="shared" si="1"/>
        <v>365</v>
      </c>
      <c r="B370" s="55" t="s">
        <v>330</v>
      </c>
      <c r="C370" s="41">
        <v>45666.0</v>
      </c>
      <c r="D370" s="42" t="s">
        <v>349</v>
      </c>
      <c r="E370" s="42" t="s">
        <v>107</v>
      </c>
      <c r="F370" s="42" t="str">
        <f>+IFERROR(VLOOKUP(E370,'DANH MỤC'!$C:$H,2,0),"")</f>
        <v>Pallet gỗ 1200x1200x130mm</v>
      </c>
      <c r="G370" s="42" t="str">
        <f>+IFERROR(VLOOKUP(E370,'DANH MỤC'!$C:$H,6,0),"")</f>
        <v>Bộ</v>
      </c>
      <c r="H370" s="42">
        <f>+IFERROR(VLOOKUP(E370,'DANH MỤC'!$C:$H,3,0),"")</f>
        <v>1200</v>
      </c>
      <c r="I370" s="42">
        <f>+IFERROR(VLOOKUP(E370,'DANH MỤC'!$C:$H,4,0),"")</f>
        <v>1200</v>
      </c>
      <c r="J370" s="42">
        <f>+IFERROR(VLOOKUP(E370,'DANH MỤC'!$C:$H,5,0),"")</f>
        <v>130</v>
      </c>
      <c r="K370" s="53"/>
      <c r="L370" s="58">
        <v>3.0</v>
      </c>
      <c r="M370" s="55"/>
      <c r="N370" s="55" t="s">
        <v>333</v>
      </c>
    </row>
    <row r="371" ht="15.75" customHeight="1">
      <c r="A371" s="53">
        <f t="shared" si="1"/>
        <v>366</v>
      </c>
      <c r="B371" s="55" t="s">
        <v>330</v>
      </c>
      <c r="C371" s="41">
        <v>45666.0</v>
      </c>
      <c r="D371" s="42" t="s">
        <v>249</v>
      </c>
      <c r="E371" s="42" t="s">
        <v>120</v>
      </c>
      <c r="F371" s="42" t="str">
        <f>+IFERROR(VLOOKUP(E371,'DANH MỤC'!$C:$H,2,0),"")</f>
        <v>Lưỡi gà trắng 98mm x 800m x 230gsm</v>
      </c>
      <c r="G371" s="42" t="str">
        <f>+IFERROR(VLOOKUP(E371,'DANH MỤC'!$C:$H,6,0),"")</f>
        <v>Cuộn</v>
      </c>
      <c r="H371" s="42">
        <f>+IFERROR(VLOOKUP(E371,'DANH MỤC'!$C:$H,3,0),"")</f>
        <v>230</v>
      </c>
      <c r="I371" s="42">
        <f>+IFERROR(VLOOKUP(E371,'DANH MỤC'!$C:$H,4,0),"")</f>
        <v>98</v>
      </c>
      <c r="J371" s="42">
        <f>+IFERROR(VLOOKUP(E371,'DANH MỤC'!$C:$H,5,0),"")</f>
        <v>800</v>
      </c>
      <c r="K371" s="53">
        <v>132.0</v>
      </c>
      <c r="L371" s="58"/>
      <c r="M371" s="55"/>
      <c r="N371" s="55" t="s">
        <v>333</v>
      </c>
    </row>
    <row r="372" ht="15.75" customHeight="1">
      <c r="A372" s="53">
        <f t="shared" si="1"/>
        <v>367</v>
      </c>
      <c r="B372" s="55" t="s">
        <v>330</v>
      </c>
      <c r="C372" s="41">
        <v>45667.0</v>
      </c>
      <c r="D372" s="42" t="s">
        <v>348</v>
      </c>
      <c r="E372" s="42" t="s">
        <v>189</v>
      </c>
      <c r="F372" s="42" t="str">
        <f>+IFERROR(VLOOKUP(E372,'DANH MỤC'!$C:$H,2,0),"")</f>
        <v>Ivory Ningbo</v>
      </c>
      <c r="G372" s="42" t="str">
        <f>+IFERROR(VLOOKUP(E372,'DANH MỤC'!$C:$H,6,0),"")</f>
        <v>Kg</v>
      </c>
      <c r="H372" s="42">
        <f>+IFERROR(VLOOKUP(E372,'DANH MỤC'!$C:$H,3,0),"")</f>
        <v>230</v>
      </c>
      <c r="I372" s="42">
        <f>+IFERROR(VLOOKUP(E372,'DANH MỤC'!$C:$H,4,0),"")</f>
        <v>109</v>
      </c>
      <c r="J372" s="42" t="str">
        <f>+IFERROR(VLOOKUP(E372,'DANH MỤC'!$C:$H,5,0),"")</f>
        <v/>
      </c>
      <c r="K372" s="53"/>
      <c r="L372" s="58">
        <v>1980.0</v>
      </c>
      <c r="M372" s="55"/>
      <c r="N372" s="55" t="s">
        <v>333</v>
      </c>
    </row>
    <row r="373" ht="15.75" customHeight="1">
      <c r="A373" s="53">
        <f t="shared" si="1"/>
        <v>368</v>
      </c>
      <c r="B373" s="55" t="s">
        <v>330</v>
      </c>
      <c r="C373" s="41">
        <v>45667.0</v>
      </c>
      <c r="D373" s="42" t="s">
        <v>349</v>
      </c>
      <c r="E373" s="42" t="s">
        <v>204</v>
      </c>
      <c r="F373" s="42" t="str">
        <f>+IFERROR(VLOOKUP(E373,'DANH MỤC'!$C:$H,2,0),"")</f>
        <v>Ống lõi giấy phi 120x7x98mm</v>
      </c>
      <c r="G373" s="42" t="str">
        <f>+IFERROR(VLOOKUP(E373,'DANH MỤC'!$C:$H,6,0),"")</f>
        <v>Cái</v>
      </c>
      <c r="H373" s="42">
        <f>+IFERROR(VLOOKUP(E373,'DANH MỤC'!$C:$H,3,0),"")</f>
        <v>120</v>
      </c>
      <c r="I373" s="42">
        <f>+IFERROR(VLOOKUP(E373,'DANH MỤC'!$C:$H,4,0),"")</f>
        <v>70</v>
      </c>
      <c r="J373" s="42">
        <f>+IFERROR(VLOOKUP(E373,'DANH MỤC'!$C:$H,5,0),"")</f>
        <v>98</v>
      </c>
      <c r="K373" s="53"/>
      <c r="L373" s="58">
        <v>132.0</v>
      </c>
      <c r="M373" s="55"/>
      <c r="N373" s="55" t="s">
        <v>333</v>
      </c>
    </row>
    <row r="374" ht="15.75" customHeight="1">
      <c r="A374" s="53">
        <f t="shared" si="1"/>
        <v>369</v>
      </c>
      <c r="B374" s="55" t="s">
        <v>330</v>
      </c>
      <c r="C374" s="41">
        <v>45667.0</v>
      </c>
      <c r="D374" s="42" t="s">
        <v>349</v>
      </c>
      <c r="E374" s="42" t="s">
        <v>107</v>
      </c>
      <c r="F374" s="42" t="str">
        <f>+IFERROR(VLOOKUP(E374,'DANH MỤC'!$C:$H,2,0),"")</f>
        <v>Pallet gỗ 1200x1200x130mm</v>
      </c>
      <c r="G374" s="42" t="str">
        <f>+IFERROR(VLOOKUP(E374,'DANH MỤC'!$C:$H,6,0),"")</f>
        <v>Bộ</v>
      </c>
      <c r="H374" s="42">
        <f>+IFERROR(VLOOKUP(E374,'DANH MỤC'!$C:$H,3,0),"")</f>
        <v>1200</v>
      </c>
      <c r="I374" s="42">
        <f>+IFERROR(VLOOKUP(E374,'DANH MỤC'!$C:$H,4,0),"")</f>
        <v>1200</v>
      </c>
      <c r="J374" s="42">
        <f>+IFERROR(VLOOKUP(E374,'DANH MỤC'!$C:$H,5,0),"")</f>
        <v>130</v>
      </c>
      <c r="K374" s="53"/>
      <c r="L374" s="58">
        <v>2.0</v>
      </c>
      <c r="M374" s="55"/>
      <c r="N374" s="55" t="s">
        <v>333</v>
      </c>
    </row>
    <row r="375" ht="15.75" customHeight="1">
      <c r="A375" s="53">
        <f t="shared" si="1"/>
        <v>370</v>
      </c>
      <c r="B375" s="55" t="s">
        <v>330</v>
      </c>
      <c r="C375" s="41">
        <v>45667.0</v>
      </c>
      <c r="D375" s="42" t="s">
        <v>249</v>
      </c>
      <c r="E375" s="42" t="s">
        <v>120</v>
      </c>
      <c r="F375" s="42" t="str">
        <f>+IFERROR(VLOOKUP(E375,'DANH MỤC'!$C:$H,2,0),"")</f>
        <v>Lưỡi gà trắng 98mm x 800m x 230gsm</v>
      </c>
      <c r="G375" s="42" t="str">
        <f>+IFERROR(VLOOKUP(E375,'DANH MỤC'!$C:$H,6,0),"")</f>
        <v>Cuộn</v>
      </c>
      <c r="H375" s="42">
        <f>+IFERROR(VLOOKUP(E375,'DANH MỤC'!$C:$H,3,0),"")</f>
        <v>230</v>
      </c>
      <c r="I375" s="42">
        <f>+IFERROR(VLOOKUP(E375,'DANH MỤC'!$C:$H,4,0),"")</f>
        <v>98</v>
      </c>
      <c r="J375" s="42">
        <f>+IFERROR(VLOOKUP(E375,'DANH MỤC'!$C:$H,5,0),"")</f>
        <v>800</v>
      </c>
      <c r="K375" s="53">
        <v>132.0</v>
      </c>
      <c r="L375" s="58"/>
      <c r="M375" s="55"/>
      <c r="N375" s="55" t="s">
        <v>333</v>
      </c>
    </row>
    <row r="376" ht="15.75" customHeight="1">
      <c r="A376" s="53">
        <f t="shared" si="1"/>
        <v>371</v>
      </c>
      <c r="B376" s="55" t="s">
        <v>330</v>
      </c>
      <c r="C376" s="41">
        <v>45668.0</v>
      </c>
      <c r="D376" s="42" t="s">
        <v>349</v>
      </c>
      <c r="E376" s="42" t="s">
        <v>107</v>
      </c>
      <c r="F376" s="42" t="str">
        <f>+IFERROR(VLOOKUP(E376,'DANH MỤC'!$C:$H,2,0),"")</f>
        <v>Pallet gỗ 1200x1200x130mm</v>
      </c>
      <c r="G376" s="42" t="str">
        <f>+IFERROR(VLOOKUP(E376,'DANH MỤC'!$C:$H,6,0),"")</f>
        <v>Bộ</v>
      </c>
      <c r="H376" s="42">
        <f>+IFERROR(VLOOKUP(E376,'DANH MỤC'!$C:$H,3,0),"")</f>
        <v>1200</v>
      </c>
      <c r="I376" s="42">
        <f>+IFERROR(VLOOKUP(E376,'DANH MỤC'!$C:$H,4,0),"")</f>
        <v>1200</v>
      </c>
      <c r="J376" s="42">
        <f>+IFERROR(VLOOKUP(E376,'DANH MỤC'!$C:$H,5,0),"")</f>
        <v>130</v>
      </c>
      <c r="K376" s="53"/>
      <c r="L376" s="58"/>
      <c r="M376" s="55"/>
      <c r="N376" s="55" t="s">
        <v>333</v>
      </c>
    </row>
    <row r="377" ht="15.75" customHeight="1">
      <c r="A377" s="53">
        <f t="shared" si="1"/>
        <v>372</v>
      </c>
      <c r="B377" s="55" t="s">
        <v>330</v>
      </c>
      <c r="C377" s="41">
        <v>45668.0</v>
      </c>
      <c r="D377" s="42" t="s">
        <v>349</v>
      </c>
      <c r="E377" s="42" t="s">
        <v>204</v>
      </c>
      <c r="F377" s="42" t="str">
        <f>+IFERROR(VLOOKUP(E377,'DANH MỤC'!$C:$H,2,0),"")</f>
        <v>Ống lõi giấy phi 120x7x98mm</v>
      </c>
      <c r="G377" s="42" t="str">
        <f>+IFERROR(VLOOKUP(E377,'DANH MỤC'!$C:$H,6,0),"")</f>
        <v>Cái</v>
      </c>
      <c r="H377" s="42">
        <f>+IFERROR(VLOOKUP(E377,'DANH MỤC'!$C:$H,3,0),"")</f>
        <v>120</v>
      </c>
      <c r="I377" s="42">
        <f>+IFERROR(VLOOKUP(E377,'DANH MỤC'!$C:$H,4,0),"")</f>
        <v>70</v>
      </c>
      <c r="J377" s="42">
        <f>+IFERROR(VLOOKUP(E377,'DANH MỤC'!$C:$H,5,0),"")</f>
        <v>98</v>
      </c>
      <c r="K377" s="53"/>
      <c r="L377" s="58">
        <v>44.0</v>
      </c>
      <c r="M377" s="55"/>
      <c r="N377" s="55" t="s">
        <v>333</v>
      </c>
    </row>
    <row r="378" ht="15.75" customHeight="1">
      <c r="A378" s="53">
        <f t="shared" si="1"/>
        <v>373</v>
      </c>
      <c r="B378" s="55" t="s">
        <v>330</v>
      </c>
      <c r="C378" s="41">
        <v>45668.0</v>
      </c>
      <c r="D378" s="42" t="s">
        <v>349</v>
      </c>
      <c r="E378" s="42" t="s">
        <v>107</v>
      </c>
      <c r="F378" s="42" t="str">
        <f>+IFERROR(VLOOKUP(E378,'DANH MỤC'!$C:$H,2,0),"")</f>
        <v>Pallet gỗ 1200x1200x130mm</v>
      </c>
      <c r="G378" s="42" t="str">
        <f>+IFERROR(VLOOKUP(E378,'DANH MỤC'!$C:$H,6,0),"")</f>
        <v>Bộ</v>
      </c>
      <c r="H378" s="42">
        <f>+IFERROR(VLOOKUP(E378,'DANH MỤC'!$C:$H,3,0),"")</f>
        <v>1200</v>
      </c>
      <c r="I378" s="42">
        <f>+IFERROR(VLOOKUP(E378,'DANH MỤC'!$C:$H,4,0),"")</f>
        <v>1200</v>
      </c>
      <c r="J378" s="42">
        <f>+IFERROR(VLOOKUP(E378,'DANH MỤC'!$C:$H,5,0),"")</f>
        <v>130</v>
      </c>
      <c r="K378" s="53"/>
      <c r="L378" s="58">
        <v>1.0</v>
      </c>
      <c r="M378" s="55"/>
      <c r="N378" s="55" t="s">
        <v>333</v>
      </c>
    </row>
    <row r="379" ht="15.75" customHeight="1">
      <c r="A379" s="53">
        <f t="shared" si="1"/>
        <v>374</v>
      </c>
      <c r="B379" s="55" t="s">
        <v>330</v>
      </c>
      <c r="C379" s="41">
        <v>45668.0</v>
      </c>
      <c r="D379" s="42" t="s">
        <v>349</v>
      </c>
      <c r="E379" s="42" t="s">
        <v>120</v>
      </c>
      <c r="F379" s="42" t="str">
        <f>+IFERROR(VLOOKUP(E379,'DANH MỤC'!$C:$H,2,0),"")</f>
        <v>Lưỡi gà trắng 98mm x 800m x 230gsm</v>
      </c>
      <c r="G379" s="42" t="str">
        <f>+IFERROR(VLOOKUP(E379,'DANH MỤC'!$C:$H,6,0),"")</f>
        <v>Cuộn</v>
      </c>
      <c r="H379" s="42">
        <f>+IFERROR(VLOOKUP(E379,'DANH MỤC'!$C:$H,3,0),"")</f>
        <v>230</v>
      </c>
      <c r="I379" s="42">
        <f>+IFERROR(VLOOKUP(E379,'DANH MỤC'!$C:$H,4,0),"")</f>
        <v>98</v>
      </c>
      <c r="J379" s="42">
        <f>+IFERROR(VLOOKUP(E379,'DANH MỤC'!$C:$H,5,0),"")</f>
        <v>800</v>
      </c>
      <c r="K379" s="53">
        <v>44.0</v>
      </c>
      <c r="L379" s="58"/>
      <c r="M379" s="55"/>
      <c r="N379" s="55" t="s">
        <v>333</v>
      </c>
    </row>
    <row r="380" ht="15.75" customHeight="1">
      <c r="A380" s="117">
        <f t="shared" si="1"/>
        <v>375</v>
      </c>
      <c r="B380" s="118" t="s">
        <v>330</v>
      </c>
      <c r="C380" s="119">
        <v>45670.0</v>
      </c>
      <c r="D380" s="120" t="s">
        <v>146</v>
      </c>
      <c r="E380" s="120" t="s">
        <v>120</v>
      </c>
      <c r="F380" s="120" t="str">
        <f>+IFERROR(VLOOKUP(E380,'DANH MỤC'!$C:$H,2,0),"")</f>
        <v>Lưỡi gà trắng 98mm x 800m x 230gsm</v>
      </c>
      <c r="G380" s="120" t="str">
        <f>+IFERROR(VLOOKUP(E380,'DANH MỤC'!$C:$H,6,0),"")</f>
        <v>Cuộn</v>
      </c>
      <c r="H380" s="120">
        <f>+IFERROR(VLOOKUP(E380,'DANH MỤC'!$C:$H,3,0),"")</f>
        <v>230</v>
      </c>
      <c r="I380" s="120">
        <f>+IFERROR(VLOOKUP(E380,'DANH MỤC'!$C:$H,4,0),"")</f>
        <v>98</v>
      </c>
      <c r="J380" s="120">
        <f>+IFERROR(VLOOKUP(E380,'DANH MỤC'!$C:$H,5,0),"")</f>
        <v>800</v>
      </c>
      <c r="K380" s="117"/>
      <c r="L380" s="121">
        <v>360.0</v>
      </c>
      <c r="M380" s="118" t="s">
        <v>304</v>
      </c>
      <c r="N380" s="118"/>
    </row>
    <row r="381" ht="15.75" customHeight="1">
      <c r="A381" s="53">
        <f t="shared" si="1"/>
        <v>376</v>
      </c>
      <c r="B381" s="55" t="s">
        <v>330</v>
      </c>
      <c r="C381" s="41">
        <v>45670.0</v>
      </c>
      <c r="D381" s="42" t="s">
        <v>359</v>
      </c>
      <c r="E381" s="42" t="s">
        <v>189</v>
      </c>
      <c r="F381" s="42" t="str">
        <f>+IFERROR(VLOOKUP(E381,'DANH MỤC'!$C:$H,2,0),"")</f>
        <v>Ivory Ningbo</v>
      </c>
      <c r="G381" s="42" t="str">
        <f>+IFERROR(VLOOKUP(E381,'DANH MỤC'!$C:$H,6,0),"")</f>
        <v>Kg</v>
      </c>
      <c r="H381" s="42">
        <f>+IFERROR(VLOOKUP(E381,'DANH MỤC'!$C:$H,3,0),"")</f>
        <v>230</v>
      </c>
      <c r="I381" s="42">
        <f>+IFERROR(VLOOKUP(E381,'DANH MỤC'!$C:$H,4,0),"")</f>
        <v>109</v>
      </c>
      <c r="J381" s="42" t="str">
        <f>+IFERROR(VLOOKUP(E381,'DANH MỤC'!$C:$H,5,0),"")</f>
        <v/>
      </c>
      <c r="K381" s="53">
        <v>100.0</v>
      </c>
      <c r="L381" s="58"/>
      <c r="M381" s="55"/>
      <c r="N381" s="55" t="s">
        <v>333</v>
      </c>
    </row>
    <row r="382" ht="15.75" customHeight="1">
      <c r="A382" s="53">
        <f t="shared" si="1"/>
        <v>377</v>
      </c>
      <c r="B382" s="55" t="s">
        <v>330</v>
      </c>
      <c r="C382" s="41">
        <v>45670.0</v>
      </c>
      <c r="D382" s="42" t="s">
        <v>249</v>
      </c>
      <c r="E382" s="42" t="s">
        <v>120</v>
      </c>
      <c r="F382" s="42" t="str">
        <f>+IFERROR(VLOOKUP(E382,'DANH MỤC'!$C:$H,2,0),"")</f>
        <v>Lưỡi gà trắng 98mm x 800m x 230gsm</v>
      </c>
      <c r="G382" s="42" t="str">
        <f>+IFERROR(VLOOKUP(E382,'DANH MỤC'!$C:$H,6,0),"")</f>
        <v>Cuộn</v>
      </c>
      <c r="H382" s="42">
        <f>+IFERROR(VLOOKUP(E382,'DANH MỤC'!$C:$H,3,0),"")</f>
        <v>230</v>
      </c>
      <c r="I382" s="42">
        <f>+IFERROR(VLOOKUP(E382,'DANH MỤC'!$C:$H,4,0),"")</f>
        <v>98</v>
      </c>
      <c r="J382" s="42">
        <f>+IFERROR(VLOOKUP(E382,'DANH MỤC'!$C:$H,5,0),"")</f>
        <v>800</v>
      </c>
      <c r="K382" s="53">
        <v>22.0</v>
      </c>
      <c r="L382" s="58"/>
      <c r="M382" s="55"/>
      <c r="N382" s="55" t="s">
        <v>333</v>
      </c>
    </row>
    <row r="383" ht="15.75" customHeight="1">
      <c r="A383" s="53">
        <f t="shared" si="1"/>
        <v>378</v>
      </c>
      <c r="B383" s="55" t="s">
        <v>330</v>
      </c>
      <c r="C383" s="41">
        <v>45670.0</v>
      </c>
      <c r="D383" s="42" t="s">
        <v>249</v>
      </c>
      <c r="E383" s="42" t="s">
        <v>104</v>
      </c>
      <c r="F383" s="42" t="str">
        <f>+IFERROR(VLOOKUP(E383,'DANH MỤC'!$C:$H,2,0),"")</f>
        <v>Lưỡi gà trắng 95mm x 800m x 210gsm</v>
      </c>
      <c r="G383" s="42" t="str">
        <f>+IFERROR(VLOOKUP(E383,'DANH MỤC'!$C:$H,6,0),"")</f>
        <v>Cuộn</v>
      </c>
      <c r="H383" s="42">
        <f>+IFERROR(VLOOKUP(E383,'DANH MỤC'!$C:$H,3,0),"")</f>
        <v>210</v>
      </c>
      <c r="I383" s="42">
        <f>+IFERROR(VLOOKUP(E383,'DANH MỤC'!$C:$H,4,0),"")</f>
        <v>95</v>
      </c>
      <c r="J383" s="42">
        <f>+IFERROR(VLOOKUP(E383,'DANH MỤC'!$C:$H,5,0),"")</f>
        <v>800</v>
      </c>
      <c r="K383" s="53">
        <v>15.0</v>
      </c>
      <c r="L383" s="58"/>
      <c r="M383" s="55"/>
      <c r="N383" s="55" t="s">
        <v>333</v>
      </c>
    </row>
    <row r="384" ht="15.75" customHeight="1">
      <c r="A384" s="53">
        <f t="shared" si="1"/>
        <v>379</v>
      </c>
      <c r="B384" s="55" t="s">
        <v>330</v>
      </c>
      <c r="C384" s="41">
        <v>45670.0</v>
      </c>
      <c r="D384" s="42" t="s">
        <v>249</v>
      </c>
      <c r="E384" s="42" t="s">
        <v>81</v>
      </c>
      <c r="F384" s="42" t="str">
        <f>+IFERROR(VLOOKUP(E384,'DANH MỤC'!$C:$H,2,0),"")</f>
        <v>Lưỡi gà trắng 71mm x 800m x 210gsm</v>
      </c>
      <c r="G384" s="42" t="str">
        <f>+IFERROR(VLOOKUP(E384,'DANH MỤC'!$C:$H,6,0),"")</f>
        <v>Cuộn</v>
      </c>
      <c r="H384" s="42">
        <f>+IFERROR(VLOOKUP(E384,'DANH MỤC'!$C:$H,3,0),"")</f>
        <v>210</v>
      </c>
      <c r="I384" s="42">
        <f>+IFERROR(VLOOKUP(E384,'DANH MỤC'!$C:$H,4,0),"")</f>
        <v>71</v>
      </c>
      <c r="J384" s="42">
        <f>+IFERROR(VLOOKUP(E384,'DANH MỤC'!$C:$H,5,0),"")</f>
        <v>800</v>
      </c>
      <c r="K384" s="53">
        <v>55.0</v>
      </c>
      <c r="L384" s="58"/>
      <c r="M384" s="55"/>
      <c r="N384" s="55" t="s">
        <v>333</v>
      </c>
    </row>
    <row r="385" ht="15.75" customHeight="1">
      <c r="A385" s="53">
        <f t="shared" si="1"/>
        <v>380</v>
      </c>
      <c r="B385" s="55" t="s">
        <v>330</v>
      </c>
      <c r="C385" s="41">
        <v>45670.0</v>
      </c>
      <c r="D385" s="42" t="s">
        <v>349</v>
      </c>
      <c r="E385" s="42" t="s">
        <v>204</v>
      </c>
      <c r="F385" s="42" t="str">
        <f>+IFERROR(VLOOKUP(E385,'DANH MỤC'!$C:$H,2,0),"")</f>
        <v>Ống lõi giấy phi 120x7x98mm</v>
      </c>
      <c r="G385" s="42" t="str">
        <f>+IFERROR(VLOOKUP(E385,'DANH MỤC'!$C:$H,6,0),"")</f>
        <v>Cái</v>
      </c>
      <c r="H385" s="42">
        <f>+IFERROR(VLOOKUP(E385,'DANH MỤC'!$C:$H,3,0),"")</f>
        <v>120</v>
      </c>
      <c r="I385" s="42">
        <f>+IFERROR(VLOOKUP(E385,'DANH MỤC'!$C:$H,4,0),"")</f>
        <v>70</v>
      </c>
      <c r="J385" s="42">
        <f>+IFERROR(VLOOKUP(E385,'DANH MỤC'!$C:$H,5,0),"")</f>
        <v>98</v>
      </c>
      <c r="K385" s="53"/>
      <c r="L385" s="58">
        <v>22.0</v>
      </c>
      <c r="M385" s="55"/>
      <c r="N385" s="55" t="s">
        <v>333</v>
      </c>
    </row>
    <row r="386" ht="15.75" customHeight="1">
      <c r="A386" s="53">
        <f t="shared" si="1"/>
        <v>381</v>
      </c>
      <c r="B386" s="55" t="s">
        <v>330</v>
      </c>
      <c r="C386" s="41">
        <v>45670.0</v>
      </c>
      <c r="D386" s="42" t="s">
        <v>361</v>
      </c>
      <c r="E386" s="42" t="s">
        <v>182</v>
      </c>
      <c r="F386" s="42" t="str">
        <f>+IFERROR(VLOOKUP(E386,'DANH MỤC'!$C:$H,2,0),"")</f>
        <v>Ống lõi giấy phi 120x7x71mm</v>
      </c>
      <c r="G386" s="42" t="str">
        <f>+IFERROR(VLOOKUP(E386,'DANH MỤC'!$C:$H,6,0),"")</f>
        <v>Cái</v>
      </c>
      <c r="H386" s="42">
        <f>+IFERROR(VLOOKUP(E386,'DANH MỤC'!$C:$H,3,0),"")</f>
        <v>120</v>
      </c>
      <c r="I386" s="42">
        <f>+IFERROR(VLOOKUP(E386,'DANH MỤC'!$C:$H,4,0),"")</f>
        <v>70</v>
      </c>
      <c r="J386" s="42">
        <f>+IFERROR(VLOOKUP(E386,'DANH MỤC'!$C:$H,5,0),"")</f>
        <v>71</v>
      </c>
      <c r="K386" s="53"/>
      <c r="L386" s="58">
        <v>80.0</v>
      </c>
      <c r="M386" s="55"/>
      <c r="N386" s="55" t="s">
        <v>333</v>
      </c>
    </row>
    <row r="387" ht="15.75" customHeight="1">
      <c r="A387" s="53">
        <f t="shared" si="1"/>
        <v>382</v>
      </c>
      <c r="B387" s="55" t="s">
        <v>330</v>
      </c>
      <c r="C387" s="41">
        <v>45670.0</v>
      </c>
      <c r="D387" s="42" t="s">
        <v>361</v>
      </c>
      <c r="E387" s="42" t="s">
        <v>184</v>
      </c>
      <c r="F387" s="42" t="str">
        <f>+IFERROR(VLOOKUP(E387,'DANH MỤC'!$C:$H,2,0),"")</f>
        <v>Ống lõi giấy phi 120x7x95mm</v>
      </c>
      <c r="G387" s="42" t="str">
        <f>+IFERROR(VLOOKUP(E387,'DANH MỤC'!$C:$H,6,0),"")</f>
        <v>Cái</v>
      </c>
      <c r="H387" s="42">
        <f>+IFERROR(VLOOKUP(E387,'DANH MỤC'!$C:$H,3,0),"")</f>
        <v>120</v>
      </c>
      <c r="I387" s="42">
        <f>+IFERROR(VLOOKUP(E387,'DANH MỤC'!$C:$H,4,0),"")</f>
        <v>70</v>
      </c>
      <c r="J387" s="42">
        <f>+IFERROR(VLOOKUP(E387,'DANH MỤC'!$C:$H,5,0),"")</f>
        <v>95</v>
      </c>
      <c r="K387" s="53"/>
      <c r="L387" s="58">
        <v>20.0</v>
      </c>
      <c r="M387" s="55"/>
      <c r="N387" s="55" t="s">
        <v>333</v>
      </c>
    </row>
    <row r="388" ht="15.75" customHeight="1">
      <c r="A388" s="53">
        <f t="shared" si="1"/>
        <v>383</v>
      </c>
      <c r="B388" s="55" t="s">
        <v>330</v>
      </c>
      <c r="C388" s="41">
        <v>45670.0</v>
      </c>
      <c r="D388" s="42" t="s">
        <v>361</v>
      </c>
      <c r="E388" s="42" t="s">
        <v>127</v>
      </c>
      <c r="F388" s="42" t="str">
        <f>+IFERROR(VLOOKUP(E388,'DANH MỤC'!$C:$H,2,0),"")</f>
        <v>Pallet gỗ 1100x1100x130mm</v>
      </c>
      <c r="G388" s="42" t="str">
        <f>+IFERROR(VLOOKUP(E388,'DANH MỤC'!$C:$H,6,0),"")</f>
        <v>Bộ</v>
      </c>
      <c r="H388" s="42">
        <f>+IFERROR(VLOOKUP(E388,'DANH MỤC'!$C:$H,3,0),"")</f>
        <v>1100</v>
      </c>
      <c r="I388" s="42">
        <f>+IFERROR(VLOOKUP(E388,'DANH MỤC'!$C:$H,4,0),"")</f>
        <v>1100</v>
      </c>
      <c r="J388" s="42">
        <f>+IFERROR(VLOOKUP(E388,'DANH MỤC'!$C:$H,5,0),"")</f>
        <v>130</v>
      </c>
      <c r="K388" s="53"/>
      <c r="L388" s="58">
        <v>2.0</v>
      </c>
      <c r="M388" s="55"/>
      <c r="N388" s="55" t="s">
        <v>333</v>
      </c>
    </row>
    <row r="389" ht="15.75" customHeight="1">
      <c r="A389" s="53">
        <f t="shared" si="1"/>
        <v>384</v>
      </c>
      <c r="B389" s="55" t="s">
        <v>330</v>
      </c>
      <c r="C389" s="41">
        <v>45670.0</v>
      </c>
      <c r="D389" s="42" t="s">
        <v>365</v>
      </c>
      <c r="E389" s="42" t="s">
        <v>47</v>
      </c>
      <c r="F389" s="42" t="str">
        <f>+IFERROR(VLOOKUP(E389,'DANH MỤC'!$C:$H,2,0),"")</f>
        <v>Ivory Ningbo</v>
      </c>
      <c r="G389" s="42" t="str">
        <f>+IFERROR(VLOOKUP(E389,'DANH MỤC'!$C:$H,6,0),"")</f>
        <v>Kg</v>
      </c>
      <c r="H389" s="42">
        <f>+IFERROR(VLOOKUP(E389,'DANH MỤC'!$C:$H,3,0),"")</f>
        <v>210</v>
      </c>
      <c r="I389" s="42">
        <f>+IFERROR(VLOOKUP(E389,'DANH MỤC'!$C:$H,4,0),"")</f>
        <v>109</v>
      </c>
      <c r="J389" s="42" t="str">
        <f>+IFERROR(VLOOKUP(E389,'DANH MỤC'!$C:$H,5,0),"")</f>
        <v/>
      </c>
      <c r="K389" s="53"/>
      <c r="L389" s="58">
        <v>4260.0</v>
      </c>
      <c r="M389" s="55"/>
      <c r="N389" s="55" t="s">
        <v>333</v>
      </c>
    </row>
    <row r="390" ht="15.75" customHeight="1">
      <c r="A390" s="53">
        <f t="shared" si="1"/>
        <v>385</v>
      </c>
      <c r="B390" s="55" t="s">
        <v>330</v>
      </c>
      <c r="C390" s="41">
        <v>45670.0</v>
      </c>
      <c r="D390" s="42" t="s">
        <v>365</v>
      </c>
      <c r="E390" s="42" t="s">
        <v>154</v>
      </c>
      <c r="F390" s="42" t="str">
        <f>+IFERROR(VLOOKUP(E390,'DANH MỤC'!$C:$H,2,0),"")</f>
        <v>Ivory Ningbo</v>
      </c>
      <c r="G390" s="42" t="str">
        <f>+IFERROR(VLOOKUP(E390,'DANH MỤC'!$C:$H,6,0),"")</f>
        <v>Kg</v>
      </c>
      <c r="H390" s="42">
        <f>+IFERROR(VLOOKUP(E390,'DANH MỤC'!$C:$H,3,0),"")</f>
        <v>210</v>
      </c>
      <c r="I390" s="42">
        <f>+IFERROR(VLOOKUP(E390,'DANH MỤC'!$C:$H,4,0),"")</f>
        <v>79</v>
      </c>
      <c r="J390" s="42" t="str">
        <f>+IFERROR(VLOOKUP(E390,'DANH MỤC'!$C:$H,5,0),"")</f>
        <v/>
      </c>
      <c r="K390" s="53"/>
      <c r="L390" s="58">
        <v>2941.0</v>
      </c>
      <c r="M390" s="55"/>
      <c r="N390" s="55" t="s">
        <v>333</v>
      </c>
    </row>
    <row r="391" ht="15.75" customHeight="1">
      <c r="A391" s="53">
        <f t="shared" si="1"/>
        <v>386</v>
      </c>
      <c r="B391" s="55" t="s">
        <v>330</v>
      </c>
      <c r="C391" s="41">
        <v>45671.0</v>
      </c>
      <c r="D391" s="42" t="s">
        <v>361</v>
      </c>
      <c r="E391" s="42" t="s">
        <v>182</v>
      </c>
      <c r="F391" s="42" t="str">
        <f>+IFERROR(VLOOKUP(E391,'DANH MỤC'!$C:$H,2,0),"")</f>
        <v>Ống lõi giấy phi 120x7x71mm</v>
      </c>
      <c r="G391" s="42" t="str">
        <f>+IFERROR(VLOOKUP(E391,'DANH MỤC'!$C:$H,6,0),"")</f>
        <v>Cái</v>
      </c>
      <c r="H391" s="42">
        <f>+IFERROR(VLOOKUP(E391,'DANH MỤC'!$C:$H,3,0),"")</f>
        <v>120</v>
      </c>
      <c r="I391" s="42">
        <f>+IFERROR(VLOOKUP(E391,'DANH MỤC'!$C:$H,4,0),"")</f>
        <v>70</v>
      </c>
      <c r="J391" s="42">
        <f>+IFERROR(VLOOKUP(E391,'DANH MỤC'!$C:$H,5,0),"")</f>
        <v>71</v>
      </c>
      <c r="K391" s="53"/>
      <c r="L391" s="58">
        <v>132.0</v>
      </c>
      <c r="M391" s="55"/>
      <c r="N391" s="55" t="s">
        <v>333</v>
      </c>
    </row>
    <row r="392" ht="15.75" customHeight="1">
      <c r="A392" s="53">
        <f t="shared" si="1"/>
        <v>387</v>
      </c>
      <c r="B392" s="55" t="s">
        <v>330</v>
      </c>
      <c r="C392" s="41">
        <v>45671.0</v>
      </c>
      <c r="D392" s="42" t="s">
        <v>361</v>
      </c>
      <c r="E392" s="42" t="s">
        <v>184</v>
      </c>
      <c r="F392" s="42" t="str">
        <f>+IFERROR(VLOOKUP(E392,'DANH MỤC'!$C:$H,2,0),"")</f>
        <v>Ống lõi giấy phi 120x7x95mm</v>
      </c>
      <c r="G392" s="42" t="str">
        <f>+IFERROR(VLOOKUP(E392,'DANH MỤC'!$C:$H,6,0),"")</f>
        <v>Cái</v>
      </c>
      <c r="H392" s="42">
        <f>+IFERROR(VLOOKUP(E392,'DANH MỤC'!$C:$H,3,0),"")</f>
        <v>120</v>
      </c>
      <c r="I392" s="42">
        <f>+IFERROR(VLOOKUP(E392,'DANH MỤC'!$C:$H,4,0),"")</f>
        <v>70</v>
      </c>
      <c r="J392" s="42">
        <f>+IFERROR(VLOOKUP(E392,'DANH MỤC'!$C:$H,5,0),"")</f>
        <v>95</v>
      </c>
      <c r="K392" s="53"/>
      <c r="L392" s="58">
        <v>36.0</v>
      </c>
      <c r="M392" s="55"/>
      <c r="N392" s="55" t="s">
        <v>333</v>
      </c>
    </row>
    <row r="393" ht="15.75" customHeight="1">
      <c r="A393" s="53">
        <f t="shared" si="1"/>
        <v>388</v>
      </c>
      <c r="B393" s="55" t="s">
        <v>330</v>
      </c>
      <c r="C393" s="41">
        <v>45671.0</v>
      </c>
      <c r="D393" s="42" t="s">
        <v>361</v>
      </c>
      <c r="E393" s="42" t="s">
        <v>127</v>
      </c>
      <c r="F393" s="42" t="str">
        <f>+IFERROR(VLOOKUP(E393,'DANH MỤC'!$C:$H,2,0),"")</f>
        <v>Pallet gỗ 1100x1100x130mm</v>
      </c>
      <c r="G393" s="42" t="str">
        <f>+IFERROR(VLOOKUP(E393,'DANH MỤC'!$C:$H,6,0),"")</f>
        <v>Bộ</v>
      </c>
      <c r="H393" s="42">
        <f>+IFERROR(VLOOKUP(E393,'DANH MỤC'!$C:$H,3,0),"")</f>
        <v>1100</v>
      </c>
      <c r="I393" s="42">
        <f>+IFERROR(VLOOKUP(E393,'DANH MỤC'!$C:$H,4,0),"")</f>
        <v>1100</v>
      </c>
      <c r="J393" s="42">
        <f>+IFERROR(VLOOKUP(E393,'DANH MỤC'!$C:$H,5,0),"")</f>
        <v>130</v>
      </c>
      <c r="K393" s="53"/>
      <c r="L393" s="58">
        <v>2.0</v>
      </c>
      <c r="M393" s="55"/>
      <c r="N393" s="55" t="s">
        <v>333</v>
      </c>
    </row>
    <row r="394" ht="15.75" customHeight="1">
      <c r="A394" s="53">
        <f t="shared" si="1"/>
        <v>389</v>
      </c>
      <c r="B394" s="55" t="s">
        <v>330</v>
      </c>
      <c r="C394" s="41">
        <v>45671.0</v>
      </c>
      <c r="D394" s="42" t="s">
        <v>249</v>
      </c>
      <c r="E394" s="42" t="s">
        <v>81</v>
      </c>
      <c r="F394" s="42" t="str">
        <f>+IFERROR(VLOOKUP(E394,'DANH MỤC'!$C:$H,2,0),"")</f>
        <v>Lưỡi gà trắng 71mm x 800m x 210gsm</v>
      </c>
      <c r="G394" s="42" t="str">
        <f>+IFERROR(VLOOKUP(E394,'DANH MỤC'!$C:$H,6,0),"")</f>
        <v>Cuộn</v>
      </c>
      <c r="H394" s="42">
        <f>+IFERROR(VLOOKUP(E394,'DANH MỤC'!$C:$H,3,0),"")</f>
        <v>210</v>
      </c>
      <c r="I394" s="42">
        <f>+IFERROR(VLOOKUP(E394,'DANH MỤC'!$C:$H,4,0),"")</f>
        <v>71</v>
      </c>
      <c r="J394" s="42">
        <f>+IFERROR(VLOOKUP(E394,'DANH MỤC'!$C:$H,5,0),"")</f>
        <v>800</v>
      </c>
      <c r="K394" s="53">
        <v>132.0</v>
      </c>
      <c r="L394" s="58"/>
      <c r="M394" s="55"/>
      <c r="N394" s="55" t="s">
        <v>333</v>
      </c>
    </row>
    <row r="395" ht="15.75" customHeight="1">
      <c r="A395" s="53">
        <f t="shared" si="1"/>
        <v>390</v>
      </c>
      <c r="B395" s="55" t="s">
        <v>330</v>
      </c>
      <c r="C395" s="41">
        <v>45671.0</v>
      </c>
      <c r="D395" s="42" t="s">
        <v>249</v>
      </c>
      <c r="E395" s="42" t="s">
        <v>104</v>
      </c>
      <c r="F395" s="42" t="str">
        <f>+IFERROR(VLOOKUP(E395,'DANH MỤC'!$C:$H,2,0),"")</f>
        <v>Lưỡi gà trắng 95mm x 800m x 210gsm</v>
      </c>
      <c r="G395" s="42" t="str">
        <f>+IFERROR(VLOOKUP(E395,'DANH MỤC'!$C:$H,6,0),"")</f>
        <v>Cuộn</v>
      </c>
      <c r="H395" s="42">
        <f>+IFERROR(VLOOKUP(E395,'DANH MỤC'!$C:$H,3,0),"")</f>
        <v>210</v>
      </c>
      <c r="I395" s="42">
        <f>+IFERROR(VLOOKUP(E395,'DANH MỤC'!$C:$H,4,0),"")</f>
        <v>95</v>
      </c>
      <c r="J395" s="42">
        <f>+IFERROR(VLOOKUP(E395,'DANH MỤC'!$C:$H,5,0),"")</f>
        <v>800</v>
      </c>
      <c r="K395" s="53">
        <v>36.0</v>
      </c>
      <c r="L395" s="58"/>
      <c r="M395" s="55"/>
      <c r="N395" s="55" t="s">
        <v>333</v>
      </c>
    </row>
    <row r="396" ht="15.75" customHeight="1">
      <c r="A396" s="117">
        <f t="shared" si="1"/>
        <v>391</v>
      </c>
      <c r="B396" s="118" t="s">
        <v>330</v>
      </c>
      <c r="C396" s="119">
        <v>45672.0</v>
      </c>
      <c r="D396" s="120" t="s">
        <v>146</v>
      </c>
      <c r="E396" s="120" t="s">
        <v>81</v>
      </c>
      <c r="F396" s="120" t="str">
        <f>+IFERROR(VLOOKUP(E396,'DANH MỤC'!$C:$H,2,0),"")</f>
        <v>Lưỡi gà trắng 71mm x 800m x 210gsm</v>
      </c>
      <c r="G396" s="120" t="str">
        <f>+IFERROR(VLOOKUP(E396,'DANH MỤC'!$C:$H,6,0),"")</f>
        <v>Cuộn</v>
      </c>
      <c r="H396" s="120">
        <f>+IFERROR(VLOOKUP(E396,'DANH MỤC'!$C:$H,3,0),"")</f>
        <v>210</v>
      </c>
      <c r="I396" s="120">
        <f>+IFERROR(VLOOKUP(E396,'DANH MỤC'!$C:$H,4,0),"")</f>
        <v>71</v>
      </c>
      <c r="J396" s="120">
        <f>+IFERROR(VLOOKUP(E396,'DANH MỤC'!$C:$H,5,0),"")</f>
        <v>800</v>
      </c>
      <c r="K396" s="117"/>
      <c r="L396" s="121">
        <v>360.0</v>
      </c>
      <c r="M396" s="118" t="s">
        <v>304</v>
      </c>
      <c r="N396" s="118"/>
    </row>
    <row r="397" ht="15.75" customHeight="1">
      <c r="A397" s="117">
        <f t="shared" si="1"/>
        <v>392</v>
      </c>
      <c r="B397" s="118" t="s">
        <v>353</v>
      </c>
      <c r="C397" s="119">
        <v>45672.0</v>
      </c>
      <c r="D397" s="120" t="s">
        <v>130</v>
      </c>
      <c r="E397" s="120" t="s">
        <v>123</v>
      </c>
      <c r="F397" s="120" t="str">
        <f>+IFERROR(VLOOKUP(E397,'DANH MỤC'!$C:$H,2,0),"")</f>
        <v>Lưỡi gà trắng 90mm x 800m x 250gsm</v>
      </c>
      <c r="G397" s="120" t="str">
        <f>+IFERROR(VLOOKUP(E397,'DANH MỤC'!$C:$H,6,0),"")</f>
        <v>Cuộn</v>
      </c>
      <c r="H397" s="120">
        <f>+IFERROR(VLOOKUP(E397,'DANH MỤC'!$C:$H,3,0),"")</f>
        <v>250</v>
      </c>
      <c r="I397" s="120">
        <f>+IFERROR(VLOOKUP(E397,'DANH MỤC'!$C:$H,4,0),"")</f>
        <v>90</v>
      </c>
      <c r="J397" s="120">
        <f>+IFERROR(VLOOKUP(E397,'DANH MỤC'!$C:$H,5,0),"")</f>
        <v>800</v>
      </c>
      <c r="K397" s="117"/>
      <c r="L397" s="121">
        <v>520.0</v>
      </c>
      <c r="M397" s="118" t="s">
        <v>131</v>
      </c>
      <c r="N397" s="118"/>
    </row>
    <row r="398" ht="15.75" customHeight="1">
      <c r="A398" s="53">
        <f t="shared" si="1"/>
        <v>393</v>
      </c>
      <c r="B398" s="55" t="s">
        <v>330</v>
      </c>
      <c r="C398" s="41">
        <v>45672.0</v>
      </c>
      <c r="D398" s="42" t="s">
        <v>249</v>
      </c>
      <c r="E398" s="42" t="s">
        <v>104</v>
      </c>
      <c r="F398" s="42" t="str">
        <f>+IFERROR(VLOOKUP(E398,'DANH MỤC'!$C:$H,2,0),"")</f>
        <v>Lưỡi gà trắng 95mm x 800m x 210gsm</v>
      </c>
      <c r="G398" s="42" t="str">
        <f>+IFERROR(VLOOKUP(E398,'DANH MỤC'!$C:$H,6,0),"")</f>
        <v>Cuộn</v>
      </c>
      <c r="H398" s="42">
        <f>+IFERROR(VLOOKUP(E398,'DANH MỤC'!$C:$H,3,0),"")</f>
        <v>210</v>
      </c>
      <c r="I398" s="42">
        <f>+IFERROR(VLOOKUP(E398,'DANH MỤC'!$C:$H,4,0),"")</f>
        <v>95</v>
      </c>
      <c r="J398" s="42">
        <f>+IFERROR(VLOOKUP(E398,'DANH MỤC'!$C:$H,5,0),"")</f>
        <v>800</v>
      </c>
      <c r="K398" s="53">
        <v>15.0</v>
      </c>
      <c r="L398" s="58"/>
      <c r="M398" s="55"/>
      <c r="N398" s="55" t="s">
        <v>333</v>
      </c>
    </row>
    <row r="399" ht="15.75" customHeight="1">
      <c r="A399" s="53">
        <f t="shared" si="1"/>
        <v>394</v>
      </c>
      <c r="B399" s="55" t="s">
        <v>330</v>
      </c>
      <c r="C399" s="41">
        <v>45672.0</v>
      </c>
      <c r="D399" s="42" t="s">
        <v>249</v>
      </c>
      <c r="E399" s="42" t="s">
        <v>81</v>
      </c>
      <c r="F399" s="42" t="str">
        <f>+IFERROR(VLOOKUP(E399,'DANH MỤC'!$C:$H,2,0),"")</f>
        <v>Lưỡi gà trắng 71mm x 800m x 210gsm</v>
      </c>
      <c r="G399" s="42" t="str">
        <f>+IFERROR(VLOOKUP(E399,'DANH MỤC'!$C:$H,6,0),"")</f>
        <v>Cuộn</v>
      </c>
      <c r="H399" s="42">
        <f>+IFERROR(VLOOKUP(E399,'DANH MỤC'!$C:$H,3,0),"")</f>
        <v>210</v>
      </c>
      <c r="I399" s="42">
        <f>+IFERROR(VLOOKUP(E399,'DANH MỤC'!$C:$H,4,0),"")</f>
        <v>71</v>
      </c>
      <c r="J399" s="42">
        <f>+IFERROR(VLOOKUP(E399,'DANH MỤC'!$C:$H,5,0),"")</f>
        <v>800</v>
      </c>
      <c r="K399" s="53">
        <v>55.0</v>
      </c>
      <c r="L399" s="58"/>
      <c r="M399" s="55"/>
      <c r="N399" s="55" t="s">
        <v>333</v>
      </c>
    </row>
    <row r="400" ht="15.75" customHeight="1">
      <c r="A400" s="53">
        <f t="shared" si="1"/>
        <v>395</v>
      </c>
      <c r="B400" s="55" t="s">
        <v>330</v>
      </c>
      <c r="C400" s="41">
        <v>45672.0</v>
      </c>
      <c r="D400" s="42" t="s">
        <v>361</v>
      </c>
      <c r="E400" s="42" t="s">
        <v>184</v>
      </c>
      <c r="F400" s="42" t="str">
        <f>+IFERROR(VLOOKUP(E400,'DANH MỤC'!$C:$H,2,0),"")</f>
        <v>Ống lõi giấy phi 120x7x95mm</v>
      </c>
      <c r="G400" s="42" t="str">
        <f>+IFERROR(VLOOKUP(E400,'DANH MỤC'!$C:$H,6,0),"")</f>
        <v>Cái</v>
      </c>
      <c r="H400" s="42">
        <f>+IFERROR(VLOOKUP(E400,'DANH MỤC'!$C:$H,3,0),"")</f>
        <v>120</v>
      </c>
      <c r="I400" s="42">
        <f>+IFERROR(VLOOKUP(E400,'DANH MỤC'!$C:$H,4,0),"")</f>
        <v>70</v>
      </c>
      <c r="J400" s="42">
        <f>+IFERROR(VLOOKUP(E400,'DANH MỤC'!$C:$H,5,0),"")</f>
        <v>95</v>
      </c>
      <c r="K400" s="53"/>
      <c r="L400" s="58">
        <v>16.0</v>
      </c>
      <c r="M400" s="55"/>
      <c r="N400" s="55" t="s">
        <v>333</v>
      </c>
    </row>
    <row r="401" ht="15.75" customHeight="1">
      <c r="A401" s="53">
        <f t="shared" si="1"/>
        <v>396</v>
      </c>
      <c r="B401" s="55" t="s">
        <v>330</v>
      </c>
      <c r="C401" s="41">
        <v>45672.0</v>
      </c>
      <c r="D401" s="42" t="s">
        <v>361</v>
      </c>
      <c r="E401" s="42" t="s">
        <v>182</v>
      </c>
      <c r="F401" s="42" t="str">
        <f>+IFERROR(VLOOKUP(E401,'DANH MỤC'!$C:$H,2,0),"")</f>
        <v>Ống lõi giấy phi 120x7x71mm</v>
      </c>
      <c r="G401" s="42" t="str">
        <f>+IFERROR(VLOOKUP(E401,'DANH MỤC'!$C:$H,6,0),"")</f>
        <v>Cái</v>
      </c>
      <c r="H401" s="42">
        <f>+IFERROR(VLOOKUP(E401,'DANH MỤC'!$C:$H,3,0),"")</f>
        <v>120</v>
      </c>
      <c r="I401" s="42">
        <f>+IFERROR(VLOOKUP(E401,'DANH MỤC'!$C:$H,4,0),"")</f>
        <v>70</v>
      </c>
      <c r="J401" s="42">
        <f>+IFERROR(VLOOKUP(E401,'DANH MỤC'!$C:$H,5,0),"")</f>
        <v>71</v>
      </c>
      <c r="K401" s="53"/>
      <c r="L401" s="58">
        <v>65.0</v>
      </c>
      <c r="M401" s="55"/>
      <c r="N401" s="55" t="s">
        <v>333</v>
      </c>
    </row>
    <row r="402" ht="15.75" customHeight="1">
      <c r="A402" s="53">
        <f t="shared" si="1"/>
        <v>397</v>
      </c>
      <c r="B402" s="55" t="s">
        <v>330</v>
      </c>
      <c r="C402" s="41">
        <v>45672.0</v>
      </c>
      <c r="D402" s="42" t="s">
        <v>361</v>
      </c>
      <c r="E402" s="42" t="s">
        <v>127</v>
      </c>
      <c r="F402" s="42" t="str">
        <f>+IFERROR(VLOOKUP(E402,'DANH MỤC'!$C:$H,2,0),"")</f>
        <v>Pallet gỗ 1100x1100x130mm</v>
      </c>
      <c r="G402" s="42" t="str">
        <f>+IFERROR(VLOOKUP(E402,'DANH MỤC'!$C:$H,6,0),"")</f>
        <v>Bộ</v>
      </c>
      <c r="H402" s="42">
        <f>+IFERROR(VLOOKUP(E402,'DANH MỤC'!$C:$H,3,0),"")</f>
        <v>1100</v>
      </c>
      <c r="I402" s="42">
        <f>+IFERROR(VLOOKUP(E402,'DANH MỤC'!$C:$H,4,0),"")</f>
        <v>1100</v>
      </c>
      <c r="J402" s="42">
        <f>+IFERROR(VLOOKUP(E402,'DANH MỤC'!$C:$H,5,0),"")</f>
        <v>130</v>
      </c>
      <c r="K402" s="53"/>
      <c r="L402" s="58">
        <v>1.0</v>
      </c>
      <c r="M402" s="55"/>
      <c r="N402" s="55" t="s">
        <v>333</v>
      </c>
    </row>
    <row r="403" ht="15.75" customHeight="1">
      <c r="A403" s="53">
        <f t="shared" si="1"/>
        <v>398</v>
      </c>
      <c r="B403" s="55" t="s">
        <v>330</v>
      </c>
      <c r="C403" s="41">
        <v>45672.0</v>
      </c>
      <c r="D403" s="42" t="s">
        <v>249</v>
      </c>
      <c r="E403" s="42" t="s">
        <v>81</v>
      </c>
      <c r="F403" s="42" t="str">
        <f>+IFERROR(VLOOKUP(E403,'DANH MỤC'!$C:$H,2,0),"")</f>
        <v>Lưỡi gà trắng 71mm x 800m x 210gsm</v>
      </c>
      <c r="G403" s="42" t="str">
        <f>+IFERROR(VLOOKUP(E403,'DANH MỤC'!$C:$H,6,0),"")</f>
        <v>Cuộn</v>
      </c>
      <c r="H403" s="42">
        <f>+IFERROR(VLOOKUP(E403,'DANH MỤC'!$C:$H,3,0),"")</f>
        <v>210</v>
      </c>
      <c r="I403" s="42">
        <f>+IFERROR(VLOOKUP(E403,'DANH MỤC'!$C:$H,4,0),"")</f>
        <v>71</v>
      </c>
      <c r="J403" s="42">
        <f>+IFERROR(VLOOKUP(E403,'DANH MỤC'!$C:$H,5,0),"")</f>
        <v>800</v>
      </c>
      <c r="K403" s="53">
        <v>77.0</v>
      </c>
      <c r="L403" s="58"/>
      <c r="M403" s="55"/>
      <c r="N403" s="55" t="s">
        <v>333</v>
      </c>
    </row>
    <row r="404" ht="15.75" customHeight="1">
      <c r="A404" s="53">
        <f t="shared" si="1"/>
        <v>399</v>
      </c>
      <c r="B404" s="55" t="s">
        <v>330</v>
      </c>
      <c r="C404" s="41">
        <v>45672.0</v>
      </c>
      <c r="D404" s="42" t="s">
        <v>376</v>
      </c>
      <c r="E404" s="42" t="s">
        <v>182</v>
      </c>
      <c r="F404" s="42" t="str">
        <f>+IFERROR(VLOOKUP(E404,'DANH MỤC'!$C:$H,2,0),"")</f>
        <v>Ống lõi giấy phi 120x7x71mm</v>
      </c>
      <c r="G404" s="42" t="str">
        <f>+IFERROR(VLOOKUP(E404,'DANH MỤC'!$C:$H,6,0),"")</f>
        <v>Cái</v>
      </c>
      <c r="H404" s="42">
        <f>+IFERROR(VLOOKUP(E404,'DANH MỤC'!$C:$H,3,0),"")</f>
        <v>120</v>
      </c>
      <c r="I404" s="42">
        <f>+IFERROR(VLOOKUP(E404,'DANH MỤC'!$C:$H,4,0),"")</f>
        <v>70</v>
      </c>
      <c r="J404" s="42">
        <f>+IFERROR(VLOOKUP(E404,'DANH MỤC'!$C:$H,5,0),"")</f>
        <v>71</v>
      </c>
      <c r="K404" s="53"/>
      <c r="L404" s="58">
        <v>84.0</v>
      </c>
      <c r="M404" s="55"/>
      <c r="N404" s="55" t="s">
        <v>333</v>
      </c>
    </row>
    <row r="405" ht="15.75" customHeight="1">
      <c r="A405" s="53">
        <f t="shared" si="1"/>
        <v>400</v>
      </c>
      <c r="B405" s="55" t="s">
        <v>330</v>
      </c>
      <c r="C405" s="41">
        <v>45672.0</v>
      </c>
      <c r="D405" s="42" t="s">
        <v>376</v>
      </c>
      <c r="E405" s="42" t="s">
        <v>127</v>
      </c>
      <c r="F405" s="42" t="str">
        <f>+IFERROR(VLOOKUP(E405,'DANH MỤC'!$C:$H,2,0),"")</f>
        <v>Pallet gỗ 1100x1100x130mm</v>
      </c>
      <c r="G405" s="42" t="str">
        <f>+IFERROR(VLOOKUP(E405,'DANH MỤC'!$C:$H,6,0),"")</f>
        <v>Bộ</v>
      </c>
      <c r="H405" s="42">
        <f>+IFERROR(VLOOKUP(E405,'DANH MỤC'!$C:$H,3,0),"")</f>
        <v>1100</v>
      </c>
      <c r="I405" s="42">
        <f>+IFERROR(VLOOKUP(E405,'DANH MỤC'!$C:$H,4,0),"")</f>
        <v>1100</v>
      </c>
      <c r="J405" s="42">
        <f>+IFERROR(VLOOKUP(E405,'DANH MỤC'!$C:$H,5,0),"")</f>
        <v>130</v>
      </c>
      <c r="K405" s="53"/>
      <c r="L405" s="58">
        <v>1.0</v>
      </c>
      <c r="M405" s="55"/>
      <c r="N405" s="55" t="s">
        <v>333</v>
      </c>
    </row>
    <row r="406" ht="15.75" customHeight="1">
      <c r="A406" s="53">
        <f t="shared" si="1"/>
        <v>401</v>
      </c>
      <c r="B406" s="55" t="s">
        <v>330</v>
      </c>
      <c r="C406" s="41">
        <v>45672.0</v>
      </c>
      <c r="D406" s="42" t="s">
        <v>377</v>
      </c>
      <c r="E406" s="42" t="s">
        <v>47</v>
      </c>
      <c r="F406" s="42" t="str">
        <f>+IFERROR(VLOOKUP(E406,'DANH MỤC'!$C:$H,2,0),"")</f>
        <v>Ivory Ningbo</v>
      </c>
      <c r="G406" s="42" t="str">
        <f>+IFERROR(VLOOKUP(E406,'DANH MỤC'!$C:$H,6,0),"")</f>
        <v>Kg</v>
      </c>
      <c r="H406" s="42">
        <f>+IFERROR(VLOOKUP(E406,'DANH MỤC'!$C:$H,3,0),"")</f>
        <v>210</v>
      </c>
      <c r="I406" s="42">
        <f>+IFERROR(VLOOKUP(E406,'DANH MỤC'!$C:$H,4,0),"")</f>
        <v>109</v>
      </c>
      <c r="J406" s="42" t="str">
        <f>+IFERROR(VLOOKUP(E406,'DANH MỤC'!$C:$H,5,0),"")</f>
        <v/>
      </c>
      <c r="K406" s="53">
        <v>105.0</v>
      </c>
      <c r="L406" s="58"/>
      <c r="M406" s="55"/>
      <c r="N406" s="55"/>
    </row>
    <row r="407" ht="15.75" customHeight="1">
      <c r="A407" s="53">
        <f t="shared" si="1"/>
        <v>402</v>
      </c>
      <c r="B407" s="55" t="s">
        <v>330</v>
      </c>
      <c r="C407" s="41">
        <v>45673.0</v>
      </c>
      <c r="D407" s="42" t="s">
        <v>249</v>
      </c>
      <c r="E407" s="42" t="s">
        <v>81</v>
      </c>
      <c r="F407" s="42" t="str">
        <f>+IFERROR(VLOOKUP(E407,'DANH MỤC'!$C:$H,2,0),"")</f>
        <v>Lưỡi gà trắng 71mm x 800m x 210gsm</v>
      </c>
      <c r="G407" s="42" t="str">
        <f>+IFERROR(VLOOKUP(E407,'DANH MỤC'!$C:$H,6,0),"")</f>
        <v>Cuộn</v>
      </c>
      <c r="H407" s="42">
        <f>+IFERROR(VLOOKUP(E407,'DANH MỤC'!$C:$H,3,0),"")</f>
        <v>210</v>
      </c>
      <c r="I407" s="42">
        <f>+IFERROR(VLOOKUP(E407,'DANH MỤC'!$C:$H,4,0),"")</f>
        <v>71</v>
      </c>
      <c r="J407" s="42">
        <f>+IFERROR(VLOOKUP(E407,'DANH MỤC'!$C:$H,5,0),"")</f>
        <v>800</v>
      </c>
      <c r="K407" s="53">
        <v>132.0</v>
      </c>
      <c r="L407" s="58"/>
      <c r="M407" s="55"/>
      <c r="N407" s="55" t="s">
        <v>333</v>
      </c>
    </row>
    <row r="408" ht="15.75" customHeight="1">
      <c r="A408" s="53">
        <f t="shared" si="1"/>
        <v>403</v>
      </c>
      <c r="B408" s="55" t="s">
        <v>330</v>
      </c>
      <c r="C408" s="41">
        <v>45673.0</v>
      </c>
      <c r="D408" s="42" t="s">
        <v>376</v>
      </c>
      <c r="E408" s="42" t="s">
        <v>182</v>
      </c>
      <c r="F408" s="42" t="str">
        <f>+IFERROR(VLOOKUP(E408,'DANH MỤC'!$C:$H,2,0),"")</f>
        <v>Ống lõi giấy phi 120x7x71mm</v>
      </c>
      <c r="G408" s="42" t="str">
        <f>+IFERROR(VLOOKUP(E408,'DANH MỤC'!$C:$H,6,0),"")</f>
        <v>Cái</v>
      </c>
      <c r="H408" s="42">
        <f>+IFERROR(VLOOKUP(E408,'DANH MỤC'!$C:$H,3,0),"")</f>
        <v>120</v>
      </c>
      <c r="I408" s="42">
        <f>+IFERROR(VLOOKUP(E408,'DANH MỤC'!$C:$H,4,0),"")</f>
        <v>70</v>
      </c>
      <c r="J408" s="42">
        <f>+IFERROR(VLOOKUP(E408,'DANH MỤC'!$C:$H,5,0),"")</f>
        <v>71</v>
      </c>
      <c r="K408" s="53"/>
      <c r="L408" s="58">
        <v>143.0</v>
      </c>
      <c r="M408" s="55"/>
      <c r="N408" s="55" t="s">
        <v>333</v>
      </c>
    </row>
    <row r="409" ht="15.75" customHeight="1">
      <c r="A409" s="53">
        <f t="shared" si="1"/>
        <v>404</v>
      </c>
      <c r="B409" s="55" t="s">
        <v>330</v>
      </c>
      <c r="C409" s="41">
        <v>45673.0</v>
      </c>
      <c r="D409" s="42" t="s">
        <v>376</v>
      </c>
      <c r="E409" s="42" t="s">
        <v>127</v>
      </c>
      <c r="F409" s="42" t="str">
        <f>+IFERROR(VLOOKUP(E409,'DANH MỤC'!$C:$H,2,0),"")</f>
        <v>Pallet gỗ 1100x1100x130mm</v>
      </c>
      <c r="G409" s="42" t="str">
        <f>+IFERROR(VLOOKUP(E409,'DANH MỤC'!$C:$H,6,0),"")</f>
        <v>Bộ</v>
      </c>
      <c r="H409" s="42">
        <f>+IFERROR(VLOOKUP(E409,'DANH MỤC'!$C:$H,3,0),"")</f>
        <v>1100</v>
      </c>
      <c r="I409" s="42">
        <f>+IFERROR(VLOOKUP(E409,'DANH MỤC'!$C:$H,4,0),"")</f>
        <v>1100</v>
      </c>
      <c r="J409" s="42">
        <f>+IFERROR(VLOOKUP(E409,'DANH MỤC'!$C:$H,5,0),"")</f>
        <v>130</v>
      </c>
      <c r="K409" s="53"/>
      <c r="L409" s="58">
        <v>2.0</v>
      </c>
      <c r="M409" s="55"/>
      <c r="N409" s="55" t="s">
        <v>333</v>
      </c>
    </row>
    <row r="410" ht="15.75" customHeight="1">
      <c r="A410" s="53">
        <f t="shared" si="1"/>
        <v>405</v>
      </c>
      <c r="B410" s="55" t="s">
        <v>330</v>
      </c>
      <c r="C410" s="41">
        <v>45674.0</v>
      </c>
      <c r="D410" s="42" t="s">
        <v>376</v>
      </c>
      <c r="E410" s="42" t="s">
        <v>182</v>
      </c>
      <c r="F410" s="42" t="str">
        <f>+IFERROR(VLOOKUP(E410,'DANH MỤC'!$C:$H,2,0),"")</f>
        <v>Ống lõi giấy phi 120x7x71mm</v>
      </c>
      <c r="G410" s="42" t="str">
        <f>+IFERROR(VLOOKUP(E410,'DANH MỤC'!$C:$H,6,0),"")</f>
        <v>Cái</v>
      </c>
      <c r="H410" s="42">
        <f>+IFERROR(VLOOKUP(E410,'DANH MỤC'!$C:$H,3,0),"")</f>
        <v>120</v>
      </c>
      <c r="I410" s="42">
        <f>+IFERROR(VLOOKUP(E410,'DANH MỤC'!$C:$H,4,0),"")</f>
        <v>70</v>
      </c>
      <c r="J410" s="42">
        <f>+IFERROR(VLOOKUP(E410,'DANH MỤC'!$C:$H,5,0),"")</f>
        <v>71</v>
      </c>
      <c r="K410" s="53"/>
      <c r="L410" s="58">
        <v>22.0</v>
      </c>
      <c r="M410" s="55"/>
      <c r="N410" s="55" t="s">
        <v>333</v>
      </c>
    </row>
    <row r="411" ht="15.75" customHeight="1">
      <c r="A411" s="53">
        <f t="shared" si="1"/>
        <v>406</v>
      </c>
      <c r="B411" s="55" t="s">
        <v>330</v>
      </c>
      <c r="C411" s="41">
        <v>45674.0</v>
      </c>
      <c r="D411" s="42" t="s">
        <v>376</v>
      </c>
      <c r="E411" s="42" t="s">
        <v>127</v>
      </c>
      <c r="F411" s="42" t="str">
        <f>+IFERROR(VLOOKUP(E411,'DANH MỤC'!$C:$H,2,0),"")</f>
        <v>Pallet gỗ 1100x1100x130mm</v>
      </c>
      <c r="G411" s="42" t="str">
        <f>+IFERROR(VLOOKUP(E411,'DANH MỤC'!$C:$H,6,0),"")</f>
        <v>Bộ</v>
      </c>
      <c r="H411" s="42">
        <f>+IFERROR(VLOOKUP(E411,'DANH MỤC'!$C:$H,3,0),"")</f>
        <v>1100</v>
      </c>
      <c r="I411" s="42">
        <f>+IFERROR(VLOOKUP(E411,'DANH MỤC'!$C:$H,4,0),"")</f>
        <v>1100</v>
      </c>
      <c r="J411" s="42">
        <f>+IFERROR(VLOOKUP(E411,'DANH MỤC'!$C:$H,5,0),"")</f>
        <v>130</v>
      </c>
      <c r="K411" s="53"/>
      <c r="L411" s="58">
        <v>1.0</v>
      </c>
      <c r="M411" s="55"/>
      <c r="N411" s="55" t="s">
        <v>333</v>
      </c>
    </row>
    <row r="412" ht="15.75" customHeight="1">
      <c r="A412" s="53">
        <f t="shared" si="1"/>
        <v>407</v>
      </c>
      <c r="B412" s="55" t="s">
        <v>330</v>
      </c>
      <c r="C412" s="41">
        <v>45674.0</v>
      </c>
      <c r="D412" s="42" t="s">
        <v>249</v>
      </c>
      <c r="E412" s="42" t="s">
        <v>81</v>
      </c>
      <c r="F412" s="42" t="str">
        <f>+IFERROR(VLOOKUP(E412,'DANH MỤC'!$C:$H,2,0),"")</f>
        <v>Lưỡi gà trắng 71mm x 800m x 210gsm</v>
      </c>
      <c r="G412" s="42" t="str">
        <f>+IFERROR(VLOOKUP(E412,'DANH MỤC'!$C:$H,6,0),"")</f>
        <v>Cuộn</v>
      </c>
      <c r="H412" s="42">
        <f>+IFERROR(VLOOKUP(E412,'DANH MỤC'!$C:$H,3,0),"")</f>
        <v>210</v>
      </c>
      <c r="I412" s="42">
        <f>+IFERROR(VLOOKUP(E412,'DANH MỤC'!$C:$H,4,0),"")</f>
        <v>71</v>
      </c>
      <c r="J412" s="42">
        <f>+IFERROR(VLOOKUP(E412,'DANH MỤC'!$C:$H,5,0),"")</f>
        <v>800</v>
      </c>
      <c r="K412" s="53">
        <v>22.0</v>
      </c>
      <c r="L412" s="58"/>
      <c r="M412" s="55"/>
      <c r="N412" s="55" t="s">
        <v>333</v>
      </c>
    </row>
    <row r="413" ht="15.75" customHeight="1">
      <c r="A413" s="53">
        <f t="shared" si="1"/>
        <v>408</v>
      </c>
      <c r="B413" s="55" t="s">
        <v>330</v>
      </c>
      <c r="C413" s="41">
        <v>45674.0</v>
      </c>
      <c r="D413" s="42" t="s">
        <v>377</v>
      </c>
      <c r="E413" s="42" t="s">
        <v>154</v>
      </c>
      <c r="F413" s="42" t="str">
        <f>+IFERROR(VLOOKUP(E413,'DANH MỤC'!$C:$H,2,0),"")</f>
        <v>Ivory Ningbo</v>
      </c>
      <c r="G413" s="42" t="str">
        <f>+IFERROR(VLOOKUP(E413,'DANH MỤC'!$C:$H,6,0),"")</f>
        <v>Kg</v>
      </c>
      <c r="H413" s="42">
        <f>+IFERROR(VLOOKUP(E413,'DANH MỤC'!$C:$H,3,0),"")</f>
        <v>210</v>
      </c>
      <c r="I413" s="42">
        <f>+IFERROR(VLOOKUP(E413,'DANH MỤC'!$C:$H,4,0),"")</f>
        <v>79</v>
      </c>
      <c r="J413" s="42" t="str">
        <f>+IFERROR(VLOOKUP(E413,'DANH MỤC'!$C:$H,5,0),"")</f>
        <v/>
      </c>
      <c r="K413" s="53">
        <v>65.0</v>
      </c>
      <c r="L413" s="58"/>
      <c r="M413" s="55"/>
      <c r="N413" s="55" t="s">
        <v>333</v>
      </c>
    </row>
    <row r="414" ht="15.75" customHeight="1">
      <c r="A414" s="53">
        <f t="shared" si="1"/>
        <v>409</v>
      </c>
      <c r="B414" s="55" t="s">
        <v>380</v>
      </c>
      <c r="C414" s="41">
        <v>45674.0</v>
      </c>
      <c r="D414" s="42" t="s">
        <v>35</v>
      </c>
      <c r="E414" s="42" t="s">
        <v>47</v>
      </c>
      <c r="F414" s="42" t="str">
        <f>+IFERROR(VLOOKUP(E414,'DANH MỤC'!$C:$H,2,0),"")</f>
        <v>Ivory Ningbo</v>
      </c>
      <c r="G414" s="42" t="str">
        <f>+IFERROR(VLOOKUP(E414,'DANH MỤC'!$C:$H,6,0),"")</f>
        <v>Kg</v>
      </c>
      <c r="H414" s="42">
        <f>+IFERROR(VLOOKUP(E414,'DANH MỤC'!$C:$H,3,0),"")</f>
        <v>210</v>
      </c>
      <c r="I414" s="42">
        <f>+IFERROR(VLOOKUP(E414,'DANH MỤC'!$C:$H,4,0),"")</f>
        <v>109</v>
      </c>
      <c r="J414" s="42" t="str">
        <f>+IFERROR(VLOOKUP(E414,'DANH MỤC'!$C:$H,5,0),"")</f>
        <v/>
      </c>
      <c r="K414" s="53">
        <v>24720.0</v>
      </c>
      <c r="L414" s="58"/>
      <c r="M414" s="55" t="s">
        <v>382</v>
      </c>
      <c r="N414" s="55" t="s">
        <v>383</v>
      </c>
    </row>
    <row r="415" ht="15.75" customHeight="1">
      <c r="A415" s="53">
        <f t="shared" si="1"/>
        <v>410</v>
      </c>
      <c r="B415" s="55" t="s">
        <v>384</v>
      </c>
      <c r="C415" s="41">
        <v>45674.0</v>
      </c>
      <c r="D415" s="42" t="s">
        <v>35</v>
      </c>
      <c r="E415" s="42" t="s">
        <v>47</v>
      </c>
      <c r="F415" s="42" t="str">
        <f>+IFERROR(VLOOKUP(E415,'DANH MỤC'!$C:$H,2,0),"")</f>
        <v>Ivory Ningbo</v>
      </c>
      <c r="G415" s="42" t="str">
        <f>+IFERROR(VLOOKUP(E415,'DANH MỤC'!$C:$H,6,0),"")</f>
        <v>Kg</v>
      </c>
      <c r="H415" s="42">
        <f>+IFERROR(VLOOKUP(E415,'DANH MỤC'!$C:$H,3,0),"")</f>
        <v>210</v>
      </c>
      <c r="I415" s="42">
        <f>+IFERROR(VLOOKUP(E415,'DANH MỤC'!$C:$H,4,0),"")</f>
        <v>109</v>
      </c>
      <c r="J415" s="42" t="str">
        <f>+IFERROR(VLOOKUP(E415,'DANH MỤC'!$C:$H,5,0),"")</f>
        <v/>
      </c>
      <c r="K415" s="53">
        <v>12360.0</v>
      </c>
      <c r="L415" s="58"/>
      <c r="M415" s="55" t="s">
        <v>382</v>
      </c>
      <c r="N415" s="55" t="s">
        <v>386</v>
      </c>
    </row>
    <row r="416" ht="15.75" customHeight="1">
      <c r="A416" s="53">
        <f t="shared" si="1"/>
        <v>411</v>
      </c>
      <c r="B416" s="55" t="s">
        <v>384</v>
      </c>
      <c r="C416" s="41">
        <v>45674.0</v>
      </c>
      <c r="D416" s="42" t="s">
        <v>35</v>
      </c>
      <c r="E416" s="42" t="s">
        <v>189</v>
      </c>
      <c r="F416" s="42" t="str">
        <f>+IFERROR(VLOOKUP(E416,'DANH MỤC'!$C:$H,2,0),"")</f>
        <v>Ivory Ningbo</v>
      </c>
      <c r="G416" s="42" t="str">
        <f>+IFERROR(VLOOKUP(E416,'DANH MỤC'!$C:$H,6,0),"")</f>
        <v>Kg</v>
      </c>
      <c r="H416" s="42">
        <f>+IFERROR(VLOOKUP(E416,'DANH MỤC'!$C:$H,3,0),"")</f>
        <v>230</v>
      </c>
      <c r="I416" s="42">
        <f>+IFERROR(VLOOKUP(E416,'DANH MỤC'!$C:$H,4,0),"")</f>
        <v>109</v>
      </c>
      <c r="J416" s="42" t="str">
        <f>+IFERROR(VLOOKUP(E416,'DANH MỤC'!$C:$H,5,0),"")</f>
        <v/>
      </c>
      <c r="K416" s="53">
        <v>12870.0</v>
      </c>
      <c r="L416" s="58"/>
      <c r="M416" s="55" t="s">
        <v>382</v>
      </c>
      <c r="N416" s="55" t="s">
        <v>386</v>
      </c>
    </row>
    <row r="417" ht="15.75" customHeight="1">
      <c r="A417" s="53">
        <f t="shared" si="1"/>
        <v>412</v>
      </c>
      <c r="B417" s="55" t="s">
        <v>387</v>
      </c>
      <c r="C417" s="41">
        <v>45674.0</v>
      </c>
      <c r="D417" s="42" t="s">
        <v>35</v>
      </c>
      <c r="E417" s="42" t="s">
        <v>189</v>
      </c>
      <c r="F417" s="42" t="str">
        <f>+IFERROR(VLOOKUP(E417,'DANH MỤC'!$C:$H,2,0),"")</f>
        <v>Ivory Ningbo</v>
      </c>
      <c r="G417" s="42" t="str">
        <f>+IFERROR(VLOOKUP(E417,'DANH MỤC'!$C:$H,6,0),"")</f>
        <v>Kg</v>
      </c>
      <c r="H417" s="42">
        <f>+IFERROR(VLOOKUP(E417,'DANH MỤC'!$C:$H,3,0),"")</f>
        <v>230</v>
      </c>
      <c r="I417" s="42">
        <f>+IFERROR(VLOOKUP(E417,'DANH MỤC'!$C:$H,4,0),"")</f>
        <v>109</v>
      </c>
      <c r="J417" s="42" t="str">
        <f>+IFERROR(VLOOKUP(E417,'DANH MỤC'!$C:$H,5,0),"")</f>
        <v/>
      </c>
      <c r="K417" s="53">
        <v>8910.0</v>
      </c>
      <c r="L417" s="58"/>
      <c r="M417" s="55" t="s">
        <v>382</v>
      </c>
      <c r="N417" s="55" t="s">
        <v>388</v>
      </c>
    </row>
    <row r="418" ht="15.75" customHeight="1">
      <c r="A418" s="53">
        <f t="shared" si="1"/>
        <v>413</v>
      </c>
      <c r="B418" s="55" t="s">
        <v>387</v>
      </c>
      <c r="C418" s="41">
        <v>45674.0</v>
      </c>
      <c r="D418" s="42" t="s">
        <v>35</v>
      </c>
      <c r="E418" s="42" t="s">
        <v>88</v>
      </c>
      <c r="F418" s="42" t="str">
        <f>+IFERROR(VLOOKUP(E418,'DANH MỤC'!$C:$H,2,0),"")</f>
        <v>Ivory Ningbo</v>
      </c>
      <c r="G418" s="42" t="str">
        <f>+IFERROR(VLOOKUP(E418,'DANH MỤC'!$C:$H,6,0),"")</f>
        <v>Kg</v>
      </c>
      <c r="H418" s="42">
        <f>+IFERROR(VLOOKUP(E418,'DANH MỤC'!$C:$H,3,0),"")</f>
        <v>250</v>
      </c>
      <c r="I418" s="42">
        <f>+IFERROR(VLOOKUP(E418,'DANH MỤC'!$C:$H,4,0),"")</f>
        <v>109</v>
      </c>
      <c r="J418" s="42" t="str">
        <f>+IFERROR(VLOOKUP(E418,'DANH MỤC'!$C:$H,5,0),"")</f>
        <v/>
      </c>
      <c r="K418" s="53">
        <v>15696.0</v>
      </c>
      <c r="L418" s="58"/>
      <c r="M418" s="55" t="s">
        <v>382</v>
      </c>
      <c r="N418" s="55" t="s">
        <v>388</v>
      </c>
    </row>
    <row r="419" ht="15.75" customHeight="1">
      <c r="A419" s="53">
        <f t="shared" si="1"/>
        <v>414</v>
      </c>
      <c r="B419" s="55" t="s">
        <v>353</v>
      </c>
      <c r="C419" s="41">
        <v>45674.0</v>
      </c>
      <c r="D419" s="42" t="s">
        <v>392</v>
      </c>
      <c r="E419" s="42" t="s">
        <v>88</v>
      </c>
      <c r="F419" s="42" t="str">
        <f>+IFERROR(VLOOKUP(E419,'DANH MỤC'!$C:$H,2,0),"")</f>
        <v>Ivory Ningbo</v>
      </c>
      <c r="G419" s="42" t="str">
        <f>+IFERROR(VLOOKUP(E419,'DANH MỤC'!$C:$H,6,0),"")</f>
        <v>Kg</v>
      </c>
      <c r="H419" s="42">
        <f>+IFERROR(VLOOKUP(E419,'DANH MỤC'!$C:$H,3,0),"")</f>
        <v>250</v>
      </c>
      <c r="I419" s="42">
        <f>+IFERROR(VLOOKUP(E419,'DANH MỤC'!$C:$H,4,0),"")</f>
        <v>109</v>
      </c>
      <c r="J419" s="42" t="str">
        <f>+IFERROR(VLOOKUP(E419,'DANH MỤC'!$C:$H,5,0),"")</f>
        <v/>
      </c>
      <c r="K419" s="53"/>
      <c r="L419" s="58">
        <v>9992.0</v>
      </c>
      <c r="M419" s="55"/>
      <c r="N419" s="55" t="s">
        <v>333</v>
      </c>
    </row>
    <row r="420" ht="15.75" customHeight="1">
      <c r="A420" s="53">
        <f t="shared" si="1"/>
        <v>415</v>
      </c>
      <c r="B420" s="55" t="s">
        <v>353</v>
      </c>
      <c r="C420" s="41">
        <v>45674.0</v>
      </c>
      <c r="D420" s="42" t="s">
        <v>393</v>
      </c>
      <c r="E420" s="42" t="s">
        <v>107</v>
      </c>
      <c r="F420" s="42" t="str">
        <f>+IFERROR(VLOOKUP(E420,'DANH MỤC'!$C:$H,2,0),"")</f>
        <v>Pallet gỗ 1200x1200x130mm</v>
      </c>
      <c r="G420" s="42" t="str">
        <f>+IFERROR(VLOOKUP(E420,'DANH MỤC'!$C:$H,6,0),"")</f>
        <v>Bộ</v>
      </c>
      <c r="H420" s="42">
        <f>+IFERROR(VLOOKUP(E420,'DANH MỤC'!$C:$H,3,0),"")</f>
        <v>1200</v>
      </c>
      <c r="I420" s="42">
        <f>+IFERROR(VLOOKUP(E420,'DANH MỤC'!$C:$H,4,0),"")</f>
        <v>1200</v>
      </c>
      <c r="J420" s="42">
        <f>+IFERROR(VLOOKUP(E420,'DANH MỤC'!$C:$H,5,0),"")</f>
        <v>130</v>
      </c>
      <c r="K420" s="53"/>
      <c r="L420" s="58">
        <v>1.0</v>
      </c>
      <c r="M420" s="55"/>
      <c r="N420" s="55" t="s">
        <v>333</v>
      </c>
    </row>
    <row r="421" ht="15.75" customHeight="1">
      <c r="A421" s="53">
        <f t="shared" si="1"/>
        <v>416</v>
      </c>
      <c r="B421" s="55" t="s">
        <v>353</v>
      </c>
      <c r="C421" s="41">
        <v>45674.0</v>
      </c>
      <c r="D421" s="42" t="s">
        <v>393</v>
      </c>
      <c r="E421" s="42" t="s">
        <v>183</v>
      </c>
      <c r="F421" s="42" t="str">
        <f>+IFERROR(VLOOKUP(E421,'DANH MỤC'!$C:$H,2,0),"")</f>
        <v>Ống lõi giấy phi 120x7x90mm</v>
      </c>
      <c r="G421" s="42" t="str">
        <f>+IFERROR(VLOOKUP(E421,'DANH MỤC'!$C:$H,6,0),"")</f>
        <v>Cái</v>
      </c>
      <c r="H421" s="42">
        <f>+IFERROR(VLOOKUP(E421,'DANH MỤC'!$C:$H,3,0),"")</f>
        <v>120</v>
      </c>
      <c r="I421" s="42">
        <f>+IFERROR(VLOOKUP(E421,'DANH MỤC'!$C:$H,4,0),"")</f>
        <v>70</v>
      </c>
      <c r="J421" s="42">
        <f>+IFERROR(VLOOKUP(E421,'DANH MỤC'!$C:$H,5,0),"")</f>
        <v>90</v>
      </c>
      <c r="K421" s="53"/>
      <c r="L421" s="58">
        <v>90.0</v>
      </c>
      <c r="M421" s="55"/>
      <c r="N421" s="55" t="s">
        <v>333</v>
      </c>
    </row>
    <row r="422" ht="15.75" customHeight="1">
      <c r="A422" s="53">
        <f t="shared" si="1"/>
        <v>417</v>
      </c>
      <c r="B422" s="55" t="s">
        <v>353</v>
      </c>
      <c r="C422" s="41">
        <v>45674.0</v>
      </c>
      <c r="D422" s="42" t="s">
        <v>393</v>
      </c>
      <c r="E422" s="42" t="s">
        <v>156</v>
      </c>
      <c r="F422" s="42" t="str">
        <f>+IFERROR(VLOOKUP(E422,'DANH MỤC'!$C:$H,2,0),"")</f>
        <v>Nẹp gỗ pallet dài 1.15m</v>
      </c>
      <c r="G422" s="42" t="str">
        <f>+IFERROR(VLOOKUP(E422,'DANH MỤC'!$C:$H,6,0),"")</f>
        <v>Cái</v>
      </c>
      <c r="H422" s="42" t="str">
        <f>+IFERROR(VLOOKUP(E422,'DANH MỤC'!$C:$H,3,0),"")</f>
        <v/>
      </c>
      <c r="I422" s="42" t="str">
        <f>+IFERROR(VLOOKUP(E422,'DANH MỤC'!$C:$H,4,0),"")</f>
        <v/>
      </c>
      <c r="J422" s="42">
        <f>+IFERROR(VLOOKUP(E422,'DANH MỤC'!$C:$H,5,0),"")</f>
        <v>1150</v>
      </c>
      <c r="K422" s="53"/>
      <c r="L422" s="58">
        <v>8.0</v>
      </c>
      <c r="M422" s="55"/>
      <c r="N422" s="55"/>
    </row>
    <row r="423" ht="15.75" customHeight="1">
      <c r="A423" s="53">
        <f t="shared" si="1"/>
        <v>418</v>
      </c>
      <c r="B423" s="55" t="s">
        <v>353</v>
      </c>
      <c r="C423" s="41">
        <v>45674.0</v>
      </c>
      <c r="D423" s="42" t="s">
        <v>249</v>
      </c>
      <c r="E423" s="42" t="s">
        <v>123</v>
      </c>
      <c r="F423" s="42" t="str">
        <f>+IFERROR(VLOOKUP(E423,'DANH MỤC'!$C:$H,2,0),"")</f>
        <v>Lưỡi gà trắng 90mm x 800m x 250gsm</v>
      </c>
      <c r="G423" s="42" t="str">
        <f>+IFERROR(VLOOKUP(E423,'DANH MỤC'!$C:$H,6,0),"")</f>
        <v>Cuộn</v>
      </c>
      <c r="H423" s="42">
        <f>+IFERROR(VLOOKUP(E423,'DANH MỤC'!$C:$H,3,0),"")</f>
        <v>250</v>
      </c>
      <c r="I423" s="42">
        <f>+IFERROR(VLOOKUP(E423,'DANH MỤC'!$C:$H,4,0),"")</f>
        <v>90</v>
      </c>
      <c r="J423" s="42">
        <f>+IFERROR(VLOOKUP(E423,'DANH MỤC'!$C:$H,5,0),"")</f>
        <v>800</v>
      </c>
      <c r="K423" s="53">
        <v>72.0</v>
      </c>
      <c r="L423" s="58"/>
      <c r="M423" s="55"/>
      <c r="N423" s="55" t="s">
        <v>333</v>
      </c>
    </row>
    <row r="424" ht="15.75" customHeight="1">
      <c r="A424" s="53">
        <f t="shared" si="1"/>
        <v>419</v>
      </c>
      <c r="B424" s="55" t="s">
        <v>398</v>
      </c>
      <c r="C424" s="41">
        <v>45675.0</v>
      </c>
      <c r="D424" s="42" t="s">
        <v>35</v>
      </c>
      <c r="E424" s="42" t="s">
        <v>47</v>
      </c>
      <c r="F424" s="42" t="str">
        <f>+IFERROR(VLOOKUP(E424,'DANH MỤC'!$C:$H,2,0),"")</f>
        <v>Ivory Ningbo</v>
      </c>
      <c r="G424" s="42" t="str">
        <f>+IFERROR(VLOOKUP(E424,'DANH MỤC'!$C:$H,6,0),"")</f>
        <v>Kg</v>
      </c>
      <c r="H424" s="42">
        <f>+IFERROR(VLOOKUP(E424,'DANH MỤC'!$C:$H,3,0),"")</f>
        <v>210</v>
      </c>
      <c r="I424" s="42">
        <f>+IFERROR(VLOOKUP(E424,'DANH MỤC'!$C:$H,4,0),"")</f>
        <v>109</v>
      </c>
      <c r="J424" s="42" t="str">
        <f>+IFERROR(VLOOKUP(E424,'DANH MỤC'!$C:$H,5,0),"")</f>
        <v/>
      </c>
      <c r="K424" s="53">
        <v>24720.0</v>
      </c>
      <c r="L424" s="58"/>
      <c r="M424" s="55" t="s">
        <v>382</v>
      </c>
      <c r="N424" s="55" t="s">
        <v>399</v>
      </c>
    </row>
    <row r="425" ht="15.75" customHeight="1">
      <c r="A425" s="53">
        <f t="shared" si="1"/>
        <v>420</v>
      </c>
      <c r="B425" s="55" t="s">
        <v>400</v>
      </c>
      <c r="C425" s="41">
        <v>45675.0</v>
      </c>
      <c r="D425" s="42" t="s">
        <v>35</v>
      </c>
      <c r="E425" s="42" t="s">
        <v>88</v>
      </c>
      <c r="F425" s="42" t="str">
        <f>+IFERROR(VLOOKUP(E425,'DANH MỤC'!$C:$H,2,0),"")</f>
        <v>Ivory Ningbo</v>
      </c>
      <c r="G425" s="42" t="str">
        <f>+IFERROR(VLOOKUP(E425,'DANH MỤC'!$C:$H,6,0),"")</f>
        <v>Kg</v>
      </c>
      <c r="H425" s="42">
        <f>+IFERROR(VLOOKUP(E425,'DANH MỤC'!$C:$H,3,0),"")</f>
        <v>250</v>
      </c>
      <c r="I425" s="42">
        <f>+IFERROR(VLOOKUP(E425,'DANH MỤC'!$C:$H,4,0),"")</f>
        <v>109</v>
      </c>
      <c r="J425" s="42" t="str">
        <f>+IFERROR(VLOOKUP(E425,'DANH MỤC'!$C:$H,5,0),"")</f>
        <v/>
      </c>
      <c r="K425" s="53">
        <v>25506.0</v>
      </c>
      <c r="L425" s="58"/>
      <c r="M425" s="55" t="s">
        <v>382</v>
      </c>
      <c r="N425" s="55" t="s">
        <v>401</v>
      </c>
    </row>
    <row r="426" ht="15.75" customHeight="1">
      <c r="A426" s="53">
        <f t="shared" si="1"/>
        <v>421</v>
      </c>
      <c r="B426" s="55" t="s">
        <v>353</v>
      </c>
      <c r="C426" s="41">
        <v>45675.0</v>
      </c>
      <c r="D426" s="42" t="s">
        <v>249</v>
      </c>
      <c r="E426" s="42" t="s">
        <v>123</v>
      </c>
      <c r="F426" s="42" t="str">
        <f>+IFERROR(VLOOKUP(E426,'DANH MỤC'!$C:$H,2,0),"")</f>
        <v>Lưỡi gà trắng 90mm x 800m x 250gsm</v>
      </c>
      <c r="G426" s="42" t="str">
        <f>+IFERROR(VLOOKUP(E426,'DANH MỤC'!$C:$H,6,0),"")</f>
        <v>Cuộn</v>
      </c>
      <c r="H426" s="42">
        <f>+IFERROR(VLOOKUP(E426,'DANH MỤC'!$C:$H,3,0),"")</f>
        <v>250</v>
      </c>
      <c r="I426" s="42">
        <f>+IFERROR(VLOOKUP(E426,'DANH MỤC'!$C:$H,4,0),"")</f>
        <v>90</v>
      </c>
      <c r="J426" s="42">
        <f>+IFERROR(VLOOKUP(E426,'DANH MỤC'!$C:$H,5,0),"")</f>
        <v>800</v>
      </c>
      <c r="K426" s="53">
        <v>72.0</v>
      </c>
      <c r="L426" s="58"/>
      <c r="M426" s="55"/>
      <c r="N426" s="55" t="s">
        <v>333</v>
      </c>
    </row>
    <row r="427" ht="15.75" customHeight="1">
      <c r="A427" s="53">
        <f t="shared" si="1"/>
        <v>422</v>
      </c>
      <c r="B427" s="55"/>
      <c r="C427" s="41">
        <v>45675.0</v>
      </c>
      <c r="D427" s="42" t="s">
        <v>95</v>
      </c>
      <c r="E427" s="42" t="s">
        <v>127</v>
      </c>
      <c r="F427" s="42" t="str">
        <f>+IFERROR(VLOOKUP(E427,'DANH MỤC'!$C:$H,2,0),"")</f>
        <v>Pallet gỗ 1100x1100x130mm</v>
      </c>
      <c r="G427" s="42" t="str">
        <f>+IFERROR(VLOOKUP(E427,'DANH MỤC'!$C:$H,6,0),"")</f>
        <v>Bộ</v>
      </c>
      <c r="H427" s="42">
        <f>+IFERROR(VLOOKUP(E427,'DANH MỤC'!$C:$H,3,0),"")</f>
        <v>1100</v>
      </c>
      <c r="I427" s="42">
        <f>+IFERROR(VLOOKUP(E427,'DANH MỤC'!$C:$H,4,0),"")</f>
        <v>1100</v>
      </c>
      <c r="J427" s="42">
        <f>+IFERROR(VLOOKUP(E427,'DANH MỤC'!$C:$H,5,0),"")</f>
        <v>130</v>
      </c>
      <c r="K427" s="53">
        <v>56.0</v>
      </c>
      <c r="L427" s="58"/>
      <c r="M427" s="55"/>
      <c r="N427" s="55"/>
    </row>
    <row r="428" ht="15.75" customHeight="1">
      <c r="A428" s="53">
        <f t="shared" si="1"/>
        <v>423</v>
      </c>
      <c r="B428" s="55" t="s">
        <v>353</v>
      </c>
      <c r="C428" s="41">
        <v>45675.0</v>
      </c>
      <c r="D428" s="42" t="s">
        <v>393</v>
      </c>
      <c r="E428" s="42" t="s">
        <v>107</v>
      </c>
      <c r="F428" s="42" t="str">
        <f>+IFERROR(VLOOKUP(E428,'DANH MỤC'!$C:$H,2,0),"")</f>
        <v>Pallet gỗ 1200x1200x130mm</v>
      </c>
      <c r="G428" s="42" t="str">
        <f>+IFERROR(VLOOKUP(E428,'DANH MỤC'!$C:$H,6,0),"")</f>
        <v>Bộ</v>
      </c>
      <c r="H428" s="42">
        <f>+IFERROR(VLOOKUP(E428,'DANH MỤC'!$C:$H,3,0),"")</f>
        <v>1200</v>
      </c>
      <c r="I428" s="42">
        <f>+IFERROR(VLOOKUP(E428,'DANH MỤC'!$C:$H,4,0),"")</f>
        <v>1200</v>
      </c>
      <c r="J428" s="42">
        <f>+IFERROR(VLOOKUP(E428,'DANH MỤC'!$C:$H,5,0),"")</f>
        <v>130</v>
      </c>
      <c r="K428" s="53"/>
      <c r="L428" s="58">
        <v>1.0</v>
      </c>
      <c r="M428" s="55"/>
      <c r="N428" s="55" t="s">
        <v>333</v>
      </c>
    </row>
    <row r="429" ht="15.75" customHeight="1">
      <c r="A429" s="53">
        <f t="shared" si="1"/>
        <v>424</v>
      </c>
      <c r="B429" s="55" t="s">
        <v>353</v>
      </c>
      <c r="C429" s="41">
        <v>45675.0</v>
      </c>
      <c r="D429" s="42" t="s">
        <v>393</v>
      </c>
      <c r="E429" s="42" t="s">
        <v>156</v>
      </c>
      <c r="F429" s="42" t="str">
        <f>+IFERROR(VLOOKUP(E429,'DANH MỤC'!$C:$H,2,0),"")</f>
        <v>Nẹp gỗ pallet dài 1.15m</v>
      </c>
      <c r="G429" s="42" t="str">
        <f>+IFERROR(VLOOKUP(E429,'DANH MỤC'!$C:$H,6,0),"")</f>
        <v>Cái</v>
      </c>
      <c r="H429" s="42" t="str">
        <f>+IFERROR(VLOOKUP(E429,'DANH MỤC'!$C:$H,3,0),"")</f>
        <v/>
      </c>
      <c r="I429" s="42" t="str">
        <f>+IFERROR(VLOOKUP(E429,'DANH MỤC'!$C:$H,4,0),"")</f>
        <v/>
      </c>
      <c r="J429" s="42">
        <f>+IFERROR(VLOOKUP(E429,'DANH MỤC'!$C:$H,5,0),"")</f>
        <v>1150</v>
      </c>
      <c r="K429" s="53"/>
      <c r="L429" s="58">
        <v>8.0</v>
      </c>
      <c r="M429" s="55"/>
      <c r="N429" s="55"/>
    </row>
    <row r="430" ht="15.75" customHeight="1">
      <c r="A430" s="53">
        <f t="shared" si="1"/>
        <v>425</v>
      </c>
      <c r="B430" s="55" t="s">
        <v>353</v>
      </c>
      <c r="C430" s="41">
        <v>45675.0</v>
      </c>
      <c r="D430" s="42" t="s">
        <v>393</v>
      </c>
      <c r="E430" s="42" t="s">
        <v>183</v>
      </c>
      <c r="F430" s="42" t="str">
        <f>+IFERROR(VLOOKUP(E430,'DANH MỤC'!$C:$H,2,0),"")</f>
        <v>Ống lõi giấy phi 120x7x90mm</v>
      </c>
      <c r="G430" s="42" t="str">
        <f>+IFERROR(VLOOKUP(E430,'DANH MỤC'!$C:$H,6,0),"")</f>
        <v>Cái</v>
      </c>
      <c r="H430" s="42">
        <f>+IFERROR(VLOOKUP(E430,'DANH MỤC'!$C:$H,3,0),"")</f>
        <v>120</v>
      </c>
      <c r="I430" s="42">
        <f>+IFERROR(VLOOKUP(E430,'DANH MỤC'!$C:$H,4,0),"")</f>
        <v>70</v>
      </c>
      <c r="J430" s="42">
        <f>+IFERROR(VLOOKUP(E430,'DANH MỤC'!$C:$H,5,0),"")</f>
        <v>90</v>
      </c>
      <c r="K430" s="53"/>
      <c r="L430" s="58">
        <v>100.0</v>
      </c>
      <c r="M430" s="55"/>
      <c r="N430" s="55" t="s">
        <v>333</v>
      </c>
    </row>
    <row r="431" ht="15.75" customHeight="1">
      <c r="A431" s="53">
        <f t="shared" si="1"/>
        <v>426</v>
      </c>
      <c r="B431" s="55" t="s">
        <v>353</v>
      </c>
      <c r="C431" s="41">
        <v>45675.0</v>
      </c>
      <c r="D431" s="42" t="s">
        <v>393</v>
      </c>
      <c r="E431" s="42" t="s">
        <v>156</v>
      </c>
      <c r="F431" s="42" t="str">
        <f>+IFERROR(VLOOKUP(E431,'DANH MỤC'!$C:$H,2,0),"")</f>
        <v>Nẹp gỗ pallet dài 1.15m</v>
      </c>
      <c r="G431" s="42" t="str">
        <f>+IFERROR(VLOOKUP(E431,'DANH MỤC'!$C:$H,6,0),"")</f>
        <v>Cái</v>
      </c>
      <c r="H431" s="42" t="str">
        <f>+IFERROR(VLOOKUP(E431,'DANH MỤC'!$C:$H,3,0),"")</f>
        <v/>
      </c>
      <c r="I431" s="42" t="str">
        <f>+IFERROR(VLOOKUP(E431,'DANH MỤC'!$C:$H,4,0),"")</f>
        <v/>
      </c>
      <c r="J431" s="42">
        <f>+IFERROR(VLOOKUP(E431,'DANH MỤC'!$C:$H,5,0),"")</f>
        <v>1150</v>
      </c>
      <c r="K431" s="53"/>
      <c r="L431" s="58">
        <v>8.0</v>
      </c>
      <c r="M431" s="55"/>
      <c r="N431" s="55" t="s">
        <v>333</v>
      </c>
    </row>
    <row r="432" ht="15.75" customHeight="1">
      <c r="A432" s="117">
        <f t="shared" si="1"/>
        <v>427</v>
      </c>
      <c r="B432" s="118" t="s">
        <v>330</v>
      </c>
      <c r="C432" s="119">
        <v>45677.0</v>
      </c>
      <c r="D432" s="120" t="s">
        <v>146</v>
      </c>
      <c r="E432" s="120" t="s">
        <v>81</v>
      </c>
      <c r="F432" s="120" t="str">
        <f>+IFERROR(VLOOKUP(E432,'DANH MỤC'!$C:$H,2,0),"")</f>
        <v>Lưỡi gà trắng 71mm x 800m x 210gsm</v>
      </c>
      <c r="G432" s="120" t="str">
        <f>+IFERROR(VLOOKUP(E432,'DANH MỤC'!$C:$H,6,0),"")</f>
        <v>Cuộn</v>
      </c>
      <c r="H432" s="120">
        <f>+IFERROR(VLOOKUP(E432,'DANH MỤC'!$C:$H,3,0),"")</f>
        <v>210</v>
      </c>
      <c r="I432" s="120">
        <f>+IFERROR(VLOOKUP(E432,'DANH MỤC'!$C:$H,4,0),"")</f>
        <v>71</v>
      </c>
      <c r="J432" s="120">
        <f>+IFERROR(VLOOKUP(E432,'DANH MỤC'!$C:$H,5,0),"")</f>
        <v>800</v>
      </c>
      <c r="K432" s="117"/>
      <c r="L432" s="121">
        <v>360.0</v>
      </c>
      <c r="M432" s="118" t="s">
        <v>304</v>
      </c>
      <c r="N432" s="118"/>
    </row>
    <row r="433" ht="15.75" customHeight="1">
      <c r="A433" s="53">
        <f t="shared" si="1"/>
        <v>428</v>
      </c>
      <c r="B433" s="55" t="s">
        <v>353</v>
      </c>
      <c r="C433" s="41">
        <v>45677.0</v>
      </c>
      <c r="D433" s="42" t="s">
        <v>393</v>
      </c>
      <c r="E433" s="42" t="s">
        <v>107</v>
      </c>
      <c r="F433" s="42" t="str">
        <f>+IFERROR(VLOOKUP(E433,'DANH MỤC'!$C:$H,2,0),"")</f>
        <v>Pallet gỗ 1200x1200x130mm</v>
      </c>
      <c r="G433" s="42" t="str">
        <f>+IFERROR(VLOOKUP(E433,'DANH MỤC'!$C:$H,6,0),"")</f>
        <v>Bộ</v>
      </c>
      <c r="H433" s="42">
        <f>+IFERROR(VLOOKUP(E433,'DANH MỤC'!$C:$H,3,0),"")</f>
        <v>1200</v>
      </c>
      <c r="I433" s="42">
        <f>+IFERROR(VLOOKUP(E433,'DANH MỤC'!$C:$H,4,0),"")</f>
        <v>1200</v>
      </c>
      <c r="J433" s="42">
        <f>+IFERROR(VLOOKUP(E433,'DANH MỤC'!$C:$H,5,0),"")</f>
        <v>130</v>
      </c>
      <c r="K433" s="53"/>
      <c r="L433" s="58">
        <v>3.0</v>
      </c>
      <c r="M433" s="55"/>
      <c r="N433" s="55" t="s">
        <v>333</v>
      </c>
    </row>
    <row r="434" ht="15.75" customHeight="1">
      <c r="A434" s="53">
        <f t="shared" si="1"/>
        <v>429</v>
      </c>
      <c r="B434" s="55" t="s">
        <v>353</v>
      </c>
      <c r="C434" s="41">
        <v>45677.0</v>
      </c>
      <c r="D434" s="42" t="s">
        <v>393</v>
      </c>
      <c r="E434" s="42" t="s">
        <v>183</v>
      </c>
      <c r="F434" s="42" t="str">
        <f>+IFERROR(VLOOKUP(E434,'DANH MỤC'!$C:$H,2,0),"")</f>
        <v>Ống lõi giấy phi 120x7x90mm</v>
      </c>
      <c r="G434" s="42" t="str">
        <f>+IFERROR(VLOOKUP(E434,'DANH MỤC'!$C:$H,6,0),"")</f>
        <v>Cái</v>
      </c>
      <c r="H434" s="42">
        <f>+IFERROR(VLOOKUP(E434,'DANH MỤC'!$C:$H,3,0),"")</f>
        <v>120</v>
      </c>
      <c r="I434" s="42">
        <f>+IFERROR(VLOOKUP(E434,'DANH MỤC'!$C:$H,4,0),"")</f>
        <v>70</v>
      </c>
      <c r="J434" s="42">
        <f>+IFERROR(VLOOKUP(E434,'DANH MỤC'!$C:$H,5,0),"")</f>
        <v>90</v>
      </c>
      <c r="K434" s="53"/>
      <c r="L434" s="58">
        <v>150.0</v>
      </c>
      <c r="M434" s="55"/>
      <c r="N434" s="55" t="s">
        <v>333</v>
      </c>
    </row>
    <row r="435" ht="15.75" customHeight="1">
      <c r="A435" s="53">
        <f t="shared" si="1"/>
        <v>430</v>
      </c>
      <c r="B435" s="55" t="s">
        <v>353</v>
      </c>
      <c r="C435" s="41">
        <v>45677.0</v>
      </c>
      <c r="D435" s="42" t="s">
        <v>393</v>
      </c>
      <c r="E435" s="42" t="s">
        <v>156</v>
      </c>
      <c r="F435" s="42" t="str">
        <f>+IFERROR(VLOOKUP(E435,'DANH MỤC'!$C:$H,2,0),"")</f>
        <v>Nẹp gỗ pallet dài 1.15m</v>
      </c>
      <c r="G435" s="42" t="str">
        <f>+IFERROR(VLOOKUP(E435,'DANH MỤC'!$C:$H,6,0),"")</f>
        <v>Cái</v>
      </c>
      <c r="H435" s="42" t="str">
        <f>+IFERROR(VLOOKUP(E435,'DANH MỤC'!$C:$H,3,0),"")</f>
        <v/>
      </c>
      <c r="I435" s="42" t="str">
        <f>+IFERROR(VLOOKUP(E435,'DANH MỤC'!$C:$H,4,0),"")</f>
        <v/>
      </c>
      <c r="J435" s="42">
        <f>+IFERROR(VLOOKUP(E435,'DANH MỤC'!$C:$H,5,0),"")</f>
        <v>1150</v>
      </c>
      <c r="K435" s="53"/>
      <c r="L435" s="58">
        <v>8.0</v>
      </c>
      <c r="M435" s="55"/>
      <c r="N435" s="55" t="s">
        <v>333</v>
      </c>
    </row>
    <row r="436" ht="15.75" customHeight="1">
      <c r="A436" s="53">
        <f t="shared" si="1"/>
        <v>431</v>
      </c>
      <c r="B436" s="55" t="s">
        <v>353</v>
      </c>
      <c r="C436" s="41">
        <v>45677.0</v>
      </c>
      <c r="D436" s="42" t="s">
        <v>249</v>
      </c>
      <c r="E436" s="42" t="s">
        <v>123</v>
      </c>
      <c r="F436" s="42" t="str">
        <f>+IFERROR(VLOOKUP(E436,'DANH MỤC'!$C:$H,2,0),"")</f>
        <v>Lưỡi gà trắng 90mm x 800m x 250gsm</v>
      </c>
      <c r="G436" s="42" t="str">
        <f>+IFERROR(VLOOKUP(E436,'DANH MỤC'!$C:$H,6,0),"")</f>
        <v>Cuộn</v>
      </c>
      <c r="H436" s="42">
        <f>+IFERROR(VLOOKUP(E436,'DANH MỤC'!$C:$H,3,0),"")</f>
        <v>250</v>
      </c>
      <c r="I436" s="42">
        <f>+IFERROR(VLOOKUP(E436,'DANH MỤC'!$C:$H,4,0),"")</f>
        <v>90</v>
      </c>
      <c r="J436" s="42">
        <f>+IFERROR(VLOOKUP(E436,'DANH MỤC'!$C:$H,5,0),"")</f>
        <v>800</v>
      </c>
      <c r="K436" s="53">
        <v>144.0</v>
      </c>
      <c r="L436" s="58"/>
      <c r="M436" s="55"/>
      <c r="N436" s="55" t="s">
        <v>333</v>
      </c>
    </row>
    <row r="437" ht="15.75" customHeight="1">
      <c r="A437" s="53">
        <f t="shared" si="1"/>
        <v>432</v>
      </c>
      <c r="B437" s="55"/>
      <c r="C437" s="41">
        <v>45677.0</v>
      </c>
      <c r="D437" s="42" t="s">
        <v>95</v>
      </c>
      <c r="E437" s="42" t="s">
        <v>127</v>
      </c>
      <c r="F437" s="42" t="str">
        <f>+IFERROR(VLOOKUP(E437,'DANH MỤC'!$C:$H,2,0),"")</f>
        <v>Pallet gỗ 1100x1100x130mm</v>
      </c>
      <c r="G437" s="42" t="str">
        <f>+IFERROR(VLOOKUP(E437,'DANH MỤC'!$C:$H,6,0),"")</f>
        <v>Bộ</v>
      </c>
      <c r="H437" s="42">
        <f>+IFERROR(VLOOKUP(E437,'DANH MỤC'!$C:$H,3,0),"")</f>
        <v>1100</v>
      </c>
      <c r="I437" s="42">
        <f>+IFERROR(VLOOKUP(E437,'DANH MỤC'!$C:$H,4,0),"")</f>
        <v>1100</v>
      </c>
      <c r="J437" s="42">
        <f>+IFERROR(VLOOKUP(E437,'DANH MỤC'!$C:$H,5,0),"")</f>
        <v>130</v>
      </c>
      <c r="K437" s="53">
        <v>44.0</v>
      </c>
      <c r="L437" s="58"/>
      <c r="M437" s="55"/>
      <c r="N437" s="55" t="s">
        <v>333</v>
      </c>
    </row>
    <row r="438" ht="15.75" customHeight="1">
      <c r="A438" s="53">
        <f t="shared" si="1"/>
        <v>433</v>
      </c>
      <c r="B438" s="55" t="s">
        <v>353</v>
      </c>
      <c r="C438" s="41">
        <v>45678.0</v>
      </c>
      <c r="D438" s="42" t="s">
        <v>393</v>
      </c>
      <c r="E438" s="42" t="s">
        <v>107</v>
      </c>
      <c r="F438" s="42" t="str">
        <f>+IFERROR(VLOOKUP(E438,'DANH MỤC'!$C:$H,2,0),"")</f>
        <v>Pallet gỗ 1200x1200x130mm</v>
      </c>
      <c r="G438" s="42" t="str">
        <f>+IFERROR(VLOOKUP(E438,'DANH MỤC'!$C:$H,6,0),"")</f>
        <v>Bộ</v>
      </c>
      <c r="H438" s="42">
        <f>+IFERROR(VLOOKUP(E438,'DANH MỤC'!$C:$H,3,0),"")</f>
        <v>1200</v>
      </c>
      <c r="I438" s="42">
        <f>+IFERROR(VLOOKUP(E438,'DANH MỤC'!$C:$H,4,0),"")</f>
        <v>1200</v>
      </c>
      <c r="J438" s="42">
        <f>+IFERROR(VLOOKUP(E438,'DANH MỤC'!$C:$H,5,0),"")</f>
        <v>130</v>
      </c>
      <c r="K438" s="53"/>
      <c r="L438" s="58">
        <v>3.0</v>
      </c>
      <c r="M438" s="55"/>
      <c r="N438" s="55" t="s">
        <v>333</v>
      </c>
    </row>
    <row r="439" ht="15.75" customHeight="1">
      <c r="A439" s="53">
        <f t="shared" si="1"/>
        <v>434</v>
      </c>
      <c r="B439" s="55" t="s">
        <v>353</v>
      </c>
      <c r="C439" s="41">
        <v>45678.0</v>
      </c>
      <c r="D439" s="42" t="s">
        <v>393</v>
      </c>
      <c r="E439" s="42" t="s">
        <v>183</v>
      </c>
      <c r="F439" s="42" t="str">
        <f>+IFERROR(VLOOKUP(E439,'DANH MỤC'!$C:$H,2,0),"")</f>
        <v>Ống lõi giấy phi 120x7x90mm</v>
      </c>
      <c r="G439" s="42" t="str">
        <f>+IFERROR(VLOOKUP(E439,'DANH MỤC'!$C:$H,6,0),"")</f>
        <v>Cái</v>
      </c>
      <c r="H439" s="42">
        <f>+IFERROR(VLOOKUP(E439,'DANH MỤC'!$C:$H,3,0),"")</f>
        <v>120</v>
      </c>
      <c r="I439" s="42">
        <f>+IFERROR(VLOOKUP(E439,'DANH MỤC'!$C:$H,4,0),"")</f>
        <v>70</v>
      </c>
      <c r="J439" s="42">
        <f>+IFERROR(VLOOKUP(E439,'DANH MỤC'!$C:$H,5,0),"")</f>
        <v>90</v>
      </c>
      <c r="K439" s="53"/>
      <c r="L439" s="58">
        <v>150.0</v>
      </c>
      <c r="M439" s="55"/>
      <c r="N439" s="55" t="s">
        <v>333</v>
      </c>
    </row>
    <row r="440" ht="15.75" customHeight="1">
      <c r="A440" s="53">
        <f t="shared" si="1"/>
        <v>435</v>
      </c>
      <c r="B440" s="55" t="s">
        <v>353</v>
      </c>
      <c r="C440" s="41">
        <v>45678.0</v>
      </c>
      <c r="D440" s="42" t="s">
        <v>393</v>
      </c>
      <c r="E440" s="42" t="s">
        <v>156</v>
      </c>
      <c r="F440" s="42" t="str">
        <f>+IFERROR(VLOOKUP(E440,'DANH MỤC'!$C:$H,2,0),"")</f>
        <v>Nẹp gỗ pallet dài 1.15m</v>
      </c>
      <c r="G440" s="42" t="str">
        <f>+IFERROR(VLOOKUP(E440,'DANH MỤC'!$C:$H,6,0),"")</f>
        <v>Cái</v>
      </c>
      <c r="H440" s="42" t="str">
        <f>+IFERROR(VLOOKUP(E440,'DANH MỤC'!$C:$H,3,0),"")</f>
        <v/>
      </c>
      <c r="I440" s="42" t="str">
        <f>+IFERROR(VLOOKUP(E440,'DANH MỤC'!$C:$H,4,0),"")</f>
        <v/>
      </c>
      <c r="J440" s="42">
        <f>+IFERROR(VLOOKUP(E440,'DANH MỤC'!$C:$H,5,0),"")</f>
        <v>1150</v>
      </c>
      <c r="K440" s="53"/>
      <c r="L440" s="58">
        <v>8.0</v>
      </c>
      <c r="M440" s="55"/>
      <c r="N440" s="55" t="s">
        <v>333</v>
      </c>
    </row>
    <row r="441" ht="15.75" customHeight="1">
      <c r="A441" s="53">
        <f t="shared" si="1"/>
        <v>436</v>
      </c>
      <c r="B441" s="55" t="s">
        <v>353</v>
      </c>
      <c r="C441" s="41">
        <v>45678.0</v>
      </c>
      <c r="D441" s="42" t="s">
        <v>249</v>
      </c>
      <c r="E441" s="42" t="s">
        <v>123</v>
      </c>
      <c r="F441" s="42" t="str">
        <f>+IFERROR(VLOOKUP(E441,'DANH MỤC'!$C:$H,2,0),"")</f>
        <v>Lưỡi gà trắng 90mm x 800m x 250gsm</v>
      </c>
      <c r="G441" s="42" t="str">
        <f>+IFERROR(VLOOKUP(E441,'DANH MỤC'!$C:$H,6,0),"")</f>
        <v>Cuộn</v>
      </c>
      <c r="H441" s="42">
        <f>+IFERROR(VLOOKUP(E441,'DANH MỤC'!$C:$H,3,0),"")</f>
        <v>250</v>
      </c>
      <c r="I441" s="42">
        <f>+IFERROR(VLOOKUP(E441,'DANH MỤC'!$C:$H,4,0),"")</f>
        <v>90</v>
      </c>
      <c r="J441" s="42">
        <f>+IFERROR(VLOOKUP(E441,'DANH MỤC'!$C:$H,5,0),"")</f>
        <v>800</v>
      </c>
      <c r="K441" s="53">
        <v>144.0</v>
      </c>
      <c r="L441" s="58"/>
      <c r="M441" s="55"/>
      <c r="N441" s="55" t="s">
        <v>333</v>
      </c>
    </row>
    <row r="442" ht="15.75" customHeight="1">
      <c r="A442" s="53">
        <f t="shared" si="1"/>
        <v>437</v>
      </c>
      <c r="B442" s="55"/>
      <c r="C442" s="41">
        <v>45678.0</v>
      </c>
      <c r="D442" s="42" t="s">
        <v>95</v>
      </c>
      <c r="E442" s="42" t="s">
        <v>204</v>
      </c>
      <c r="F442" s="42" t="str">
        <f>+IFERROR(VLOOKUP(E442,'DANH MỤC'!$C:$H,2,0),"")</f>
        <v>Ống lõi giấy phi 120x7x98mm</v>
      </c>
      <c r="G442" s="42" t="str">
        <f>+IFERROR(VLOOKUP(E442,'DANH MỤC'!$C:$H,6,0),"")</f>
        <v>Cái</v>
      </c>
      <c r="H442" s="42">
        <f>+IFERROR(VLOOKUP(E442,'DANH MỤC'!$C:$H,3,0),"")</f>
        <v>120</v>
      </c>
      <c r="I442" s="42">
        <f>+IFERROR(VLOOKUP(E442,'DANH MỤC'!$C:$H,4,0),"")</f>
        <v>70</v>
      </c>
      <c r="J442" s="42">
        <f>+IFERROR(VLOOKUP(E442,'DANH MỤC'!$C:$H,5,0),"")</f>
        <v>98</v>
      </c>
      <c r="K442" s="53">
        <v>2000.0</v>
      </c>
      <c r="L442" s="58"/>
      <c r="M442" s="55" t="s">
        <v>411</v>
      </c>
      <c r="N442" s="55"/>
    </row>
    <row r="443" ht="15.75" customHeight="1">
      <c r="A443" s="53">
        <f t="shared" si="1"/>
        <v>438</v>
      </c>
      <c r="B443" s="55"/>
      <c r="C443" s="41">
        <v>45678.0</v>
      </c>
      <c r="D443" s="42" t="s">
        <v>95</v>
      </c>
      <c r="E443" s="42" t="s">
        <v>182</v>
      </c>
      <c r="F443" s="42" t="str">
        <f>+IFERROR(VLOOKUP(E443,'DANH MỤC'!$C:$H,2,0),"")</f>
        <v>Ống lõi giấy phi 120x7x71mm</v>
      </c>
      <c r="G443" s="42" t="str">
        <f>+IFERROR(VLOOKUP(E443,'DANH MỤC'!$C:$H,6,0),"")</f>
        <v>Cái</v>
      </c>
      <c r="H443" s="42">
        <f>+IFERROR(VLOOKUP(E443,'DANH MỤC'!$C:$H,3,0),"")</f>
        <v>120</v>
      </c>
      <c r="I443" s="42">
        <f>+IFERROR(VLOOKUP(E443,'DANH MỤC'!$C:$H,4,0),"")</f>
        <v>70</v>
      </c>
      <c r="J443" s="42">
        <f>+IFERROR(VLOOKUP(E443,'DANH MỤC'!$C:$H,5,0),"")</f>
        <v>71</v>
      </c>
      <c r="K443" s="53">
        <v>3000.0</v>
      </c>
      <c r="L443" s="58"/>
      <c r="M443" s="55" t="s">
        <v>411</v>
      </c>
      <c r="N443" s="55"/>
    </row>
    <row r="444" ht="15.75" customHeight="1">
      <c r="A444" s="53">
        <f t="shared" si="1"/>
        <v>439</v>
      </c>
      <c r="B444" s="55"/>
      <c r="C444" s="41">
        <v>45678.0</v>
      </c>
      <c r="D444" s="42" t="s">
        <v>95</v>
      </c>
      <c r="E444" s="42" t="s">
        <v>184</v>
      </c>
      <c r="F444" s="42" t="str">
        <f>+IFERROR(VLOOKUP(E444,'DANH MỤC'!$C:$H,2,0),"")</f>
        <v>Ống lõi giấy phi 120x7x95mm</v>
      </c>
      <c r="G444" s="42" t="str">
        <f>+IFERROR(VLOOKUP(E444,'DANH MỤC'!$C:$H,6,0),"")</f>
        <v>Cái</v>
      </c>
      <c r="H444" s="42">
        <f>+IFERROR(VLOOKUP(E444,'DANH MỤC'!$C:$H,3,0),"")</f>
        <v>120</v>
      </c>
      <c r="I444" s="42">
        <f>+IFERROR(VLOOKUP(E444,'DANH MỤC'!$C:$H,4,0),"")</f>
        <v>70</v>
      </c>
      <c r="J444" s="42">
        <f>+IFERROR(VLOOKUP(E444,'DANH MỤC'!$C:$H,5,0),"")</f>
        <v>95</v>
      </c>
      <c r="K444" s="53">
        <v>1000.0</v>
      </c>
      <c r="L444" s="58"/>
      <c r="M444" s="55" t="s">
        <v>411</v>
      </c>
      <c r="N444" s="55"/>
    </row>
    <row r="445" ht="15.75" customHeight="1">
      <c r="A445" s="53">
        <f t="shared" si="1"/>
        <v>440</v>
      </c>
      <c r="B445" s="55" t="s">
        <v>353</v>
      </c>
      <c r="C445" s="41">
        <v>45679.0</v>
      </c>
      <c r="D445" s="42" t="s">
        <v>249</v>
      </c>
      <c r="E445" s="42" t="s">
        <v>123</v>
      </c>
      <c r="F445" s="42" t="str">
        <f>+IFERROR(VLOOKUP(E445,'DANH MỤC'!$C:$H,2,0),"")</f>
        <v>Lưỡi gà trắng 90mm x 800m x 250gsm</v>
      </c>
      <c r="G445" s="42" t="str">
        <f>+IFERROR(VLOOKUP(E445,'DANH MỤC'!$C:$H,6,0),"")</f>
        <v>Cuộn</v>
      </c>
      <c r="H445" s="42">
        <f>+IFERROR(VLOOKUP(E445,'DANH MỤC'!$C:$H,3,0),"")</f>
        <v>250</v>
      </c>
      <c r="I445" s="42">
        <f>+IFERROR(VLOOKUP(E445,'DANH MỤC'!$C:$H,4,0),"")</f>
        <v>90</v>
      </c>
      <c r="J445" s="42">
        <f>+IFERROR(VLOOKUP(E445,'DANH MỤC'!$C:$H,5,0),"")</f>
        <v>800</v>
      </c>
      <c r="K445" s="53">
        <v>93.0</v>
      </c>
      <c r="L445" s="58"/>
      <c r="M445" s="55"/>
      <c r="N445" s="55" t="s">
        <v>333</v>
      </c>
    </row>
    <row r="446" ht="15.75" customHeight="1">
      <c r="A446" s="53">
        <f t="shared" si="1"/>
        <v>441</v>
      </c>
      <c r="B446" s="55" t="s">
        <v>353</v>
      </c>
      <c r="C446" s="41">
        <v>45679.0</v>
      </c>
      <c r="D446" s="42" t="s">
        <v>393</v>
      </c>
      <c r="E446" s="42" t="s">
        <v>107</v>
      </c>
      <c r="F446" s="42" t="str">
        <f>+IFERROR(VLOOKUP(E446,'DANH MỤC'!$C:$H,2,0),"")</f>
        <v>Pallet gỗ 1200x1200x130mm</v>
      </c>
      <c r="G446" s="42" t="str">
        <f>+IFERROR(VLOOKUP(E446,'DANH MỤC'!$C:$H,6,0),"")</f>
        <v>Bộ</v>
      </c>
      <c r="H446" s="42">
        <f>+IFERROR(VLOOKUP(E446,'DANH MỤC'!$C:$H,3,0),"")</f>
        <v>1200</v>
      </c>
      <c r="I446" s="42">
        <f>+IFERROR(VLOOKUP(E446,'DANH MỤC'!$C:$H,4,0),"")</f>
        <v>1200</v>
      </c>
      <c r="J446" s="42">
        <f>+IFERROR(VLOOKUP(E446,'DANH MỤC'!$C:$H,5,0),"")</f>
        <v>130</v>
      </c>
      <c r="K446" s="53"/>
      <c r="L446" s="58">
        <v>2.0</v>
      </c>
      <c r="M446" s="55"/>
      <c r="N446" s="55" t="s">
        <v>333</v>
      </c>
    </row>
    <row r="447" ht="15.75" customHeight="1">
      <c r="A447" s="53">
        <f t="shared" si="1"/>
        <v>442</v>
      </c>
      <c r="B447" s="55" t="s">
        <v>353</v>
      </c>
      <c r="C447" s="41">
        <v>45679.0</v>
      </c>
      <c r="D447" s="42" t="s">
        <v>393</v>
      </c>
      <c r="E447" s="42" t="s">
        <v>183</v>
      </c>
      <c r="F447" s="42" t="str">
        <f>+IFERROR(VLOOKUP(E447,'DANH MỤC'!$C:$H,2,0),"")</f>
        <v>Ống lõi giấy phi 120x7x90mm</v>
      </c>
      <c r="G447" s="42" t="str">
        <f>+IFERROR(VLOOKUP(E447,'DANH MỤC'!$C:$H,6,0),"")</f>
        <v>Cái</v>
      </c>
      <c r="H447" s="42">
        <f>+IFERROR(VLOOKUP(E447,'DANH MỤC'!$C:$H,3,0),"")</f>
        <v>120</v>
      </c>
      <c r="I447" s="42">
        <f>+IFERROR(VLOOKUP(E447,'DANH MỤC'!$C:$H,4,0),"")</f>
        <v>70</v>
      </c>
      <c r="J447" s="42">
        <f>+IFERROR(VLOOKUP(E447,'DANH MỤC'!$C:$H,5,0),"")</f>
        <v>90</v>
      </c>
      <c r="K447" s="53"/>
      <c r="L447" s="58">
        <v>96.0</v>
      </c>
      <c r="M447" s="55"/>
      <c r="N447" s="55" t="s">
        <v>333</v>
      </c>
    </row>
    <row r="448" ht="15.75" customHeight="1">
      <c r="A448" s="53">
        <f t="shared" si="1"/>
        <v>443</v>
      </c>
      <c r="B448" s="55" t="s">
        <v>353</v>
      </c>
      <c r="C448" s="41">
        <v>45679.0</v>
      </c>
      <c r="D448" s="42" t="s">
        <v>393</v>
      </c>
      <c r="E448" s="42" t="s">
        <v>156</v>
      </c>
      <c r="F448" s="42" t="str">
        <f>+IFERROR(VLOOKUP(E448,'DANH MỤC'!$C:$H,2,0),"")</f>
        <v>Nẹp gỗ pallet dài 1.15m</v>
      </c>
      <c r="G448" s="42" t="str">
        <f>+IFERROR(VLOOKUP(E448,'DANH MỤC'!$C:$H,6,0),"")</f>
        <v>Cái</v>
      </c>
      <c r="H448" s="42" t="str">
        <f>+IFERROR(VLOOKUP(E448,'DANH MỤC'!$C:$H,3,0),"")</f>
        <v/>
      </c>
      <c r="I448" s="42" t="str">
        <f>+IFERROR(VLOOKUP(E448,'DANH MỤC'!$C:$H,4,0),"")</f>
        <v/>
      </c>
      <c r="J448" s="42">
        <f>+IFERROR(VLOOKUP(E448,'DANH MỤC'!$C:$H,5,0),"")</f>
        <v>1150</v>
      </c>
      <c r="K448" s="53"/>
      <c r="L448" s="58">
        <v>8.0</v>
      </c>
      <c r="M448" s="55"/>
      <c r="N448" s="55" t="s">
        <v>333</v>
      </c>
    </row>
    <row r="449" ht="15.75" customHeight="1">
      <c r="A449" s="53">
        <f t="shared" si="1"/>
        <v>444</v>
      </c>
      <c r="B449" s="55" t="s">
        <v>353</v>
      </c>
      <c r="C449" s="41">
        <v>45680.0</v>
      </c>
      <c r="D449" s="42" t="s">
        <v>249</v>
      </c>
      <c r="E449" s="42" t="s">
        <v>123</v>
      </c>
      <c r="F449" s="42" t="str">
        <f>+IFERROR(VLOOKUP(E449,'DANH MỤC'!$C:$H,2,0),"")</f>
        <v>Lưỡi gà trắng 90mm x 800m x 250gsm</v>
      </c>
      <c r="G449" s="42" t="str">
        <f>+IFERROR(VLOOKUP(E449,'DANH MỤC'!$C:$H,6,0),"")</f>
        <v>Cuộn</v>
      </c>
      <c r="H449" s="42">
        <f>+IFERROR(VLOOKUP(E449,'DANH MỤC'!$C:$H,3,0),"")</f>
        <v>250</v>
      </c>
      <c r="I449" s="42">
        <f>+IFERROR(VLOOKUP(E449,'DANH MỤC'!$C:$H,4,0),"")</f>
        <v>90</v>
      </c>
      <c r="J449" s="42">
        <f>+IFERROR(VLOOKUP(E449,'DANH MỤC'!$C:$H,5,0),"")</f>
        <v>800</v>
      </c>
      <c r="K449" s="53">
        <v>72.0</v>
      </c>
      <c r="L449" s="58"/>
      <c r="M449" s="55"/>
      <c r="N449" s="55" t="s">
        <v>333</v>
      </c>
    </row>
    <row r="450" ht="15.75" customHeight="1">
      <c r="A450" s="53">
        <f t="shared" si="1"/>
        <v>445</v>
      </c>
      <c r="B450" s="55" t="s">
        <v>353</v>
      </c>
      <c r="C450" s="41">
        <v>45680.0</v>
      </c>
      <c r="D450" s="42" t="s">
        <v>393</v>
      </c>
      <c r="E450" s="42" t="s">
        <v>107</v>
      </c>
      <c r="F450" s="42" t="str">
        <f>+IFERROR(VLOOKUP(E450,'DANH MỤC'!$C:$H,2,0),"")</f>
        <v>Pallet gỗ 1200x1200x130mm</v>
      </c>
      <c r="G450" s="42" t="str">
        <f>+IFERROR(VLOOKUP(E450,'DANH MỤC'!$C:$H,6,0),"")</f>
        <v>Bộ</v>
      </c>
      <c r="H450" s="42">
        <f>+IFERROR(VLOOKUP(E450,'DANH MỤC'!$C:$H,3,0),"")</f>
        <v>1200</v>
      </c>
      <c r="I450" s="42">
        <f>+IFERROR(VLOOKUP(E450,'DANH MỤC'!$C:$H,4,0),"")</f>
        <v>1200</v>
      </c>
      <c r="J450" s="42">
        <f>+IFERROR(VLOOKUP(E450,'DANH MỤC'!$C:$H,5,0),"")</f>
        <v>130</v>
      </c>
      <c r="K450" s="53"/>
      <c r="L450" s="58">
        <v>1.0</v>
      </c>
      <c r="M450" s="55"/>
      <c r="N450" s="55" t="s">
        <v>333</v>
      </c>
    </row>
    <row r="451" ht="15.75" customHeight="1">
      <c r="A451" s="53">
        <f t="shared" si="1"/>
        <v>446</v>
      </c>
      <c r="B451" s="55" t="s">
        <v>353</v>
      </c>
      <c r="C451" s="41">
        <v>45680.0</v>
      </c>
      <c r="D451" s="42" t="s">
        <v>393</v>
      </c>
      <c r="E451" s="42" t="s">
        <v>183</v>
      </c>
      <c r="F451" s="42" t="str">
        <f>+IFERROR(VLOOKUP(E451,'DANH MỤC'!$C:$H,2,0),"")</f>
        <v>Ống lõi giấy phi 120x7x90mm</v>
      </c>
      <c r="G451" s="42" t="str">
        <f>+IFERROR(VLOOKUP(E451,'DANH MỤC'!$C:$H,6,0),"")</f>
        <v>Cái</v>
      </c>
      <c r="H451" s="42">
        <f>+IFERROR(VLOOKUP(E451,'DANH MỤC'!$C:$H,3,0),"")</f>
        <v>120</v>
      </c>
      <c r="I451" s="42">
        <f>+IFERROR(VLOOKUP(E451,'DANH MỤC'!$C:$H,4,0),"")</f>
        <v>70</v>
      </c>
      <c r="J451" s="42">
        <f>+IFERROR(VLOOKUP(E451,'DANH MỤC'!$C:$H,5,0),"")</f>
        <v>90</v>
      </c>
      <c r="K451" s="53"/>
      <c r="L451" s="58">
        <v>72.0</v>
      </c>
      <c r="M451" s="55"/>
      <c r="N451" s="55" t="s">
        <v>333</v>
      </c>
    </row>
    <row r="452" ht="15.75" customHeight="1">
      <c r="A452" s="53">
        <f t="shared" si="1"/>
        <v>447</v>
      </c>
      <c r="B452" s="55" t="s">
        <v>353</v>
      </c>
      <c r="C452" s="41">
        <v>45680.0</v>
      </c>
      <c r="D452" s="42" t="s">
        <v>393</v>
      </c>
      <c r="E452" s="42" t="s">
        <v>156</v>
      </c>
      <c r="F452" s="42" t="str">
        <f>+IFERROR(VLOOKUP(E452,'DANH MỤC'!$C:$H,2,0),"")</f>
        <v>Nẹp gỗ pallet dài 1.15m</v>
      </c>
      <c r="G452" s="42" t="str">
        <f>+IFERROR(VLOOKUP(E452,'DANH MỤC'!$C:$H,6,0),"")</f>
        <v>Cái</v>
      </c>
      <c r="H452" s="42" t="str">
        <f>+IFERROR(VLOOKUP(E452,'DANH MỤC'!$C:$H,3,0),"")</f>
        <v/>
      </c>
      <c r="I452" s="42" t="str">
        <f>+IFERROR(VLOOKUP(E452,'DANH MỤC'!$C:$H,4,0),"")</f>
        <v/>
      </c>
      <c r="J452" s="42">
        <f>+IFERROR(VLOOKUP(E452,'DANH MỤC'!$C:$H,5,0),"")</f>
        <v>1150</v>
      </c>
      <c r="K452" s="53"/>
      <c r="L452" s="58">
        <v>8.0</v>
      </c>
      <c r="M452" s="55"/>
      <c r="N452" s="55" t="s">
        <v>333</v>
      </c>
    </row>
    <row r="453" ht="15.75" customHeight="1">
      <c r="A453" s="53">
        <f t="shared" si="1"/>
        <v>448</v>
      </c>
      <c r="B453" s="55" t="s">
        <v>353</v>
      </c>
      <c r="C453" s="41">
        <v>45680.0</v>
      </c>
      <c r="D453" s="42" t="s">
        <v>392</v>
      </c>
      <c r="E453" s="42" t="s">
        <v>88</v>
      </c>
      <c r="F453" s="42" t="str">
        <f>+IFERROR(VLOOKUP(E453,'DANH MỤC'!$C:$H,2,0),"")</f>
        <v>Ivory Ningbo</v>
      </c>
      <c r="G453" s="42" t="str">
        <f>+IFERROR(VLOOKUP(E453,'DANH MỤC'!$C:$H,6,0),"")</f>
        <v>Kg</v>
      </c>
      <c r="H453" s="42">
        <f>+IFERROR(VLOOKUP(E453,'DANH MỤC'!$C:$H,3,0),"")</f>
        <v>250</v>
      </c>
      <c r="I453" s="42">
        <f>+IFERROR(VLOOKUP(E453,'DANH MỤC'!$C:$H,4,0),"")</f>
        <v>109</v>
      </c>
      <c r="J453" s="42" t="str">
        <f>+IFERROR(VLOOKUP(E453,'DANH MỤC'!$C:$H,5,0),"")</f>
        <v/>
      </c>
      <c r="K453" s="53"/>
      <c r="L453" s="58">
        <v>2943.0</v>
      </c>
      <c r="M453" s="55"/>
      <c r="N453" s="55" t="s">
        <v>333</v>
      </c>
    </row>
    <row r="454" ht="15.75" customHeight="1">
      <c r="A454" s="53">
        <f t="shared" si="1"/>
        <v>449</v>
      </c>
      <c r="B454" s="55" t="s">
        <v>353</v>
      </c>
      <c r="C454" s="41">
        <v>45681.0</v>
      </c>
      <c r="D454" s="42" t="s">
        <v>249</v>
      </c>
      <c r="E454" s="42" t="s">
        <v>123</v>
      </c>
      <c r="F454" s="42" t="str">
        <f>+IFERROR(VLOOKUP(E454,'DANH MỤC'!$C:$H,2,0),"")</f>
        <v>Lưỡi gà trắng 90mm x 800m x 250gsm</v>
      </c>
      <c r="G454" s="42" t="str">
        <f>+IFERROR(VLOOKUP(E454,'DANH MỤC'!$C:$H,6,0),"")</f>
        <v>Cuộn</v>
      </c>
      <c r="H454" s="42">
        <f>+IFERROR(VLOOKUP(E454,'DANH MỤC'!$C:$H,3,0),"")</f>
        <v>250</v>
      </c>
      <c r="I454" s="42">
        <f>+IFERROR(VLOOKUP(E454,'DANH MỤC'!$C:$H,4,0),"")</f>
        <v>90</v>
      </c>
      <c r="J454" s="42">
        <f>+IFERROR(VLOOKUP(E454,'DANH MỤC'!$C:$H,5,0),"")</f>
        <v>800</v>
      </c>
      <c r="K454" s="53">
        <v>107.0</v>
      </c>
      <c r="L454" s="58"/>
      <c r="M454" s="55"/>
      <c r="N454" s="55"/>
    </row>
    <row r="455" ht="15.75" customHeight="1">
      <c r="A455" s="53">
        <f t="shared" si="1"/>
        <v>450</v>
      </c>
      <c r="B455" s="55" t="s">
        <v>353</v>
      </c>
      <c r="C455" s="41">
        <v>45681.0</v>
      </c>
      <c r="D455" s="42" t="s">
        <v>393</v>
      </c>
      <c r="E455" s="42" t="s">
        <v>107</v>
      </c>
      <c r="F455" s="42" t="str">
        <f>+IFERROR(VLOOKUP(E455,'DANH MỤC'!$C:$H,2,0),"")</f>
        <v>Pallet gỗ 1200x1200x130mm</v>
      </c>
      <c r="G455" s="42" t="str">
        <f>+IFERROR(VLOOKUP(E455,'DANH MỤC'!$C:$H,6,0),"")</f>
        <v>Bộ</v>
      </c>
      <c r="H455" s="42">
        <f>+IFERROR(VLOOKUP(E455,'DANH MỤC'!$C:$H,3,0),"")</f>
        <v>1200</v>
      </c>
      <c r="I455" s="42">
        <f>+IFERROR(VLOOKUP(E455,'DANH MỤC'!$C:$H,4,0),"")</f>
        <v>1200</v>
      </c>
      <c r="J455" s="42">
        <f>+IFERROR(VLOOKUP(E455,'DANH MỤC'!$C:$H,5,0),"")</f>
        <v>130</v>
      </c>
      <c r="K455" s="53"/>
      <c r="L455" s="58">
        <v>2.0</v>
      </c>
      <c r="M455" s="55"/>
      <c r="N455" s="55"/>
    </row>
    <row r="456" ht="15.75" customHeight="1">
      <c r="A456" s="53">
        <f t="shared" si="1"/>
        <v>451</v>
      </c>
      <c r="B456" s="55" t="s">
        <v>353</v>
      </c>
      <c r="C456" s="41">
        <v>45681.0</v>
      </c>
      <c r="D456" s="42" t="s">
        <v>393</v>
      </c>
      <c r="E456" s="42" t="s">
        <v>183</v>
      </c>
      <c r="F456" s="42" t="str">
        <f>+IFERROR(VLOOKUP(E456,'DANH MỤC'!$C:$H,2,0),"")</f>
        <v>Ống lõi giấy phi 120x7x90mm</v>
      </c>
      <c r="G456" s="42" t="str">
        <f>+IFERROR(VLOOKUP(E456,'DANH MỤC'!$C:$H,6,0),"")</f>
        <v>Cái</v>
      </c>
      <c r="H456" s="42">
        <f>+IFERROR(VLOOKUP(E456,'DANH MỤC'!$C:$H,3,0),"")</f>
        <v>120</v>
      </c>
      <c r="I456" s="42">
        <f>+IFERROR(VLOOKUP(E456,'DANH MỤC'!$C:$H,4,0),"")</f>
        <v>70</v>
      </c>
      <c r="J456" s="42">
        <f>+IFERROR(VLOOKUP(E456,'DANH MỤC'!$C:$H,5,0),"")</f>
        <v>90</v>
      </c>
      <c r="K456" s="53"/>
      <c r="L456" s="58">
        <v>107.0</v>
      </c>
      <c r="M456" s="55"/>
      <c r="N456" s="55"/>
    </row>
    <row r="457" ht="15.75" customHeight="1">
      <c r="A457" s="53">
        <f t="shared" si="1"/>
        <v>452</v>
      </c>
      <c r="B457" s="55" t="s">
        <v>353</v>
      </c>
      <c r="C457" s="41">
        <v>45681.0</v>
      </c>
      <c r="D457" s="42" t="s">
        <v>393</v>
      </c>
      <c r="E457" s="42" t="s">
        <v>156</v>
      </c>
      <c r="F457" s="42" t="str">
        <f>+IFERROR(VLOOKUP(E457,'DANH MỤC'!$C:$H,2,0),"")</f>
        <v>Nẹp gỗ pallet dài 1.15m</v>
      </c>
      <c r="G457" s="42" t="str">
        <f>+IFERROR(VLOOKUP(E457,'DANH MỤC'!$C:$H,6,0),"")</f>
        <v>Cái</v>
      </c>
      <c r="H457" s="42" t="str">
        <f>+IFERROR(VLOOKUP(E457,'DANH MỤC'!$C:$H,3,0),"")</f>
        <v/>
      </c>
      <c r="I457" s="42" t="str">
        <f>+IFERROR(VLOOKUP(E457,'DANH MỤC'!$C:$H,4,0),"")</f>
        <v/>
      </c>
      <c r="J457" s="42">
        <f>+IFERROR(VLOOKUP(E457,'DANH MỤC'!$C:$H,5,0),"")</f>
        <v>1150</v>
      </c>
      <c r="K457" s="53"/>
      <c r="L457" s="58">
        <v>8.0</v>
      </c>
      <c r="M457" s="55"/>
      <c r="N457" s="55"/>
    </row>
    <row r="458" ht="15.75" customHeight="1">
      <c r="A458" s="53">
        <f t="shared" si="1"/>
        <v>453</v>
      </c>
      <c r="B458" s="55" t="s">
        <v>353</v>
      </c>
      <c r="C458" s="41">
        <v>45681.0</v>
      </c>
      <c r="D458" s="42" t="s">
        <v>448</v>
      </c>
      <c r="E458" s="42" t="s">
        <v>88</v>
      </c>
      <c r="F458" s="42" t="str">
        <f>+IFERROR(VLOOKUP(E458,'DANH MỤC'!$C:$H,2,0),"")</f>
        <v>Ivory Ningbo</v>
      </c>
      <c r="G458" s="42" t="str">
        <f>+IFERROR(VLOOKUP(E458,'DANH MỤC'!$C:$H,6,0),"")</f>
        <v>Kg</v>
      </c>
      <c r="H458" s="42">
        <f>+IFERROR(VLOOKUP(E458,'DANH MỤC'!$C:$H,3,0),"")</f>
        <v>250</v>
      </c>
      <c r="I458" s="42">
        <f>+IFERROR(VLOOKUP(E458,'DANH MỤC'!$C:$H,4,0),"")</f>
        <v>109</v>
      </c>
      <c r="J458" s="42" t="str">
        <f>+IFERROR(VLOOKUP(E458,'DANH MỤC'!$C:$H,5,0),"")</f>
        <v/>
      </c>
      <c r="K458" s="53">
        <v>30.0</v>
      </c>
      <c r="L458" s="58"/>
      <c r="M458" s="55"/>
      <c r="N458" s="55"/>
    </row>
    <row r="459" ht="15.75" customHeight="1">
      <c r="A459" s="53">
        <f t="shared" si="1"/>
        <v>454</v>
      </c>
      <c r="B459" s="55" t="s">
        <v>363</v>
      </c>
      <c r="C459" s="41">
        <v>45692.0</v>
      </c>
      <c r="D459" s="42" t="s">
        <v>449</v>
      </c>
      <c r="E459" s="42" t="s">
        <v>189</v>
      </c>
      <c r="F459" s="42" t="str">
        <f>+IFERROR(VLOOKUP(E459,'DANH MỤC'!$C:$H,2,0),"")</f>
        <v>Ivory Ningbo</v>
      </c>
      <c r="G459" s="42" t="str">
        <f>+IFERROR(VLOOKUP(E459,'DANH MỤC'!$C:$H,6,0),"")</f>
        <v>Kg</v>
      </c>
      <c r="H459" s="42">
        <f>+IFERROR(VLOOKUP(E459,'DANH MỤC'!$C:$H,3,0),"")</f>
        <v>230</v>
      </c>
      <c r="I459" s="42">
        <f>+IFERROR(VLOOKUP(E459,'DANH MỤC'!$C:$H,4,0),"")</f>
        <v>109</v>
      </c>
      <c r="J459" s="42" t="str">
        <f>+IFERROR(VLOOKUP(E459,'DANH MỤC'!$C:$H,5,0),"")</f>
        <v/>
      </c>
      <c r="K459" s="53"/>
      <c r="L459" s="58">
        <v>5940.0</v>
      </c>
      <c r="M459" s="55"/>
      <c r="N459" s="55"/>
    </row>
    <row r="460" ht="15.75" customHeight="1">
      <c r="A460" s="53">
        <f t="shared" si="1"/>
        <v>455</v>
      </c>
      <c r="B460" s="55" t="s">
        <v>363</v>
      </c>
      <c r="C460" s="41">
        <v>45692.0</v>
      </c>
      <c r="D460" s="42" t="s">
        <v>453</v>
      </c>
      <c r="E460" s="42" t="s">
        <v>107</v>
      </c>
      <c r="F460" s="42" t="str">
        <f>+IFERROR(VLOOKUP(E460,'DANH MỤC'!$C:$H,2,0),"")</f>
        <v>Pallet gỗ 1200x1200x130mm</v>
      </c>
      <c r="G460" s="42" t="str">
        <f>+IFERROR(VLOOKUP(E460,'DANH MỤC'!$C:$H,6,0),"")</f>
        <v>Bộ</v>
      </c>
      <c r="H460" s="42">
        <f>+IFERROR(VLOOKUP(E460,'DANH MỤC'!$C:$H,3,0),"")</f>
        <v>1200</v>
      </c>
      <c r="I460" s="42">
        <f>+IFERROR(VLOOKUP(E460,'DANH MỤC'!$C:$H,4,0),"")</f>
        <v>1200</v>
      </c>
      <c r="J460" s="42">
        <f>+IFERROR(VLOOKUP(E460,'DANH MỤC'!$C:$H,5,0),"")</f>
        <v>130</v>
      </c>
      <c r="K460" s="53"/>
      <c r="L460" s="58">
        <v>2.0</v>
      </c>
      <c r="M460" s="55"/>
      <c r="N460" s="55"/>
    </row>
    <row r="461" ht="15.75" customHeight="1">
      <c r="A461" s="53">
        <f t="shared" si="1"/>
        <v>456</v>
      </c>
      <c r="B461" s="55" t="s">
        <v>363</v>
      </c>
      <c r="C461" s="41">
        <v>45692.0</v>
      </c>
      <c r="D461" s="42" t="s">
        <v>453</v>
      </c>
      <c r="E461" s="42" t="s">
        <v>204</v>
      </c>
      <c r="F461" s="42" t="str">
        <f>+IFERROR(VLOOKUP(E461,'DANH MỤC'!$C:$H,2,0),"")</f>
        <v>Ống lõi giấy phi 120x7x98mm</v>
      </c>
      <c r="G461" s="42" t="str">
        <f>+IFERROR(VLOOKUP(E461,'DANH MỤC'!$C:$H,6,0),"")</f>
        <v>Cái</v>
      </c>
      <c r="H461" s="42">
        <f>+IFERROR(VLOOKUP(E461,'DANH MỤC'!$C:$H,3,0),"")</f>
        <v>120</v>
      </c>
      <c r="I461" s="42">
        <f>+IFERROR(VLOOKUP(E461,'DANH MỤC'!$C:$H,4,0),"")</f>
        <v>70</v>
      </c>
      <c r="J461" s="42">
        <f>+IFERROR(VLOOKUP(E461,'DANH MỤC'!$C:$H,5,0),"")</f>
        <v>98</v>
      </c>
      <c r="K461" s="53"/>
      <c r="L461" s="58">
        <v>77.0</v>
      </c>
      <c r="M461" s="55"/>
      <c r="N461" s="55"/>
    </row>
    <row r="462" ht="15.75" customHeight="1">
      <c r="A462" s="53">
        <f t="shared" si="1"/>
        <v>457</v>
      </c>
      <c r="B462" s="55" t="s">
        <v>363</v>
      </c>
      <c r="C462" s="41">
        <v>45692.0</v>
      </c>
      <c r="D462" s="42" t="s">
        <v>249</v>
      </c>
      <c r="E462" s="42" t="s">
        <v>120</v>
      </c>
      <c r="F462" s="42" t="str">
        <f>+IFERROR(VLOOKUP(E462,'DANH MỤC'!$C:$H,2,0),"")</f>
        <v>Lưỡi gà trắng 98mm x 800m x 230gsm</v>
      </c>
      <c r="G462" s="42" t="str">
        <f>+IFERROR(VLOOKUP(E462,'DANH MỤC'!$C:$H,6,0),"")</f>
        <v>Cuộn</v>
      </c>
      <c r="H462" s="42">
        <f>+IFERROR(VLOOKUP(E462,'DANH MỤC'!$C:$H,3,0),"")</f>
        <v>230</v>
      </c>
      <c r="I462" s="42">
        <f>+IFERROR(VLOOKUP(E462,'DANH MỤC'!$C:$H,4,0),"")</f>
        <v>98</v>
      </c>
      <c r="J462" s="42">
        <f>+IFERROR(VLOOKUP(E462,'DANH MỤC'!$C:$H,5,0),"")</f>
        <v>800</v>
      </c>
      <c r="K462" s="53">
        <v>77.0</v>
      </c>
      <c r="L462" s="58"/>
      <c r="M462" s="55"/>
      <c r="N462" s="55"/>
    </row>
    <row r="463" ht="15.75" customHeight="1">
      <c r="A463" s="53">
        <f t="shared" si="1"/>
        <v>458</v>
      </c>
      <c r="B463" s="55" t="s">
        <v>363</v>
      </c>
      <c r="C463" s="41">
        <v>45693.0</v>
      </c>
      <c r="D463" s="42" t="s">
        <v>453</v>
      </c>
      <c r="E463" s="42" t="s">
        <v>107</v>
      </c>
      <c r="F463" s="42" t="str">
        <f>+IFERROR(VLOOKUP(E463,'DANH MỤC'!$C:$H,2,0),"")</f>
        <v>Pallet gỗ 1200x1200x130mm</v>
      </c>
      <c r="G463" s="42" t="str">
        <f>+IFERROR(VLOOKUP(E463,'DANH MỤC'!$C:$H,6,0),"")</f>
        <v>Bộ</v>
      </c>
      <c r="H463" s="42">
        <f>+IFERROR(VLOOKUP(E463,'DANH MỤC'!$C:$H,3,0),"")</f>
        <v>1200</v>
      </c>
      <c r="I463" s="42">
        <f>+IFERROR(VLOOKUP(E463,'DANH MỤC'!$C:$H,4,0),"")</f>
        <v>1200</v>
      </c>
      <c r="J463" s="42">
        <f>+IFERROR(VLOOKUP(E463,'DANH MỤC'!$C:$H,5,0),"")</f>
        <v>130</v>
      </c>
      <c r="K463" s="53"/>
      <c r="L463" s="58">
        <v>2.0</v>
      </c>
      <c r="M463" s="55"/>
      <c r="N463" s="55"/>
    </row>
    <row r="464" ht="15.75" customHeight="1">
      <c r="A464" s="53">
        <f t="shared" si="1"/>
        <v>459</v>
      </c>
      <c r="B464" s="55" t="s">
        <v>363</v>
      </c>
      <c r="C464" s="41">
        <v>45693.0</v>
      </c>
      <c r="D464" s="42" t="s">
        <v>453</v>
      </c>
      <c r="E464" s="42" t="s">
        <v>204</v>
      </c>
      <c r="F464" s="42" t="str">
        <f>+IFERROR(VLOOKUP(E464,'DANH MỤC'!$C:$H,2,0),"")</f>
        <v>Ống lõi giấy phi 120x7x98mm</v>
      </c>
      <c r="G464" s="42" t="str">
        <f>+IFERROR(VLOOKUP(E464,'DANH MỤC'!$C:$H,6,0),"")</f>
        <v>Cái</v>
      </c>
      <c r="H464" s="42">
        <f>+IFERROR(VLOOKUP(E464,'DANH MỤC'!$C:$H,3,0),"")</f>
        <v>120</v>
      </c>
      <c r="I464" s="42">
        <f>+IFERROR(VLOOKUP(E464,'DANH MỤC'!$C:$H,4,0),"")</f>
        <v>70</v>
      </c>
      <c r="J464" s="42">
        <f>+IFERROR(VLOOKUP(E464,'DANH MỤC'!$C:$H,5,0),"")</f>
        <v>98</v>
      </c>
      <c r="K464" s="53"/>
      <c r="L464" s="58">
        <v>132.0</v>
      </c>
      <c r="M464" s="55"/>
      <c r="N464" s="55"/>
    </row>
    <row r="465" ht="15.75" customHeight="1">
      <c r="A465" s="53">
        <f t="shared" si="1"/>
        <v>460</v>
      </c>
      <c r="B465" s="55" t="s">
        <v>363</v>
      </c>
      <c r="C465" s="41">
        <v>45693.0</v>
      </c>
      <c r="D465" s="42" t="s">
        <v>249</v>
      </c>
      <c r="E465" s="42" t="s">
        <v>120</v>
      </c>
      <c r="F465" s="42" t="str">
        <f>+IFERROR(VLOOKUP(E465,'DANH MỤC'!$C:$H,2,0),"")</f>
        <v>Lưỡi gà trắng 98mm x 800m x 230gsm</v>
      </c>
      <c r="G465" s="42" t="str">
        <f>+IFERROR(VLOOKUP(E465,'DANH MỤC'!$C:$H,6,0),"")</f>
        <v>Cuộn</v>
      </c>
      <c r="H465" s="42">
        <f>+IFERROR(VLOOKUP(E465,'DANH MỤC'!$C:$H,3,0),"")</f>
        <v>230</v>
      </c>
      <c r="I465" s="42">
        <f>+IFERROR(VLOOKUP(E465,'DANH MỤC'!$C:$H,4,0),"")</f>
        <v>98</v>
      </c>
      <c r="J465" s="42">
        <f>+IFERROR(VLOOKUP(E465,'DANH MỤC'!$C:$H,5,0),"")</f>
        <v>800</v>
      </c>
      <c r="K465" s="53">
        <v>132.0</v>
      </c>
      <c r="L465" s="58"/>
      <c r="M465" s="55"/>
      <c r="N465" s="55"/>
    </row>
    <row r="466" ht="15.75" customHeight="1">
      <c r="A466" s="53">
        <f t="shared" si="1"/>
        <v>461</v>
      </c>
      <c r="B466" s="55" t="s">
        <v>363</v>
      </c>
      <c r="C466" s="41">
        <v>45694.0</v>
      </c>
      <c r="D466" s="42" t="s">
        <v>449</v>
      </c>
      <c r="E466" s="42" t="s">
        <v>189</v>
      </c>
      <c r="F466" s="42" t="str">
        <f>+IFERROR(VLOOKUP(E466,'DANH MỤC'!$C:$H,2,0),"")</f>
        <v>Ivory Ningbo</v>
      </c>
      <c r="G466" s="42" t="str">
        <f>+IFERROR(VLOOKUP(E466,'DANH MỤC'!$C:$H,6,0),"")</f>
        <v>Kg</v>
      </c>
      <c r="H466" s="42">
        <f>+IFERROR(VLOOKUP(E466,'DANH MỤC'!$C:$H,3,0),"")</f>
        <v>230</v>
      </c>
      <c r="I466" s="42">
        <f>+IFERROR(VLOOKUP(E466,'DANH MỤC'!$C:$H,4,0),"")</f>
        <v>109</v>
      </c>
      <c r="J466" s="42" t="str">
        <f>+IFERROR(VLOOKUP(E466,'DANH MỤC'!$C:$H,5,0),"")</f>
        <v/>
      </c>
      <c r="K466" s="53"/>
      <c r="L466" s="58">
        <v>990.0</v>
      </c>
      <c r="M466" s="55"/>
      <c r="N466" s="55"/>
    </row>
    <row r="467" ht="15.75" customHeight="1">
      <c r="A467" s="53">
        <f t="shared" si="1"/>
        <v>462</v>
      </c>
      <c r="B467" s="55" t="s">
        <v>363</v>
      </c>
      <c r="C467" s="41">
        <v>45694.0</v>
      </c>
      <c r="D467" s="42" t="s">
        <v>453</v>
      </c>
      <c r="E467" s="42" t="s">
        <v>107</v>
      </c>
      <c r="F467" s="42" t="str">
        <f>+IFERROR(VLOOKUP(E467,'DANH MỤC'!$C:$H,2,0),"")</f>
        <v>Pallet gỗ 1200x1200x130mm</v>
      </c>
      <c r="G467" s="42" t="str">
        <f>+IFERROR(VLOOKUP(E467,'DANH MỤC'!$C:$H,6,0),"")</f>
        <v>Bộ</v>
      </c>
      <c r="H467" s="42">
        <f>+IFERROR(VLOOKUP(E467,'DANH MỤC'!$C:$H,3,0),"")</f>
        <v>1200</v>
      </c>
      <c r="I467" s="42">
        <f>+IFERROR(VLOOKUP(E467,'DANH MỤC'!$C:$H,4,0),"")</f>
        <v>1200</v>
      </c>
      <c r="J467" s="42">
        <f>+IFERROR(VLOOKUP(E467,'DANH MỤC'!$C:$H,5,0),"")</f>
        <v>130</v>
      </c>
      <c r="K467" s="53"/>
      <c r="L467" s="58">
        <v>2.0</v>
      </c>
      <c r="M467" s="55"/>
      <c r="N467" s="55"/>
    </row>
    <row r="468" ht="15.75" customHeight="1">
      <c r="A468" s="53">
        <f t="shared" si="1"/>
        <v>463</v>
      </c>
      <c r="B468" s="55" t="s">
        <v>363</v>
      </c>
      <c r="C468" s="41">
        <v>45694.0</v>
      </c>
      <c r="D468" s="42" t="s">
        <v>453</v>
      </c>
      <c r="E468" s="42" t="s">
        <v>204</v>
      </c>
      <c r="F468" s="42" t="str">
        <f>+IFERROR(VLOOKUP(E468,'DANH MỤC'!$C:$H,2,0),"")</f>
        <v>Ống lõi giấy phi 120x7x98mm</v>
      </c>
      <c r="G468" s="42" t="str">
        <f>+IFERROR(VLOOKUP(E468,'DANH MỤC'!$C:$H,6,0),"")</f>
        <v>Cái</v>
      </c>
      <c r="H468" s="42">
        <f>+IFERROR(VLOOKUP(E468,'DANH MỤC'!$C:$H,3,0),"")</f>
        <v>120</v>
      </c>
      <c r="I468" s="42">
        <f>+IFERROR(VLOOKUP(E468,'DANH MỤC'!$C:$H,4,0),"")</f>
        <v>70</v>
      </c>
      <c r="J468" s="42">
        <f>+IFERROR(VLOOKUP(E468,'DANH MỤC'!$C:$H,5,0),"")</f>
        <v>98</v>
      </c>
      <c r="K468" s="53"/>
      <c r="L468" s="58">
        <v>132.0</v>
      </c>
      <c r="M468" s="55"/>
      <c r="N468" s="55"/>
    </row>
    <row r="469" ht="15.75" customHeight="1">
      <c r="A469" s="53">
        <f t="shared" si="1"/>
        <v>464</v>
      </c>
      <c r="B469" s="55" t="s">
        <v>363</v>
      </c>
      <c r="C469" s="41">
        <v>45694.0</v>
      </c>
      <c r="D469" s="42" t="s">
        <v>249</v>
      </c>
      <c r="E469" s="42" t="s">
        <v>120</v>
      </c>
      <c r="F469" s="42" t="str">
        <f>+IFERROR(VLOOKUP(E469,'DANH MỤC'!$C:$H,2,0),"")</f>
        <v>Lưỡi gà trắng 98mm x 800m x 230gsm</v>
      </c>
      <c r="G469" s="42" t="str">
        <f>+IFERROR(VLOOKUP(E469,'DANH MỤC'!$C:$H,6,0),"")</f>
        <v>Cuộn</v>
      </c>
      <c r="H469" s="42">
        <f>+IFERROR(VLOOKUP(E469,'DANH MỤC'!$C:$H,3,0),"")</f>
        <v>230</v>
      </c>
      <c r="I469" s="42">
        <f>+IFERROR(VLOOKUP(E469,'DANH MỤC'!$C:$H,4,0),"")</f>
        <v>98</v>
      </c>
      <c r="J469" s="42">
        <f>+IFERROR(VLOOKUP(E469,'DANH MỤC'!$C:$H,5,0),"")</f>
        <v>800</v>
      </c>
      <c r="K469" s="53">
        <v>132.0</v>
      </c>
      <c r="L469" s="58"/>
      <c r="M469" s="55"/>
      <c r="N469" s="55"/>
    </row>
    <row r="470" ht="15.75" customHeight="1">
      <c r="A470" s="53">
        <f t="shared" si="1"/>
        <v>465</v>
      </c>
      <c r="B470" s="55" t="s">
        <v>363</v>
      </c>
      <c r="C470" s="41">
        <v>45694.0</v>
      </c>
      <c r="D470" s="42" t="s">
        <v>461</v>
      </c>
      <c r="E470" s="42" t="s">
        <v>189</v>
      </c>
      <c r="F470" s="42" t="str">
        <f>+IFERROR(VLOOKUP(E470,'DANH MỤC'!$C:$H,2,0),"")</f>
        <v>Ivory Ningbo</v>
      </c>
      <c r="G470" s="42" t="str">
        <f>+IFERROR(VLOOKUP(E470,'DANH MỤC'!$C:$H,6,0),"")</f>
        <v>Kg</v>
      </c>
      <c r="H470" s="42">
        <f>+IFERROR(VLOOKUP(E470,'DANH MỤC'!$C:$H,3,0),"")</f>
        <v>230</v>
      </c>
      <c r="I470" s="42">
        <f>+IFERROR(VLOOKUP(E470,'DANH MỤC'!$C:$H,4,0),"")</f>
        <v>109</v>
      </c>
      <c r="J470" s="42" t="str">
        <f>+IFERROR(VLOOKUP(E470,'DANH MỤC'!$C:$H,5,0),"")</f>
        <v/>
      </c>
      <c r="K470" s="53">
        <v>705.0</v>
      </c>
      <c r="L470" s="58"/>
      <c r="M470" s="55"/>
      <c r="N470" s="55"/>
    </row>
    <row r="471" ht="15.75" customHeight="1">
      <c r="A471" s="53">
        <f t="shared" si="1"/>
        <v>466</v>
      </c>
      <c r="B471" s="55" t="s">
        <v>363</v>
      </c>
      <c r="C471" s="41">
        <v>45694.0</v>
      </c>
      <c r="D471" s="42" t="s">
        <v>453</v>
      </c>
      <c r="E471" s="42" t="s">
        <v>115</v>
      </c>
      <c r="F471" s="42" t="str">
        <f>+IFERROR(VLOOKUP(E471,'DANH MỤC'!$C:$H,2,0),"")</f>
        <v>Màng Strecth Film 5.0-0.6kg</v>
      </c>
      <c r="G471" s="42" t="str">
        <f>+IFERROR(VLOOKUP(E471,'DANH MỤC'!$C:$H,6,0),"")</f>
        <v>Kg</v>
      </c>
      <c r="H471" s="42" t="str">
        <f>+IFERROR(VLOOKUP(E471,'DANH MỤC'!$C:$H,3,0),"")</f>
        <v/>
      </c>
      <c r="I471" s="42" t="str">
        <f>+IFERROR(VLOOKUP(E471,'DANH MỤC'!$C:$H,4,0),"")</f>
        <v/>
      </c>
      <c r="J471" s="42" t="str">
        <f>+IFERROR(VLOOKUP(E471,'DANH MỤC'!$C:$H,5,0),"")</f>
        <v/>
      </c>
      <c r="K471" s="53"/>
      <c r="L471" s="58">
        <v>4.04</v>
      </c>
      <c r="M471" s="55"/>
      <c r="N471" s="55"/>
    </row>
    <row r="472" ht="15.75" customHeight="1">
      <c r="A472" s="53">
        <f t="shared" si="1"/>
        <v>467</v>
      </c>
      <c r="B472" s="55" t="s">
        <v>363</v>
      </c>
      <c r="C472" s="41">
        <v>45694.0</v>
      </c>
      <c r="D472" s="42" t="s">
        <v>453</v>
      </c>
      <c r="E472" s="42" t="s">
        <v>112</v>
      </c>
      <c r="F472" s="42" t="str">
        <f>+IFERROR(VLOOKUP(E472,'DANH MỤC'!$C:$H,2,0),"")</f>
        <v>Dây đai PET xanh (B)</v>
      </c>
      <c r="G472" s="42" t="str">
        <f>+IFERROR(VLOOKUP(E472,'DANH MỤC'!$C:$H,6,0),"")</f>
        <v>Kg</v>
      </c>
      <c r="H472" s="42" t="str">
        <f>+IFERROR(VLOOKUP(E472,'DANH MỤC'!$C:$H,3,0),"")</f>
        <v/>
      </c>
      <c r="I472" s="42" t="str">
        <f>+IFERROR(VLOOKUP(E472,'DANH MỤC'!$C:$H,4,0),"")</f>
        <v/>
      </c>
      <c r="J472" s="42" t="str">
        <f>+IFERROR(VLOOKUP(E472,'DANH MỤC'!$C:$H,5,0),"")</f>
        <v/>
      </c>
      <c r="K472" s="53"/>
      <c r="L472" s="58">
        <v>6.83</v>
      </c>
      <c r="M472" s="55"/>
      <c r="N472" s="55"/>
    </row>
    <row r="473" ht="15.75" customHeight="1">
      <c r="A473" s="53">
        <f t="shared" si="1"/>
        <v>468</v>
      </c>
      <c r="B473" s="55" t="s">
        <v>363</v>
      </c>
      <c r="C473" s="41">
        <v>45694.0</v>
      </c>
      <c r="D473" s="42" t="s">
        <v>453</v>
      </c>
      <c r="E473" s="42" t="s">
        <v>96</v>
      </c>
      <c r="F473" s="42" t="str">
        <f>+IFERROR(VLOOKUP(E473,'DANH MỤC'!$C:$H,2,0),"")</f>
        <v>Giấy bao gói lưỡi gà</v>
      </c>
      <c r="G473" s="42" t="str">
        <f>+IFERROR(VLOOKUP(E473,'DANH MỤC'!$C:$H,6,0),"")</f>
        <v>Kg</v>
      </c>
      <c r="H473" s="42" t="str">
        <f>+IFERROR(VLOOKUP(E473,'DANH MỤC'!$C:$H,3,0),"")</f>
        <v/>
      </c>
      <c r="I473" s="42" t="str">
        <f>+IFERROR(VLOOKUP(E473,'DANH MỤC'!$C:$H,4,0),"")</f>
        <v/>
      </c>
      <c r="J473" s="42" t="str">
        <f>+IFERROR(VLOOKUP(E473,'DANH MỤC'!$C:$H,5,0),"")</f>
        <v/>
      </c>
      <c r="K473" s="53"/>
      <c r="L473" s="58">
        <v>5.08</v>
      </c>
      <c r="M473" s="55"/>
      <c r="N473" s="55"/>
    </row>
    <row r="474" ht="15.75" customHeight="1">
      <c r="A474" s="117">
        <f t="shared" si="1"/>
        <v>469</v>
      </c>
      <c r="B474" s="118"/>
      <c r="C474" s="119">
        <v>45695.0</v>
      </c>
      <c r="D474" s="120" t="s">
        <v>130</v>
      </c>
      <c r="E474" s="120" t="s">
        <v>123</v>
      </c>
      <c r="F474" s="120" t="str">
        <f>+IFERROR(VLOOKUP(E474,'DANH MỤC'!$C:$H,2,0),"")</f>
        <v>Lưỡi gà trắng 90mm x 800m x 250gsm</v>
      </c>
      <c r="G474" s="120" t="str">
        <f>+IFERROR(VLOOKUP(E474,'DANH MỤC'!$C:$H,6,0),"")</f>
        <v>Cuộn</v>
      </c>
      <c r="H474" s="120">
        <f>+IFERROR(VLOOKUP(E474,'DANH MỤC'!$C:$H,3,0),"")</f>
        <v>250</v>
      </c>
      <c r="I474" s="120">
        <f>+IFERROR(VLOOKUP(E474,'DANH MỤC'!$C:$H,4,0),"")</f>
        <v>90</v>
      </c>
      <c r="J474" s="120">
        <f>+IFERROR(VLOOKUP(E474,'DANH MỤC'!$C:$H,5,0),"")</f>
        <v>800</v>
      </c>
      <c r="K474" s="117"/>
      <c r="L474" s="121">
        <v>520.0</v>
      </c>
      <c r="M474" s="118" t="s">
        <v>131</v>
      </c>
      <c r="N474" s="118"/>
    </row>
    <row r="475" ht="15.75" customHeight="1">
      <c r="A475" s="53">
        <f t="shared" si="1"/>
        <v>470</v>
      </c>
      <c r="B475" s="55" t="s">
        <v>366</v>
      </c>
      <c r="C475" s="41">
        <v>45695.0</v>
      </c>
      <c r="D475" s="42" t="s">
        <v>463</v>
      </c>
      <c r="E475" s="42" t="s">
        <v>127</v>
      </c>
      <c r="F475" s="42" t="str">
        <f>+IFERROR(VLOOKUP(E475,'DANH MỤC'!$C:$H,2,0),"")</f>
        <v>Pallet gỗ 1100x1100x130mm</v>
      </c>
      <c r="G475" s="42" t="str">
        <f>+IFERROR(VLOOKUP(E475,'DANH MỤC'!$C:$H,6,0),"")</f>
        <v>Bộ</v>
      </c>
      <c r="H475" s="42">
        <f>+IFERROR(VLOOKUP(E475,'DANH MỤC'!$C:$H,3,0),"")</f>
        <v>1100</v>
      </c>
      <c r="I475" s="42">
        <f>+IFERROR(VLOOKUP(E475,'DANH MỤC'!$C:$H,4,0),"")</f>
        <v>1100</v>
      </c>
      <c r="J475" s="42">
        <f>+IFERROR(VLOOKUP(E475,'DANH MỤC'!$C:$H,5,0),"")</f>
        <v>130</v>
      </c>
      <c r="K475" s="53"/>
      <c r="L475" s="58">
        <v>3.0</v>
      </c>
      <c r="M475" s="55"/>
      <c r="N475" s="55"/>
    </row>
    <row r="476" ht="15.75" customHeight="1">
      <c r="A476" s="53">
        <f t="shared" si="1"/>
        <v>471</v>
      </c>
      <c r="B476" s="55" t="s">
        <v>366</v>
      </c>
      <c r="C476" s="41">
        <v>45695.0</v>
      </c>
      <c r="D476" s="42" t="s">
        <v>463</v>
      </c>
      <c r="E476" s="42" t="s">
        <v>184</v>
      </c>
      <c r="F476" s="42" t="str">
        <f>+IFERROR(VLOOKUP(E476,'DANH MỤC'!$C:$H,2,0),"")</f>
        <v>Ống lõi giấy phi 120x7x95mm</v>
      </c>
      <c r="G476" s="42" t="str">
        <f>+IFERROR(VLOOKUP(E476,'DANH MỤC'!$C:$H,6,0),"")</f>
        <v>Cái</v>
      </c>
      <c r="H476" s="42">
        <f>+IFERROR(VLOOKUP(E476,'DANH MỤC'!$C:$H,3,0),"")</f>
        <v>120</v>
      </c>
      <c r="I476" s="42">
        <f>+IFERROR(VLOOKUP(E476,'DANH MỤC'!$C:$H,4,0),"")</f>
        <v>70</v>
      </c>
      <c r="J476" s="42">
        <f>+IFERROR(VLOOKUP(E476,'DANH MỤC'!$C:$H,5,0),"")</f>
        <v>95</v>
      </c>
      <c r="K476" s="53"/>
      <c r="L476" s="58">
        <v>33.0</v>
      </c>
      <c r="M476" s="55"/>
      <c r="N476" s="55"/>
    </row>
    <row r="477" ht="15.75" customHeight="1">
      <c r="A477" s="53">
        <f t="shared" si="1"/>
        <v>472</v>
      </c>
      <c r="B477" s="55" t="s">
        <v>366</v>
      </c>
      <c r="C477" s="41">
        <v>45695.0</v>
      </c>
      <c r="D477" s="42" t="s">
        <v>463</v>
      </c>
      <c r="E477" s="42" t="s">
        <v>182</v>
      </c>
      <c r="F477" s="42" t="str">
        <f>+IFERROR(VLOOKUP(E477,'DANH MỤC'!$C:$H,2,0),"")</f>
        <v>Ống lõi giấy phi 120x7x71mm</v>
      </c>
      <c r="G477" s="42" t="str">
        <f>+IFERROR(VLOOKUP(E477,'DANH MỤC'!$C:$H,6,0),"")</f>
        <v>Cái</v>
      </c>
      <c r="H477" s="42">
        <f>+IFERROR(VLOOKUP(E477,'DANH MỤC'!$C:$H,3,0),"")</f>
        <v>120</v>
      </c>
      <c r="I477" s="42">
        <f>+IFERROR(VLOOKUP(E477,'DANH MỤC'!$C:$H,4,0),"")</f>
        <v>70</v>
      </c>
      <c r="J477" s="42">
        <f>+IFERROR(VLOOKUP(E477,'DANH MỤC'!$C:$H,5,0),"")</f>
        <v>71</v>
      </c>
      <c r="K477" s="53"/>
      <c r="L477" s="58">
        <v>121.0</v>
      </c>
      <c r="M477" s="55"/>
      <c r="N477" s="55"/>
    </row>
    <row r="478" ht="15.75" customHeight="1">
      <c r="A478" s="53">
        <f t="shared" si="1"/>
        <v>473</v>
      </c>
      <c r="B478" s="55" t="s">
        <v>366</v>
      </c>
      <c r="C478" s="41">
        <v>45695.0</v>
      </c>
      <c r="D478" s="42" t="s">
        <v>465</v>
      </c>
      <c r="E478" s="42" t="s">
        <v>47</v>
      </c>
      <c r="F478" s="42" t="str">
        <f>+IFERROR(VLOOKUP(E478,'DANH MỤC'!$C:$H,2,0),"")</f>
        <v>Ivory Ningbo</v>
      </c>
      <c r="G478" s="42" t="str">
        <f>+IFERROR(VLOOKUP(E478,'DANH MỤC'!$C:$H,6,0),"")</f>
        <v>Kg</v>
      </c>
      <c r="H478" s="42">
        <f>+IFERROR(VLOOKUP(E478,'DANH MỤC'!$C:$H,3,0),"")</f>
        <v>210</v>
      </c>
      <c r="I478" s="42">
        <f>+IFERROR(VLOOKUP(E478,'DANH MỤC'!$C:$H,4,0),"")</f>
        <v>109</v>
      </c>
      <c r="J478" s="42" t="str">
        <f>+IFERROR(VLOOKUP(E478,'DANH MỤC'!$C:$H,5,0),"")</f>
        <v/>
      </c>
      <c r="K478" s="53"/>
      <c r="L478" s="58">
        <v>20705.0</v>
      </c>
      <c r="M478" s="55"/>
      <c r="N478" s="55"/>
    </row>
    <row r="479" ht="15.75" customHeight="1">
      <c r="A479" s="53">
        <f t="shared" si="1"/>
        <v>474</v>
      </c>
      <c r="B479" s="55" t="s">
        <v>366</v>
      </c>
      <c r="C479" s="41">
        <v>45695.0</v>
      </c>
      <c r="D479" s="42" t="s">
        <v>249</v>
      </c>
      <c r="E479" s="42" t="s">
        <v>104</v>
      </c>
      <c r="F479" s="42" t="str">
        <f>+IFERROR(VLOOKUP(E479,'DANH MỤC'!$C:$H,2,0),"")</f>
        <v>Lưỡi gà trắng 95mm x 800m x 210gsm</v>
      </c>
      <c r="G479" s="42" t="str">
        <f>+IFERROR(VLOOKUP(E479,'DANH MỤC'!$C:$H,6,0),"")</f>
        <v>Cuộn</v>
      </c>
      <c r="H479" s="42">
        <f>+IFERROR(VLOOKUP(E479,'DANH MỤC'!$C:$H,3,0),"")</f>
        <v>210</v>
      </c>
      <c r="I479" s="42">
        <f>+IFERROR(VLOOKUP(E479,'DANH MỤC'!$C:$H,4,0),"")</f>
        <v>95</v>
      </c>
      <c r="J479" s="42">
        <f>+IFERROR(VLOOKUP(E479,'DANH MỤC'!$C:$H,5,0),"")</f>
        <v>800</v>
      </c>
      <c r="K479" s="53">
        <v>33.0</v>
      </c>
      <c r="L479" s="58"/>
      <c r="M479" s="55"/>
      <c r="N479" s="55"/>
    </row>
    <row r="480" ht="15.75" customHeight="1">
      <c r="A480" s="53">
        <f t="shared" si="1"/>
        <v>475</v>
      </c>
      <c r="B480" s="55" t="s">
        <v>366</v>
      </c>
      <c r="C480" s="41">
        <v>45695.0</v>
      </c>
      <c r="D480" s="42" t="s">
        <v>249</v>
      </c>
      <c r="E480" s="42" t="s">
        <v>81</v>
      </c>
      <c r="F480" s="42" t="str">
        <f>+IFERROR(VLOOKUP(E480,'DANH MỤC'!$C:$H,2,0),"")</f>
        <v>Lưỡi gà trắng 71mm x 800m x 210gsm</v>
      </c>
      <c r="G480" s="42" t="str">
        <f>+IFERROR(VLOOKUP(E480,'DANH MỤC'!$C:$H,6,0),"")</f>
        <v>Cuộn</v>
      </c>
      <c r="H480" s="42">
        <f>+IFERROR(VLOOKUP(E480,'DANH MỤC'!$C:$H,3,0),"")</f>
        <v>210</v>
      </c>
      <c r="I480" s="42">
        <f>+IFERROR(VLOOKUP(E480,'DANH MỤC'!$C:$H,4,0),"")</f>
        <v>71</v>
      </c>
      <c r="J480" s="42">
        <f>+IFERROR(VLOOKUP(E480,'DANH MỤC'!$C:$H,5,0),"")</f>
        <v>800</v>
      </c>
      <c r="K480" s="53">
        <v>121.0</v>
      </c>
      <c r="L480" s="58"/>
      <c r="M480" s="55"/>
      <c r="N480" s="55"/>
    </row>
    <row r="481" ht="15.75" customHeight="1">
      <c r="A481" s="53">
        <f t="shared" si="1"/>
        <v>476</v>
      </c>
      <c r="B481" s="55" t="s">
        <v>366</v>
      </c>
      <c r="C481" s="41">
        <v>45696.0</v>
      </c>
      <c r="D481" s="42" t="s">
        <v>463</v>
      </c>
      <c r="E481" s="42" t="s">
        <v>127</v>
      </c>
      <c r="F481" s="42" t="str">
        <f>+IFERROR(VLOOKUP(E481,'DANH MỤC'!$C:$H,2,0),"")</f>
        <v>Pallet gỗ 1100x1100x130mm</v>
      </c>
      <c r="G481" s="42" t="str">
        <f>+IFERROR(VLOOKUP(E481,'DANH MỤC'!$C:$H,6,0),"")</f>
        <v>Bộ</v>
      </c>
      <c r="H481" s="42">
        <f>+IFERROR(VLOOKUP(E481,'DANH MỤC'!$C:$H,3,0),"")</f>
        <v>1100</v>
      </c>
      <c r="I481" s="42">
        <f>+IFERROR(VLOOKUP(E481,'DANH MỤC'!$C:$H,4,0),"")</f>
        <v>1100</v>
      </c>
      <c r="J481" s="42">
        <f>+IFERROR(VLOOKUP(E481,'DANH MỤC'!$C:$H,5,0),"")</f>
        <v>130</v>
      </c>
      <c r="K481" s="53"/>
      <c r="L481" s="58">
        <v>3.0</v>
      </c>
      <c r="M481" s="55"/>
      <c r="N481" s="55"/>
    </row>
    <row r="482" ht="15.75" customHeight="1">
      <c r="A482" s="53">
        <f t="shared" si="1"/>
        <v>477</v>
      </c>
      <c r="B482" s="55" t="s">
        <v>366</v>
      </c>
      <c r="C482" s="41">
        <v>45696.0</v>
      </c>
      <c r="D482" s="42" t="s">
        <v>463</v>
      </c>
      <c r="E482" s="42" t="s">
        <v>184</v>
      </c>
      <c r="F482" s="42" t="str">
        <f>+IFERROR(VLOOKUP(E482,'DANH MỤC'!$C:$H,2,0),"")</f>
        <v>Ống lõi giấy phi 120x7x95mm</v>
      </c>
      <c r="G482" s="42" t="str">
        <f>+IFERROR(VLOOKUP(E482,'DANH MỤC'!$C:$H,6,0),"")</f>
        <v>Cái</v>
      </c>
      <c r="H482" s="42">
        <f>+IFERROR(VLOOKUP(E482,'DANH MỤC'!$C:$H,3,0),"")</f>
        <v>120</v>
      </c>
      <c r="I482" s="42">
        <f>+IFERROR(VLOOKUP(E482,'DANH MỤC'!$C:$H,4,0),"")</f>
        <v>70</v>
      </c>
      <c r="J482" s="42">
        <f>+IFERROR(VLOOKUP(E482,'DANH MỤC'!$C:$H,5,0),"")</f>
        <v>95</v>
      </c>
      <c r="K482" s="53"/>
      <c r="L482" s="58">
        <v>36.0</v>
      </c>
      <c r="M482" s="55"/>
      <c r="N482" s="55"/>
    </row>
    <row r="483" ht="15.75" customHeight="1">
      <c r="A483" s="53">
        <f t="shared" si="1"/>
        <v>478</v>
      </c>
      <c r="B483" s="55" t="s">
        <v>366</v>
      </c>
      <c r="C483" s="41">
        <v>45696.0</v>
      </c>
      <c r="D483" s="42" t="s">
        <v>463</v>
      </c>
      <c r="E483" s="42" t="s">
        <v>182</v>
      </c>
      <c r="F483" s="42" t="str">
        <f>+IFERROR(VLOOKUP(E483,'DANH MỤC'!$C:$H,2,0),"")</f>
        <v>Ống lõi giấy phi 120x7x71mm</v>
      </c>
      <c r="G483" s="42" t="str">
        <f>+IFERROR(VLOOKUP(E483,'DANH MỤC'!$C:$H,6,0),"")</f>
        <v>Cái</v>
      </c>
      <c r="H483" s="42">
        <f>+IFERROR(VLOOKUP(E483,'DANH MỤC'!$C:$H,3,0),"")</f>
        <v>120</v>
      </c>
      <c r="I483" s="42">
        <f>+IFERROR(VLOOKUP(E483,'DANH MỤC'!$C:$H,4,0),"")</f>
        <v>70</v>
      </c>
      <c r="J483" s="42">
        <f>+IFERROR(VLOOKUP(E483,'DANH MỤC'!$C:$H,5,0),"")</f>
        <v>71</v>
      </c>
      <c r="K483" s="53"/>
      <c r="L483" s="58">
        <v>132.0</v>
      </c>
      <c r="M483" s="55"/>
      <c r="N483" s="55"/>
    </row>
    <row r="484" ht="15.75" customHeight="1">
      <c r="A484" s="53">
        <f t="shared" si="1"/>
        <v>479</v>
      </c>
      <c r="B484" s="55" t="s">
        <v>366</v>
      </c>
      <c r="C484" s="41">
        <v>45696.0</v>
      </c>
      <c r="D484" s="42" t="s">
        <v>463</v>
      </c>
      <c r="E484" s="42" t="s">
        <v>156</v>
      </c>
      <c r="F484" s="42" t="str">
        <f>+IFERROR(VLOOKUP(E484,'DANH MỤC'!$C:$H,2,0),"")</f>
        <v>Nẹp gỗ pallet dài 1.15m</v>
      </c>
      <c r="G484" s="42" t="str">
        <f>+IFERROR(VLOOKUP(E484,'DANH MỤC'!$C:$H,6,0),"")</f>
        <v>Cái</v>
      </c>
      <c r="H484" s="42" t="str">
        <f>+IFERROR(VLOOKUP(E484,'DANH MỤC'!$C:$H,3,0),"")</f>
        <v/>
      </c>
      <c r="I484" s="42" t="str">
        <f>+IFERROR(VLOOKUP(E484,'DANH MỤC'!$C:$H,4,0),"")</f>
        <v/>
      </c>
      <c r="J484" s="42">
        <f>+IFERROR(VLOOKUP(E484,'DANH MỤC'!$C:$H,5,0),"")</f>
        <v>1150</v>
      </c>
      <c r="K484" s="53"/>
      <c r="L484" s="58">
        <v>4.0</v>
      </c>
      <c r="M484" s="55"/>
      <c r="N484" s="55"/>
    </row>
    <row r="485" ht="15.75" customHeight="1">
      <c r="A485" s="53">
        <f t="shared" si="1"/>
        <v>480</v>
      </c>
      <c r="B485" s="55" t="s">
        <v>366</v>
      </c>
      <c r="C485" s="41">
        <v>45696.0</v>
      </c>
      <c r="D485" s="42" t="s">
        <v>249</v>
      </c>
      <c r="E485" s="42" t="s">
        <v>104</v>
      </c>
      <c r="F485" s="42" t="str">
        <f>+IFERROR(VLOOKUP(E485,'DANH MỤC'!$C:$H,2,0),"")</f>
        <v>Lưỡi gà trắng 95mm x 800m x 210gsm</v>
      </c>
      <c r="G485" s="42" t="str">
        <f>+IFERROR(VLOOKUP(E485,'DANH MỤC'!$C:$H,6,0),"")</f>
        <v>Cuộn</v>
      </c>
      <c r="H485" s="42">
        <f>+IFERROR(VLOOKUP(E485,'DANH MỤC'!$C:$H,3,0),"")</f>
        <v>210</v>
      </c>
      <c r="I485" s="42">
        <f>+IFERROR(VLOOKUP(E485,'DANH MỤC'!$C:$H,4,0),"")</f>
        <v>95</v>
      </c>
      <c r="J485" s="42">
        <f>+IFERROR(VLOOKUP(E485,'DANH MỤC'!$C:$H,5,0),"")</f>
        <v>800</v>
      </c>
      <c r="K485" s="53">
        <v>36.0</v>
      </c>
      <c r="L485" s="58"/>
      <c r="M485" s="55"/>
      <c r="N485" s="55"/>
    </row>
    <row r="486" ht="15.75" customHeight="1">
      <c r="A486" s="53">
        <f t="shared" si="1"/>
        <v>481</v>
      </c>
      <c r="B486" s="55" t="s">
        <v>366</v>
      </c>
      <c r="C486" s="41">
        <v>45696.0</v>
      </c>
      <c r="D486" s="42" t="s">
        <v>249</v>
      </c>
      <c r="E486" s="42" t="s">
        <v>81</v>
      </c>
      <c r="F486" s="42" t="str">
        <f>+IFERROR(VLOOKUP(E486,'DANH MỤC'!$C:$H,2,0),"")</f>
        <v>Lưỡi gà trắng 71mm x 800m x 210gsm</v>
      </c>
      <c r="G486" s="42" t="str">
        <f>+IFERROR(VLOOKUP(E486,'DANH MỤC'!$C:$H,6,0),"")</f>
        <v>Cuộn</v>
      </c>
      <c r="H486" s="42">
        <f>+IFERROR(VLOOKUP(E486,'DANH MỤC'!$C:$H,3,0),"")</f>
        <v>210</v>
      </c>
      <c r="I486" s="42">
        <f>+IFERROR(VLOOKUP(E486,'DANH MỤC'!$C:$H,4,0),"")</f>
        <v>71</v>
      </c>
      <c r="J486" s="42">
        <f>+IFERROR(VLOOKUP(E486,'DANH MỤC'!$C:$H,5,0),"")</f>
        <v>800</v>
      </c>
      <c r="K486" s="53">
        <v>132.0</v>
      </c>
      <c r="L486" s="58"/>
      <c r="M486" s="55"/>
      <c r="N486" s="55"/>
    </row>
    <row r="487" ht="15.75" customHeight="1">
      <c r="A487" s="117">
        <f t="shared" si="1"/>
        <v>482</v>
      </c>
      <c r="B487" s="118" t="s">
        <v>363</v>
      </c>
      <c r="C487" s="119">
        <v>45698.0</v>
      </c>
      <c r="D487" s="120" t="s">
        <v>146</v>
      </c>
      <c r="E487" s="120" t="s">
        <v>120</v>
      </c>
      <c r="F487" s="120" t="str">
        <f>+IFERROR(VLOOKUP(E487,'DANH MỤC'!$C:$H,2,0),"")</f>
        <v>Lưỡi gà trắng 98mm x 800m x 230gsm</v>
      </c>
      <c r="G487" s="120" t="str">
        <f>+IFERROR(VLOOKUP(E487,'DANH MỤC'!$C:$H,6,0),"")</f>
        <v>Cuộn</v>
      </c>
      <c r="H487" s="120">
        <f>+IFERROR(VLOOKUP(E487,'DANH MỤC'!$C:$H,3,0),"")</f>
        <v>230</v>
      </c>
      <c r="I487" s="120">
        <f>+IFERROR(VLOOKUP(E487,'DANH MỤC'!$C:$H,4,0),"")</f>
        <v>98</v>
      </c>
      <c r="J487" s="120">
        <f>+IFERROR(VLOOKUP(E487,'DANH MỤC'!$C:$H,5,0),"")</f>
        <v>800</v>
      </c>
      <c r="K487" s="117"/>
      <c r="L487" s="121">
        <v>240.0</v>
      </c>
      <c r="M487" s="118" t="s">
        <v>304</v>
      </c>
      <c r="N487" s="118"/>
    </row>
    <row r="488" ht="15.75" customHeight="1">
      <c r="A488" s="117">
        <f t="shared" si="1"/>
        <v>483</v>
      </c>
      <c r="B488" s="118" t="s">
        <v>363</v>
      </c>
      <c r="C488" s="119">
        <v>45698.0</v>
      </c>
      <c r="D488" s="120" t="s">
        <v>146</v>
      </c>
      <c r="E488" s="120" t="s">
        <v>104</v>
      </c>
      <c r="F488" s="120" t="str">
        <f>+IFERROR(VLOOKUP(E488,'DANH MỤC'!$C:$H,2,0),"")</f>
        <v>Lưỡi gà trắng 95mm x 800m x 210gsm</v>
      </c>
      <c r="G488" s="120" t="str">
        <f>+IFERROR(VLOOKUP(E488,'DANH MỤC'!$C:$H,6,0),"")</f>
        <v>Cuộn</v>
      </c>
      <c r="H488" s="120">
        <f>+IFERROR(VLOOKUP(E488,'DANH MỤC'!$C:$H,3,0),"")</f>
        <v>210</v>
      </c>
      <c r="I488" s="120">
        <f>+IFERROR(VLOOKUP(E488,'DANH MỤC'!$C:$H,4,0),"")</f>
        <v>95</v>
      </c>
      <c r="J488" s="120">
        <f>+IFERROR(VLOOKUP(E488,'DANH MỤC'!$C:$H,5,0),"")</f>
        <v>800</v>
      </c>
      <c r="K488" s="117"/>
      <c r="L488" s="121">
        <v>60.0</v>
      </c>
      <c r="M488" s="118" t="s">
        <v>304</v>
      </c>
      <c r="N488" s="118"/>
    </row>
    <row r="489" ht="15.75" customHeight="1">
      <c r="A489" s="53">
        <f t="shared" si="1"/>
        <v>484</v>
      </c>
      <c r="B489" s="55" t="s">
        <v>366</v>
      </c>
      <c r="C489" s="41">
        <v>45698.0</v>
      </c>
      <c r="D489" s="42" t="s">
        <v>249</v>
      </c>
      <c r="E489" s="42" t="s">
        <v>104</v>
      </c>
      <c r="F489" s="42" t="str">
        <f>+IFERROR(VLOOKUP(E489,'DANH MỤC'!$C:$H,2,0),"")</f>
        <v>Lưỡi gà trắng 95mm x 800m x 210gsm</v>
      </c>
      <c r="G489" s="42" t="str">
        <f>+IFERROR(VLOOKUP(E489,'DANH MỤC'!$C:$H,6,0),"")</f>
        <v>Cuộn</v>
      </c>
      <c r="H489" s="42">
        <f>+IFERROR(VLOOKUP(E489,'DANH MỤC'!$C:$H,3,0),"")</f>
        <v>210</v>
      </c>
      <c r="I489" s="42">
        <f>+IFERROR(VLOOKUP(E489,'DANH MỤC'!$C:$H,4,0),"")</f>
        <v>95</v>
      </c>
      <c r="J489" s="42">
        <f>+IFERROR(VLOOKUP(E489,'DANH MỤC'!$C:$H,5,0),"")</f>
        <v>800</v>
      </c>
      <c r="K489" s="53">
        <v>36.0</v>
      </c>
      <c r="L489" s="58"/>
      <c r="M489" s="55"/>
      <c r="N489" s="55"/>
    </row>
    <row r="490" ht="15.75" customHeight="1">
      <c r="A490" s="53">
        <f t="shared" si="1"/>
        <v>485</v>
      </c>
      <c r="B490" s="55" t="s">
        <v>366</v>
      </c>
      <c r="C490" s="41">
        <v>45698.0</v>
      </c>
      <c r="D490" s="42" t="s">
        <v>249</v>
      </c>
      <c r="E490" s="42" t="s">
        <v>81</v>
      </c>
      <c r="F490" s="42" t="str">
        <f>+IFERROR(VLOOKUP(E490,'DANH MỤC'!$C:$H,2,0),"")</f>
        <v>Lưỡi gà trắng 71mm x 800m x 210gsm</v>
      </c>
      <c r="G490" s="42" t="str">
        <f>+IFERROR(VLOOKUP(E490,'DANH MỤC'!$C:$H,6,0),"")</f>
        <v>Cuộn</v>
      </c>
      <c r="H490" s="42">
        <f>+IFERROR(VLOOKUP(E490,'DANH MỤC'!$C:$H,3,0),"")</f>
        <v>210</v>
      </c>
      <c r="I490" s="42">
        <f>+IFERROR(VLOOKUP(E490,'DANH MỤC'!$C:$H,4,0),"")</f>
        <v>71</v>
      </c>
      <c r="J490" s="42">
        <f>+IFERROR(VLOOKUP(E490,'DANH MỤC'!$C:$H,5,0),"")</f>
        <v>800</v>
      </c>
      <c r="K490" s="53">
        <v>132.0</v>
      </c>
      <c r="L490" s="58"/>
      <c r="M490" s="55"/>
      <c r="N490" s="55"/>
    </row>
    <row r="491" ht="15.75" customHeight="1">
      <c r="A491" s="53">
        <f t="shared" si="1"/>
        <v>486</v>
      </c>
      <c r="B491" s="55" t="s">
        <v>366</v>
      </c>
      <c r="C491" s="41">
        <v>45698.0</v>
      </c>
      <c r="D491" s="42" t="s">
        <v>463</v>
      </c>
      <c r="E491" s="42" t="s">
        <v>127</v>
      </c>
      <c r="F491" s="42" t="str">
        <f>+IFERROR(VLOOKUP(E491,'DANH MỤC'!$C:$H,2,0),"")</f>
        <v>Pallet gỗ 1100x1100x130mm</v>
      </c>
      <c r="G491" s="42" t="str">
        <f>+IFERROR(VLOOKUP(E491,'DANH MỤC'!$C:$H,6,0),"")</f>
        <v>Bộ</v>
      </c>
      <c r="H491" s="42">
        <f>+IFERROR(VLOOKUP(E491,'DANH MỤC'!$C:$H,3,0),"")</f>
        <v>1100</v>
      </c>
      <c r="I491" s="42">
        <f>+IFERROR(VLOOKUP(E491,'DANH MỤC'!$C:$H,4,0),"")</f>
        <v>1100</v>
      </c>
      <c r="J491" s="42">
        <f>+IFERROR(VLOOKUP(E491,'DANH MỤC'!$C:$H,5,0),"")</f>
        <v>130</v>
      </c>
      <c r="K491" s="53"/>
      <c r="L491" s="58">
        <v>2.0</v>
      </c>
      <c r="M491" s="55"/>
      <c r="N491" s="55"/>
    </row>
    <row r="492" ht="15.75" customHeight="1">
      <c r="A492" s="53">
        <f t="shared" si="1"/>
        <v>487</v>
      </c>
      <c r="B492" s="55" t="s">
        <v>366</v>
      </c>
      <c r="C492" s="41">
        <v>45698.0</v>
      </c>
      <c r="D492" s="42" t="s">
        <v>463</v>
      </c>
      <c r="E492" s="42" t="s">
        <v>184</v>
      </c>
      <c r="F492" s="42" t="str">
        <f>+IFERROR(VLOOKUP(E492,'DANH MỤC'!$C:$H,2,0),"")</f>
        <v>Ống lõi giấy phi 120x7x95mm</v>
      </c>
      <c r="G492" s="42" t="str">
        <f>+IFERROR(VLOOKUP(E492,'DANH MỤC'!$C:$H,6,0),"")</f>
        <v>Cái</v>
      </c>
      <c r="H492" s="42">
        <f>+IFERROR(VLOOKUP(E492,'DANH MỤC'!$C:$H,3,0),"")</f>
        <v>120</v>
      </c>
      <c r="I492" s="42">
        <f>+IFERROR(VLOOKUP(E492,'DANH MỤC'!$C:$H,4,0),"")</f>
        <v>70</v>
      </c>
      <c r="J492" s="42">
        <f>+IFERROR(VLOOKUP(E492,'DANH MỤC'!$C:$H,5,0),"")</f>
        <v>95</v>
      </c>
      <c r="K492" s="53"/>
      <c r="L492" s="58">
        <v>36.0</v>
      </c>
      <c r="M492" s="55"/>
      <c r="N492" s="55"/>
    </row>
    <row r="493" ht="15.75" customHeight="1">
      <c r="A493" s="53">
        <f t="shared" si="1"/>
        <v>488</v>
      </c>
      <c r="B493" s="55" t="s">
        <v>366</v>
      </c>
      <c r="C493" s="41">
        <v>45698.0</v>
      </c>
      <c r="D493" s="42" t="s">
        <v>463</v>
      </c>
      <c r="E493" s="42" t="s">
        <v>182</v>
      </c>
      <c r="F493" s="42" t="str">
        <f>+IFERROR(VLOOKUP(E493,'DANH MỤC'!$C:$H,2,0),"")</f>
        <v>Ống lõi giấy phi 120x7x71mm</v>
      </c>
      <c r="G493" s="42" t="str">
        <f>+IFERROR(VLOOKUP(E493,'DANH MỤC'!$C:$H,6,0),"")</f>
        <v>Cái</v>
      </c>
      <c r="H493" s="42">
        <f>+IFERROR(VLOOKUP(E493,'DANH MỤC'!$C:$H,3,0),"")</f>
        <v>120</v>
      </c>
      <c r="I493" s="42">
        <f>+IFERROR(VLOOKUP(E493,'DANH MỤC'!$C:$H,4,0),"")</f>
        <v>70</v>
      </c>
      <c r="J493" s="42">
        <f>+IFERROR(VLOOKUP(E493,'DANH MỤC'!$C:$H,5,0),"")</f>
        <v>71</v>
      </c>
      <c r="K493" s="53"/>
      <c r="L493" s="58">
        <v>132.0</v>
      </c>
      <c r="M493" s="55"/>
      <c r="N493" s="55"/>
    </row>
    <row r="494" ht="15.75" customHeight="1">
      <c r="A494" s="53">
        <f t="shared" si="1"/>
        <v>489</v>
      </c>
      <c r="B494" s="55" t="s">
        <v>366</v>
      </c>
      <c r="C494" s="41">
        <v>45698.0</v>
      </c>
      <c r="D494" s="42" t="s">
        <v>463</v>
      </c>
      <c r="E494" s="42" t="s">
        <v>156</v>
      </c>
      <c r="F494" s="42" t="str">
        <f>+IFERROR(VLOOKUP(E494,'DANH MỤC'!$C:$H,2,0),"")</f>
        <v>Nẹp gỗ pallet dài 1.15m</v>
      </c>
      <c r="G494" s="42" t="str">
        <f>+IFERROR(VLOOKUP(E494,'DANH MỤC'!$C:$H,6,0),"")</f>
        <v>Cái</v>
      </c>
      <c r="H494" s="42" t="str">
        <f>+IFERROR(VLOOKUP(E494,'DANH MỤC'!$C:$H,3,0),"")</f>
        <v/>
      </c>
      <c r="I494" s="42" t="str">
        <f>+IFERROR(VLOOKUP(E494,'DANH MỤC'!$C:$H,4,0),"")</f>
        <v/>
      </c>
      <c r="J494" s="42">
        <f>+IFERROR(VLOOKUP(E494,'DANH MỤC'!$C:$H,5,0),"")</f>
        <v>1150</v>
      </c>
      <c r="K494" s="53"/>
      <c r="L494" s="58">
        <v>4.0</v>
      </c>
      <c r="M494" s="55"/>
      <c r="N494" s="55"/>
    </row>
    <row r="495" ht="15.75" customHeight="1">
      <c r="A495" s="53">
        <f t="shared" si="1"/>
        <v>490</v>
      </c>
      <c r="B495" s="55" t="s">
        <v>366</v>
      </c>
      <c r="C495" s="41">
        <v>45699.0</v>
      </c>
      <c r="D495" s="42" t="s">
        <v>249</v>
      </c>
      <c r="E495" s="42" t="s">
        <v>104</v>
      </c>
      <c r="F495" s="42" t="str">
        <f>+IFERROR(VLOOKUP(E495,'DANH MỤC'!$C:$H,2,0),"")</f>
        <v>Lưỡi gà trắng 95mm x 800m x 210gsm</v>
      </c>
      <c r="G495" s="42" t="str">
        <f>+IFERROR(VLOOKUP(E495,'DANH MỤC'!$C:$H,6,0),"")</f>
        <v>Cuộn</v>
      </c>
      <c r="H495" s="42">
        <f>+IFERROR(VLOOKUP(E495,'DANH MỤC'!$C:$H,3,0),"")</f>
        <v>210</v>
      </c>
      <c r="I495" s="42">
        <f>+IFERROR(VLOOKUP(E495,'DANH MỤC'!$C:$H,4,0),"")</f>
        <v>95</v>
      </c>
      <c r="J495" s="42">
        <f>+IFERROR(VLOOKUP(E495,'DANH MỤC'!$C:$H,5,0),"")</f>
        <v>800</v>
      </c>
      <c r="K495" s="53">
        <v>36.0</v>
      </c>
      <c r="L495" s="58"/>
      <c r="M495" s="55"/>
      <c r="N495" s="55"/>
    </row>
    <row r="496" ht="15.75" customHeight="1">
      <c r="A496" s="53">
        <f t="shared" si="1"/>
        <v>491</v>
      </c>
      <c r="B496" s="55" t="s">
        <v>366</v>
      </c>
      <c r="C496" s="41">
        <v>45699.0</v>
      </c>
      <c r="D496" s="42" t="s">
        <v>249</v>
      </c>
      <c r="E496" s="42" t="s">
        <v>81</v>
      </c>
      <c r="F496" s="42" t="str">
        <f>+IFERROR(VLOOKUP(E496,'DANH MỤC'!$C:$H,2,0),"")</f>
        <v>Lưỡi gà trắng 71mm x 800m x 210gsm</v>
      </c>
      <c r="G496" s="42" t="str">
        <f>+IFERROR(VLOOKUP(E496,'DANH MỤC'!$C:$H,6,0),"")</f>
        <v>Cuộn</v>
      </c>
      <c r="H496" s="42">
        <f>+IFERROR(VLOOKUP(E496,'DANH MỤC'!$C:$H,3,0),"")</f>
        <v>210</v>
      </c>
      <c r="I496" s="42">
        <f>+IFERROR(VLOOKUP(E496,'DANH MỤC'!$C:$H,4,0),"")</f>
        <v>71</v>
      </c>
      <c r="J496" s="42">
        <f>+IFERROR(VLOOKUP(E496,'DANH MỤC'!$C:$H,5,0),"")</f>
        <v>800</v>
      </c>
      <c r="K496" s="53">
        <v>132.0</v>
      </c>
      <c r="L496" s="58"/>
      <c r="M496" s="55"/>
      <c r="N496" s="55"/>
    </row>
    <row r="497" ht="15.75" customHeight="1">
      <c r="A497" s="53">
        <f t="shared" si="1"/>
        <v>492</v>
      </c>
      <c r="B497" s="55" t="s">
        <v>366</v>
      </c>
      <c r="C497" s="41">
        <v>45699.0</v>
      </c>
      <c r="D497" s="42" t="s">
        <v>463</v>
      </c>
      <c r="E497" s="42" t="s">
        <v>127</v>
      </c>
      <c r="F497" s="42" t="str">
        <f>+IFERROR(VLOOKUP(E497,'DANH MỤC'!$C:$H,2,0),"")</f>
        <v>Pallet gỗ 1100x1100x130mm</v>
      </c>
      <c r="G497" s="42" t="str">
        <f>+IFERROR(VLOOKUP(E497,'DANH MỤC'!$C:$H,6,0),"")</f>
        <v>Bộ</v>
      </c>
      <c r="H497" s="42">
        <f>+IFERROR(VLOOKUP(E497,'DANH MỤC'!$C:$H,3,0),"")</f>
        <v>1100</v>
      </c>
      <c r="I497" s="42">
        <f>+IFERROR(VLOOKUP(E497,'DANH MỤC'!$C:$H,4,0),"")</f>
        <v>1100</v>
      </c>
      <c r="J497" s="42">
        <f>+IFERROR(VLOOKUP(E497,'DANH MỤC'!$C:$H,5,0),"")</f>
        <v>130</v>
      </c>
      <c r="K497" s="53"/>
      <c r="L497" s="58">
        <v>3.0</v>
      </c>
      <c r="M497" s="55"/>
      <c r="N497" s="55"/>
    </row>
    <row r="498" ht="15.75" customHeight="1">
      <c r="A498" s="53">
        <f t="shared" si="1"/>
        <v>493</v>
      </c>
      <c r="B498" s="55" t="s">
        <v>366</v>
      </c>
      <c r="C498" s="41">
        <v>45699.0</v>
      </c>
      <c r="D498" s="42" t="s">
        <v>463</v>
      </c>
      <c r="E498" s="42" t="s">
        <v>184</v>
      </c>
      <c r="F498" s="42" t="str">
        <f>+IFERROR(VLOOKUP(E498,'DANH MỤC'!$C:$H,2,0),"")</f>
        <v>Ống lõi giấy phi 120x7x95mm</v>
      </c>
      <c r="G498" s="42" t="str">
        <f>+IFERROR(VLOOKUP(E498,'DANH MỤC'!$C:$H,6,0),"")</f>
        <v>Cái</v>
      </c>
      <c r="H498" s="42">
        <f>+IFERROR(VLOOKUP(E498,'DANH MỤC'!$C:$H,3,0),"")</f>
        <v>120</v>
      </c>
      <c r="I498" s="42">
        <f>+IFERROR(VLOOKUP(E498,'DANH MỤC'!$C:$H,4,0),"")</f>
        <v>70</v>
      </c>
      <c r="J498" s="42">
        <f>+IFERROR(VLOOKUP(E498,'DANH MỤC'!$C:$H,5,0),"")</f>
        <v>95</v>
      </c>
      <c r="K498" s="53"/>
      <c r="L498" s="58">
        <v>36.0</v>
      </c>
      <c r="M498" s="55"/>
      <c r="N498" s="55"/>
    </row>
    <row r="499" ht="15.75" customHeight="1">
      <c r="A499" s="53">
        <f t="shared" si="1"/>
        <v>494</v>
      </c>
      <c r="B499" s="55" t="s">
        <v>366</v>
      </c>
      <c r="C499" s="41">
        <v>45699.0</v>
      </c>
      <c r="D499" s="42" t="s">
        <v>463</v>
      </c>
      <c r="E499" s="42" t="s">
        <v>182</v>
      </c>
      <c r="F499" s="42" t="str">
        <f>+IFERROR(VLOOKUP(E499,'DANH MỤC'!$C:$H,2,0),"")</f>
        <v>Ống lõi giấy phi 120x7x71mm</v>
      </c>
      <c r="G499" s="42" t="str">
        <f>+IFERROR(VLOOKUP(E499,'DANH MỤC'!$C:$H,6,0),"")</f>
        <v>Cái</v>
      </c>
      <c r="H499" s="42">
        <f>+IFERROR(VLOOKUP(E499,'DANH MỤC'!$C:$H,3,0),"")</f>
        <v>120</v>
      </c>
      <c r="I499" s="42">
        <f>+IFERROR(VLOOKUP(E499,'DANH MỤC'!$C:$H,4,0),"")</f>
        <v>70</v>
      </c>
      <c r="J499" s="42">
        <f>+IFERROR(VLOOKUP(E499,'DANH MỤC'!$C:$H,5,0),"")</f>
        <v>71</v>
      </c>
      <c r="K499" s="53"/>
      <c r="L499" s="58">
        <v>132.0</v>
      </c>
      <c r="M499" s="55"/>
      <c r="N499" s="55"/>
    </row>
    <row r="500" ht="15.75" customHeight="1">
      <c r="A500" s="117">
        <f t="shared" si="1"/>
        <v>495</v>
      </c>
      <c r="B500" s="118" t="s">
        <v>363</v>
      </c>
      <c r="C500" s="119">
        <v>45699.0</v>
      </c>
      <c r="D500" s="120" t="s">
        <v>146</v>
      </c>
      <c r="E500" s="120" t="s">
        <v>81</v>
      </c>
      <c r="F500" s="120" t="str">
        <f>+IFERROR(VLOOKUP(E500,'DANH MỤC'!$C:$H,2,0),"")</f>
        <v>Lưỡi gà trắng 71mm x 800m x 210gsm</v>
      </c>
      <c r="G500" s="120" t="str">
        <f>+IFERROR(VLOOKUP(E500,'DANH MỤC'!$C:$H,6,0),"")</f>
        <v>Cuộn</v>
      </c>
      <c r="H500" s="120">
        <f>+IFERROR(VLOOKUP(E500,'DANH MỤC'!$C:$H,3,0),"")</f>
        <v>210</v>
      </c>
      <c r="I500" s="120">
        <f>+IFERROR(VLOOKUP(E500,'DANH MỤC'!$C:$H,4,0),"")</f>
        <v>71</v>
      </c>
      <c r="J500" s="120">
        <f>+IFERROR(VLOOKUP(E500,'DANH MỤC'!$C:$H,5,0),"")</f>
        <v>800</v>
      </c>
      <c r="K500" s="117"/>
      <c r="L500" s="121">
        <v>300.0</v>
      </c>
      <c r="M500" s="118" t="s">
        <v>304</v>
      </c>
      <c r="N500" s="118"/>
    </row>
    <row r="501" ht="15.75" customHeight="1">
      <c r="A501" s="53">
        <f t="shared" si="1"/>
        <v>496</v>
      </c>
      <c r="B501" s="55" t="s">
        <v>366</v>
      </c>
      <c r="C501" s="41">
        <v>45700.0</v>
      </c>
      <c r="D501" s="42" t="s">
        <v>249</v>
      </c>
      <c r="E501" s="42" t="s">
        <v>104</v>
      </c>
      <c r="F501" s="42" t="str">
        <f>+IFERROR(VLOOKUP(E501,'DANH MỤC'!$C:$H,2,0),"")</f>
        <v>Lưỡi gà trắng 95mm x 800m x 210gsm</v>
      </c>
      <c r="G501" s="42" t="str">
        <f>+IFERROR(VLOOKUP(E501,'DANH MỤC'!$C:$H,6,0),"")</f>
        <v>Cuộn</v>
      </c>
      <c r="H501" s="42">
        <f>+IFERROR(VLOOKUP(E501,'DANH MỤC'!$C:$H,3,0),"")</f>
        <v>210</v>
      </c>
      <c r="I501" s="42">
        <f>+IFERROR(VLOOKUP(E501,'DANH MỤC'!$C:$H,4,0),"")</f>
        <v>95</v>
      </c>
      <c r="J501" s="42">
        <f>+IFERROR(VLOOKUP(E501,'DANH MỤC'!$C:$H,5,0),"")</f>
        <v>800</v>
      </c>
      <c r="K501" s="53">
        <v>4.0</v>
      </c>
      <c r="L501" s="58"/>
      <c r="M501" s="55"/>
      <c r="N501" s="55"/>
    </row>
    <row r="502" ht="15.75" customHeight="1">
      <c r="A502" s="53">
        <f t="shared" si="1"/>
        <v>497</v>
      </c>
      <c r="B502" s="55" t="s">
        <v>366</v>
      </c>
      <c r="C502" s="41">
        <v>45700.0</v>
      </c>
      <c r="D502" s="42" t="s">
        <v>249</v>
      </c>
      <c r="E502" s="42" t="s">
        <v>81</v>
      </c>
      <c r="F502" s="42" t="str">
        <f>+IFERROR(VLOOKUP(E502,'DANH MỤC'!$C:$H,2,0),"")</f>
        <v>Lưỡi gà trắng 71mm x 800m x 210gsm</v>
      </c>
      <c r="G502" s="42" t="str">
        <f>+IFERROR(VLOOKUP(E502,'DANH MỤC'!$C:$H,6,0),"")</f>
        <v>Cuộn</v>
      </c>
      <c r="H502" s="42">
        <f>+IFERROR(VLOOKUP(E502,'DANH MỤC'!$C:$H,3,0),"")</f>
        <v>210</v>
      </c>
      <c r="I502" s="42">
        <f>+IFERROR(VLOOKUP(E502,'DANH MỤC'!$C:$H,4,0),"")</f>
        <v>71</v>
      </c>
      <c r="J502" s="42">
        <f>+IFERROR(VLOOKUP(E502,'DANH MỤC'!$C:$H,5,0),"")</f>
        <v>800</v>
      </c>
      <c r="K502" s="53">
        <v>22.0</v>
      </c>
      <c r="L502" s="58"/>
      <c r="M502" s="55"/>
      <c r="N502" s="55"/>
    </row>
    <row r="503" ht="15.75" customHeight="1">
      <c r="A503" s="53">
        <f t="shared" si="1"/>
        <v>498</v>
      </c>
      <c r="B503" s="55" t="s">
        <v>366</v>
      </c>
      <c r="C503" s="41">
        <v>45700.0</v>
      </c>
      <c r="D503" s="42" t="s">
        <v>463</v>
      </c>
      <c r="E503" s="42" t="s">
        <v>127</v>
      </c>
      <c r="F503" s="42" t="str">
        <f>+IFERROR(VLOOKUP(E503,'DANH MỤC'!$C:$H,2,0),"")</f>
        <v>Pallet gỗ 1100x1100x130mm</v>
      </c>
      <c r="G503" s="42" t="str">
        <f>+IFERROR(VLOOKUP(E503,'DANH MỤC'!$C:$H,6,0),"")</f>
        <v>Bộ</v>
      </c>
      <c r="H503" s="42">
        <f>+IFERROR(VLOOKUP(E503,'DANH MỤC'!$C:$H,3,0),"")</f>
        <v>1100</v>
      </c>
      <c r="I503" s="42">
        <f>+IFERROR(VLOOKUP(E503,'DANH MỤC'!$C:$H,4,0),"")</f>
        <v>1100</v>
      </c>
      <c r="J503" s="42">
        <f>+IFERROR(VLOOKUP(E503,'DANH MỤC'!$C:$H,5,0),"")</f>
        <v>130</v>
      </c>
      <c r="K503" s="53"/>
      <c r="L503" s="58">
        <v>1.0</v>
      </c>
      <c r="M503" s="55"/>
      <c r="N503" s="55"/>
    </row>
    <row r="504" ht="15.75" customHeight="1">
      <c r="A504" s="53">
        <f t="shared" si="1"/>
        <v>499</v>
      </c>
      <c r="B504" s="55" t="s">
        <v>366</v>
      </c>
      <c r="C504" s="41">
        <v>45700.0</v>
      </c>
      <c r="D504" s="42" t="s">
        <v>463</v>
      </c>
      <c r="E504" s="42" t="s">
        <v>184</v>
      </c>
      <c r="F504" s="42" t="str">
        <f>+IFERROR(VLOOKUP(E504,'DANH MỤC'!$C:$H,2,0),"")</f>
        <v>Ống lõi giấy phi 120x7x95mm</v>
      </c>
      <c r="G504" s="42" t="str">
        <f>+IFERROR(VLOOKUP(E504,'DANH MỤC'!$C:$H,6,0),"")</f>
        <v>Cái</v>
      </c>
      <c r="H504" s="42">
        <f>+IFERROR(VLOOKUP(E504,'DANH MỤC'!$C:$H,3,0),"")</f>
        <v>120</v>
      </c>
      <c r="I504" s="42">
        <f>+IFERROR(VLOOKUP(E504,'DANH MỤC'!$C:$H,4,0),"")</f>
        <v>70</v>
      </c>
      <c r="J504" s="42">
        <f>+IFERROR(VLOOKUP(E504,'DANH MỤC'!$C:$H,5,0),"")</f>
        <v>95</v>
      </c>
      <c r="K504" s="53"/>
      <c r="L504" s="58">
        <v>4.0</v>
      </c>
      <c r="M504" s="55"/>
      <c r="N504" s="55"/>
    </row>
    <row r="505" ht="15.75" customHeight="1">
      <c r="A505" s="53">
        <f t="shared" si="1"/>
        <v>500</v>
      </c>
      <c r="B505" s="55" t="s">
        <v>366</v>
      </c>
      <c r="C505" s="41">
        <v>45700.0</v>
      </c>
      <c r="D505" s="42" t="s">
        <v>463</v>
      </c>
      <c r="E505" s="42" t="s">
        <v>182</v>
      </c>
      <c r="F505" s="42" t="str">
        <f>+IFERROR(VLOOKUP(E505,'DANH MỤC'!$C:$H,2,0),"")</f>
        <v>Ống lõi giấy phi 120x7x71mm</v>
      </c>
      <c r="G505" s="42" t="str">
        <f>+IFERROR(VLOOKUP(E505,'DANH MỤC'!$C:$H,6,0),"")</f>
        <v>Cái</v>
      </c>
      <c r="H505" s="42">
        <f>+IFERROR(VLOOKUP(E505,'DANH MỤC'!$C:$H,3,0),"")</f>
        <v>120</v>
      </c>
      <c r="I505" s="42">
        <f>+IFERROR(VLOOKUP(E505,'DANH MỤC'!$C:$H,4,0),"")</f>
        <v>70</v>
      </c>
      <c r="J505" s="42">
        <f>+IFERROR(VLOOKUP(E505,'DANH MỤC'!$C:$H,5,0),"")</f>
        <v>71</v>
      </c>
      <c r="K505" s="53"/>
      <c r="L505" s="58">
        <v>22.0</v>
      </c>
      <c r="M505" s="55"/>
      <c r="N505" s="55"/>
    </row>
    <row r="506" ht="15.75" customHeight="1">
      <c r="A506" s="53">
        <f t="shared" si="1"/>
        <v>501</v>
      </c>
      <c r="B506" s="55" t="s">
        <v>366</v>
      </c>
      <c r="C506" s="41">
        <v>45700.0</v>
      </c>
      <c r="D506" s="42" t="s">
        <v>463</v>
      </c>
      <c r="E506" s="42" t="s">
        <v>156</v>
      </c>
      <c r="F506" s="42" t="str">
        <f>+IFERROR(VLOOKUP(E506,'DANH MỤC'!$C:$H,2,0),"")</f>
        <v>Nẹp gỗ pallet dài 1.15m</v>
      </c>
      <c r="G506" s="42" t="str">
        <f>+IFERROR(VLOOKUP(E506,'DANH MỤC'!$C:$H,6,0),"")</f>
        <v>Cái</v>
      </c>
      <c r="H506" s="42" t="str">
        <f>+IFERROR(VLOOKUP(E506,'DANH MỤC'!$C:$H,3,0),"")</f>
        <v/>
      </c>
      <c r="I506" s="42" t="str">
        <f>+IFERROR(VLOOKUP(E506,'DANH MỤC'!$C:$H,4,0),"")</f>
        <v/>
      </c>
      <c r="J506" s="42">
        <f>+IFERROR(VLOOKUP(E506,'DANH MỤC'!$C:$H,5,0),"")</f>
        <v>1150</v>
      </c>
      <c r="K506" s="53"/>
      <c r="L506" s="58">
        <v>4.0</v>
      </c>
      <c r="M506" s="55"/>
      <c r="N506" s="55"/>
    </row>
    <row r="507" ht="15.75" customHeight="1">
      <c r="A507" s="53">
        <f t="shared" si="1"/>
        <v>502</v>
      </c>
      <c r="B507" s="55" t="s">
        <v>366</v>
      </c>
      <c r="C507" s="41">
        <v>45701.0</v>
      </c>
      <c r="D507" s="42" t="s">
        <v>249</v>
      </c>
      <c r="E507" s="42" t="s">
        <v>104</v>
      </c>
      <c r="F507" s="42" t="str">
        <f>+IFERROR(VLOOKUP(E507,'DANH MỤC'!$C:$H,2,0),"")</f>
        <v>Lưỡi gà trắng 95mm x 800m x 210gsm</v>
      </c>
      <c r="G507" s="42" t="str">
        <f>+IFERROR(VLOOKUP(E507,'DANH MỤC'!$C:$H,6,0),"")</f>
        <v>Cuộn</v>
      </c>
      <c r="H507" s="42">
        <f>+IFERROR(VLOOKUP(E507,'DANH MỤC'!$C:$H,3,0),"")</f>
        <v>210</v>
      </c>
      <c r="I507" s="42">
        <f>+IFERROR(VLOOKUP(E507,'DANH MỤC'!$C:$H,4,0),"")</f>
        <v>95</v>
      </c>
      <c r="J507" s="42">
        <f>+IFERROR(VLOOKUP(E507,'DANH MỤC'!$C:$H,5,0),"")</f>
        <v>800</v>
      </c>
      <c r="K507" s="53">
        <v>36.0</v>
      </c>
      <c r="L507" s="58"/>
      <c r="M507" s="55"/>
      <c r="N507" s="55"/>
    </row>
    <row r="508" ht="15.75" customHeight="1">
      <c r="A508" s="53">
        <f t="shared" si="1"/>
        <v>503</v>
      </c>
      <c r="B508" s="55" t="s">
        <v>366</v>
      </c>
      <c r="C508" s="41">
        <v>45701.0</v>
      </c>
      <c r="D508" s="42" t="s">
        <v>249</v>
      </c>
      <c r="E508" s="42" t="s">
        <v>81</v>
      </c>
      <c r="F508" s="42" t="str">
        <f>+IFERROR(VLOOKUP(E508,'DANH MỤC'!$C:$H,2,0),"")</f>
        <v>Lưỡi gà trắng 71mm x 800m x 210gsm</v>
      </c>
      <c r="G508" s="42" t="str">
        <f>+IFERROR(VLOOKUP(E508,'DANH MỤC'!$C:$H,6,0),"")</f>
        <v>Cuộn</v>
      </c>
      <c r="H508" s="42">
        <f>+IFERROR(VLOOKUP(E508,'DANH MỤC'!$C:$H,3,0),"")</f>
        <v>210</v>
      </c>
      <c r="I508" s="42">
        <f>+IFERROR(VLOOKUP(E508,'DANH MỤC'!$C:$H,4,0),"")</f>
        <v>71</v>
      </c>
      <c r="J508" s="42">
        <f>+IFERROR(VLOOKUP(E508,'DANH MỤC'!$C:$H,5,0),"")</f>
        <v>800</v>
      </c>
      <c r="K508" s="53">
        <v>132.0</v>
      </c>
      <c r="L508" s="58"/>
      <c r="M508" s="55"/>
      <c r="N508" s="55"/>
    </row>
    <row r="509" ht="15.75" customHeight="1">
      <c r="A509" s="53">
        <f t="shared" si="1"/>
        <v>504</v>
      </c>
      <c r="B509" s="55" t="s">
        <v>366</v>
      </c>
      <c r="C509" s="41">
        <v>45701.0</v>
      </c>
      <c r="D509" s="42" t="s">
        <v>463</v>
      </c>
      <c r="E509" s="42" t="s">
        <v>127</v>
      </c>
      <c r="F509" s="42" t="str">
        <f>+IFERROR(VLOOKUP(E509,'DANH MỤC'!$C:$H,2,0),"")</f>
        <v>Pallet gỗ 1100x1100x130mm</v>
      </c>
      <c r="G509" s="42" t="str">
        <f>+IFERROR(VLOOKUP(E509,'DANH MỤC'!$C:$H,6,0),"")</f>
        <v>Bộ</v>
      </c>
      <c r="H509" s="42">
        <f>+IFERROR(VLOOKUP(E509,'DANH MỤC'!$C:$H,3,0),"")</f>
        <v>1100</v>
      </c>
      <c r="I509" s="42">
        <f>+IFERROR(VLOOKUP(E509,'DANH MỤC'!$C:$H,4,0),"")</f>
        <v>1100</v>
      </c>
      <c r="J509" s="42">
        <f>+IFERROR(VLOOKUP(E509,'DANH MỤC'!$C:$H,5,0),"")</f>
        <v>130</v>
      </c>
      <c r="K509" s="53"/>
      <c r="L509" s="58">
        <v>2.0</v>
      </c>
      <c r="M509" s="55"/>
      <c r="N509" s="55"/>
    </row>
    <row r="510" ht="15.75" customHeight="1">
      <c r="A510" s="53">
        <f t="shared" si="1"/>
        <v>505</v>
      </c>
      <c r="B510" s="55" t="s">
        <v>366</v>
      </c>
      <c r="C510" s="41">
        <v>45701.0</v>
      </c>
      <c r="D510" s="42" t="s">
        <v>463</v>
      </c>
      <c r="E510" s="42" t="s">
        <v>184</v>
      </c>
      <c r="F510" s="42" t="str">
        <f>+IFERROR(VLOOKUP(E510,'DANH MỤC'!$C:$H,2,0),"")</f>
        <v>Ống lõi giấy phi 120x7x95mm</v>
      </c>
      <c r="G510" s="42" t="str">
        <f>+IFERROR(VLOOKUP(E510,'DANH MỤC'!$C:$H,6,0),"")</f>
        <v>Cái</v>
      </c>
      <c r="H510" s="42">
        <f>+IFERROR(VLOOKUP(E510,'DANH MỤC'!$C:$H,3,0),"")</f>
        <v>120</v>
      </c>
      <c r="I510" s="42">
        <f>+IFERROR(VLOOKUP(E510,'DANH MỤC'!$C:$H,4,0),"")</f>
        <v>70</v>
      </c>
      <c r="J510" s="42">
        <f>+IFERROR(VLOOKUP(E510,'DANH MỤC'!$C:$H,5,0),"")</f>
        <v>95</v>
      </c>
      <c r="K510" s="53"/>
      <c r="L510" s="58">
        <v>36.0</v>
      </c>
      <c r="M510" s="55"/>
      <c r="N510" s="55"/>
    </row>
    <row r="511" ht="15.75" customHeight="1">
      <c r="A511" s="53">
        <f t="shared" si="1"/>
        <v>506</v>
      </c>
      <c r="B511" s="55" t="s">
        <v>366</v>
      </c>
      <c r="C511" s="41">
        <v>45701.0</v>
      </c>
      <c r="D511" s="42" t="s">
        <v>463</v>
      </c>
      <c r="E511" s="42" t="s">
        <v>182</v>
      </c>
      <c r="F511" s="42" t="str">
        <f>+IFERROR(VLOOKUP(E511,'DANH MỤC'!$C:$H,2,0),"")</f>
        <v>Ống lõi giấy phi 120x7x71mm</v>
      </c>
      <c r="G511" s="42" t="str">
        <f>+IFERROR(VLOOKUP(E511,'DANH MỤC'!$C:$H,6,0),"")</f>
        <v>Cái</v>
      </c>
      <c r="H511" s="42">
        <f>+IFERROR(VLOOKUP(E511,'DANH MỤC'!$C:$H,3,0),"")</f>
        <v>120</v>
      </c>
      <c r="I511" s="42">
        <f>+IFERROR(VLOOKUP(E511,'DANH MỤC'!$C:$H,4,0),"")</f>
        <v>70</v>
      </c>
      <c r="J511" s="42">
        <f>+IFERROR(VLOOKUP(E511,'DANH MỤC'!$C:$H,5,0),"")</f>
        <v>71</v>
      </c>
      <c r="K511" s="53"/>
      <c r="L511" s="58">
        <v>134.0</v>
      </c>
      <c r="M511" s="55"/>
      <c r="N511" s="55"/>
    </row>
    <row r="512" ht="15.75" customHeight="1">
      <c r="A512" s="53">
        <f t="shared" si="1"/>
        <v>507</v>
      </c>
      <c r="B512" s="55" t="s">
        <v>366</v>
      </c>
      <c r="C512" s="41">
        <v>45702.0</v>
      </c>
      <c r="D512" s="42" t="s">
        <v>249</v>
      </c>
      <c r="E512" s="42" t="s">
        <v>104</v>
      </c>
      <c r="F512" s="42" t="str">
        <f>+IFERROR(VLOOKUP(E512,'DANH MỤC'!$C:$H,2,0),"")</f>
        <v>Lưỡi gà trắng 95mm x 800m x 210gsm</v>
      </c>
      <c r="G512" s="42" t="str">
        <f>+IFERROR(VLOOKUP(E512,'DANH MỤC'!$C:$H,6,0),"")</f>
        <v>Cuộn</v>
      </c>
      <c r="H512" s="42">
        <f>+IFERROR(VLOOKUP(E512,'DANH MỤC'!$C:$H,3,0),"")</f>
        <v>210</v>
      </c>
      <c r="I512" s="42">
        <f>+IFERROR(VLOOKUP(E512,'DANH MỤC'!$C:$H,4,0),"")</f>
        <v>95</v>
      </c>
      <c r="J512" s="42">
        <f>+IFERROR(VLOOKUP(E512,'DANH MỤC'!$C:$H,5,0),"")</f>
        <v>800</v>
      </c>
      <c r="K512" s="53">
        <v>36.0</v>
      </c>
      <c r="L512" s="58"/>
      <c r="M512" s="55"/>
      <c r="N512" s="55"/>
    </row>
    <row r="513" ht="15.75" customHeight="1">
      <c r="A513" s="53">
        <f t="shared" si="1"/>
        <v>508</v>
      </c>
      <c r="B513" s="55" t="s">
        <v>366</v>
      </c>
      <c r="C513" s="41">
        <v>45702.0</v>
      </c>
      <c r="D513" s="42" t="s">
        <v>249</v>
      </c>
      <c r="E513" s="42" t="s">
        <v>81</v>
      </c>
      <c r="F513" s="42" t="str">
        <f>+IFERROR(VLOOKUP(E513,'DANH MỤC'!$C:$H,2,0),"")</f>
        <v>Lưỡi gà trắng 71mm x 800m x 210gsm</v>
      </c>
      <c r="G513" s="42" t="str">
        <f>+IFERROR(VLOOKUP(E513,'DANH MỤC'!$C:$H,6,0),"")</f>
        <v>Cuộn</v>
      </c>
      <c r="H513" s="42">
        <f>+IFERROR(VLOOKUP(E513,'DANH MỤC'!$C:$H,3,0),"")</f>
        <v>210</v>
      </c>
      <c r="I513" s="42">
        <f>+IFERROR(VLOOKUP(E513,'DANH MỤC'!$C:$H,4,0),"")</f>
        <v>71</v>
      </c>
      <c r="J513" s="42">
        <f>+IFERROR(VLOOKUP(E513,'DANH MỤC'!$C:$H,5,0),"")</f>
        <v>800</v>
      </c>
      <c r="K513" s="53">
        <v>132.0</v>
      </c>
      <c r="L513" s="58"/>
      <c r="M513" s="55"/>
      <c r="N513" s="55"/>
    </row>
    <row r="514" ht="15.75" customHeight="1">
      <c r="A514" s="53">
        <f t="shared" si="1"/>
        <v>509</v>
      </c>
      <c r="B514" s="55" t="s">
        <v>366</v>
      </c>
      <c r="C514" s="41">
        <v>45702.0</v>
      </c>
      <c r="D514" s="42" t="s">
        <v>463</v>
      </c>
      <c r="E514" s="42" t="s">
        <v>127</v>
      </c>
      <c r="F514" s="42" t="str">
        <f>+IFERROR(VLOOKUP(E514,'DANH MỤC'!$C:$H,2,0),"")</f>
        <v>Pallet gỗ 1100x1100x130mm</v>
      </c>
      <c r="G514" s="42" t="str">
        <f>+IFERROR(VLOOKUP(E514,'DANH MỤC'!$C:$H,6,0),"")</f>
        <v>Bộ</v>
      </c>
      <c r="H514" s="42">
        <f>+IFERROR(VLOOKUP(E514,'DANH MỤC'!$C:$H,3,0),"")</f>
        <v>1100</v>
      </c>
      <c r="I514" s="42">
        <f>+IFERROR(VLOOKUP(E514,'DANH MỤC'!$C:$H,4,0),"")</f>
        <v>1100</v>
      </c>
      <c r="J514" s="42">
        <f>+IFERROR(VLOOKUP(E514,'DANH MỤC'!$C:$H,5,0),"")</f>
        <v>130</v>
      </c>
      <c r="K514" s="53"/>
      <c r="L514" s="58">
        <v>4.0</v>
      </c>
      <c r="M514" s="55"/>
      <c r="N514" s="55"/>
    </row>
    <row r="515" ht="15.75" customHeight="1">
      <c r="A515" s="53">
        <f t="shared" si="1"/>
        <v>510</v>
      </c>
      <c r="B515" s="55" t="s">
        <v>366</v>
      </c>
      <c r="C515" s="41">
        <v>45702.0</v>
      </c>
      <c r="D515" s="42" t="s">
        <v>463</v>
      </c>
      <c r="E515" s="42" t="s">
        <v>184</v>
      </c>
      <c r="F515" s="42" t="str">
        <f>+IFERROR(VLOOKUP(E515,'DANH MỤC'!$C:$H,2,0),"")</f>
        <v>Ống lõi giấy phi 120x7x95mm</v>
      </c>
      <c r="G515" s="42" t="str">
        <f>+IFERROR(VLOOKUP(E515,'DANH MỤC'!$C:$H,6,0),"")</f>
        <v>Cái</v>
      </c>
      <c r="H515" s="42">
        <f>+IFERROR(VLOOKUP(E515,'DANH MỤC'!$C:$H,3,0),"")</f>
        <v>120</v>
      </c>
      <c r="I515" s="42">
        <f>+IFERROR(VLOOKUP(E515,'DANH MỤC'!$C:$H,4,0),"")</f>
        <v>70</v>
      </c>
      <c r="J515" s="42">
        <f>+IFERROR(VLOOKUP(E515,'DANH MỤC'!$C:$H,5,0),"")</f>
        <v>95</v>
      </c>
      <c r="K515" s="53"/>
      <c r="L515" s="58">
        <v>38.0</v>
      </c>
      <c r="M515" s="55"/>
      <c r="N515" s="55"/>
    </row>
    <row r="516" ht="15.75" customHeight="1">
      <c r="A516" s="53">
        <f t="shared" si="1"/>
        <v>511</v>
      </c>
      <c r="B516" s="55" t="s">
        <v>366</v>
      </c>
      <c r="C516" s="41">
        <v>45702.0</v>
      </c>
      <c r="D516" s="42" t="s">
        <v>463</v>
      </c>
      <c r="E516" s="42" t="s">
        <v>182</v>
      </c>
      <c r="F516" s="42" t="str">
        <f>+IFERROR(VLOOKUP(E516,'DANH MỤC'!$C:$H,2,0),"")</f>
        <v>Ống lõi giấy phi 120x7x71mm</v>
      </c>
      <c r="G516" s="42" t="str">
        <f>+IFERROR(VLOOKUP(E516,'DANH MỤC'!$C:$H,6,0),"")</f>
        <v>Cái</v>
      </c>
      <c r="H516" s="42">
        <f>+IFERROR(VLOOKUP(E516,'DANH MỤC'!$C:$H,3,0),"")</f>
        <v>120</v>
      </c>
      <c r="I516" s="42">
        <f>+IFERROR(VLOOKUP(E516,'DANH MỤC'!$C:$H,4,0),"")</f>
        <v>70</v>
      </c>
      <c r="J516" s="42">
        <f>+IFERROR(VLOOKUP(E516,'DANH MỤC'!$C:$H,5,0),"")</f>
        <v>71</v>
      </c>
      <c r="K516" s="53"/>
      <c r="L516" s="58">
        <v>133.0</v>
      </c>
      <c r="M516" s="55"/>
      <c r="N516" s="55"/>
    </row>
    <row r="517" ht="15.75" customHeight="1">
      <c r="A517" s="53">
        <f t="shared" si="1"/>
        <v>512</v>
      </c>
      <c r="B517" s="55" t="s">
        <v>366</v>
      </c>
      <c r="C517" s="41">
        <v>45702.0</v>
      </c>
      <c r="D517" s="42" t="s">
        <v>463</v>
      </c>
      <c r="E517" s="42" t="s">
        <v>156</v>
      </c>
      <c r="F517" s="42" t="str">
        <f>+IFERROR(VLOOKUP(E517,'DANH MỤC'!$C:$H,2,0),"")</f>
        <v>Nẹp gỗ pallet dài 1.15m</v>
      </c>
      <c r="G517" s="42" t="str">
        <f>+IFERROR(VLOOKUP(E517,'DANH MỤC'!$C:$H,6,0),"")</f>
        <v>Cái</v>
      </c>
      <c r="H517" s="42" t="str">
        <f>+IFERROR(VLOOKUP(E517,'DANH MỤC'!$C:$H,3,0),"")</f>
        <v/>
      </c>
      <c r="I517" s="42" t="str">
        <f>+IFERROR(VLOOKUP(E517,'DANH MỤC'!$C:$H,4,0),"")</f>
        <v/>
      </c>
      <c r="J517" s="42">
        <f>+IFERROR(VLOOKUP(E517,'DANH MỤC'!$C:$H,5,0),"")</f>
        <v>1150</v>
      </c>
      <c r="K517" s="53"/>
      <c r="L517" s="58">
        <v>4.0</v>
      </c>
      <c r="M517" s="55"/>
      <c r="N517" s="55"/>
    </row>
    <row r="518" ht="15.75" customHeight="1">
      <c r="A518" s="53">
        <f t="shared" si="1"/>
        <v>513</v>
      </c>
      <c r="B518" s="55" t="s">
        <v>366</v>
      </c>
      <c r="C518" s="41">
        <v>45703.0</v>
      </c>
      <c r="D518" s="42" t="s">
        <v>463</v>
      </c>
      <c r="E518" s="42" t="s">
        <v>127</v>
      </c>
      <c r="F518" s="42" t="str">
        <f>+IFERROR(VLOOKUP(E518,'DANH MỤC'!$C:$H,2,0),"")</f>
        <v>Pallet gỗ 1100x1100x130mm</v>
      </c>
      <c r="G518" s="42" t="str">
        <f>+IFERROR(VLOOKUP(E518,'DANH MỤC'!$C:$H,6,0),"")</f>
        <v>Bộ</v>
      </c>
      <c r="H518" s="42">
        <f>+IFERROR(VLOOKUP(E518,'DANH MỤC'!$C:$H,3,0),"")</f>
        <v>1100</v>
      </c>
      <c r="I518" s="42">
        <f>+IFERROR(VLOOKUP(E518,'DANH MỤC'!$C:$H,4,0),"")</f>
        <v>1100</v>
      </c>
      <c r="J518" s="42">
        <f>+IFERROR(VLOOKUP(E518,'DANH MỤC'!$C:$H,5,0),"")</f>
        <v>130</v>
      </c>
      <c r="K518" s="53"/>
      <c r="L518" s="58">
        <v>1.0</v>
      </c>
      <c r="M518" s="55"/>
      <c r="N518" s="55"/>
    </row>
    <row r="519" ht="15.75" customHeight="1">
      <c r="A519" s="53">
        <f t="shared" si="1"/>
        <v>514</v>
      </c>
      <c r="B519" s="55" t="s">
        <v>366</v>
      </c>
      <c r="C519" s="41">
        <v>45703.0</v>
      </c>
      <c r="D519" s="42" t="s">
        <v>463</v>
      </c>
      <c r="E519" s="42" t="s">
        <v>184</v>
      </c>
      <c r="F519" s="42" t="str">
        <f>+IFERROR(VLOOKUP(E519,'DANH MỤC'!$C:$H,2,0),"")</f>
        <v>Ống lõi giấy phi 120x7x95mm</v>
      </c>
      <c r="G519" s="42" t="str">
        <f>+IFERROR(VLOOKUP(E519,'DANH MỤC'!$C:$H,6,0),"")</f>
        <v>Cái</v>
      </c>
      <c r="H519" s="42">
        <f>+IFERROR(VLOOKUP(E519,'DANH MỤC'!$C:$H,3,0),"")</f>
        <v>120</v>
      </c>
      <c r="I519" s="42">
        <f>+IFERROR(VLOOKUP(E519,'DANH MỤC'!$C:$H,4,0),"")</f>
        <v>70</v>
      </c>
      <c r="J519" s="42">
        <f>+IFERROR(VLOOKUP(E519,'DANH MỤC'!$C:$H,5,0),"")</f>
        <v>95</v>
      </c>
      <c r="K519" s="53"/>
      <c r="L519" s="58">
        <v>18.0</v>
      </c>
      <c r="M519" s="55"/>
      <c r="N519" s="55"/>
    </row>
    <row r="520" ht="15.75" customHeight="1">
      <c r="A520" s="53">
        <f t="shared" si="1"/>
        <v>515</v>
      </c>
      <c r="B520" s="55" t="s">
        <v>366</v>
      </c>
      <c r="C520" s="41">
        <v>45703.0</v>
      </c>
      <c r="D520" s="42" t="s">
        <v>463</v>
      </c>
      <c r="E520" s="42" t="s">
        <v>182</v>
      </c>
      <c r="F520" s="42" t="str">
        <f>+IFERROR(VLOOKUP(E520,'DANH MỤC'!$C:$H,2,0),"")</f>
        <v>Ống lõi giấy phi 120x7x71mm</v>
      </c>
      <c r="G520" s="42" t="str">
        <f>+IFERROR(VLOOKUP(E520,'DANH MỤC'!$C:$H,6,0),"")</f>
        <v>Cái</v>
      </c>
      <c r="H520" s="42">
        <f>+IFERROR(VLOOKUP(E520,'DANH MỤC'!$C:$H,3,0),"")</f>
        <v>120</v>
      </c>
      <c r="I520" s="42">
        <f>+IFERROR(VLOOKUP(E520,'DANH MỤC'!$C:$H,4,0),"")</f>
        <v>70</v>
      </c>
      <c r="J520" s="42">
        <f>+IFERROR(VLOOKUP(E520,'DANH MỤC'!$C:$H,5,0),"")</f>
        <v>71</v>
      </c>
      <c r="K520" s="53"/>
      <c r="L520" s="58">
        <v>66.0</v>
      </c>
      <c r="M520" s="55"/>
      <c r="N520" s="55"/>
    </row>
    <row r="521" ht="15.75" customHeight="1">
      <c r="A521" s="53">
        <f t="shared" si="1"/>
        <v>516</v>
      </c>
      <c r="B521" s="55" t="s">
        <v>366</v>
      </c>
      <c r="C521" s="41">
        <v>45703.0</v>
      </c>
      <c r="D521" s="42" t="s">
        <v>249</v>
      </c>
      <c r="E521" s="42" t="s">
        <v>104</v>
      </c>
      <c r="F521" s="42" t="str">
        <f>+IFERROR(VLOOKUP(E521,'DANH MỤC'!$C:$H,2,0),"")</f>
        <v>Lưỡi gà trắng 95mm x 800m x 210gsm</v>
      </c>
      <c r="G521" s="42" t="str">
        <f>+IFERROR(VLOOKUP(E521,'DANH MỤC'!$C:$H,6,0),"")</f>
        <v>Cuộn</v>
      </c>
      <c r="H521" s="42">
        <f>+IFERROR(VLOOKUP(E521,'DANH MỤC'!$C:$H,3,0),"")</f>
        <v>210</v>
      </c>
      <c r="I521" s="42">
        <f>+IFERROR(VLOOKUP(E521,'DANH MỤC'!$C:$H,4,0),"")</f>
        <v>95</v>
      </c>
      <c r="J521" s="42">
        <f>+IFERROR(VLOOKUP(E521,'DANH MỤC'!$C:$H,5,0),"")</f>
        <v>800</v>
      </c>
      <c r="K521" s="53">
        <v>18.0</v>
      </c>
      <c r="L521" s="58"/>
      <c r="M521" s="55"/>
      <c r="N521" s="55"/>
    </row>
    <row r="522" ht="15.75" customHeight="1">
      <c r="A522" s="53">
        <f t="shared" si="1"/>
        <v>517</v>
      </c>
      <c r="B522" s="55" t="s">
        <v>366</v>
      </c>
      <c r="C522" s="41">
        <v>45703.0</v>
      </c>
      <c r="D522" s="42" t="s">
        <v>249</v>
      </c>
      <c r="E522" s="42" t="s">
        <v>81</v>
      </c>
      <c r="F522" s="42" t="str">
        <f>+IFERROR(VLOOKUP(E522,'DANH MỤC'!$C:$H,2,0),"")</f>
        <v>Lưỡi gà trắng 71mm x 800m x 210gsm</v>
      </c>
      <c r="G522" s="42" t="str">
        <f>+IFERROR(VLOOKUP(E522,'DANH MỤC'!$C:$H,6,0),"")</f>
        <v>Cuộn</v>
      </c>
      <c r="H522" s="42">
        <f>+IFERROR(VLOOKUP(E522,'DANH MỤC'!$C:$H,3,0),"")</f>
        <v>210</v>
      </c>
      <c r="I522" s="42">
        <f>+IFERROR(VLOOKUP(E522,'DANH MỤC'!$C:$H,4,0),"")</f>
        <v>71</v>
      </c>
      <c r="J522" s="42">
        <f>+IFERROR(VLOOKUP(E522,'DANH MỤC'!$C:$H,5,0),"")</f>
        <v>800</v>
      </c>
      <c r="K522" s="53">
        <v>66.0</v>
      </c>
      <c r="L522" s="58"/>
      <c r="M522" s="55"/>
      <c r="N522" s="55"/>
    </row>
    <row r="523" ht="15.75" customHeight="1">
      <c r="A523" s="53">
        <f t="shared" si="1"/>
        <v>518</v>
      </c>
      <c r="B523" s="55" t="s">
        <v>366</v>
      </c>
      <c r="C523" s="41">
        <v>45705.0</v>
      </c>
      <c r="D523" s="42" t="s">
        <v>463</v>
      </c>
      <c r="E523" s="42" t="s">
        <v>127</v>
      </c>
      <c r="F523" s="42" t="str">
        <f>+IFERROR(VLOOKUP(E523,'DANH MỤC'!$C:$H,2,0),"")</f>
        <v>Pallet gỗ 1100x1100x130mm</v>
      </c>
      <c r="G523" s="42" t="str">
        <f>+IFERROR(VLOOKUP(E523,'DANH MỤC'!$C:$H,6,0),"")</f>
        <v>Bộ</v>
      </c>
      <c r="H523" s="42">
        <f>+IFERROR(VLOOKUP(E523,'DANH MỤC'!$C:$H,3,0),"")</f>
        <v>1100</v>
      </c>
      <c r="I523" s="42">
        <f>+IFERROR(VLOOKUP(E523,'DANH MỤC'!$C:$H,4,0),"")</f>
        <v>1100</v>
      </c>
      <c r="J523" s="42">
        <f>+IFERROR(VLOOKUP(E523,'DANH MỤC'!$C:$H,5,0),"")</f>
        <v>130</v>
      </c>
      <c r="K523" s="53"/>
      <c r="L523" s="58">
        <v>3.0</v>
      </c>
      <c r="M523" s="55"/>
      <c r="N523" s="55"/>
    </row>
    <row r="524" ht="15.75" customHeight="1">
      <c r="A524" s="53">
        <f t="shared" si="1"/>
        <v>519</v>
      </c>
      <c r="B524" s="55" t="s">
        <v>366</v>
      </c>
      <c r="C524" s="41">
        <v>45705.0</v>
      </c>
      <c r="D524" s="42" t="s">
        <v>463</v>
      </c>
      <c r="E524" s="42" t="s">
        <v>184</v>
      </c>
      <c r="F524" s="42" t="str">
        <f>+IFERROR(VLOOKUP(E524,'DANH MỤC'!$C:$H,2,0),"")</f>
        <v>Ống lõi giấy phi 120x7x95mm</v>
      </c>
      <c r="G524" s="42" t="str">
        <f>+IFERROR(VLOOKUP(E524,'DANH MỤC'!$C:$H,6,0),"")</f>
        <v>Cái</v>
      </c>
      <c r="H524" s="42">
        <f>+IFERROR(VLOOKUP(E524,'DANH MỤC'!$C:$H,3,0),"")</f>
        <v>120</v>
      </c>
      <c r="I524" s="42">
        <f>+IFERROR(VLOOKUP(E524,'DANH MỤC'!$C:$H,4,0),"")</f>
        <v>70</v>
      </c>
      <c r="J524" s="42">
        <f>+IFERROR(VLOOKUP(E524,'DANH MỤC'!$C:$H,5,0),"")</f>
        <v>95</v>
      </c>
      <c r="K524" s="53"/>
      <c r="L524" s="58">
        <v>36.0</v>
      </c>
      <c r="M524" s="55"/>
      <c r="N524" s="55"/>
    </row>
    <row r="525" ht="15.75" customHeight="1">
      <c r="A525" s="53">
        <f t="shared" si="1"/>
        <v>520</v>
      </c>
      <c r="B525" s="55" t="s">
        <v>366</v>
      </c>
      <c r="C525" s="41">
        <v>45705.0</v>
      </c>
      <c r="D525" s="42" t="s">
        <v>463</v>
      </c>
      <c r="E525" s="42" t="s">
        <v>182</v>
      </c>
      <c r="F525" s="42" t="str">
        <f>+IFERROR(VLOOKUP(E525,'DANH MỤC'!$C:$H,2,0),"")</f>
        <v>Ống lõi giấy phi 120x7x71mm</v>
      </c>
      <c r="G525" s="42" t="str">
        <f>+IFERROR(VLOOKUP(E525,'DANH MỤC'!$C:$H,6,0),"")</f>
        <v>Cái</v>
      </c>
      <c r="H525" s="42">
        <f>+IFERROR(VLOOKUP(E525,'DANH MỤC'!$C:$H,3,0),"")</f>
        <v>120</v>
      </c>
      <c r="I525" s="42">
        <f>+IFERROR(VLOOKUP(E525,'DANH MỤC'!$C:$H,4,0),"")</f>
        <v>70</v>
      </c>
      <c r="J525" s="42">
        <f>+IFERROR(VLOOKUP(E525,'DANH MỤC'!$C:$H,5,0),"")</f>
        <v>71</v>
      </c>
      <c r="K525" s="53"/>
      <c r="L525" s="58">
        <v>134.0</v>
      </c>
      <c r="M525" s="55"/>
      <c r="N525" s="55"/>
    </row>
    <row r="526" ht="15.75" customHeight="1">
      <c r="A526" s="53">
        <f t="shared" si="1"/>
        <v>521</v>
      </c>
      <c r="B526" s="55" t="s">
        <v>366</v>
      </c>
      <c r="C526" s="41">
        <v>45705.0</v>
      </c>
      <c r="D526" s="42" t="s">
        <v>463</v>
      </c>
      <c r="E526" s="42" t="s">
        <v>156</v>
      </c>
      <c r="F526" s="42" t="str">
        <f>+IFERROR(VLOOKUP(E526,'DANH MỤC'!$C:$H,2,0),"")</f>
        <v>Nẹp gỗ pallet dài 1.15m</v>
      </c>
      <c r="G526" s="42" t="str">
        <f>+IFERROR(VLOOKUP(E526,'DANH MỤC'!$C:$H,6,0),"")</f>
        <v>Cái</v>
      </c>
      <c r="H526" s="42" t="str">
        <f>+IFERROR(VLOOKUP(E526,'DANH MỤC'!$C:$H,3,0),"")</f>
        <v/>
      </c>
      <c r="I526" s="42" t="str">
        <f>+IFERROR(VLOOKUP(E526,'DANH MỤC'!$C:$H,4,0),"")</f>
        <v/>
      </c>
      <c r="J526" s="42">
        <f>+IFERROR(VLOOKUP(E526,'DANH MỤC'!$C:$H,5,0),"")</f>
        <v>1150</v>
      </c>
      <c r="K526" s="53"/>
      <c r="L526" s="58">
        <v>4.0</v>
      </c>
      <c r="M526" s="55"/>
      <c r="N526" s="55"/>
    </row>
    <row r="527" ht="15.75" customHeight="1">
      <c r="A527" s="53">
        <f t="shared" si="1"/>
        <v>522</v>
      </c>
      <c r="B527" s="55" t="s">
        <v>366</v>
      </c>
      <c r="C527" s="41">
        <v>45705.0</v>
      </c>
      <c r="D527" s="42" t="s">
        <v>249</v>
      </c>
      <c r="E527" s="42" t="s">
        <v>104</v>
      </c>
      <c r="F527" s="42" t="str">
        <f>+IFERROR(VLOOKUP(E527,'DANH MỤC'!$C:$H,2,0),"")</f>
        <v>Lưỡi gà trắng 95mm x 800m x 210gsm</v>
      </c>
      <c r="G527" s="42" t="str">
        <f>+IFERROR(VLOOKUP(E527,'DANH MỤC'!$C:$H,6,0),"")</f>
        <v>Cuộn</v>
      </c>
      <c r="H527" s="42">
        <f>+IFERROR(VLOOKUP(E527,'DANH MỤC'!$C:$H,3,0),"")</f>
        <v>210</v>
      </c>
      <c r="I527" s="42">
        <f>+IFERROR(VLOOKUP(E527,'DANH MỤC'!$C:$H,4,0),"")</f>
        <v>95</v>
      </c>
      <c r="J527" s="42">
        <f>+IFERROR(VLOOKUP(E527,'DANH MỤC'!$C:$H,5,0),"")</f>
        <v>800</v>
      </c>
      <c r="K527" s="53">
        <v>36.0</v>
      </c>
      <c r="L527" s="58"/>
      <c r="M527" s="55"/>
      <c r="N527" s="55"/>
    </row>
    <row r="528" ht="15.75" customHeight="1">
      <c r="A528" s="53">
        <f t="shared" si="1"/>
        <v>523</v>
      </c>
      <c r="B528" s="55" t="s">
        <v>366</v>
      </c>
      <c r="C528" s="41">
        <v>45705.0</v>
      </c>
      <c r="D528" s="42" t="s">
        <v>249</v>
      </c>
      <c r="E528" s="42" t="s">
        <v>81</v>
      </c>
      <c r="F528" s="42" t="str">
        <f>+IFERROR(VLOOKUP(E528,'DANH MỤC'!$C:$H,2,0),"")</f>
        <v>Lưỡi gà trắng 71mm x 800m x 210gsm</v>
      </c>
      <c r="G528" s="42" t="str">
        <f>+IFERROR(VLOOKUP(E528,'DANH MỤC'!$C:$H,6,0),"")</f>
        <v>Cuộn</v>
      </c>
      <c r="H528" s="42">
        <f>+IFERROR(VLOOKUP(E528,'DANH MỤC'!$C:$H,3,0),"")</f>
        <v>210</v>
      </c>
      <c r="I528" s="42">
        <f>+IFERROR(VLOOKUP(E528,'DANH MỤC'!$C:$H,4,0),"")</f>
        <v>71</v>
      </c>
      <c r="J528" s="42">
        <f>+IFERROR(VLOOKUP(E528,'DANH MỤC'!$C:$H,5,0),"")</f>
        <v>800</v>
      </c>
      <c r="K528" s="53">
        <v>132.0</v>
      </c>
      <c r="L528" s="58"/>
      <c r="M528" s="55"/>
      <c r="N528" s="55"/>
    </row>
    <row r="529" ht="15.75" customHeight="1">
      <c r="A529" s="53">
        <f t="shared" si="1"/>
        <v>524</v>
      </c>
      <c r="B529" s="55" t="s">
        <v>366</v>
      </c>
      <c r="C529" s="41">
        <v>45706.0</v>
      </c>
      <c r="D529" s="42" t="s">
        <v>463</v>
      </c>
      <c r="E529" s="42" t="s">
        <v>127</v>
      </c>
      <c r="F529" s="42" t="str">
        <f>+IFERROR(VLOOKUP(E529,'DANH MỤC'!$C:$H,2,0),"")</f>
        <v>Pallet gỗ 1100x1100x130mm</v>
      </c>
      <c r="G529" s="42" t="str">
        <f>+IFERROR(VLOOKUP(E529,'DANH MỤC'!$C:$H,6,0),"")</f>
        <v>Bộ</v>
      </c>
      <c r="H529" s="42">
        <f>+IFERROR(VLOOKUP(E529,'DANH MỤC'!$C:$H,3,0),"")</f>
        <v>1100</v>
      </c>
      <c r="I529" s="42">
        <f>+IFERROR(VLOOKUP(E529,'DANH MỤC'!$C:$H,4,0),"")</f>
        <v>1100</v>
      </c>
      <c r="J529" s="42">
        <f>+IFERROR(VLOOKUP(E529,'DANH MỤC'!$C:$H,5,0),"")</f>
        <v>130</v>
      </c>
      <c r="K529" s="53"/>
      <c r="L529" s="58">
        <v>3.0</v>
      </c>
      <c r="M529" s="55"/>
      <c r="N529" s="55"/>
    </row>
    <row r="530" ht="15.75" customHeight="1">
      <c r="A530" s="53">
        <f t="shared" si="1"/>
        <v>525</v>
      </c>
      <c r="B530" s="55" t="s">
        <v>366</v>
      </c>
      <c r="C530" s="41">
        <v>45706.0</v>
      </c>
      <c r="D530" s="42" t="s">
        <v>463</v>
      </c>
      <c r="E530" s="42" t="s">
        <v>184</v>
      </c>
      <c r="F530" s="42" t="str">
        <f>+IFERROR(VLOOKUP(E530,'DANH MỤC'!$C:$H,2,0),"")</f>
        <v>Ống lõi giấy phi 120x7x95mm</v>
      </c>
      <c r="G530" s="42" t="str">
        <f>+IFERROR(VLOOKUP(E530,'DANH MỤC'!$C:$H,6,0),"")</f>
        <v>Cái</v>
      </c>
      <c r="H530" s="42">
        <f>+IFERROR(VLOOKUP(E530,'DANH MỤC'!$C:$H,3,0),"")</f>
        <v>120</v>
      </c>
      <c r="I530" s="42">
        <f>+IFERROR(VLOOKUP(E530,'DANH MỤC'!$C:$H,4,0),"")</f>
        <v>70</v>
      </c>
      <c r="J530" s="42">
        <f>+IFERROR(VLOOKUP(E530,'DANH MỤC'!$C:$H,5,0),"")</f>
        <v>95</v>
      </c>
      <c r="K530" s="53"/>
      <c r="L530" s="58">
        <v>36.0</v>
      </c>
      <c r="M530" s="55"/>
      <c r="N530" s="55"/>
    </row>
    <row r="531" ht="15.75" customHeight="1">
      <c r="A531" s="53">
        <f t="shared" si="1"/>
        <v>526</v>
      </c>
      <c r="B531" s="55" t="s">
        <v>366</v>
      </c>
      <c r="C531" s="41">
        <v>45706.0</v>
      </c>
      <c r="D531" s="42" t="s">
        <v>463</v>
      </c>
      <c r="E531" s="42" t="s">
        <v>182</v>
      </c>
      <c r="F531" s="42" t="str">
        <f>+IFERROR(VLOOKUP(E531,'DANH MỤC'!$C:$H,2,0),"")</f>
        <v>Ống lõi giấy phi 120x7x71mm</v>
      </c>
      <c r="G531" s="42" t="str">
        <f>+IFERROR(VLOOKUP(E531,'DANH MỤC'!$C:$H,6,0),"")</f>
        <v>Cái</v>
      </c>
      <c r="H531" s="42">
        <f>+IFERROR(VLOOKUP(E531,'DANH MỤC'!$C:$H,3,0),"")</f>
        <v>120</v>
      </c>
      <c r="I531" s="42">
        <f>+IFERROR(VLOOKUP(E531,'DANH MỤC'!$C:$H,4,0),"")</f>
        <v>70</v>
      </c>
      <c r="J531" s="42">
        <f>+IFERROR(VLOOKUP(E531,'DANH MỤC'!$C:$H,5,0),"")</f>
        <v>71</v>
      </c>
      <c r="K531" s="53"/>
      <c r="L531" s="58">
        <v>132.0</v>
      </c>
      <c r="M531" s="55"/>
      <c r="N531" s="55"/>
    </row>
    <row r="532" ht="15.75" customHeight="1">
      <c r="A532" s="53">
        <f t="shared" si="1"/>
        <v>527</v>
      </c>
      <c r="B532" s="55" t="s">
        <v>366</v>
      </c>
      <c r="C532" s="41">
        <v>45706.0</v>
      </c>
      <c r="D532" s="42" t="s">
        <v>249</v>
      </c>
      <c r="E532" s="42" t="s">
        <v>104</v>
      </c>
      <c r="F532" s="42" t="str">
        <f>+IFERROR(VLOOKUP(E532,'DANH MỤC'!$C:$H,2,0),"")</f>
        <v>Lưỡi gà trắng 95mm x 800m x 210gsm</v>
      </c>
      <c r="G532" s="42" t="str">
        <f>+IFERROR(VLOOKUP(E532,'DANH MỤC'!$C:$H,6,0),"")</f>
        <v>Cuộn</v>
      </c>
      <c r="H532" s="42">
        <f>+IFERROR(VLOOKUP(E532,'DANH MỤC'!$C:$H,3,0),"")</f>
        <v>210</v>
      </c>
      <c r="I532" s="42">
        <f>+IFERROR(VLOOKUP(E532,'DANH MỤC'!$C:$H,4,0),"")</f>
        <v>95</v>
      </c>
      <c r="J532" s="42">
        <f>+IFERROR(VLOOKUP(E532,'DANH MỤC'!$C:$H,5,0),"")</f>
        <v>800</v>
      </c>
      <c r="K532" s="53">
        <v>36.0</v>
      </c>
      <c r="L532" s="58"/>
      <c r="M532" s="55"/>
      <c r="N532" s="55"/>
    </row>
    <row r="533" ht="15.75" customHeight="1">
      <c r="A533" s="53">
        <f t="shared" si="1"/>
        <v>528</v>
      </c>
      <c r="B533" s="55" t="s">
        <v>366</v>
      </c>
      <c r="C533" s="41">
        <v>45706.0</v>
      </c>
      <c r="D533" s="42" t="s">
        <v>249</v>
      </c>
      <c r="E533" s="42" t="s">
        <v>81</v>
      </c>
      <c r="F533" s="42" t="str">
        <f>+IFERROR(VLOOKUP(E533,'DANH MỤC'!$C:$H,2,0),"")</f>
        <v>Lưỡi gà trắng 71mm x 800m x 210gsm</v>
      </c>
      <c r="G533" s="42" t="str">
        <f>+IFERROR(VLOOKUP(E533,'DANH MỤC'!$C:$H,6,0),"")</f>
        <v>Cuộn</v>
      </c>
      <c r="H533" s="42">
        <f>+IFERROR(VLOOKUP(E533,'DANH MỤC'!$C:$H,3,0),"")</f>
        <v>210</v>
      </c>
      <c r="I533" s="42">
        <f>+IFERROR(VLOOKUP(E533,'DANH MỤC'!$C:$H,4,0),"")</f>
        <v>71</v>
      </c>
      <c r="J533" s="42">
        <f>+IFERROR(VLOOKUP(E533,'DANH MỤC'!$C:$H,5,0),"")</f>
        <v>800</v>
      </c>
      <c r="K533" s="53">
        <v>132.0</v>
      </c>
      <c r="L533" s="58"/>
      <c r="M533" s="55"/>
      <c r="N533" s="55"/>
    </row>
    <row r="534" ht="15.75" customHeight="1">
      <c r="A534" s="53">
        <f t="shared" si="1"/>
        <v>529</v>
      </c>
      <c r="B534" s="55" t="s">
        <v>366</v>
      </c>
      <c r="C534" s="41">
        <v>45707.0</v>
      </c>
      <c r="D534" s="42" t="s">
        <v>463</v>
      </c>
      <c r="E534" s="42" t="s">
        <v>127</v>
      </c>
      <c r="F534" s="42" t="str">
        <f>+IFERROR(VLOOKUP(E534,'DANH MỤC'!$C:$H,2,0),"")</f>
        <v>Pallet gỗ 1100x1100x130mm</v>
      </c>
      <c r="G534" s="42" t="str">
        <f>+IFERROR(VLOOKUP(E534,'DANH MỤC'!$C:$H,6,0),"")</f>
        <v>Bộ</v>
      </c>
      <c r="H534" s="42">
        <f>+IFERROR(VLOOKUP(E534,'DANH MỤC'!$C:$H,3,0),"")</f>
        <v>1100</v>
      </c>
      <c r="I534" s="42">
        <f>+IFERROR(VLOOKUP(E534,'DANH MỤC'!$C:$H,4,0),"")</f>
        <v>1100</v>
      </c>
      <c r="J534" s="42">
        <f>+IFERROR(VLOOKUP(E534,'DANH MỤC'!$C:$H,5,0),"")</f>
        <v>130</v>
      </c>
      <c r="K534" s="53"/>
      <c r="L534" s="58">
        <v>2.0</v>
      </c>
      <c r="M534" s="55"/>
      <c r="N534" s="55"/>
    </row>
    <row r="535" ht="15.75" customHeight="1">
      <c r="A535" s="53">
        <f t="shared" si="1"/>
        <v>530</v>
      </c>
      <c r="B535" s="55" t="s">
        <v>366</v>
      </c>
      <c r="C535" s="41">
        <v>45707.0</v>
      </c>
      <c r="D535" s="42" t="s">
        <v>463</v>
      </c>
      <c r="E535" s="42" t="s">
        <v>184</v>
      </c>
      <c r="F535" s="42" t="str">
        <f>+IFERROR(VLOOKUP(E535,'DANH MỤC'!$C:$H,2,0),"")</f>
        <v>Ống lõi giấy phi 120x7x95mm</v>
      </c>
      <c r="G535" s="42" t="str">
        <f>+IFERROR(VLOOKUP(E535,'DANH MỤC'!$C:$H,6,0),"")</f>
        <v>Cái</v>
      </c>
      <c r="H535" s="42">
        <f>+IFERROR(VLOOKUP(E535,'DANH MỤC'!$C:$H,3,0),"")</f>
        <v>120</v>
      </c>
      <c r="I535" s="42">
        <f>+IFERROR(VLOOKUP(E535,'DANH MỤC'!$C:$H,4,0),"")</f>
        <v>70</v>
      </c>
      <c r="J535" s="42">
        <f>+IFERROR(VLOOKUP(E535,'DANH MỤC'!$C:$H,5,0),"")</f>
        <v>95</v>
      </c>
      <c r="K535" s="53"/>
      <c r="L535" s="58">
        <v>21.0</v>
      </c>
      <c r="M535" s="55"/>
      <c r="N535" s="55"/>
    </row>
    <row r="536" ht="15.75" customHeight="1">
      <c r="A536" s="53">
        <f t="shared" si="1"/>
        <v>531</v>
      </c>
      <c r="B536" s="55" t="s">
        <v>366</v>
      </c>
      <c r="C536" s="41">
        <v>45707.0</v>
      </c>
      <c r="D536" s="42" t="s">
        <v>463</v>
      </c>
      <c r="E536" s="42" t="s">
        <v>182</v>
      </c>
      <c r="F536" s="42" t="str">
        <f>+IFERROR(VLOOKUP(E536,'DANH MỤC'!$C:$H,2,0),"")</f>
        <v>Ống lõi giấy phi 120x7x71mm</v>
      </c>
      <c r="G536" s="42" t="str">
        <f>+IFERROR(VLOOKUP(E536,'DANH MỤC'!$C:$H,6,0),"")</f>
        <v>Cái</v>
      </c>
      <c r="H536" s="42">
        <f>+IFERROR(VLOOKUP(E536,'DANH MỤC'!$C:$H,3,0),"")</f>
        <v>120</v>
      </c>
      <c r="I536" s="42">
        <f>+IFERROR(VLOOKUP(E536,'DANH MỤC'!$C:$H,4,0),"")</f>
        <v>70</v>
      </c>
      <c r="J536" s="42">
        <f>+IFERROR(VLOOKUP(E536,'DANH MỤC'!$C:$H,5,0),"")</f>
        <v>71</v>
      </c>
      <c r="K536" s="53"/>
      <c r="L536" s="58">
        <v>77.0</v>
      </c>
      <c r="M536" s="55"/>
      <c r="N536" s="55"/>
    </row>
    <row r="537" ht="15.75" customHeight="1">
      <c r="A537" s="53">
        <f t="shared" si="1"/>
        <v>532</v>
      </c>
      <c r="B537" s="55" t="s">
        <v>366</v>
      </c>
      <c r="C537" s="41">
        <v>45707.0</v>
      </c>
      <c r="D537" s="42" t="s">
        <v>463</v>
      </c>
      <c r="E537" s="42" t="s">
        <v>115</v>
      </c>
      <c r="F537" s="42" t="str">
        <f>+IFERROR(VLOOKUP(E537,'DANH MỤC'!$C:$H,2,0),"")</f>
        <v>Màng Strecth Film 5.0-0.6kg</v>
      </c>
      <c r="G537" s="42" t="str">
        <f>+IFERROR(VLOOKUP(E537,'DANH MỤC'!$C:$H,6,0),"")</f>
        <v>Kg</v>
      </c>
      <c r="H537" s="42" t="str">
        <f>+IFERROR(VLOOKUP(E537,'DANH MỤC'!$C:$H,3,0),"")</f>
        <v/>
      </c>
      <c r="I537" s="42" t="str">
        <f>+IFERROR(VLOOKUP(E537,'DANH MỤC'!$C:$H,4,0),"")</f>
        <v/>
      </c>
      <c r="J537" s="42" t="str">
        <f>+IFERROR(VLOOKUP(E537,'DANH MỤC'!$C:$H,5,0),"")</f>
        <v/>
      </c>
      <c r="K537" s="53"/>
      <c r="L537" s="58">
        <v>18.16</v>
      </c>
      <c r="M537" s="55"/>
      <c r="N537" s="55"/>
    </row>
    <row r="538" ht="15.75" customHeight="1">
      <c r="A538" s="53">
        <f t="shared" si="1"/>
        <v>533</v>
      </c>
      <c r="B538" s="55" t="s">
        <v>366</v>
      </c>
      <c r="C538" s="41">
        <v>45707.0</v>
      </c>
      <c r="D538" s="42" t="s">
        <v>463</v>
      </c>
      <c r="E538" s="42" t="s">
        <v>112</v>
      </c>
      <c r="F538" s="42" t="str">
        <f>+IFERROR(VLOOKUP(E538,'DANH MỤC'!$C:$H,2,0),"")</f>
        <v>Dây đai PET xanh (B)</v>
      </c>
      <c r="G538" s="42" t="str">
        <f>+IFERROR(VLOOKUP(E538,'DANH MỤC'!$C:$H,6,0),"")</f>
        <v>Kg</v>
      </c>
      <c r="H538" s="42" t="str">
        <f>+IFERROR(VLOOKUP(E538,'DANH MỤC'!$C:$H,3,0),"")</f>
        <v/>
      </c>
      <c r="I538" s="42" t="str">
        <f>+IFERROR(VLOOKUP(E538,'DANH MỤC'!$C:$H,4,0),"")</f>
        <v/>
      </c>
      <c r="J538" s="42" t="str">
        <f>+IFERROR(VLOOKUP(E538,'DANH MỤC'!$C:$H,5,0),"")</f>
        <v/>
      </c>
      <c r="K538" s="53"/>
      <c r="L538" s="58">
        <v>30.74</v>
      </c>
      <c r="M538" s="55"/>
      <c r="N538" s="55"/>
    </row>
    <row r="539" ht="15.75" customHeight="1">
      <c r="A539" s="53">
        <f t="shared" si="1"/>
        <v>534</v>
      </c>
      <c r="B539" s="55" t="s">
        <v>366</v>
      </c>
      <c r="C539" s="41">
        <v>45707.0</v>
      </c>
      <c r="D539" s="42" t="s">
        <v>463</v>
      </c>
      <c r="E539" s="42" t="s">
        <v>96</v>
      </c>
      <c r="F539" s="42" t="str">
        <f>+IFERROR(VLOOKUP(E539,'DANH MỤC'!$C:$H,2,0),"")</f>
        <v>Giấy bao gói lưỡi gà</v>
      </c>
      <c r="G539" s="42" t="str">
        <f>+IFERROR(VLOOKUP(E539,'DANH MỤC'!$C:$H,6,0),"")</f>
        <v>Kg</v>
      </c>
      <c r="H539" s="42" t="str">
        <f>+IFERROR(VLOOKUP(E539,'DANH MỤC'!$C:$H,3,0),"")</f>
        <v/>
      </c>
      <c r="I539" s="42" t="str">
        <f>+IFERROR(VLOOKUP(E539,'DANH MỤC'!$C:$H,4,0),"")</f>
        <v/>
      </c>
      <c r="J539" s="42" t="str">
        <f>+IFERROR(VLOOKUP(E539,'DANH MỤC'!$C:$H,5,0),"")</f>
        <v/>
      </c>
      <c r="K539" s="53"/>
      <c r="L539" s="58">
        <v>17.81</v>
      </c>
      <c r="M539" s="55"/>
      <c r="N539" s="55"/>
    </row>
    <row r="540" ht="15.75" customHeight="1">
      <c r="A540" s="53">
        <f t="shared" si="1"/>
        <v>535</v>
      </c>
      <c r="B540" s="55" t="s">
        <v>366</v>
      </c>
      <c r="C540" s="41">
        <v>45707.0</v>
      </c>
      <c r="D540" s="42" t="s">
        <v>249</v>
      </c>
      <c r="E540" s="42" t="s">
        <v>104</v>
      </c>
      <c r="F540" s="42" t="str">
        <f>+IFERROR(VLOOKUP(E540,'DANH MỤC'!$C:$H,2,0),"")</f>
        <v>Lưỡi gà trắng 95mm x 800m x 210gsm</v>
      </c>
      <c r="G540" s="42" t="str">
        <f>+IFERROR(VLOOKUP(E540,'DANH MỤC'!$C:$H,6,0),"")</f>
        <v>Cuộn</v>
      </c>
      <c r="H540" s="42">
        <f>+IFERROR(VLOOKUP(E540,'DANH MỤC'!$C:$H,3,0),"")</f>
        <v>210</v>
      </c>
      <c r="I540" s="42">
        <f>+IFERROR(VLOOKUP(E540,'DANH MỤC'!$C:$H,4,0),"")</f>
        <v>95</v>
      </c>
      <c r="J540" s="42">
        <f>+IFERROR(VLOOKUP(E540,'DANH MỤC'!$C:$H,5,0),"")</f>
        <v>800</v>
      </c>
      <c r="K540" s="53">
        <v>21.0</v>
      </c>
      <c r="L540" s="58"/>
      <c r="M540" s="55"/>
      <c r="N540" s="55"/>
    </row>
    <row r="541" ht="15.75" customHeight="1">
      <c r="A541" s="53">
        <f t="shared" si="1"/>
        <v>536</v>
      </c>
      <c r="B541" s="55" t="s">
        <v>366</v>
      </c>
      <c r="C541" s="41">
        <v>45707.0</v>
      </c>
      <c r="D541" s="42" t="s">
        <v>249</v>
      </c>
      <c r="E541" s="42" t="s">
        <v>81</v>
      </c>
      <c r="F541" s="42" t="str">
        <f>+IFERROR(VLOOKUP(E541,'DANH MỤC'!$C:$H,2,0),"")</f>
        <v>Lưỡi gà trắng 71mm x 800m x 210gsm</v>
      </c>
      <c r="G541" s="42" t="str">
        <f>+IFERROR(VLOOKUP(E541,'DANH MỤC'!$C:$H,6,0),"")</f>
        <v>Cuộn</v>
      </c>
      <c r="H541" s="42">
        <f>+IFERROR(VLOOKUP(E541,'DANH MỤC'!$C:$H,3,0),"")</f>
        <v>210</v>
      </c>
      <c r="I541" s="42">
        <f>+IFERROR(VLOOKUP(E541,'DANH MỤC'!$C:$H,4,0),"")</f>
        <v>71</v>
      </c>
      <c r="J541" s="42">
        <f>+IFERROR(VLOOKUP(E541,'DANH MỤC'!$C:$H,5,0),"")</f>
        <v>800</v>
      </c>
      <c r="K541" s="53">
        <v>77.0</v>
      </c>
      <c r="L541" s="58"/>
      <c r="M541" s="55"/>
      <c r="N541" s="55"/>
    </row>
    <row r="542" ht="15.75" customHeight="1">
      <c r="A542" s="53">
        <f t="shared" si="1"/>
        <v>537</v>
      </c>
      <c r="B542" s="55" t="s">
        <v>366</v>
      </c>
      <c r="C542" s="41">
        <v>45707.0</v>
      </c>
      <c r="D542" s="42" t="s">
        <v>499</v>
      </c>
      <c r="E542" s="42" t="s">
        <v>47</v>
      </c>
      <c r="F542" s="42" t="str">
        <f>+IFERROR(VLOOKUP(E542,'DANH MỤC'!$C:$H,2,0),"")</f>
        <v>Ivory Ningbo</v>
      </c>
      <c r="G542" s="42" t="str">
        <f>+IFERROR(VLOOKUP(E542,'DANH MỤC'!$C:$H,6,0),"")</f>
        <v>Kg</v>
      </c>
      <c r="H542" s="42">
        <f>+IFERROR(VLOOKUP(E542,'DANH MỤC'!$C:$H,3,0),"")</f>
        <v>210</v>
      </c>
      <c r="I542" s="42">
        <f>+IFERROR(VLOOKUP(E542,'DANH MỤC'!$C:$H,4,0),"")</f>
        <v>109</v>
      </c>
      <c r="J542" s="42" t="str">
        <f>+IFERROR(VLOOKUP(E542,'DANH MỤC'!$C:$H,5,0),"")</f>
        <v/>
      </c>
      <c r="K542" s="53">
        <v>503.0</v>
      </c>
      <c r="L542" s="58"/>
      <c r="M542" s="55"/>
      <c r="N542" s="55"/>
    </row>
    <row r="543" ht="15.75" customHeight="1">
      <c r="A543" s="53">
        <f t="shared" si="1"/>
        <v>538</v>
      </c>
      <c r="B543" s="55" t="s">
        <v>369</v>
      </c>
      <c r="C543" s="41">
        <v>45707.0</v>
      </c>
      <c r="D543" s="42" t="s">
        <v>500</v>
      </c>
      <c r="E543" s="42" t="s">
        <v>47</v>
      </c>
      <c r="F543" s="42" t="str">
        <f>+IFERROR(VLOOKUP(E543,'DANH MỤC'!$C:$H,2,0),"")</f>
        <v>Ivory Ningbo</v>
      </c>
      <c r="G543" s="42" t="str">
        <f>+IFERROR(VLOOKUP(E543,'DANH MỤC'!$C:$H,6,0),"")</f>
        <v>Kg</v>
      </c>
      <c r="H543" s="42">
        <f>+IFERROR(VLOOKUP(E543,'DANH MỤC'!$C:$H,3,0),"")</f>
        <v>210</v>
      </c>
      <c r="I543" s="42">
        <f>+IFERROR(VLOOKUP(E543,'DANH MỤC'!$C:$H,4,0),"")</f>
        <v>109</v>
      </c>
      <c r="J543" s="42" t="str">
        <f>+IFERROR(VLOOKUP(E543,'DANH MỤC'!$C:$H,5,0),"")</f>
        <v/>
      </c>
      <c r="K543" s="53"/>
      <c r="L543" s="58">
        <v>5653.0</v>
      </c>
      <c r="M543" s="55"/>
      <c r="N543" s="55"/>
    </row>
    <row r="544" ht="15.75" customHeight="1">
      <c r="A544" s="53">
        <f t="shared" si="1"/>
        <v>539</v>
      </c>
      <c r="B544" s="55" t="s">
        <v>369</v>
      </c>
      <c r="C544" s="41">
        <v>45707.0</v>
      </c>
      <c r="D544" s="42" t="s">
        <v>502</v>
      </c>
      <c r="E544" s="42" t="s">
        <v>97</v>
      </c>
      <c r="F544" s="42" t="str">
        <f>+IFERROR(VLOOKUP(E544,'DANH MỤC'!$C:$H,2,0),"")</f>
        <v>Ống lõi giấy phi 120x7x1000mm</v>
      </c>
      <c r="G544" s="42" t="str">
        <f>+IFERROR(VLOOKUP(E544,'DANH MỤC'!$C:$H,6,0),"")</f>
        <v>Cái</v>
      </c>
      <c r="H544" s="42">
        <f>+IFERROR(VLOOKUP(E544,'DANH MỤC'!$C:$H,3,0),"")</f>
        <v>120</v>
      </c>
      <c r="I544" s="42">
        <f>+IFERROR(VLOOKUP(E544,'DANH MỤC'!$C:$H,4,0),"")</f>
        <v>70</v>
      </c>
      <c r="J544" s="42">
        <f>+IFERROR(VLOOKUP(E544,'DANH MỤC'!$C:$H,5,0),"")</f>
        <v>1000</v>
      </c>
      <c r="K544" s="53"/>
      <c r="L544" s="58">
        <v>24.0</v>
      </c>
      <c r="M544" s="55"/>
      <c r="N544" s="55"/>
    </row>
    <row r="545" ht="15.75" customHeight="1">
      <c r="A545" s="53">
        <f t="shared" si="1"/>
        <v>540</v>
      </c>
      <c r="B545" s="55" t="s">
        <v>369</v>
      </c>
      <c r="C545" s="41">
        <v>45707.0</v>
      </c>
      <c r="D545" s="42" t="s">
        <v>95</v>
      </c>
      <c r="E545" s="42" t="s">
        <v>245</v>
      </c>
      <c r="F545" s="42" t="str">
        <f>+IFERROR(VLOOKUP(E545,'DANH MỤC'!$C:$H,2,0),"")</f>
        <v>Ống lõi giấy phi 120x7x88mm</v>
      </c>
      <c r="G545" s="42" t="str">
        <f>+IFERROR(VLOOKUP(E545,'DANH MỤC'!$C:$H,6,0),"")</f>
        <v>Cái</v>
      </c>
      <c r="H545" s="42">
        <f>+IFERROR(VLOOKUP(E545,'DANH MỤC'!$C:$H,3,0),"")</f>
        <v>120</v>
      </c>
      <c r="I545" s="42">
        <f>+IFERROR(VLOOKUP(E545,'DANH MỤC'!$C:$H,4,0),"")</f>
        <v>70</v>
      </c>
      <c r="J545" s="42">
        <f>+IFERROR(VLOOKUP(E545,'DANH MỤC'!$C:$H,5,0),"")</f>
        <v>88</v>
      </c>
      <c r="K545" s="53">
        <v>260.0</v>
      </c>
      <c r="L545" s="58"/>
      <c r="M545" s="55"/>
      <c r="N545" s="55"/>
    </row>
    <row r="546" ht="15.75" customHeight="1">
      <c r="A546" s="53">
        <f t="shared" si="1"/>
        <v>541</v>
      </c>
      <c r="B546" s="55" t="s">
        <v>369</v>
      </c>
      <c r="C546" s="41">
        <v>45707.0</v>
      </c>
      <c r="D546" s="42" t="s">
        <v>502</v>
      </c>
      <c r="E546" s="42" t="s">
        <v>184</v>
      </c>
      <c r="F546" s="42" t="str">
        <f>+IFERROR(VLOOKUP(E546,'DANH MỤC'!$C:$H,2,0),"")</f>
        <v>Ống lõi giấy phi 120x7x95mm</v>
      </c>
      <c r="G546" s="42" t="str">
        <f>+IFERROR(VLOOKUP(E546,'DANH MỤC'!$C:$H,6,0),"")</f>
        <v>Cái</v>
      </c>
      <c r="H546" s="42">
        <f>+IFERROR(VLOOKUP(E546,'DANH MỤC'!$C:$H,3,0),"")</f>
        <v>120</v>
      </c>
      <c r="I546" s="42">
        <f>+IFERROR(VLOOKUP(E546,'DANH MỤC'!$C:$H,4,0),"")</f>
        <v>70</v>
      </c>
      <c r="J546" s="42">
        <f>+IFERROR(VLOOKUP(E546,'DANH MỤC'!$C:$H,5,0),"")</f>
        <v>95</v>
      </c>
      <c r="K546" s="53"/>
      <c r="L546" s="58">
        <v>4.0</v>
      </c>
      <c r="M546" s="55"/>
      <c r="N546" s="55"/>
    </row>
    <row r="547" ht="15.75" customHeight="1">
      <c r="A547" s="53">
        <f t="shared" si="1"/>
        <v>542</v>
      </c>
      <c r="B547" s="55" t="s">
        <v>369</v>
      </c>
      <c r="C547" s="41">
        <v>45707.0</v>
      </c>
      <c r="D547" s="42" t="s">
        <v>502</v>
      </c>
      <c r="E547" s="42" t="s">
        <v>245</v>
      </c>
      <c r="F547" s="42" t="str">
        <f>+IFERROR(VLOOKUP(E547,'DANH MỤC'!$C:$H,2,0),"")</f>
        <v>Ống lõi giấy phi 120x7x88mm</v>
      </c>
      <c r="G547" s="42" t="str">
        <f>+IFERROR(VLOOKUP(E547,'DANH MỤC'!$C:$H,6,0),"")</f>
        <v>Cái</v>
      </c>
      <c r="H547" s="42">
        <f>+IFERROR(VLOOKUP(E547,'DANH MỤC'!$C:$H,3,0),"")</f>
        <v>120</v>
      </c>
      <c r="I547" s="42">
        <f>+IFERROR(VLOOKUP(E547,'DANH MỤC'!$C:$H,4,0),"")</f>
        <v>70</v>
      </c>
      <c r="J547" s="42">
        <f>+IFERROR(VLOOKUP(E547,'DANH MỤC'!$C:$H,5,0),"")</f>
        <v>88</v>
      </c>
      <c r="K547" s="53"/>
      <c r="L547" s="58">
        <v>20.0</v>
      </c>
      <c r="M547" s="55"/>
      <c r="N547" s="55"/>
    </row>
    <row r="548" ht="15.75" customHeight="1">
      <c r="A548" s="53">
        <f t="shared" si="1"/>
        <v>543</v>
      </c>
      <c r="B548" s="55" t="s">
        <v>369</v>
      </c>
      <c r="C548" s="41">
        <v>45707.0</v>
      </c>
      <c r="D548" s="42" t="s">
        <v>502</v>
      </c>
      <c r="E548" s="42" t="s">
        <v>127</v>
      </c>
      <c r="F548" s="42" t="str">
        <f>+IFERROR(VLOOKUP(E548,'DANH MỤC'!$C:$H,2,0),"")</f>
        <v>Pallet gỗ 1100x1100x130mm</v>
      </c>
      <c r="G548" s="42" t="str">
        <f>+IFERROR(VLOOKUP(E548,'DANH MỤC'!$C:$H,6,0),"")</f>
        <v>Bộ</v>
      </c>
      <c r="H548" s="42">
        <f>+IFERROR(VLOOKUP(E548,'DANH MỤC'!$C:$H,3,0),"")</f>
        <v>1100</v>
      </c>
      <c r="I548" s="42">
        <f>+IFERROR(VLOOKUP(E548,'DANH MỤC'!$C:$H,4,0),"")</f>
        <v>1100</v>
      </c>
      <c r="J548" s="42">
        <f>+IFERROR(VLOOKUP(E548,'DANH MỤC'!$C:$H,5,0),"")</f>
        <v>130</v>
      </c>
      <c r="K548" s="53"/>
      <c r="L548" s="58">
        <v>1.0</v>
      </c>
      <c r="M548" s="55"/>
      <c r="N548" s="55"/>
    </row>
    <row r="549" ht="15.75" customHeight="1">
      <c r="A549" s="53">
        <f t="shared" si="1"/>
        <v>544</v>
      </c>
      <c r="B549" s="55" t="s">
        <v>369</v>
      </c>
      <c r="C549" s="41">
        <v>45707.0</v>
      </c>
      <c r="D549" s="42" t="s">
        <v>249</v>
      </c>
      <c r="E549" s="42" t="s">
        <v>93</v>
      </c>
      <c r="F549" s="42" t="str">
        <f>+IFERROR(VLOOKUP(E549,'DANH MỤC'!$C:$H,2,0),"")</f>
        <v>Lưỡi gà trắng 88mm x 800m x 210gsm</v>
      </c>
      <c r="G549" s="42" t="str">
        <f>+IFERROR(VLOOKUP(E549,'DANH MỤC'!$C:$H,6,0),"")</f>
        <v>Cuộn</v>
      </c>
      <c r="H549" s="42">
        <f>+IFERROR(VLOOKUP(E549,'DANH MỤC'!$C:$H,3,0),"")</f>
        <v>210</v>
      </c>
      <c r="I549" s="42">
        <f>+IFERROR(VLOOKUP(E549,'DANH MỤC'!$C:$H,4,0),"")</f>
        <v>88</v>
      </c>
      <c r="J549" s="42">
        <f>+IFERROR(VLOOKUP(E549,'DANH MỤC'!$C:$H,5,0),"")</f>
        <v>800</v>
      </c>
      <c r="K549" s="53">
        <v>20.0</v>
      </c>
      <c r="L549" s="58"/>
      <c r="M549" s="55"/>
      <c r="N549" s="55"/>
    </row>
    <row r="550" ht="15.75" customHeight="1">
      <c r="A550" s="53">
        <f t="shared" si="1"/>
        <v>545</v>
      </c>
      <c r="B550" s="55" t="s">
        <v>369</v>
      </c>
      <c r="C550" s="41">
        <v>45707.0</v>
      </c>
      <c r="D550" s="42" t="s">
        <v>249</v>
      </c>
      <c r="E550" s="42" t="s">
        <v>104</v>
      </c>
      <c r="F550" s="42" t="str">
        <f>+IFERROR(VLOOKUP(E550,'DANH MỤC'!$C:$H,2,0),"")</f>
        <v>Lưỡi gà trắng 95mm x 800m x 210gsm</v>
      </c>
      <c r="G550" s="42" t="str">
        <f>+IFERROR(VLOOKUP(E550,'DANH MỤC'!$C:$H,6,0),"")</f>
        <v>Cuộn</v>
      </c>
      <c r="H550" s="42">
        <f>+IFERROR(VLOOKUP(E550,'DANH MỤC'!$C:$H,3,0),"")</f>
        <v>210</v>
      </c>
      <c r="I550" s="42">
        <f>+IFERROR(VLOOKUP(E550,'DANH MỤC'!$C:$H,4,0),"")</f>
        <v>95</v>
      </c>
      <c r="J550" s="42">
        <f>+IFERROR(VLOOKUP(E550,'DANH MỤC'!$C:$H,5,0),"")</f>
        <v>800</v>
      </c>
      <c r="K550" s="53">
        <v>4.0</v>
      </c>
      <c r="L550" s="58"/>
      <c r="M550" s="55"/>
      <c r="N550" s="55"/>
    </row>
    <row r="551" ht="15.75" customHeight="1">
      <c r="A551" s="53">
        <f t="shared" si="1"/>
        <v>546</v>
      </c>
      <c r="B551" s="55" t="s">
        <v>369</v>
      </c>
      <c r="C551" s="41">
        <v>45708.0</v>
      </c>
      <c r="D551" s="42" t="s">
        <v>502</v>
      </c>
      <c r="E551" s="42" t="s">
        <v>184</v>
      </c>
      <c r="F551" s="42" t="str">
        <f>+IFERROR(VLOOKUP(E551,'DANH MỤC'!$C:$H,2,0),"")</f>
        <v>Ống lõi giấy phi 120x7x95mm</v>
      </c>
      <c r="G551" s="42" t="str">
        <f>+IFERROR(VLOOKUP(E551,'DANH MỤC'!$C:$H,6,0),"")</f>
        <v>Cái</v>
      </c>
      <c r="H551" s="42">
        <f>+IFERROR(VLOOKUP(E551,'DANH MỤC'!$C:$H,3,0),"")</f>
        <v>120</v>
      </c>
      <c r="I551" s="42">
        <f>+IFERROR(VLOOKUP(E551,'DANH MỤC'!$C:$H,4,0),"")</f>
        <v>70</v>
      </c>
      <c r="J551" s="42">
        <f>+IFERROR(VLOOKUP(E551,'DANH MỤC'!$C:$H,5,0),"")</f>
        <v>95</v>
      </c>
      <c r="K551" s="53"/>
      <c r="L551" s="58">
        <v>24.0</v>
      </c>
      <c r="M551" s="55"/>
      <c r="N551" s="55"/>
    </row>
    <row r="552" ht="15.75" customHeight="1">
      <c r="A552" s="53">
        <f t="shared" si="1"/>
        <v>547</v>
      </c>
      <c r="B552" s="55" t="s">
        <v>369</v>
      </c>
      <c r="C552" s="41">
        <v>45708.0</v>
      </c>
      <c r="D552" s="42" t="s">
        <v>502</v>
      </c>
      <c r="E552" s="42" t="s">
        <v>245</v>
      </c>
      <c r="F552" s="42" t="str">
        <f>+IFERROR(VLOOKUP(E552,'DANH MỤC'!$C:$H,2,0),"")</f>
        <v>Ống lõi giấy phi 120x7x88mm</v>
      </c>
      <c r="G552" s="42" t="str">
        <f>+IFERROR(VLOOKUP(E552,'DANH MỤC'!$C:$H,6,0),"")</f>
        <v>Cái</v>
      </c>
      <c r="H552" s="42">
        <f>+IFERROR(VLOOKUP(E552,'DANH MỤC'!$C:$H,3,0),"")</f>
        <v>120</v>
      </c>
      <c r="I552" s="42">
        <f>+IFERROR(VLOOKUP(E552,'DANH MỤC'!$C:$H,4,0),"")</f>
        <v>70</v>
      </c>
      <c r="J552" s="42">
        <f>+IFERROR(VLOOKUP(E552,'DANH MỤC'!$C:$H,5,0),"")</f>
        <v>88</v>
      </c>
      <c r="K552" s="53"/>
      <c r="L552" s="58">
        <v>120.0</v>
      </c>
      <c r="M552" s="55"/>
      <c r="N552" s="55"/>
    </row>
    <row r="553" ht="15.75" customHeight="1">
      <c r="A553" s="53">
        <f t="shared" si="1"/>
        <v>548</v>
      </c>
      <c r="B553" s="55" t="s">
        <v>369</v>
      </c>
      <c r="C553" s="41">
        <v>45708.0</v>
      </c>
      <c r="D553" s="42" t="s">
        <v>249</v>
      </c>
      <c r="E553" s="42" t="s">
        <v>93</v>
      </c>
      <c r="F553" s="42" t="str">
        <f>+IFERROR(VLOOKUP(E553,'DANH MỤC'!$C:$H,2,0),"")</f>
        <v>Lưỡi gà trắng 88mm x 800m x 210gsm</v>
      </c>
      <c r="G553" s="42" t="str">
        <f>+IFERROR(VLOOKUP(E553,'DANH MỤC'!$C:$H,6,0),"")</f>
        <v>Cuộn</v>
      </c>
      <c r="H553" s="42">
        <f>+IFERROR(VLOOKUP(E553,'DANH MỤC'!$C:$H,3,0),"")</f>
        <v>210</v>
      </c>
      <c r="I553" s="42">
        <f>+IFERROR(VLOOKUP(E553,'DANH MỤC'!$C:$H,4,0),"")</f>
        <v>88</v>
      </c>
      <c r="J553" s="42">
        <f>+IFERROR(VLOOKUP(E553,'DANH MỤC'!$C:$H,5,0),"")</f>
        <v>800</v>
      </c>
      <c r="K553" s="53">
        <v>120.0</v>
      </c>
      <c r="L553" s="58"/>
      <c r="M553" s="55"/>
      <c r="N553" s="55"/>
    </row>
    <row r="554" ht="15.75" customHeight="1">
      <c r="A554" s="53">
        <f t="shared" si="1"/>
        <v>549</v>
      </c>
      <c r="B554" s="55" t="s">
        <v>369</v>
      </c>
      <c r="C554" s="41">
        <v>45708.0</v>
      </c>
      <c r="D554" s="42" t="s">
        <v>249</v>
      </c>
      <c r="E554" s="42" t="s">
        <v>104</v>
      </c>
      <c r="F554" s="42" t="str">
        <f>+IFERROR(VLOOKUP(E554,'DANH MỤC'!$C:$H,2,0),"")</f>
        <v>Lưỡi gà trắng 95mm x 800m x 210gsm</v>
      </c>
      <c r="G554" s="42" t="str">
        <f>+IFERROR(VLOOKUP(E554,'DANH MỤC'!$C:$H,6,0),"")</f>
        <v>Cuộn</v>
      </c>
      <c r="H554" s="42">
        <f>+IFERROR(VLOOKUP(E554,'DANH MỤC'!$C:$H,3,0),"")</f>
        <v>210</v>
      </c>
      <c r="I554" s="42">
        <f>+IFERROR(VLOOKUP(E554,'DANH MỤC'!$C:$H,4,0),"")</f>
        <v>95</v>
      </c>
      <c r="J554" s="42">
        <f>+IFERROR(VLOOKUP(E554,'DANH MỤC'!$C:$H,5,0),"")</f>
        <v>800</v>
      </c>
      <c r="K554" s="53">
        <v>24.0</v>
      </c>
      <c r="L554" s="58"/>
      <c r="M554" s="55"/>
      <c r="N554" s="55"/>
    </row>
    <row r="555" ht="15.75" customHeight="1">
      <c r="A555" s="53">
        <f t="shared" si="1"/>
        <v>550</v>
      </c>
      <c r="B555" s="55" t="s">
        <v>369</v>
      </c>
      <c r="C555" s="41">
        <v>45708.0</v>
      </c>
      <c r="D555" s="42" t="s">
        <v>502</v>
      </c>
      <c r="E555" s="42" t="s">
        <v>127</v>
      </c>
      <c r="F555" s="42" t="str">
        <f>+IFERROR(VLOOKUP(E555,'DANH MỤC'!$C:$H,2,0),"")</f>
        <v>Pallet gỗ 1100x1100x130mm</v>
      </c>
      <c r="G555" s="42" t="str">
        <f>+IFERROR(VLOOKUP(E555,'DANH MỤC'!$C:$H,6,0),"")</f>
        <v>Bộ</v>
      </c>
      <c r="H555" s="42">
        <f>+IFERROR(VLOOKUP(E555,'DANH MỤC'!$C:$H,3,0),"")</f>
        <v>1100</v>
      </c>
      <c r="I555" s="42">
        <f>+IFERROR(VLOOKUP(E555,'DANH MỤC'!$C:$H,4,0),"")</f>
        <v>1100</v>
      </c>
      <c r="J555" s="42">
        <f>+IFERROR(VLOOKUP(E555,'DANH MỤC'!$C:$H,5,0),"")</f>
        <v>130</v>
      </c>
      <c r="K555" s="53"/>
      <c r="L555" s="58">
        <v>2.0</v>
      </c>
      <c r="M555" s="55"/>
      <c r="N555" s="55"/>
    </row>
    <row r="556" ht="15.75" customHeight="1">
      <c r="A556" s="53">
        <f t="shared" si="1"/>
        <v>551</v>
      </c>
      <c r="B556" s="55" t="s">
        <v>369</v>
      </c>
      <c r="C556" s="41">
        <v>45709.0</v>
      </c>
      <c r="D556" s="42" t="s">
        <v>502</v>
      </c>
      <c r="E556" s="42" t="s">
        <v>184</v>
      </c>
      <c r="F556" s="42" t="str">
        <f>+IFERROR(VLOOKUP(E556,'DANH MỤC'!$C:$H,2,0),"")</f>
        <v>Ống lõi giấy phi 120x7x95mm</v>
      </c>
      <c r="G556" s="42" t="str">
        <f>+IFERROR(VLOOKUP(E556,'DANH MỤC'!$C:$H,6,0),"")</f>
        <v>Cái</v>
      </c>
      <c r="H556" s="42">
        <f>+IFERROR(VLOOKUP(E556,'DANH MỤC'!$C:$H,3,0),"")</f>
        <v>120</v>
      </c>
      <c r="I556" s="42">
        <f>+IFERROR(VLOOKUP(E556,'DANH MỤC'!$C:$H,4,0),"")</f>
        <v>70</v>
      </c>
      <c r="J556" s="42">
        <f>+IFERROR(VLOOKUP(E556,'DANH MỤC'!$C:$H,5,0),"")</f>
        <v>95</v>
      </c>
      <c r="K556" s="53"/>
      <c r="L556" s="58">
        <v>24.0</v>
      </c>
      <c r="M556" s="55"/>
      <c r="N556" s="55"/>
    </row>
    <row r="557" ht="15.75" customHeight="1">
      <c r="A557" s="53">
        <f t="shared" si="1"/>
        <v>552</v>
      </c>
      <c r="B557" s="55" t="s">
        <v>369</v>
      </c>
      <c r="C557" s="41">
        <v>45709.0</v>
      </c>
      <c r="D557" s="42" t="s">
        <v>502</v>
      </c>
      <c r="E557" s="42" t="s">
        <v>245</v>
      </c>
      <c r="F557" s="42" t="str">
        <f>+IFERROR(VLOOKUP(E557,'DANH MỤC'!$C:$H,2,0),"")</f>
        <v>Ống lõi giấy phi 120x7x88mm</v>
      </c>
      <c r="G557" s="42" t="str">
        <f>+IFERROR(VLOOKUP(E557,'DANH MỤC'!$C:$H,6,0),"")</f>
        <v>Cái</v>
      </c>
      <c r="H557" s="42">
        <f>+IFERROR(VLOOKUP(E557,'DANH MỤC'!$C:$H,3,0),"")</f>
        <v>120</v>
      </c>
      <c r="I557" s="42">
        <f>+IFERROR(VLOOKUP(E557,'DANH MỤC'!$C:$H,4,0),"")</f>
        <v>70</v>
      </c>
      <c r="J557" s="42">
        <f>+IFERROR(VLOOKUP(E557,'DANH MỤC'!$C:$H,5,0),"")</f>
        <v>88</v>
      </c>
      <c r="K557" s="53"/>
      <c r="L557" s="58">
        <v>120.0</v>
      </c>
      <c r="M557" s="55"/>
      <c r="N557" s="55"/>
    </row>
    <row r="558" ht="15.75" customHeight="1">
      <c r="A558" s="53">
        <f t="shared" si="1"/>
        <v>553</v>
      </c>
      <c r="B558" s="55" t="s">
        <v>369</v>
      </c>
      <c r="C558" s="41">
        <v>45709.0</v>
      </c>
      <c r="D558" s="42" t="s">
        <v>249</v>
      </c>
      <c r="E558" s="42" t="s">
        <v>93</v>
      </c>
      <c r="F558" s="42" t="str">
        <f>+IFERROR(VLOOKUP(E558,'DANH MỤC'!$C:$H,2,0),"")</f>
        <v>Lưỡi gà trắng 88mm x 800m x 210gsm</v>
      </c>
      <c r="G558" s="42" t="str">
        <f>+IFERROR(VLOOKUP(E558,'DANH MỤC'!$C:$H,6,0),"")</f>
        <v>Cuộn</v>
      </c>
      <c r="H558" s="42">
        <f>+IFERROR(VLOOKUP(E558,'DANH MỤC'!$C:$H,3,0),"")</f>
        <v>210</v>
      </c>
      <c r="I558" s="42">
        <f>+IFERROR(VLOOKUP(E558,'DANH MỤC'!$C:$H,4,0),"")</f>
        <v>88</v>
      </c>
      <c r="J558" s="42">
        <f>+IFERROR(VLOOKUP(E558,'DANH MỤC'!$C:$H,5,0),"")</f>
        <v>800</v>
      </c>
      <c r="K558" s="53">
        <v>120.0</v>
      </c>
      <c r="L558" s="58"/>
      <c r="M558" s="55"/>
      <c r="N558" s="55"/>
    </row>
    <row r="559" ht="15.75" customHeight="1">
      <c r="A559" s="53">
        <f t="shared" si="1"/>
        <v>554</v>
      </c>
      <c r="B559" s="55" t="s">
        <v>369</v>
      </c>
      <c r="C559" s="41">
        <v>45709.0</v>
      </c>
      <c r="D559" s="42" t="s">
        <v>249</v>
      </c>
      <c r="E559" s="42" t="s">
        <v>104</v>
      </c>
      <c r="F559" s="42" t="str">
        <f>+IFERROR(VLOOKUP(E559,'DANH MỤC'!$C:$H,2,0),"")</f>
        <v>Lưỡi gà trắng 95mm x 800m x 210gsm</v>
      </c>
      <c r="G559" s="42" t="str">
        <f>+IFERROR(VLOOKUP(E559,'DANH MỤC'!$C:$H,6,0),"")</f>
        <v>Cuộn</v>
      </c>
      <c r="H559" s="42">
        <f>+IFERROR(VLOOKUP(E559,'DANH MỤC'!$C:$H,3,0),"")</f>
        <v>210</v>
      </c>
      <c r="I559" s="42">
        <f>+IFERROR(VLOOKUP(E559,'DANH MỤC'!$C:$H,4,0),"")</f>
        <v>95</v>
      </c>
      <c r="J559" s="42">
        <f>+IFERROR(VLOOKUP(E559,'DANH MỤC'!$C:$H,5,0),"")</f>
        <v>800</v>
      </c>
      <c r="K559" s="53">
        <v>24.0</v>
      </c>
      <c r="L559" s="58"/>
      <c r="M559" s="55"/>
      <c r="N559" s="55"/>
    </row>
    <row r="560" ht="15.75" customHeight="1">
      <c r="A560" s="53">
        <f t="shared" si="1"/>
        <v>555</v>
      </c>
      <c r="B560" s="55" t="s">
        <v>369</v>
      </c>
      <c r="C560" s="41">
        <v>45709.0</v>
      </c>
      <c r="D560" s="42" t="s">
        <v>502</v>
      </c>
      <c r="E560" s="42" t="s">
        <v>127</v>
      </c>
      <c r="F560" s="42" t="str">
        <f>+IFERROR(VLOOKUP(E560,'DANH MỤC'!$C:$H,2,0),"")</f>
        <v>Pallet gỗ 1100x1100x130mm</v>
      </c>
      <c r="G560" s="42" t="str">
        <f>+IFERROR(VLOOKUP(E560,'DANH MỤC'!$C:$H,6,0),"")</f>
        <v>Bộ</v>
      </c>
      <c r="H560" s="42">
        <f>+IFERROR(VLOOKUP(E560,'DANH MỤC'!$C:$H,3,0),"")</f>
        <v>1100</v>
      </c>
      <c r="I560" s="42">
        <f>+IFERROR(VLOOKUP(E560,'DANH MỤC'!$C:$H,4,0),"")</f>
        <v>1100</v>
      </c>
      <c r="J560" s="42">
        <f>+IFERROR(VLOOKUP(E560,'DANH MỤC'!$C:$H,5,0),"")</f>
        <v>130</v>
      </c>
      <c r="K560" s="53"/>
      <c r="L560" s="58">
        <v>2.0</v>
      </c>
      <c r="M560" s="55"/>
      <c r="N560" s="55"/>
    </row>
    <row r="561" ht="15.75" customHeight="1">
      <c r="A561" s="53">
        <f t="shared" si="1"/>
        <v>556</v>
      </c>
      <c r="B561" s="55" t="s">
        <v>369</v>
      </c>
      <c r="C561" s="41">
        <v>45709.0</v>
      </c>
      <c r="D561" s="42" t="s">
        <v>499</v>
      </c>
      <c r="E561" s="42" t="s">
        <v>47</v>
      </c>
      <c r="F561" s="42" t="str">
        <f>+IFERROR(VLOOKUP(E561,'DANH MỤC'!$C:$H,2,0),"")</f>
        <v>Ivory Ningbo</v>
      </c>
      <c r="G561" s="42" t="str">
        <f>+IFERROR(VLOOKUP(E561,'DANH MỤC'!$C:$H,6,0),"")</f>
        <v>Kg</v>
      </c>
      <c r="H561" s="42">
        <f>+IFERROR(VLOOKUP(E561,'DANH MỤC'!$C:$H,3,0),"")</f>
        <v>210</v>
      </c>
      <c r="I561" s="42">
        <f>+IFERROR(VLOOKUP(E561,'DANH MỤC'!$C:$H,4,0),"")</f>
        <v>109</v>
      </c>
      <c r="J561" s="42" t="str">
        <f>+IFERROR(VLOOKUP(E561,'DANH MỤC'!$C:$H,5,0),"")</f>
        <v/>
      </c>
      <c r="K561" s="53">
        <v>880.0</v>
      </c>
      <c r="L561" s="58"/>
      <c r="M561" s="55"/>
      <c r="N561" s="55"/>
    </row>
    <row r="562" ht="15.75" customHeight="1">
      <c r="A562" s="53">
        <f t="shared" si="1"/>
        <v>557</v>
      </c>
      <c r="B562" s="55" t="s">
        <v>369</v>
      </c>
      <c r="C562" s="41">
        <v>45709.0</v>
      </c>
      <c r="D562" s="42" t="s">
        <v>502</v>
      </c>
      <c r="E562" s="42" t="s">
        <v>115</v>
      </c>
      <c r="F562" s="42" t="str">
        <f>+IFERROR(VLOOKUP(E562,'DANH MỤC'!$C:$H,2,0),"")</f>
        <v>Màng Strecth Film 5.0-0.6kg</v>
      </c>
      <c r="G562" s="42" t="str">
        <f>+IFERROR(VLOOKUP(E562,'DANH MỤC'!$C:$H,6,0),"")</f>
        <v>Kg</v>
      </c>
      <c r="H562" s="42" t="str">
        <f>+IFERROR(VLOOKUP(E562,'DANH MỤC'!$C:$H,3,0),"")</f>
        <v/>
      </c>
      <c r="I562" s="42" t="str">
        <f>+IFERROR(VLOOKUP(E562,'DANH MỤC'!$C:$H,4,0),"")</f>
        <v/>
      </c>
      <c r="J562" s="42" t="str">
        <f>+IFERROR(VLOOKUP(E562,'DANH MỤC'!$C:$H,5,0),"")</f>
        <v/>
      </c>
      <c r="K562" s="53"/>
      <c r="L562" s="58">
        <v>3.36375</v>
      </c>
      <c r="M562" s="55"/>
      <c r="N562" s="55"/>
    </row>
    <row r="563" ht="15.75" customHeight="1">
      <c r="A563" s="53">
        <f t="shared" si="1"/>
        <v>558</v>
      </c>
      <c r="B563" s="55" t="s">
        <v>369</v>
      </c>
      <c r="C563" s="41">
        <v>45709.0</v>
      </c>
      <c r="D563" s="42" t="s">
        <v>502</v>
      </c>
      <c r="E563" s="42" t="s">
        <v>112</v>
      </c>
      <c r="F563" s="42" t="str">
        <f>+IFERROR(VLOOKUP(E563,'DANH MỤC'!$C:$H,2,0),"")</f>
        <v>Dây đai PET xanh (B)</v>
      </c>
      <c r="G563" s="42" t="str">
        <f>+IFERROR(VLOOKUP(E563,'DANH MỤC'!$C:$H,6,0),"")</f>
        <v>Kg</v>
      </c>
      <c r="H563" s="42" t="str">
        <f>+IFERROR(VLOOKUP(E563,'DANH MỤC'!$C:$H,3,0),"")</f>
        <v/>
      </c>
      <c r="I563" s="42" t="str">
        <f>+IFERROR(VLOOKUP(E563,'DANH MỤC'!$C:$H,4,0),"")</f>
        <v/>
      </c>
      <c r="J563" s="42" t="str">
        <f>+IFERROR(VLOOKUP(E563,'DANH MỤC'!$C:$H,5,0),"")</f>
        <v/>
      </c>
      <c r="K563" s="53"/>
      <c r="L563" s="58">
        <v>5.6925</v>
      </c>
      <c r="M563" s="55"/>
      <c r="N563" s="55"/>
    </row>
    <row r="564" ht="15.75" customHeight="1">
      <c r="A564" s="53">
        <f t="shared" si="1"/>
        <v>559</v>
      </c>
      <c r="B564" s="55" t="s">
        <v>369</v>
      </c>
      <c r="C564" s="41">
        <v>45709.0</v>
      </c>
      <c r="D564" s="42" t="s">
        <v>502</v>
      </c>
      <c r="E564" s="42" t="s">
        <v>96</v>
      </c>
      <c r="F564" s="42" t="str">
        <f>+IFERROR(VLOOKUP(E564,'DANH MỤC'!$C:$H,2,0),"")</f>
        <v>Giấy bao gói lưỡi gà</v>
      </c>
      <c r="G564" s="42" t="str">
        <f>+IFERROR(VLOOKUP(E564,'DANH MỤC'!$C:$H,6,0),"")</f>
        <v>Kg</v>
      </c>
      <c r="H564" s="42" t="str">
        <f>+IFERROR(VLOOKUP(E564,'DANH MỤC'!$C:$H,3,0),"")</f>
        <v/>
      </c>
      <c r="I564" s="42" t="str">
        <f>+IFERROR(VLOOKUP(E564,'DANH MỤC'!$C:$H,4,0),"")</f>
        <v/>
      </c>
      <c r="J564" s="42" t="str">
        <f>+IFERROR(VLOOKUP(E564,'DANH MỤC'!$C:$H,5,0),"")</f>
        <v/>
      </c>
      <c r="K564" s="53"/>
      <c r="L564" s="58">
        <v>4.23</v>
      </c>
      <c r="M564" s="55"/>
      <c r="N564" s="55"/>
    </row>
    <row r="565" ht="15.75" customHeight="1">
      <c r="A565" s="53">
        <f t="shared" si="1"/>
        <v>560</v>
      </c>
      <c r="B565" s="55" t="s">
        <v>371</v>
      </c>
      <c r="C565" s="41">
        <v>45710.0</v>
      </c>
      <c r="D565" s="42" t="s">
        <v>510</v>
      </c>
      <c r="E565" s="42" t="s">
        <v>88</v>
      </c>
      <c r="F565" s="42" t="str">
        <f>+IFERROR(VLOOKUP(E565,'DANH MỤC'!$C:$H,2,0),"")</f>
        <v>Ivory Ningbo</v>
      </c>
      <c r="G565" s="42" t="str">
        <f>+IFERROR(VLOOKUP(E565,'DANH MỤC'!$C:$H,6,0),"")</f>
        <v>Kg</v>
      </c>
      <c r="H565" s="42">
        <f>+IFERROR(VLOOKUP(E565,'DANH MỤC'!$C:$H,3,0),"")</f>
        <v>250</v>
      </c>
      <c r="I565" s="42">
        <f>+IFERROR(VLOOKUP(E565,'DANH MỤC'!$C:$H,4,0),"")</f>
        <v>109</v>
      </c>
      <c r="J565" s="42" t="str">
        <f>+IFERROR(VLOOKUP(E565,'DANH MỤC'!$C:$H,5,0),"")</f>
        <v/>
      </c>
      <c r="K565" s="53"/>
      <c r="L565" s="58">
        <v>13734.0</v>
      </c>
      <c r="M565" s="55"/>
      <c r="N565" s="55"/>
    </row>
    <row r="566" ht="15.75" customHeight="1">
      <c r="A566" s="53">
        <f t="shared" si="1"/>
        <v>561</v>
      </c>
      <c r="B566" s="55" t="s">
        <v>371</v>
      </c>
      <c r="C566" s="41">
        <v>45710.0</v>
      </c>
      <c r="D566" s="42" t="s">
        <v>511</v>
      </c>
      <c r="E566" s="42" t="s">
        <v>183</v>
      </c>
      <c r="F566" s="42" t="str">
        <f>+IFERROR(VLOOKUP(E566,'DANH MỤC'!$C:$H,2,0),"")</f>
        <v>Ống lõi giấy phi 120x7x90mm</v>
      </c>
      <c r="G566" s="42" t="str">
        <f>+IFERROR(VLOOKUP(E566,'DANH MỤC'!$C:$H,6,0),"")</f>
        <v>Cái</v>
      </c>
      <c r="H566" s="42">
        <f>+IFERROR(VLOOKUP(E566,'DANH MỤC'!$C:$H,3,0),"")</f>
        <v>120</v>
      </c>
      <c r="I566" s="42">
        <f>+IFERROR(VLOOKUP(E566,'DANH MỤC'!$C:$H,4,0),"")</f>
        <v>70</v>
      </c>
      <c r="J566" s="42">
        <f>+IFERROR(VLOOKUP(E566,'DANH MỤC'!$C:$H,5,0),"")</f>
        <v>90</v>
      </c>
      <c r="K566" s="53"/>
      <c r="L566" s="58">
        <v>24.0</v>
      </c>
      <c r="M566" s="55"/>
      <c r="N566" s="55"/>
    </row>
    <row r="567" ht="15.75" customHeight="1">
      <c r="A567" s="53">
        <f t="shared" si="1"/>
        <v>562</v>
      </c>
      <c r="B567" s="55" t="s">
        <v>371</v>
      </c>
      <c r="C567" s="41">
        <v>45710.0</v>
      </c>
      <c r="D567" s="42" t="s">
        <v>511</v>
      </c>
      <c r="E567" s="42" t="s">
        <v>107</v>
      </c>
      <c r="F567" s="42" t="str">
        <f>+IFERROR(VLOOKUP(E567,'DANH MỤC'!$C:$H,2,0),"")</f>
        <v>Pallet gỗ 1200x1200x130mm</v>
      </c>
      <c r="G567" s="42" t="str">
        <f>+IFERROR(VLOOKUP(E567,'DANH MỤC'!$C:$H,6,0),"")</f>
        <v>Bộ</v>
      </c>
      <c r="H567" s="42">
        <f>+IFERROR(VLOOKUP(E567,'DANH MỤC'!$C:$H,3,0),"")</f>
        <v>1200</v>
      </c>
      <c r="I567" s="42">
        <f>+IFERROR(VLOOKUP(E567,'DANH MỤC'!$C:$H,4,0),"")</f>
        <v>1200</v>
      </c>
      <c r="J567" s="42">
        <f>+IFERROR(VLOOKUP(E567,'DANH MỤC'!$C:$H,5,0),"")</f>
        <v>130</v>
      </c>
      <c r="K567" s="53"/>
      <c r="L567" s="58">
        <v>1.0</v>
      </c>
      <c r="M567" s="55"/>
      <c r="N567" s="55"/>
    </row>
    <row r="568" ht="15.75" customHeight="1">
      <c r="A568" s="53">
        <f t="shared" si="1"/>
        <v>563</v>
      </c>
      <c r="B568" s="55" t="s">
        <v>371</v>
      </c>
      <c r="C568" s="41">
        <v>45710.0</v>
      </c>
      <c r="D568" s="42" t="s">
        <v>511</v>
      </c>
      <c r="E568" s="42" t="s">
        <v>156</v>
      </c>
      <c r="F568" s="42" t="str">
        <f>+IFERROR(VLOOKUP(E568,'DANH MỤC'!$C:$H,2,0),"")</f>
        <v>Nẹp gỗ pallet dài 1.15m</v>
      </c>
      <c r="G568" s="42" t="str">
        <f>+IFERROR(VLOOKUP(E568,'DANH MỤC'!$C:$H,6,0),"")</f>
        <v>Cái</v>
      </c>
      <c r="H568" s="42" t="str">
        <f>+IFERROR(VLOOKUP(E568,'DANH MỤC'!$C:$H,3,0),"")</f>
        <v/>
      </c>
      <c r="I568" s="42" t="str">
        <f>+IFERROR(VLOOKUP(E568,'DANH MỤC'!$C:$H,4,0),"")</f>
        <v/>
      </c>
      <c r="J568" s="42">
        <f>+IFERROR(VLOOKUP(E568,'DANH MỤC'!$C:$H,5,0),"")</f>
        <v>1150</v>
      </c>
      <c r="K568" s="53"/>
      <c r="L568" s="58">
        <v>4.0</v>
      </c>
      <c r="M568" s="55"/>
      <c r="N568" s="55"/>
    </row>
    <row r="569" ht="15.75" customHeight="1">
      <c r="A569" s="53">
        <f t="shared" si="1"/>
        <v>564</v>
      </c>
      <c r="B569" s="55" t="s">
        <v>371</v>
      </c>
      <c r="C569" s="41">
        <v>45710.0</v>
      </c>
      <c r="D569" s="42" t="s">
        <v>249</v>
      </c>
      <c r="E569" s="42" t="s">
        <v>123</v>
      </c>
      <c r="F569" s="42" t="str">
        <f>+IFERROR(VLOOKUP(E569,'DANH MỤC'!$C:$H,2,0),"")</f>
        <v>Lưỡi gà trắng 90mm x 800m x 250gsm</v>
      </c>
      <c r="G569" s="42" t="str">
        <f>+IFERROR(VLOOKUP(E569,'DANH MỤC'!$C:$H,6,0),"")</f>
        <v>Cuộn</v>
      </c>
      <c r="H569" s="42">
        <f>+IFERROR(VLOOKUP(E569,'DANH MỤC'!$C:$H,3,0),"")</f>
        <v>250</v>
      </c>
      <c r="I569" s="42">
        <f>+IFERROR(VLOOKUP(E569,'DANH MỤC'!$C:$H,4,0),"")</f>
        <v>90</v>
      </c>
      <c r="J569" s="42">
        <f>+IFERROR(VLOOKUP(E569,'DANH MỤC'!$C:$H,5,0),"")</f>
        <v>800</v>
      </c>
      <c r="K569" s="53">
        <v>24.0</v>
      </c>
      <c r="L569" s="58"/>
      <c r="M569" s="55"/>
      <c r="N569" s="55"/>
    </row>
    <row r="570" ht="15.75" customHeight="1">
      <c r="A570" s="53">
        <f t="shared" si="1"/>
        <v>565</v>
      </c>
      <c r="B570" s="55" t="s">
        <v>371</v>
      </c>
      <c r="C570" s="41">
        <v>45712.0</v>
      </c>
      <c r="D570" s="42" t="s">
        <v>511</v>
      </c>
      <c r="E570" s="42" t="s">
        <v>183</v>
      </c>
      <c r="F570" s="42" t="str">
        <f>+IFERROR(VLOOKUP(E570,'DANH MỤC'!$C:$H,2,0),"")</f>
        <v>Ống lõi giấy phi 120x7x90mm</v>
      </c>
      <c r="G570" s="42" t="str">
        <f>+IFERROR(VLOOKUP(E570,'DANH MỤC'!$C:$H,6,0),"")</f>
        <v>Cái</v>
      </c>
      <c r="H570" s="42">
        <f>+IFERROR(VLOOKUP(E570,'DANH MỤC'!$C:$H,3,0),"")</f>
        <v>120</v>
      </c>
      <c r="I570" s="42">
        <f>+IFERROR(VLOOKUP(E570,'DANH MỤC'!$C:$H,4,0),"")</f>
        <v>70</v>
      </c>
      <c r="J570" s="42">
        <f>+IFERROR(VLOOKUP(E570,'DANH MỤC'!$C:$H,5,0),"")</f>
        <v>90</v>
      </c>
      <c r="K570" s="53"/>
      <c r="L570" s="58">
        <v>144.0</v>
      </c>
      <c r="M570" s="55"/>
      <c r="N570" s="55"/>
    </row>
    <row r="571" ht="15.75" customHeight="1">
      <c r="A571" s="53">
        <f t="shared" si="1"/>
        <v>566</v>
      </c>
      <c r="B571" s="55" t="s">
        <v>371</v>
      </c>
      <c r="C571" s="41">
        <v>45712.0</v>
      </c>
      <c r="D571" s="42" t="s">
        <v>511</v>
      </c>
      <c r="E571" s="42" t="s">
        <v>107</v>
      </c>
      <c r="F571" s="42" t="str">
        <f>+IFERROR(VLOOKUP(E571,'DANH MỤC'!$C:$H,2,0),"")</f>
        <v>Pallet gỗ 1200x1200x130mm</v>
      </c>
      <c r="G571" s="42" t="str">
        <f>+IFERROR(VLOOKUP(E571,'DANH MỤC'!$C:$H,6,0),"")</f>
        <v>Bộ</v>
      </c>
      <c r="H571" s="42">
        <f>+IFERROR(VLOOKUP(E571,'DANH MỤC'!$C:$H,3,0),"")</f>
        <v>1200</v>
      </c>
      <c r="I571" s="42">
        <f>+IFERROR(VLOOKUP(E571,'DANH MỤC'!$C:$H,4,0),"")</f>
        <v>1200</v>
      </c>
      <c r="J571" s="42">
        <f>+IFERROR(VLOOKUP(E571,'DANH MỤC'!$C:$H,5,0),"")</f>
        <v>130</v>
      </c>
      <c r="K571" s="53"/>
      <c r="L571" s="58">
        <v>3.0</v>
      </c>
      <c r="M571" s="55"/>
      <c r="N571" s="55"/>
    </row>
    <row r="572" ht="15.75" customHeight="1">
      <c r="A572" s="53">
        <f t="shared" si="1"/>
        <v>567</v>
      </c>
      <c r="B572" s="55" t="s">
        <v>371</v>
      </c>
      <c r="C572" s="41">
        <v>45712.0</v>
      </c>
      <c r="D572" s="42" t="s">
        <v>511</v>
      </c>
      <c r="E572" s="42" t="s">
        <v>156</v>
      </c>
      <c r="F572" s="42" t="str">
        <f>+IFERROR(VLOOKUP(E572,'DANH MỤC'!$C:$H,2,0),"")</f>
        <v>Nẹp gỗ pallet dài 1.15m</v>
      </c>
      <c r="G572" s="42" t="str">
        <f>+IFERROR(VLOOKUP(E572,'DANH MỤC'!$C:$H,6,0),"")</f>
        <v>Cái</v>
      </c>
      <c r="H572" s="42" t="str">
        <f>+IFERROR(VLOOKUP(E572,'DANH MỤC'!$C:$H,3,0),"")</f>
        <v/>
      </c>
      <c r="I572" s="42" t="str">
        <f>+IFERROR(VLOOKUP(E572,'DANH MỤC'!$C:$H,4,0),"")</f>
        <v/>
      </c>
      <c r="J572" s="42">
        <f>+IFERROR(VLOOKUP(E572,'DANH MỤC'!$C:$H,5,0),"")</f>
        <v>1150</v>
      </c>
      <c r="K572" s="53"/>
      <c r="L572" s="58">
        <v>12.0</v>
      </c>
      <c r="M572" s="55"/>
      <c r="N572" s="55"/>
    </row>
    <row r="573" ht="15.75" customHeight="1">
      <c r="A573" s="53">
        <f t="shared" si="1"/>
        <v>568</v>
      </c>
      <c r="B573" s="55" t="s">
        <v>371</v>
      </c>
      <c r="C573" s="41">
        <v>45712.0</v>
      </c>
      <c r="D573" s="42" t="s">
        <v>249</v>
      </c>
      <c r="E573" s="42" t="s">
        <v>123</v>
      </c>
      <c r="F573" s="42" t="str">
        <f>+IFERROR(VLOOKUP(E573,'DANH MỤC'!$C:$H,2,0),"")</f>
        <v>Lưỡi gà trắng 90mm x 800m x 250gsm</v>
      </c>
      <c r="G573" s="42" t="str">
        <f>+IFERROR(VLOOKUP(E573,'DANH MỤC'!$C:$H,6,0),"")</f>
        <v>Cuộn</v>
      </c>
      <c r="H573" s="42">
        <f>+IFERROR(VLOOKUP(E573,'DANH MỤC'!$C:$H,3,0),"")</f>
        <v>250</v>
      </c>
      <c r="I573" s="42">
        <f>+IFERROR(VLOOKUP(E573,'DANH MỤC'!$C:$H,4,0),"")</f>
        <v>90</v>
      </c>
      <c r="J573" s="42">
        <f>+IFERROR(VLOOKUP(E573,'DANH MỤC'!$C:$H,5,0),"")</f>
        <v>800</v>
      </c>
      <c r="K573" s="53">
        <v>144.0</v>
      </c>
      <c r="L573" s="58"/>
      <c r="M573" s="55"/>
      <c r="N573" s="55"/>
    </row>
    <row r="574" ht="15.75" customHeight="1">
      <c r="A574" s="117">
        <f t="shared" si="1"/>
        <v>569</v>
      </c>
      <c r="B574" s="118" t="s">
        <v>371</v>
      </c>
      <c r="C574" s="119">
        <v>45712.0</v>
      </c>
      <c r="D574" s="120" t="s">
        <v>146</v>
      </c>
      <c r="E574" s="120" t="s">
        <v>93</v>
      </c>
      <c r="F574" s="120" t="str">
        <f>+IFERROR(VLOOKUP(E574,'DANH MỤC'!$C:$H,2,0),"")</f>
        <v>Lưỡi gà trắng 88mm x 800m x 210gsm</v>
      </c>
      <c r="G574" s="120" t="str">
        <f>+IFERROR(VLOOKUP(E574,'DANH MỤC'!$C:$H,6,0),"")</f>
        <v>Cuộn</v>
      </c>
      <c r="H574" s="120">
        <f>+IFERROR(VLOOKUP(E574,'DANH MỤC'!$C:$H,3,0),"")</f>
        <v>210</v>
      </c>
      <c r="I574" s="120">
        <f>+IFERROR(VLOOKUP(E574,'DANH MỤC'!$C:$H,4,0),"")</f>
        <v>88</v>
      </c>
      <c r="J574" s="120">
        <f>+IFERROR(VLOOKUP(E574,'DANH MỤC'!$C:$H,5,0),"")</f>
        <v>800</v>
      </c>
      <c r="K574" s="117"/>
      <c r="L574" s="121">
        <v>260.0</v>
      </c>
      <c r="M574" s="118" t="s">
        <v>304</v>
      </c>
      <c r="N574" s="118"/>
    </row>
    <row r="575" ht="15.75" customHeight="1">
      <c r="A575" s="117">
        <f t="shared" si="1"/>
        <v>570</v>
      </c>
      <c r="B575" s="118" t="s">
        <v>371</v>
      </c>
      <c r="C575" s="119">
        <v>45712.0</v>
      </c>
      <c r="D575" s="120" t="s">
        <v>146</v>
      </c>
      <c r="E575" s="120" t="s">
        <v>104</v>
      </c>
      <c r="F575" s="120" t="str">
        <f>+IFERROR(VLOOKUP(E575,'DANH MỤC'!$C:$H,2,0),"")</f>
        <v>Lưỡi gà trắng 95mm x 800m x 210gsm</v>
      </c>
      <c r="G575" s="120" t="str">
        <f>+IFERROR(VLOOKUP(E575,'DANH MỤC'!$C:$H,6,0),"")</f>
        <v>Cuộn</v>
      </c>
      <c r="H575" s="120">
        <f>+IFERROR(VLOOKUP(E575,'DANH MỤC'!$C:$H,3,0),"")</f>
        <v>210</v>
      </c>
      <c r="I575" s="120">
        <f>+IFERROR(VLOOKUP(E575,'DANH MỤC'!$C:$H,4,0),"")</f>
        <v>95</v>
      </c>
      <c r="J575" s="120">
        <f>+IFERROR(VLOOKUP(E575,'DANH MỤC'!$C:$H,5,0),"")</f>
        <v>800</v>
      </c>
      <c r="K575" s="117"/>
      <c r="L575" s="121">
        <v>260.0</v>
      </c>
      <c r="M575" s="118" t="s">
        <v>304</v>
      </c>
      <c r="N575" s="118"/>
    </row>
    <row r="576" ht="15.75" customHeight="1">
      <c r="A576" s="117">
        <f t="shared" si="1"/>
        <v>571</v>
      </c>
      <c r="B576" s="118" t="s">
        <v>371</v>
      </c>
      <c r="C576" s="119">
        <v>45712.0</v>
      </c>
      <c r="D576" s="120" t="s">
        <v>130</v>
      </c>
      <c r="E576" s="120" t="s">
        <v>123</v>
      </c>
      <c r="F576" s="120" t="str">
        <f>+IFERROR(VLOOKUP(E576,'DANH MỤC'!$C:$H,2,0),"")</f>
        <v>Lưỡi gà trắng 90mm x 800m x 250gsm</v>
      </c>
      <c r="G576" s="120" t="str">
        <f>+IFERROR(VLOOKUP(E576,'DANH MỤC'!$C:$H,6,0),"")</f>
        <v>Cuộn</v>
      </c>
      <c r="H576" s="120">
        <f>+IFERROR(VLOOKUP(E576,'DANH MỤC'!$C:$H,3,0),"")</f>
        <v>250</v>
      </c>
      <c r="I576" s="120">
        <f>+IFERROR(VLOOKUP(E576,'DANH MỤC'!$C:$H,4,0),"")</f>
        <v>90</v>
      </c>
      <c r="J576" s="120">
        <f>+IFERROR(VLOOKUP(E576,'DANH MỤC'!$C:$H,5,0),"")</f>
        <v>800</v>
      </c>
      <c r="K576" s="117"/>
      <c r="L576" s="121">
        <v>260.0</v>
      </c>
      <c r="M576" s="118" t="s">
        <v>131</v>
      </c>
      <c r="N576" s="118"/>
    </row>
    <row r="577" ht="15.75" customHeight="1">
      <c r="A577" s="53">
        <f t="shared" si="1"/>
        <v>572</v>
      </c>
      <c r="B577" s="55" t="s">
        <v>371</v>
      </c>
      <c r="C577" s="41">
        <v>45713.0</v>
      </c>
      <c r="D577" s="42" t="s">
        <v>511</v>
      </c>
      <c r="E577" s="42" t="s">
        <v>183</v>
      </c>
      <c r="F577" s="42" t="str">
        <f>+IFERROR(VLOOKUP(E577,'DANH MỤC'!$C:$H,2,0),"")</f>
        <v>Ống lõi giấy phi 120x7x90mm</v>
      </c>
      <c r="G577" s="42" t="str">
        <f>+IFERROR(VLOOKUP(E577,'DANH MỤC'!$C:$H,6,0),"")</f>
        <v>Cái</v>
      </c>
      <c r="H577" s="42">
        <f>+IFERROR(VLOOKUP(E577,'DANH MỤC'!$C:$H,3,0),"")</f>
        <v>120</v>
      </c>
      <c r="I577" s="42">
        <f>+IFERROR(VLOOKUP(E577,'DANH MỤC'!$C:$H,4,0),"")</f>
        <v>70</v>
      </c>
      <c r="J577" s="42">
        <f>+IFERROR(VLOOKUP(E577,'DANH MỤC'!$C:$H,5,0),"")</f>
        <v>90</v>
      </c>
      <c r="K577" s="53"/>
      <c r="L577" s="58">
        <v>144.0</v>
      </c>
      <c r="M577" s="55"/>
      <c r="N577" s="55"/>
    </row>
    <row r="578" ht="15.75" customHeight="1">
      <c r="A578" s="53">
        <f t="shared" si="1"/>
        <v>573</v>
      </c>
      <c r="B578" s="55" t="s">
        <v>371</v>
      </c>
      <c r="C578" s="41">
        <v>45713.0</v>
      </c>
      <c r="D578" s="42" t="s">
        <v>511</v>
      </c>
      <c r="E578" s="42" t="s">
        <v>107</v>
      </c>
      <c r="F578" s="42" t="str">
        <f>+IFERROR(VLOOKUP(E578,'DANH MỤC'!$C:$H,2,0),"")</f>
        <v>Pallet gỗ 1200x1200x130mm</v>
      </c>
      <c r="G578" s="42" t="str">
        <f>+IFERROR(VLOOKUP(E578,'DANH MỤC'!$C:$H,6,0),"")</f>
        <v>Bộ</v>
      </c>
      <c r="H578" s="42">
        <f>+IFERROR(VLOOKUP(E578,'DANH MỤC'!$C:$H,3,0),"")</f>
        <v>1200</v>
      </c>
      <c r="I578" s="42">
        <f>+IFERROR(VLOOKUP(E578,'DANH MỤC'!$C:$H,4,0),"")</f>
        <v>1200</v>
      </c>
      <c r="J578" s="42">
        <f>+IFERROR(VLOOKUP(E578,'DANH MỤC'!$C:$H,5,0),"")</f>
        <v>130</v>
      </c>
      <c r="K578" s="53"/>
      <c r="L578" s="58">
        <v>2.0</v>
      </c>
      <c r="M578" s="55"/>
      <c r="N578" s="55"/>
    </row>
    <row r="579" ht="15.75" customHeight="1">
      <c r="A579" s="53">
        <f t="shared" si="1"/>
        <v>574</v>
      </c>
      <c r="B579" s="55" t="s">
        <v>371</v>
      </c>
      <c r="C579" s="41">
        <v>45713.0</v>
      </c>
      <c r="D579" s="42" t="s">
        <v>511</v>
      </c>
      <c r="E579" s="42" t="s">
        <v>156</v>
      </c>
      <c r="F579" s="42" t="str">
        <f>+IFERROR(VLOOKUP(E579,'DANH MỤC'!$C:$H,2,0),"")</f>
        <v>Nẹp gỗ pallet dài 1.15m</v>
      </c>
      <c r="G579" s="42" t="str">
        <f>+IFERROR(VLOOKUP(E579,'DANH MỤC'!$C:$H,6,0),"")</f>
        <v>Cái</v>
      </c>
      <c r="H579" s="42" t="str">
        <f>+IFERROR(VLOOKUP(E579,'DANH MỤC'!$C:$H,3,0),"")</f>
        <v/>
      </c>
      <c r="I579" s="42" t="str">
        <f>+IFERROR(VLOOKUP(E579,'DANH MỤC'!$C:$H,4,0),"")</f>
        <v/>
      </c>
      <c r="J579" s="42">
        <f>+IFERROR(VLOOKUP(E579,'DANH MỤC'!$C:$H,5,0),"")</f>
        <v>1150</v>
      </c>
      <c r="K579" s="53"/>
      <c r="L579" s="58">
        <v>8.0</v>
      </c>
      <c r="M579" s="55"/>
      <c r="N579" s="55"/>
    </row>
    <row r="580" ht="15.75" customHeight="1">
      <c r="A580" s="53">
        <f t="shared" si="1"/>
        <v>575</v>
      </c>
      <c r="B580" s="55" t="s">
        <v>371</v>
      </c>
      <c r="C580" s="41">
        <v>45713.0</v>
      </c>
      <c r="D580" s="42" t="s">
        <v>249</v>
      </c>
      <c r="E580" s="42" t="s">
        <v>123</v>
      </c>
      <c r="F580" s="42" t="str">
        <f>+IFERROR(VLOOKUP(E580,'DANH MỤC'!$C:$H,2,0),"")</f>
        <v>Lưỡi gà trắng 90mm x 800m x 250gsm</v>
      </c>
      <c r="G580" s="42" t="str">
        <f>+IFERROR(VLOOKUP(E580,'DANH MỤC'!$C:$H,6,0),"")</f>
        <v>Cuộn</v>
      </c>
      <c r="H580" s="42">
        <f>+IFERROR(VLOOKUP(E580,'DANH MỤC'!$C:$H,3,0),"")</f>
        <v>250</v>
      </c>
      <c r="I580" s="42">
        <f>+IFERROR(VLOOKUP(E580,'DANH MỤC'!$C:$H,4,0),"")</f>
        <v>90</v>
      </c>
      <c r="J580" s="42">
        <f>+IFERROR(VLOOKUP(E580,'DANH MỤC'!$C:$H,5,0),"")</f>
        <v>800</v>
      </c>
      <c r="K580" s="53">
        <v>144.0</v>
      </c>
      <c r="L580" s="58"/>
      <c r="M580" s="55"/>
      <c r="N580" s="55"/>
    </row>
    <row r="581" ht="15.75" customHeight="1">
      <c r="A581" s="53">
        <f t="shared" si="1"/>
        <v>576</v>
      </c>
      <c r="B581" s="55" t="s">
        <v>371</v>
      </c>
      <c r="C581" s="41">
        <v>45714.0</v>
      </c>
      <c r="D581" s="42" t="s">
        <v>511</v>
      </c>
      <c r="E581" s="42" t="s">
        <v>183</v>
      </c>
      <c r="F581" s="42" t="str">
        <f>+IFERROR(VLOOKUP(E581,'DANH MỤC'!$C:$H,2,0),"")</f>
        <v>Ống lõi giấy phi 120x7x90mm</v>
      </c>
      <c r="G581" s="42" t="str">
        <f>+IFERROR(VLOOKUP(E581,'DANH MỤC'!$C:$H,6,0),"")</f>
        <v>Cái</v>
      </c>
      <c r="H581" s="42">
        <f>+IFERROR(VLOOKUP(E581,'DANH MỤC'!$C:$H,3,0),"")</f>
        <v>120</v>
      </c>
      <c r="I581" s="42">
        <f>+IFERROR(VLOOKUP(E581,'DANH MỤC'!$C:$H,4,0),"")</f>
        <v>70</v>
      </c>
      <c r="J581" s="42">
        <f>+IFERROR(VLOOKUP(E581,'DANH MỤC'!$C:$H,5,0),"")</f>
        <v>90</v>
      </c>
      <c r="K581" s="53"/>
      <c r="L581" s="58">
        <v>144.0</v>
      </c>
      <c r="M581" s="55"/>
      <c r="N581" s="55"/>
    </row>
    <row r="582" ht="15.75" customHeight="1">
      <c r="A582" s="53">
        <f t="shared" si="1"/>
        <v>577</v>
      </c>
      <c r="B582" s="55" t="s">
        <v>371</v>
      </c>
      <c r="C582" s="41">
        <v>45714.0</v>
      </c>
      <c r="D582" s="42" t="s">
        <v>511</v>
      </c>
      <c r="E582" s="42" t="s">
        <v>107</v>
      </c>
      <c r="F582" s="42" t="str">
        <f>+IFERROR(VLOOKUP(E582,'DANH MỤC'!$C:$H,2,0),"")</f>
        <v>Pallet gỗ 1200x1200x130mm</v>
      </c>
      <c r="G582" s="42" t="str">
        <f>+IFERROR(VLOOKUP(E582,'DANH MỤC'!$C:$H,6,0),"")</f>
        <v>Bộ</v>
      </c>
      <c r="H582" s="42">
        <f>+IFERROR(VLOOKUP(E582,'DANH MỤC'!$C:$H,3,0),"")</f>
        <v>1200</v>
      </c>
      <c r="I582" s="42">
        <f>+IFERROR(VLOOKUP(E582,'DANH MỤC'!$C:$H,4,0),"")</f>
        <v>1200</v>
      </c>
      <c r="J582" s="42">
        <f>+IFERROR(VLOOKUP(E582,'DANH MỤC'!$C:$H,5,0),"")</f>
        <v>130</v>
      </c>
      <c r="K582" s="53"/>
      <c r="L582" s="58">
        <v>3.0</v>
      </c>
      <c r="M582" s="55"/>
      <c r="N582" s="55"/>
    </row>
    <row r="583" ht="15.75" customHeight="1">
      <c r="A583" s="53">
        <f t="shared" si="1"/>
        <v>578</v>
      </c>
      <c r="B583" s="55" t="s">
        <v>371</v>
      </c>
      <c r="C583" s="41">
        <v>45714.0</v>
      </c>
      <c r="D583" s="42" t="s">
        <v>511</v>
      </c>
      <c r="E583" s="42" t="s">
        <v>156</v>
      </c>
      <c r="F583" s="42" t="str">
        <f>+IFERROR(VLOOKUP(E583,'DANH MỤC'!$C:$H,2,0),"")</f>
        <v>Nẹp gỗ pallet dài 1.15m</v>
      </c>
      <c r="G583" s="42" t="str">
        <f>+IFERROR(VLOOKUP(E583,'DANH MỤC'!$C:$H,6,0),"")</f>
        <v>Cái</v>
      </c>
      <c r="H583" s="42" t="str">
        <f>+IFERROR(VLOOKUP(E583,'DANH MỤC'!$C:$H,3,0),"")</f>
        <v/>
      </c>
      <c r="I583" s="42" t="str">
        <f>+IFERROR(VLOOKUP(E583,'DANH MỤC'!$C:$H,4,0),"")</f>
        <v/>
      </c>
      <c r="J583" s="42">
        <f>+IFERROR(VLOOKUP(E583,'DANH MỤC'!$C:$H,5,0),"")</f>
        <v>1150</v>
      </c>
      <c r="K583" s="53"/>
      <c r="L583" s="58">
        <v>12.0</v>
      </c>
      <c r="M583" s="55"/>
      <c r="N583" s="55"/>
    </row>
    <row r="584" ht="15.75" customHeight="1">
      <c r="A584" s="53">
        <f t="shared" si="1"/>
        <v>579</v>
      </c>
      <c r="B584" s="55" t="s">
        <v>371</v>
      </c>
      <c r="C584" s="41">
        <v>45714.0</v>
      </c>
      <c r="D584" s="42" t="s">
        <v>249</v>
      </c>
      <c r="E584" s="42" t="s">
        <v>123</v>
      </c>
      <c r="F584" s="42" t="str">
        <f>+IFERROR(VLOOKUP(E584,'DANH MỤC'!$C:$H,2,0),"")</f>
        <v>Lưỡi gà trắng 90mm x 800m x 250gsm</v>
      </c>
      <c r="G584" s="42" t="str">
        <f>+IFERROR(VLOOKUP(E584,'DANH MỤC'!$C:$H,6,0),"")</f>
        <v>Cuộn</v>
      </c>
      <c r="H584" s="42">
        <f>+IFERROR(VLOOKUP(E584,'DANH MỤC'!$C:$H,3,0),"")</f>
        <v>250</v>
      </c>
      <c r="I584" s="42">
        <f>+IFERROR(VLOOKUP(E584,'DANH MỤC'!$C:$H,4,0),"")</f>
        <v>90</v>
      </c>
      <c r="J584" s="42">
        <f>+IFERROR(VLOOKUP(E584,'DANH MỤC'!$C:$H,5,0),"")</f>
        <v>800</v>
      </c>
      <c r="K584" s="53">
        <v>144.0</v>
      </c>
      <c r="L584" s="58"/>
      <c r="M584" s="55"/>
      <c r="N584" s="55"/>
    </row>
    <row r="585" ht="15.75" customHeight="1">
      <c r="A585" s="53">
        <f t="shared" si="1"/>
        <v>580</v>
      </c>
      <c r="B585" s="55" t="s">
        <v>371</v>
      </c>
      <c r="C585" s="41">
        <v>45715.0</v>
      </c>
      <c r="D585" s="42" t="s">
        <v>511</v>
      </c>
      <c r="E585" s="42" t="s">
        <v>183</v>
      </c>
      <c r="F585" s="42" t="str">
        <f>+IFERROR(VLOOKUP(E585,'DANH MỤC'!$C:$H,2,0),"")</f>
        <v>Ống lõi giấy phi 120x7x90mm</v>
      </c>
      <c r="G585" s="42" t="str">
        <f>+IFERROR(VLOOKUP(E585,'DANH MỤC'!$C:$H,6,0),"")</f>
        <v>Cái</v>
      </c>
      <c r="H585" s="42">
        <f>+IFERROR(VLOOKUP(E585,'DANH MỤC'!$C:$H,3,0),"")</f>
        <v>120</v>
      </c>
      <c r="I585" s="42">
        <f>+IFERROR(VLOOKUP(E585,'DANH MỤC'!$C:$H,4,0),"")</f>
        <v>70</v>
      </c>
      <c r="J585" s="42">
        <f>+IFERROR(VLOOKUP(E585,'DANH MỤC'!$C:$H,5,0),"")</f>
        <v>90</v>
      </c>
      <c r="K585" s="53"/>
      <c r="L585" s="58">
        <v>146.0</v>
      </c>
      <c r="M585" s="55"/>
      <c r="N585" s="55"/>
    </row>
    <row r="586" ht="15.75" customHeight="1">
      <c r="A586" s="53">
        <f t="shared" si="1"/>
        <v>581</v>
      </c>
      <c r="B586" s="55" t="s">
        <v>371</v>
      </c>
      <c r="C586" s="41">
        <v>45715.0</v>
      </c>
      <c r="D586" s="42" t="s">
        <v>511</v>
      </c>
      <c r="E586" s="42" t="s">
        <v>107</v>
      </c>
      <c r="F586" s="42" t="str">
        <f>+IFERROR(VLOOKUP(E586,'DANH MỤC'!$C:$H,2,0),"")</f>
        <v>Pallet gỗ 1200x1200x130mm</v>
      </c>
      <c r="G586" s="42" t="str">
        <f>+IFERROR(VLOOKUP(E586,'DANH MỤC'!$C:$H,6,0),"")</f>
        <v>Bộ</v>
      </c>
      <c r="H586" s="42">
        <f>+IFERROR(VLOOKUP(E586,'DANH MỤC'!$C:$H,3,0),"")</f>
        <v>1200</v>
      </c>
      <c r="I586" s="42">
        <f>+IFERROR(VLOOKUP(E586,'DANH MỤC'!$C:$H,4,0),"")</f>
        <v>1200</v>
      </c>
      <c r="J586" s="42">
        <f>+IFERROR(VLOOKUP(E586,'DANH MỤC'!$C:$H,5,0),"")</f>
        <v>130</v>
      </c>
      <c r="K586" s="53"/>
      <c r="L586" s="58">
        <v>3.0</v>
      </c>
      <c r="M586" s="55"/>
      <c r="N586" s="55"/>
    </row>
    <row r="587" ht="15.75" customHeight="1">
      <c r="A587" s="53">
        <f t="shared" si="1"/>
        <v>582</v>
      </c>
      <c r="B587" s="55" t="s">
        <v>371</v>
      </c>
      <c r="C587" s="41">
        <v>45715.0</v>
      </c>
      <c r="D587" s="42" t="s">
        <v>511</v>
      </c>
      <c r="E587" s="42" t="s">
        <v>156</v>
      </c>
      <c r="F587" s="42" t="str">
        <f>+IFERROR(VLOOKUP(E587,'DANH MỤC'!$C:$H,2,0),"")</f>
        <v>Nẹp gỗ pallet dài 1.15m</v>
      </c>
      <c r="G587" s="42" t="str">
        <f>+IFERROR(VLOOKUP(E587,'DANH MỤC'!$C:$H,6,0),"")</f>
        <v>Cái</v>
      </c>
      <c r="H587" s="42" t="str">
        <f>+IFERROR(VLOOKUP(E587,'DANH MỤC'!$C:$H,3,0),"")</f>
        <v/>
      </c>
      <c r="I587" s="42" t="str">
        <f>+IFERROR(VLOOKUP(E587,'DANH MỤC'!$C:$H,4,0),"")</f>
        <v/>
      </c>
      <c r="J587" s="42">
        <f>+IFERROR(VLOOKUP(E587,'DANH MỤC'!$C:$H,5,0),"")</f>
        <v>1150</v>
      </c>
      <c r="K587" s="53"/>
      <c r="L587" s="58">
        <v>12.0</v>
      </c>
      <c r="M587" s="55"/>
      <c r="N587" s="55"/>
    </row>
    <row r="588" ht="15.75" customHeight="1">
      <c r="A588" s="53">
        <f t="shared" si="1"/>
        <v>583</v>
      </c>
      <c r="B588" s="55" t="s">
        <v>371</v>
      </c>
      <c r="C588" s="41">
        <v>45715.0</v>
      </c>
      <c r="D588" s="42" t="s">
        <v>249</v>
      </c>
      <c r="E588" s="42" t="s">
        <v>123</v>
      </c>
      <c r="F588" s="42" t="str">
        <f>+IFERROR(VLOOKUP(E588,'DANH MỤC'!$C:$H,2,0),"")</f>
        <v>Lưỡi gà trắng 90mm x 800m x 250gsm</v>
      </c>
      <c r="G588" s="42" t="str">
        <f>+IFERROR(VLOOKUP(E588,'DANH MỤC'!$C:$H,6,0),"")</f>
        <v>Cuộn</v>
      </c>
      <c r="H588" s="42">
        <f>+IFERROR(VLOOKUP(E588,'DANH MỤC'!$C:$H,3,0),"")</f>
        <v>250</v>
      </c>
      <c r="I588" s="42">
        <f>+IFERROR(VLOOKUP(E588,'DANH MỤC'!$C:$H,4,0),"")</f>
        <v>90</v>
      </c>
      <c r="J588" s="42">
        <f>+IFERROR(VLOOKUP(E588,'DANH MỤC'!$C:$H,5,0),"")</f>
        <v>800</v>
      </c>
      <c r="K588" s="53">
        <v>144.0</v>
      </c>
      <c r="L588" s="58"/>
      <c r="M588" s="55"/>
      <c r="N588" s="55"/>
    </row>
    <row r="589" ht="15.75" customHeight="1">
      <c r="A589" s="53">
        <f t="shared" si="1"/>
        <v>584</v>
      </c>
      <c r="B589" s="55" t="s">
        <v>371</v>
      </c>
      <c r="C589" s="41">
        <v>45716.0</v>
      </c>
      <c r="D589" s="42" t="s">
        <v>511</v>
      </c>
      <c r="E589" s="42" t="s">
        <v>183</v>
      </c>
      <c r="F589" s="42" t="str">
        <f>+IFERROR(VLOOKUP(E589,'DANH MỤC'!$C:$H,2,0),"")</f>
        <v>Ống lõi giấy phi 120x7x90mm</v>
      </c>
      <c r="G589" s="42" t="str">
        <f>+IFERROR(VLOOKUP(E589,'DANH MỤC'!$C:$H,6,0),"")</f>
        <v>Cái</v>
      </c>
      <c r="H589" s="42">
        <f>+IFERROR(VLOOKUP(E589,'DANH MỤC'!$C:$H,3,0),"")</f>
        <v>120</v>
      </c>
      <c r="I589" s="42">
        <f>+IFERROR(VLOOKUP(E589,'DANH MỤC'!$C:$H,4,0),"")</f>
        <v>70</v>
      </c>
      <c r="J589" s="42">
        <f>+IFERROR(VLOOKUP(E589,'DANH MỤC'!$C:$H,5,0),"")</f>
        <v>90</v>
      </c>
      <c r="K589" s="53"/>
      <c r="L589" s="58">
        <v>140.0</v>
      </c>
      <c r="M589" s="55"/>
      <c r="N589" s="55"/>
    </row>
    <row r="590" ht="15.75" customHeight="1">
      <c r="A590" s="53">
        <f t="shared" si="1"/>
        <v>585</v>
      </c>
      <c r="B590" s="55" t="s">
        <v>371</v>
      </c>
      <c r="C590" s="41">
        <v>45716.0</v>
      </c>
      <c r="D590" s="42" t="s">
        <v>511</v>
      </c>
      <c r="E590" s="42" t="s">
        <v>107</v>
      </c>
      <c r="F590" s="42" t="str">
        <f>+IFERROR(VLOOKUP(E590,'DANH MỤC'!$C:$H,2,0),"")</f>
        <v>Pallet gỗ 1200x1200x130mm</v>
      </c>
      <c r="G590" s="42" t="str">
        <f>+IFERROR(VLOOKUP(E590,'DANH MỤC'!$C:$H,6,0),"")</f>
        <v>Bộ</v>
      </c>
      <c r="H590" s="42">
        <f>+IFERROR(VLOOKUP(E590,'DANH MỤC'!$C:$H,3,0),"")</f>
        <v>1200</v>
      </c>
      <c r="I590" s="42">
        <f>+IFERROR(VLOOKUP(E590,'DANH MỤC'!$C:$H,4,0),"")</f>
        <v>1200</v>
      </c>
      <c r="J590" s="42">
        <f>+IFERROR(VLOOKUP(E590,'DANH MỤC'!$C:$H,5,0),"")</f>
        <v>130</v>
      </c>
      <c r="K590" s="53"/>
      <c r="L590" s="58">
        <v>2.0</v>
      </c>
      <c r="M590" s="55"/>
      <c r="N590" s="55"/>
    </row>
    <row r="591" ht="15.75" customHeight="1">
      <c r="A591" s="53">
        <f t="shared" si="1"/>
        <v>586</v>
      </c>
      <c r="B591" s="55" t="s">
        <v>371</v>
      </c>
      <c r="C591" s="41">
        <v>45716.0</v>
      </c>
      <c r="D591" s="42" t="s">
        <v>511</v>
      </c>
      <c r="E591" s="42" t="s">
        <v>156</v>
      </c>
      <c r="F591" s="42" t="str">
        <f>+IFERROR(VLOOKUP(E591,'DANH MỤC'!$C:$H,2,0),"")</f>
        <v>Nẹp gỗ pallet dài 1.15m</v>
      </c>
      <c r="G591" s="42" t="str">
        <f>+IFERROR(VLOOKUP(E591,'DANH MỤC'!$C:$H,6,0),"")</f>
        <v>Cái</v>
      </c>
      <c r="H591" s="42" t="str">
        <f>+IFERROR(VLOOKUP(E591,'DANH MỤC'!$C:$H,3,0),"")</f>
        <v/>
      </c>
      <c r="I591" s="42" t="str">
        <f>+IFERROR(VLOOKUP(E591,'DANH MỤC'!$C:$H,4,0),"")</f>
        <v/>
      </c>
      <c r="J591" s="42">
        <f>+IFERROR(VLOOKUP(E591,'DANH MỤC'!$C:$H,5,0),"")</f>
        <v>1150</v>
      </c>
      <c r="K591" s="53"/>
      <c r="L591" s="58">
        <v>8.0</v>
      </c>
      <c r="M591" s="55"/>
      <c r="N591" s="55"/>
    </row>
    <row r="592" ht="15.75" customHeight="1">
      <c r="A592" s="53">
        <f t="shared" si="1"/>
        <v>587</v>
      </c>
      <c r="B592" s="55" t="s">
        <v>371</v>
      </c>
      <c r="C592" s="41">
        <v>45716.0</v>
      </c>
      <c r="D592" s="42" t="s">
        <v>511</v>
      </c>
      <c r="E592" s="42" t="s">
        <v>115</v>
      </c>
      <c r="F592" s="42" t="str">
        <f>+IFERROR(VLOOKUP(E592,'DANH MỤC'!$C:$H,2,0),"")</f>
        <v>Màng Strecth Film 5.0-0.6kg</v>
      </c>
      <c r="G592" s="42" t="str">
        <f>+IFERROR(VLOOKUP(E592,'DANH MỤC'!$C:$H,6,0),"")</f>
        <v>Kg</v>
      </c>
      <c r="H592" s="42" t="str">
        <f>+IFERROR(VLOOKUP(E592,'DANH MỤC'!$C:$H,3,0),"")</f>
        <v/>
      </c>
      <c r="I592" s="42" t="str">
        <f>+IFERROR(VLOOKUP(E592,'DANH MỤC'!$C:$H,4,0),"")</f>
        <v/>
      </c>
      <c r="J592" s="42" t="str">
        <f>+IFERROR(VLOOKUP(E592,'DANH MỤC'!$C:$H,5,0),"")</f>
        <v/>
      </c>
      <c r="K592" s="53"/>
      <c r="L592" s="58">
        <v>9.4185</v>
      </c>
      <c r="M592" s="55"/>
      <c r="N592" s="55"/>
    </row>
    <row r="593" ht="15.75" customHeight="1">
      <c r="A593" s="53">
        <f t="shared" si="1"/>
        <v>588</v>
      </c>
      <c r="B593" s="55" t="s">
        <v>371</v>
      </c>
      <c r="C593" s="41">
        <v>45716.0</v>
      </c>
      <c r="D593" s="42" t="s">
        <v>511</v>
      </c>
      <c r="E593" s="42" t="s">
        <v>112</v>
      </c>
      <c r="F593" s="42" t="str">
        <f>+IFERROR(VLOOKUP(E593,'DANH MỤC'!$C:$H,2,0),"")</f>
        <v>Dây đai PET xanh (B)</v>
      </c>
      <c r="G593" s="42" t="str">
        <f>+IFERROR(VLOOKUP(E593,'DANH MỤC'!$C:$H,6,0),"")</f>
        <v>Kg</v>
      </c>
      <c r="H593" s="42" t="str">
        <f>+IFERROR(VLOOKUP(E593,'DANH MỤC'!$C:$H,3,0),"")</f>
        <v/>
      </c>
      <c r="I593" s="42" t="str">
        <f>+IFERROR(VLOOKUP(E593,'DANH MỤC'!$C:$H,4,0),"")</f>
        <v/>
      </c>
      <c r="J593" s="42" t="str">
        <f>+IFERROR(VLOOKUP(E593,'DANH MỤC'!$C:$H,5,0),"")</f>
        <v/>
      </c>
      <c r="K593" s="53"/>
      <c r="L593" s="58">
        <v>15.939000000000002</v>
      </c>
      <c r="M593" s="55"/>
      <c r="N593" s="55"/>
    </row>
    <row r="594" ht="15.75" customHeight="1">
      <c r="A594" s="53">
        <f t="shared" si="1"/>
        <v>589</v>
      </c>
      <c r="B594" s="55" t="s">
        <v>371</v>
      </c>
      <c r="C594" s="41">
        <v>45716.0</v>
      </c>
      <c r="D594" s="42" t="s">
        <v>511</v>
      </c>
      <c r="E594" s="42" t="s">
        <v>96</v>
      </c>
      <c r="F594" s="42" t="str">
        <f>+IFERROR(VLOOKUP(E594,'DANH MỤC'!$C:$H,2,0),"")</f>
        <v>Giấy bao gói lưỡi gà</v>
      </c>
      <c r="G594" s="42" t="str">
        <f>+IFERROR(VLOOKUP(E594,'DANH MỤC'!$C:$H,6,0),"")</f>
        <v>Kg</v>
      </c>
      <c r="H594" s="42" t="str">
        <f>+IFERROR(VLOOKUP(E594,'DANH MỤC'!$C:$H,3,0),"")</f>
        <v/>
      </c>
      <c r="I594" s="42" t="str">
        <f>+IFERROR(VLOOKUP(E594,'DANH MỤC'!$C:$H,4,0),"")</f>
        <v/>
      </c>
      <c r="J594" s="42" t="str">
        <f>+IFERROR(VLOOKUP(E594,'DANH MỤC'!$C:$H,5,0),"")</f>
        <v/>
      </c>
      <c r="K594" s="53"/>
      <c r="L594" s="58">
        <v>10.0233126</v>
      </c>
      <c r="M594" s="55"/>
      <c r="N594" s="55"/>
    </row>
    <row r="595" ht="15.75" customHeight="1">
      <c r="A595" s="53">
        <f t="shared" si="1"/>
        <v>590</v>
      </c>
      <c r="B595" s="55" t="s">
        <v>371</v>
      </c>
      <c r="C595" s="41">
        <v>45716.0</v>
      </c>
      <c r="D595" s="42" t="s">
        <v>521</v>
      </c>
      <c r="E595" s="42" t="s">
        <v>88</v>
      </c>
      <c r="F595" s="42" t="str">
        <f>+IFERROR(VLOOKUP(E595,'DANH MỤC'!$C:$H,2,0),"")</f>
        <v>Ivory Ningbo</v>
      </c>
      <c r="G595" s="42" t="str">
        <f>+IFERROR(VLOOKUP(E595,'DANH MỤC'!$C:$H,6,0),"")</f>
        <v>Kg</v>
      </c>
      <c r="H595" s="42">
        <f>+IFERROR(VLOOKUP(E595,'DANH MỤC'!$C:$H,3,0),"")</f>
        <v>250</v>
      </c>
      <c r="I595" s="42">
        <f>+IFERROR(VLOOKUP(E595,'DANH MỤC'!$C:$H,4,0),"")</f>
        <v>109</v>
      </c>
      <c r="J595" s="42" t="str">
        <f>+IFERROR(VLOOKUP(E595,'DANH MỤC'!$C:$H,5,0),"")</f>
        <v/>
      </c>
      <c r="K595" s="53">
        <v>405.0</v>
      </c>
      <c r="L595" s="58"/>
      <c r="M595" s="55"/>
      <c r="N595" s="55"/>
    </row>
    <row r="596" ht="15.75" customHeight="1">
      <c r="A596" s="53">
        <f t="shared" si="1"/>
        <v>591</v>
      </c>
      <c r="B596" s="55" t="s">
        <v>371</v>
      </c>
      <c r="C596" s="41">
        <v>45716.0</v>
      </c>
      <c r="D596" s="42" t="s">
        <v>249</v>
      </c>
      <c r="E596" s="42" t="s">
        <v>123</v>
      </c>
      <c r="F596" s="42" t="str">
        <f>+IFERROR(VLOOKUP(E596,'DANH MỤC'!$C:$H,2,0),"")</f>
        <v>Lưỡi gà trắng 90mm x 800m x 250gsm</v>
      </c>
      <c r="G596" s="42" t="str">
        <f>+IFERROR(VLOOKUP(E596,'DANH MỤC'!$C:$H,6,0),"")</f>
        <v>Cuộn</v>
      </c>
      <c r="H596" s="42">
        <f>+IFERROR(VLOOKUP(E596,'DANH MỤC'!$C:$H,3,0),"")</f>
        <v>250</v>
      </c>
      <c r="I596" s="42">
        <f>+IFERROR(VLOOKUP(E596,'DANH MỤC'!$C:$H,4,0),"")</f>
        <v>90</v>
      </c>
      <c r="J596" s="42">
        <f>+IFERROR(VLOOKUP(E596,'DANH MỤC'!$C:$H,5,0),"")</f>
        <v>800</v>
      </c>
      <c r="K596" s="53">
        <v>132.0</v>
      </c>
      <c r="L596" s="58"/>
      <c r="M596" s="55"/>
      <c r="N596" s="55"/>
    </row>
    <row r="597" ht="15.75" customHeight="1">
      <c r="A597" s="53">
        <f t="shared" si="1"/>
        <v>592</v>
      </c>
      <c r="B597" s="55"/>
      <c r="C597" s="41">
        <v>45717.0</v>
      </c>
      <c r="D597" s="42" t="s">
        <v>523</v>
      </c>
      <c r="E597" s="42" t="s">
        <v>110</v>
      </c>
      <c r="F597" s="42" t="str">
        <f>+IFERROR(VLOOKUP(E597,'DANH MỤC'!$C:$H,2,0),"")</f>
        <v>Kraft nâu LG (cuộn)</v>
      </c>
      <c r="G597" s="42" t="str">
        <f>+IFERROR(VLOOKUP(E597,'DANH MỤC'!$C:$H,6,0),"")</f>
        <v>Kg</v>
      </c>
      <c r="H597" s="42" t="str">
        <f>+IFERROR(VLOOKUP(E597,'DANH MỤC'!$C:$H,3,0),"")</f>
        <v/>
      </c>
      <c r="I597" s="42" t="str">
        <f>+IFERROR(VLOOKUP(E597,'DANH MỤC'!$C:$H,4,0),"")</f>
        <v/>
      </c>
      <c r="J597" s="42" t="str">
        <f>+IFERROR(VLOOKUP(E597,'DANH MỤC'!$C:$H,5,0),"")</f>
        <v/>
      </c>
      <c r="K597" s="53"/>
      <c r="L597" s="58">
        <v>250.0</v>
      </c>
      <c r="M597" s="55"/>
      <c r="N597" s="55"/>
    </row>
    <row r="598" ht="15.75" customHeight="1">
      <c r="A598" s="53">
        <f t="shared" si="1"/>
        <v>593</v>
      </c>
      <c r="B598" s="55"/>
      <c r="C598" s="41">
        <v>45717.0</v>
      </c>
      <c r="D598" s="42" t="s">
        <v>125</v>
      </c>
      <c r="E598" s="42" t="s">
        <v>182</v>
      </c>
      <c r="F598" s="42" t="str">
        <f>+IFERROR(VLOOKUP(E598,'DANH MỤC'!$C:$H,2,0),"")</f>
        <v>Ống lõi giấy phi 120x7x71mm</v>
      </c>
      <c r="G598" s="42" t="str">
        <f>+IFERROR(VLOOKUP(E598,'DANH MỤC'!$C:$H,6,0),"")</f>
        <v>Cái</v>
      </c>
      <c r="H598" s="42">
        <f>+IFERROR(VLOOKUP(E598,'DANH MỤC'!$C:$H,3,0),"")</f>
        <v>120</v>
      </c>
      <c r="I598" s="42">
        <f>+IFERROR(VLOOKUP(E598,'DANH MỤC'!$C:$H,4,0),"")</f>
        <v>70</v>
      </c>
      <c r="J598" s="42">
        <f>+IFERROR(VLOOKUP(E598,'DANH MỤC'!$C:$H,5,0),"")</f>
        <v>71</v>
      </c>
      <c r="K598" s="53"/>
      <c r="L598" s="58">
        <v>6.0</v>
      </c>
      <c r="M598" s="55"/>
      <c r="N598" s="55"/>
    </row>
    <row r="599" ht="15.75" customHeight="1">
      <c r="A599" s="53">
        <f t="shared" si="1"/>
        <v>594</v>
      </c>
      <c r="B599" s="55"/>
      <c r="C599" s="41">
        <v>45717.0</v>
      </c>
      <c r="D599" s="42" t="s">
        <v>125</v>
      </c>
      <c r="E599" s="42" t="s">
        <v>183</v>
      </c>
      <c r="F599" s="42" t="str">
        <f>+IFERROR(VLOOKUP(E599,'DANH MỤC'!$C:$H,2,0),"")</f>
        <v>Ống lõi giấy phi 120x7x90mm</v>
      </c>
      <c r="G599" s="42" t="str">
        <f>+IFERROR(VLOOKUP(E599,'DANH MỤC'!$C:$H,6,0),"")</f>
        <v>Cái</v>
      </c>
      <c r="H599" s="42">
        <f>+IFERROR(VLOOKUP(E599,'DANH MỤC'!$C:$H,3,0),"")</f>
        <v>120</v>
      </c>
      <c r="I599" s="42">
        <f>+IFERROR(VLOOKUP(E599,'DANH MỤC'!$C:$H,4,0),"")</f>
        <v>70</v>
      </c>
      <c r="J599" s="42">
        <f>+IFERROR(VLOOKUP(E599,'DANH MỤC'!$C:$H,5,0),"")</f>
        <v>90</v>
      </c>
      <c r="K599" s="53"/>
      <c r="L599" s="58">
        <v>4.0</v>
      </c>
      <c r="M599" s="55"/>
      <c r="N599" s="55"/>
    </row>
    <row r="600" ht="15.75" customHeight="1">
      <c r="A600" s="53">
        <f t="shared" si="1"/>
        <v>595</v>
      </c>
      <c r="B600" s="55"/>
      <c r="C600" s="41">
        <v>45717.0</v>
      </c>
      <c r="D600" s="42" t="s">
        <v>125</v>
      </c>
      <c r="E600" s="42" t="s">
        <v>184</v>
      </c>
      <c r="F600" s="42" t="str">
        <f>+IFERROR(VLOOKUP(E600,'DANH MỤC'!$C:$H,2,0),"")</f>
        <v>Ống lõi giấy phi 120x7x95mm</v>
      </c>
      <c r="G600" s="42" t="str">
        <f>+IFERROR(VLOOKUP(E600,'DANH MỤC'!$C:$H,6,0),"")</f>
        <v>Cái</v>
      </c>
      <c r="H600" s="42">
        <f>+IFERROR(VLOOKUP(E600,'DANH MỤC'!$C:$H,3,0),"")</f>
        <v>120</v>
      </c>
      <c r="I600" s="42">
        <f>+IFERROR(VLOOKUP(E600,'DANH MỤC'!$C:$H,4,0),"")</f>
        <v>70</v>
      </c>
      <c r="J600" s="42">
        <f>+IFERROR(VLOOKUP(E600,'DANH MỤC'!$C:$H,5,0),"")</f>
        <v>95</v>
      </c>
      <c r="K600" s="53"/>
      <c r="L600" s="58">
        <v>15.0</v>
      </c>
      <c r="M600" s="55"/>
      <c r="N600" s="55"/>
    </row>
    <row r="601" ht="15.75" customHeight="1">
      <c r="A601" s="53">
        <f t="shared" si="1"/>
        <v>596</v>
      </c>
      <c r="B601" s="55"/>
      <c r="C601" s="41">
        <v>45717.0</v>
      </c>
      <c r="D601" s="42" t="s">
        <v>125</v>
      </c>
      <c r="E601" s="42" t="s">
        <v>204</v>
      </c>
      <c r="F601" s="42" t="str">
        <f>+IFERROR(VLOOKUP(E601,'DANH MỤC'!$C:$H,2,0),"")</f>
        <v>Ống lõi giấy phi 120x7x98mm</v>
      </c>
      <c r="G601" s="42" t="str">
        <f>+IFERROR(VLOOKUP(E601,'DANH MỤC'!$C:$H,6,0),"")</f>
        <v>Cái</v>
      </c>
      <c r="H601" s="42">
        <f>+IFERROR(VLOOKUP(E601,'DANH MỤC'!$C:$H,3,0),"")</f>
        <v>120</v>
      </c>
      <c r="I601" s="42">
        <f>+IFERROR(VLOOKUP(E601,'DANH MỤC'!$C:$H,4,0),"")</f>
        <v>70</v>
      </c>
      <c r="J601" s="42">
        <f>+IFERROR(VLOOKUP(E601,'DANH MỤC'!$C:$H,5,0),"")</f>
        <v>98</v>
      </c>
      <c r="K601" s="53"/>
      <c r="L601" s="58">
        <v>5.0</v>
      </c>
      <c r="M601" s="55"/>
      <c r="N601" s="55"/>
    </row>
    <row r="602" ht="15.75" customHeight="1">
      <c r="A602" s="53">
        <f t="shared" si="1"/>
        <v>597</v>
      </c>
      <c r="B602" s="55"/>
      <c r="C602" s="41">
        <v>45717.0</v>
      </c>
      <c r="D602" s="42" t="s">
        <v>525</v>
      </c>
      <c r="E602" s="42" t="s">
        <v>96</v>
      </c>
      <c r="F602" s="42" t="str">
        <f>+IFERROR(VLOOKUP(E602,'DANH MỤC'!$C:$H,2,0),"")</f>
        <v>Giấy bao gói lưỡi gà</v>
      </c>
      <c r="G602" s="42" t="str">
        <f>+IFERROR(VLOOKUP(E602,'DANH MỤC'!$C:$H,6,0),"")</f>
        <v>Kg</v>
      </c>
      <c r="H602" s="42" t="str">
        <f>+IFERROR(VLOOKUP(E602,'DANH MỤC'!$C:$H,3,0),"")</f>
        <v/>
      </c>
      <c r="I602" s="42" t="str">
        <f>+IFERROR(VLOOKUP(E602,'DANH MỤC'!$C:$H,4,0),"")</f>
        <v/>
      </c>
      <c r="J602" s="42" t="str">
        <f>+IFERROR(VLOOKUP(E602,'DANH MỤC'!$C:$H,5,0),"")</f>
        <v/>
      </c>
      <c r="K602" s="53">
        <v>240.0</v>
      </c>
      <c r="L602" s="58"/>
      <c r="M602" s="55"/>
      <c r="N602" s="55"/>
    </row>
    <row r="603" ht="15.75" customHeight="1">
      <c r="A603" s="53">
        <f t="shared" si="1"/>
        <v>598</v>
      </c>
      <c r="B603" s="55" t="s">
        <v>374</v>
      </c>
      <c r="C603" s="41">
        <v>45719.0</v>
      </c>
      <c r="D603" s="42" t="s">
        <v>527</v>
      </c>
      <c r="E603" s="42" t="s">
        <v>189</v>
      </c>
      <c r="F603" s="42" t="str">
        <f>+IFERROR(VLOOKUP(E603,'DANH MỤC'!$C:$H,2,0),"")</f>
        <v>Ivory Ningbo</v>
      </c>
      <c r="G603" s="42" t="str">
        <f>+IFERROR(VLOOKUP(E603,'DANH MỤC'!$C:$H,6,0),"")</f>
        <v>Kg</v>
      </c>
      <c r="H603" s="42">
        <f>+IFERROR(VLOOKUP(E603,'DANH MỤC'!$C:$H,3,0),"")</f>
        <v>230</v>
      </c>
      <c r="I603" s="42">
        <f>+IFERROR(VLOOKUP(E603,'DANH MỤC'!$C:$H,4,0),"")</f>
        <v>109</v>
      </c>
      <c r="J603" s="42" t="str">
        <f>+IFERROR(VLOOKUP(E603,'DANH MỤC'!$C:$H,5,0),"")</f>
        <v/>
      </c>
      <c r="K603" s="53"/>
      <c r="L603" s="58">
        <v>11695.0</v>
      </c>
      <c r="M603" s="55"/>
      <c r="N603" s="55"/>
    </row>
    <row r="604" ht="15.75" customHeight="1">
      <c r="A604" s="53">
        <f t="shared" si="1"/>
        <v>599</v>
      </c>
      <c r="B604" s="55" t="s">
        <v>374</v>
      </c>
      <c r="C604" s="41">
        <v>45719.0</v>
      </c>
      <c r="D604" s="42" t="s">
        <v>528</v>
      </c>
      <c r="E604" s="42" t="s">
        <v>204</v>
      </c>
      <c r="F604" s="42" t="str">
        <f>+IFERROR(VLOOKUP(E604,'DANH MỤC'!$C:$H,2,0),"")</f>
        <v>Ống lõi giấy phi 120x7x98mm</v>
      </c>
      <c r="G604" s="42" t="str">
        <f>+IFERROR(VLOOKUP(E604,'DANH MỤC'!$C:$H,6,0),"")</f>
        <v>Cái</v>
      </c>
      <c r="H604" s="42">
        <f>+IFERROR(VLOOKUP(E604,'DANH MỤC'!$C:$H,3,0),"")</f>
        <v>120</v>
      </c>
      <c r="I604" s="42">
        <f>+IFERROR(VLOOKUP(E604,'DANH MỤC'!$C:$H,4,0),"")</f>
        <v>70</v>
      </c>
      <c r="J604" s="42">
        <f>+IFERROR(VLOOKUP(E604,'DANH MỤC'!$C:$H,5,0),"")</f>
        <v>98</v>
      </c>
      <c r="K604" s="53"/>
      <c r="L604" s="58">
        <v>76.0</v>
      </c>
      <c r="M604" s="55"/>
      <c r="N604" s="55"/>
    </row>
    <row r="605" ht="15.75" customHeight="1">
      <c r="A605" s="53">
        <f t="shared" si="1"/>
        <v>600</v>
      </c>
      <c r="B605" s="55" t="s">
        <v>374</v>
      </c>
      <c r="C605" s="41">
        <v>45719.0</v>
      </c>
      <c r="D605" s="42" t="s">
        <v>528</v>
      </c>
      <c r="E605" s="42" t="s">
        <v>184</v>
      </c>
      <c r="F605" s="42" t="str">
        <f>+IFERROR(VLOOKUP(E605,'DANH MỤC'!$C:$H,2,0),"")</f>
        <v>Ống lõi giấy phi 120x7x95mm</v>
      </c>
      <c r="G605" s="42" t="str">
        <f>+IFERROR(VLOOKUP(E605,'DANH MỤC'!$C:$H,6,0),"")</f>
        <v>Cái</v>
      </c>
      <c r="H605" s="42">
        <f>+IFERROR(VLOOKUP(E605,'DANH MỤC'!$C:$H,3,0),"")</f>
        <v>120</v>
      </c>
      <c r="I605" s="42">
        <f>+IFERROR(VLOOKUP(E605,'DANH MỤC'!$C:$H,4,0),"")</f>
        <v>70</v>
      </c>
      <c r="J605" s="42">
        <f>+IFERROR(VLOOKUP(E605,'DANH MỤC'!$C:$H,5,0),"")</f>
        <v>95</v>
      </c>
      <c r="K605" s="53"/>
      <c r="L605" s="58">
        <v>1.0</v>
      </c>
      <c r="M605" s="55"/>
      <c r="N605" s="55"/>
    </row>
    <row r="606" ht="15.75" customHeight="1">
      <c r="A606" s="53">
        <f t="shared" si="1"/>
        <v>601</v>
      </c>
      <c r="B606" s="55" t="s">
        <v>374</v>
      </c>
      <c r="C606" s="41">
        <v>45719.0</v>
      </c>
      <c r="D606" s="42" t="s">
        <v>528</v>
      </c>
      <c r="E606" s="42" t="s">
        <v>107</v>
      </c>
      <c r="F606" s="42" t="str">
        <f>+IFERROR(VLOOKUP(E606,'DANH MỤC'!$C:$H,2,0),"")</f>
        <v>Pallet gỗ 1200x1200x130mm</v>
      </c>
      <c r="G606" s="42" t="str">
        <f>+IFERROR(VLOOKUP(E606,'DANH MỤC'!$C:$H,6,0),"")</f>
        <v>Bộ</v>
      </c>
      <c r="H606" s="42">
        <f>+IFERROR(VLOOKUP(E606,'DANH MỤC'!$C:$H,3,0),"")</f>
        <v>1200</v>
      </c>
      <c r="I606" s="42">
        <f>+IFERROR(VLOOKUP(E606,'DANH MỤC'!$C:$H,4,0),"")</f>
        <v>1200</v>
      </c>
      <c r="J606" s="42">
        <f>+IFERROR(VLOOKUP(E606,'DANH MỤC'!$C:$H,5,0),"")</f>
        <v>130</v>
      </c>
      <c r="K606" s="53"/>
      <c r="L606" s="58">
        <v>1.0</v>
      </c>
      <c r="M606" s="55"/>
      <c r="N606" s="55"/>
    </row>
    <row r="607" ht="15.75" customHeight="1">
      <c r="A607" s="53">
        <f t="shared" si="1"/>
        <v>602</v>
      </c>
      <c r="B607" s="55" t="s">
        <v>374</v>
      </c>
      <c r="C607" s="41">
        <v>45719.0</v>
      </c>
      <c r="D607" s="42" t="s">
        <v>249</v>
      </c>
      <c r="E607" s="42" t="s">
        <v>120</v>
      </c>
      <c r="F607" s="42" t="str">
        <f>+IFERROR(VLOOKUP(E607,'DANH MỤC'!$C:$H,2,0),"")</f>
        <v>Lưỡi gà trắng 98mm x 800m x 230gsm</v>
      </c>
      <c r="G607" s="42" t="str">
        <f>+IFERROR(VLOOKUP(E607,'DANH MỤC'!$C:$H,6,0),"")</f>
        <v>Cuộn</v>
      </c>
      <c r="H607" s="42">
        <f>+IFERROR(VLOOKUP(E607,'DANH MỤC'!$C:$H,3,0),"")</f>
        <v>230</v>
      </c>
      <c r="I607" s="42">
        <f>+IFERROR(VLOOKUP(E607,'DANH MỤC'!$C:$H,4,0),"")</f>
        <v>98</v>
      </c>
      <c r="J607" s="42">
        <f>+IFERROR(VLOOKUP(E607,'DANH MỤC'!$C:$H,5,0),"")</f>
        <v>800</v>
      </c>
      <c r="K607" s="53">
        <v>76.0</v>
      </c>
      <c r="L607" s="58"/>
      <c r="M607" s="55"/>
      <c r="N607" s="55"/>
    </row>
    <row r="608" ht="15.75" customHeight="1">
      <c r="A608" s="53">
        <f t="shared" si="1"/>
        <v>603</v>
      </c>
      <c r="B608" s="55" t="s">
        <v>374</v>
      </c>
      <c r="C608" s="41">
        <v>45719.0</v>
      </c>
      <c r="D608" s="42" t="s">
        <v>249</v>
      </c>
      <c r="E608" s="42" t="s">
        <v>113</v>
      </c>
      <c r="F608" s="42" t="str">
        <f>+IFERROR(VLOOKUP(E608,'DANH MỤC'!$C:$H,2,0),"")</f>
        <v>Lưỡi gà trắng 95mm x 800m x 230gsm</v>
      </c>
      <c r="G608" s="42" t="str">
        <f>+IFERROR(VLOOKUP(E608,'DANH MỤC'!$C:$H,6,0),"")</f>
        <v>Cuộn</v>
      </c>
      <c r="H608" s="42">
        <f>+IFERROR(VLOOKUP(E608,'DANH MỤC'!$C:$H,3,0),"")</f>
        <v>230</v>
      </c>
      <c r="I608" s="42">
        <f>+IFERROR(VLOOKUP(E608,'DANH MỤC'!$C:$H,4,0),"")</f>
        <v>95</v>
      </c>
      <c r="J608" s="42">
        <f>+IFERROR(VLOOKUP(E608,'DANH MỤC'!$C:$H,5,0),"")</f>
        <v>800</v>
      </c>
      <c r="K608" s="53">
        <v>1.0</v>
      </c>
      <c r="L608" s="58"/>
      <c r="M608" s="55"/>
      <c r="N608" s="55"/>
    </row>
    <row r="609" ht="15.75" customHeight="1">
      <c r="A609" s="53">
        <f t="shared" si="1"/>
        <v>604</v>
      </c>
      <c r="B609" s="55" t="s">
        <v>374</v>
      </c>
      <c r="C609" s="41">
        <v>45720.0</v>
      </c>
      <c r="D609" s="42" t="s">
        <v>528</v>
      </c>
      <c r="E609" s="42" t="s">
        <v>204</v>
      </c>
      <c r="F609" s="42" t="str">
        <f>+IFERROR(VLOOKUP(E609,'DANH MỤC'!$C:$H,2,0),"")</f>
        <v>Ống lõi giấy phi 120x7x98mm</v>
      </c>
      <c r="G609" s="42" t="str">
        <f>+IFERROR(VLOOKUP(E609,'DANH MỤC'!$C:$H,6,0),"")</f>
        <v>Cái</v>
      </c>
      <c r="H609" s="42">
        <f>+IFERROR(VLOOKUP(E609,'DANH MỤC'!$C:$H,3,0),"")</f>
        <v>120</v>
      </c>
      <c r="I609" s="42">
        <f>+IFERROR(VLOOKUP(E609,'DANH MỤC'!$C:$H,4,0),"")</f>
        <v>70</v>
      </c>
      <c r="J609" s="42">
        <f>+IFERROR(VLOOKUP(E609,'DANH MỤC'!$C:$H,5,0),"")</f>
        <v>98</v>
      </c>
      <c r="K609" s="53"/>
      <c r="L609" s="58">
        <v>132.0</v>
      </c>
      <c r="M609" s="55"/>
      <c r="N609" s="55"/>
    </row>
    <row r="610" ht="15.75" customHeight="1">
      <c r="A610" s="53">
        <f t="shared" si="1"/>
        <v>605</v>
      </c>
      <c r="B610" s="55" t="s">
        <v>374</v>
      </c>
      <c r="C610" s="41">
        <v>45720.0</v>
      </c>
      <c r="D610" s="42" t="s">
        <v>528</v>
      </c>
      <c r="E610" s="42" t="s">
        <v>107</v>
      </c>
      <c r="F610" s="42" t="str">
        <f>+IFERROR(VLOOKUP(E610,'DANH MỤC'!$C:$H,2,0),"")</f>
        <v>Pallet gỗ 1200x1200x130mm</v>
      </c>
      <c r="G610" s="42" t="str">
        <f>+IFERROR(VLOOKUP(E610,'DANH MỤC'!$C:$H,6,0),"")</f>
        <v>Bộ</v>
      </c>
      <c r="H610" s="42">
        <f>+IFERROR(VLOOKUP(E610,'DANH MỤC'!$C:$H,3,0),"")</f>
        <v>1200</v>
      </c>
      <c r="I610" s="42">
        <f>+IFERROR(VLOOKUP(E610,'DANH MỤC'!$C:$H,4,0),"")</f>
        <v>1200</v>
      </c>
      <c r="J610" s="42">
        <f>+IFERROR(VLOOKUP(E610,'DANH MỤC'!$C:$H,5,0),"")</f>
        <v>130</v>
      </c>
      <c r="K610" s="53"/>
      <c r="L610" s="58">
        <v>2.0</v>
      </c>
      <c r="M610" s="55"/>
      <c r="N610" s="55"/>
    </row>
    <row r="611" ht="15.75" customHeight="1">
      <c r="A611" s="53">
        <f t="shared" si="1"/>
        <v>606</v>
      </c>
      <c r="B611" s="55" t="s">
        <v>374</v>
      </c>
      <c r="C611" s="41">
        <v>45720.0</v>
      </c>
      <c r="D611" s="42" t="s">
        <v>249</v>
      </c>
      <c r="E611" s="42" t="s">
        <v>120</v>
      </c>
      <c r="F611" s="42" t="str">
        <f>+IFERROR(VLOOKUP(E611,'DANH MỤC'!$C:$H,2,0),"")</f>
        <v>Lưỡi gà trắng 98mm x 800m x 230gsm</v>
      </c>
      <c r="G611" s="42" t="str">
        <f>+IFERROR(VLOOKUP(E611,'DANH MỤC'!$C:$H,6,0),"")</f>
        <v>Cuộn</v>
      </c>
      <c r="H611" s="42">
        <f>+IFERROR(VLOOKUP(E611,'DANH MỤC'!$C:$H,3,0),"")</f>
        <v>230</v>
      </c>
      <c r="I611" s="42">
        <f>+IFERROR(VLOOKUP(E611,'DANH MỤC'!$C:$H,4,0),"")</f>
        <v>98</v>
      </c>
      <c r="J611" s="42">
        <f>+IFERROR(VLOOKUP(E611,'DANH MỤC'!$C:$H,5,0),"")</f>
        <v>800</v>
      </c>
      <c r="K611" s="53">
        <v>132.0</v>
      </c>
      <c r="L611" s="58"/>
      <c r="M611" s="55"/>
      <c r="N611" s="55"/>
    </row>
    <row r="612" ht="15.75" customHeight="1">
      <c r="A612" s="117">
        <f t="shared" si="1"/>
        <v>607</v>
      </c>
      <c r="B612" s="118" t="s">
        <v>378</v>
      </c>
      <c r="C612" s="119">
        <v>45720.0</v>
      </c>
      <c r="D612" s="120" t="s">
        <v>529</v>
      </c>
      <c r="E612" s="120" t="s">
        <v>113</v>
      </c>
      <c r="F612" s="120" t="str">
        <f>+IFERROR(VLOOKUP(E612,'DANH MỤC'!$C:$H,2,0),"")</f>
        <v>Lưỡi gà trắng 95mm x 800m x 230gsm</v>
      </c>
      <c r="G612" s="120" t="str">
        <f>+IFERROR(VLOOKUP(E612,'DANH MỤC'!$C:$H,6,0),"")</f>
        <v>Cuộn</v>
      </c>
      <c r="H612" s="120">
        <f>+IFERROR(VLOOKUP(E612,'DANH MỤC'!$C:$H,3,0),"")</f>
        <v>230</v>
      </c>
      <c r="I612" s="120">
        <f>+IFERROR(VLOOKUP(E612,'DANH MỤC'!$C:$H,4,0),"")</f>
        <v>95</v>
      </c>
      <c r="J612" s="120">
        <f>+IFERROR(VLOOKUP(E612,'DANH MỤC'!$C:$H,5,0),"")</f>
        <v>800</v>
      </c>
      <c r="K612" s="117"/>
      <c r="L612" s="121">
        <v>1.0</v>
      </c>
      <c r="M612" s="118"/>
      <c r="N612" s="118"/>
    </row>
    <row r="613" ht="15.75" customHeight="1">
      <c r="A613" s="117">
        <f t="shared" si="1"/>
        <v>608</v>
      </c>
      <c r="B613" s="118" t="s">
        <v>374</v>
      </c>
      <c r="C613" s="119">
        <v>45721.0</v>
      </c>
      <c r="D613" s="120" t="s">
        <v>146</v>
      </c>
      <c r="E613" s="120" t="s">
        <v>120</v>
      </c>
      <c r="F613" s="120" t="str">
        <f>+IFERROR(VLOOKUP(E613,'DANH MỤC'!$C:$H,2,0),"")</f>
        <v>Lưỡi gà trắng 98mm x 800m x 230gsm</v>
      </c>
      <c r="G613" s="120" t="str">
        <f>+IFERROR(VLOOKUP(E613,'DANH MỤC'!$C:$H,6,0),"")</f>
        <v>Cuộn</v>
      </c>
      <c r="H613" s="120">
        <f>+IFERROR(VLOOKUP(E613,'DANH MỤC'!$C:$H,3,0),"")</f>
        <v>230</v>
      </c>
      <c r="I613" s="120">
        <f>+IFERROR(VLOOKUP(E613,'DANH MỤC'!$C:$H,4,0),"")</f>
        <v>98</v>
      </c>
      <c r="J613" s="120">
        <f>+IFERROR(VLOOKUP(E613,'DANH MỤC'!$C:$H,5,0),"")</f>
        <v>800</v>
      </c>
      <c r="K613" s="117"/>
      <c r="L613" s="121">
        <v>120.0</v>
      </c>
      <c r="M613" s="118" t="s">
        <v>304</v>
      </c>
      <c r="N613" s="118"/>
    </row>
    <row r="614" ht="15.75" customHeight="1">
      <c r="A614" s="117">
        <f t="shared" si="1"/>
        <v>609</v>
      </c>
      <c r="B614" s="118" t="s">
        <v>374</v>
      </c>
      <c r="C614" s="119">
        <v>45721.0</v>
      </c>
      <c r="D614" s="120" t="s">
        <v>146</v>
      </c>
      <c r="E614" s="120" t="s">
        <v>104</v>
      </c>
      <c r="F614" s="120" t="str">
        <f>+IFERROR(VLOOKUP(E614,'DANH MỤC'!$C:$H,2,0),"")</f>
        <v>Lưỡi gà trắng 95mm x 800m x 210gsm</v>
      </c>
      <c r="G614" s="120" t="str">
        <f>+IFERROR(VLOOKUP(E614,'DANH MỤC'!$C:$H,6,0),"")</f>
        <v>Cuộn</v>
      </c>
      <c r="H614" s="120">
        <f>+IFERROR(VLOOKUP(E614,'DANH MỤC'!$C:$H,3,0),"")</f>
        <v>210</v>
      </c>
      <c r="I614" s="120">
        <f>+IFERROR(VLOOKUP(E614,'DANH MỤC'!$C:$H,4,0),"")</f>
        <v>95</v>
      </c>
      <c r="J614" s="120">
        <f>+IFERROR(VLOOKUP(E614,'DANH MỤC'!$C:$H,5,0),"")</f>
        <v>800</v>
      </c>
      <c r="K614" s="117"/>
      <c r="L614" s="121">
        <v>60.0</v>
      </c>
      <c r="M614" s="118" t="s">
        <v>304</v>
      </c>
      <c r="N614" s="118"/>
    </row>
    <row r="615" ht="15.75" customHeight="1">
      <c r="A615" s="117">
        <f t="shared" si="1"/>
        <v>610</v>
      </c>
      <c r="B615" s="118" t="s">
        <v>374</v>
      </c>
      <c r="C615" s="119">
        <v>45721.0</v>
      </c>
      <c r="D615" s="120" t="s">
        <v>146</v>
      </c>
      <c r="E615" s="120" t="s">
        <v>81</v>
      </c>
      <c r="F615" s="120" t="str">
        <f>+IFERROR(VLOOKUP(E615,'DANH MỤC'!$C:$H,2,0),"")</f>
        <v>Lưỡi gà trắng 71mm x 800m x 210gsm</v>
      </c>
      <c r="G615" s="120" t="str">
        <f>+IFERROR(VLOOKUP(E615,'DANH MỤC'!$C:$H,6,0),"")</f>
        <v>Cuộn</v>
      </c>
      <c r="H615" s="120">
        <f>+IFERROR(VLOOKUP(E615,'DANH MỤC'!$C:$H,3,0),"")</f>
        <v>210</v>
      </c>
      <c r="I615" s="120">
        <f>+IFERROR(VLOOKUP(E615,'DANH MỤC'!$C:$H,4,0),"")</f>
        <v>71</v>
      </c>
      <c r="J615" s="120">
        <f>+IFERROR(VLOOKUP(E615,'DANH MỤC'!$C:$H,5,0),"")</f>
        <v>800</v>
      </c>
      <c r="K615" s="117"/>
      <c r="L615" s="121">
        <v>300.0</v>
      </c>
      <c r="M615" s="118" t="s">
        <v>304</v>
      </c>
      <c r="N615" s="118"/>
    </row>
    <row r="616" ht="15.75" customHeight="1">
      <c r="A616" s="53">
        <f t="shared" si="1"/>
        <v>611</v>
      </c>
      <c r="B616" s="55" t="s">
        <v>374</v>
      </c>
      <c r="C616" s="41">
        <v>45721.0</v>
      </c>
      <c r="D616" s="42" t="s">
        <v>528</v>
      </c>
      <c r="E616" s="42" t="s">
        <v>204</v>
      </c>
      <c r="F616" s="42" t="str">
        <f>+IFERROR(VLOOKUP(E616,'DANH MỤC'!$C:$H,2,0),"")</f>
        <v>Ống lõi giấy phi 120x7x98mm</v>
      </c>
      <c r="G616" s="42" t="str">
        <f>+IFERROR(VLOOKUP(E616,'DANH MỤC'!$C:$H,6,0),"")</f>
        <v>Cái</v>
      </c>
      <c r="H616" s="42">
        <f>+IFERROR(VLOOKUP(E616,'DANH MỤC'!$C:$H,3,0),"")</f>
        <v>120</v>
      </c>
      <c r="I616" s="42">
        <f>+IFERROR(VLOOKUP(E616,'DANH MỤC'!$C:$H,4,0),"")</f>
        <v>70</v>
      </c>
      <c r="J616" s="42">
        <f>+IFERROR(VLOOKUP(E616,'DANH MỤC'!$C:$H,5,0),"")</f>
        <v>98</v>
      </c>
      <c r="K616" s="53"/>
      <c r="L616" s="58">
        <v>132.0</v>
      </c>
      <c r="M616" s="55"/>
      <c r="N616" s="55"/>
    </row>
    <row r="617" ht="15.75" customHeight="1">
      <c r="A617" s="53">
        <f t="shared" si="1"/>
        <v>612</v>
      </c>
      <c r="B617" s="55" t="s">
        <v>374</v>
      </c>
      <c r="C617" s="41">
        <v>45721.0</v>
      </c>
      <c r="D617" s="42" t="s">
        <v>528</v>
      </c>
      <c r="E617" s="42" t="s">
        <v>107</v>
      </c>
      <c r="F617" s="42" t="str">
        <f>+IFERROR(VLOOKUP(E617,'DANH MỤC'!$C:$H,2,0),"")</f>
        <v>Pallet gỗ 1200x1200x130mm</v>
      </c>
      <c r="G617" s="42" t="str">
        <f>+IFERROR(VLOOKUP(E617,'DANH MỤC'!$C:$H,6,0),"")</f>
        <v>Bộ</v>
      </c>
      <c r="H617" s="42">
        <f>+IFERROR(VLOOKUP(E617,'DANH MỤC'!$C:$H,3,0),"")</f>
        <v>1200</v>
      </c>
      <c r="I617" s="42">
        <f>+IFERROR(VLOOKUP(E617,'DANH MỤC'!$C:$H,4,0),"")</f>
        <v>1200</v>
      </c>
      <c r="J617" s="42">
        <f>+IFERROR(VLOOKUP(E617,'DANH MỤC'!$C:$H,5,0),"")</f>
        <v>130</v>
      </c>
      <c r="K617" s="53"/>
      <c r="L617" s="58">
        <v>3.0</v>
      </c>
      <c r="M617" s="55"/>
      <c r="N617" s="55"/>
    </row>
    <row r="618" ht="15.75" customHeight="1">
      <c r="A618" s="53">
        <f t="shared" si="1"/>
        <v>613</v>
      </c>
      <c r="B618" s="55" t="s">
        <v>374</v>
      </c>
      <c r="C618" s="41">
        <v>45721.0</v>
      </c>
      <c r="D618" s="42" t="s">
        <v>249</v>
      </c>
      <c r="E618" s="42" t="s">
        <v>120</v>
      </c>
      <c r="F618" s="42" t="str">
        <f>+IFERROR(VLOOKUP(E618,'DANH MỤC'!$C:$H,2,0),"")</f>
        <v>Lưỡi gà trắng 98mm x 800m x 230gsm</v>
      </c>
      <c r="G618" s="42" t="str">
        <f>+IFERROR(VLOOKUP(E618,'DANH MỤC'!$C:$H,6,0),"")</f>
        <v>Cuộn</v>
      </c>
      <c r="H618" s="42">
        <f>+IFERROR(VLOOKUP(E618,'DANH MỤC'!$C:$H,3,0),"")</f>
        <v>230</v>
      </c>
      <c r="I618" s="42">
        <f>+IFERROR(VLOOKUP(E618,'DANH MỤC'!$C:$H,4,0),"")</f>
        <v>98</v>
      </c>
      <c r="J618" s="42">
        <f>+IFERROR(VLOOKUP(E618,'DANH MỤC'!$C:$H,5,0),"")</f>
        <v>800</v>
      </c>
      <c r="K618" s="53">
        <v>132.0</v>
      </c>
      <c r="L618" s="58"/>
      <c r="M618" s="55"/>
      <c r="N618" s="55"/>
    </row>
    <row r="619" ht="15.75" customHeight="1">
      <c r="A619" s="53">
        <f t="shared" si="1"/>
        <v>614</v>
      </c>
      <c r="B619" s="55" t="s">
        <v>374</v>
      </c>
      <c r="C619" s="41">
        <v>45722.0</v>
      </c>
      <c r="D619" s="42" t="s">
        <v>528</v>
      </c>
      <c r="E619" s="42" t="s">
        <v>204</v>
      </c>
      <c r="F619" s="42" t="str">
        <f>+IFERROR(VLOOKUP(E619,'DANH MỤC'!$C:$H,2,0),"")</f>
        <v>Ống lõi giấy phi 120x7x98mm</v>
      </c>
      <c r="G619" s="42" t="str">
        <f>+IFERROR(VLOOKUP(E619,'DANH MỤC'!$C:$H,6,0),"")</f>
        <v>Cái</v>
      </c>
      <c r="H619" s="42">
        <f>+IFERROR(VLOOKUP(E619,'DANH MỤC'!$C:$H,3,0),"")</f>
        <v>120</v>
      </c>
      <c r="I619" s="42">
        <f>+IFERROR(VLOOKUP(E619,'DANH MỤC'!$C:$H,4,0),"")</f>
        <v>70</v>
      </c>
      <c r="J619" s="42">
        <f>+IFERROR(VLOOKUP(E619,'DANH MỤC'!$C:$H,5,0),"")</f>
        <v>98</v>
      </c>
      <c r="K619" s="53"/>
      <c r="L619" s="58">
        <v>132.0</v>
      </c>
      <c r="M619" s="55"/>
      <c r="N619" s="55"/>
    </row>
    <row r="620" ht="15.75" customHeight="1">
      <c r="A620" s="53">
        <f t="shared" si="1"/>
        <v>615</v>
      </c>
      <c r="B620" s="55" t="s">
        <v>374</v>
      </c>
      <c r="C620" s="41">
        <v>45722.0</v>
      </c>
      <c r="D620" s="42" t="s">
        <v>528</v>
      </c>
      <c r="E620" s="42" t="s">
        <v>107</v>
      </c>
      <c r="F620" s="42" t="str">
        <f>+IFERROR(VLOOKUP(E620,'DANH MỤC'!$C:$H,2,0),"")</f>
        <v>Pallet gỗ 1200x1200x130mm</v>
      </c>
      <c r="G620" s="42" t="str">
        <f>+IFERROR(VLOOKUP(E620,'DANH MỤC'!$C:$H,6,0),"")</f>
        <v>Bộ</v>
      </c>
      <c r="H620" s="42">
        <f>+IFERROR(VLOOKUP(E620,'DANH MỤC'!$C:$H,3,0),"")</f>
        <v>1200</v>
      </c>
      <c r="I620" s="42">
        <f>+IFERROR(VLOOKUP(E620,'DANH MỤC'!$C:$H,4,0),"")</f>
        <v>1200</v>
      </c>
      <c r="J620" s="42">
        <f>+IFERROR(VLOOKUP(E620,'DANH MỤC'!$C:$H,5,0),"")</f>
        <v>130</v>
      </c>
      <c r="K620" s="53"/>
      <c r="L620" s="58">
        <v>3.0</v>
      </c>
      <c r="M620" s="55"/>
      <c r="N620" s="55"/>
    </row>
    <row r="621" ht="15.75" customHeight="1">
      <c r="A621" s="53">
        <f t="shared" si="1"/>
        <v>616</v>
      </c>
      <c r="B621" s="55" t="s">
        <v>374</v>
      </c>
      <c r="C621" s="41">
        <v>45722.0</v>
      </c>
      <c r="D621" s="42" t="s">
        <v>249</v>
      </c>
      <c r="E621" s="42" t="s">
        <v>120</v>
      </c>
      <c r="F621" s="42" t="str">
        <f>+IFERROR(VLOOKUP(E621,'DANH MỤC'!$C:$H,2,0),"")</f>
        <v>Lưỡi gà trắng 98mm x 800m x 230gsm</v>
      </c>
      <c r="G621" s="42" t="str">
        <f>+IFERROR(VLOOKUP(E621,'DANH MỤC'!$C:$H,6,0),"")</f>
        <v>Cuộn</v>
      </c>
      <c r="H621" s="42">
        <f>+IFERROR(VLOOKUP(E621,'DANH MỤC'!$C:$H,3,0),"")</f>
        <v>230</v>
      </c>
      <c r="I621" s="42">
        <f>+IFERROR(VLOOKUP(E621,'DANH MỤC'!$C:$H,4,0),"")</f>
        <v>98</v>
      </c>
      <c r="J621" s="42">
        <f>+IFERROR(VLOOKUP(E621,'DANH MỤC'!$C:$H,5,0),"")</f>
        <v>800</v>
      </c>
      <c r="K621" s="53">
        <v>132.0</v>
      </c>
      <c r="L621" s="58"/>
      <c r="M621" s="55"/>
      <c r="N621" s="55"/>
    </row>
    <row r="622" ht="15.75" customHeight="1">
      <c r="A622" s="117">
        <f t="shared" si="1"/>
        <v>617</v>
      </c>
      <c r="B622" s="118" t="s">
        <v>530</v>
      </c>
      <c r="C622" s="119">
        <v>45722.0</v>
      </c>
      <c r="D622" s="120" t="s">
        <v>130</v>
      </c>
      <c r="E622" s="120" t="s">
        <v>123</v>
      </c>
      <c r="F622" s="120" t="str">
        <f>+IFERROR(VLOOKUP(E622,'DANH MỤC'!$C:$H,2,0),"")</f>
        <v>Lưỡi gà trắng 90mm x 800m x 250gsm</v>
      </c>
      <c r="G622" s="120" t="str">
        <f>+IFERROR(VLOOKUP(E622,'DANH MỤC'!$C:$H,6,0),"")</f>
        <v>Cuộn</v>
      </c>
      <c r="H622" s="120">
        <f>+IFERROR(VLOOKUP(E622,'DANH MỤC'!$C:$H,3,0),"")</f>
        <v>250</v>
      </c>
      <c r="I622" s="120">
        <f>+IFERROR(VLOOKUP(E622,'DANH MỤC'!$C:$H,4,0),"")</f>
        <v>90</v>
      </c>
      <c r="J622" s="120">
        <f>+IFERROR(VLOOKUP(E622,'DANH MỤC'!$C:$H,5,0),"")</f>
        <v>800</v>
      </c>
      <c r="K622" s="117"/>
      <c r="L622" s="121">
        <v>520.0</v>
      </c>
      <c r="M622" s="118" t="s">
        <v>131</v>
      </c>
      <c r="N622" s="118"/>
    </row>
    <row r="623" ht="15.75" customHeight="1">
      <c r="A623" s="117">
        <f t="shared" si="1"/>
        <v>618</v>
      </c>
      <c r="B623" s="118" t="s">
        <v>530</v>
      </c>
      <c r="C623" s="119">
        <v>45722.0</v>
      </c>
      <c r="D623" s="120" t="s">
        <v>130</v>
      </c>
      <c r="E623" s="120" t="s">
        <v>96</v>
      </c>
      <c r="F623" s="120" t="str">
        <f>+IFERROR(VLOOKUP(E623,'DANH MỤC'!$C:$H,2,0),"")</f>
        <v>Giấy bao gói lưỡi gà</v>
      </c>
      <c r="G623" s="120" t="str">
        <f>+IFERROR(VLOOKUP(E623,'DANH MỤC'!$C:$H,6,0),"")</f>
        <v>Kg</v>
      </c>
      <c r="H623" s="120" t="str">
        <f>+IFERROR(VLOOKUP(E623,'DANH MỤC'!$C:$H,3,0),"")</f>
        <v/>
      </c>
      <c r="I623" s="120" t="str">
        <f>+IFERROR(VLOOKUP(E623,'DANH MỤC'!$C:$H,4,0),"")</f>
        <v/>
      </c>
      <c r="J623" s="120" t="str">
        <f>+IFERROR(VLOOKUP(E623,'DANH MỤC'!$C:$H,5,0),"")</f>
        <v/>
      </c>
      <c r="K623" s="117"/>
      <c r="L623" s="121">
        <v>45.0</v>
      </c>
      <c r="M623" s="118" t="s">
        <v>131</v>
      </c>
      <c r="N623" s="118"/>
    </row>
    <row r="624" ht="15.75" customHeight="1">
      <c r="A624" s="53">
        <f t="shared" si="1"/>
        <v>619</v>
      </c>
      <c r="B624" s="55" t="s">
        <v>374</v>
      </c>
      <c r="C624" s="41">
        <v>45723.0</v>
      </c>
      <c r="D624" s="42" t="s">
        <v>528</v>
      </c>
      <c r="E624" s="42" t="s">
        <v>204</v>
      </c>
      <c r="F624" s="42" t="str">
        <f>+IFERROR(VLOOKUP(E624,'DANH MỤC'!$C:$H,2,0),"")</f>
        <v>Ống lõi giấy phi 120x7x98mm</v>
      </c>
      <c r="G624" s="42" t="str">
        <f>+IFERROR(VLOOKUP(E624,'DANH MỤC'!$C:$H,6,0),"")</f>
        <v>Cái</v>
      </c>
      <c r="H624" s="42">
        <f>+IFERROR(VLOOKUP(E624,'DANH MỤC'!$C:$H,3,0),"")</f>
        <v>120</v>
      </c>
      <c r="I624" s="42">
        <f>+IFERROR(VLOOKUP(E624,'DANH MỤC'!$C:$H,4,0),"")</f>
        <v>70</v>
      </c>
      <c r="J624" s="42">
        <f>+IFERROR(VLOOKUP(E624,'DANH MỤC'!$C:$H,5,0),"")</f>
        <v>98</v>
      </c>
      <c r="K624" s="53"/>
      <c r="L624" s="58">
        <v>132.0</v>
      </c>
      <c r="M624" s="55"/>
      <c r="N624" s="55"/>
    </row>
    <row r="625" ht="15.75" customHeight="1">
      <c r="A625" s="53">
        <f t="shared" si="1"/>
        <v>620</v>
      </c>
      <c r="B625" s="55" t="s">
        <v>374</v>
      </c>
      <c r="C625" s="41">
        <v>45723.0</v>
      </c>
      <c r="D625" s="42" t="s">
        <v>528</v>
      </c>
      <c r="E625" s="42" t="s">
        <v>107</v>
      </c>
      <c r="F625" s="42" t="str">
        <f>+IFERROR(VLOOKUP(E625,'DANH MỤC'!$C:$H,2,0),"")</f>
        <v>Pallet gỗ 1200x1200x130mm</v>
      </c>
      <c r="G625" s="42" t="str">
        <f>+IFERROR(VLOOKUP(E625,'DANH MỤC'!$C:$H,6,0),"")</f>
        <v>Bộ</v>
      </c>
      <c r="H625" s="42">
        <f>+IFERROR(VLOOKUP(E625,'DANH MỤC'!$C:$H,3,0),"")</f>
        <v>1200</v>
      </c>
      <c r="I625" s="42">
        <f>+IFERROR(VLOOKUP(E625,'DANH MỤC'!$C:$H,4,0),"")</f>
        <v>1200</v>
      </c>
      <c r="J625" s="42">
        <f>+IFERROR(VLOOKUP(E625,'DANH MỤC'!$C:$H,5,0),"")</f>
        <v>130</v>
      </c>
      <c r="K625" s="53"/>
      <c r="L625" s="58">
        <v>2.0</v>
      </c>
      <c r="M625" s="55"/>
      <c r="N625" s="55"/>
    </row>
    <row r="626" ht="15.75" customHeight="1">
      <c r="A626" s="53">
        <f t="shared" si="1"/>
        <v>621</v>
      </c>
      <c r="B626" s="55" t="s">
        <v>374</v>
      </c>
      <c r="C626" s="41">
        <v>45723.0</v>
      </c>
      <c r="D626" s="42" t="s">
        <v>528</v>
      </c>
      <c r="E626" s="42" t="s">
        <v>115</v>
      </c>
      <c r="F626" s="42" t="str">
        <f>+IFERROR(VLOOKUP(E626,'DANH MỤC'!$C:$H,2,0),"")</f>
        <v>Màng Strecth Film 5.0-0.6kg</v>
      </c>
      <c r="G626" s="42" t="str">
        <f>+IFERROR(VLOOKUP(E626,'DANH MỤC'!$C:$H,6,0),"")</f>
        <v>Kg</v>
      </c>
      <c r="H626" s="42" t="str">
        <f>+IFERROR(VLOOKUP(E626,'DANH MỤC'!$C:$H,3,0),"")</f>
        <v/>
      </c>
      <c r="I626" s="42" t="str">
        <f>+IFERROR(VLOOKUP(E626,'DANH MỤC'!$C:$H,4,0),"")</f>
        <v/>
      </c>
      <c r="J626" s="42" t="str">
        <f>+IFERROR(VLOOKUP(E626,'DANH MỤC'!$C:$H,5,0),"")</f>
        <v/>
      </c>
      <c r="K626" s="53"/>
      <c r="L626" s="58">
        <v>7.400250000000001</v>
      </c>
      <c r="M626" s="55"/>
      <c r="N626" s="55"/>
    </row>
    <row r="627" ht="15.75" customHeight="1">
      <c r="A627" s="53">
        <f t="shared" si="1"/>
        <v>622</v>
      </c>
      <c r="B627" s="55" t="s">
        <v>374</v>
      </c>
      <c r="C627" s="41">
        <v>45723.0</v>
      </c>
      <c r="D627" s="42" t="s">
        <v>528</v>
      </c>
      <c r="E627" s="42" t="s">
        <v>96</v>
      </c>
      <c r="F627" s="42" t="str">
        <f>+IFERROR(VLOOKUP(E627,'DANH MỤC'!$C:$H,2,0),"")</f>
        <v>Giấy bao gói lưỡi gà</v>
      </c>
      <c r="G627" s="42" t="str">
        <f>+IFERROR(VLOOKUP(E627,'DANH MỤC'!$C:$H,6,0),"")</f>
        <v>Kg</v>
      </c>
      <c r="H627" s="42" t="str">
        <f>+IFERROR(VLOOKUP(E627,'DANH MỤC'!$C:$H,3,0),"")</f>
        <v/>
      </c>
      <c r="I627" s="42" t="str">
        <f>+IFERROR(VLOOKUP(E627,'DANH MỤC'!$C:$H,4,0),"")</f>
        <v/>
      </c>
      <c r="J627" s="42" t="str">
        <f>+IFERROR(VLOOKUP(E627,'DANH MỤC'!$C:$H,5,0),"")</f>
        <v/>
      </c>
      <c r="K627" s="53"/>
      <c r="L627" s="58">
        <v>9.5</v>
      </c>
      <c r="M627" s="55"/>
      <c r="N627" s="55"/>
    </row>
    <row r="628" ht="15.75" customHeight="1">
      <c r="A628" s="53">
        <f t="shared" si="1"/>
        <v>623</v>
      </c>
      <c r="B628" s="55" t="s">
        <v>374</v>
      </c>
      <c r="C628" s="41">
        <v>45723.0</v>
      </c>
      <c r="D628" s="42" t="s">
        <v>528</v>
      </c>
      <c r="E628" s="42" t="s">
        <v>112</v>
      </c>
      <c r="F628" s="42" t="str">
        <f>+IFERROR(VLOOKUP(E628,'DANH MỤC'!$C:$H,2,0),"")</f>
        <v>Dây đai PET xanh (B)</v>
      </c>
      <c r="G628" s="42" t="str">
        <f>+IFERROR(VLOOKUP(E628,'DANH MỤC'!$C:$H,6,0),"")</f>
        <v>Kg</v>
      </c>
      <c r="H628" s="42" t="str">
        <f>+IFERROR(VLOOKUP(E628,'DANH MỤC'!$C:$H,3,0),"")</f>
        <v/>
      </c>
      <c r="I628" s="42" t="str">
        <f>+IFERROR(VLOOKUP(E628,'DANH MỤC'!$C:$H,4,0),"")</f>
        <v/>
      </c>
      <c r="J628" s="42" t="str">
        <f>+IFERROR(VLOOKUP(E628,'DANH MỤC'!$C:$H,5,0),"")</f>
        <v/>
      </c>
      <c r="K628" s="53"/>
      <c r="L628" s="58">
        <v>12.523500000000002</v>
      </c>
      <c r="M628" s="55"/>
      <c r="N628" s="55"/>
    </row>
    <row r="629" ht="15.75" customHeight="1">
      <c r="A629" s="53">
        <f t="shared" si="1"/>
        <v>624</v>
      </c>
      <c r="B629" s="55" t="s">
        <v>374</v>
      </c>
      <c r="C629" s="41">
        <v>45723.0</v>
      </c>
      <c r="D629" s="42" t="s">
        <v>249</v>
      </c>
      <c r="E629" s="42" t="s">
        <v>120</v>
      </c>
      <c r="F629" s="42" t="str">
        <f>+IFERROR(VLOOKUP(E629,'DANH MỤC'!$C:$H,2,0),"")</f>
        <v>Lưỡi gà trắng 98mm x 800m x 230gsm</v>
      </c>
      <c r="G629" s="42" t="str">
        <f>+IFERROR(VLOOKUP(E629,'DANH MỤC'!$C:$H,6,0),"")</f>
        <v>Cuộn</v>
      </c>
      <c r="H629" s="42">
        <f>+IFERROR(VLOOKUP(E629,'DANH MỤC'!$C:$H,3,0),"")</f>
        <v>230</v>
      </c>
      <c r="I629" s="42">
        <f>+IFERROR(VLOOKUP(E629,'DANH MỤC'!$C:$H,4,0),"")</f>
        <v>98</v>
      </c>
      <c r="J629" s="42">
        <f>+IFERROR(VLOOKUP(E629,'DANH MỤC'!$C:$H,5,0),"")</f>
        <v>800</v>
      </c>
      <c r="K629" s="53">
        <v>132.0</v>
      </c>
      <c r="L629" s="58"/>
      <c r="M629" s="55"/>
      <c r="N629" s="55"/>
    </row>
    <row r="630" ht="15.75" customHeight="1">
      <c r="A630" s="53">
        <f t="shared" si="1"/>
        <v>625</v>
      </c>
      <c r="B630" s="55"/>
      <c r="C630" s="41">
        <v>45723.0</v>
      </c>
      <c r="D630" s="42" t="s">
        <v>95</v>
      </c>
      <c r="E630" s="42" t="s">
        <v>107</v>
      </c>
      <c r="F630" s="42" t="str">
        <f>+IFERROR(VLOOKUP(E630,'DANH MỤC'!$C:$H,2,0),"")</f>
        <v>Pallet gỗ 1200x1200x130mm</v>
      </c>
      <c r="G630" s="42" t="str">
        <f>+IFERROR(VLOOKUP(E630,'DANH MỤC'!$C:$H,6,0),"")</f>
        <v>Bộ</v>
      </c>
      <c r="H630" s="42">
        <f>+IFERROR(VLOOKUP(E630,'DANH MỤC'!$C:$H,3,0),"")</f>
        <v>1200</v>
      </c>
      <c r="I630" s="42">
        <f>+IFERROR(VLOOKUP(E630,'DANH MỤC'!$C:$H,4,0),"")</f>
        <v>1200</v>
      </c>
      <c r="J630" s="42">
        <f>+IFERROR(VLOOKUP(E630,'DANH MỤC'!$C:$H,5,0),"")</f>
        <v>130</v>
      </c>
      <c r="K630" s="53">
        <v>50.0</v>
      </c>
      <c r="L630" s="58"/>
      <c r="M630" s="55"/>
      <c r="N630" s="55"/>
    </row>
    <row r="631" ht="15.75" customHeight="1">
      <c r="A631" s="53">
        <f t="shared" si="1"/>
        <v>626</v>
      </c>
      <c r="B631" s="55"/>
      <c r="C631" s="41">
        <v>45723.0</v>
      </c>
      <c r="D631" s="42" t="s">
        <v>95</v>
      </c>
      <c r="E631" s="42" t="s">
        <v>156</v>
      </c>
      <c r="F631" s="42" t="str">
        <f>+IFERROR(VLOOKUP(E631,'DANH MỤC'!$C:$H,2,0),"")</f>
        <v>Nẹp gỗ pallet dài 1.15m</v>
      </c>
      <c r="G631" s="42" t="str">
        <f>+IFERROR(VLOOKUP(E631,'DANH MỤC'!$C:$H,6,0),"")</f>
        <v>Cái</v>
      </c>
      <c r="H631" s="42" t="str">
        <f>+IFERROR(VLOOKUP(E631,'DANH MỤC'!$C:$H,3,0),"")</f>
        <v/>
      </c>
      <c r="I631" s="42" t="str">
        <f>+IFERROR(VLOOKUP(E631,'DANH MỤC'!$C:$H,4,0),"")</f>
        <v/>
      </c>
      <c r="J631" s="42">
        <f>+IFERROR(VLOOKUP(E631,'DANH MỤC'!$C:$H,5,0),"")</f>
        <v>1150</v>
      </c>
      <c r="K631" s="53">
        <v>200.0</v>
      </c>
      <c r="L631" s="58"/>
      <c r="M631" s="55"/>
      <c r="N631" s="55"/>
    </row>
    <row r="632" ht="15.75" customHeight="1">
      <c r="A632" s="53">
        <f t="shared" si="1"/>
        <v>627</v>
      </c>
      <c r="B632" s="55" t="s">
        <v>374</v>
      </c>
      <c r="C632" s="41">
        <v>45724.0</v>
      </c>
      <c r="D632" s="42" t="s">
        <v>528</v>
      </c>
      <c r="E632" s="42" t="s">
        <v>204</v>
      </c>
      <c r="F632" s="42" t="str">
        <f>+IFERROR(VLOOKUP(E632,'DANH MỤC'!$C:$H,2,0),"")</f>
        <v>Ống lõi giấy phi 120x7x98mm</v>
      </c>
      <c r="G632" s="42" t="str">
        <f>+IFERROR(VLOOKUP(E632,'DANH MỤC'!$C:$H,6,0),"")</f>
        <v>Cái</v>
      </c>
      <c r="H632" s="42">
        <f>+IFERROR(VLOOKUP(E632,'DANH MỤC'!$C:$H,3,0),"")</f>
        <v>120</v>
      </c>
      <c r="I632" s="42">
        <f>+IFERROR(VLOOKUP(E632,'DANH MỤC'!$C:$H,4,0),"")</f>
        <v>70</v>
      </c>
      <c r="J632" s="42">
        <f>+IFERROR(VLOOKUP(E632,'DANH MỤC'!$C:$H,5,0),"")</f>
        <v>98</v>
      </c>
      <c r="K632" s="53"/>
      <c r="L632" s="58">
        <v>33.0</v>
      </c>
      <c r="M632" s="55"/>
      <c r="N632" s="55"/>
    </row>
    <row r="633" ht="15.75" customHeight="1">
      <c r="A633" s="53">
        <f t="shared" si="1"/>
        <v>628</v>
      </c>
      <c r="B633" s="55" t="s">
        <v>374</v>
      </c>
      <c r="C633" s="41">
        <v>45724.0</v>
      </c>
      <c r="D633" s="42" t="s">
        <v>249</v>
      </c>
      <c r="E633" s="42" t="s">
        <v>120</v>
      </c>
      <c r="F633" s="42" t="str">
        <f>+IFERROR(VLOOKUP(E633,'DANH MỤC'!$C:$H,2,0),"")</f>
        <v>Lưỡi gà trắng 98mm x 800m x 230gsm</v>
      </c>
      <c r="G633" s="42" t="str">
        <f>+IFERROR(VLOOKUP(E633,'DANH MỤC'!$C:$H,6,0),"")</f>
        <v>Cuộn</v>
      </c>
      <c r="H633" s="42">
        <f>+IFERROR(VLOOKUP(E633,'DANH MỤC'!$C:$H,3,0),"")</f>
        <v>230</v>
      </c>
      <c r="I633" s="42">
        <f>+IFERROR(VLOOKUP(E633,'DANH MỤC'!$C:$H,4,0),"")</f>
        <v>98</v>
      </c>
      <c r="J633" s="42">
        <f>+IFERROR(VLOOKUP(E633,'DANH MỤC'!$C:$H,5,0),"")</f>
        <v>800</v>
      </c>
      <c r="K633" s="53">
        <v>33.0</v>
      </c>
      <c r="L633" s="58"/>
      <c r="M633" s="55"/>
      <c r="N633" s="55"/>
    </row>
    <row r="634" ht="15.75" customHeight="1">
      <c r="A634" s="53">
        <f t="shared" si="1"/>
        <v>629</v>
      </c>
      <c r="B634" s="55" t="s">
        <v>531</v>
      </c>
      <c r="C634" s="41">
        <v>45726.0</v>
      </c>
      <c r="D634" s="42" t="s">
        <v>532</v>
      </c>
      <c r="E634" s="42" t="s">
        <v>47</v>
      </c>
      <c r="F634" s="42" t="str">
        <f>+IFERROR(VLOOKUP(E634,'DANH MỤC'!$C:$H,2,0),"")</f>
        <v>Ivory Ningbo</v>
      </c>
      <c r="G634" s="42" t="str">
        <f>+IFERROR(VLOOKUP(E634,'DANH MỤC'!$C:$H,6,0),"")</f>
        <v>Kg</v>
      </c>
      <c r="H634" s="42">
        <f>+IFERROR(VLOOKUP(E634,'DANH MỤC'!$C:$H,3,0),"")</f>
        <v>210</v>
      </c>
      <c r="I634" s="42">
        <f>+IFERROR(VLOOKUP(E634,'DANH MỤC'!$C:$H,4,0),"")</f>
        <v>109</v>
      </c>
      <c r="J634" s="42" t="str">
        <f>+IFERROR(VLOOKUP(E634,'DANH MỤC'!$C:$H,5,0),"")</f>
        <v/>
      </c>
      <c r="K634" s="53"/>
      <c r="L634" s="58">
        <v>14270.0</v>
      </c>
      <c r="M634" s="55"/>
      <c r="N634" s="55"/>
    </row>
    <row r="635" ht="15.75" customHeight="1">
      <c r="A635" s="53">
        <f t="shared" si="1"/>
        <v>630</v>
      </c>
      <c r="B635" s="55" t="s">
        <v>531</v>
      </c>
      <c r="C635" s="41">
        <v>45726.0</v>
      </c>
      <c r="D635" s="42" t="s">
        <v>533</v>
      </c>
      <c r="E635" s="42" t="s">
        <v>184</v>
      </c>
      <c r="F635" s="42" t="str">
        <f>+IFERROR(VLOOKUP(E635,'DANH MỤC'!$C:$H,2,0),"")</f>
        <v>Ống lõi giấy phi 120x7x95mm</v>
      </c>
      <c r="G635" s="42" t="str">
        <f>+IFERROR(VLOOKUP(E635,'DANH MỤC'!$C:$H,6,0),"")</f>
        <v>Cái</v>
      </c>
      <c r="H635" s="42">
        <f>+IFERROR(VLOOKUP(E635,'DANH MỤC'!$C:$H,3,0),"")</f>
        <v>120</v>
      </c>
      <c r="I635" s="42">
        <f>+IFERROR(VLOOKUP(E635,'DANH MỤC'!$C:$H,4,0),"")</f>
        <v>70</v>
      </c>
      <c r="J635" s="42">
        <f>+IFERROR(VLOOKUP(E635,'DANH MỤC'!$C:$H,5,0),"")</f>
        <v>95</v>
      </c>
      <c r="K635" s="53"/>
      <c r="L635" s="58">
        <v>108.0</v>
      </c>
      <c r="M635" s="55"/>
      <c r="N635" s="55"/>
    </row>
    <row r="636" ht="15.75" customHeight="1">
      <c r="A636" s="53">
        <f t="shared" si="1"/>
        <v>631</v>
      </c>
      <c r="B636" s="55" t="s">
        <v>531</v>
      </c>
      <c r="C636" s="41">
        <v>45726.0</v>
      </c>
      <c r="D636" s="42" t="s">
        <v>533</v>
      </c>
      <c r="E636" s="42" t="s">
        <v>182</v>
      </c>
      <c r="F636" s="42" t="str">
        <f>+IFERROR(VLOOKUP(E636,'DANH MỤC'!$C:$H,2,0),"")</f>
        <v>Ống lõi giấy phi 120x7x71mm</v>
      </c>
      <c r="G636" s="42" t="str">
        <f>+IFERROR(VLOOKUP(E636,'DANH MỤC'!$C:$H,6,0),"")</f>
        <v>Cái</v>
      </c>
      <c r="H636" s="42">
        <f>+IFERROR(VLOOKUP(E636,'DANH MỤC'!$C:$H,3,0),"")</f>
        <v>120</v>
      </c>
      <c r="I636" s="42">
        <f>+IFERROR(VLOOKUP(E636,'DANH MỤC'!$C:$H,4,0),"")</f>
        <v>70</v>
      </c>
      <c r="J636" s="42">
        <f>+IFERROR(VLOOKUP(E636,'DANH MỤC'!$C:$H,5,0),"")</f>
        <v>71</v>
      </c>
      <c r="K636" s="53"/>
      <c r="L636" s="58">
        <v>36.0</v>
      </c>
      <c r="M636" s="55"/>
      <c r="N636" s="55"/>
    </row>
    <row r="637" ht="15.75" customHeight="1">
      <c r="A637" s="53">
        <f t="shared" si="1"/>
        <v>632</v>
      </c>
      <c r="B637" s="55" t="s">
        <v>531</v>
      </c>
      <c r="C637" s="41">
        <v>45726.0</v>
      </c>
      <c r="D637" s="42" t="s">
        <v>533</v>
      </c>
      <c r="E637" s="42" t="s">
        <v>127</v>
      </c>
      <c r="F637" s="42" t="str">
        <f>+IFERROR(VLOOKUP(E637,'DANH MỤC'!$C:$H,2,0),"")</f>
        <v>Pallet gỗ 1100x1100x130mm</v>
      </c>
      <c r="G637" s="42" t="str">
        <f>+IFERROR(VLOOKUP(E637,'DANH MỤC'!$C:$H,6,0),"")</f>
        <v>Bộ</v>
      </c>
      <c r="H637" s="42">
        <f>+IFERROR(VLOOKUP(E637,'DANH MỤC'!$C:$H,3,0),"")</f>
        <v>1100</v>
      </c>
      <c r="I637" s="42">
        <f>+IFERROR(VLOOKUP(E637,'DANH MỤC'!$C:$H,4,0),"")</f>
        <v>1100</v>
      </c>
      <c r="J637" s="42">
        <f>+IFERROR(VLOOKUP(E637,'DANH MỤC'!$C:$H,5,0),"")</f>
        <v>130</v>
      </c>
      <c r="K637" s="53"/>
      <c r="L637" s="58">
        <v>4.0</v>
      </c>
      <c r="M637" s="55"/>
      <c r="N637" s="55"/>
    </row>
    <row r="638" ht="15.75" customHeight="1">
      <c r="A638" s="53">
        <f t="shared" si="1"/>
        <v>633</v>
      </c>
      <c r="B638" s="55" t="s">
        <v>531</v>
      </c>
      <c r="C638" s="41">
        <v>45726.0</v>
      </c>
      <c r="D638" s="42" t="s">
        <v>533</v>
      </c>
      <c r="E638" s="42" t="s">
        <v>156</v>
      </c>
      <c r="F638" s="42" t="str">
        <f>+IFERROR(VLOOKUP(E638,'DANH MỤC'!$C:$H,2,0),"")</f>
        <v>Nẹp gỗ pallet dài 1.15m</v>
      </c>
      <c r="G638" s="42" t="str">
        <f>+IFERROR(VLOOKUP(E638,'DANH MỤC'!$C:$H,6,0),"")</f>
        <v>Cái</v>
      </c>
      <c r="H638" s="42" t="str">
        <f>+IFERROR(VLOOKUP(E638,'DANH MỤC'!$C:$H,3,0),"")</f>
        <v/>
      </c>
      <c r="I638" s="42" t="str">
        <f>+IFERROR(VLOOKUP(E638,'DANH MỤC'!$C:$H,4,0),"")</f>
        <v/>
      </c>
      <c r="J638" s="42">
        <f>+IFERROR(VLOOKUP(E638,'DANH MỤC'!$C:$H,5,0),"")</f>
        <v>1150</v>
      </c>
      <c r="K638" s="53"/>
      <c r="L638" s="58">
        <v>8.0</v>
      </c>
      <c r="M638" s="55"/>
      <c r="N638" s="55"/>
    </row>
    <row r="639" ht="15.75" customHeight="1">
      <c r="A639" s="53">
        <f t="shared" si="1"/>
        <v>634</v>
      </c>
      <c r="B639" s="55" t="s">
        <v>531</v>
      </c>
      <c r="C639" s="41">
        <v>45726.0</v>
      </c>
      <c r="D639" s="42" t="s">
        <v>534</v>
      </c>
      <c r="E639" s="42" t="s">
        <v>104</v>
      </c>
      <c r="F639" s="42" t="str">
        <f>+IFERROR(VLOOKUP(E639,'DANH MỤC'!$C:$H,2,0),"")</f>
        <v>Lưỡi gà trắng 95mm x 800m x 210gsm</v>
      </c>
      <c r="G639" s="42" t="str">
        <f>+IFERROR(VLOOKUP(E639,'DANH MỤC'!$C:$H,6,0),"")</f>
        <v>Cuộn</v>
      </c>
      <c r="H639" s="42">
        <f>+IFERROR(VLOOKUP(E639,'DANH MỤC'!$C:$H,3,0),"")</f>
        <v>210</v>
      </c>
      <c r="I639" s="42">
        <f>+IFERROR(VLOOKUP(E639,'DANH MỤC'!$C:$H,4,0),"")</f>
        <v>95</v>
      </c>
      <c r="J639" s="42">
        <f>+IFERROR(VLOOKUP(E639,'DANH MỤC'!$C:$H,5,0),"")</f>
        <v>800</v>
      </c>
      <c r="K639" s="53">
        <v>108.0</v>
      </c>
      <c r="L639" s="58"/>
      <c r="M639" s="55"/>
      <c r="N639" s="55"/>
    </row>
    <row r="640" ht="15.75" customHeight="1">
      <c r="A640" s="53">
        <f t="shared" si="1"/>
        <v>635</v>
      </c>
      <c r="B640" s="55" t="s">
        <v>531</v>
      </c>
      <c r="C640" s="41">
        <v>45726.0</v>
      </c>
      <c r="D640" s="42" t="s">
        <v>534</v>
      </c>
      <c r="E640" s="42" t="s">
        <v>81</v>
      </c>
      <c r="F640" s="42" t="str">
        <f>+IFERROR(VLOOKUP(E640,'DANH MỤC'!$C:$H,2,0),"")</f>
        <v>Lưỡi gà trắng 71mm x 800m x 210gsm</v>
      </c>
      <c r="G640" s="42" t="str">
        <f>+IFERROR(VLOOKUP(E640,'DANH MỤC'!$C:$H,6,0),"")</f>
        <v>Cuộn</v>
      </c>
      <c r="H640" s="42">
        <f>+IFERROR(VLOOKUP(E640,'DANH MỤC'!$C:$H,3,0),"")</f>
        <v>210</v>
      </c>
      <c r="I640" s="42">
        <f>+IFERROR(VLOOKUP(E640,'DANH MỤC'!$C:$H,4,0),"")</f>
        <v>71</v>
      </c>
      <c r="J640" s="42">
        <f>+IFERROR(VLOOKUP(E640,'DANH MỤC'!$C:$H,5,0),"")</f>
        <v>800</v>
      </c>
      <c r="K640" s="53">
        <v>36.0</v>
      </c>
      <c r="L640" s="58"/>
      <c r="M640" s="55"/>
      <c r="N640" s="55"/>
    </row>
    <row r="641" ht="15.75" customHeight="1">
      <c r="A641" s="53">
        <f t="shared" si="1"/>
        <v>636</v>
      </c>
      <c r="B641" s="55" t="s">
        <v>531</v>
      </c>
      <c r="C641" s="41">
        <v>45727.0</v>
      </c>
      <c r="D641" s="42" t="s">
        <v>533</v>
      </c>
      <c r="E641" s="42" t="s">
        <v>184</v>
      </c>
      <c r="F641" s="42" t="str">
        <f>+IFERROR(VLOOKUP(E641,'DANH MỤC'!$C:$H,2,0),"")</f>
        <v>Ống lõi giấy phi 120x7x95mm</v>
      </c>
      <c r="G641" s="42" t="str">
        <f>+IFERROR(VLOOKUP(E641,'DANH MỤC'!$C:$H,6,0),"")</f>
        <v>Cái</v>
      </c>
      <c r="H641" s="42">
        <f>+IFERROR(VLOOKUP(E641,'DANH MỤC'!$C:$H,3,0),"")</f>
        <v>120</v>
      </c>
      <c r="I641" s="42">
        <f>+IFERROR(VLOOKUP(E641,'DANH MỤC'!$C:$H,4,0),"")</f>
        <v>70</v>
      </c>
      <c r="J641" s="42">
        <f>+IFERROR(VLOOKUP(E641,'DANH MỤC'!$C:$H,5,0),"")</f>
        <v>95</v>
      </c>
      <c r="K641" s="53"/>
      <c r="L641" s="58">
        <v>72.0</v>
      </c>
      <c r="M641" s="55"/>
      <c r="N641" s="55"/>
    </row>
    <row r="642" ht="15.75" customHeight="1">
      <c r="A642" s="53">
        <f t="shared" si="1"/>
        <v>637</v>
      </c>
      <c r="B642" s="55" t="s">
        <v>531</v>
      </c>
      <c r="C642" s="41">
        <v>45727.0</v>
      </c>
      <c r="D642" s="42" t="s">
        <v>533</v>
      </c>
      <c r="E642" s="42" t="s">
        <v>182</v>
      </c>
      <c r="F642" s="42" t="str">
        <f>+IFERROR(VLOOKUP(E642,'DANH MỤC'!$C:$H,2,0),"")</f>
        <v>Ống lõi giấy phi 120x7x71mm</v>
      </c>
      <c r="G642" s="42" t="str">
        <f>+IFERROR(VLOOKUP(E642,'DANH MỤC'!$C:$H,6,0),"")</f>
        <v>Cái</v>
      </c>
      <c r="H642" s="42">
        <f>+IFERROR(VLOOKUP(E642,'DANH MỤC'!$C:$H,3,0),"")</f>
        <v>120</v>
      </c>
      <c r="I642" s="42">
        <f>+IFERROR(VLOOKUP(E642,'DANH MỤC'!$C:$H,4,0),"")</f>
        <v>70</v>
      </c>
      <c r="J642" s="42">
        <f>+IFERROR(VLOOKUP(E642,'DANH MỤC'!$C:$H,5,0),"")</f>
        <v>71</v>
      </c>
      <c r="K642" s="53"/>
      <c r="L642" s="58">
        <v>23.0</v>
      </c>
      <c r="M642" s="55"/>
      <c r="N642" s="55"/>
    </row>
    <row r="643" ht="15.75" customHeight="1">
      <c r="A643" s="53">
        <f t="shared" si="1"/>
        <v>638</v>
      </c>
      <c r="B643" s="55" t="s">
        <v>531</v>
      </c>
      <c r="C643" s="41">
        <v>45727.0</v>
      </c>
      <c r="D643" s="42" t="s">
        <v>533</v>
      </c>
      <c r="E643" s="42" t="s">
        <v>127</v>
      </c>
      <c r="F643" s="42" t="str">
        <f>+IFERROR(VLOOKUP(E643,'DANH MỤC'!$C:$H,2,0),"")</f>
        <v>Pallet gỗ 1100x1100x130mm</v>
      </c>
      <c r="G643" s="42" t="str">
        <f>+IFERROR(VLOOKUP(E643,'DANH MỤC'!$C:$H,6,0),"")</f>
        <v>Bộ</v>
      </c>
      <c r="H643" s="42">
        <f>+IFERROR(VLOOKUP(E643,'DANH MỤC'!$C:$H,3,0),"")</f>
        <v>1100</v>
      </c>
      <c r="I643" s="42">
        <f>+IFERROR(VLOOKUP(E643,'DANH MỤC'!$C:$H,4,0),"")</f>
        <v>1100</v>
      </c>
      <c r="J643" s="42">
        <f>+IFERROR(VLOOKUP(E643,'DANH MỤC'!$C:$H,5,0),"")</f>
        <v>130</v>
      </c>
      <c r="K643" s="53"/>
      <c r="L643" s="58">
        <v>1.0</v>
      </c>
      <c r="M643" s="55"/>
      <c r="N643" s="55"/>
    </row>
    <row r="644" ht="15.75" customHeight="1">
      <c r="A644" s="53">
        <f t="shared" si="1"/>
        <v>639</v>
      </c>
      <c r="B644" s="55" t="s">
        <v>531</v>
      </c>
      <c r="C644" s="41">
        <v>45727.0</v>
      </c>
      <c r="D644" s="42" t="s">
        <v>533</v>
      </c>
      <c r="E644" s="42" t="s">
        <v>156</v>
      </c>
      <c r="F644" s="42" t="str">
        <f>+IFERROR(VLOOKUP(E644,'DANH MỤC'!$C:$H,2,0),"")</f>
        <v>Nẹp gỗ pallet dài 1.15m</v>
      </c>
      <c r="G644" s="42" t="str">
        <f>+IFERROR(VLOOKUP(E644,'DANH MỤC'!$C:$H,6,0),"")</f>
        <v>Cái</v>
      </c>
      <c r="H644" s="42" t="str">
        <f>+IFERROR(VLOOKUP(E644,'DANH MỤC'!$C:$H,3,0),"")</f>
        <v/>
      </c>
      <c r="I644" s="42" t="str">
        <f>+IFERROR(VLOOKUP(E644,'DANH MỤC'!$C:$H,4,0),"")</f>
        <v/>
      </c>
      <c r="J644" s="42">
        <f>+IFERROR(VLOOKUP(E644,'DANH MỤC'!$C:$H,5,0),"")</f>
        <v>1150</v>
      </c>
      <c r="K644" s="53"/>
      <c r="L644" s="58">
        <v>4.0</v>
      </c>
      <c r="M644" s="55"/>
      <c r="N644" s="55"/>
    </row>
    <row r="645" ht="15.75" customHeight="1">
      <c r="A645" s="53">
        <f t="shared" si="1"/>
        <v>640</v>
      </c>
      <c r="B645" s="55" t="s">
        <v>531</v>
      </c>
      <c r="C645" s="41">
        <v>45727.0</v>
      </c>
      <c r="D645" s="42" t="s">
        <v>534</v>
      </c>
      <c r="E645" s="42" t="s">
        <v>104</v>
      </c>
      <c r="F645" s="42" t="str">
        <f>+IFERROR(VLOOKUP(E645,'DANH MỤC'!$C:$H,2,0),"")</f>
        <v>Lưỡi gà trắng 95mm x 800m x 210gsm</v>
      </c>
      <c r="G645" s="42" t="str">
        <f>+IFERROR(VLOOKUP(E645,'DANH MỤC'!$C:$H,6,0),"")</f>
        <v>Cuộn</v>
      </c>
      <c r="H645" s="42">
        <f>+IFERROR(VLOOKUP(E645,'DANH MỤC'!$C:$H,3,0),"")</f>
        <v>210</v>
      </c>
      <c r="I645" s="42">
        <f>+IFERROR(VLOOKUP(E645,'DANH MỤC'!$C:$H,4,0),"")</f>
        <v>95</v>
      </c>
      <c r="J645" s="42">
        <f>+IFERROR(VLOOKUP(E645,'DANH MỤC'!$C:$H,5,0),"")</f>
        <v>800</v>
      </c>
      <c r="K645" s="53">
        <v>72.0</v>
      </c>
      <c r="L645" s="58"/>
      <c r="M645" s="55"/>
      <c r="N645" s="55"/>
    </row>
    <row r="646" ht="15.75" customHeight="1">
      <c r="A646" s="53">
        <f t="shared" si="1"/>
        <v>641</v>
      </c>
      <c r="B646" s="55" t="s">
        <v>531</v>
      </c>
      <c r="C646" s="41">
        <v>45727.0</v>
      </c>
      <c r="D646" s="42" t="s">
        <v>534</v>
      </c>
      <c r="E646" s="42" t="s">
        <v>81</v>
      </c>
      <c r="F646" s="42" t="str">
        <f>+IFERROR(VLOOKUP(E646,'DANH MỤC'!$C:$H,2,0),"")</f>
        <v>Lưỡi gà trắng 71mm x 800m x 210gsm</v>
      </c>
      <c r="G646" s="42" t="str">
        <f>+IFERROR(VLOOKUP(E646,'DANH MỤC'!$C:$H,6,0),"")</f>
        <v>Cuộn</v>
      </c>
      <c r="H646" s="42">
        <f>+IFERROR(VLOOKUP(E646,'DANH MỤC'!$C:$H,3,0),"")</f>
        <v>210</v>
      </c>
      <c r="I646" s="42">
        <f>+IFERROR(VLOOKUP(E646,'DANH MỤC'!$C:$H,4,0),"")</f>
        <v>71</v>
      </c>
      <c r="J646" s="42">
        <f>+IFERROR(VLOOKUP(E646,'DANH MỤC'!$C:$H,5,0),"")</f>
        <v>800</v>
      </c>
      <c r="K646" s="53">
        <v>23.0</v>
      </c>
      <c r="L646" s="58"/>
      <c r="M646" s="55"/>
      <c r="N646" s="55"/>
    </row>
    <row r="647" ht="15.75" customHeight="1">
      <c r="A647" s="53">
        <f t="shared" si="1"/>
        <v>642</v>
      </c>
      <c r="B647" s="55" t="s">
        <v>531</v>
      </c>
      <c r="C647" s="41">
        <v>45728.0</v>
      </c>
      <c r="D647" s="42" t="s">
        <v>533</v>
      </c>
      <c r="E647" s="42" t="s">
        <v>184</v>
      </c>
      <c r="F647" s="42" t="str">
        <f>+IFERROR(VLOOKUP(E647,'DANH MỤC'!$C:$H,2,0),"")</f>
        <v>Ống lõi giấy phi 120x7x95mm</v>
      </c>
      <c r="G647" s="42" t="str">
        <f>+IFERROR(VLOOKUP(E647,'DANH MỤC'!$C:$H,6,0),"")</f>
        <v>Cái</v>
      </c>
      <c r="H647" s="42">
        <f>+IFERROR(VLOOKUP(E647,'DANH MỤC'!$C:$H,3,0),"")</f>
        <v>120</v>
      </c>
      <c r="I647" s="42">
        <f>+IFERROR(VLOOKUP(E647,'DANH MỤC'!$C:$H,4,0),"")</f>
        <v>70</v>
      </c>
      <c r="J647" s="42">
        <f>+IFERROR(VLOOKUP(E647,'DANH MỤC'!$C:$H,5,0),"")</f>
        <v>95</v>
      </c>
      <c r="K647" s="53"/>
      <c r="L647" s="58">
        <v>108.0</v>
      </c>
      <c r="M647" s="55"/>
      <c r="N647" s="55"/>
    </row>
    <row r="648" ht="15.75" customHeight="1">
      <c r="A648" s="53">
        <f t="shared" si="1"/>
        <v>643</v>
      </c>
      <c r="B648" s="55" t="s">
        <v>531</v>
      </c>
      <c r="C648" s="41">
        <v>45728.0</v>
      </c>
      <c r="D648" s="42" t="s">
        <v>533</v>
      </c>
      <c r="E648" s="42" t="s">
        <v>182</v>
      </c>
      <c r="F648" s="42" t="str">
        <f>+IFERROR(VLOOKUP(E648,'DANH MỤC'!$C:$H,2,0),"")</f>
        <v>Ống lõi giấy phi 120x7x71mm</v>
      </c>
      <c r="G648" s="42" t="str">
        <f>+IFERROR(VLOOKUP(E648,'DANH MỤC'!$C:$H,6,0),"")</f>
        <v>Cái</v>
      </c>
      <c r="H648" s="42">
        <f>+IFERROR(VLOOKUP(E648,'DANH MỤC'!$C:$H,3,0),"")</f>
        <v>120</v>
      </c>
      <c r="I648" s="42">
        <f>+IFERROR(VLOOKUP(E648,'DANH MỤC'!$C:$H,4,0),"")</f>
        <v>70</v>
      </c>
      <c r="J648" s="42">
        <f>+IFERROR(VLOOKUP(E648,'DANH MỤC'!$C:$H,5,0),"")</f>
        <v>71</v>
      </c>
      <c r="K648" s="53"/>
      <c r="L648" s="58">
        <v>36.0</v>
      </c>
      <c r="M648" s="55"/>
      <c r="N648" s="55"/>
    </row>
    <row r="649" ht="15.75" customHeight="1">
      <c r="A649" s="53">
        <f t="shared" si="1"/>
        <v>644</v>
      </c>
      <c r="B649" s="55" t="s">
        <v>531</v>
      </c>
      <c r="C649" s="41">
        <v>45728.0</v>
      </c>
      <c r="D649" s="42" t="s">
        <v>533</v>
      </c>
      <c r="E649" s="42" t="s">
        <v>127</v>
      </c>
      <c r="F649" s="42" t="str">
        <f>+IFERROR(VLOOKUP(E649,'DANH MỤC'!$C:$H,2,0),"")</f>
        <v>Pallet gỗ 1100x1100x130mm</v>
      </c>
      <c r="G649" s="42" t="str">
        <f>+IFERROR(VLOOKUP(E649,'DANH MỤC'!$C:$H,6,0),"")</f>
        <v>Bộ</v>
      </c>
      <c r="H649" s="42">
        <f>+IFERROR(VLOOKUP(E649,'DANH MỤC'!$C:$H,3,0),"")</f>
        <v>1100</v>
      </c>
      <c r="I649" s="42">
        <f>+IFERROR(VLOOKUP(E649,'DANH MỤC'!$C:$H,4,0),"")</f>
        <v>1100</v>
      </c>
      <c r="J649" s="42">
        <f>+IFERROR(VLOOKUP(E649,'DANH MỤC'!$C:$H,5,0),"")</f>
        <v>130</v>
      </c>
      <c r="K649" s="53"/>
      <c r="L649" s="58">
        <v>2.0</v>
      </c>
      <c r="M649" s="55"/>
      <c r="N649" s="55"/>
    </row>
    <row r="650" ht="15.75" customHeight="1">
      <c r="A650" s="53">
        <f t="shared" si="1"/>
        <v>645</v>
      </c>
      <c r="B650" s="55" t="s">
        <v>531</v>
      </c>
      <c r="C650" s="41">
        <v>45728.0</v>
      </c>
      <c r="D650" s="42" t="s">
        <v>533</v>
      </c>
      <c r="E650" s="42" t="s">
        <v>156</v>
      </c>
      <c r="F650" s="42" t="str">
        <f>+IFERROR(VLOOKUP(E650,'DANH MỤC'!$C:$H,2,0),"")</f>
        <v>Nẹp gỗ pallet dài 1.15m</v>
      </c>
      <c r="G650" s="42" t="str">
        <f>+IFERROR(VLOOKUP(E650,'DANH MỤC'!$C:$H,6,0),"")</f>
        <v>Cái</v>
      </c>
      <c r="H650" s="42" t="str">
        <f>+IFERROR(VLOOKUP(E650,'DANH MỤC'!$C:$H,3,0),"")</f>
        <v/>
      </c>
      <c r="I650" s="42" t="str">
        <f>+IFERROR(VLOOKUP(E650,'DANH MỤC'!$C:$H,4,0),"")</f>
        <v/>
      </c>
      <c r="J650" s="42">
        <f>+IFERROR(VLOOKUP(E650,'DANH MỤC'!$C:$H,5,0),"")</f>
        <v>1150</v>
      </c>
      <c r="K650" s="53"/>
      <c r="L650" s="58">
        <v>8.0</v>
      </c>
      <c r="M650" s="55"/>
      <c r="N650" s="55"/>
    </row>
    <row r="651" ht="15.75" customHeight="1">
      <c r="A651" s="53">
        <f t="shared" si="1"/>
        <v>646</v>
      </c>
      <c r="B651" s="55" t="s">
        <v>531</v>
      </c>
      <c r="C651" s="41">
        <v>45728.0</v>
      </c>
      <c r="D651" s="42" t="s">
        <v>534</v>
      </c>
      <c r="E651" s="42" t="s">
        <v>104</v>
      </c>
      <c r="F651" s="42" t="str">
        <f>+IFERROR(VLOOKUP(E651,'DANH MỤC'!$C:$H,2,0),"")</f>
        <v>Lưỡi gà trắng 95mm x 800m x 210gsm</v>
      </c>
      <c r="G651" s="42" t="str">
        <f>+IFERROR(VLOOKUP(E651,'DANH MỤC'!$C:$H,6,0),"")</f>
        <v>Cuộn</v>
      </c>
      <c r="H651" s="42">
        <f>+IFERROR(VLOOKUP(E651,'DANH MỤC'!$C:$H,3,0),"")</f>
        <v>210</v>
      </c>
      <c r="I651" s="42">
        <f>+IFERROR(VLOOKUP(E651,'DANH MỤC'!$C:$H,4,0),"")</f>
        <v>95</v>
      </c>
      <c r="J651" s="42">
        <f>+IFERROR(VLOOKUP(E651,'DANH MỤC'!$C:$H,5,0),"")</f>
        <v>800</v>
      </c>
      <c r="K651" s="53">
        <v>108.0</v>
      </c>
      <c r="L651" s="58"/>
      <c r="M651" s="55"/>
      <c r="N651" s="55"/>
    </row>
    <row r="652" ht="15.75" customHeight="1">
      <c r="A652" s="53">
        <f t="shared" si="1"/>
        <v>647</v>
      </c>
      <c r="B652" s="55" t="s">
        <v>531</v>
      </c>
      <c r="C652" s="41">
        <v>45728.0</v>
      </c>
      <c r="D652" s="42" t="s">
        <v>534</v>
      </c>
      <c r="E652" s="42" t="s">
        <v>81</v>
      </c>
      <c r="F652" s="42" t="str">
        <f>+IFERROR(VLOOKUP(E652,'DANH MỤC'!$C:$H,2,0),"")</f>
        <v>Lưỡi gà trắng 71mm x 800m x 210gsm</v>
      </c>
      <c r="G652" s="42" t="str">
        <f>+IFERROR(VLOOKUP(E652,'DANH MỤC'!$C:$H,6,0),"")</f>
        <v>Cuộn</v>
      </c>
      <c r="H652" s="42">
        <f>+IFERROR(VLOOKUP(E652,'DANH MỤC'!$C:$H,3,0),"")</f>
        <v>210</v>
      </c>
      <c r="I652" s="42">
        <f>+IFERROR(VLOOKUP(E652,'DANH MỤC'!$C:$H,4,0),"")</f>
        <v>71</v>
      </c>
      <c r="J652" s="42">
        <f>+IFERROR(VLOOKUP(E652,'DANH MỤC'!$C:$H,5,0),"")</f>
        <v>800</v>
      </c>
      <c r="K652" s="53">
        <v>36.0</v>
      </c>
      <c r="L652" s="58"/>
      <c r="M652" s="55"/>
      <c r="N652" s="55"/>
    </row>
    <row r="653" ht="15.75" customHeight="1">
      <c r="A653" s="53">
        <f t="shared" si="1"/>
        <v>648</v>
      </c>
      <c r="B653" s="55" t="s">
        <v>531</v>
      </c>
      <c r="C653" s="41">
        <v>45729.0</v>
      </c>
      <c r="D653" s="42" t="s">
        <v>533</v>
      </c>
      <c r="E653" s="42" t="s">
        <v>184</v>
      </c>
      <c r="F653" s="42" t="str">
        <f>+IFERROR(VLOOKUP(E653,'DANH MỤC'!$C:$H,2,0),"")</f>
        <v>Ống lõi giấy phi 120x7x95mm</v>
      </c>
      <c r="G653" s="42" t="str">
        <f>+IFERROR(VLOOKUP(E653,'DANH MỤC'!$C:$H,6,0),"")</f>
        <v>Cái</v>
      </c>
      <c r="H653" s="42">
        <f>+IFERROR(VLOOKUP(E653,'DANH MỤC'!$C:$H,3,0),"")</f>
        <v>120</v>
      </c>
      <c r="I653" s="42">
        <f>+IFERROR(VLOOKUP(E653,'DANH MỤC'!$C:$H,4,0),"")</f>
        <v>70</v>
      </c>
      <c r="J653" s="42">
        <f>+IFERROR(VLOOKUP(E653,'DANH MỤC'!$C:$H,5,0),"")</f>
        <v>95</v>
      </c>
      <c r="K653" s="53"/>
      <c r="L653" s="58">
        <v>108.0</v>
      </c>
      <c r="M653" s="55"/>
      <c r="N653" s="55"/>
    </row>
    <row r="654" ht="15.75" customHeight="1">
      <c r="A654" s="53">
        <f t="shared" si="1"/>
        <v>649</v>
      </c>
      <c r="B654" s="55" t="s">
        <v>531</v>
      </c>
      <c r="C654" s="41">
        <v>45729.0</v>
      </c>
      <c r="D654" s="42" t="s">
        <v>533</v>
      </c>
      <c r="E654" s="42" t="s">
        <v>182</v>
      </c>
      <c r="F654" s="42" t="str">
        <f>+IFERROR(VLOOKUP(E654,'DANH MỤC'!$C:$H,2,0),"")</f>
        <v>Ống lõi giấy phi 120x7x71mm</v>
      </c>
      <c r="G654" s="42" t="str">
        <f>+IFERROR(VLOOKUP(E654,'DANH MỤC'!$C:$H,6,0),"")</f>
        <v>Cái</v>
      </c>
      <c r="H654" s="42">
        <f>+IFERROR(VLOOKUP(E654,'DANH MỤC'!$C:$H,3,0),"")</f>
        <v>120</v>
      </c>
      <c r="I654" s="42">
        <f>+IFERROR(VLOOKUP(E654,'DANH MỤC'!$C:$H,4,0),"")</f>
        <v>70</v>
      </c>
      <c r="J654" s="42">
        <f>+IFERROR(VLOOKUP(E654,'DANH MỤC'!$C:$H,5,0),"")</f>
        <v>71</v>
      </c>
      <c r="K654" s="53"/>
      <c r="L654" s="58">
        <v>36.0</v>
      </c>
      <c r="M654" s="55"/>
      <c r="N654" s="55"/>
    </row>
    <row r="655" ht="15.75" customHeight="1">
      <c r="A655" s="53">
        <f t="shared" si="1"/>
        <v>650</v>
      </c>
      <c r="B655" s="55" t="s">
        <v>531</v>
      </c>
      <c r="C655" s="41">
        <v>45729.0</v>
      </c>
      <c r="D655" s="42" t="s">
        <v>533</v>
      </c>
      <c r="E655" s="42" t="s">
        <v>127</v>
      </c>
      <c r="F655" s="42" t="str">
        <f>+IFERROR(VLOOKUP(E655,'DANH MỤC'!$C:$H,2,0),"")</f>
        <v>Pallet gỗ 1100x1100x130mm</v>
      </c>
      <c r="G655" s="42" t="str">
        <f>+IFERROR(VLOOKUP(E655,'DANH MỤC'!$C:$H,6,0),"")</f>
        <v>Bộ</v>
      </c>
      <c r="H655" s="42">
        <f>+IFERROR(VLOOKUP(E655,'DANH MỤC'!$C:$H,3,0),"")</f>
        <v>1100</v>
      </c>
      <c r="I655" s="42">
        <f>+IFERROR(VLOOKUP(E655,'DANH MỤC'!$C:$H,4,0),"")</f>
        <v>1100</v>
      </c>
      <c r="J655" s="42">
        <f>+IFERROR(VLOOKUP(E655,'DANH MỤC'!$C:$H,5,0),"")</f>
        <v>130</v>
      </c>
      <c r="K655" s="53"/>
      <c r="L655" s="58">
        <v>3.0</v>
      </c>
      <c r="M655" s="55"/>
      <c r="N655" s="55"/>
    </row>
    <row r="656" ht="15.75" customHeight="1">
      <c r="A656" s="53">
        <f t="shared" si="1"/>
        <v>651</v>
      </c>
      <c r="B656" s="55" t="s">
        <v>531</v>
      </c>
      <c r="C656" s="41">
        <v>45729.0</v>
      </c>
      <c r="D656" s="42" t="s">
        <v>533</v>
      </c>
      <c r="E656" s="42" t="s">
        <v>156</v>
      </c>
      <c r="F656" s="42" t="str">
        <f>+IFERROR(VLOOKUP(E656,'DANH MỤC'!$C:$H,2,0),"")</f>
        <v>Nẹp gỗ pallet dài 1.15m</v>
      </c>
      <c r="G656" s="42" t="str">
        <f>+IFERROR(VLOOKUP(E656,'DANH MỤC'!$C:$H,6,0),"")</f>
        <v>Cái</v>
      </c>
      <c r="H656" s="42" t="str">
        <f>+IFERROR(VLOOKUP(E656,'DANH MỤC'!$C:$H,3,0),"")</f>
        <v/>
      </c>
      <c r="I656" s="42" t="str">
        <f>+IFERROR(VLOOKUP(E656,'DANH MỤC'!$C:$H,4,0),"")</f>
        <v/>
      </c>
      <c r="J656" s="42">
        <f>+IFERROR(VLOOKUP(E656,'DANH MỤC'!$C:$H,5,0),"")</f>
        <v>1150</v>
      </c>
      <c r="K656" s="53"/>
      <c r="L656" s="58">
        <v>8.0</v>
      </c>
      <c r="M656" s="55"/>
      <c r="N656" s="55"/>
    </row>
    <row r="657" ht="15.75" customHeight="1">
      <c r="A657" s="53">
        <f t="shared" si="1"/>
        <v>652</v>
      </c>
      <c r="B657" s="55" t="s">
        <v>531</v>
      </c>
      <c r="C657" s="41">
        <v>45729.0</v>
      </c>
      <c r="D657" s="42" t="s">
        <v>534</v>
      </c>
      <c r="E657" s="42" t="s">
        <v>104</v>
      </c>
      <c r="F657" s="42" t="str">
        <f>+IFERROR(VLOOKUP(E657,'DANH MỤC'!$C:$H,2,0),"")</f>
        <v>Lưỡi gà trắng 95mm x 800m x 210gsm</v>
      </c>
      <c r="G657" s="42" t="str">
        <f>+IFERROR(VLOOKUP(E657,'DANH MỤC'!$C:$H,6,0),"")</f>
        <v>Cuộn</v>
      </c>
      <c r="H657" s="42">
        <f>+IFERROR(VLOOKUP(E657,'DANH MỤC'!$C:$H,3,0),"")</f>
        <v>210</v>
      </c>
      <c r="I657" s="42">
        <f>+IFERROR(VLOOKUP(E657,'DANH MỤC'!$C:$H,4,0),"")</f>
        <v>95</v>
      </c>
      <c r="J657" s="42">
        <f>+IFERROR(VLOOKUP(E657,'DANH MỤC'!$C:$H,5,0),"")</f>
        <v>800</v>
      </c>
      <c r="K657" s="53">
        <v>108.0</v>
      </c>
      <c r="L657" s="58"/>
      <c r="M657" s="55"/>
      <c r="N657" s="55"/>
    </row>
    <row r="658" ht="15.75" customHeight="1">
      <c r="A658" s="53">
        <f t="shared" si="1"/>
        <v>653</v>
      </c>
      <c r="B658" s="55" t="s">
        <v>531</v>
      </c>
      <c r="C658" s="41">
        <v>45729.0</v>
      </c>
      <c r="D658" s="42" t="s">
        <v>534</v>
      </c>
      <c r="E658" s="42" t="s">
        <v>81</v>
      </c>
      <c r="F658" s="42" t="str">
        <f>+IFERROR(VLOOKUP(E658,'DANH MỤC'!$C:$H,2,0),"")</f>
        <v>Lưỡi gà trắng 71mm x 800m x 210gsm</v>
      </c>
      <c r="G658" s="42" t="str">
        <f>+IFERROR(VLOOKUP(E658,'DANH MỤC'!$C:$H,6,0),"")</f>
        <v>Cuộn</v>
      </c>
      <c r="H658" s="42">
        <f>+IFERROR(VLOOKUP(E658,'DANH MỤC'!$C:$H,3,0),"")</f>
        <v>210</v>
      </c>
      <c r="I658" s="42">
        <f>+IFERROR(VLOOKUP(E658,'DANH MỤC'!$C:$H,4,0),"")</f>
        <v>71</v>
      </c>
      <c r="J658" s="42">
        <f>+IFERROR(VLOOKUP(E658,'DANH MỤC'!$C:$H,5,0),"")</f>
        <v>800</v>
      </c>
      <c r="K658" s="53">
        <v>36.0</v>
      </c>
      <c r="L658" s="58"/>
      <c r="M658" s="55"/>
      <c r="N658" s="55"/>
    </row>
    <row r="659" ht="15.75" customHeight="1">
      <c r="A659" s="53">
        <f t="shared" si="1"/>
        <v>654</v>
      </c>
      <c r="B659" s="55" t="s">
        <v>531</v>
      </c>
      <c r="C659" s="41">
        <v>45730.0</v>
      </c>
      <c r="D659" s="42" t="s">
        <v>533</v>
      </c>
      <c r="E659" s="42" t="s">
        <v>184</v>
      </c>
      <c r="F659" s="42" t="str">
        <f>+IFERROR(VLOOKUP(E659,'DANH MỤC'!$C:$H,2,0),"")</f>
        <v>Ống lõi giấy phi 120x7x95mm</v>
      </c>
      <c r="G659" s="42" t="str">
        <f>+IFERROR(VLOOKUP(E659,'DANH MỤC'!$C:$H,6,0),"")</f>
        <v>Cái</v>
      </c>
      <c r="H659" s="42">
        <f>+IFERROR(VLOOKUP(E659,'DANH MỤC'!$C:$H,3,0),"")</f>
        <v>120</v>
      </c>
      <c r="I659" s="42">
        <f>+IFERROR(VLOOKUP(E659,'DANH MỤC'!$C:$H,4,0),"")</f>
        <v>70</v>
      </c>
      <c r="J659" s="42">
        <f>+IFERROR(VLOOKUP(E659,'DANH MỤC'!$C:$H,5,0),"")</f>
        <v>95</v>
      </c>
      <c r="K659" s="53"/>
      <c r="L659" s="58">
        <v>108.0</v>
      </c>
      <c r="M659" s="55"/>
      <c r="N659" s="55"/>
    </row>
    <row r="660" ht="15.75" customHeight="1">
      <c r="A660" s="53">
        <f t="shared" si="1"/>
        <v>655</v>
      </c>
      <c r="B660" s="55" t="s">
        <v>531</v>
      </c>
      <c r="C660" s="41">
        <v>45730.0</v>
      </c>
      <c r="D660" s="42" t="s">
        <v>533</v>
      </c>
      <c r="E660" s="42" t="s">
        <v>182</v>
      </c>
      <c r="F660" s="42" t="str">
        <f>+IFERROR(VLOOKUP(E660,'DANH MỤC'!$C:$H,2,0),"")</f>
        <v>Ống lõi giấy phi 120x7x71mm</v>
      </c>
      <c r="G660" s="42" t="str">
        <f>+IFERROR(VLOOKUP(E660,'DANH MỤC'!$C:$H,6,0),"")</f>
        <v>Cái</v>
      </c>
      <c r="H660" s="42">
        <f>+IFERROR(VLOOKUP(E660,'DANH MỤC'!$C:$H,3,0),"")</f>
        <v>120</v>
      </c>
      <c r="I660" s="42">
        <f>+IFERROR(VLOOKUP(E660,'DANH MỤC'!$C:$H,4,0),"")</f>
        <v>70</v>
      </c>
      <c r="J660" s="42">
        <f>+IFERROR(VLOOKUP(E660,'DANH MỤC'!$C:$H,5,0),"")</f>
        <v>71</v>
      </c>
      <c r="K660" s="53"/>
      <c r="L660" s="58">
        <v>36.0</v>
      </c>
      <c r="M660" s="55"/>
      <c r="N660" s="55"/>
    </row>
    <row r="661" ht="15.75" customHeight="1">
      <c r="A661" s="53">
        <f t="shared" si="1"/>
        <v>656</v>
      </c>
      <c r="B661" s="55" t="s">
        <v>531</v>
      </c>
      <c r="C661" s="41">
        <v>45730.0</v>
      </c>
      <c r="D661" s="42" t="s">
        <v>533</v>
      </c>
      <c r="E661" s="42" t="s">
        <v>127</v>
      </c>
      <c r="F661" s="42" t="str">
        <f>+IFERROR(VLOOKUP(E661,'DANH MỤC'!$C:$H,2,0),"")</f>
        <v>Pallet gỗ 1100x1100x130mm</v>
      </c>
      <c r="G661" s="42" t="str">
        <f>+IFERROR(VLOOKUP(E661,'DANH MỤC'!$C:$H,6,0),"")</f>
        <v>Bộ</v>
      </c>
      <c r="H661" s="42">
        <f>+IFERROR(VLOOKUP(E661,'DANH MỤC'!$C:$H,3,0),"")</f>
        <v>1100</v>
      </c>
      <c r="I661" s="42">
        <f>+IFERROR(VLOOKUP(E661,'DANH MỤC'!$C:$H,4,0),"")</f>
        <v>1100</v>
      </c>
      <c r="J661" s="42">
        <f>+IFERROR(VLOOKUP(E661,'DANH MỤC'!$C:$H,5,0),"")</f>
        <v>130</v>
      </c>
      <c r="K661" s="53"/>
      <c r="L661" s="58">
        <v>3.0</v>
      </c>
      <c r="M661" s="55"/>
      <c r="N661" s="55"/>
    </row>
    <row r="662" ht="15.75" customHeight="1">
      <c r="A662" s="53">
        <f t="shared" si="1"/>
        <v>657</v>
      </c>
      <c r="B662" s="55" t="s">
        <v>531</v>
      </c>
      <c r="C662" s="41">
        <v>45730.0</v>
      </c>
      <c r="D662" s="42" t="s">
        <v>533</v>
      </c>
      <c r="E662" s="42" t="s">
        <v>156</v>
      </c>
      <c r="F662" s="42" t="str">
        <f>+IFERROR(VLOOKUP(E662,'DANH MỤC'!$C:$H,2,0),"")</f>
        <v>Nẹp gỗ pallet dài 1.15m</v>
      </c>
      <c r="G662" s="42" t="str">
        <f>+IFERROR(VLOOKUP(E662,'DANH MỤC'!$C:$H,6,0),"")</f>
        <v>Cái</v>
      </c>
      <c r="H662" s="42" t="str">
        <f>+IFERROR(VLOOKUP(E662,'DANH MỤC'!$C:$H,3,0),"")</f>
        <v/>
      </c>
      <c r="I662" s="42" t="str">
        <f>+IFERROR(VLOOKUP(E662,'DANH MỤC'!$C:$H,4,0),"")</f>
        <v/>
      </c>
      <c r="J662" s="42">
        <f>+IFERROR(VLOOKUP(E662,'DANH MỤC'!$C:$H,5,0),"")</f>
        <v>1150</v>
      </c>
      <c r="K662" s="53"/>
      <c r="L662" s="58">
        <v>8.0</v>
      </c>
      <c r="M662" s="55"/>
      <c r="N662" s="55"/>
    </row>
    <row r="663" ht="15.75" customHeight="1">
      <c r="A663" s="53">
        <f t="shared" si="1"/>
        <v>658</v>
      </c>
      <c r="B663" s="55" t="s">
        <v>531</v>
      </c>
      <c r="C663" s="41">
        <v>45730.0</v>
      </c>
      <c r="D663" s="42" t="s">
        <v>534</v>
      </c>
      <c r="E663" s="42" t="s">
        <v>104</v>
      </c>
      <c r="F663" s="42" t="str">
        <f>+IFERROR(VLOOKUP(E663,'DANH MỤC'!$C:$H,2,0),"")</f>
        <v>Lưỡi gà trắng 95mm x 800m x 210gsm</v>
      </c>
      <c r="G663" s="42" t="str">
        <f>+IFERROR(VLOOKUP(E663,'DANH MỤC'!$C:$H,6,0),"")</f>
        <v>Cuộn</v>
      </c>
      <c r="H663" s="42">
        <f>+IFERROR(VLOOKUP(E663,'DANH MỤC'!$C:$H,3,0),"")</f>
        <v>210</v>
      </c>
      <c r="I663" s="42">
        <f>+IFERROR(VLOOKUP(E663,'DANH MỤC'!$C:$H,4,0),"")</f>
        <v>95</v>
      </c>
      <c r="J663" s="42">
        <f>+IFERROR(VLOOKUP(E663,'DANH MỤC'!$C:$H,5,0),"")</f>
        <v>800</v>
      </c>
      <c r="K663" s="53">
        <v>108.0</v>
      </c>
      <c r="L663" s="58"/>
      <c r="M663" s="55"/>
      <c r="N663" s="55"/>
    </row>
    <row r="664" ht="15.75" customHeight="1">
      <c r="A664" s="53">
        <f t="shared" si="1"/>
        <v>659</v>
      </c>
      <c r="B664" s="55" t="s">
        <v>531</v>
      </c>
      <c r="C664" s="41">
        <v>45730.0</v>
      </c>
      <c r="D664" s="42" t="s">
        <v>534</v>
      </c>
      <c r="E664" s="42" t="s">
        <v>81</v>
      </c>
      <c r="F664" s="42" t="str">
        <f>+IFERROR(VLOOKUP(E664,'DANH MỤC'!$C:$H,2,0),"")</f>
        <v>Lưỡi gà trắng 71mm x 800m x 210gsm</v>
      </c>
      <c r="G664" s="42" t="str">
        <f>+IFERROR(VLOOKUP(E664,'DANH MỤC'!$C:$H,6,0),"")</f>
        <v>Cuộn</v>
      </c>
      <c r="H664" s="42">
        <f>+IFERROR(VLOOKUP(E664,'DANH MỤC'!$C:$H,3,0),"")</f>
        <v>210</v>
      </c>
      <c r="I664" s="42">
        <f>+IFERROR(VLOOKUP(E664,'DANH MỤC'!$C:$H,4,0),"")</f>
        <v>71</v>
      </c>
      <c r="J664" s="42">
        <f>+IFERROR(VLOOKUP(E664,'DANH MỤC'!$C:$H,5,0),"")</f>
        <v>800</v>
      </c>
      <c r="K664" s="53">
        <v>36.0</v>
      </c>
      <c r="L664" s="58"/>
      <c r="M664" s="55"/>
      <c r="N664" s="55"/>
    </row>
    <row r="665" ht="15.75" customHeight="1">
      <c r="A665" s="117">
        <f t="shared" si="1"/>
        <v>660</v>
      </c>
      <c r="B665" s="118" t="s">
        <v>374</v>
      </c>
      <c r="C665" s="119">
        <v>45733.0</v>
      </c>
      <c r="D665" s="120" t="s">
        <v>146</v>
      </c>
      <c r="E665" s="120" t="s">
        <v>81</v>
      </c>
      <c r="F665" s="120" t="str">
        <f>+IFERROR(VLOOKUP(E665,'DANH MỤC'!$C:$H,2,0),"")</f>
        <v>Lưỡi gà trắng 71mm x 800m x 210gsm</v>
      </c>
      <c r="G665" s="120" t="str">
        <f>+IFERROR(VLOOKUP(E665,'DANH MỤC'!$C:$H,6,0),"")</f>
        <v>Cuộn</v>
      </c>
      <c r="H665" s="120">
        <f>+IFERROR(VLOOKUP(E665,'DANH MỤC'!$C:$H,3,0),"")</f>
        <v>210</v>
      </c>
      <c r="I665" s="120">
        <f>+IFERROR(VLOOKUP(E665,'DANH MỤC'!$C:$H,4,0),"")</f>
        <v>71</v>
      </c>
      <c r="J665" s="120">
        <f>+IFERROR(VLOOKUP(E665,'DANH MỤC'!$C:$H,5,0),"")</f>
        <v>800</v>
      </c>
      <c r="K665" s="117"/>
      <c r="L665" s="121">
        <v>360.0</v>
      </c>
      <c r="M665" s="118" t="s">
        <v>304</v>
      </c>
      <c r="N665" s="118"/>
    </row>
    <row r="666" ht="15.75" customHeight="1">
      <c r="A666" s="117">
        <f t="shared" si="1"/>
        <v>661</v>
      </c>
      <c r="B666" s="118" t="s">
        <v>374</v>
      </c>
      <c r="C666" s="119">
        <v>45733.0</v>
      </c>
      <c r="D666" s="120" t="s">
        <v>146</v>
      </c>
      <c r="E666" s="120" t="s">
        <v>120</v>
      </c>
      <c r="F666" s="120" t="str">
        <f>+IFERROR(VLOOKUP(E666,'DANH MỤC'!$C:$H,2,0),"")</f>
        <v>Lưỡi gà trắng 98mm x 800m x 230gsm</v>
      </c>
      <c r="G666" s="120" t="str">
        <f>+IFERROR(VLOOKUP(E666,'DANH MỤC'!$C:$H,6,0),"")</f>
        <v>Cuộn</v>
      </c>
      <c r="H666" s="120">
        <f>+IFERROR(VLOOKUP(E666,'DANH MỤC'!$C:$H,3,0),"")</f>
        <v>230</v>
      </c>
      <c r="I666" s="120">
        <f>+IFERROR(VLOOKUP(E666,'DANH MỤC'!$C:$H,4,0),"")</f>
        <v>98</v>
      </c>
      <c r="J666" s="120">
        <f>+IFERROR(VLOOKUP(E666,'DANH MỤC'!$C:$H,5,0),"")</f>
        <v>800</v>
      </c>
      <c r="K666" s="117"/>
      <c r="L666" s="121">
        <v>120.0</v>
      </c>
      <c r="M666" s="118" t="s">
        <v>304</v>
      </c>
      <c r="N666" s="118"/>
    </row>
    <row r="667" ht="15.75" customHeight="1">
      <c r="A667" s="53">
        <f t="shared" si="1"/>
        <v>662</v>
      </c>
      <c r="B667" s="55" t="s">
        <v>535</v>
      </c>
      <c r="C667" s="41">
        <v>45733.0</v>
      </c>
      <c r="D667" s="42" t="s">
        <v>35</v>
      </c>
      <c r="E667" s="42" t="s">
        <v>47</v>
      </c>
      <c r="F667" s="42" t="str">
        <f>+IFERROR(VLOOKUP(E667,'DANH MỤC'!$C:$H,2,0),"")</f>
        <v>Ivory Ningbo</v>
      </c>
      <c r="G667" s="42" t="str">
        <f>+IFERROR(VLOOKUP(E667,'DANH MỤC'!$C:$H,6,0),"")</f>
        <v>Kg</v>
      </c>
      <c r="H667" s="42">
        <f>+IFERROR(VLOOKUP(E667,'DANH MỤC'!$C:$H,3,0),"")</f>
        <v>210</v>
      </c>
      <c r="I667" s="42">
        <f>+IFERROR(VLOOKUP(E667,'DANH MỤC'!$C:$H,4,0),"")</f>
        <v>109</v>
      </c>
      <c r="J667" s="42" t="str">
        <f>+IFERROR(VLOOKUP(E667,'DANH MỤC'!$C:$H,5,0),"")</f>
        <v/>
      </c>
      <c r="K667" s="53">
        <v>11330.0</v>
      </c>
      <c r="L667" s="58"/>
      <c r="M667" s="55"/>
      <c r="N667" s="55"/>
    </row>
    <row r="668" ht="15.75" customHeight="1">
      <c r="A668" s="53">
        <f t="shared" si="1"/>
        <v>663</v>
      </c>
      <c r="B668" s="55" t="s">
        <v>535</v>
      </c>
      <c r="C668" s="41">
        <v>45733.0</v>
      </c>
      <c r="D668" s="42" t="s">
        <v>35</v>
      </c>
      <c r="E668" s="42" t="s">
        <v>88</v>
      </c>
      <c r="F668" s="42" t="str">
        <f>+IFERROR(VLOOKUP(E668,'DANH MỤC'!$C:$H,2,0),"")</f>
        <v>Ivory Ningbo</v>
      </c>
      <c r="G668" s="42" t="str">
        <f>+IFERROR(VLOOKUP(E668,'DANH MỤC'!$C:$H,6,0),"")</f>
        <v>Kg</v>
      </c>
      <c r="H668" s="42">
        <f>+IFERROR(VLOOKUP(E668,'DANH MỤC'!$C:$H,3,0),"")</f>
        <v>250</v>
      </c>
      <c r="I668" s="42">
        <f>+IFERROR(VLOOKUP(E668,'DANH MỤC'!$C:$H,4,0),"")</f>
        <v>109</v>
      </c>
      <c r="J668" s="42" t="str">
        <f>+IFERROR(VLOOKUP(E668,'DANH MỤC'!$C:$H,5,0),"")</f>
        <v/>
      </c>
      <c r="K668" s="53">
        <v>13734.0</v>
      </c>
      <c r="L668" s="58"/>
      <c r="M668" s="55"/>
      <c r="N668" s="55"/>
    </row>
    <row r="669" ht="15.75" customHeight="1">
      <c r="A669" s="53">
        <f t="shared" si="1"/>
        <v>664</v>
      </c>
      <c r="B669" s="55" t="s">
        <v>535</v>
      </c>
      <c r="C669" s="41">
        <v>45733.0</v>
      </c>
      <c r="D669" s="42" t="s">
        <v>35</v>
      </c>
      <c r="E669" s="42" t="s">
        <v>189</v>
      </c>
      <c r="F669" s="42" t="str">
        <f>+IFERROR(VLOOKUP(E669,'DANH MỤC'!$C:$H,2,0),"")</f>
        <v>Ivory Ningbo</v>
      </c>
      <c r="G669" s="42" t="str">
        <f>+IFERROR(VLOOKUP(E669,'DANH MỤC'!$C:$H,6,0),"")</f>
        <v>Kg</v>
      </c>
      <c r="H669" s="42">
        <f>+IFERROR(VLOOKUP(E669,'DANH MỤC'!$C:$H,3,0),"")</f>
        <v>230</v>
      </c>
      <c r="I669" s="42">
        <f>+IFERROR(VLOOKUP(E669,'DANH MỤC'!$C:$H,4,0),"")</f>
        <v>109</v>
      </c>
      <c r="J669" s="42" t="str">
        <f>+IFERROR(VLOOKUP(E669,'DANH MỤC'!$C:$H,5,0),"")</f>
        <v/>
      </c>
      <c r="K669" s="53">
        <v>990.0</v>
      </c>
      <c r="L669" s="58"/>
      <c r="M669" s="55"/>
      <c r="N669" s="55"/>
    </row>
    <row r="670" ht="15.75" customHeight="1">
      <c r="A670" s="53">
        <f t="shared" si="1"/>
        <v>665</v>
      </c>
      <c r="B670" s="55" t="s">
        <v>535</v>
      </c>
      <c r="C670" s="41">
        <v>45733.0</v>
      </c>
      <c r="D670" s="42" t="s">
        <v>35</v>
      </c>
      <c r="E670" s="42" t="s">
        <v>47</v>
      </c>
      <c r="F670" s="42" t="str">
        <f>+IFERROR(VLOOKUP(E670,'DANH MỤC'!$C:$H,2,0),"")</f>
        <v>Ivory Ningbo</v>
      </c>
      <c r="G670" s="42" t="str">
        <f>+IFERROR(VLOOKUP(E670,'DANH MỤC'!$C:$H,6,0),"")</f>
        <v>Kg</v>
      </c>
      <c r="H670" s="42">
        <f>+IFERROR(VLOOKUP(E670,'DANH MỤC'!$C:$H,3,0),"")</f>
        <v>210</v>
      </c>
      <c r="I670" s="42">
        <f>+IFERROR(VLOOKUP(E670,'DANH MỤC'!$C:$H,4,0),"")</f>
        <v>109</v>
      </c>
      <c r="J670" s="42" t="str">
        <f>+IFERROR(VLOOKUP(E670,'DANH MỤC'!$C:$H,5,0),"")</f>
        <v/>
      </c>
      <c r="K670" s="53">
        <v>23690.0</v>
      </c>
      <c r="L670" s="58"/>
      <c r="M670" s="55"/>
      <c r="N670" s="55"/>
    </row>
    <row r="671" ht="15.75" customHeight="1">
      <c r="A671" s="53">
        <f t="shared" si="1"/>
        <v>666</v>
      </c>
      <c r="B671" s="55" t="s">
        <v>535</v>
      </c>
      <c r="C671" s="41">
        <v>45733.0</v>
      </c>
      <c r="D671" s="42" t="s">
        <v>35</v>
      </c>
      <c r="E671" s="42" t="s">
        <v>88</v>
      </c>
      <c r="F671" s="42" t="str">
        <f>+IFERROR(VLOOKUP(E671,'DANH MỤC'!$C:$H,2,0),"")</f>
        <v>Ivory Ningbo</v>
      </c>
      <c r="G671" s="42" t="str">
        <f>+IFERROR(VLOOKUP(E671,'DANH MỤC'!$C:$H,6,0),"")</f>
        <v>Kg</v>
      </c>
      <c r="H671" s="42">
        <f>+IFERROR(VLOOKUP(E671,'DANH MỤC'!$C:$H,3,0),"")</f>
        <v>250</v>
      </c>
      <c r="I671" s="42">
        <f>+IFERROR(VLOOKUP(E671,'DANH MỤC'!$C:$H,4,0),"")</f>
        <v>109</v>
      </c>
      <c r="J671" s="42" t="str">
        <f>+IFERROR(VLOOKUP(E671,'DANH MỤC'!$C:$H,5,0),"")</f>
        <v/>
      </c>
      <c r="K671" s="53">
        <v>12753.0</v>
      </c>
      <c r="L671" s="58"/>
      <c r="M671" s="55"/>
      <c r="N671" s="55"/>
    </row>
    <row r="672" ht="15.75" customHeight="1">
      <c r="A672" s="53">
        <f t="shared" si="1"/>
        <v>667</v>
      </c>
      <c r="B672" s="55" t="s">
        <v>535</v>
      </c>
      <c r="C672" s="41">
        <v>45733.0</v>
      </c>
      <c r="D672" s="42" t="s">
        <v>35</v>
      </c>
      <c r="E672" s="42" t="s">
        <v>189</v>
      </c>
      <c r="F672" s="42" t="str">
        <f>+IFERROR(VLOOKUP(E672,'DANH MỤC'!$C:$H,2,0),"")</f>
        <v>Ivory Ningbo</v>
      </c>
      <c r="G672" s="42" t="str">
        <f>+IFERROR(VLOOKUP(E672,'DANH MỤC'!$C:$H,6,0),"")</f>
        <v>Kg</v>
      </c>
      <c r="H672" s="42">
        <f>+IFERROR(VLOOKUP(E672,'DANH MỤC'!$C:$H,3,0),"")</f>
        <v>230</v>
      </c>
      <c r="I672" s="42">
        <f>+IFERROR(VLOOKUP(E672,'DANH MỤC'!$C:$H,4,0),"")</f>
        <v>109</v>
      </c>
      <c r="J672" s="42" t="str">
        <f>+IFERROR(VLOOKUP(E672,'DANH MỤC'!$C:$H,5,0),"")</f>
        <v/>
      </c>
      <c r="K672" s="53">
        <v>990.0</v>
      </c>
      <c r="L672" s="58"/>
      <c r="M672" s="55"/>
      <c r="N672" s="55"/>
    </row>
    <row r="673" ht="15.75" customHeight="1">
      <c r="A673" s="53">
        <f t="shared" si="1"/>
        <v>668</v>
      </c>
      <c r="B673" s="55" t="s">
        <v>535</v>
      </c>
      <c r="C673" s="41">
        <v>45733.0</v>
      </c>
      <c r="D673" s="42" t="s">
        <v>35</v>
      </c>
      <c r="E673" s="42" t="s">
        <v>47</v>
      </c>
      <c r="F673" s="42" t="str">
        <f>+IFERROR(VLOOKUP(E673,'DANH MỤC'!$C:$H,2,0),"")</f>
        <v>Ivory Ningbo</v>
      </c>
      <c r="G673" s="42" t="str">
        <f>+IFERROR(VLOOKUP(E673,'DANH MỤC'!$C:$H,6,0),"")</f>
        <v>Kg</v>
      </c>
      <c r="H673" s="42">
        <f>+IFERROR(VLOOKUP(E673,'DANH MỤC'!$C:$H,3,0),"")</f>
        <v>210</v>
      </c>
      <c r="I673" s="42">
        <f>+IFERROR(VLOOKUP(E673,'DANH MỤC'!$C:$H,4,0),"")</f>
        <v>109</v>
      </c>
      <c r="J673" s="42" t="str">
        <f>+IFERROR(VLOOKUP(E673,'DANH MỤC'!$C:$H,5,0),"")</f>
        <v/>
      </c>
      <c r="K673" s="53">
        <v>11330.0</v>
      </c>
      <c r="L673" s="58"/>
      <c r="M673" s="55"/>
      <c r="N673" s="55"/>
    </row>
    <row r="674" ht="15.75" customHeight="1">
      <c r="A674" s="53">
        <f t="shared" si="1"/>
        <v>669</v>
      </c>
      <c r="B674" s="55" t="s">
        <v>531</v>
      </c>
      <c r="C674" s="41">
        <v>45733.0</v>
      </c>
      <c r="D674" s="42" t="s">
        <v>533</v>
      </c>
      <c r="E674" s="42" t="s">
        <v>184</v>
      </c>
      <c r="F674" s="42" t="str">
        <f>+IFERROR(VLOOKUP(E674,'DANH MỤC'!$C:$H,2,0),"")</f>
        <v>Ống lõi giấy phi 120x7x95mm</v>
      </c>
      <c r="G674" s="42" t="str">
        <f>+IFERROR(VLOOKUP(E674,'DANH MỤC'!$C:$H,6,0),"")</f>
        <v>Cái</v>
      </c>
      <c r="H674" s="42">
        <f>+IFERROR(VLOOKUP(E674,'DANH MỤC'!$C:$H,3,0),"")</f>
        <v>120</v>
      </c>
      <c r="I674" s="42">
        <f>+IFERROR(VLOOKUP(E674,'DANH MỤC'!$C:$H,4,0),"")</f>
        <v>70</v>
      </c>
      <c r="J674" s="42">
        <f>+IFERROR(VLOOKUP(E674,'DANH MỤC'!$C:$H,5,0),"")</f>
        <v>95</v>
      </c>
      <c r="K674" s="53"/>
      <c r="L674" s="58">
        <v>54.0</v>
      </c>
      <c r="M674" s="55"/>
      <c r="N674" s="55"/>
    </row>
    <row r="675" ht="15.75" customHeight="1">
      <c r="A675" s="53">
        <f t="shared" si="1"/>
        <v>670</v>
      </c>
      <c r="B675" s="55" t="s">
        <v>531</v>
      </c>
      <c r="C675" s="41">
        <v>45733.0</v>
      </c>
      <c r="D675" s="42" t="s">
        <v>533</v>
      </c>
      <c r="E675" s="42" t="s">
        <v>182</v>
      </c>
      <c r="F675" s="42" t="str">
        <f>+IFERROR(VLOOKUP(E675,'DANH MỤC'!$C:$H,2,0),"")</f>
        <v>Ống lõi giấy phi 120x7x71mm</v>
      </c>
      <c r="G675" s="42" t="str">
        <f>+IFERROR(VLOOKUP(E675,'DANH MỤC'!$C:$H,6,0),"")</f>
        <v>Cái</v>
      </c>
      <c r="H675" s="42">
        <f>+IFERROR(VLOOKUP(E675,'DANH MỤC'!$C:$H,3,0),"")</f>
        <v>120</v>
      </c>
      <c r="I675" s="42">
        <f>+IFERROR(VLOOKUP(E675,'DANH MỤC'!$C:$H,4,0),"")</f>
        <v>70</v>
      </c>
      <c r="J675" s="42">
        <f>+IFERROR(VLOOKUP(E675,'DANH MỤC'!$C:$H,5,0),"")</f>
        <v>71</v>
      </c>
      <c r="K675" s="53"/>
      <c r="L675" s="58">
        <v>18.0</v>
      </c>
      <c r="M675" s="55"/>
      <c r="N675" s="55"/>
    </row>
    <row r="676" ht="15.75" customHeight="1">
      <c r="A676" s="53">
        <f t="shared" si="1"/>
        <v>671</v>
      </c>
      <c r="B676" s="55" t="s">
        <v>531</v>
      </c>
      <c r="C676" s="41">
        <v>45733.0</v>
      </c>
      <c r="D676" s="42" t="s">
        <v>533</v>
      </c>
      <c r="E676" s="42" t="s">
        <v>127</v>
      </c>
      <c r="F676" s="42" t="str">
        <f>+IFERROR(VLOOKUP(E676,'DANH MỤC'!$C:$H,2,0),"")</f>
        <v>Pallet gỗ 1100x1100x130mm</v>
      </c>
      <c r="G676" s="42" t="str">
        <f>+IFERROR(VLOOKUP(E676,'DANH MỤC'!$C:$H,6,0),"")</f>
        <v>Bộ</v>
      </c>
      <c r="H676" s="42">
        <f>+IFERROR(VLOOKUP(E676,'DANH MỤC'!$C:$H,3,0),"")</f>
        <v>1100</v>
      </c>
      <c r="I676" s="42">
        <f>+IFERROR(VLOOKUP(E676,'DANH MỤC'!$C:$H,4,0),"")</f>
        <v>1100</v>
      </c>
      <c r="J676" s="42">
        <f>+IFERROR(VLOOKUP(E676,'DANH MỤC'!$C:$H,5,0),"")</f>
        <v>130</v>
      </c>
      <c r="K676" s="53"/>
      <c r="L676" s="58">
        <v>1.0</v>
      </c>
      <c r="M676" s="55"/>
      <c r="N676" s="55"/>
    </row>
    <row r="677" ht="15.75" customHeight="1">
      <c r="A677" s="53">
        <f t="shared" si="1"/>
        <v>672</v>
      </c>
      <c r="B677" s="55" t="s">
        <v>531</v>
      </c>
      <c r="C677" s="41">
        <v>45733.0</v>
      </c>
      <c r="D677" s="42" t="s">
        <v>533</v>
      </c>
      <c r="E677" s="42" t="s">
        <v>156</v>
      </c>
      <c r="F677" s="42" t="str">
        <f>+IFERROR(VLOOKUP(E677,'DANH MỤC'!$C:$H,2,0),"")</f>
        <v>Nẹp gỗ pallet dài 1.15m</v>
      </c>
      <c r="G677" s="42" t="str">
        <f>+IFERROR(VLOOKUP(E677,'DANH MỤC'!$C:$H,6,0),"")</f>
        <v>Cái</v>
      </c>
      <c r="H677" s="42" t="str">
        <f>+IFERROR(VLOOKUP(E677,'DANH MỤC'!$C:$H,3,0),"")</f>
        <v/>
      </c>
      <c r="I677" s="42" t="str">
        <f>+IFERROR(VLOOKUP(E677,'DANH MỤC'!$C:$H,4,0),"")</f>
        <v/>
      </c>
      <c r="J677" s="42">
        <f>+IFERROR(VLOOKUP(E677,'DANH MỤC'!$C:$H,5,0),"")</f>
        <v>1150</v>
      </c>
      <c r="K677" s="53"/>
      <c r="L677" s="58">
        <v>4.0</v>
      </c>
      <c r="M677" s="55"/>
      <c r="N677" s="55"/>
    </row>
    <row r="678" ht="15.75" customHeight="1">
      <c r="A678" s="53">
        <f t="shared" si="1"/>
        <v>673</v>
      </c>
      <c r="B678" s="55" t="s">
        <v>531</v>
      </c>
      <c r="C678" s="41">
        <v>45733.0</v>
      </c>
      <c r="D678" s="42" t="s">
        <v>534</v>
      </c>
      <c r="E678" s="42" t="s">
        <v>104</v>
      </c>
      <c r="F678" s="42" t="str">
        <f>+IFERROR(VLOOKUP(E678,'DANH MỤC'!$C:$H,2,0),"")</f>
        <v>Lưỡi gà trắng 95mm x 800m x 210gsm</v>
      </c>
      <c r="G678" s="42" t="str">
        <f>+IFERROR(VLOOKUP(E678,'DANH MỤC'!$C:$H,6,0),"")</f>
        <v>Cuộn</v>
      </c>
      <c r="H678" s="42">
        <f>+IFERROR(VLOOKUP(E678,'DANH MỤC'!$C:$H,3,0),"")</f>
        <v>210</v>
      </c>
      <c r="I678" s="42">
        <f>+IFERROR(VLOOKUP(E678,'DANH MỤC'!$C:$H,4,0),"")</f>
        <v>95</v>
      </c>
      <c r="J678" s="42">
        <f>+IFERROR(VLOOKUP(E678,'DANH MỤC'!$C:$H,5,0),"")</f>
        <v>800</v>
      </c>
      <c r="K678" s="53">
        <v>54.0</v>
      </c>
      <c r="L678" s="58"/>
      <c r="M678" s="55"/>
      <c r="N678" s="55"/>
    </row>
    <row r="679" ht="15.75" customHeight="1">
      <c r="A679" s="53">
        <f t="shared" si="1"/>
        <v>674</v>
      </c>
      <c r="B679" s="55" t="s">
        <v>531</v>
      </c>
      <c r="C679" s="41">
        <v>45733.0</v>
      </c>
      <c r="D679" s="42" t="s">
        <v>534</v>
      </c>
      <c r="E679" s="42" t="s">
        <v>81</v>
      </c>
      <c r="F679" s="42" t="str">
        <f>+IFERROR(VLOOKUP(E679,'DANH MỤC'!$C:$H,2,0),"")</f>
        <v>Lưỡi gà trắng 71mm x 800m x 210gsm</v>
      </c>
      <c r="G679" s="42" t="str">
        <f>+IFERROR(VLOOKUP(E679,'DANH MỤC'!$C:$H,6,0),"")</f>
        <v>Cuộn</v>
      </c>
      <c r="H679" s="42">
        <f>+IFERROR(VLOOKUP(E679,'DANH MỤC'!$C:$H,3,0),"")</f>
        <v>210</v>
      </c>
      <c r="I679" s="42">
        <f>+IFERROR(VLOOKUP(E679,'DANH MỤC'!$C:$H,4,0),"")</f>
        <v>71</v>
      </c>
      <c r="J679" s="42">
        <f>+IFERROR(VLOOKUP(E679,'DANH MỤC'!$C:$H,5,0),"")</f>
        <v>800</v>
      </c>
      <c r="K679" s="53">
        <v>18.0</v>
      </c>
      <c r="L679" s="58"/>
      <c r="M679" s="55"/>
      <c r="N679" s="55"/>
    </row>
    <row r="680" ht="15.75" customHeight="1">
      <c r="A680" s="53">
        <f t="shared" si="1"/>
        <v>675</v>
      </c>
      <c r="B680" s="55" t="s">
        <v>531</v>
      </c>
      <c r="C680" s="41">
        <v>45734.0</v>
      </c>
      <c r="D680" s="42" t="s">
        <v>533</v>
      </c>
      <c r="E680" s="42" t="s">
        <v>184</v>
      </c>
      <c r="F680" s="42" t="str">
        <f>+IFERROR(VLOOKUP(E680,'DANH MỤC'!$C:$H,2,0),"")</f>
        <v>Ống lõi giấy phi 120x7x95mm</v>
      </c>
      <c r="G680" s="42" t="str">
        <f>+IFERROR(VLOOKUP(E680,'DANH MỤC'!$C:$H,6,0),"")</f>
        <v>Cái</v>
      </c>
      <c r="H680" s="42">
        <f>+IFERROR(VLOOKUP(E680,'DANH MỤC'!$C:$H,3,0),"")</f>
        <v>120</v>
      </c>
      <c r="I680" s="42">
        <f>+IFERROR(VLOOKUP(E680,'DANH MỤC'!$C:$H,4,0),"")</f>
        <v>70</v>
      </c>
      <c r="J680" s="42">
        <f>+IFERROR(VLOOKUP(E680,'DANH MỤC'!$C:$H,5,0),"")</f>
        <v>95</v>
      </c>
      <c r="K680" s="53"/>
      <c r="L680" s="58">
        <v>108.0</v>
      </c>
      <c r="M680" s="55"/>
      <c r="N680" s="55"/>
    </row>
    <row r="681" ht="15.75" customHeight="1">
      <c r="A681" s="53">
        <f t="shared" si="1"/>
        <v>676</v>
      </c>
      <c r="B681" s="55" t="s">
        <v>531</v>
      </c>
      <c r="C681" s="41">
        <v>45734.0</v>
      </c>
      <c r="D681" s="42" t="s">
        <v>533</v>
      </c>
      <c r="E681" s="42" t="s">
        <v>182</v>
      </c>
      <c r="F681" s="42" t="str">
        <f>+IFERROR(VLOOKUP(E681,'DANH MỤC'!$C:$H,2,0),"")</f>
        <v>Ống lõi giấy phi 120x7x71mm</v>
      </c>
      <c r="G681" s="42" t="str">
        <f>+IFERROR(VLOOKUP(E681,'DANH MỤC'!$C:$H,6,0),"")</f>
        <v>Cái</v>
      </c>
      <c r="H681" s="42">
        <f>+IFERROR(VLOOKUP(E681,'DANH MỤC'!$C:$H,3,0),"")</f>
        <v>120</v>
      </c>
      <c r="I681" s="42">
        <f>+IFERROR(VLOOKUP(E681,'DANH MỤC'!$C:$H,4,0),"")</f>
        <v>70</v>
      </c>
      <c r="J681" s="42">
        <f>+IFERROR(VLOOKUP(E681,'DANH MỤC'!$C:$H,5,0),"")</f>
        <v>71</v>
      </c>
      <c r="K681" s="53"/>
      <c r="L681" s="58">
        <v>36.0</v>
      </c>
      <c r="M681" s="55"/>
      <c r="N681" s="55"/>
    </row>
    <row r="682" ht="15.75" customHeight="1">
      <c r="A682" s="53">
        <f t="shared" si="1"/>
        <v>677</v>
      </c>
      <c r="B682" s="55" t="s">
        <v>531</v>
      </c>
      <c r="C682" s="41">
        <v>45734.0</v>
      </c>
      <c r="D682" s="42" t="s">
        <v>533</v>
      </c>
      <c r="E682" s="42" t="s">
        <v>127</v>
      </c>
      <c r="F682" s="42" t="str">
        <f>+IFERROR(VLOOKUP(E682,'DANH MỤC'!$C:$H,2,0),"")</f>
        <v>Pallet gỗ 1100x1100x130mm</v>
      </c>
      <c r="G682" s="42" t="str">
        <f>+IFERROR(VLOOKUP(E682,'DANH MỤC'!$C:$H,6,0),"")</f>
        <v>Bộ</v>
      </c>
      <c r="H682" s="42">
        <f>+IFERROR(VLOOKUP(E682,'DANH MỤC'!$C:$H,3,0),"")</f>
        <v>1100</v>
      </c>
      <c r="I682" s="42">
        <f>+IFERROR(VLOOKUP(E682,'DANH MỤC'!$C:$H,4,0),"")</f>
        <v>1100</v>
      </c>
      <c r="J682" s="42">
        <f>+IFERROR(VLOOKUP(E682,'DANH MỤC'!$C:$H,5,0),"")</f>
        <v>130</v>
      </c>
      <c r="K682" s="53"/>
      <c r="L682" s="58">
        <v>3.0</v>
      </c>
      <c r="M682" s="55"/>
      <c r="N682" s="55"/>
    </row>
    <row r="683" ht="15.75" customHeight="1">
      <c r="A683" s="53">
        <f t="shared" si="1"/>
        <v>678</v>
      </c>
      <c r="B683" s="55" t="s">
        <v>531</v>
      </c>
      <c r="C683" s="41">
        <v>45734.0</v>
      </c>
      <c r="D683" s="42" t="s">
        <v>533</v>
      </c>
      <c r="E683" s="42" t="s">
        <v>156</v>
      </c>
      <c r="F683" s="42" t="str">
        <f>+IFERROR(VLOOKUP(E683,'DANH MỤC'!$C:$H,2,0),"")</f>
        <v>Nẹp gỗ pallet dài 1.15m</v>
      </c>
      <c r="G683" s="42" t="str">
        <f>+IFERROR(VLOOKUP(E683,'DANH MỤC'!$C:$H,6,0),"")</f>
        <v>Cái</v>
      </c>
      <c r="H683" s="42" t="str">
        <f>+IFERROR(VLOOKUP(E683,'DANH MỤC'!$C:$H,3,0),"")</f>
        <v/>
      </c>
      <c r="I683" s="42" t="str">
        <f>+IFERROR(VLOOKUP(E683,'DANH MỤC'!$C:$H,4,0),"")</f>
        <v/>
      </c>
      <c r="J683" s="42">
        <f>+IFERROR(VLOOKUP(E683,'DANH MỤC'!$C:$H,5,0),"")</f>
        <v>1150</v>
      </c>
      <c r="K683" s="53"/>
      <c r="L683" s="58">
        <v>8.0</v>
      </c>
      <c r="M683" s="55"/>
      <c r="N683" s="55"/>
    </row>
    <row r="684" ht="15.75" customHeight="1">
      <c r="A684" s="53">
        <f t="shared" si="1"/>
        <v>679</v>
      </c>
      <c r="B684" s="55" t="s">
        <v>531</v>
      </c>
      <c r="C684" s="41">
        <v>45734.0</v>
      </c>
      <c r="D684" s="42" t="s">
        <v>533</v>
      </c>
      <c r="E684" s="42" t="s">
        <v>115</v>
      </c>
      <c r="F684" s="42" t="str">
        <f>+IFERROR(VLOOKUP(E684,'DANH MỤC'!$C:$H,2,0),"")</f>
        <v>Màng Strecth Film 5.0-0.6kg</v>
      </c>
      <c r="G684" s="42" t="str">
        <f>+IFERROR(VLOOKUP(E684,'DANH MỤC'!$C:$H,6,0),"")</f>
        <v>Kg</v>
      </c>
      <c r="H684" s="42" t="str">
        <f>+IFERROR(VLOOKUP(E684,'DANH MỤC'!$C:$H,3,0),"")</f>
        <v/>
      </c>
      <c r="I684" s="42" t="str">
        <f>+IFERROR(VLOOKUP(E684,'DANH MỤC'!$C:$H,4,0),"")</f>
        <v/>
      </c>
      <c r="J684" s="42" t="str">
        <f>+IFERROR(VLOOKUP(E684,'DANH MỤC'!$C:$H,5,0),"")</f>
        <v/>
      </c>
      <c r="K684" s="53"/>
      <c r="L684" s="58">
        <v>10.76</v>
      </c>
      <c r="M684" s="55"/>
      <c r="N684" s="55"/>
    </row>
    <row r="685" ht="15.75" customHeight="1">
      <c r="A685" s="53">
        <f t="shared" si="1"/>
        <v>680</v>
      </c>
      <c r="B685" s="55" t="s">
        <v>531</v>
      </c>
      <c r="C685" s="41">
        <v>45734.0</v>
      </c>
      <c r="D685" s="42" t="s">
        <v>533</v>
      </c>
      <c r="E685" s="42" t="s">
        <v>96</v>
      </c>
      <c r="F685" s="42" t="str">
        <f>+IFERROR(VLOOKUP(E685,'DANH MỤC'!$C:$H,2,0),"")</f>
        <v>Giấy bao gói lưỡi gà</v>
      </c>
      <c r="G685" s="42" t="str">
        <f>+IFERROR(VLOOKUP(E685,'DANH MỤC'!$C:$H,6,0),"")</f>
        <v>Kg</v>
      </c>
      <c r="H685" s="42" t="str">
        <f>+IFERROR(VLOOKUP(E685,'DANH MỤC'!$C:$H,3,0),"")</f>
        <v/>
      </c>
      <c r="I685" s="42" t="str">
        <f>+IFERROR(VLOOKUP(E685,'DANH MỤC'!$C:$H,4,0),"")</f>
        <v/>
      </c>
      <c r="J685" s="42" t="str">
        <f>+IFERROR(VLOOKUP(E685,'DANH MỤC'!$C:$H,5,0),"")</f>
        <v/>
      </c>
      <c r="K685" s="53"/>
      <c r="L685" s="58">
        <v>12.01</v>
      </c>
      <c r="M685" s="55"/>
      <c r="N685" s="55"/>
    </row>
    <row r="686" ht="15.75" customHeight="1">
      <c r="A686" s="53">
        <f t="shared" si="1"/>
        <v>681</v>
      </c>
      <c r="B686" s="55" t="s">
        <v>531</v>
      </c>
      <c r="C686" s="41">
        <v>45734.0</v>
      </c>
      <c r="D686" s="42" t="s">
        <v>533</v>
      </c>
      <c r="E686" s="42" t="s">
        <v>112</v>
      </c>
      <c r="F686" s="42" t="str">
        <f>+IFERROR(VLOOKUP(E686,'DANH MỤC'!$C:$H,2,0),"")</f>
        <v>Dây đai PET xanh (B)</v>
      </c>
      <c r="G686" s="42" t="str">
        <f>+IFERROR(VLOOKUP(E686,'DANH MỤC'!$C:$H,6,0),"")</f>
        <v>Kg</v>
      </c>
      <c r="H686" s="42" t="str">
        <f>+IFERROR(VLOOKUP(E686,'DANH MỤC'!$C:$H,3,0),"")</f>
        <v/>
      </c>
      <c r="I686" s="42" t="str">
        <f>+IFERROR(VLOOKUP(E686,'DANH MỤC'!$C:$H,4,0),"")</f>
        <v/>
      </c>
      <c r="J686" s="42" t="str">
        <f>+IFERROR(VLOOKUP(E686,'DANH MỤC'!$C:$H,5,0),"")</f>
        <v/>
      </c>
      <c r="K686" s="53"/>
      <c r="L686" s="58">
        <v>18.22</v>
      </c>
      <c r="M686" s="55"/>
      <c r="N686" s="55"/>
    </row>
    <row r="687" ht="15.75" customHeight="1">
      <c r="A687" s="53">
        <f t="shared" si="1"/>
        <v>682</v>
      </c>
      <c r="B687" s="55" t="s">
        <v>531</v>
      </c>
      <c r="C687" s="41">
        <v>45734.0</v>
      </c>
      <c r="D687" s="42" t="s">
        <v>536</v>
      </c>
      <c r="E687" s="42" t="s">
        <v>47</v>
      </c>
      <c r="F687" s="42" t="str">
        <f>+IFERROR(VLOOKUP(E687,'DANH MỤC'!$C:$H,2,0),"")</f>
        <v>Ivory Ningbo</v>
      </c>
      <c r="G687" s="42" t="str">
        <f>+IFERROR(VLOOKUP(E687,'DANH MỤC'!$C:$H,6,0),"")</f>
        <v>Kg</v>
      </c>
      <c r="H687" s="42">
        <f>+IFERROR(VLOOKUP(E687,'DANH MỤC'!$C:$H,3,0),"")</f>
        <v>210</v>
      </c>
      <c r="I687" s="42">
        <f>+IFERROR(VLOOKUP(E687,'DANH MỤC'!$C:$H,4,0),"")</f>
        <v>109</v>
      </c>
      <c r="J687" s="42" t="str">
        <f>+IFERROR(VLOOKUP(E687,'DANH MỤC'!$C:$H,5,0),"")</f>
        <v/>
      </c>
      <c r="K687" s="53">
        <v>650.0</v>
      </c>
      <c r="L687" s="58"/>
      <c r="M687" s="55"/>
      <c r="N687" s="55"/>
    </row>
    <row r="688" ht="15.75" customHeight="1">
      <c r="A688" s="53">
        <f t="shared" si="1"/>
        <v>683</v>
      </c>
      <c r="B688" s="55" t="s">
        <v>531</v>
      </c>
      <c r="C688" s="41">
        <v>45734.0</v>
      </c>
      <c r="D688" s="42" t="s">
        <v>534</v>
      </c>
      <c r="E688" s="42" t="s">
        <v>104</v>
      </c>
      <c r="F688" s="42" t="str">
        <f>+IFERROR(VLOOKUP(E688,'DANH MỤC'!$C:$H,2,0),"")</f>
        <v>Lưỡi gà trắng 95mm x 800m x 210gsm</v>
      </c>
      <c r="G688" s="42" t="str">
        <f>+IFERROR(VLOOKUP(E688,'DANH MỤC'!$C:$H,6,0),"")</f>
        <v>Cuộn</v>
      </c>
      <c r="H688" s="42">
        <f>+IFERROR(VLOOKUP(E688,'DANH MỤC'!$C:$H,3,0),"")</f>
        <v>210</v>
      </c>
      <c r="I688" s="42">
        <f>+IFERROR(VLOOKUP(E688,'DANH MỤC'!$C:$H,4,0),"")</f>
        <v>95</v>
      </c>
      <c r="J688" s="42">
        <f>+IFERROR(VLOOKUP(E688,'DANH MỤC'!$C:$H,5,0),"")</f>
        <v>800</v>
      </c>
      <c r="K688" s="53">
        <v>108.0</v>
      </c>
      <c r="L688" s="58"/>
      <c r="M688" s="55"/>
      <c r="N688" s="55"/>
    </row>
    <row r="689" ht="15.75" customHeight="1">
      <c r="A689" s="53">
        <f t="shared" si="1"/>
        <v>684</v>
      </c>
      <c r="B689" s="55" t="s">
        <v>531</v>
      </c>
      <c r="C689" s="41">
        <v>45734.0</v>
      </c>
      <c r="D689" s="42" t="s">
        <v>534</v>
      </c>
      <c r="E689" s="42" t="s">
        <v>81</v>
      </c>
      <c r="F689" s="42" t="str">
        <f>+IFERROR(VLOOKUP(E689,'DANH MỤC'!$C:$H,2,0),"")</f>
        <v>Lưỡi gà trắng 71mm x 800m x 210gsm</v>
      </c>
      <c r="G689" s="42" t="str">
        <f>+IFERROR(VLOOKUP(E689,'DANH MỤC'!$C:$H,6,0),"")</f>
        <v>Cuộn</v>
      </c>
      <c r="H689" s="42">
        <f>+IFERROR(VLOOKUP(E689,'DANH MỤC'!$C:$H,3,0),"")</f>
        <v>210</v>
      </c>
      <c r="I689" s="42">
        <f>+IFERROR(VLOOKUP(E689,'DANH MỤC'!$C:$H,4,0),"")</f>
        <v>71</v>
      </c>
      <c r="J689" s="42">
        <f>+IFERROR(VLOOKUP(E689,'DANH MỤC'!$C:$H,5,0),"")</f>
        <v>800</v>
      </c>
      <c r="K689" s="53">
        <v>36.0</v>
      </c>
      <c r="L689" s="58"/>
      <c r="M689" s="55"/>
      <c r="N689" s="55"/>
    </row>
    <row r="690" ht="15.75" customHeight="1">
      <c r="A690" s="53">
        <f t="shared" si="1"/>
        <v>685</v>
      </c>
      <c r="B690" s="55" t="s">
        <v>535</v>
      </c>
      <c r="C690" s="41">
        <v>45734.0</v>
      </c>
      <c r="D690" s="42" t="s">
        <v>35</v>
      </c>
      <c r="E690" s="42" t="s">
        <v>88</v>
      </c>
      <c r="F690" s="42" t="str">
        <f>+IFERROR(VLOOKUP(E690,'DANH MỤC'!$C:$H,2,0),"")</f>
        <v>Ivory Ningbo</v>
      </c>
      <c r="G690" s="42" t="str">
        <f>+IFERROR(VLOOKUP(E690,'DANH MỤC'!$C:$H,6,0),"")</f>
        <v>Kg</v>
      </c>
      <c r="H690" s="42">
        <f>+IFERROR(VLOOKUP(E690,'DANH MỤC'!$C:$H,3,0),"")</f>
        <v>250</v>
      </c>
      <c r="I690" s="42">
        <f>+IFERROR(VLOOKUP(E690,'DANH MỤC'!$C:$H,4,0),"")</f>
        <v>109</v>
      </c>
      <c r="J690" s="42" t="str">
        <f>+IFERROR(VLOOKUP(E690,'DANH MỤC'!$C:$H,5,0),"")</f>
        <v/>
      </c>
      <c r="K690" s="53">
        <v>13734.0</v>
      </c>
      <c r="L690" s="58"/>
      <c r="M690" s="55"/>
      <c r="N690" s="55"/>
    </row>
    <row r="691" ht="15.75" customHeight="1">
      <c r="A691" s="53">
        <f t="shared" si="1"/>
        <v>686</v>
      </c>
      <c r="B691" s="55" t="s">
        <v>535</v>
      </c>
      <c r="C691" s="41">
        <v>45734.0</v>
      </c>
      <c r="D691" s="42" t="s">
        <v>35</v>
      </c>
      <c r="E691" s="42" t="s">
        <v>47</v>
      </c>
      <c r="F691" s="42" t="str">
        <f>+IFERROR(VLOOKUP(E691,'DANH MỤC'!$C:$H,2,0),"")</f>
        <v>Ivory Ningbo</v>
      </c>
      <c r="G691" s="42" t="str">
        <f>+IFERROR(VLOOKUP(E691,'DANH MỤC'!$C:$H,6,0),"")</f>
        <v>Kg</v>
      </c>
      <c r="H691" s="42">
        <f>+IFERROR(VLOOKUP(E691,'DANH MỤC'!$C:$H,3,0),"")</f>
        <v>210</v>
      </c>
      <c r="I691" s="42">
        <f>+IFERROR(VLOOKUP(E691,'DANH MỤC'!$C:$H,4,0),"")</f>
        <v>109</v>
      </c>
      <c r="J691" s="42" t="str">
        <f>+IFERROR(VLOOKUP(E691,'DANH MỤC'!$C:$H,5,0),"")</f>
        <v/>
      </c>
      <c r="K691" s="53">
        <v>11330.0</v>
      </c>
      <c r="L691" s="58"/>
      <c r="M691" s="55"/>
      <c r="N691" s="55"/>
    </row>
    <row r="692" ht="15.75" customHeight="1">
      <c r="A692" s="53">
        <f t="shared" si="1"/>
        <v>687</v>
      </c>
      <c r="B692" s="55" t="s">
        <v>535</v>
      </c>
      <c r="C692" s="41">
        <v>45734.0</v>
      </c>
      <c r="D692" s="42" t="s">
        <v>35</v>
      </c>
      <c r="E692" s="42" t="s">
        <v>189</v>
      </c>
      <c r="F692" s="42" t="str">
        <f>+IFERROR(VLOOKUP(E692,'DANH MỤC'!$C:$H,2,0),"")</f>
        <v>Ivory Ningbo</v>
      </c>
      <c r="G692" s="42" t="str">
        <f>+IFERROR(VLOOKUP(E692,'DANH MỤC'!$C:$H,6,0),"")</f>
        <v>Kg</v>
      </c>
      <c r="H692" s="42">
        <f>+IFERROR(VLOOKUP(E692,'DANH MỤC'!$C:$H,3,0),"")</f>
        <v>230</v>
      </c>
      <c r="I692" s="42">
        <f>+IFERROR(VLOOKUP(E692,'DANH MỤC'!$C:$H,4,0),"")</f>
        <v>109</v>
      </c>
      <c r="J692" s="42" t="str">
        <f>+IFERROR(VLOOKUP(E692,'DANH MỤC'!$C:$H,5,0),"")</f>
        <v/>
      </c>
      <c r="K692" s="53">
        <v>13860.0</v>
      </c>
      <c r="L692" s="58"/>
      <c r="M692" s="55"/>
      <c r="N692" s="55"/>
    </row>
    <row r="693" ht="15.75" customHeight="1">
      <c r="A693" s="53">
        <f t="shared" si="1"/>
        <v>688</v>
      </c>
      <c r="B693" s="55" t="s">
        <v>535</v>
      </c>
      <c r="C693" s="41">
        <v>45734.0</v>
      </c>
      <c r="D693" s="42" t="s">
        <v>35</v>
      </c>
      <c r="E693" s="42" t="s">
        <v>47</v>
      </c>
      <c r="F693" s="42" t="str">
        <f>+IFERROR(VLOOKUP(E693,'DANH MỤC'!$C:$H,2,0),"")</f>
        <v>Ivory Ningbo</v>
      </c>
      <c r="G693" s="42" t="str">
        <f>+IFERROR(VLOOKUP(E693,'DANH MỤC'!$C:$H,6,0),"")</f>
        <v>Kg</v>
      </c>
      <c r="H693" s="42">
        <f>+IFERROR(VLOOKUP(E693,'DANH MỤC'!$C:$H,3,0),"")</f>
        <v>210</v>
      </c>
      <c r="I693" s="42">
        <f>+IFERROR(VLOOKUP(E693,'DANH MỤC'!$C:$H,4,0),"")</f>
        <v>109</v>
      </c>
      <c r="J693" s="42" t="str">
        <f>+IFERROR(VLOOKUP(E693,'DANH MỤC'!$C:$H,5,0),"")</f>
        <v/>
      </c>
      <c r="K693" s="53">
        <v>11330.0</v>
      </c>
      <c r="L693" s="58"/>
      <c r="M693" s="55"/>
      <c r="N693" s="55"/>
    </row>
    <row r="694" ht="15.75" customHeight="1">
      <c r="A694" s="53">
        <f t="shared" si="1"/>
        <v>689</v>
      </c>
      <c r="B694" s="55" t="s">
        <v>535</v>
      </c>
      <c r="C694" s="41">
        <v>45734.0</v>
      </c>
      <c r="D694" s="42" t="s">
        <v>35</v>
      </c>
      <c r="E694" s="42" t="s">
        <v>189</v>
      </c>
      <c r="F694" s="42" t="str">
        <f>+IFERROR(VLOOKUP(E694,'DANH MỤC'!$C:$H,2,0),"")</f>
        <v>Ivory Ningbo</v>
      </c>
      <c r="G694" s="42" t="str">
        <f>+IFERROR(VLOOKUP(E694,'DANH MỤC'!$C:$H,6,0),"")</f>
        <v>Kg</v>
      </c>
      <c r="H694" s="42">
        <f>+IFERROR(VLOOKUP(E694,'DANH MỤC'!$C:$H,3,0),"")</f>
        <v>230</v>
      </c>
      <c r="I694" s="42">
        <f>+IFERROR(VLOOKUP(E694,'DANH MỤC'!$C:$H,4,0),"")</f>
        <v>109</v>
      </c>
      <c r="J694" s="42" t="str">
        <f>+IFERROR(VLOOKUP(E694,'DANH MỤC'!$C:$H,5,0),"")</f>
        <v/>
      </c>
      <c r="K694" s="53">
        <v>13860.0</v>
      </c>
      <c r="L694" s="58"/>
      <c r="M694" s="55"/>
      <c r="N694" s="55"/>
    </row>
    <row r="695" ht="15.75" customHeight="1">
      <c r="A695" s="53">
        <f t="shared" si="1"/>
        <v>690</v>
      </c>
      <c r="B695" s="55" t="s">
        <v>535</v>
      </c>
      <c r="C695" s="41">
        <v>45734.0</v>
      </c>
      <c r="D695" s="42" t="s">
        <v>35</v>
      </c>
      <c r="E695" s="42" t="s">
        <v>47</v>
      </c>
      <c r="F695" s="42" t="str">
        <f>+IFERROR(VLOOKUP(E695,'DANH MỤC'!$C:$H,2,0),"")</f>
        <v>Ivory Ningbo</v>
      </c>
      <c r="G695" s="42" t="str">
        <f>+IFERROR(VLOOKUP(E695,'DANH MỤC'!$C:$H,6,0),"")</f>
        <v>Kg</v>
      </c>
      <c r="H695" s="42">
        <f>+IFERROR(VLOOKUP(E695,'DANH MỤC'!$C:$H,3,0),"")</f>
        <v>210</v>
      </c>
      <c r="I695" s="42">
        <f>+IFERROR(VLOOKUP(E695,'DANH MỤC'!$C:$H,4,0),"")</f>
        <v>109</v>
      </c>
      <c r="J695" s="42" t="str">
        <f>+IFERROR(VLOOKUP(E695,'DANH MỤC'!$C:$H,5,0),"")</f>
        <v/>
      </c>
      <c r="K695" s="53">
        <v>11330.0</v>
      </c>
      <c r="L695" s="58"/>
      <c r="M695" s="55"/>
      <c r="N695" s="55"/>
    </row>
    <row r="696" ht="15.75" customHeight="1">
      <c r="A696" s="117">
        <f t="shared" si="1"/>
        <v>691</v>
      </c>
      <c r="B696" s="118" t="s">
        <v>381</v>
      </c>
      <c r="C696" s="119">
        <v>45734.0</v>
      </c>
      <c r="D696" s="120" t="s">
        <v>130</v>
      </c>
      <c r="E696" s="120" t="s">
        <v>104</v>
      </c>
      <c r="F696" s="120" t="str">
        <f>+IFERROR(VLOOKUP(E696,'DANH MỤC'!$C:$H,2,0),"")</f>
        <v>Lưỡi gà trắng 95mm x 800m x 210gsm</v>
      </c>
      <c r="G696" s="120" t="str">
        <f>+IFERROR(VLOOKUP(E696,'DANH MỤC'!$C:$H,6,0),"")</f>
        <v>Cuộn</v>
      </c>
      <c r="H696" s="120">
        <f>+IFERROR(VLOOKUP(E696,'DANH MỤC'!$C:$H,3,0),"")</f>
        <v>210</v>
      </c>
      <c r="I696" s="120">
        <f>+IFERROR(VLOOKUP(E696,'DANH MỤC'!$C:$H,4,0),"")</f>
        <v>95</v>
      </c>
      <c r="J696" s="120">
        <f>+IFERROR(VLOOKUP(E696,'DANH MỤC'!$C:$H,5,0),"")</f>
        <v>800</v>
      </c>
      <c r="K696" s="117"/>
      <c r="L696" s="121">
        <v>624.0</v>
      </c>
      <c r="M696" s="118" t="s">
        <v>131</v>
      </c>
      <c r="N696" s="118"/>
    </row>
    <row r="697" ht="15.75" customHeight="1">
      <c r="A697" s="117">
        <f t="shared" si="1"/>
        <v>692</v>
      </c>
      <c r="B697" s="118" t="s">
        <v>537</v>
      </c>
      <c r="C697" s="119">
        <v>45734.0</v>
      </c>
      <c r="D697" s="120" t="s">
        <v>130</v>
      </c>
      <c r="E697" s="120" t="s">
        <v>123</v>
      </c>
      <c r="F697" s="120" t="str">
        <f>+IFERROR(VLOOKUP(E697,'DANH MỤC'!$C:$H,2,0),"")</f>
        <v>Lưỡi gà trắng 90mm x 800m x 250gsm</v>
      </c>
      <c r="G697" s="120" t="str">
        <f>+IFERROR(VLOOKUP(E697,'DANH MỤC'!$C:$H,6,0),"")</f>
        <v>Cuộn</v>
      </c>
      <c r="H697" s="120">
        <f>+IFERROR(VLOOKUP(E697,'DANH MỤC'!$C:$H,3,0),"")</f>
        <v>250</v>
      </c>
      <c r="I697" s="120">
        <f>+IFERROR(VLOOKUP(E697,'DANH MỤC'!$C:$H,4,0),"")</f>
        <v>90</v>
      </c>
      <c r="J697" s="120">
        <f>+IFERROR(VLOOKUP(E697,'DANH MỤC'!$C:$H,5,0),"")</f>
        <v>800</v>
      </c>
      <c r="K697" s="117"/>
      <c r="L697" s="121">
        <v>156.0</v>
      </c>
      <c r="M697" s="118" t="s">
        <v>131</v>
      </c>
      <c r="N697" s="118"/>
    </row>
    <row r="698" ht="15.75" customHeight="1">
      <c r="A698" s="53">
        <f t="shared" si="1"/>
        <v>693</v>
      </c>
      <c r="B698" s="55" t="s">
        <v>531</v>
      </c>
      <c r="C698" s="41">
        <v>45735.0</v>
      </c>
      <c r="D698" s="42" t="s">
        <v>538</v>
      </c>
      <c r="E698" s="42" t="s">
        <v>47</v>
      </c>
      <c r="F698" s="42" t="str">
        <f>+IFERROR(VLOOKUP(E698,'DANH MỤC'!$C:$H,2,0),"")</f>
        <v>Ivory Ningbo</v>
      </c>
      <c r="G698" s="42" t="str">
        <f>+IFERROR(VLOOKUP(E698,'DANH MỤC'!$C:$H,6,0),"")</f>
        <v>Kg</v>
      </c>
      <c r="H698" s="42">
        <f>+IFERROR(VLOOKUP(E698,'DANH MỤC'!$C:$H,3,0),"")</f>
        <v>210</v>
      </c>
      <c r="I698" s="42">
        <f>+IFERROR(VLOOKUP(E698,'DANH MỤC'!$C:$H,4,0),"")</f>
        <v>109</v>
      </c>
      <c r="J698" s="42" t="str">
        <f>+IFERROR(VLOOKUP(E698,'DANH MỤC'!$C:$H,5,0),"")</f>
        <v/>
      </c>
      <c r="K698" s="53"/>
      <c r="L698" s="58">
        <v>18670.0</v>
      </c>
      <c r="M698" s="55"/>
      <c r="N698" s="55"/>
    </row>
    <row r="699" ht="15.75" customHeight="1">
      <c r="A699" s="53">
        <f t="shared" si="1"/>
        <v>694</v>
      </c>
      <c r="B699" s="55" t="s">
        <v>539</v>
      </c>
      <c r="C699" s="41">
        <v>45735.0</v>
      </c>
      <c r="D699" s="42" t="s">
        <v>540</v>
      </c>
      <c r="E699" s="42" t="s">
        <v>184</v>
      </c>
      <c r="F699" s="42" t="str">
        <f>+IFERROR(VLOOKUP(E699,'DANH MỤC'!$C:$H,2,0),"")</f>
        <v>Ống lõi giấy phi 120x7x95mm</v>
      </c>
      <c r="G699" s="42" t="str">
        <f>+IFERROR(VLOOKUP(E699,'DANH MỤC'!$C:$H,6,0),"")</f>
        <v>Cái</v>
      </c>
      <c r="H699" s="42">
        <f>+IFERROR(VLOOKUP(E699,'DANH MỤC'!$C:$H,3,0),"")</f>
        <v>120</v>
      </c>
      <c r="I699" s="42">
        <f>+IFERROR(VLOOKUP(E699,'DANH MỤC'!$C:$H,4,0),"")</f>
        <v>70</v>
      </c>
      <c r="J699" s="42">
        <f>+IFERROR(VLOOKUP(E699,'DANH MỤC'!$C:$H,5,0),"")</f>
        <v>95</v>
      </c>
      <c r="K699" s="53"/>
      <c r="L699" s="58">
        <v>12.0</v>
      </c>
      <c r="M699" s="55"/>
      <c r="N699" s="55"/>
    </row>
    <row r="700" ht="15.75" customHeight="1">
      <c r="A700" s="53">
        <f t="shared" si="1"/>
        <v>695</v>
      </c>
      <c r="B700" s="55" t="s">
        <v>374</v>
      </c>
      <c r="C700" s="41">
        <v>45735.0</v>
      </c>
      <c r="D700" s="42" t="s">
        <v>540</v>
      </c>
      <c r="E700" s="42" t="s">
        <v>182</v>
      </c>
      <c r="F700" s="42" t="str">
        <f>+IFERROR(VLOOKUP(E700,'DANH MỤC'!$C:$H,2,0),"")</f>
        <v>Ống lõi giấy phi 120x7x71mm</v>
      </c>
      <c r="G700" s="42" t="str">
        <f>+IFERROR(VLOOKUP(E700,'DANH MỤC'!$C:$H,6,0),"")</f>
        <v>Cái</v>
      </c>
      <c r="H700" s="42">
        <f>+IFERROR(VLOOKUP(E700,'DANH MỤC'!$C:$H,3,0),"")</f>
        <v>120</v>
      </c>
      <c r="I700" s="42">
        <f>+IFERROR(VLOOKUP(E700,'DANH MỤC'!$C:$H,4,0),"")</f>
        <v>70</v>
      </c>
      <c r="J700" s="42">
        <f>+IFERROR(VLOOKUP(E700,'DANH MỤC'!$C:$H,5,0),"")</f>
        <v>71</v>
      </c>
      <c r="K700" s="53"/>
      <c r="L700" s="58">
        <v>74.0</v>
      </c>
      <c r="M700" s="55"/>
      <c r="N700" s="55"/>
    </row>
    <row r="701" ht="15.75" customHeight="1">
      <c r="A701" s="53">
        <f t="shared" si="1"/>
        <v>696</v>
      </c>
      <c r="B701" s="55" t="s">
        <v>539</v>
      </c>
      <c r="C701" s="41">
        <v>45735.0</v>
      </c>
      <c r="D701" s="42" t="s">
        <v>540</v>
      </c>
      <c r="E701" s="42" t="s">
        <v>127</v>
      </c>
      <c r="F701" s="42" t="str">
        <f>+IFERROR(VLOOKUP(E701,'DANH MỤC'!$C:$H,2,0),"")</f>
        <v>Pallet gỗ 1100x1100x130mm</v>
      </c>
      <c r="G701" s="42" t="str">
        <f>+IFERROR(VLOOKUP(E701,'DANH MỤC'!$C:$H,6,0),"")</f>
        <v>Bộ</v>
      </c>
      <c r="H701" s="42">
        <f>+IFERROR(VLOOKUP(E701,'DANH MỤC'!$C:$H,3,0),"")</f>
        <v>1100</v>
      </c>
      <c r="I701" s="42">
        <f>+IFERROR(VLOOKUP(E701,'DANH MỤC'!$C:$H,4,0),"")</f>
        <v>1100</v>
      </c>
      <c r="J701" s="42">
        <f>+IFERROR(VLOOKUP(E701,'DANH MỤC'!$C:$H,5,0),"")</f>
        <v>130</v>
      </c>
      <c r="K701" s="53"/>
      <c r="L701" s="58">
        <v>1.0</v>
      </c>
      <c r="M701" s="55"/>
      <c r="N701" s="55"/>
    </row>
    <row r="702" ht="15.75" customHeight="1">
      <c r="A702" s="53">
        <f t="shared" si="1"/>
        <v>697</v>
      </c>
      <c r="B702" s="55" t="s">
        <v>374</v>
      </c>
      <c r="C702" s="41">
        <v>45735.0</v>
      </c>
      <c r="D702" s="42" t="s">
        <v>540</v>
      </c>
      <c r="E702" s="42" t="s">
        <v>115</v>
      </c>
      <c r="F702" s="42" t="str">
        <f>+IFERROR(VLOOKUP(E702,'DANH MỤC'!$C:$H,2,0),"")</f>
        <v>Màng Strecth Film 5.0-0.6kg</v>
      </c>
      <c r="G702" s="42" t="str">
        <f>+IFERROR(VLOOKUP(E702,'DANH MỤC'!$C:$H,6,0),"")</f>
        <v>Kg</v>
      </c>
      <c r="H702" s="42" t="str">
        <f>+IFERROR(VLOOKUP(E702,'DANH MỤC'!$C:$H,3,0),"")</f>
        <v/>
      </c>
      <c r="I702" s="42" t="str">
        <f>+IFERROR(VLOOKUP(E702,'DANH MỤC'!$C:$H,4,0),"")</f>
        <v/>
      </c>
      <c r="J702" s="42" t="str">
        <f>+IFERROR(VLOOKUP(E702,'DANH MỤC'!$C:$H,5,0),"")</f>
        <v/>
      </c>
      <c r="K702" s="53"/>
      <c r="L702" s="58">
        <v>16.81875</v>
      </c>
      <c r="M702" s="55"/>
      <c r="N702" s="55"/>
    </row>
    <row r="703" ht="15.75" customHeight="1">
      <c r="A703" s="53">
        <f t="shared" si="1"/>
        <v>698</v>
      </c>
      <c r="B703" s="55" t="s">
        <v>374</v>
      </c>
      <c r="C703" s="41">
        <v>45735.0</v>
      </c>
      <c r="D703" s="42" t="s">
        <v>540</v>
      </c>
      <c r="E703" s="42" t="s">
        <v>96</v>
      </c>
      <c r="F703" s="42" t="str">
        <f>+IFERROR(VLOOKUP(E703,'DANH MỤC'!$C:$H,2,0),"")</f>
        <v>Giấy bao gói lưỡi gà</v>
      </c>
      <c r="G703" s="42" t="str">
        <f>+IFERROR(VLOOKUP(E703,'DANH MỤC'!$C:$H,6,0),"")</f>
        <v>Kg</v>
      </c>
      <c r="H703" s="42" t="str">
        <f>+IFERROR(VLOOKUP(E703,'DANH MỤC'!$C:$H,3,0),"")</f>
        <v/>
      </c>
      <c r="I703" s="42" t="str">
        <f>+IFERROR(VLOOKUP(E703,'DANH MỤC'!$C:$H,4,0),"")</f>
        <v/>
      </c>
      <c r="J703" s="42" t="str">
        <f>+IFERROR(VLOOKUP(E703,'DANH MỤC'!$C:$H,5,0),"")</f>
        <v/>
      </c>
      <c r="K703" s="53"/>
      <c r="L703" s="58">
        <v>16.53</v>
      </c>
      <c r="M703" s="55"/>
      <c r="N703" s="55"/>
    </row>
    <row r="704" ht="15.75" customHeight="1">
      <c r="A704" s="53">
        <f t="shared" si="1"/>
        <v>699</v>
      </c>
      <c r="B704" s="55" t="s">
        <v>374</v>
      </c>
      <c r="C704" s="41">
        <v>45735.0</v>
      </c>
      <c r="D704" s="42" t="s">
        <v>540</v>
      </c>
      <c r="E704" s="42" t="s">
        <v>112</v>
      </c>
      <c r="F704" s="42" t="str">
        <f>+IFERROR(VLOOKUP(E704,'DANH MỤC'!$C:$H,2,0),"")</f>
        <v>Dây đai PET xanh (B)</v>
      </c>
      <c r="G704" s="42" t="str">
        <f>+IFERROR(VLOOKUP(E704,'DANH MỤC'!$C:$H,6,0),"")</f>
        <v>Kg</v>
      </c>
      <c r="H704" s="42" t="str">
        <f>+IFERROR(VLOOKUP(E704,'DANH MỤC'!$C:$H,3,0),"")</f>
        <v/>
      </c>
      <c r="I704" s="42" t="str">
        <f>+IFERROR(VLOOKUP(E704,'DANH MỤC'!$C:$H,4,0),"")</f>
        <v/>
      </c>
      <c r="J704" s="42" t="str">
        <f>+IFERROR(VLOOKUP(E704,'DANH MỤC'!$C:$H,5,0),"")</f>
        <v/>
      </c>
      <c r="K704" s="53"/>
      <c r="L704" s="58">
        <v>28.462500000000002</v>
      </c>
      <c r="M704" s="55"/>
      <c r="N704" s="55"/>
    </row>
    <row r="705" ht="15.75" customHeight="1">
      <c r="A705" s="53">
        <f t="shared" si="1"/>
        <v>700</v>
      </c>
      <c r="B705" s="55" t="s">
        <v>539</v>
      </c>
      <c r="C705" s="41">
        <v>45735.0</v>
      </c>
      <c r="D705" s="42" t="s">
        <v>541</v>
      </c>
      <c r="E705" s="42" t="s">
        <v>104</v>
      </c>
      <c r="F705" s="42" t="str">
        <f>+IFERROR(VLOOKUP(E705,'DANH MỤC'!$C:$H,2,0),"")</f>
        <v>Lưỡi gà trắng 95mm x 800m x 210gsm</v>
      </c>
      <c r="G705" s="42" t="str">
        <f>+IFERROR(VLOOKUP(E705,'DANH MỤC'!$C:$H,6,0),"")</f>
        <v>Cuộn</v>
      </c>
      <c r="H705" s="42">
        <f>+IFERROR(VLOOKUP(E705,'DANH MỤC'!$C:$H,3,0),"")</f>
        <v>210</v>
      </c>
      <c r="I705" s="42">
        <f>+IFERROR(VLOOKUP(E705,'DANH MỤC'!$C:$H,4,0),"")</f>
        <v>95</v>
      </c>
      <c r="J705" s="42">
        <f>+IFERROR(VLOOKUP(E705,'DANH MỤC'!$C:$H,5,0),"")</f>
        <v>800</v>
      </c>
      <c r="K705" s="53">
        <v>12.0</v>
      </c>
      <c r="L705" s="58"/>
      <c r="M705" s="55"/>
      <c r="N705" s="55"/>
    </row>
    <row r="706" ht="15.75" customHeight="1">
      <c r="A706" s="53">
        <f t="shared" si="1"/>
        <v>701</v>
      </c>
      <c r="B706" s="55" t="s">
        <v>374</v>
      </c>
      <c r="C706" s="41">
        <v>45735.0</v>
      </c>
      <c r="D706" s="42" t="s">
        <v>541</v>
      </c>
      <c r="E706" s="42" t="s">
        <v>81</v>
      </c>
      <c r="F706" s="42" t="str">
        <f>+IFERROR(VLOOKUP(E706,'DANH MỤC'!$C:$H,2,0),"")</f>
        <v>Lưỡi gà trắng 71mm x 800m x 210gsm</v>
      </c>
      <c r="G706" s="42" t="str">
        <f>+IFERROR(VLOOKUP(E706,'DANH MỤC'!$C:$H,6,0),"")</f>
        <v>Cuộn</v>
      </c>
      <c r="H706" s="42">
        <f>+IFERROR(VLOOKUP(E706,'DANH MỤC'!$C:$H,3,0),"")</f>
        <v>210</v>
      </c>
      <c r="I706" s="42">
        <f>+IFERROR(VLOOKUP(E706,'DANH MỤC'!$C:$H,4,0),"")</f>
        <v>71</v>
      </c>
      <c r="J706" s="42">
        <f>+IFERROR(VLOOKUP(E706,'DANH MỤC'!$C:$H,5,0),"")</f>
        <v>800</v>
      </c>
      <c r="K706" s="53">
        <v>74.0</v>
      </c>
      <c r="L706" s="58"/>
      <c r="M706" s="55"/>
      <c r="N706" s="55"/>
    </row>
    <row r="707" ht="15.75" customHeight="1">
      <c r="A707" s="53">
        <f t="shared" si="1"/>
        <v>702</v>
      </c>
      <c r="B707" s="55" t="s">
        <v>374</v>
      </c>
      <c r="C707" s="41">
        <v>45736.0</v>
      </c>
      <c r="D707" s="42" t="s">
        <v>540</v>
      </c>
      <c r="E707" s="42" t="s">
        <v>182</v>
      </c>
      <c r="F707" s="42" t="str">
        <f>+IFERROR(VLOOKUP(E707,'DANH MỤC'!$C:$H,2,0),"")</f>
        <v>Ống lõi giấy phi 120x7x71mm</v>
      </c>
      <c r="G707" s="42" t="str">
        <f>+IFERROR(VLOOKUP(E707,'DANH MỤC'!$C:$H,6,0),"")</f>
        <v>Cái</v>
      </c>
      <c r="H707" s="42">
        <f>+IFERROR(VLOOKUP(E707,'DANH MỤC'!$C:$H,3,0),"")</f>
        <v>120</v>
      </c>
      <c r="I707" s="42">
        <f>+IFERROR(VLOOKUP(E707,'DANH MỤC'!$C:$H,4,0),"")</f>
        <v>70</v>
      </c>
      <c r="J707" s="42">
        <f>+IFERROR(VLOOKUP(E707,'DANH MỤC'!$C:$H,5,0),"")</f>
        <v>71</v>
      </c>
      <c r="K707" s="53"/>
      <c r="L707" s="58">
        <v>180.0</v>
      </c>
      <c r="M707" s="55"/>
      <c r="N707" s="55"/>
    </row>
    <row r="708" ht="15.75" customHeight="1">
      <c r="A708" s="53">
        <f t="shared" si="1"/>
        <v>703</v>
      </c>
      <c r="B708" s="55" t="s">
        <v>374</v>
      </c>
      <c r="C708" s="41">
        <v>45736.0</v>
      </c>
      <c r="D708" s="42" t="s">
        <v>540</v>
      </c>
      <c r="E708" s="42" t="s">
        <v>127</v>
      </c>
      <c r="F708" s="42" t="str">
        <f>+IFERROR(VLOOKUP(E708,'DANH MỤC'!$C:$H,2,0),"")</f>
        <v>Pallet gỗ 1100x1100x130mm</v>
      </c>
      <c r="G708" s="42" t="str">
        <f>+IFERROR(VLOOKUP(E708,'DANH MỤC'!$C:$H,6,0),"")</f>
        <v>Bộ</v>
      </c>
      <c r="H708" s="42">
        <f>+IFERROR(VLOOKUP(E708,'DANH MỤC'!$C:$H,3,0),"")</f>
        <v>1100</v>
      </c>
      <c r="I708" s="42">
        <f>+IFERROR(VLOOKUP(E708,'DANH MỤC'!$C:$H,4,0),"")</f>
        <v>1100</v>
      </c>
      <c r="J708" s="42">
        <f>+IFERROR(VLOOKUP(E708,'DANH MỤC'!$C:$H,5,0),"")</f>
        <v>130</v>
      </c>
      <c r="K708" s="53"/>
      <c r="L708" s="58">
        <v>3.0</v>
      </c>
      <c r="M708" s="55"/>
      <c r="N708" s="55"/>
    </row>
    <row r="709" ht="15.75" customHeight="1">
      <c r="A709" s="53">
        <f t="shared" si="1"/>
        <v>704</v>
      </c>
      <c r="B709" s="55" t="s">
        <v>374</v>
      </c>
      <c r="C709" s="41">
        <v>45736.0</v>
      </c>
      <c r="D709" s="42" t="s">
        <v>541</v>
      </c>
      <c r="E709" s="42" t="s">
        <v>81</v>
      </c>
      <c r="F709" s="42" t="str">
        <f>+IFERROR(VLOOKUP(E709,'DANH MỤC'!$C:$H,2,0),"")</f>
        <v>Lưỡi gà trắng 71mm x 800m x 210gsm</v>
      </c>
      <c r="G709" s="42" t="str">
        <f>+IFERROR(VLOOKUP(E709,'DANH MỤC'!$C:$H,6,0),"")</f>
        <v>Cuộn</v>
      </c>
      <c r="H709" s="42">
        <f>+IFERROR(VLOOKUP(E709,'DANH MỤC'!$C:$H,3,0),"")</f>
        <v>210</v>
      </c>
      <c r="I709" s="42">
        <f>+IFERROR(VLOOKUP(E709,'DANH MỤC'!$C:$H,4,0),"")</f>
        <v>71</v>
      </c>
      <c r="J709" s="42">
        <f>+IFERROR(VLOOKUP(E709,'DANH MỤC'!$C:$H,5,0),"")</f>
        <v>800</v>
      </c>
      <c r="K709" s="53">
        <v>180.0</v>
      </c>
      <c r="L709" s="58"/>
      <c r="M709" s="55"/>
      <c r="N709" s="55"/>
    </row>
    <row r="710" ht="15.75" customHeight="1">
      <c r="A710" s="53">
        <f t="shared" si="1"/>
        <v>705</v>
      </c>
      <c r="B710" s="55" t="s">
        <v>374</v>
      </c>
      <c r="C710" s="41">
        <v>45737.0</v>
      </c>
      <c r="D710" s="42" t="s">
        <v>540</v>
      </c>
      <c r="E710" s="42" t="s">
        <v>182</v>
      </c>
      <c r="F710" s="42" t="str">
        <f>+IFERROR(VLOOKUP(E710,'DANH MỤC'!$C:$H,2,0),"")</f>
        <v>Ống lõi giấy phi 120x7x71mm</v>
      </c>
      <c r="G710" s="42" t="str">
        <f>+IFERROR(VLOOKUP(E710,'DANH MỤC'!$C:$H,6,0),"")</f>
        <v>Cái</v>
      </c>
      <c r="H710" s="42">
        <f>+IFERROR(VLOOKUP(E710,'DANH MỤC'!$C:$H,3,0),"")</f>
        <v>120</v>
      </c>
      <c r="I710" s="42">
        <f>+IFERROR(VLOOKUP(E710,'DANH MỤC'!$C:$H,4,0),"")</f>
        <v>70</v>
      </c>
      <c r="J710" s="42">
        <f>+IFERROR(VLOOKUP(E710,'DANH MỤC'!$C:$H,5,0),"")</f>
        <v>71</v>
      </c>
      <c r="K710" s="53"/>
      <c r="L710" s="58">
        <v>180.0</v>
      </c>
      <c r="M710" s="55"/>
      <c r="N710" s="55"/>
    </row>
    <row r="711" ht="15.75" customHeight="1">
      <c r="A711" s="53">
        <f t="shared" si="1"/>
        <v>706</v>
      </c>
      <c r="B711" s="55" t="s">
        <v>374</v>
      </c>
      <c r="C711" s="41">
        <v>45737.0</v>
      </c>
      <c r="D711" s="42" t="s">
        <v>540</v>
      </c>
      <c r="E711" s="42" t="s">
        <v>127</v>
      </c>
      <c r="F711" s="42" t="str">
        <f>+IFERROR(VLOOKUP(E711,'DANH MỤC'!$C:$H,2,0),"")</f>
        <v>Pallet gỗ 1100x1100x130mm</v>
      </c>
      <c r="G711" s="42" t="str">
        <f>+IFERROR(VLOOKUP(E711,'DANH MỤC'!$C:$H,6,0),"")</f>
        <v>Bộ</v>
      </c>
      <c r="H711" s="42">
        <f>+IFERROR(VLOOKUP(E711,'DANH MỤC'!$C:$H,3,0),"")</f>
        <v>1100</v>
      </c>
      <c r="I711" s="42">
        <f>+IFERROR(VLOOKUP(E711,'DANH MỤC'!$C:$H,4,0),"")</f>
        <v>1100</v>
      </c>
      <c r="J711" s="42">
        <f>+IFERROR(VLOOKUP(E711,'DANH MỤC'!$C:$H,5,0),"")</f>
        <v>130</v>
      </c>
      <c r="K711" s="53"/>
      <c r="L711" s="58">
        <v>3.0</v>
      </c>
      <c r="M711" s="55"/>
      <c r="N711" s="55"/>
    </row>
    <row r="712" ht="15.75" customHeight="1">
      <c r="A712" s="53">
        <f t="shared" si="1"/>
        <v>707</v>
      </c>
      <c r="B712" s="55" t="s">
        <v>374</v>
      </c>
      <c r="C712" s="41">
        <v>45737.0</v>
      </c>
      <c r="D712" s="42" t="s">
        <v>541</v>
      </c>
      <c r="E712" s="42" t="s">
        <v>81</v>
      </c>
      <c r="F712" s="42" t="str">
        <f>+IFERROR(VLOOKUP(E712,'DANH MỤC'!$C:$H,2,0),"")</f>
        <v>Lưỡi gà trắng 71mm x 800m x 210gsm</v>
      </c>
      <c r="G712" s="42" t="str">
        <f>+IFERROR(VLOOKUP(E712,'DANH MỤC'!$C:$H,6,0),"")</f>
        <v>Cuộn</v>
      </c>
      <c r="H712" s="42">
        <f>+IFERROR(VLOOKUP(E712,'DANH MỤC'!$C:$H,3,0),"")</f>
        <v>210</v>
      </c>
      <c r="I712" s="42">
        <f>+IFERROR(VLOOKUP(E712,'DANH MỤC'!$C:$H,4,0),"")</f>
        <v>71</v>
      </c>
      <c r="J712" s="42">
        <f>+IFERROR(VLOOKUP(E712,'DANH MỤC'!$C:$H,5,0),"")</f>
        <v>800</v>
      </c>
      <c r="K712" s="53">
        <v>180.0</v>
      </c>
      <c r="L712" s="58"/>
      <c r="M712" s="55"/>
      <c r="N712" s="55"/>
    </row>
    <row r="713" ht="15.75" customHeight="1">
      <c r="A713" s="53">
        <f t="shared" si="1"/>
        <v>708</v>
      </c>
      <c r="B713" s="55" t="s">
        <v>374</v>
      </c>
      <c r="C713" s="41">
        <v>45738.0</v>
      </c>
      <c r="D713" s="42" t="s">
        <v>540</v>
      </c>
      <c r="E713" s="42" t="s">
        <v>182</v>
      </c>
      <c r="F713" s="42" t="str">
        <f>+IFERROR(VLOOKUP(E713,'DANH MỤC'!$C:$H,2,0),"")</f>
        <v>Ống lõi giấy phi 120x7x71mm</v>
      </c>
      <c r="G713" s="42" t="str">
        <f>+IFERROR(VLOOKUP(E713,'DANH MỤC'!$C:$H,6,0),"")</f>
        <v>Cái</v>
      </c>
      <c r="H713" s="42">
        <f>+IFERROR(VLOOKUP(E713,'DANH MỤC'!$C:$H,3,0),"")</f>
        <v>120</v>
      </c>
      <c r="I713" s="42">
        <f>+IFERROR(VLOOKUP(E713,'DANH MỤC'!$C:$H,4,0),"")</f>
        <v>70</v>
      </c>
      <c r="J713" s="42">
        <f>+IFERROR(VLOOKUP(E713,'DANH MỤC'!$C:$H,5,0),"")</f>
        <v>71</v>
      </c>
      <c r="K713" s="53"/>
      <c r="L713" s="58">
        <v>90.0</v>
      </c>
      <c r="M713" s="55"/>
      <c r="N713" s="55"/>
    </row>
    <row r="714" ht="15.75" customHeight="1">
      <c r="A714" s="53">
        <f t="shared" si="1"/>
        <v>709</v>
      </c>
      <c r="B714" s="55" t="s">
        <v>374</v>
      </c>
      <c r="C714" s="41">
        <v>45738.0</v>
      </c>
      <c r="D714" s="42" t="s">
        <v>540</v>
      </c>
      <c r="E714" s="42" t="s">
        <v>127</v>
      </c>
      <c r="F714" s="42" t="str">
        <f>+IFERROR(VLOOKUP(E714,'DANH MỤC'!$C:$H,2,0),"")</f>
        <v>Pallet gỗ 1100x1100x130mm</v>
      </c>
      <c r="G714" s="42" t="str">
        <f>+IFERROR(VLOOKUP(E714,'DANH MỤC'!$C:$H,6,0),"")</f>
        <v>Bộ</v>
      </c>
      <c r="H714" s="42">
        <f>+IFERROR(VLOOKUP(E714,'DANH MỤC'!$C:$H,3,0),"")</f>
        <v>1100</v>
      </c>
      <c r="I714" s="42">
        <f>+IFERROR(VLOOKUP(E714,'DANH MỤC'!$C:$H,4,0),"")</f>
        <v>1100</v>
      </c>
      <c r="J714" s="42">
        <f>+IFERROR(VLOOKUP(E714,'DANH MỤC'!$C:$H,5,0),"")</f>
        <v>130</v>
      </c>
      <c r="K714" s="53"/>
      <c r="L714" s="58">
        <v>1.0</v>
      </c>
      <c r="M714" s="55"/>
      <c r="N714" s="55"/>
    </row>
    <row r="715" ht="15.75" customHeight="1">
      <c r="A715" s="53">
        <f t="shared" si="1"/>
        <v>710</v>
      </c>
      <c r="B715" s="55" t="s">
        <v>374</v>
      </c>
      <c r="C715" s="41">
        <v>45738.0</v>
      </c>
      <c r="D715" s="42" t="s">
        <v>541</v>
      </c>
      <c r="E715" s="42" t="s">
        <v>81</v>
      </c>
      <c r="F715" s="42" t="str">
        <f>+IFERROR(VLOOKUP(E715,'DANH MỤC'!$C:$H,2,0),"")</f>
        <v>Lưỡi gà trắng 71mm x 800m x 210gsm</v>
      </c>
      <c r="G715" s="42" t="str">
        <f>+IFERROR(VLOOKUP(E715,'DANH MỤC'!$C:$H,6,0),"")</f>
        <v>Cuộn</v>
      </c>
      <c r="H715" s="42">
        <f>+IFERROR(VLOOKUP(E715,'DANH MỤC'!$C:$H,3,0),"")</f>
        <v>210</v>
      </c>
      <c r="I715" s="42">
        <f>+IFERROR(VLOOKUP(E715,'DANH MỤC'!$C:$H,4,0),"")</f>
        <v>71</v>
      </c>
      <c r="J715" s="42">
        <f>+IFERROR(VLOOKUP(E715,'DANH MỤC'!$C:$H,5,0),"")</f>
        <v>800</v>
      </c>
      <c r="K715" s="53">
        <v>90.0</v>
      </c>
      <c r="L715" s="58"/>
      <c r="M715" s="55"/>
      <c r="N715" s="55"/>
    </row>
    <row r="716" ht="15.75" customHeight="1">
      <c r="A716" s="53">
        <f t="shared" si="1"/>
        <v>711</v>
      </c>
      <c r="B716" s="55" t="s">
        <v>374</v>
      </c>
      <c r="C716" s="41">
        <v>45740.0</v>
      </c>
      <c r="D716" s="42" t="s">
        <v>540</v>
      </c>
      <c r="E716" s="42" t="s">
        <v>182</v>
      </c>
      <c r="F716" s="42" t="str">
        <f>+IFERROR(VLOOKUP(E716,'DANH MỤC'!$C:$H,2,0),"")</f>
        <v>Ống lõi giấy phi 120x7x71mm</v>
      </c>
      <c r="G716" s="42" t="str">
        <f>+IFERROR(VLOOKUP(E716,'DANH MỤC'!$C:$H,6,0),"")</f>
        <v>Cái</v>
      </c>
      <c r="H716" s="42">
        <f>+IFERROR(VLOOKUP(E716,'DANH MỤC'!$C:$H,3,0),"")</f>
        <v>120</v>
      </c>
      <c r="I716" s="42">
        <f>+IFERROR(VLOOKUP(E716,'DANH MỤC'!$C:$H,4,0),"")</f>
        <v>70</v>
      </c>
      <c r="J716" s="42">
        <f>+IFERROR(VLOOKUP(E716,'DANH MỤC'!$C:$H,5,0),"")</f>
        <v>71</v>
      </c>
      <c r="K716" s="53"/>
      <c r="L716" s="58">
        <v>180.0</v>
      </c>
      <c r="M716" s="55"/>
      <c r="N716" s="55"/>
    </row>
    <row r="717" ht="15.75" customHeight="1">
      <c r="A717" s="53">
        <f t="shared" si="1"/>
        <v>712</v>
      </c>
      <c r="B717" s="55" t="s">
        <v>374</v>
      </c>
      <c r="C717" s="41">
        <v>45740.0</v>
      </c>
      <c r="D717" s="42" t="s">
        <v>540</v>
      </c>
      <c r="E717" s="42" t="s">
        <v>127</v>
      </c>
      <c r="F717" s="42" t="str">
        <f>+IFERROR(VLOOKUP(E717,'DANH MỤC'!$C:$H,2,0),"")</f>
        <v>Pallet gỗ 1100x1100x130mm</v>
      </c>
      <c r="G717" s="42" t="str">
        <f>+IFERROR(VLOOKUP(E717,'DANH MỤC'!$C:$H,6,0),"")</f>
        <v>Bộ</v>
      </c>
      <c r="H717" s="42">
        <f>+IFERROR(VLOOKUP(E717,'DANH MỤC'!$C:$H,3,0),"")</f>
        <v>1100</v>
      </c>
      <c r="I717" s="42">
        <f>+IFERROR(VLOOKUP(E717,'DANH MỤC'!$C:$H,4,0),"")</f>
        <v>1100</v>
      </c>
      <c r="J717" s="42">
        <f>+IFERROR(VLOOKUP(E717,'DANH MỤC'!$C:$H,5,0),"")</f>
        <v>130</v>
      </c>
      <c r="K717" s="53"/>
      <c r="L717" s="58">
        <v>3.0</v>
      </c>
      <c r="M717" s="55"/>
      <c r="N717" s="55"/>
    </row>
    <row r="718" ht="15.75" customHeight="1">
      <c r="A718" s="53">
        <f t="shared" si="1"/>
        <v>713</v>
      </c>
      <c r="B718" s="55" t="s">
        <v>374</v>
      </c>
      <c r="C718" s="41">
        <v>45740.0</v>
      </c>
      <c r="D718" s="42" t="s">
        <v>541</v>
      </c>
      <c r="E718" s="42" t="s">
        <v>81</v>
      </c>
      <c r="F718" s="42" t="str">
        <f>+IFERROR(VLOOKUP(E718,'DANH MỤC'!$C:$H,2,0),"")</f>
        <v>Lưỡi gà trắng 71mm x 800m x 210gsm</v>
      </c>
      <c r="G718" s="42" t="str">
        <f>+IFERROR(VLOOKUP(E718,'DANH MỤC'!$C:$H,6,0),"")</f>
        <v>Cuộn</v>
      </c>
      <c r="H718" s="42">
        <f>+IFERROR(VLOOKUP(E718,'DANH MỤC'!$C:$H,3,0),"")</f>
        <v>210</v>
      </c>
      <c r="I718" s="42">
        <f>+IFERROR(VLOOKUP(E718,'DANH MỤC'!$C:$H,4,0),"")</f>
        <v>71</v>
      </c>
      <c r="J718" s="42">
        <f>+IFERROR(VLOOKUP(E718,'DANH MỤC'!$C:$H,5,0),"")</f>
        <v>800</v>
      </c>
      <c r="K718" s="53">
        <v>180.0</v>
      </c>
      <c r="L718" s="58"/>
      <c r="M718" s="55"/>
      <c r="N718" s="55"/>
    </row>
    <row r="719" ht="15.75" customHeight="1">
      <c r="A719" s="53">
        <f t="shared" si="1"/>
        <v>714</v>
      </c>
      <c r="B719" s="55" t="s">
        <v>374</v>
      </c>
      <c r="C719" s="41">
        <v>45741.0</v>
      </c>
      <c r="D719" s="42" t="s">
        <v>540</v>
      </c>
      <c r="E719" s="42" t="s">
        <v>182</v>
      </c>
      <c r="F719" s="42" t="str">
        <f>+IFERROR(VLOOKUP(E719,'DANH MỤC'!$C:$H,2,0),"")</f>
        <v>Ống lõi giấy phi 120x7x71mm</v>
      </c>
      <c r="G719" s="42" t="str">
        <f>+IFERROR(VLOOKUP(E719,'DANH MỤC'!$C:$H,6,0),"")</f>
        <v>Cái</v>
      </c>
      <c r="H719" s="42">
        <f>+IFERROR(VLOOKUP(E719,'DANH MỤC'!$C:$H,3,0),"")</f>
        <v>120</v>
      </c>
      <c r="I719" s="42">
        <f>+IFERROR(VLOOKUP(E719,'DANH MỤC'!$C:$H,4,0),"")</f>
        <v>70</v>
      </c>
      <c r="J719" s="42">
        <f>+IFERROR(VLOOKUP(E719,'DANH MỤC'!$C:$H,5,0),"")</f>
        <v>71</v>
      </c>
      <c r="K719" s="53"/>
      <c r="L719" s="58">
        <v>180.0</v>
      </c>
      <c r="M719" s="55"/>
      <c r="N719" s="55"/>
    </row>
    <row r="720" ht="15.75" customHeight="1">
      <c r="A720" s="53">
        <f t="shared" si="1"/>
        <v>715</v>
      </c>
      <c r="B720" s="55" t="s">
        <v>374</v>
      </c>
      <c r="C720" s="41">
        <v>45741.0</v>
      </c>
      <c r="D720" s="42" t="s">
        <v>540</v>
      </c>
      <c r="E720" s="42" t="s">
        <v>127</v>
      </c>
      <c r="F720" s="42" t="str">
        <f>+IFERROR(VLOOKUP(E720,'DANH MỤC'!$C:$H,2,0),"")</f>
        <v>Pallet gỗ 1100x1100x130mm</v>
      </c>
      <c r="G720" s="42" t="str">
        <f>+IFERROR(VLOOKUP(E720,'DANH MỤC'!$C:$H,6,0),"")</f>
        <v>Bộ</v>
      </c>
      <c r="H720" s="42">
        <f>+IFERROR(VLOOKUP(E720,'DANH MỤC'!$C:$H,3,0),"")</f>
        <v>1100</v>
      </c>
      <c r="I720" s="42">
        <f>+IFERROR(VLOOKUP(E720,'DANH MỤC'!$C:$H,4,0),"")</f>
        <v>1100</v>
      </c>
      <c r="J720" s="42">
        <f>+IFERROR(VLOOKUP(E720,'DANH MỤC'!$C:$H,5,0),"")</f>
        <v>130</v>
      </c>
      <c r="K720" s="53"/>
      <c r="L720" s="58">
        <v>3.0</v>
      </c>
      <c r="M720" s="55"/>
      <c r="N720" s="55"/>
    </row>
    <row r="721" ht="15.75" customHeight="1">
      <c r="A721" s="53">
        <f t="shared" si="1"/>
        <v>716</v>
      </c>
      <c r="B721" s="55" t="s">
        <v>374</v>
      </c>
      <c r="C721" s="41">
        <v>45741.0</v>
      </c>
      <c r="D721" s="42" t="s">
        <v>541</v>
      </c>
      <c r="E721" s="42" t="s">
        <v>81</v>
      </c>
      <c r="F721" s="42" t="str">
        <f>+IFERROR(VLOOKUP(E721,'DANH MỤC'!$C:$H,2,0),"")</f>
        <v>Lưỡi gà trắng 71mm x 800m x 210gsm</v>
      </c>
      <c r="G721" s="42" t="str">
        <f>+IFERROR(VLOOKUP(E721,'DANH MỤC'!$C:$H,6,0),"")</f>
        <v>Cuộn</v>
      </c>
      <c r="H721" s="42">
        <f>+IFERROR(VLOOKUP(E721,'DANH MỤC'!$C:$H,3,0),"")</f>
        <v>210</v>
      </c>
      <c r="I721" s="42">
        <f>+IFERROR(VLOOKUP(E721,'DANH MỤC'!$C:$H,4,0),"")</f>
        <v>71</v>
      </c>
      <c r="J721" s="42">
        <f>+IFERROR(VLOOKUP(E721,'DANH MỤC'!$C:$H,5,0),"")</f>
        <v>800</v>
      </c>
      <c r="K721" s="53">
        <v>180.0</v>
      </c>
      <c r="L721" s="58"/>
      <c r="M721" s="55"/>
      <c r="N721" s="55"/>
    </row>
    <row r="722" ht="15.75" customHeight="1">
      <c r="A722" s="53">
        <f t="shared" si="1"/>
        <v>717</v>
      </c>
      <c r="B722" s="55" t="s">
        <v>374</v>
      </c>
      <c r="C722" s="41">
        <v>45742.0</v>
      </c>
      <c r="D722" s="42" t="s">
        <v>540</v>
      </c>
      <c r="E722" s="42" t="s">
        <v>182</v>
      </c>
      <c r="F722" s="42" t="str">
        <f>+IFERROR(VLOOKUP(E722,'DANH MỤC'!$C:$H,2,0),"")</f>
        <v>Ống lõi giấy phi 120x7x71mm</v>
      </c>
      <c r="G722" s="42" t="str">
        <f>+IFERROR(VLOOKUP(E722,'DANH MỤC'!$C:$H,6,0),"")</f>
        <v>Cái</v>
      </c>
      <c r="H722" s="42">
        <f>+IFERROR(VLOOKUP(E722,'DANH MỤC'!$C:$H,3,0),"")</f>
        <v>120</v>
      </c>
      <c r="I722" s="42">
        <f>+IFERROR(VLOOKUP(E722,'DANH MỤC'!$C:$H,4,0),"")</f>
        <v>70</v>
      </c>
      <c r="J722" s="42">
        <f>+IFERROR(VLOOKUP(E722,'DANH MỤC'!$C:$H,5,0),"")</f>
        <v>71</v>
      </c>
      <c r="K722" s="53"/>
      <c r="L722" s="58">
        <v>180.0</v>
      </c>
      <c r="M722" s="55"/>
      <c r="N722" s="55"/>
    </row>
    <row r="723" ht="15.75" customHeight="1">
      <c r="A723" s="53">
        <f t="shared" si="1"/>
        <v>718</v>
      </c>
      <c r="B723" s="55" t="s">
        <v>374</v>
      </c>
      <c r="C723" s="41">
        <v>45742.0</v>
      </c>
      <c r="D723" s="42" t="s">
        <v>540</v>
      </c>
      <c r="E723" s="42" t="s">
        <v>127</v>
      </c>
      <c r="F723" s="42" t="str">
        <f>+IFERROR(VLOOKUP(E723,'DANH MỤC'!$C:$H,2,0),"")</f>
        <v>Pallet gỗ 1100x1100x130mm</v>
      </c>
      <c r="G723" s="42" t="str">
        <f>+IFERROR(VLOOKUP(E723,'DANH MỤC'!$C:$H,6,0),"")</f>
        <v>Bộ</v>
      </c>
      <c r="H723" s="42">
        <f>+IFERROR(VLOOKUP(E723,'DANH MỤC'!$C:$H,3,0),"")</f>
        <v>1100</v>
      </c>
      <c r="I723" s="42">
        <f>+IFERROR(VLOOKUP(E723,'DANH MỤC'!$C:$H,4,0),"")</f>
        <v>1100</v>
      </c>
      <c r="J723" s="42">
        <f>+IFERROR(VLOOKUP(E723,'DANH MỤC'!$C:$H,5,0),"")</f>
        <v>130</v>
      </c>
      <c r="K723" s="53"/>
      <c r="L723" s="58">
        <v>3.0</v>
      </c>
      <c r="M723" s="55"/>
      <c r="N723" s="55"/>
    </row>
    <row r="724" ht="15.75" customHeight="1">
      <c r="A724" s="53">
        <f t="shared" si="1"/>
        <v>719</v>
      </c>
      <c r="B724" s="55" t="s">
        <v>374</v>
      </c>
      <c r="C724" s="41">
        <v>45742.0</v>
      </c>
      <c r="D724" s="42" t="s">
        <v>541</v>
      </c>
      <c r="E724" s="42" t="s">
        <v>81</v>
      </c>
      <c r="F724" s="42" t="str">
        <f>+IFERROR(VLOOKUP(E724,'DANH MỤC'!$C:$H,2,0),"")</f>
        <v>Lưỡi gà trắng 71mm x 800m x 210gsm</v>
      </c>
      <c r="G724" s="42" t="str">
        <f>+IFERROR(VLOOKUP(E724,'DANH MỤC'!$C:$H,6,0),"")</f>
        <v>Cuộn</v>
      </c>
      <c r="H724" s="42">
        <f>+IFERROR(VLOOKUP(E724,'DANH MỤC'!$C:$H,3,0),"")</f>
        <v>210</v>
      </c>
      <c r="I724" s="42">
        <f>+IFERROR(VLOOKUP(E724,'DANH MỤC'!$C:$H,4,0),"")</f>
        <v>71</v>
      </c>
      <c r="J724" s="42">
        <f>+IFERROR(VLOOKUP(E724,'DANH MỤC'!$C:$H,5,0),"")</f>
        <v>800</v>
      </c>
      <c r="K724" s="53">
        <v>180.0</v>
      </c>
      <c r="L724" s="58"/>
      <c r="M724" s="55"/>
      <c r="N724" s="55"/>
    </row>
    <row r="725" ht="15.75" customHeight="1">
      <c r="A725" s="53">
        <f t="shared" si="1"/>
        <v>720</v>
      </c>
      <c r="B725" s="55" t="s">
        <v>374</v>
      </c>
      <c r="C725" s="41">
        <v>45743.0</v>
      </c>
      <c r="D725" s="42" t="s">
        <v>540</v>
      </c>
      <c r="E725" s="42" t="s">
        <v>182</v>
      </c>
      <c r="F725" s="42" t="str">
        <f>+IFERROR(VLOOKUP(E725,'DANH MỤC'!$C:$H,2,0),"")</f>
        <v>Ống lõi giấy phi 120x7x71mm</v>
      </c>
      <c r="G725" s="42" t="str">
        <f>+IFERROR(VLOOKUP(E725,'DANH MỤC'!$C:$H,6,0),"")</f>
        <v>Cái</v>
      </c>
      <c r="H725" s="42">
        <f>+IFERROR(VLOOKUP(E725,'DANH MỤC'!$C:$H,3,0),"")</f>
        <v>120</v>
      </c>
      <c r="I725" s="42">
        <f>+IFERROR(VLOOKUP(E725,'DANH MỤC'!$C:$H,4,0),"")</f>
        <v>70</v>
      </c>
      <c r="J725" s="42">
        <f>+IFERROR(VLOOKUP(E725,'DANH MỤC'!$C:$H,5,0),"")</f>
        <v>71</v>
      </c>
      <c r="K725" s="53"/>
      <c r="L725" s="58">
        <v>180.0</v>
      </c>
      <c r="M725" s="55"/>
      <c r="N725" s="55"/>
    </row>
    <row r="726" ht="15.75" customHeight="1">
      <c r="A726" s="53">
        <f t="shared" si="1"/>
        <v>721</v>
      </c>
      <c r="B726" s="55" t="s">
        <v>374</v>
      </c>
      <c r="C726" s="41">
        <v>45743.0</v>
      </c>
      <c r="D726" s="42" t="s">
        <v>540</v>
      </c>
      <c r="E726" s="42" t="s">
        <v>127</v>
      </c>
      <c r="F726" s="42" t="str">
        <f>+IFERROR(VLOOKUP(E726,'DANH MỤC'!$C:$H,2,0),"")</f>
        <v>Pallet gỗ 1100x1100x130mm</v>
      </c>
      <c r="G726" s="42" t="str">
        <f>+IFERROR(VLOOKUP(E726,'DANH MỤC'!$C:$H,6,0),"")</f>
        <v>Bộ</v>
      </c>
      <c r="H726" s="42">
        <f>+IFERROR(VLOOKUP(E726,'DANH MỤC'!$C:$H,3,0),"")</f>
        <v>1100</v>
      </c>
      <c r="I726" s="42">
        <f>+IFERROR(VLOOKUP(E726,'DANH MỤC'!$C:$H,4,0),"")</f>
        <v>1100</v>
      </c>
      <c r="J726" s="42">
        <f>+IFERROR(VLOOKUP(E726,'DANH MỤC'!$C:$H,5,0),"")</f>
        <v>130</v>
      </c>
      <c r="K726" s="53"/>
      <c r="L726" s="58">
        <v>3.0</v>
      </c>
      <c r="M726" s="55"/>
      <c r="N726" s="55"/>
    </row>
    <row r="727" ht="15.75" customHeight="1">
      <c r="A727" s="53">
        <f t="shared" si="1"/>
        <v>722</v>
      </c>
      <c r="B727" s="55" t="s">
        <v>374</v>
      </c>
      <c r="C727" s="41">
        <v>45743.0</v>
      </c>
      <c r="D727" s="42" t="s">
        <v>541</v>
      </c>
      <c r="E727" s="42" t="s">
        <v>81</v>
      </c>
      <c r="F727" s="42" t="str">
        <f>+IFERROR(VLOOKUP(E727,'DANH MỤC'!$C:$H,2,0),"")</f>
        <v>Lưỡi gà trắng 71mm x 800m x 210gsm</v>
      </c>
      <c r="G727" s="42" t="str">
        <f>+IFERROR(VLOOKUP(E727,'DANH MỤC'!$C:$H,6,0),"")</f>
        <v>Cuộn</v>
      </c>
      <c r="H727" s="42">
        <f>+IFERROR(VLOOKUP(E727,'DANH MỤC'!$C:$H,3,0),"")</f>
        <v>210</v>
      </c>
      <c r="I727" s="42">
        <f>+IFERROR(VLOOKUP(E727,'DANH MỤC'!$C:$H,4,0),"")</f>
        <v>71</v>
      </c>
      <c r="J727" s="42">
        <f>+IFERROR(VLOOKUP(E727,'DANH MỤC'!$C:$H,5,0),"")</f>
        <v>800</v>
      </c>
      <c r="K727" s="53">
        <v>180.0</v>
      </c>
      <c r="L727" s="58"/>
      <c r="M727" s="55"/>
      <c r="N727" s="55"/>
    </row>
    <row r="728" ht="15.75" customHeight="1">
      <c r="A728" s="53">
        <f t="shared" si="1"/>
        <v>723</v>
      </c>
      <c r="B728" s="55" t="s">
        <v>374</v>
      </c>
      <c r="C728" s="41">
        <v>45744.0</v>
      </c>
      <c r="D728" s="42" t="s">
        <v>540</v>
      </c>
      <c r="E728" s="42" t="s">
        <v>182</v>
      </c>
      <c r="F728" s="42" t="str">
        <f>+IFERROR(VLOOKUP(E728,'DANH MỤC'!$C:$H,2,0),"")</f>
        <v>Ống lõi giấy phi 120x7x71mm</v>
      </c>
      <c r="G728" s="42" t="str">
        <f>+IFERROR(VLOOKUP(E728,'DANH MỤC'!$C:$H,6,0),"")</f>
        <v>Cái</v>
      </c>
      <c r="H728" s="42">
        <f>+IFERROR(VLOOKUP(E728,'DANH MỤC'!$C:$H,3,0),"")</f>
        <v>120</v>
      </c>
      <c r="I728" s="42">
        <f>+IFERROR(VLOOKUP(E728,'DANH MỤC'!$C:$H,4,0),"")</f>
        <v>70</v>
      </c>
      <c r="J728" s="42">
        <f>+IFERROR(VLOOKUP(E728,'DANH MỤC'!$C:$H,5,0),"")</f>
        <v>71</v>
      </c>
      <c r="K728" s="53"/>
      <c r="L728" s="58">
        <v>180.0</v>
      </c>
      <c r="M728" s="55"/>
      <c r="N728" s="55"/>
    </row>
    <row r="729" ht="15.75" customHeight="1">
      <c r="A729" s="53">
        <f t="shared" si="1"/>
        <v>724</v>
      </c>
      <c r="B729" s="55" t="s">
        <v>374</v>
      </c>
      <c r="C729" s="41">
        <v>45744.0</v>
      </c>
      <c r="D729" s="42" t="s">
        <v>540</v>
      </c>
      <c r="E729" s="42" t="s">
        <v>127</v>
      </c>
      <c r="F729" s="42" t="str">
        <f>+IFERROR(VLOOKUP(E729,'DANH MỤC'!$C:$H,2,0),"")</f>
        <v>Pallet gỗ 1100x1100x130mm</v>
      </c>
      <c r="G729" s="42" t="str">
        <f>+IFERROR(VLOOKUP(E729,'DANH MỤC'!$C:$H,6,0),"")</f>
        <v>Bộ</v>
      </c>
      <c r="H729" s="42">
        <f>+IFERROR(VLOOKUP(E729,'DANH MỤC'!$C:$H,3,0),"")</f>
        <v>1100</v>
      </c>
      <c r="I729" s="42">
        <f>+IFERROR(VLOOKUP(E729,'DANH MỤC'!$C:$H,4,0),"")</f>
        <v>1100</v>
      </c>
      <c r="J729" s="42">
        <f>+IFERROR(VLOOKUP(E729,'DANH MỤC'!$C:$H,5,0),"")</f>
        <v>130</v>
      </c>
      <c r="K729" s="53"/>
      <c r="L729" s="58">
        <v>3.0</v>
      </c>
      <c r="M729" s="55"/>
      <c r="N729" s="55"/>
    </row>
    <row r="730" ht="15.75" customHeight="1">
      <c r="A730" s="53">
        <f t="shared" si="1"/>
        <v>725</v>
      </c>
      <c r="B730" s="55" t="s">
        <v>374</v>
      </c>
      <c r="C730" s="41">
        <v>45744.0</v>
      </c>
      <c r="D730" s="42" t="s">
        <v>541</v>
      </c>
      <c r="E730" s="42" t="s">
        <v>81</v>
      </c>
      <c r="F730" s="42" t="str">
        <f>+IFERROR(VLOOKUP(E730,'DANH MỤC'!$C:$H,2,0),"")</f>
        <v>Lưỡi gà trắng 71mm x 800m x 210gsm</v>
      </c>
      <c r="G730" s="42" t="str">
        <f>+IFERROR(VLOOKUP(E730,'DANH MỤC'!$C:$H,6,0),"")</f>
        <v>Cuộn</v>
      </c>
      <c r="H730" s="42">
        <f>+IFERROR(VLOOKUP(E730,'DANH MỤC'!$C:$H,3,0),"")</f>
        <v>210</v>
      </c>
      <c r="I730" s="42">
        <f>+IFERROR(VLOOKUP(E730,'DANH MỤC'!$C:$H,4,0),"")</f>
        <v>71</v>
      </c>
      <c r="J730" s="42">
        <f>+IFERROR(VLOOKUP(E730,'DANH MỤC'!$C:$H,5,0),"")</f>
        <v>800</v>
      </c>
      <c r="K730" s="53">
        <v>180.0</v>
      </c>
      <c r="L730" s="58"/>
      <c r="M730" s="55"/>
      <c r="N730" s="55"/>
    </row>
    <row r="731" ht="15.75" customHeight="1">
      <c r="A731" s="53">
        <f t="shared" si="1"/>
        <v>726</v>
      </c>
      <c r="B731" s="55" t="s">
        <v>374</v>
      </c>
      <c r="C731" s="41">
        <v>45745.0</v>
      </c>
      <c r="D731" s="42" t="s">
        <v>540</v>
      </c>
      <c r="E731" s="42" t="s">
        <v>182</v>
      </c>
      <c r="F731" s="42" t="str">
        <f>+IFERROR(VLOOKUP(E731,'DANH MỤC'!$C:$H,2,0),"")</f>
        <v>Ống lõi giấy phi 120x7x71mm</v>
      </c>
      <c r="G731" s="42" t="str">
        <f>+IFERROR(VLOOKUP(E731,'DANH MỤC'!$C:$H,6,0),"")</f>
        <v>Cái</v>
      </c>
      <c r="H731" s="42">
        <f>+IFERROR(VLOOKUP(E731,'DANH MỤC'!$C:$H,3,0),"")</f>
        <v>120</v>
      </c>
      <c r="I731" s="42">
        <f>+IFERROR(VLOOKUP(E731,'DANH MỤC'!$C:$H,4,0),"")</f>
        <v>70</v>
      </c>
      <c r="J731" s="42">
        <f>+IFERROR(VLOOKUP(E731,'DANH MỤC'!$C:$H,5,0),"")</f>
        <v>71</v>
      </c>
      <c r="K731" s="53"/>
      <c r="L731" s="58">
        <v>90.0</v>
      </c>
      <c r="M731" s="55"/>
      <c r="N731" s="55"/>
    </row>
    <row r="732" ht="15.75" customHeight="1">
      <c r="A732" s="53">
        <f t="shared" si="1"/>
        <v>727</v>
      </c>
      <c r="B732" s="55" t="s">
        <v>374</v>
      </c>
      <c r="C732" s="41">
        <v>45745.0</v>
      </c>
      <c r="D732" s="42" t="s">
        <v>540</v>
      </c>
      <c r="E732" s="42" t="s">
        <v>127</v>
      </c>
      <c r="F732" s="42" t="str">
        <f>+IFERROR(VLOOKUP(E732,'DANH MỤC'!$C:$H,2,0),"")</f>
        <v>Pallet gỗ 1100x1100x130mm</v>
      </c>
      <c r="G732" s="42" t="str">
        <f>+IFERROR(VLOOKUP(E732,'DANH MỤC'!$C:$H,6,0),"")</f>
        <v>Bộ</v>
      </c>
      <c r="H732" s="42">
        <f>+IFERROR(VLOOKUP(E732,'DANH MỤC'!$C:$H,3,0),"")</f>
        <v>1100</v>
      </c>
      <c r="I732" s="42">
        <f>+IFERROR(VLOOKUP(E732,'DANH MỤC'!$C:$H,4,0),"")</f>
        <v>1100</v>
      </c>
      <c r="J732" s="42">
        <f>+IFERROR(VLOOKUP(E732,'DANH MỤC'!$C:$H,5,0),"")</f>
        <v>130</v>
      </c>
      <c r="K732" s="53"/>
      <c r="L732" s="58">
        <v>2.0</v>
      </c>
      <c r="M732" s="55"/>
      <c r="N732" s="55"/>
    </row>
    <row r="733" ht="15.75" customHeight="1">
      <c r="A733" s="53">
        <f t="shared" si="1"/>
        <v>728</v>
      </c>
      <c r="B733" s="55" t="s">
        <v>374</v>
      </c>
      <c r="C733" s="41">
        <v>45745.0</v>
      </c>
      <c r="D733" s="42" t="s">
        <v>541</v>
      </c>
      <c r="E733" s="42" t="s">
        <v>81</v>
      </c>
      <c r="F733" s="42" t="str">
        <f>+IFERROR(VLOOKUP(E733,'DANH MỤC'!$C:$H,2,0),"")</f>
        <v>Lưỡi gà trắng 71mm x 800m x 210gsm</v>
      </c>
      <c r="G733" s="42" t="str">
        <f>+IFERROR(VLOOKUP(E733,'DANH MỤC'!$C:$H,6,0),"")</f>
        <v>Cuộn</v>
      </c>
      <c r="H733" s="42">
        <f>+IFERROR(VLOOKUP(E733,'DANH MỤC'!$C:$H,3,0),"")</f>
        <v>210</v>
      </c>
      <c r="I733" s="42">
        <f>+IFERROR(VLOOKUP(E733,'DANH MỤC'!$C:$H,4,0),"")</f>
        <v>71</v>
      </c>
      <c r="J733" s="42">
        <f>+IFERROR(VLOOKUP(E733,'DANH MỤC'!$C:$H,5,0),"")</f>
        <v>800</v>
      </c>
      <c r="K733" s="53">
        <v>90.0</v>
      </c>
      <c r="L733" s="58"/>
      <c r="M733" s="55"/>
      <c r="N733" s="55"/>
    </row>
    <row r="734" ht="15.75" customHeight="1">
      <c r="A734" s="53">
        <f t="shared" si="1"/>
        <v>729</v>
      </c>
      <c r="B734" s="55" t="s">
        <v>389</v>
      </c>
      <c r="C734" s="41">
        <v>45751.0</v>
      </c>
      <c r="D734" s="42" t="s">
        <v>542</v>
      </c>
      <c r="E734" s="42" t="s">
        <v>189</v>
      </c>
      <c r="F734" s="42" t="str">
        <f>+IFERROR(VLOOKUP(E734,'DANH MỤC'!$C:$H,2,0),"")</f>
        <v>Ivory Ningbo</v>
      </c>
      <c r="G734" s="42" t="str">
        <f>+IFERROR(VLOOKUP(E734,'DANH MỤC'!$C:$H,6,0),"")</f>
        <v>Kg</v>
      </c>
      <c r="H734" s="42">
        <f>+IFERROR(VLOOKUP(E734,'DANH MỤC'!$C:$H,3,0),"")</f>
        <v>230</v>
      </c>
      <c r="I734" s="42">
        <f>+IFERROR(VLOOKUP(E734,'DANH MỤC'!$C:$H,4,0),"")</f>
        <v>109</v>
      </c>
      <c r="J734" s="42" t="str">
        <f>+IFERROR(VLOOKUP(E734,'DANH MỤC'!$C:$H,5,0),"")</f>
        <v/>
      </c>
      <c r="K734" s="53"/>
      <c r="L734" s="58">
        <v>10135.0</v>
      </c>
      <c r="M734" s="55"/>
      <c r="N734" s="55"/>
    </row>
    <row r="735" ht="15.75" customHeight="1">
      <c r="A735" s="53">
        <f t="shared" si="1"/>
        <v>730</v>
      </c>
      <c r="B735" s="55" t="s">
        <v>389</v>
      </c>
      <c r="C735" s="41">
        <v>45751.0</v>
      </c>
      <c r="D735" s="42" t="s">
        <v>543</v>
      </c>
      <c r="E735" s="42" t="s">
        <v>184</v>
      </c>
      <c r="F735" s="42" t="str">
        <f>+IFERROR(VLOOKUP(E735,'DANH MỤC'!$C:$H,2,0),"")</f>
        <v>Ống lõi giấy phi 120x7x95mm</v>
      </c>
      <c r="G735" s="42" t="str">
        <f>+IFERROR(VLOOKUP(E735,'DANH MỤC'!$C:$H,6,0),"")</f>
        <v>Cái</v>
      </c>
      <c r="H735" s="42">
        <f>+IFERROR(VLOOKUP(E735,'DANH MỤC'!$C:$H,3,0),"")</f>
        <v>120</v>
      </c>
      <c r="I735" s="42">
        <f>+IFERROR(VLOOKUP(E735,'DANH MỤC'!$C:$H,4,0),"")</f>
        <v>70</v>
      </c>
      <c r="J735" s="42">
        <f>+IFERROR(VLOOKUP(E735,'DANH MỤC'!$C:$H,5,0),"")</f>
        <v>95</v>
      </c>
      <c r="K735" s="53"/>
      <c r="L735" s="58">
        <v>300.0</v>
      </c>
      <c r="M735" s="55"/>
      <c r="N735" s="55"/>
    </row>
    <row r="736" ht="15.75" customHeight="1">
      <c r="A736" s="53">
        <f t="shared" si="1"/>
        <v>731</v>
      </c>
      <c r="B736" s="55" t="s">
        <v>389</v>
      </c>
      <c r="C736" s="41">
        <v>45751.0</v>
      </c>
      <c r="D736" s="42" t="s">
        <v>543</v>
      </c>
      <c r="E736" s="42" t="s">
        <v>204</v>
      </c>
      <c r="F736" s="42" t="str">
        <f>+IFERROR(VLOOKUP(E736,'DANH MỤC'!$C:$H,2,0),"")</f>
        <v>Ống lõi giấy phi 120x7x98mm</v>
      </c>
      <c r="G736" s="42" t="str">
        <f>+IFERROR(VLOOKUP(E736,'DANH MỤC'!$C:$H,6,0),"")</f>
        <v>Cái</v>
      </c>
      <c r="H736" s="42">
        <f>+IFERROR(VLOOKUP(E736,'DANH MỤC'!$C:$H,3,0),"")</f>
        <v>120</v>
      </c>
      <c r="I736" s="42">
        <f>+IFERROR(VLOOKUP(E736,'DANH MỤC'!$C:$H,4,0),"")</f>
        <v>70</v>
      </c>
      <c r="J736" s="42">
        <f>+IFERROR(VLOOKUP(E736,'DANH MỤC'!$C:$H,5,0),"")</f>
        <v>98</v>
      </c>
      <c r="K736" s="53"/>
      <c r="L736" s="58">
        <v>250.0</v>
      </c>
      <c r="M736" s="55"/>
      <c r="N736" s="55"/>
    </row>
    <row r="737" ht="15.75" customHeight="1">
      <c r="A737" s="53">
        <f t="shared" si="1"/>
        <v>732</v>
      </c>
      <c r="B737" s="55" t="s">
        <v>389</v>
      </c>
      <c r="C737" s="41">
        <v>45751.0</v>
      </c>
      <c r="D737" s="42" t="s">
        <v>543</v>
      </c>
      <c r="E737" s="42" t="s">
        <v>107</v>
      </c>
      <c r="F737" s="42" t="str">
        <f>+IFERROR(VLOOKUP(E737,'DANH MỤC'!$C:$H,2,0),"")</f>
        <v>Pallet gỗ 1200x1200x130mm</v>
      </c>
      <c r="G737" s="42" t="str">
        <f>+IFERROR(VLOOKUP(E737,'DANH MỤC'!$C:$H,6,0),"")</f>
        <v>Bộ</v>
      </c>
      <c r="H737" s="42">
        <f>+IFERROR(VLOOKUP(E737,'DANH MỤC'!$C:$H,3,0),"")</f>
        <v>1200</v>
      </c>
      <c r="I737" s="42">
        <f>+IFERROR(VLOOKUP(E737,'DANH MỤC'!$C:$H,4,0),"")</f>
        <v>1200</v>
      </c>
      <c r="J737" s="42">
        <f>+IFERROR(VLOOKUP(E737,'DANH MỤC'!$C:$H,5,0),"")</f>
        <v>130</v>
      </c>
      <c r="K737" s="53"/>
      <c r="L737" s="58">
        <v>9.0</v>
      </c>
      <c r="M737" s="55"/>
      <c r="N737" s="55"/>
    </row>
    <row r="738" ht="15.75" customHeight="1">
      <c r="A738" s="53">
        <f t="shared" si="1"/>
        <v>733</v>
      </c>
      <c r="B738" s="55" t="s">
        <v>389</v>
      </c>
      <c r="C738" s="41">
        <v>45751.0</v>
      </c>
      <c r="D738" s="42" t="s">
        <v>543</v>
      </c>
      <c r="E738" s="42" t="s">
        <v>96</v>
      </c>
      <c r="F738" s="42" t="str">
        <f>+IFERROR(VLOOKUP(E738,'DANH MỤC'!$C:$H,2,0),"")</f>
        <v>Giấy bao gói lưỡi gà</v>
      </c>
      <c r="G738" s="42" t="str">
        <f>+IFERROR(VLOOKUP(E738,'DANH MỤC'!$C:$H,6,0),"")</f>
        <v>Kg</v>
      </c>
      <c r="H738" s="42" t="str">
        <f>+IFERROR(VLOOKUP(E738,'DANH MỤC'!$C:$H,3,0),"")</f>
        <v/>
      </c>
      <c r="I738" s="42" t="str">
        <f>+IFERROR(VLOOKUP(E738,'DANH MỤC'!$C:$H,4,0),"")</f>
        <v/>
      </c>
      <c r="J738" s="42" t="str">
        <f>+IFERROR(VLOOKUP(E738,'DANH MỤC'!$C:$H,5,0),"")</f>
        <v/>
      </c>
      <c r="K738" s="53"/>
      <c r="L738" s="58">
        <v>7.04</v>
      </c>
      <c r="M738" s="55"/>
      <c r="N738" s="55"/>
    </row>
    <row r="739" ht="15.75" customHeight="1">
      <c r="A739" s="53">
        <f t="shared" si="1"/>
        <v>734</v>
      </c>
      <c r="B739" s="55" t="s">
        <v>389</v>
      </c>
      <c r="C739" s="41">
        <v>45751.0</v>
      </c>
      <c r="D739" s="42" t="s">
        <v>543</v>
      </c>
      <c r="E739" s="42" t="s">
        <v>112</v>
      </c>
      <c r="F739" s="42" t="str">
        <f>+IFERROR(VLOOKUP(E739,'DANH MỤC'!$C:$H,2,0),"")</f>
        <v>Dây đai PET xanh (B)</v>
      </c>
      <c r="G739" s="42" t="str">
        <f>+IFERROR(VLOOKUP(E739,'DANH MỤC'!$C:$H,6,0),"")</f>
        <v>Kg</v>
      </c>
      <c r="H739" s="42" t="str">
        <f>+IFERROR(VLOOKUP(E739,'DANH MỤC'!$C:$H,3,0),"")</f>
        <v/>
      </c>
      <c r="I739" s="42" t="str">
        <f>+IFERROR(VLOOKUP(E739,'DANH MỤC'!$C:$H,4,0),"")</f>
        <v/>
      </c>
      <c r="J739" s="42" t="str">
        <f>+IFERROR(VLOOKUP(E739,'DANH MỤC'!$C:$H,5,0),"")</f>
        <v/>
      </c>
      <c r="K739" s="53"/>
      <c r="L739" s="58">
        <v>10.25</v>
      </c>
      <c r="M739" s="55"/>
      <c r="N739" s="55"/>
    </row>
    <row r="740" ht="15.75" customHeight="1">
      <c r="A740" s="53">
        <f t="shared" si="1"/>
        <v>735</v>
      </c>
      <c r="B740" s="55" t="s">
        <v>389</v>
      </c>
      <c r="C740" s="41">
        <v>45751.0</v>
      </c>
      <c r="D740" s="42" t="s">
        <v>543</v>
      </c>
      <c r="E740" s="42" t="s">
        <v>115</v>
      </c>
      <c r="F740" s="42" t="str">
        <f>+IFERROR(VLOOKUP(E740,'DANH MỤC'!$C:$H,2,0),"")</f>
        <v>Màng Strecth Film 5.0-0.6kg</v>
      </c>
      <c r="G740" s="42" t="str">
        <f>+IFERROR(VLOOKUP(E740,'DANH MỤC'!$C:$H,6,0),"")</f>
        <v>Kg</v>
      </c>
      <c r="H740" s="42" t="str">
        <f>+IFERROR(VLOOKUP(E740,'DANH MỤC'!$C:$H,3,0),"")</f>
        <v/>
      </c>
      <c r="I740" s="42" t="str">
        <f>+IFERROR(VLOOKUP(E740,'DANH MỤC'!$C:$H,4,0),"")</f>
        <v/>
      </c>
      <c r="J740" s="42" t="str">
        <f>+IFERROR(VLOOKUP(E740,'DANH MỤC'!$C:$H,5,0),"")</f>
        <v/>
      </c>
      <c r="K740" s="53"/>
      <c r="L740" s="58">
        <v>6.05</v>
      </c>
      <c r="M740" s="55"/>
      <c r="N740" s="55"/>
    </row>
    <row r="741" ht="15.75" customHeight="1">
      <c r="A741" s="53">
        <f t="shared" si="1"/>
        <v>736</v>
      </c>
      <c r="B741" s="55" t="s">
        <v>389</v>
      </c>
      <c r="C741" s="41">
        <v>45751.0</v>
      </c>
      <c r="D741" s="42" t="s">
        <v>544</v>
      </c>
      <c r="E741" s="42" t="s">
        <v>113</v>
      </c>
      <c r="F741" s="42" t="str">
        <f>+IFERROR(VLOOKUP(E741,'DANH MỤC'!$C:$H,2,0),"")</f>
        <v>Lưỡi gà trắng 95mm x 800m x 230gsm</v>
      </c>
      <c r="G741" s="42" t="str">
        <f>+IFERROR(VLOOKUP(E741,'DANH MỤC'!$C:$H,6,0),"")</f>
        <v>Cuộn</v>
      </c>
      <c r="H741" s="42">
        <f>+IFERROR(VLOOKUP(E741,'DANH MỤC'!$C:$H,3,0),"")</f>
        <v>230</v>
      </c>
      <c r="I741" s="42">
        <f>+IFERROR(VLOOKUP(E741,'DANH MỤC'!$C:$H,4,0),"")</f>
        <v>95</v>
      </c>
      <c r="J741" s="42">
        <f>+IFERROR(VLOOKUP(E741,'DANH MỤC'!$C:$H,5,0),"")</f>
        <v>800</v>
      </c>
      <c r="K741" s="53">
        <v>300.0</v>
      </c>
      <c r="L741" s="58"/>
      <c r="M741" s="55"/>
      <c r="N741" s="55"/>
    </row>
    <row r="742" ht="15.75" customHeight="1">
      <c r="A742" s="53">
        <f t="shared" si="1"/>
        <v>737</v>
      </c>
      <c r="B742" s="55" t="s">
        <v>389</v>
      </c>
      <c r="C742" s="41">
        <v>45751.0</v>
      </c>
      <c r="D742" s="42" t="s">
        <v>544</v>
      </c>
      <c r="E742" s="42" t="s">
        <v>120</v>
      </c>
      <c r="F742" s="42" t="str">
        <f>+IFERROR(VLOOKUP(E742,'DANH MỤC'!$C:$H,2,0),"")</f>
        <v>Lưỡi gà trắng 98mm x 800m x 230gsm</v>
      </c>
      <c r="G742" s="42" t="str">
        <f>+IFERROR(VLOOKUP(E742,'DANH MỤC'!$C:$H,6,0),"")</f>
        <v>Cuộn</v>
      </c>
      <c r="H742" s="42">
        <f>+IFERROR(VLOOKUP(E742,'DANH MỤC'!$C:$H,3,0),"")</f>
        <v>230</v>
      </c>
      <c r="I742" s="42">
        <f>+IFERROR(VLOOKUP(E742,'DANH MỤC'!$C:$H,4,0),"")</f>
        <v>98</v>
      </c>
      <c r="J742" s="42">
        <f>+IFERROR(VLOOKUP(E742,'DANH MỤC'!$C:$H,5,0),"")</f>
        <v>800</v>
      </c>
      <c r="K742" s="53">
        <v>250.0</v>
      </c>
      <c r="L742" s="58"/>
      <c r="M742" s="55"/>
      <c r="N742" s="55"/>
    </row>
    <row r="743" ht="15.75" customHeight="1">
      <c r="A743" s="117">
        <f t="shared" si="1"/>
        <v>738</v>
      </c>
      <c r="B743" s="118"/>
      <c r="C743" s="119">
        <v>45751.0</v>
      </c>
      <c r="D743" s="120" t="s">
        <v>146</v>
      </c>
      <c r="E743" s="120" t="s">
        <v>81</v>
      </c>
      <c r="F743" s="120" t="str">
        <f>+IFERROR(VLOOKUP(E743,'DANH MỤC'!$C:$H,2,0),"")</f>
        <v>Lưỡi gà trắng 71mm x 800m x 210gsm</v>
      </c>
      <c r="G743" s="120" t="str">
        <f>+IFERROR(VLOOKUP(E743,'DANH MỤC'!$C:$H,6,0),"")</f>
        <v>Cuộn</v>
      </c>
      <c r="H743" s="120">
        <f>+IFERROR(VLOOKUP(E743,'DANH MỤC'!$C:$H,3,0),"")</f>
        <v>210</v>
      </c>
      <c r="I743" s="120">
        <f>+IFERROR(VLOOKUP(E743,'DANH MỤC'!$C:$H,4,0),"")</f>
        <v>71</v>
      </c>
      <c r="J743" s="120">
        <f>+IFERROR(VLOOKUP(E743,'DANH MỤC'!$C:$H,5,0),"")</f>
        <v>800</v>
      </c>
      <c r="K743" s="117"/>
      <c r="L743" s="121">
        <v>420.0</v>
      </c>
      <c r="M743" s="118" t="s">
        <v>304</v>
      </c>
      <c r="N743" s="118"/>
    </row>
    <row r="744" ht="15.75" customHeight="1">
      <c r="A744" s="117">
        <f t="shared" si="1"/>
        <v>739</v>
      </c>
      <c r="B744" s="118"/>
      <c r="C744" s="119">
        <v>45751.0</v>
      </c>
      <c r="D744" s="120" t="s">
        <v>146</v>
      </c>
      <c r="E744" s="120" t="s">
        <v>104</v>
      </c>
      <c r="F744" s="120" t="str">
        <f>+IFERROR(VLOOKUP(E744,'DANH MỤC'!$C:$H,2,0),"")</f>
        <v>Lưỡi gà trắng 95mm x 800m x 210gsm</v>
      </c>
      <c r="G744" s="120" t="str">
        <f>+IFERROR(VLOOKUP(E744,'DANH MỤC'!$C:$H,6,0),"")</f>
        <v>Cuộn</v>
      </c>
      <c r="H744" s="120">
        <f>+IFERROR(VLOOKUP(E744,'DANH MỤC'!$C:$H,3,0),"")</f>
        <v>210</v>
      </c>
      <c r="I744" s="120">
        <f>+IFERROR(VLOOKUP(E744,'DANH MỤC'!$C:$H,4,0),"")</f>
        <v>95</v>
      </c>
      <c r="J744" s="120">
        <f>+IFERROR(VLOOKUP(E744,'DANH MỤC'!$C:$H,5,0),"")</f>
        <v>800</v>
      </c>
      <c r="K744" s="117"/>
      <c r="L744" s="121">
        <v>120.0</v>
      </c>
      <c r="M744" s="118" t="s">
        <v>304</v>
      </c>
      <c r="N744" s="118"/>
    </row>
    <row r="745" ht="15.75" customHeight="1">
      <c r="A745" s="117">
        <f t="shared" si="1"/>
        <v>740</v>
      </c>
      <c r="B745" s="118"/>
      <c r="C745" s="119">
        <v>45751.0</v>
      </c>
      <c r="D745" s="120" t="s">
        <v>146</v>
      </c>
      <c r="E745" s="120" t="s">
        <v>120</v>
      </c>
      <c r="F745" s="120" t="str">
        <f>+IFERROR(VLOOKUP(E745,'DANH MỤC'!$C:$H,2,0),"")</f>
        <v>Lưỡi gà trắng 98mm x 800m x 230gsm</v>
      </c>
      <c r="G745" s="120" t="str">
        <f>+IFERROR(VLOOKUP(E745,'DANH MỤC'!$C:$H,6,0),"")</f>
        <v>Cuộn</v>
      </c>
      <c r="H745" s="120">
        <f>+IFERROR(VLOOKUP(E745,'DANH MỤC'!$C:$H,3,0),"")</f>
        <v>230</v>
      </c>
      <c r="I745" s="120">
        <f>+IFERROR(VLOOKUP(E745,'DANH MỤC'!$C:$H,4,0),"")</f>
        <v>98</v>
      </c>
      <c r="J745" s="120">
        <f>+IFERROR(VLOOKUP(E745,'DANH MỤC'!$C:$H,5,0),"")</f>
        <v>800</v>
      </c>
      <c r="K745" s="117"/>
      <c r="L745" s="121">
        <v>240.0</v>
      </c>
      <c r="M745" s="118" t="s">
        <v>304</v>
      </c>
      <c r="N745" s="118"/>
    </row>
    <row r="746" ht="15.75" customHeight="1">
      <c r="A746" s="53">
        <f t="shared" si="1"/>
        <v>741</v>
      </c>
      <c r="B746" s="55" t="s">
        <v>395</v>
      </c>
      <c r="C746" s="41">
        <v>45752.0</v>
      </c>
      <c r="D746" s="42" t="s">
        <v>545</v>
      </c>
      <c r="E746" s="42" t="s">
        <v>47</v>
      </c>
      <c r="F746" s="42" t="str">
        <f>+IFERROR(VLOOKUP(E746,'DANH MỤC'!$C:$H,2,0),"")</f>
        <v>Ivory Ningbo</v>
      </c>
      <c r="G746" s="42" t="str">
        <f>+IFERROR(VLOOKUP(E746,'DANH MỤC'!$C:$H,6,0),"")</f>
        <v>Kg</v>
      </c>
      <c r="H746" s="42">
        <f>+IFERROR(VLOOKUP(E746,'DANH MỤC'!$C:$H,3,0),"")</f>
        <v>210</v>
      </c>
      <c r="I746" s="42">
        <f>+IFERROR(VLOOKUP(E746,'DANH MỤC'!$C:$H,4,0),"")</f>
        <v>109</v>
      </c>
      <c r="J746" s="42" t="str">
        <f>+IFERROR(VLOOKUP(E746,'DANH MỤC'!$C:$H,5,0),"")</f>
        <v/>
      </c>
      <c r="K746" s="53"/>
      <c r="L746" s="58">
        <v>12134.0</v>
      </c>
      <c r="M746" s="55"/>
      <c r="N746" s="55"/>
    </row>
    <row r="747" ht="15.75" customHeight="1">
      <c r="A747" s="53">
        <f t="shared" si="1"/>
        <v>742</v>
      </c>
      <c r="B747" s="55" t="s">
        <v>395</v>
      </c>
      <c r="C747" s="41">
        <v>45752.0</v>
      </c>
      <c r="D747" s="42" t="s">
        <v>546</v>
      </c>
      <c r="E747" s="42" t="s">
        <v>184</v>
      </c>
      <c r="F747" s="42" t="str">
        <f>+IFERROR(VLOOKUP(E747,'DANH MỤC'!$C:$H,2,0),"")</f>
        <v>Ống lõi giấy phi 120x7x95mm</v>
      </c>
      <c r="G747" s="42" t="str">
        <f>+IFERROR(VLOOKUP(E747,'DANH MỤC'!$C:$H,6,0),"")</f>
        <v>Cái</v>
      </c>
      <c r="H747" s="42">
        <f>+IFERROR(VLOOKUP(E747,'DANH MỤC'!$C:$H,3,0),"")</f>
        <v>120</v>
      </c>
      <c r="I747" s="42">
        <f>+IFERROR(VLOOKUP(E747,'DANH MỤC'!$C:$H,4,0),"")</f>
        <v>70</v>
      </c>
      <c r="J747" s="42">
        <f>+IFERROR(VLOOKUP(E747,'DANH MỤC'!$C:$H,5,0),"")</f>
        <v>95</v>
      </c>
      <c r="K747" s="53"/>
      <c r="L747" s="58">
        <v>650.0</v>
      </c>
      <c r="M747" s="55"/>
      <c r="N747" s="55"/>
    </row>
    <row r="748" ht="15.75" customHeight="1">
      <c r="A748" s="53">
        <f t="shared" si="1"/>
        <v>743</v>
      </c>
      <c r="B748" s="55" t="s">
        <v>395</v>
      </c>
      <c r="C748" s="41">
        <v>45752.0</v>
      </c>
      <c r="D748" s="42" t="s">
        <v>546</v>
      </c>
      <c r="E748" s="42" t="s">
        <v>182</v>
      </c>
      <c r="F748" s="42" t="str">
        <f>+IFERROR(VLOOKUP(E748,'DANH MỤC'!$C:$H,2,0),"")</f>
        <v>Ống lõi giấy phi 120x7x71mm</v>
      </c>
      <c r="G748" s="42" t="str">
        <f>+IFERROR(VLOOKUP(E748,'DANH MỤC'!$C:$H,6,0),"")</f>
        <v>Cái</v>
      </c>
      <c r="H748" s="42">
        <f>+IFERROR(VLOOKUP(E748,'DANH MỤC'!$C:$H,3,0),"")</f>
        <v>120</v>
      </c>
      <c r="I748" s="42">
        <f>+IFERROR(VLOOKUP(E748,'DANH MỤC'!$C:$H,4,0),"")</f>
        <v>70</v>
      </c>
      <c r="J748" s="42">
        <f>+IFERROR(VLOOKUP(E748,'DANH MỤC'!$C:$H,5,0),"")</f>
        <v>71</v>
      </c>
      <c r="K748" s="53"/>
      <c r="L748" s="58">
        <v>207.0</v>
      </c>
      <c r="M748" s="55"/>
      <c r="N748" s="55"/>
    </row>
    <row r="749" ht="15.75" customHeight="1">
      <c r="A749" s="53">
        <f t="shared" si="1"/>
        <v>744</v>
      </c>
      <c r="B749" s="55" t="s">
        <v>395</v>
      </c>
      <c r="C749" s="41">
        <v>45752.0</v>
      </c>
      <c r="D749" s="42" t="s">
        <v>546</v>
      </c>
      <c r="E749" s="42" t="s">
        <v>127</v>
      </c>
      <c r="F749" s="42" t="str">
        <f>+IFERROR(VLOOKUP(E749,'DANH MỤC'!$C:$H,2,0),"")</f>
        <v>Pallet gỗ 1100x1100x130mm</v>
      </c>
      <c r="G749" s="42" t="str">
        <f>+IFERROR(VLOOKUP(E749,'DANH MỤC'!$C:$H,6,0),"")</f>
        <v>Bộ</v>
      </c>
      <c r="H749" s="42">
        <f>+IFERROR(VLOOKUP(E749,'DANH MỤC'!$C:$H,3,0),"")</f>
        <v>1100</v>
      </c>
      <c r="I749" s="42">
        <f>+IFERROR(VLOOKUP(E749,'DANH MỤC'!$C:$H,4,0),"")</f>
        <v>1100</v>
      </c>
      <c r="J749" s="42">
        <f>+IFERROR(VLOOKUP(E749,'DANH MỤC'!$C:$H,5,0),"")</f>
        <v>130</v>
      </c>
      <c r="K749" s="53"/>
      <c r="L749" s="58">
        <v>15.0</v>
      </c>
      <c r="M749" s="55"/>
      <c r="N749" s="55"/>
    </row>
    <row r="750" ht="15.75" customHeight="1">
      <c r="A750" s="53">
        <f t="shared" si="1"/>
        <v>745</v>
      </c>
      <c r="B750" s="55" t="s">
        <v>395</v>
      </c>
      <c r="C750" s="41">
        <v>45752.0</v>
      </c>
      <c r="D750" s="42" t="s">
        <v>546</v>
      </c>
      <c r="E750" s="42" t="s">
        <v>96</v>
      </c>
      <c r="F750" s="42" t="str">
        <f>+IFERROR(VLOOKUP(E750,'DANH MỤC'!$C:$H,2,0),"")</f>
        <v>Giấy bao gói lưỡi gà</v>
      </c>
      <c r="G750" s="42" t="str">
        <f>+IFERROR(VLOOKUP(E750,'DANH MỤC'!$C:$H,6,0),"")</f>
        <v>Kg</v>
      </c>
      <c r="H750" s="42" t="str">
        <f>+IFERROR(VLOOKUP(E750,'DANH MỤC'!$C:$H,3,0),"")</f>
        <v/>
      </c>
      <c r="I750" s="42" t="str">
        <f>+IFERROR(VLOOKUP(E750,'DANH MỤC'!$C:$H,4,0),"")</f>
        <v/>
      </c>
      <c r="J750" s="42" t="str">
        <f>+IFERROR(VLOOKUP(E750,'DANH MỤC'!$C:$H,5,0),"")</f>
        <v/>
      </c>
      <c r="K750" s="53"/>
      <c r="L750" s="58">
        <v>10.71</v>
      </c>
      <c r="M750" s="55"/>
      <c r="N750" s="55"/>
    </row>
    <row r="751" ht="15.75" customHeight="1">
      <c r="A751" s="53">
        <f t="shared" si="1"/>
        <v>746</v>
      </c>
      <c r="B751" s="55" t="s">
        <v>395</v>
      </c>
      <c r="C751" s="41">
        <v>45752.0</v>
      </c>
      <c r="D751" s="42" t="s">
        <v>546</v>
      </c>
      <c r="E751" s="42" t="s">
        <v>112</v>
      </c>
      <c r="F751" s="42" t="str">
        <f>+IFERROR(VLOOKUP(E751,'DANH MỤC'!$C:$H,2,0),"")</f>
        <v>Dây đai PET xanh (B)</v>
      </c>
      <c r="G751" s="42" t="str">
        <f>+IFERROR(VLOOKUP(E751,'DANH MỤC'!$C:$H,6,0),"")</f>
        <v>Kg</v>
      </c>
      <c r="H751" s="42" t="str">
        <f>+IFERROR(VLOOKUP(E751,'DANH MỤC'!$C:$H,3,0),"")</f>
        <v/>
      </c>
      <c r="I751" s="42" t="str">
        <f>+IFERROR(VLOOKUP(E751,'DANH MỤC'!$C:$H,4,0),"")</f>
        <v/>
      </c>
      <c r="J751" s="42" t="str">
        <f>+IFERROR(VLOOKUP(E751,'DANH MỤC'!$C:$H,5,0),"")</f>
        <v/>
      </c>
      <c r="K751" s="53"/>
      <c r="L751" s="58">
        <v>17.08</v>
      </c>
      <c r="M751" s="55"/>
      <c r="N751" s="55"/>
    </row>
    <row r="752" ht="15.75" customHeight="1">
      <c r="A752" s="53">
        <f t="shared" si="1"/>
        <v>747</v>
      </c>
      <c r="B752" s="55" t="s">
        <v>395</v>
      </c>
      <c r="C752" s="41">
        <v>45752.0</v>
      </c>
      <c r="D752" s="42" t="s">
        <v>546</v>
      </c>
      <c r="E752" s="42" t="s">
        <v>115</v>
      </c>
      <c r="F752" s="42" t="str">
        <f>+IFERROR(VLOOKUP(E752,'DANH MỤC'!$C:$H,2,0),"")</f>
        <v>Màng Strecth Film 5.0-0.6kg</v>
      </c>
      <c r="G752" s="42" t="str">
        <f>+IFERROR(VLOOKUP(E752,'DANH MỤC'!$C:$H,6,0),"")</f>
        <v>Kg</v>
      </c>
      <c r="H752" s="42" t="str">
        <f>+IFERROR(VLOOKUP(E752,'DANH MỤC'!$C:$H,3,0),"")</f>
        <v/>
      </c>
      <c r="I752" s="42" t="str">
        <f>+IFERROR(VLOOKUP(E752,'DANH MỤC'!$C:$H,4,0),"")</f>
        <v/>
      </c>
      <c r="J752" s="42" t="str">
        <f>+IFERROR(VLOOKUP(E752,'DANH MỤC'!$C:$H,5,0),"")</f>
        <v/>
      </c>
      <c r="K752" s="53"/>
      <c r="L752" s="58">
        <v>10.09</v>
      </c>
      <c r="M752" s="55"/>
      <c r="N752" s="55"/>
    </row>
    <row r="753" ht="15.75" customHeight="1">
      <c r="A753" s="53">
        <f t="shared" si="1"/>
        <v>748</v>
      </c>
      <c r="B753" s="55" t="s">
        <v>395</v>
      </c>
      <c r="C753" s="41">
        <v>45752.0</v>
      </c>
      <c r="D753" s="42" t="s">
        <v>546</v>
      </c>
      <c r="E753" s="42" t="s">
        <v>156</v>
      </c>
      <c r="F753" s="42" t="str">
        <f>+IFERROR(VLOOKUP(E753,'DANH MỤC'!$C:$H,2,0),"")</f>
        <v>Nẹp gỗ pallet dài 1.15m</v>
      </c>
      <c r="G753" s="42" t="str">
        <f>+IFERROR(VLOOKUP(E753,'DANH MỤC'!$C:$H,6,0),"")</f>
        <v>Cái</v>
      </c>
      <c r="H753" s="42" t="str">
        <f>+IFERROR(VLOOKUP(E753,'DANH MỤC'!$C:$H,3,0),"")</f>
        <v/>
      </c>
      <c r="I753" s="42" t="str">
        <f>+IFERROR(VLOOKUP(E753,'DANH MỤC'!$C:$H,4,0),"")</f>
        <v/>
      </c>
      <c r="J753" s="42">
        <f>+IFERROR(VLOOKUP(E753,'DANH MỤC'!$C:$H,5,0),"")</f>
        <v>1150</v>
      </c>
      <c r="K753" s="53"/>
      <c r="L753" s="58">
        <v>48.0</v>
      </c>
      <c r="M753" s="55"/>
      <c r="N753" s="55"/>
    </row>
    <row r="754" ht="15.75" customHeight="1">
      <c r="A754" s="53">
        <f t="shared" si="1"/>
        <v>749</v>
      </c>
      <c r="B754" s="55" t="s">
        <v>395</v>
      </c>
      <c r="C754" s="41">
        <v>45752.0</v>
      </c>
      <c r="D754" s="42" t="s">
        <v>547</v>
      </c>
      <c r="E754" s="42" t="s">
        <v>104</v>
      </c>
      <c r="F754" s="42" t="str">
        <f>+IFERROR(VLOOKUP(E754,'DANH MỤC'!$C:$H,2,0),"")</f>
        <v>Lưỡi gà trắng 95mm x 800m x 210gsm</v>
      </c>
      <c r="G754" s="42" t="str">
        <f>+IFERROR(VLOOKUP(E754,'DANH MỤC'!$C:$H,6,0),"")</f>
        <v>Cuộn</v>
      </c>
      <c r="H754" s="42">
        <f>+IFERROR(VLOOKUP(E754,'DANH MỤC'!$C:$H,3,0),"")</f>
        <v>210</v>
      </c>
      <c r="I754" s="42">
        <f>+IFERROR(VLOOKUP(E754,'DANH MỤC'!$C:$H,4,0),"")</f>
        <v>95</v>
      </c>
      <c r="J754" s="42">
        <f>+IFERROR(VLOOKUP(E754,'DANH MỤC'!$C:$H,5,0),"")</f>
        <v>800</v>
      </c>
      <c r="K754" s="53">
        <v>594.0</v>
      </c>
      <c r="L754" s="58"/>
      <c r="M754" s="55"/>
      <c r="N754" s="55"/>
    </row>
    <row r="755" ht="15.75" customHeight="1">
      <c r="A755" s="53">
        <f t="shared" si="1"/>
        <v>750</v>
      </c>
      <c r="B755" s="55" t="s">
        <v>395</v>
      </c>
      <c r="C755" s="41">
        <v>45752.0</v>
      </c>
      <c r="D755" s="42" t="s">
        <v>547</v>
      </c>
      <c r="E755" s="42" t="s">
        <v>81</v>
      </c>
      <c r="F755" s="42" t="str">
        <f>+IFERROR(VLOOKUP(E755,'DANH MỤC'!$C:$H,2,0),"")</f>
        <v>Lưỡi gà trắng 71mm x 800m x 210gsm</v>
      </c>
      <c r="G755" s="42" t="str">
        <f>+IFERROR(VLOOKUP(E755,'DANH MỤC'!$C:$H,6,0),"")</f>
        <v>Cuộn</v>
      </c>
      <c r="H755" s="42">
        <f>+IFERROR(VLOOKUP(E755,'DANH MỤC'!$C:$H,3,0),"")</f>
        <v>210</v>
      </c>
      <c r="I755" s="42">
        <f>+IFERROR(VLOOKUP(E755,'DANH MỤC'!$C:$H,4,0),"")</f>
        <v>71</v>
      </c>
      <c r="J755" s="42">
        <f>+IFERROR(VLOOKUP(E755,'DANH MỤC'!$C:$H,5,0),"")</f>
        <v>800</v>
      </c>
      <c r="K755" s="53">
        <v>197.0</v>
      </c>
      <c r="L755" s="58"/>
      <c r="M755" s="55"/>
      <c r="N755" s="55"/>
    </row>
    <row r="756" ht="15.75" customHeight="1">
      <c r="A756" s="117">
        <f t="shared" si="1"/>
        <v>751</v>
      </c>
      <c r="B756" s="118"/>
      <c r="C756" s="119">
        <v>45763.0</v>
      </c>
      <c r="D756" s="120" t="s">
        <v>130</v>
      </c>
      <c r="E756" s="120" t="s">
        <v>104</v>
      </c>
      <c r="F756" s="120" t="str">
        <f>+IFERROR(VLOOKUP(E756,'DANH MỤC'!$C:$H,2,0),"")</f>
        <v>Lưỡi gà trắng 95mm x 800m x 210gsm</v>
      </c>
      <c r="G756" s="120" t="str">
        <f>+IFERROR(VLOOKUP(E756,'DANH MỤC'!$C:$H,6,0),"")</f>
        <v>Cuộn</v>
      </c>
      <c r="H756" s="120">
        <f>+IFERROR(VLOOKUP(E756,'DANH MỤC'!$C:$H,3,0),"")</f>
        <v>210</v>
      </c>
      <c r="I756" s="120">
        <f>+IFERROR(VLOOKUP(E756,'DANH MỤC'!$C:$H,4,0),"")</f>
        <v>95</v>
      </c>
      <c r="J756" s="120">
        <f>+IFERROR(VLOOKUP(E756,'DANH MỤC'!$C:$H,5,0),"")</f>
        <v>800</v>
      </c>
      <c r="K756" s="117"/>
      <c r="L756" s="121">
        <v>624.0</v>
      </c>
      <c r="M756" s="118" t="s">
        <v>131</v>
      </c>
      <c r="N756" s="118"/>
    </row>
    <row r="757" ht="15.75" customHeight="1">
      <c r="A757" s="117">
        <f t="shared" si="1"/>
        <v>752</v>
      </c>
      <c r="B757" s="118"/>
      <c r="C757" s="119">
        <v>45763.0</v>
      </c>
      <c r="D757" s="120" t="s">
        <v>130</v>
      </c>
      <c r="E757" s="120" t="s">
        <v>123</v>
      </c>
      <c r="F757" s="120" t="str">
        <f>+IFERROR(VLOOKUP(E757,'DANH MỤC'!$C:$H,2,0),"")</f>
        <v>Lưỡi gà trắng 90mm x 800m x 250gsm</v>
      </c>
      <c r="G757" s="120" t="str">
        <f>+IFERROR(VLOOKUP(E757,'DANH MỤC'!$C:$H,6,0),"")</f>
        <v>Cuộn</v>
      </c>
      <c r="H757" s="120">
        <f>+IFERROR(VLOOKUP(E757,'DANH MỤC'!$C:$H,3,0),"")</f>
        <v>250</v>
      </c>
      <c r="I757" s="120">
        <f>+IFERROR(VLOOKUP(E757,'DANH MỤC'!$C:$H,4,0),"")</f>
        <v>90</v>
      </c>
      <c r="J757" s="120">
        <f>+IFERROR(VLOOKUP(E757,'DANH MỤC'!$C:$H,5,0),"")</f>
        <v>800</v>
      </c>
      <c r="K757" s="117"/>
      <c r="L757" s="121">
        <v>1.0</v>
      </c>
      <c r="M757" s="118" t="s">
        <v>131</v>
      </c>
      <c r="N757" s="118"/>
    </row>
    <row r="758" ht="15.75" customHeight="1">
      <c r="A758" s="117">
        <f t="shared" si="1"/>
        <v>753</v>
      </c>
      <c r="B758" s="118"/>
      <c r="C758" s="119">
        <v>45764.0</v>
      </c>
      <c r="D758" s="120" t="s">
        <v>146</v>
      </c>
      <c r="E758" s="120" t="s">
        <v>81</v>
      </c>
      <c r="F758" s="120" t="str">
        <f>+IFERROR(VLOOKUP(E758,'DANH MỤC'!$C:$H,2,0),"")</f>
        <v>Lưỡi gà trắng 71mm x 800m x 210gsm</v>
      </c>
      <c r="G758" s="120" t="str">
        <f>+IFERROR(VLOOKUP(E758,'DANH MỤC'!$C:$H,6,0),"")</f>
        <v>Cuộn</v>
      </c>
      <c r="H758" s="120">
        <f>+IFERROR(VLOOKUP(E758,'DANH MỤC'!$C:$H,3,0),"")</f>
        <v>210</v>
      </c>
      <c r="I758" s="120">
        <f>+IFERROR(VLOOKUP(E758,'DANH MỤC'!$C:$H,4,0),"")</f>
        <v>71</v>
      </c>
      <c r="J758" s="120">
        <f>+IFERROR(VLOOKUP(E758,'DANH MỤC'!$C:$H,5,0),"")</f>
        <v>800</v>
      </c>
      <c r="K758" s="117"/>
      <c r="L758" s="121">
        <v>420.0</v>
      </c>
      <c r="M758" s="118" t="s">
        <v>304</v>
      </c>
      <c r="N758" s="118"/>
    </row>
    <row r="759" ht="15.75" customHeight="1">
      <c r="A759" s="53">
        <f t="shared" si="1"/>
        <v>754</v>
      </c>
      <c r="B759" s="55"/>
      <c r="C759" s="41">
        <v>45765.0</v>
      </c>
      <c r="D759" s="42" t="s">
        <v>95</v>
      </c>
      <c r="E759" s="42" t="s">
        <v>127</v>
      </c>
      <c r="F759" s="42" t="str">
        <f>+IFERROR(VLOOKUP(E759,'DANH MỤC'!$C:$H,2,0),"")</f>
        <v>Pallet gỗ 1100x1100x130mm</v>
      </c>
      <c r="G759" s="42" t="str">
        <f>+IFERROR(VLOOKUP(E759,'DANH MỤC'!$C:$H,6,0),"")</f>
        <v>Bộ</v>
      </c>
      <c r="H759" s="42">
        <f>+IFERROR(VLOOKUP(E759,'DANH MỤC'!$C:$H,3,0),"")</f>
        <v>1100</v>
      </c>
      <c r="I759" s="42">
        <f>+IFERROR(VLOOKUP(E759,'DANH MỤC'!$C:$H,4,0),"")</f>
        <v>1100</v>
      </c>
      <c r="J759" s="42">
        <f>+IFERROR(VLOOKUP(E759,'DANH MỤC'!$C:$H,5,0),"")</f>
        <v>130</v>
      </c>
      <c r="K759" s="53">
        <v>100.0</v>
      </c>
      <c r="L759" s="58"/>
      <c r="M759" s="55"/>
      <c r="N759" s="55"/>
    </row>
    <row r="760" ht="15.75" customHeight="1">
      <c r="A760" s="53">
        <f t="shared" si="1"/>
        <v>755</v>
      </c>
      <c r="B760" s="55"/>
      <c r="C760" s="41">
        <v>45765.0</v>
      </c>
      <c r="D760" s="42" t="s">
        <v>95</v>
      </c>
      <c r="E760" s="42" t="s">
        <v>156</v>
      </c>
      <c r="F760" s="42" t="str">
        <f>+IFERROR(VLOOKUP(E760,'DANH MỤC'!$C:$H,2,0),"")</f>
        <v>Nẹp gỗ pallet dài 1.15m</v>
      </c>
      <c r="G760" s="42" t="str">
        <f>+IFERROR(VLOOKUP(E760,'DANH MỤC'!$C:$H,6,0),"")</f>
        <v>Cái</v>
      </c>
      <c r="H760" s="42" t="str">
        <f>+IFERROR(VLOOKUP(E760,'DANH MỤC'!$C:$H,3,0),"")</f>
        <v/>
      </c>
      <c r="I760" s="42" t="str">
        <f>+IFERROR(VLOOKUP(E760,'DANH MỤC'!$C:$H,4,0),"")</f>
        <v/>
      </c>
      <c r="J760" s="42">
        <f>+IFERROR(VLOOKUP(E760,'DANH MỤC'!$C:$H,5,0),"")</f>
        <v>1150</v>
      </c>
      <c r="K760" s="53">
        <v>200.0</v>
      </c>
      <c r="L760" s="58"/>
      <c r="M760" s="55"/>
      <c r="N760" s="55"/>
    </row>
    <row r="761" ht="15.75" customHeight="1">
      <c r="A761" s="53">
        <f t="shared" si="1"/>
        <v>756</v>
      </c>
      <c r="B761" s="55"/>
      <c r="C761" s="41">
        <v>45768.0</v>
      </c>
      <c r="D761" s="42" t="s">
        <v>95</v>
      </c>
      <c r="E761" s="42" t="s">
        <v>204</v>
      </c>
      <c r="F761" s="42" t="str">
        <f>+IFERROR(VLOOKUP(E761,'DANH MỤC'!$C:$H,2,0),"")</f>
        <v>Ống lõi giấy phi 120x7x98mm</v>
      </c>
      <c r="G761" s="42" t="str">
        <f>+IFERROR(VLOOKUP(E761,'DANH MỤC'!$C:$H,6,0),"")</f>
        <v>Cái</v>
      </c>
      <c r="H761" s="42">
        <f>+IFERROR(VLOOKUP(E761,'DANH MỤC'!$C:$H,3,0),"")</f>
        <v>120</v>
      </c>
      <c r="I761" s="42">
        <f>+IFERROR(VLOOKUP(E761,'DANH MỤC'!$C:$H,4,0),"")</f>
        <v>70</v>
      </c>
      <c r="J761" s="42">
        <f>+IFERROR(VLOOKUP(E761,'DANH MỤC'!$C:$H,5,0),"")</f>
        <v>98</v>
      </c>
      <c r="K761" s="53">
        <v>1000.0</v>
      </c>
      <c r="L761" s="58"/>
      <c r="M761" s="55"/>
      <c r="N761" s="55"/>
    </row>
    <row r="762" ht="15.75" customHeight="1">
      <c r="A762" s="53">
        <f t="shared" si="1"/>
        <v>757</v>
      </c>
      <c r="B762" s="55"/>
      <c r="C762" s="41">
        <v>45768.0</v>
      </c>
      <c r="D762" s="42" t="s">
        <v>95</v>
      </c>
      <c r="E762" s="42" t="s">
        <v>182</v>
      </c>
      <c r="F762" s="42" t="str">
        <f>+IFERROR(VLOOKUP(E762,'DANH MỤC'!$C:$H,2,0),"")</f>
        <v>Ống lõi giấy phi 120x7x71mm</v>
      </c>
      <c r="G762" s="42" t="str">
        <f>+IFERROR(VLOOKUP(E762,'DANH MỤC'!$C:$H,6,0),"")</f>
        <v>Cái</v>
      </c>
      <c r="H762" s="42">
        <f>+IFERROR(VLOOKUP(E762,'DANH MỤC'!$C:$H,3,0),"")</f>
        <v>120</v>
      </c>
      <c r="I762" s="42">
        <f>+IFERROR(VLOOKUP(E762,'DANH MỤC'!$C:$H,4,0),"")</f>
        <v>70</v>
      </c>
      <c r="J762" s="42">
        <f>+IFERROR(VLOOKUP(E762,'DANH MỤC'!$C:$H,5,0),"")</f>
        <v>71</v>
      </c>
      <c r="K762" s="53">
        <v>3000.0</v>
      </c>
      <c r="L762" s="58"/>
      <c r="M762" s="55"/>
      <c r="N762" s="55"/>
    </row>
    <row r="763" ht="15.75" customHeight="1">
      <c r="A763" s="53">
        <f t="shared" si="1"/>
        <v>758</v>
      </c>
      <c r="B763" s="55"/>
      <c r="C763" s="41">
        <v>45768.0</v>
      </c>
      <c r="D763" s="42" t="s">
        <v>95</v>
      </c>
      <c r="E763" s="42" t="s">
        <v>183</v>
      </c>
      <c r="F763" s="42" t="str">
        <f>+IFERROR(VLOOKUP(E763,'DANH MỤC'!$C:$H,2,0),"")</f>
        <v>Ống lõi giấy phi 120x7x90mm</v>
      </c>
      <c r="G763" s="42" t="str">
        <f>+IFERROR(VLOOKUP(E763,'DANH MỤC'!$C:$H,6,0),"")</f>
        <v>Cái</v>
      </c>
      <c r="H763" s="42">
        <f>+IFERROR(VLOOKUP(E763,'DANH MỤC'!$C:$H,3,0),"")</f>
        <v>120</v>
      </c>
      <c r="I763" s="42">
        <f>+IFERROR(VLOOKUP(E763,'DANH MỤC'!$C:$H,4,0),"")</f>
        <v>70</v>
      </c>
      <c r="J763" s="42">
        <f>+IFERROR(VLOOKUP(E763,'DANH MỤC'!$C:$H,5,0),"")</f>
        <v>90</v>
      </c>
      <c r="K763" s="53">
        <v>2000.0</v>
      </c>
      <c r="L763" s="58"/>
      <c r="M763" s="55"/>
      <c r="N763" s="55"/>
    </row>
    <row r="764" ht="15.75" customHeight="1">
      <c r="A764" s="53">
        <f t="shared" si="1"/>
        <v>759</v>
      </c>
      <c r="B764" s="55"/>
      <c r="C764" s="41">
        <v>45768.0</v>
      </c>
      <c r="D764" s="42" t="s">
        <v>95</v>
      </c>
      <c r="E764" s="42" t="s">
        <v>184</v>
      </c>
      <c r="F764" s="42" t="str">
        <f>+IFERROR(VLOOKUP(E764,'DANH MỤC'!$C:$H,2,0),"")</f>
        <v>Ống lõi giấy phi 120x7x95mm</v>
      </c>
      <c r="G764" s="42" t="str">
        <f>+IFERROR(VLOOKUP(E764,'DANH MỤC'!$C:$H,6,0),"")</f>
        <v>Cái</v>
      </c>
      <c r="H764" s="42">
        <f>+IFERROR(VLOOKUP(E764,'DANH MỤC'!$C:$H,3,0),"")</f>
        <v>120</v>
      </c>
      <c r="I764" s="42">
        <f>+IFERROR(VLOOKUP(E764,'DANH MỤC'!$C:$H,4,0),"")</f>
        <v>70</v>
      </c>
      <c r="J764" s="42">
        <f>+IFERROR(VLOOKUP(E764,'DANH MỤC'!$C:$H,5,0),"")</f>
        <v>95</v>
      </c>
      <c r="K764" s="53">
        <v>2000.0</v>
      </c>
      <c r="L764" s="58"/>
      <c r="M764" s="55"/>
      <c r="N764" s="55"/>
    </row>
    <row r="765" ht="15.75" customHeight="1">
      <c r="A765" s="117">
        <f t="shared" si="1"/>
        <v>760</v>
      </c>
      <c r="B765" s="118"/>
      <c r="C765" s="119">
        <v>45768.0</v>
      </c>
      <c r="D765" s="120" t="s">
        <v>215</v>
      </c>
      <c r="E765" s="120" t="s">
        <v>113</v>
      </c>
      <c r="F765" s="120" t="str">
        <f>+IFERROR(VLOOKUP(E765,'DANH MỤC'!$C:$H,2,0),"")</f>
        <v>Lưỡi gà trắng 95mm x 800m x 230gsm</v>
      </c>
      <c r="G765" s="120" t="str">
        <f>+IFERROR(VLOOKUP(E765,'DANH MỤC'!$C:$H,6,0),"")</f>
        <v>Cuộn</v>
      </c>
      <c r="H765" s="120">
        <f>+IFERROR(VLOOKUP(E765,'DANH MỤC'!$C:$H,3,0),"")</f>
        <v>230</v>
      </c>
      <c r="I765" s="120">
        <f>+IFERROR(VLOOKUP(E765,'DANH MỤC'!$C:$H,4,0),"")</f>
        <v>95</v>
      </c>
      <c r="J765" s="120">
        <f>+IFERROR(VLOOKUP(E765,'DANH MỤC'!$C:$H,5,0),"")</f>
        <v>800</v>
      </c>
      <c r="K765" s="117"/>
      <c r="L765" s="121">
        <v>300.0</v>
      </c>
      <c r="M765" s="118"/>
      <c r="N765" s="118"/>
    </row>
    <row r="766" ht="15.75" customHeight="1">
      <c r="A766" s="117">
        <f t="shared" si="1"/>
        <v>761</v>
      </c>
      <c r="B766" s="118"/>
      <c r="C766" s="119">
        <v>45772.0</v>
      </c>
      <c r="D766" s="120" t="s">
        <v>130</v>
      </c>
      <c r="E766" s="120" t="s">
        <v>123</v>
      </c>
      <c r="F766" s="120" t="str">
        <f>+IFERROR(VLOOKUP(E766,'DANH MỤC'!$C:$H,2,0),"")</f>
        <v>Lưỡi gà trắng 90mm x 800m x 250gsm</v>
      </c>
      <c r="G766" s="120" t="str">
        <f>+IFERROR(VLOOKUP(E766,'DANH MỤC'!$C:$H,6,0),"")</f>
        <v>Cuộn</v>
      </c>
      <c r="H766" s="120">
        <f>+IFERROR(VLOOKUP(E766,'DANH MỤC'!$C:$H,3,0),"")</f>
        <v>250</v>
      </c>
      <c r="I766" s="120">
        <f>+IFERROR(VLOOKUP(E766,'DANH MỤC'!$C:$H,4,0),"")</f>
        <v>90</v>
      </c>
      <c r="J766" s="120">
        <f>+IFERROR(VLOOKUP(E766,'DANH MỤC'!$C:$H,5,0),"")</f>
        <v>800</v>
      </c>
      <c r="K766" s="117"/>
      <c r="L766" s="121">
        <v>520.0</v>
      </c>
      <c r="M766" s="118" t="s">
        <v>131</v>
      </c>
      <c r="N766" s="118"/>
    </row>
    <row r="767" ht="15.75" customHeight="1">
      <c r="A767" s="117">
        <f t="shared" si="1"/>
        <v>762</v>
      </c>
      <c r="B767" s="118"/>
      <c r="C767" s="119">
        <v>45772.0</v>
      </c>
      <c r="D767" s="120" t="s">
        <v>146</v>
      </c>
      <c r="E767" s="120" t="s">
        <v>81</v>
      </c>
      <c r="F767" s="120" t="str">
        <f>+IFERROR(VLOOKUP(E767,'DANH MỤC'!$C:$H,2,0),"")</f>
        <v>Lưỡi gà trắng 71mm x 800m x 210gsm</v>
      </c>
      <c r="G767" s="120" t="str">
        <f>+IFERROR(VLOOKUP(E767,'DANH MỤC'!$C:$H,6,0),"")</f>
        <v>Cuộn</v>
      </c>
      <c r="H767" s="120">
        <f>+IFERROR(VLOOKUP(E767,'DANH MỤC'!$C:$H,3,0),"")</f>
        <v>210</v>
      </c>
      <c r="I767" s="120">
        <f>+IFERROR(VLOOKUP(E767,'DANH MỤC'!$C:$H,4,0),"")</f>
        <v>71</v>
      </c>
      <c r="J767" s="120">
        <f>+IFERROR(VLOOKUP(E767,'DANH MỤC'!$C:$H,5,0),"")</f>
        <v>800</v>
      </c>
      <c r="K767" s="117"/>
      <c r="L767" s="121">
        <v>360.0</v>
      </c>
      <c r="M767" s="118" t="s">
        <v>304</v>
      </c>
      <c r="N767" s="118"/>
    </row>
    <row r="768" ht="15.75" customHeight="1">
      <c r="A768" s="117">
        <f t="shared" si="1"/>
        <v>763</v>
      </c>
      <c r="B768" s="118"/>
      <c r="C768" s="119">
        <v>45772.0</v>
      </c>
      <c r="D768" s="120" t="s">
        <v>146</v>
      </c>
      <c r="E768" s="120" t="s">
        <v>120</v>
      </c>
      <c r="F768" s="120" t="str">
        <f>+IFERROR(VLOOKUP(E768,'DANH MỤC'!$C:$H,2,0),"")</f>
        <v>Lưỡi gà trắng 98mm x 800m x 230gsm</v>
      </c>
      <c r="G768" s="120" t="str">
        <f>+IFERROR(VLOOKUP(E768,'DANH MỤC'!$C:$H,6,0),"")</f>
        <v>Cuộn</v>
      </c>
      <c r="H768" s="120">
        <f>+IFERROR(VLOOKUP(E768,'DANH MỤC'!$C:$H,3,0),"")</f>
        <v>230</v>
      </c>
      <c r="I768" s="120">
        <f>+IFERROR(VLOOKUP(E768,'DANH MỤC'!$C:$H,4,0),"")</f>
        <v>98</v>
      </c>
      <c r="J768" s="120">
        <f>+IFERROR(VLOOKUP(E768,'DANH MỤC'!$C:$H,5,0),"")</f>
        <v>800</v>
      </c>
      <c r="K768" s="117"/>
      <c r="L768" s="121">
        <v>360.0</v>
      </c>
      <c r="M768" s="118" t="s">
        <v>304</v>
      </c>
      <c r="N768" s="118"/>
    </row>
    <row r="769" ht="15.75" customHeight="1">
      <c r="A769" s="53">
        <f t="shared" si="1"/>
        <v>764</v>
      </c>
      <c r="B769" s="55" t="s">
        <v>402</v>
      </c>
      <c r="C769" s="41">
        <v>45773.0</v>
      </c>
      <c r="D769" s="42" t="s">
        <v>548</v>
      </c>
      <c r="E769" s="42" t="s">
        <v>88</v>
      </c>
      <c r="F769" s="42" t="str">
        <f>+IFERROR(VLOOKUP(E769,'DANH MỤC'!$C:$H,2,0),"")</f>
        <v>Ivory Ningbo</v>
      </c>
      <c r="G769" s="42" t="str">
        <f>+IFERROR(VLOOKUP(E769,'DANH MỤC'!$C:$H,6,0),"")</f>
        <v>Kg</v>
      </c>
      <c r="H769" s="42">
        <f>+IFERROR(VLOOKUP(E769,'DANH MỤC'!$C:$H,3,0),"")</f>
        <v>250</v>
      </c>
      <c r="I769" s="42">
        <f>+IFERROR(VLOOKUP(E769,'DANH MỤC'!$C:$H,4,0),"")</f>
        <v>109</v>
      </c>
      <c r="J769" s="42" t="str">
        <f>+IFERROR(VLOOKUP(E769,'DANH MỤC'!$C:$H,5,0),"")</f>
        <v/>
      </c>
      <c r="K769" s="53"/>
      <c r="L769" s="58">
        <v>21204.0</v>
      </c>
      <c r="M769" s="55"/>
      <c r="N769" s="55"/>
    </row>
    <row r="770" ht="15.75" customHeight="1">
      <c r="A770" s="53">
        <f t="shared" si="1"/>
        <v>765</v>
      </c>
      <c r="B770" s="55" t="s">
        <v>402</v>
      </c>
      <c r="C770" s="41">
        <v>45773.0</v>
      </c>
      <c r="D770" s="42" t="s">
        <v>549</v>
      </c>
      <c r="E770" s="42" t="s">
        <v>183</v>
      </c>
      <c r="F770" s="42" t="str">
        <f>+IFERROR(VLOOKUP(E770,'DANH MỤC'!$C:$H,2,0),"")</f>
        <v>Ống lõi giấy phi 120x7x90mm</v>
      </c>
      <c r="G770" s="42" t="str">
        <f>+IFERROR(VLOOKUP(E770,'DANH MỤC'!$C:$H,6,0),"")</f>
        <v>Cái</v>
      </c>
      <c r="H770" s="42">
        <f>+IFERROR(VLOOKUP(E770,'DANH MỤC'!$C:$H,3,0),"")</f>
        <v>120</v>
      </c>
      <c r="I770" s="42">
        <f>+IFERROR(VLOOKUP(E770,'DANH MỤC'!$C:$H,4,0),"")</f>
        <v>70</v>
      </c>
      <c r="J770" s="42">
        <f>+IFERROR(VLOOKUP(E770,'DANH MỤC'!$C:$H,5,0),"")</f>
        <v>90</v>
      </c>
      <c r="K770" s="53"/>
      <c r="L770" s="58">
        <v>1176.0</v>
      </c>
      <c r="M770" s="55"/>
      <c r="N770" s="55"/>
    </row>
    <row r="771" ht="15.75" customHeight="1">
      <c r="A771" s="53">
        <f t="shared" si="1"/>
        <v>766</v>
      </c>
      <c r="B771" s="55" t="s">
        <v>402</v>
      </c>
      <c r="C771" s="41">
        <v>45773.0</v>
      </c>
      <c r="D771" s="42" t="s">
        <v>549</v>
      </c>
      <c r="E771" s="42" t="s">
        <v>107</v>
      </c>
      <c r="F771" s="42" t="str">
        <f>+IFERROR(VLOOKUP(E771,'DANH MỤC'!$C:$H,2,0),"")</f>
        <v>Pallet gỗ 1200x1200x130mm</v>
      </c>
      <c r="G771" s="42" t="str">
        <f>+IFERROR(VLOOKUP(E771,'DANH MỤC'!$C:$H,6,0),"")</f>
        <v>Bộ</v>
      </c>
      <c r="H771" s="42">
        <f>+IFERROR(VLOOKUP(E771,'DANH MỤC'!$C:$H,3,0),"")</f>
        <v>1200</v>
      </c>
      <c r="I771" s="42">
        <f>+IFERROR(VLOOKUP(E771,'DANH MỤC'!$C:$H,4,0),"")</f>
        <v>1200</v>
      </c>
      <c r="J771" s="42">
        <f>+IFERROR(VLOOKUP(E771,'DANH MỤC'!$C:$H,5,0),"")</f>
        <v>130</v>
      </c>
      <c r="K771" s="53"/>
      <c r="L771" s="58">
        <v>23.0</v>
      </c>
      <c r="M771" s="55"/>
      <c r="N771" s="55"/>
    </row>
    <row r="772" ht="15.75" customHeight="1">
      <c r="A772" s="53">
        <f t="shared" si="1"/>
        <v>767</v>
      </c>
      <c r="B772" s="55" t="s">
        <v>402</v>
      </c>
      <c r="C772" s="41">
        <v>45773.0</v>
      </c>
      <c r="D772" s="42" t="s">
        <v>549</v>
      </c>
      <c r="E772" s="42" t="s">
        <v>96</v>
      </c>
      <c r="F772" s="42" t="str">
        <f>+IFERROR(VLOOKUP(E772,'DANH MỤC'!$C:$H,2,0),"")</f>
        <v>Giấy bao gói lưỡi gà</v>
      </c>
      <c r="G772" s="42" t="str">
        <f>+IFERROR(VLOOKUP(E772,'DANH MỤC'!$C:$H,6,0),"")</f>
        <v>Kg</v>
      </c>
      <c r="H772" s="42" t="str">
        <f>+IFERROR(VLOOKUP(E772,'DANH MỤC'!$C:$H,3,0),"")</f>
        <v/>
      </c>
      <c r="I772" s="42" t="str">
        <f>+IFERROR(VLOOKUP(E772,'DANH MỤC'!$C:$H,4,0),"")</f>
        <v/>
      </c>
      <c r="J772" s="42" t="str">
        <f>+IFERROR(VLOOKUP(E772,'DANH MỤC'!$C:$H,5,0),"")</f>
        <v/>
      </c>
      <c r="K772" s="53"/>
      <c r="L772" s="58">
        <v>15.83</v>
      </c>
      <c r="M772" s="55"/>
      <c r="N772" s="55"/>
    </row>
    <row r="773" ht="15.75" customHeight="1">
      <c r="A773" s="53">
        <f t="shared" si="1"/>
        <v>768</v>
      </c>
      <c r="B773" s="55" t="s">
        <v>402</v>
      </c>
      <c r="C773" s="41">
        <v>45773.0</v>
      </c>
      <c r="D773" s="42" t="s">
        <v>549</v>
      </c>
      <c r="E773" s="42" t="s">
        <v>112</v>
      </c>
      <c r="F773" s="42" t="str">
        <f>+IFERROR(VLOOKUP(E773,'DANH MỤC'!$C:$H,2,0),"")</f>
        <v>Dây đai PET xanh (B)</v>
      </c>
      <c r="G773" s="42" t="str">
        <f>+IFERROR(VLOOKUP(E773,'DANH MỤC'!$C:$H,6,0),"")</f>
        <v>Kg</v>
      </c>
      <c r="H773" s="42" t="str">
        <f>+IFERROR(VLOOKUP(E773,'DANH MỤC'!$C:$H,3,0),"")</f>
        <v/>
      </c>
      <c r="I773" s="42" t="str">
        <f>+IFERROR(VLOOKUP(E773,'DANH MỤC'!$C:$H,4,0),"")</f>
        <v/>
      </c>
      <c r="J773" s="42" t="str">
        <f>+IFERROR(VLOOKUP(E773,'DANH MỤC'!$C:$H,5,0),"")</f>
        <v/>
      </c>
      <c r="K773" s="53"/>
      <c r="L773" s="58">
        <v>26.19</v>
      </c>
      <c r="M773" s="55"/>
      <c r="N773" s="55"/>
    </row>
    <row r="774" ht="15.75" customHeight="1">
      <c r="A774" s="53">
        <f t="shared" si="1"/>
        <v>769</v>
      </c>
      <c r="B774" s="55" t="s">
        <v>402</v>
      </c>
      <c r="C774" s="41">
        <v>45773.0</v>
      </c>
      <c r="D774" s="42" t="s">
        <v>549</v>
      </c>
      <c r="E774" s="42" t="s">
        <v>115</v>
      </c>
      <c r="F774" s="42" t="str">
        <f>+IFERROR(VLOOKUP(E774,'DANH MỤC'!$C:$H,2,0),"")</f>
        <v>Màng Strecth Film 5.0-0.6kg</v>
      </c>
      <c r="G774" s="42" t="str">
        <f>+IFERROR(VLOOKUP(E774,'DANH MỤC'!$C:$H,6,0),"")</f>
        <v>Kg</v>
      </c>
      <c r="H774" s="42" t="str">
        <f>+IFERROR(VLOOKUP(E774,'DANH MỤC'!$C:$H,3,0),"")</f>
        <v/>
      </c>
      <c r="I774" s="42" t="str">
        <f>+IFERROR(VLOOKUP(E774,'DANH MỤC'!$C:$H,4,0),"")</f>
        <v/>
      </c>
      <c r="J774" s="42" t="str">
        <f>+IFERROR(VLOOKUP(E774,'DANH MỤC'!$C:$H,5,0),"")</f>
        <v/>
      </c>
      <c r="K774" s="53"/>
      <c r="L774" s="58">
        <v>15.47</v>
      </c>
      <c r="M774" s="55"/>
      <c r="N774" s="55"/>
    </row>
    <row r="775" ht="15.75" customHeight="1">
      <c r="A775" s="53">
        <f t="shared" si="1"/>
        <v>770</v>
      </c>
      <c r="B775" s="55" t="s">
        <v>402</v>
      </c>
      <c r="C775" s="41">
        <v>45773.0</v>
      </c>
      <c r="D775" s="42" t="s">
        <v>549</v>
      </c>
      <c r="E775" s="42" t="s">
        <v>156</v>
      </c>
      <c r="F775" s="42" t="str">
        <f>+IFERROR(VLOOKUP(E775,'DANH MỤC'!$C:$H,2,0),"")</f>
        <v>Nẹp gỗ pallet dài 1.15m</v>
      </c>
      <c r="G775" s="42" t="str">
        <f>+IFERROR(VLOOKUP(E775,'DANH MỤC'!$C:$H,6,0),"")</f>
        <v>Cái</v>
      </c>
      <c r="H775" s="42" t="str">
        <f>+IFERROR(VLOOKUP(E775,'DANH MỤC'!$C:$H,3,0),"")</f>
        <v/>
      </c>
      <c r="I775" s="42" t="str">
        <f>+IFERROR(VLOOKUP(E775,'DANH MỤC'!$C:$H,4,0),"")</f>
        <v/>
      </c>
      <c r="J775" s="42">
        <f>+IFERROR(VLOOKUP(E775,'DANH MỤC'!$C:$H,5,0),"")</f>
        <v>1150</v>
      </c>
      <c r="K775" s="53"/>
      <c r="L775" s="58">
        <v>88.0</v>
      </c>
      <c r="M775" s="55"/>
      <c r="N775" s="55"/>
    </row>
    <row r="776" ht="15.75" customHeight="1">
      <c r="A776" s="53">
        <f t="shared" si="1"/>
        <v>771</v>
      </c>
      <c r="B776" s="55" t="s">
        <v>402</v>
      </c>
      <c r="C776" s="41">
        <v>45773.0</v>
      </c>
      <c r="D776" s="42" t="s">
        <v>550</v>
      </c>
      <c r="E776" s="42" t="s">
        <v>123</v>
      </c>
      <c r="F776" s="42" t="str">
        <f>+IFERROR(VLOOKUP(E776,'DANH MỤC'!$C:$H,2,0),"")</f>
        <v>Lưỡi gà trắng 90mm x 800m x 250gsm</v>
      </c>
      <c r="G776" s="42" t="str">
        <f>+IFERROR(VLOOKUP(E776,'DANH MỤC'!$C:$H,6,0),"")</f>
        <v>Cuộn</v>
      </c>
      <c r="H776" s="42">
        <f>+IFERROR(VLOOKUP(E776,'DANH MỤC'!$C:$H,3,0),"")</f>
        <v>250</v>
      </c>
      <c r="I776" s="42">
        <f>+IFERROR(VLOOKUP(E776,'DANH MỤC'!$C:$H,4,0),"")</f>
        <v>90</v>
      </c>
      <c r="J776" s="42">
        <f>+IFERROR(VLOOKUP(E776,'DANH MỤC'!$C:$H,5,0),"")</f>
        <v>800</v>
      </c>
      <c r="K776" s="53">
        <v>1156.0</v>
      </c>
      <c r="L776" s="58"/>
      <c r="M776" s="55"/>
      <c r="N776" s="55"/>
    </row>
    <row r="777" ht="15.75" customHeight="1">
      <c r="A777" s="117">
        <f t="shared" si="1"/>
        <v>772</v>
      </c>
      <c r="B777" s="118"/>
      <c r="C777" s="119">
        <v>45783.0</v>
      </c>
      <c r="D777" s="120" t="s">
        <v>146</v>
      </c>
      <c r="E777" s="120" t="s">
        <v>104</v>
      </c>
      <c r="F777" s="120" t="str">
        <f>+IFERROR(VLOOKUP(E777,'DANH MỤC'!$C:$H,2,0),"")</f>
        <v>Lưỡi gà trắng 95mm x 800m x 210gsm</v>
      </c>
      <c r="G777" s="120" t="str">
        <f>+IFERROR(VLOOKUP(E777,'DANH MỤC'!$C:$H,6,0),"")</f>
        <v>Cuộn</v>
      </c>
      <c r="H777" s="120">
        <f>+IFERROR(VLOOKUP(E777,'DANH MỤC'!$C:$H,3,0),"")</f>
        <v>210</v>
      </c>
      <c r="I777" s="120">
        <f>+IFERROR(VLOOKUP(E777,'DANH MỤC'!$C:$H,4,0),"")</f>
        <v>95</v>
      </c>
      <c r="J777" s="120">
        <f>+IFERROR(VLOOKUP(E777,'DANH MỤC'!$C:$H,5,0),"")</f>
        <v>800</v>
      </c>
      <c r="K777" s="117"/>
      <c r="L777" s="121">
        <v>120.0</v>
      </c>
      <c r="M777" s="118" t="s">
        <v>304</v>
      </c>
      <c r="N777" s="118"/>
    </row>
    <row r="778" ht="15.75" customHeight="1">
      <c r="A778" s="117">
        <f t="shared" si="1"/>
        <v>773</v>
      </c>
      <c r="B778" s="118"/>
      <c r="C778" s="119">
        <v>45783.0</v>
      </c>
      <c r="D778" s="120" t="s">
        <v>146</v>
      </c>
      <c r="E778" s="120" t="s">
        <v>81</v>
      </c>
      <c r="F778" s="120" t="str">
        <f>+IFERROR(VLOOKUP(E778,'DANH MỤC'!$C:$H,2,0),"")</f>
        <v>Lưỡi gà trắng 71mm x 800m x 210gsm</v>
      </c>
      <c r="G778" s="120" t="str">
        <f>+IFERROR(VLOOKUP(E778,'DANH MỤC'!$C:$H,6,0),"")</f>
        <v>Cuộn</v>
      </c>
      <c r="H778" s="120">
        <f>+IFERROR(VLOOKUP(E778,'DANH MỤC'!$C:$H,3,0),"")</f>
        <v>210</v>
      </c>
      <c r="I778" s="120">
        <f>+IFERROR(VLOOKUP(E778,'DANH MỤC'!$C:$H,4,0),"")</f>
        <v>71</v>
      </c>
      <c r="J778" s="120">
        <f>+IFERROR(VLOOKUP(E778,'DANH MỤC'!$C:$H,5,0),"")</f>
        <v>800</v>
      </c>
      <c r="K778" s="117"/>
      <c r="L778" s="121">
        <v>300.0</v>
      </c>
      <c r="M778" s="118" t="s">
        <v>304</v>
      </c>
      <c r="N778" s="118"/>
    </row>
    <row r="779" ht="15.75" customHeight="1">
      <c r="A779" s="117">
        <f t="shared" si="1"/>
        <v>774</v>
      </c>
      <c r="B779" s="118"/>
      <c r="C779" s="119">
        <v>45786.0</v>
      </c>
      <c r="D779" s="120" t="s">
        <v>130</v>
      </c>
      <c r="E779" s="120" t="s">
        <v>104</v>
      </c>
      <c r="F779" s="120" t="str">
        <f>+IFERROR(VLOOKUP(E779,'DANH MỤC'!$C:$H,2,0),"")</f>
        <v>Lưỡi gà trắng 95mm x 800m x 210gsm</v>
      </c>
      <c r="G779" s="120" t="str">
        <f>+IFERROR(VLOOKUP(E779,'DANH MỤC'!$C:$H,6,0),"")</f>
        <v>Cuộn</v>
      </c>
      <c r="H779" s="120">
        <f>+IFERROR(VLOOKUP(E779,'DANH MỤC'!$C:$H,3,0),"")</f>
        <v>210</v>
      </c>
      <c r="I779" s="120">
        <f>+IFERROR(VLOOKUP(E779,'DANH MỤC'!$C:$H,4,0),"")</f>
        <v>95</v>
      </c>
      <c r="J779" s="120">
        <f>+IFERROR(VLOOKUP(E779,'DANH MỤC'!$C:$H,5,0),"")</f>
        <v>800</v>
      </c>
      <c r="K779" s="117"/>
      <c r="L779" s="121">
        <v>520.0</v>
      </c>
      <c r="M779" s="118" t="s">
        <v>131</v>
      </c>
      <c r="N779" s="118"/>
    </row>
    <row r="780" ht="15.75" customHeight="1">
      <c r="A780" s="117">
        <f t="shared" si="1"/>
        <v>775</v>
      </c>
      <c r="B780" s="118"/>
      <c r="C780" s="119">
        <v>45786.0</v>
      </c>
      <c r="D780" s="120" t="s">
        <v>130</v>
      </c>
      <c r="E780" s="120" t="s">
        <v>123</v>
      </c>
      <c r="F780" s="120" t="str">
        <f>+IFERROR(VLOOKUP(E780,'DANH MỤC'!$C:$H,2,0),"")</f>
        <v>Lưỡi gà trắng 90mm x 800m x 250gsm</v>
      </c>
      <c r="G780" s="120" t="str">
        <f>+IFERROR(VLOOKUP(E780,'DANH MỤC'!$C:$H,6,0),"")</f>
        <v>Cuộn</v>
      </c>
      <c r="H780" s="120">
        <f>+IFERROR(VLOOKUP(E780,'DANH MỤC'!$C:$H,3,0),"")</f>
        <v>250</v>
      </c>
      <c r="I780" s="120">
        <f>+IFERROR(VLOOKUP(E780,'DANH MỤC'!$C:$H,4,0),"")</f>
        <v>90</v>
      </c>
      <c r="J780" s="120">
        <f>+IFERROR(VLOOKUP(E780,'DANH MỤC'!$C:$H,5,0),"")</f>
        <v>800</v>
      </c>
      <c r="K780" s="117"/>
      <c r="L780" s="121">
        <v>260.0</v>
      </c>
      <c r="M780" s="118" t="s">
        <v>131</v>
      </c>
      <c r="N780" s="118"/>
    </row>
    <row r="781" ht="15.75" customHeight="1">
      <c r="A781" s="53">
        <f t="shared" si="1"/>
        <v>776</v>
      </c>
      <c r="B781" s="55" t="s">
        <v>404</v>
      </c>
      <c r="C781" s="41">
        <v>45790.0</v>
      </c>
      <c r="D781" s="42" t="s">
        <v>551</v>
      </c>
      <c r="E781" s="42" t="s">
        <v>47</v>
      </c>
      <c r="F781" s="42" t="str">
        <f>+IFERROR(VLOOKUP(E781,'DANH MỤC'!$C:$H,2,0),"")</f>
        <v>Ivory Ningbo</v>
      </c>
      <c r="G781" s="42" t="str">
        <f>+IFERROR(VLOOKUP(E781,'DANH MỤC'!$C:$H,6,0),"")</f>
        <v>Kg</v>
      </c>
      <c r="H781" s="42">
        <f>+IFERROR(VLOOKUP(E781,'DANH MỤC'!$C:$H,3,0),"")</f>
        <v>210</v>
      </c>
      <c r="I781" s="42">
        <f>+IFERROR(VLOOKUP(E781,'DANH MỤC'!$C:$H,4,0),"")</f>
        <v>109</v>
      </c>
      <c r="J781" s="42" t="str">
        <f>+IFERROR(VLOOKUP(E781,'DANH MỤC'!$C:$H,5,0),"")</f>
        <v/>
      </c>
      <c r="K781" s="53"/>
      <c r="L781" s="58">
        <f>20*1030+746-205</f>
        <v>21141</v>
      </c>
      <c r="M781" s="55"/>
      <c r="N781" s="55"/>
    </row>
    <row r="782" ht="15.75" customHeight="1">
      <c r="A782" s="53">
        <f t="shared" si="1"/>
        <v>777</v>
      </c>
      <c r="B782" s="55" t="s">
        <v>404</v>
      </c>
      <c r="C782" s="41">
        <v>45790.0</v>
      </c>
      <c r="D782" s="42" t="s">
        <v>552</v>
      </c>
      <c r="E782" s="42" t="s">
        <v>184</v>
      </c>
      <c r="F782" s="42" t="str">
        <f>+IFERROR(VLOOKUP(E782,'DANH MỤC'!$C:$H,2,0),"")</f>
        <v>Ống lõi giấy phi 120x7x95mm</v>
      </c>
      <c r="G782" s="42" t="str">
        <f>+IFERROR(VLOOKUP(E782,'DANH MỤC'!$C:$H,6,0),"")</f>
        <v>Cái</v>
      </c>
      <c r="H782" s="42">
        <f>+IFERROR(VLOOKUP(E782,'DANH MỤC'!$C:$H,3,0),"")</f>
        <v>120</v>
      </c>
      <c r="I782" s="42">
        <f>+IFERROR(VLOOKUP(E782,'DANH MỤC'!$C:$H,4,0),"")</f>
        <v>70</v>
      </c>
      <c r="J782" s="42">
        <f>+IFERROR(VLOOKUP(E782,'DANH MỤC'!$C:$H,5,0),"")</f>
        <v>95</v>
      </c>
      <c r="K782" s="53"/>
      <c r="L782" s="58">
        <v>1050.0</v>
      </c>
      <c r="M782" s="55"/>
      <c r="N782" s="55"/>
    </row>
    <row r="783" ht="15.75" customHeight="1">
      <c r="A783" s="53">
        <f t="shared" si="1"/>
        <v>778</v>
      </c>
      <c r="B783" s="55" t="s">
        <v>404</v>
      </c>
      <c r="C783" s="41">
        <v>45790.0</v>
      </c>
      <c r="D783" s="42" t="s">
        <v>552</v>
      </c>
      <c r="E783" s="42" t="s">
        <v>182</v>
      </c>
      <c r="F783" s="42" t="str">
        <f>+IFERROR(VLOOKUP(E783,'DANH MỤC'!$C:$H,2,0),"")</f>
        <v>Ống lõi giấy phi 120x7x71mm</v>
      </c>
      <c r="G783" s="42" t="str">
        <f>+IFERROR(VLOOKUP(E783,'DANH MỤC'!$C:$H,6,0),"")</f>
        <v>Cái</v>
      </c>
      <c r="H783" s="42">
        <f>+IFERROR(VLOOKUP(E783,'DANH MỤC'!$C:$H,3,0),"")</f>
        <v>120</v>
      </c>
      <c r="I783" s="42">
        <f>+IFERROR(VLOOKUP(E783,'DANH MỤC'!$C:$H,4,0),"")</f>
        <v>70</v>
      </c>
      <c r="J783" s="42">
        <f>+IFERROR(VLOOKUP(E783,'DANH MỤC'!$C:$H,5,0),"")</f>
        <v>71</v>
      </c>
      <c r="K783" s="53"/>
      <c r="L783" s="58">
        <v>350.0</v>
      </c>
      <c r="M783" s="55"/>
      <c r="N783" s="55"/>
    </row>
    <row r="784" ht="15.75" customHeight="1">
      <c r="A784" s="53">
        <f t="shared" si="1"/>
        <v>779</v>
      </c>
      <c r="B784" s="55" t="s">
        <v>404</v>
      </c>
      <c r="C784" s="41">
        <v>45790.0</v>
      </c>
      <c r="D784" s="42" t="s">
        <v>552</v>
      </c>
      <c r="E784" s="42" t="s">
        <v>127</v>
      </c>
      <c r="F784" s="42" t="str">
        <f>+IFERROR(VLOOKUP(E784,'DANH MỤC'!$C:$H,2,0),"")</f>
        <v>Pallet gỗ 1100x1100x130mm</v>
      </c>
      <c r="G784" s="42" t="str">
        <f>+IFERROR(VLOOKUP(E784,'DANH MỤC'!$C:$H,6,0),"")</f>
        <v>Bộ</v>
      </c>
      <c r="H784" s="42">
        <f>+IFERROR(VLOOKUP(E784,'DANH MỤC'!$C:$H,3,0),"")</f>
        <v>1100</v>
      </c>
      <c r="I784" s="42">
        <f>+IFERROR(VLOOKUP(E784,'DANH MỤC'!$C:$H,4,0),"")</f>
        <v>1100</v>
      </c>
      <c r="J784" s="42">
        <f>+IFERROR(VLOOKUP(E784,'DANH MỤC'!$C:$H,5,0),"")</f>
        <v>130</v>
      </c>
      <c r="K784" s="53"/>
      <c r="L784" s="58">
        <v>24.0</v>
      </c>
      <c r="M784" s="55"/>
      <c r="N784" s="55"/>
    </row>
    <row r="785" ht="15.75" customHeight="1">
      <c r="A785" s="53">
        <f t="shared" si="1"/>
        <v>780</v>
      </c>
      <c r="B785" s="55" t="s">
        <v>404</v>
      </c>
      <c r="C785" s="41">
        <v>45790.0</v>
      </c>
      <c r="D785" s="42" t="s">
        <v>552</v>
      </c>
      <c r="E785" s="42" t="s">
        <v>96</v>
      </c>
      <c r="F785" s="42" t="str">
        <f>+IFERROR(VLOOKUP(E785,'DANH MỤC'!$C:$H,2,0),"")</f>
        <v>Giấy bao gói lưỡi gà</v>
      </c>
      <c r="G785" s="42" t="str">
        <f>+IFERROR(VLOOKUP(E785,'DANH MỤC'!$C:$H,6,0),"")</f>
        <v>Kg</v>
      </c>
      <c r="H785" s="42" t="str">
        <f>+IFERROR(VLOOKUP(E785,'DANH MỤC'!$C:$H,3,0),"")</f>
        <v/>
      </c>
      <c r="I785" s="42" t="str">
        <f>+IFERROR(VLOOKUP(E785,'DANH MỤC'!$C:$H,4,0),"")</f>
        <v/>
      </c>
      <c r="J785" s="42" t="str">
        <f>+IFERROR(VLOOKUP(E785,'DANH MỤC'!$C:$H,5,0),"")</f>
        <v/>
      </c>
      <c r="K785" s="53"/>
      <c r="L785" s="58">
        <v>18.88</v>
      </c>
      <c r="M785" s="55"/>
      <c r="N785" s="55"/>
    </row>
    <row r="786" ht="15.75" customHeight="1">
      <c r="A786" s="53">
        <f t="shared" si="1"/>
        <v>781</v>
      </c>
      <c r="B786" s="55" t="s">
        <v>404</v>
      </c>
      <c r="C786" s="41">
        <v>45790.0</v>
      </c>
      <c r="D786" s="42" t="s">
        <v>552</v>
      </c>
      <c r="E786" s="42" t="s">
        <v>112</v>
      </c>
      <c r="F786" s="42" t="str">
        <f>+IFERROR(VLOOKUP(E786,'DANH MỤC'!$C:$H,2,0),"")</f>
        <v>Dây đai PET xanh (B)</v>
      </c>
      <c r="G786" s="42" t="str">
        <f>+IFERROR(VLOOKUP(E786,'DANH MỤC'!$C:$H,6,0),"")</f>
        <v>Kg</v>
      </c>
      <c r="H786" s="42" t="str">
        <f>+IFERROR(VLOOKUP(E786,'DANH MỤC'!$C:$H,3,0),"")</f>
        <v/>
      </c>
      <c r="I786" s="42" t="str">
        <f>+IFERROR(VLOOKUP(E786,'DANH MỤC'!$C:$H,4,0),"")</f>
        <v/>
      </c>
      <c r="J786" s="42" t="str">
        <f>+IFERROR(VLOOKUP(E786,'DANH MỤC'!$C:$H,5,0),"")</f>
        <v/>
      </c>
      <c r="K786" s="53"/>
      <c r="L786" s="58">
        <v>27.32</v>
      </c>
      <c r="M786" s="55"/>
      <c r="N786" s="55"/>
    </row>
    <row r="787" ht="15.75" customHeight="1">
      <c r="A787" s="53">
        <f t="shared" si="1"/>
        <v>782</v>
      </c>
      <c r="B787" s="55" t="s">
        <v>404</v>
      </c>
      <c r="C787" s="41">
        <v>45790.0</v>
      </c>
      <c r="D787" s="42" t="s">
        <v>552</v>
      </c>
      <c r="E787" s="42" t="s">
        <v>115</v>
      </c>
      <c r="F787" s="42" t="str">
        <f>+IFERROR(VLOOKUP(E787,'DANH MỤC'!$C:$H,2,0),"")</f>
        <v>Màng Strecth Film 5.0-0.6kg</v>
      </c>
      <c r="G787" s="42" t="str">
        <f>+IFERROR(VLOOKUP(E787,'DANH MỤC'!$C:$H,6,0),"")</f>
        <v>Kg</v>
      </c>
      <c r="H787" s="42" t="str">
        <f>+IFERROR(VLOOKUP(E787,'DANH MỤC'!$C:$H,3,0),"")</f>
        <v/>
      </c>
      <c r="I787" s="42" t="str">
        <f>+IFERROR(VLOOKUP(E787,'DANH MỤC'!$C:$H,4,0),"")</f>
        <v/>
      </c>
      <c r="J787" s="42" t="str">
        <f>+IFERROR(VLOOKUP(E787,'DANH MỤC'!$C:$H,5,0),"")</f>
        <v/>
      </c>
      <c r="K787" s="53"/>
      <c r="L787" s="58">
        <v>16.15</v>
      </c>
      <c r="M787" s="55"/>
      <c r="N787" s="55"/>
    </row>
    <row r="788" ht="15.75" customHeight="1">
      <c r="A788" s="53">
        <f t="shared" si="1"/>
        <v>783</v>
      </c>
      <c r="B788" s="55" t="s">
        <v>404</v>
      </c>
      <c r="C788" s="41">
        <v>45790.0</v>
      </c>
      <c r="D788" s="42" t="s">
        <v>552</v>
      </c>
      <c r="E788" s="42" t="s">
        <v>156</v>
      </c>
      <c r="F788" s="42" t="str">
        <f>+IFERROR(VLOOKUP(E788,'DANH MỤC'!$C:$H,2,0),"")</f>
        <v>Nẹp gỗ pallet dài 1.15m</v>
      </c>
      <c r="G788" s="42" t="str">
        <f>+IFERROR(VLOOKUP(E788,'DANH MỤC'!$C:$H,6,0),"")</f>
        <v>Cái</v>
      </c>
      <c r="H788" s="42" t="str">
        <f>+IFERROR(VLOOKUP(E788,'DANH MỤC'!$C:$H,3,0),"")</f>
        <v/>
      </c>
      <c r="I788" s="42" t="str">
        <f>+IFERROR(VLOOKUP(E788,'DANH MỤC'!$C:$H,4,0),"")</f>
        <v/>
      </c>
      <c r="J788" s="42">
        <f>+IFERROR(VLOOKUP(E788,'DANH MỤC'!$C:$H,5,0),"")</f>
        <v>1150</v>
      </c>
      <c r="K788" s="53"/>
      <c r="L788" s="58">
        <v>64.0</v>
      </c>
      <c r="M788" s="55"/>
      <c r="N788" s="55"/>
    </row>
    <row r="789" ht="15.75" customHeight="1">
      <c r="A789" s="53">
        <f t="shared" si="1"/>
        <v>784</v>
      </c>
      <c r="B789" s="55" t="s">
        <v>404</v>
      </c>
      <c r="C789" s="41">
        <v>45790.0</v>
      </c>
      <c r="D789" s="42" t="s">
        <v>553</v>
      </c>
      <c r="E789" s="42" t="s">
        <v>104</v>
      </c>
      <c r="F789" s="42" t="str">
        <f>+IFERROR(VLOOKUP(E789,'DANH MỤC'!$C:$H,2,0),"")</f>
        <v>Lưỡi gà trắng 95mm x 800m x 210gsm</v>
      </c>
      <c r="G789" s="42" t="str">
        <f>+IFERROR(VLOOKUP(E789,'DANH MỤC'!$C:$H,6,0),"")</f>
        <v>Cuộn</v>
      </c>
      <c r="H789" s="42">
        <f>+IFERROR(VLOOKUP(E789,'DANH MỤC'!$C:$H,3,0),"")</f>
        <v>210</v>
      </c>
      <c r="I789" s="42">
        <f>+IFERROR(VLOOKUP(E789,'DANH MỤC'!$C:$H,4,0),"")</f>
        <v>95</v>
      </c>
      <c r="J789" s="42">
        <f>+IFERROR(VLOOKUP(E789,'DANH MỤC'!$C:$H,5,0),"")</f>
        <v>800</v>
      </c>
      <c r="K789" s="53">
        <f>1035-4</f>
        <v>1031</v>
      </c>
      <c r="L789" s="58"/>
      <c r="M789" s="55"/>
      <c r="N789" s="55"/>
    </row>
    <row r="790" ht="15.75" customHeight="1">
      <c r="A790" s="53">
        <f t="shared" si="1"/>
        <v>785</v>
      </c>
      <c r="B790" s="55" t="s">
        <v>404</v>
      </c>
      <c r="C790" s="41">
        <v>45790.0</v>
      </c>
      <c r="D790" s="42" t="s">
        <v>553</v>
      </c>
      <c r="E790" s="42" t="s">
        <v>81</v>
      </c>
      <c r="F790" s="42" t="str">
        <f>+IFERROR(VLOOKUP(E790,'DANH MỤC'!$C:$H,2,0),"")</f>
        <v>Lưỡi gà trắng 71mm x 800m x 210gsm</v>
      </c>
      <c r="G790" s="42" t="str">
        <f>+IFERROR(VLOOKUP(E790,'DANH MỤC'!$C:$H,6,0),"")</f>
        <v>Cuộn</v>
      </c>
      <c r="H790" s="42">
        <f>+IFERROR(VLOOKUP(E790,'DANH MỤC'!$C:$H,3,0),"")</f>
        <v>210</v>
      </c>
      <c r="I790" s="42">
        <f>+IFERROR(VLOOKUP(E790,'DANH MỤC'!$C:$H,4,0),"")</f>
        <v>71</v>
      </c>
      <c r="J790" s="42">
        <f>+IFERROR(VLOOKUP(E790,'DANH MỤC'!$C:$H,5,0),"")</f>
        <v>800</v>
      </c>
      <c r="K790" s="53">
        <f>345-5</f>
        <v>340</v>
      </c>
      <c r="L790" s="58"/>
      <c r="M790" s="55"/>
      <c r="N790" s="55"/>
    </row>
    <row r="791" ht="15.75" customHeight="1">
      <c r="A791" s="53">
        <f t="shared" si="1"/>
        <v>786</v>
      </c>
      <c r="B791" s="55"/>
      <c r="C791" s="41">
        <v>45790.0</v>
      </c>
      <c r="D791" s="42" t="s">
        <v>554</v>
      </c>
      <c r="E791" s="42" t="s">
        <v>96</v>
      </c>
      <c r="F791" s="42" t="str">
        <f>+IFERROR(VLOOKUP(E791,'DANH MỤC'!$C:$H,2,0),"")</f>
        <v>Giấy bao gói lưỡi gà</v>
      </c>
      <c r="G791" s="42" t="str">
        <f>+IFERROR(VLOOKUP(E791,'DANH MỤC'!$C:$H,6,0),"")</f>
        <v>Kg</v>
      </c>
      <c r="H791" s="42" t="str">
        <f>+IFERROR(VLOOKUP(E791,'DANH MỤC'!$C:$H,3,0),"")</f>
        <v/>
      </c>
      <c r="I791" s="42" t="str">
        <f>+IFERROR(VLOOKUP(E791,'DANH MỤC'!$C:$H,4,0),"")</f>
        <v/>
      </c>
      <c r="J791" s="42" t="str">
        <f>+IFERROR(VLOOKUP(E791,'DANH MỤC'!$C:$H,5,0),"")</f>
        <v/>
      </c>
      <c r="K791" s="53"/>
      <c r="L791" s="58">
        <v>0.06</v>
      </c>
      <c r="M791" s="55"/>
      <c r="N791" s="55"/>
    </row>
    <row r="792" ht="15.75" customHeight="1">
      <c r="A792" s="53">
        <f t="shared" si="1"/>
        <v>787</v>
      </c>
      <c r="B792" s="55"/>
      <c r="C792" s="41">
        <v>45790.0</v>
      </c>
      <c r="D792" s="42" t="s">
        <v>319</v>
      </c>
      <c r="E792" s="42" t="s">
        <v>104</v>
      </c>
      <c r="F792" s="42" t="str">
        <f>+IFERROR(VLOOKUP(E792,'DANH MỤC'!$C:$H,2,0),"")</f>
        <v>Lưỡi gà trắng 95mm x 800m x 210gsm</v>
      </c>
      <c r="G792" s="42" t="str">
        <f>+IFERROR(VLOOKUP(E792,'DANH MỤC'!$C:$H,6,0),"")</f>
        <v>Cuộn</v>
      </c>
      <c r="H792" s="42">
        <f>+IFERROR(VLOOKUP(E792,'DANH MỤC'!$C:$H,3,0),"")</f>
        <v>210</v>
      </c>
      <c r="I792" s="42">
        <f>+IFERROR(VLOOKUP(E792,'DANH MỤC'!$C:$H,4,0),"")</f>
        <v>95</v>
      </c>
      <c r="J792" s="42">
        <f>+IFERROR(VLOOKUP(E792,'DANH MỤC'!$C:$H,5,0),"")</f>
        <v>800</v>
      </c>
      <c r="K792" s="53">
        <v>4.0</v>
      </c>
      <c r="L792" s="58"/>
      <c r="M792" s="55" t="s">
        <v>555</v>
      </c>
      <c r="N792" s="55"/>
    </row>
    <row r="793" ht="15.75" customHeight="1">
      <c r="A793" s="53">
        <f t="shared" si="1"/>
        <v>788</v>
      </c>
      <c r="B793" s="55"/>
      <c r="C793" s="41">
        <v>45790.0</v>
      </c>
      <c r="D793" s="42" t="s">
        <v>556</v>
      </c>
      <c r="E793" s="42" t="s">
        <v>96</v>
      </c>
      <c r="F793" s="42" t="str">
        <f>+IFERROR(VLOOKUP(E793,'DANH MỤC'!$C:$H,2,0),"")</f>
        <v>Giấy bao gói lưỡi gà</v>
      </c>
      <c r="G793" s="42" t="str">
        <f>+IFERROR(VLOOKUP(E793,'DANH MỤC'!$C:$H,6,0),"")</f>
        <v>Kg</v>
      </c>
      <c r="H793" s="42" t="str">
        <f>+IFERROR(VLOOKUP(E793,'DANH MỤC'!$C:$H,3,0),"")</f>
        <v/>
      </c>
      <c r="I793" s="42" t="str">
        <f>+IFERROR(VLOOKUP(E793,'DANH MỤC'!$C:$H,4,0),"")</f>
        <v/>
      </c>
      <c r="J793" s="42" t="str">
        <f>+IFERROR(VLOOKUP(E793,'DANH MỤC'!$C:$H,5,0),"")</f>
        <v/>
      </c>
      <c r="K793" s="53"/>
      <c r="L793" s="58">
        <v>0.05</v>
      </c>
      <c r="M793" s="55"/>
      <c r="N793" s="55"/>
    </row>
    <row r="794" ht="15.75" customHeight="1">
      <c r="A794" s="53">
        <f t="shared" si="1"/>
        <v>789</v>
      </c>
      <c r="B794" s="55"/>
      <c r="C794" s="41">
        <v>45790.0</v>
      </c>
      <c r="D794" s="42" t="s">
        <v>319</v>
      </c>
      <c r="E794" s="42" t="s">
        <v>81</v>
      </c>
      <c r="F794" s="42" t="str">
        <f>+IFERROR(VLOOKUP(E794,'DANH MỤC'!$C:$H,2,0),"")</f>
        <v>Lưỡi gà trắng 71mm x 800m x 210gsm</v>
      </c>
      <c r="G794" s="42" t="str">
        <f>+IFERROR(VLOOKUP(E794,'DANH MỤC'!$C:$H,6,0),"")</f>
        <v>Cuộn</v>
      </c>
      <c r="H794" s="42">
        <f>+IFERROR(VLOOKUP(E794,'DANH MỤC'!$C:$H,3,0),"")</f>
        <v>210</v>
      </c>
      <c r="I794" s="42">
        <f>+IFERROR(VLOOKUP(E794,'DANH MỤC'!$C:$H,4,0),"")</f>
        <v>71</v>
      </c>
      <c r="J794" s="42">
        <f>+IFERROR(VLOOKUP(E794,'DANH MỤC'!$C:$H,5,0),"")</f>
        <v>800</v>
      </c>
      <c r="K794" s="53">
        <v>5.0</v>
      </c>
      <c r="L794" s="58"/>
      <c r="M794" s="55" t="s">
        <v>557</v>
      </c>
      <c r="N794" s="55"/>
    </row>
    <row r="795" ht="15.75" customHeight="1">
      <c r="A795" s="53">
        <f t="shared" si="1"/>
        <v>790</v>
      </c>
      <c r="B795" s="55"/>
      <c r="C795" s="41">
        <v>45792.0</v>
      </c>
      <c r="D795" s="42" t="s">
        <v>95</v>
      </c>
      <c r="E795" s="42" t="s">
        <v>115</v>
      </c>
      <c r="F795" s="42" t="str">
        <f>+IFERROR(VLOOKUP(E795,'DANH MỤC'!$C:$H,2,0),"")</f>
        <v>Màng Strecth Film 5.0-0.6kg</v>
      </c>
      <c r="G795" s="42" t="str">
        <f>+IFERROR(VLOOKUP(E795,'DANH MỤC'!$C:$H,6,0),"")</f>
        <v>Kg</v>
      </c>
      <c r="H795" s="42" t="str">
        <f>+IFERROR(VLOOKUP(E795,'DANH MỤC'!$C:$H,3,0),"")</f>
        <v/>
      </c>
      <c r="I795" s="42" t="str">
        <f>+IFERROR(VLOOKUP(E795,'DANH MỤC'!$C:$H,4,0),"")</f>
        <v/>
      </c>
      <c r="J795" s="42" t="str">
        <f>+IFERROR(VLOOKUP(E795,'DANH MỤC'!$C:$H,5,0),"")</f>
        <v/>
      </c>
      <c r="K795" s="53">
        <f>25*4.4</f>
        <v>110</v>
      </c>
      <c r="L795" s="58"/>
      <c r="M795" s="55"/>
      <c r="N795" s="55"/>
    </row>
    <row r="796" ht="15.75" customHeight="1">
      <c r="A796" s="117">
        <f t="shared" si="1"/>
        <v>791</v>
      </c>
      <c r="B796" s="118"/>
      <c r="C796" s="119">
        <v>45792.0</v>
      </c>
      <c r="D796" s="120" t="s">
        <v>130</v>
      </c>
      <c r="E796" s="120" t="s">
        <v>104</v>
      </c>
      <c r="F796" s="120" t="str">
        <f>+IFERROR(VLOOKUP(E796,'DANH MỤC'!$C:$H,2,0),"")</f>
        <v>Lưỡi gà trắng 95mm x 800m x 210gsm</v>
      </c>
      <c r="G796" s="120" t="str">
        <f>+IFERROR(VLOOKUP(E796,'DANH MỤC'!$C:$H,6,0),"")</f>
        <v>Cuộn</v>
      </c>
      <c r="H796" s="120">
        <f>+IFERROR(VLOOKUP(E796,'DANH MỤC'!$C:$H,3,0),"")</f>
        <v>210</v>
      </c>
      <c r="I796" s="120">
        <f>+IFERROR(VLOOKUP(E796,'DANH MỤC'!$C:$H,4,0),"")</f>
        <v>95</v>
      </c>
      <c r="J796" s="120">
        <f>+IFERROR(VLOOKUP(E796,'DANH MỤC'!$C:$H,5,0),"")</f>
        <v>800</v>
      </c>
      <c r="K796" s="117"/>
      <c r="L796" s="117">
        <f>6*52</f>
        <v>312</v>
      </c>
      <c r="M796" s="118" t="s">
        <v>131</v>
      </c>
      <c r="N796" s="118"/>
    </row>
    <row r="797" ht="15.75" customHeight="1">
      <c r="A797" s="117">
        <f t="shared" si="1"/>
        <v>792</v>
      </c>
      <c r="B797" s="118"/>
      <c r="C797" s="119">
        <v>45792.0</v>
      </c>
      <c r="D797" s="120" t="s">
        <v>130</v>
      </c>
      <c r="E797" s="120" t="s">
        <v>123</v>
      </c>
      <c r="F797" s="120" t="str">
        <f>+IFERROR(VLOOKUP(E797,'DANH MỤC'!$C:$H,2,0),"")</f>
        <v>Lưỡi gà trắng 90mm x 800m x 250gsm</v>
      </c>
      <c r="G797" s="120" t="str">
        <f>+IFERROR(VLOOKUP(E797,'DANH MỤC'!$C:$H,6,0),"")</f>
        <v>Cuộn</v>
      </c>
      <c r="H797" s="120">
        <f>+IFERROR(VLOOKUP(E797,'DANH MỤC'!$C:$H,3,0),"")</f>
        <v>250</v>
      </c>
      <c r="I797" s="120">
        <f>+IFERROR(VLOOKUP(E797,'DANH MỤC'!$C:$H,4,0),"")</f>
        <v>90</v>
      </c>
      <c r="J797" s="120">
        <f>+IFERROR(VLOOKUP(E797,'DANH MỤC'!$C:$H,5,0),"")</f>
        <v>800</v>
      </c>
      <c r="K797" s="117"/>
      <c r="L797" s="117">
        <f>7*52</f>
        <v>364</v>
      </c>
      <c r="M797" s="118" t="s">
        <v>131</v>
      </c>
      <c r="N797" s="118"/>
    </row>
    <row r="798" ht="15.75" customHeight="1">
      <c r="A798" s="117">
        <f t="shared" si="1"/>
        <v>793</v>
      </c>
      <c r="B798" s="118"/>
      <c r="C798" s="119">
        <v>45793.0</v>
      </c>
      <c r="D798" s="120" t="s">
        <v>146</v>
      </c>
      <c r="E798" s="120" t="s">
        <v>104</v>
      </c>
      <c r="F798" s="120" t="str">
        <f>+IFERROR(VLOOKUP(E798,'DANH MỤC'!$C:$H,2,0),"")</f>
        <v>Lưỡi gà trắng 95mm x 800m x 210gsm</v>
      </c>
      <c r="G798" s="120" t="str">
        <f>+IFERROR(VLOOKUP(E798,'DANH MỤC'!$C:$H,6,0),"")</f>
        <v>Cuộn</v>
      </c>
      <c r="H798" s="120">
        <f>+IFERROR(VLOOKUP(E798,'DANH MỤC'!$C:$H,3,0),"")</f>
        <v>210</v>
      </c>
      <c r="I798" s="120">
        <f>+IFERROR(VLOOKUP(E798,'DANH MỤC'!$C:$H,4,0),"")</f>
        <v>95</v>
      </c>
      <c r="J798" s="120">
        <f>+IFERROR(VLOOKUP(E798,'DANH MỤC'!$C:$H,5,0),"")</f>
        <v>800</v>
      </c>
      <c r="K798" s="117"/>
      <c r="L798" s="117">
        <v>60.0</v>
      </c>
      <c r="M798" s="118" t="s">
        <v>304</v>
      </c>
      <c r="N798" s="118"/>
    </row>
    <row r="799" ht="15.75" customHeight="1">
      <c r="A799" s="117">
        <f t="shared" si="1"/>
        <v>794</v>
      </c>
      <c r="B799" s="118"/>
      <c r="C799" s="119">
        <v>45793.0</v>
      </c>
      <c r="D799" s="120" t="s">
        <v>146</v>
      </c>
      <c r="E799" s="120" t="s">
        <v>81</v>
      </c>
      <c r="F799" s="120" t="str">
        <f>+IFERROR(VLOOKUP(E799,'DANH MỤC'!$C:$H,2,0),"")</f>
        <v>Lưỡi gà trắng 71mm x 800m x 210gsm</v>
      </c>
      <c r="G799" s="120" t="str">
        <f>+IFERROR(VLOOKUP(E799,'DANH MỤC'!$C:$H,6,0),"")</f>
        <v>Cuộn</v>
      </c>
      <c r="H799" s="120">
        <f>+IFERROR(VLOOKUP(E799,'DANH MỤC'!$C:$H,3,0),"")</f>
        <v>210</v>
      </c>
      <c r="I799" s="120">
        <f>+IFERROR(VLOOKUP(E799,'DANH MỤC'!$C:$H,4,0),"")</f>
        <v>71</v>
      </c>
      <c r="J799" s="120">
        <f>+IFERROR(VLOOKUP(E799,'DANH MỤC'!$C:$H,5,0),"")</f>
        <v>800</v>
      </c>
      <c r="K799" s="117"/>
      <c r="L799" s="117">
        <v>360.0</v>
      </c>
      <c r="M799" s="118" t="s">
        <v>304</v>
      </c>
      <c r="N799" s="118"/>
    </row>
    <row r="800" ht="15.75" customHeight="1">
      <c r="A800" s="117">
        <f t="shared" si="1"/>
        <v>795</v>
      </c>
      <c r="B800" s="118"/>
      <c r="C800" s="119">
        <v>45798.0</v>
      </c>
      <c r="D800" s="120" t="s">
        <v>215</v>
      </c>
      <c r="E800" s="120" t="s">
        <v>113</v>
      </c>
      <c r="F800" s="120" t="str">
        <f>+IFERROR(VLOOKUP(E800,'DANH MỤC'!$C:$H,2,0),"")</f>
        <v>Lưỡi gà trắng 95mm x 800m x 230gsm</v>
      </c>
      <c r="G800" s="120" t="str">
        <f>+IFERROR(VLOOKUP(E800,'DANH MỤC'!$C:$H,6,0),"")</f>
        <v>Cuộn</v>
      </c>
      <c r="H800" s="120">
        <f>+IFERROR(VLOOKUP(E800,'DANH MỤC'!$C:$H,3,0),"")</f>
        <v>230</v>
      </c>
      <c r="I800" s="120">
        <f>+IFERROR(VLOOKUP(E800,'DANH MỤC'!$C:$H,4,0),"")</f>
        <v>95</v>
      </c>
      <c r="J800" s="120">
        <f>+IFERROR(VLOOKUP(E800,'DANH MỤC'!$C:$H,5,0),"")</f>
        <v>800</v>
      </c>
      <c r="K800" s="117"/>
      <c r="L800" s="121">
        <v>300.0</v>
      </c>
      <c r="M800" s="118" t="s">
        <v>452</v>
      </c>
      <c r="N800" s="118"/>
    </row>
    <row r="801" ht="15.75" customHeight="1">
      <c r="A801" s="53">
        <f t="shared" si="1"/>
        <v>796</v>
      </c>
      <c r="B801" s="55" t="s">
        <v>409</v>
      </c>
      <c r="C801" s="41">
        <v>45800.0</v>
      </c>
      <c r="D801" s="42" t="s">
        <v>558</v>
      </c>
      <c r="E801" s="42" t="s">
        <v>189</v>
      </c>
      <c r="F801" s="42" t="str">
        <f>+IFERROR(VLOOKUP(E801,'DANH MỤC'!$C:$H,2,0),"")</f>
        <v>Ivory Ningbo</v>
      </c>
      <c r="G801" s="42" t="str">
        <f>+IFERROR(VLOOKUP(E801,'DANH MỤC'!$C:$H,6,0),"")</f>
        <v>Kg</v>
      </c>
      <c r="H801" s="42">
        <f>+IFERROR(VLOOKUP(E801,'DANH MỤC'!$C:$H,3,0),"")</f>
        <v>230</v>
      </c>
      <c r="I801" s="42">
        <f>+IFERROR(VLOOKUP(E801,'DANH MỤC'!$C:$H,4,0),"")</f>
        <v>109</v>
      </c>
      <c r="J801" s="42" t="str">
        <f>+IFERROR(VLOOKUP(E801,'DANH MỤC'!$C:$H,5,0),"")</f>
        <v/>
      </c>
      <c r="K801" s="53"/>
      <c r="L801" s="58">
        <f>20*990+755-465</f>
        <v>20090</v>
      </c>
      <c r="M801" s="55"/>
      <c r="N801" s="55"/>
    </row>
    <row r="802" ht="15.75" customHeight="1">
      <c r="A802" s="53">
        <f t="shared" si="1"/>
        <v>797</v>
      </c>
      <c r="B802" s="55" t="s">
        <v>409</v>
      </c>
      <c r="C802" s="41">
        <v>45800.0</v>
      </c>
      <c r="D802" s="42" t="s">
        <v>559</v>
      </c>
      <c r="E802" s="42" t="s">
        <v>184</v>
      </c>
      <c r="F802" s="42" t="str">
        <f>+IFERROR(VLOOKUP(E802,'DANH MỤC'!$C:$H,2,0),"")</f>
        <v>Ống lõi giấy phi 120x7x95mm</v>
      </c>
      <c r="G802" s="42" t="str">
        <f>+IFERROR(VLOOKUP(E802,'DANH MỤC'!$C:$H,6,0),"")</f>
        <v>Cái</v>
      </c>
      <c r="H802" s="42">
        <f>+IFERROR(VLOOKUP(E802,'DANH MỤC'!$C:$H,3,0),"")</f>
        <v>120</v>
      </c>
      <c r="I802" s="42">
        <f>+IFERROR(VLOOKUP(E802,'DANH MỤC'!$C:$H,4,0),"")</f>
        <v>70</v>
      </c>
      <c r="J802" s="42">
        <f>+IFERROR(VLOOKUP(E802,'DANH MỤC'!$C:$H,5,0),"")</f>
        <v>95</v>
      </c>
      <c r="K802" s="53"/>
      <c r="L802" s="58">
        <v>608.0</v>
      </c>
      <c r="M802" s="55"/>
      <c r="N802" s="55"/>
    </row>
    <row r="803" ht="15.75" customHeight="1">
      <c r="A803" s="53">
        <f t="shared" si="1"/>
        <v>798</v>
      </c>
      <c r="B803" s="55" t="s">
        <v>409</v>
      </c>
      <c r="C803" s="41">
        <v>45800.0</v>
      </c>
      <c r="D803" s="42" t="s">
        <v>559</v>
      </c>
      <c r="E803" s="42" t="s">
        <v>204</v>
      </c>
      <c r="F803" s="42" t="str">
        <f>+IFERROR(VLOOKUP(E803,'DANH MỤC'!$C:$H,2,0),"")</f>
        <v>Ống lõi giấy phi 120x7x98mm</v>
      </c>
      <c r="G803" s="42" t="str">
        <f>+IFERROR(VLOOKUP(E803,'DANH MỤC'!$C:$H,6,0),"")</f>
        <v>Cái</v>
      </c>
      <c r="H803" s="42">
        <f>+IFERROR(VLOOKUP(E803,'DANH MỤC'!$C:$H,3,0),"")</f>
        <v>120</v>
      </c>
      <c r="I803" s="42">
        <f>+IFERROR(VLOOKUP(E803,'DANH MỤC'!$C:$H,4,0),"")</f>
        <v>70</v>
      </c>
      <c r="J803" s="42">
        <f>+IFERROR(VLOOKUP(E803,'DANH MỤC'!$C:$H,5,0),"")</f>
        <v>98</v>
      </c>
      <c r="K803" s="53"/>
      <c r="L803" s="58">
        <v>507.0</v>
      </c>
      <c r="M803" s="55"/>
      <c r="N803" s="55"/>
    </row>
    <row r="804" ht="15.75" customHeight="1">
      <c r="A804" s="53">
        <f t="shared" si="1"/>
        <v>799</v>
      </c>
      <c r="B804" s="55" t="s">
        <v>409</v>
      </c>
      <c r="C804" s="41">
        <v>45800.0</v>
      </c>
      <c r="D804" s="42" t="s">
        <v>559</v>
      </c>
      <c r="E804" s="42" t="s">
        <v>107</v>
      </c>
      <c r="F804" s="42" t="str">
        <f>+IFERROR(VLOOKUP(E804,'DANH MỤC'!$C:$H,2,0),"")</f>
        <v>Pallet gỗ 1200x1200x130mm</v>
      </c>
      <c r="G804" s="42" t="str">
        <f>+IFERROR(VLOOKUP(E804,'DANH MỤC'!$C:$H,6,0),"")</f>
        <v>Bộ</v>
      </c>
      <c r="H804" s="42">
        <f>+IFERROR(VLOOKUP(E804,'DANH MỤC'!$C:$H,3,0),"")</f>
        <v>1200</v>
      </c>
      <c r="I804" s="42">
        <f>+IFERROR(VLOOKUP(E804,'DANH MỤC'!$C:$H,4,0),"")</f>
        <v>1200</v>
      </c>
      <c r="J804" s="42">
        <f>+IFERROR(VLOOKUP(E804,'DANH MỤC'!$C:$H,5,0),"")</f>
        <v>130</v>
      </c>
      <c r="K804" s="53"/>
      <c r="L804" s="58">
        <v>19.0</v>
      </c>
      <c r="M804" s="55"/>
      <c r="N804" s="55"/>
    </row>
    <row r="805" ht="15.75" customHeight="1">
      <c r="A805" s="53">
        <f t="shared" si="1"/>
        <v>800</v>
      </c>
      <c r="B805" s="55" t="s">
        <v>409</v>
      </c>
      <c r="C805" s="41">
        <v>45800.0</v>
      </c>
      <c r="D805" s="42" t="s">
        <v>559</v>
      </c>
      <c r="E805" s="42" t="s">
        <v>96</v>
      </c>
      <c r="F805" s="42" t="str">
        <f>+IFERROR(VLOOKUP(E805,'DANH MỤC'!$C:$H,2,0),"")</f>
        <v>Giấy bao gói lưỡi gà</v>
      </c>
      <c r="G805" s="42" t="str">
        <f>+IFERROR(VLOOKUP(E805,'DANH MỤC'!$C:$H,6,0),"")</f>
        <v>Kg</v>
      </c>
      <c r="H805" s="42" t="str">
        <f>+IFERROR(VLOOKUP(E805,'DANH MỤC'!$C:$H,3,0),"")</f>
        <v/>
      </c>
      <c r="I805" s="42" t="str">
        <f>+IFERROR(VLOOKUP(E805,'DANH MỤC'!$C:$H,4,0),"")</f>
        <v/>
      </c>
      <c r="J805" s="42" t="str">
        <f>+IFERROR(VLOOKUP(E805,'DANH MỤC'!$C:$H,5,0),"")</f>
        <v/>
      </c>
      <c r="K805" s="53"/>
      <c r="L805" s="58">
        <v>16.13</v>
      </c>
      <c r="M805" s="55"/>
      <c r="N805" s="55"/>
    </row>
    <row r="806" ht="15.75" customHeight="1">
      <c r="A806" s="53">
        <f t="shared" si="1"/>
        <v>801</v>
      </c>
      <c r="B806" s="55" t="s">
        <v>409</v>
      </c>
      <c r="C806" s="41">
        <v>45800.0</v>
      </c>
      <c r="D806" s="42" t="s">
        <v>559</v>
      </c>
      <c r="E806" s="42" t="s">
        <v>112</v>
      </c>
      <c r="F806" s="42" t="str">
        <f>+IFERROR(VLOOKUP(E806,'DANH MỤC'!$C:$H,2,0),"")</f>
        <v>Dây đai PET xanh (B)</v>
      </c>
      <c r="G806" s="42" t="str">
        <f>+IFERROR(VLOOKUP(E806,'DANH MỤC'!$C:$H,6,0),"")</f>
        <v>Kg</v>
      </c>
      <c r="H806" s="42" t="str">
        <f>+IFERROR(VLOOKUP(E806,'DANH MỤC'!$C:$H,3,0),"")</f>
        <v/>
      </c>
      <c r="I806" s="42" t="str">
        <f>+IFERROR(VLOOKUP(E806,'DANH MỤC'!$C:$H,4,0),"")</f>
        <v/>
      </c>
      <c r="J806" s="42" t="str">
        <f>+IFERROR(VLOOKUP(E806,'DANH MỤC'!$C:$H,5,0),"")</f>
        <v/>
      </c>
      <c r="K806" s="53"/>
      <c r="L806" s="58">
        <v>21.63</v>
      </c>
      <c r="M806" s="55"/>
      <c r="N806" s="55"/>
    </row>
    <row r="807" ht="15.75" customHeight="1">
      <c r="A807" s="53">
        <f t="shared" si="1"/>
        <v>802</v>
      </c>
      <c r="B807" s="55" t="s">
        <v>409</v>
      </c>
      <c r="C807" s="41">
        <v>45800.0</v>
      </c>
      <c r="D807" s="42" t="s">
        <v>559</v>
      </c>
      <c r="E807" s="42" t="s">
        <v>115</v>
      </c>
      <c r="F807" s="42" t="str">
        <f>+IFERROR(VLOOKUP(E807,'DANH MỤC'!$C:$H,2,0),"")</f>
        <v>Màng Strecth Film 5.0-0.6kg</v>
      </c>
      <c r="G807" s="42" t="str">
        <f>+IFERROR(VLOOKUP(E807,'DANH MỤC'!$C:$H,6,0),"")</f>
        <v>Kg</v>
      </c>
      <c r="H807" s="42" t="str">
        <f>+IFERROR(VLOOKUP(E807,'DANH MỤC'!$C:$H,3,0),"")</f>
        <v/>
      </c>
      <c r="I807" s="42" t="str">
        <f>+IFERROR(VLOOKUP(E807,'DANH MỤC'!$C:$H,4,0),"")</f>
        <v/>
      </c>
      <c r="J807" s="42" t="str">
        <f>+IFERROR(VLOOKUP(E807,'DANH MỤC'!$C:$H,5,0),"")</f>
        <v/>
      </c>
      <c r="K807" s="53"/>
      <c r="L807" s="58">
        <v>12.78</v>
      </c>
      <c r="M807" s="55"/>
      <c r="N807" s="55"/>
    </row>
    <row r="808" ht="15.75" customHeight="1">
      <c r="A808" s="53">
        <f t="shared" si="1"/>
        <v>803</v>
      </c>
      <c r="B808" s="55" t="s">
        <v>409</v>
      </c>
      <c r="C808" s="41">
        <v>45800.0</v>
      </c>
      <c r="D808" s="42" t="s">
        <v>560</v>
      </c>
      <c r="E808" s="42" t="s">
        <v>113</v>
      </c>
      <c r="F808" s="42" t="str">
        <f>+IFERROR(VLOOKUP(E808,'DANH MỤC'!$C:$H,2,0),"")</f>
        <v>Lưỡi gà trắng 95mm x 800m x 230gsm</v>
      </c>
      <c r="G808" s="42" t="str">
        <f>+IFERROR(VLOOKUP(E808,'DANH MỤC'!$C:$H,6,0),"")</f>
        <v>Cuộn</v>
      </c>
      <c r="H808" s="42">
        <f>+IFERROR(VLOOKUP(E808,'DANH MỤC'!$C:$H,3,0),"")</f>
        <v>230</v>
      </c>
      <c r="I808" s="42">
        <f>+IFERROR(VLOOKUP(E808,'DANH MỤC'!$C:$H,4,0),"")</f>
        <v>95</v>
      </c>
      <c r="J808" s="42">
        <f>+IFERROR(VLOOKUP(E808,'DANH MỤC'!$C:$H,5,0),"")</f>
        <v>800</v>
      </c>
      <c r="K808" s="53">
        <v>600.0</v>
      </c>
      <c r="L808" s="58"/>
      <c r="M808" s="55"/>
      <c r="N808" s="55"/>
    </row>
    <row r="809" ht="15.75" customHeight="1">
      <c r="A809" s="53">
        <f t="shared" si="1"/>
        <v>804</v>
      </c>
      <c r="B809" s="55" t="s">
        <v>409</v>
      </c>
      <c r="C809" s="41">
        <v>45800.0</v>
      </c>
      <c r="D809" s="42" t="s">
        <v>560</v>
      </c>
      <c r="E809" s="42" t="s">
        <v>120</v>
      </c>
      <c r="F809" s="42" t="str">
        <f>+IFERROR(VLOOKUP(E809,'DANH MỤC'!$C:$H,2,0),"")</f>
        <v>Lưỡi gà trắng 98mm x 800m x 230gsm</v>
      </c>
      <c r="G809" s="42" t="str">
        <f>+IFERROR(VLOOKUP(E809,'DANH MỤC'!$C:$H,6,0),"")</f>
        <v>Cuộn</v>
      </c>
      <c r="H809" s="42">
        <f>+IFERROR(VLOOKUP(E809,'DANH MỤC'!$C:$H,3,0),"")</f>
        <v>230</v>
      </c>
      <c r="I809" s="42">
        <f>+IFERROR(VLOOKUP(E809,'DANH MỤC'!$C:$H,4,0),"")</f>
        <v>98</v>
      </c>
      <c r="J809" s="42">
        <f>+IFERROR(VLOOKUP(E809,'DANH MỤC'!$C:$H,5,0),"")</f>
        <v>800</v>
      </c>
      <c r="K809" s="53">
        <v>500.0</v>
      </c>
      <c r="L809" s="58"/>
      <c r="M809" s="55"/>
      <c r="N809" s="55"/>
    </row>
    <row r="810" ht="15.75" customHeight="1">
      <c r="A810" s="117">
        <f t="shared" si="1"/>
        <v>805</v>
      </c>
      <c r="B810" s="118"/>
      <c r="C810" s="119">
        <v>45811.0</v>
      </c>
      <c r="D810" s="120" t="s">
        <v>146</v>
      </c>
      <c r="E810" s="120" t="s">
        <v>120</v>
      </c>
      <c r="F810" s="120" t="str">
        <f>+IFERROR(VLOOKUP(E810,'DANH MỤC'!$C:$H,2,0),"")</f>
        <v>Lưỡi gà trắng 98mm x 800m x 230gsm</v>
      </c>
      <c r="G810" s="120" t="str">
        <f>+IFERROR(VLOOKUP(E810,'DANH MỤC'!$C:$H,6,0),"")</f>
        <v>Cuộn</v>
      </c>
      <c r="H810" s="120">
        <f>+IFERROR(VLOOKUP(E810,'DANH MỤC'!$C:$H,3,0),"")</f>
        <v>230</v>
      </c>
      <c r="I810" s="120">
        <f>+IFERROR(VLOOKUP(E810,'DANH MỤC'!$C:$H,4,0),"")</f>
        <v>98</v>
      </c>
      <c r="J810" s="120">
        <f>+IFERROR(VLOOKUP(E810,'DANH MỤC'!$C:$H,5,0),"")</f>
        <v>800</v>
      </c>
      <c r="K810" s="117"/>
      <c r="L810" s="121">
        <v>360.0</v>
      </c>
      <c r="M810" s="118" t="s">
        <v>304</v>
      </c>
      <c r="N810" s="118"/>
    </row>
    <row r="811" ht="15.75" customHeight="1">
      <c r="A811" s="117">
        <f t="shared" si="1"/>
        <v>806</v>
      </c>
      <c r="B811" s="118"/>
      <c r="C811" s="119">
        <v>45811.0</v>
      </c>
      <c r="D811" s="120" t="s">
        <v>146</v>
      </c>
      <c r="E811" s="120" t="s">
        <v>104</v>
      </c>
      <c r="F811" s="120" t="str">
        <f>+IFERROR(VLOOKUP(E811,'DANH MỤC'!$C:$H,2,0),"")</f>
        <v>Lưỡi gà trắng 95mm x 800m x 210gsm</v>
      </c>
      <c r="G811" s="120" t="str">
        <f>+IFERROR(VLOOKUP(E811,'DANH MỤC'!$C:$H,6,0),"")</f>
        <v>Cuộn</v>
      </c>
      <c r="H811" s="120">
        <f>+IFERROR(VLOOKUP(E811,'DANH MỤC'!$C:$H,3,0),"")</f>
        <v>210</v>
      </c>
      <c r="I811" s="120">
        <f>+IFERROR(VLOOKUP(E811,'DANH MỤC'!$C:$H,4,0),"")</f>
        <v>95</v>
      </c>
      <c r="J811" s="120">
        <f>+IFERROR(VLOOKUP(E811,'DANH MỤC'!$C:$H,5,0),"")</f>
        <v>800</v>
      </c>
      <c r="K811" s="117"/>
      <c r="L811" s="121">
        <v>120.0</v>
      </c>
      <c r="M811" s="118" t="s">
        <v>304</v>
      </c>
      <c r="N811" s="118"/>
    </row>
    <row r="812" ht="15.75" customHeight="1">
      <c r="A812" s="117">
        <f t="shared" si="1"/>
        <v>807</v>
      </c>
      <c r="B812" s="118"/>
      <c r="C812" s="119">
        <v>45811.0</v>
      </c>
      <c r="D812" s="120" t="s">
        <v>146</v>
      </c>
      <c r="E812" s="120" t="s">
        <v>81</v>
      </c>
      <c r="F812" s="120" t="str">
        <f>+IFERROR(VLOOKUP(E812,'DANH MỤC'!$C:$H,2,0),"")</f>
        <v>Lưỡi gà trắng 71mm x 800m x 210gsm</v>
      </c>
      <c r="G812" s="120" t="str">
        <f>+IFERROR(VLOOKUP(E812,'DANH MỤC'!$C:$H,6,0),"")</f>
        <v>Cuộn</v>
      </c>
      <c r="H812" s="120">
        <f>+IFERROR(VLOOKUP(E812,'DANH MỤC'!$C:$H,3,0),"")</f>
        <v>210</v>
      </c>
      <c r="I812" s="120">
        <f>+IFERROR(VLOOKUP(E812,'DANH MỤC'!$C:$H,4,0),"")</f>
        <v>71</v>
      </c>
      <c r="J812" s="120">
        <f>+IFERROR(VLOOKUP(E812,'DANH MỤC'!$C:$H,5,0),"")</f>
        <v>800</v>
      </c>
      <c r="K812" s="117"/>
      <c r="L812" s="121">
        <v>180.0</v>
      </c>
      <c r="M812" s="118" t="s">
        <v>304</v>
      </c>
      <c r="N812" s="118"/>
    </row>
    <row r="813" ht="15.75" customHeight="1">
      <c r="A813" s="117">
        <f t="shared" si="1"/>
        <v>808</v>
      </c>
      <c r="B813" s="118"/>
      <c r="C813" s="119">
        <v>45817.0</v>
      </c>
      <c r="D813" s="120" t="s">
        <v>146</v>
      </c>
      <c r="E813" s="120" t="s">
        <v>81</v>
      </c>
      <c r="F813" s="120" t="str">
        <f>+IFERROR(VLOOKUP(E813,'DANH MỤC'!$C:$H,2,0),"")</f>
        <v>Lưỡi gà trắng 71mm x 800m x 210gsm</v>
      </c>
      <c r="G813" s="120" t="str">
        <f>+IFERROR(VLOOKUP(E813,'DANH MỤC'!$C:$H,6,0),"")</f>
        <v>Cuộn</v>
      </c>
      <c r="H813" s="120">
        <f>+IFERROR(VLOOKUP(E813,'DANH MỤC'!$C:$H,3,0),"")</f>
        <v>210</v>
      </c>
      <c r="I813" s="120">
        <f>+IFERROR(VLOOKUP(E813,'DANH MỤC'!$C:$H,4,0),"")</f>
        <v>71</v>
      </c>
      <c r="J813" s="120">
        <f>+IFERROR(VLOOKUP(E813,'DANH MỤC'!$C:$H,5,0),"")</f>
        <v>800</v>
      </c>
      <c r="K813" s="117"/>
      <c r="L813" s="121">
        <v>420.0</v>
      </c>
      <c r="M813" s="118" t="s">
        <v>304</v>
      </c>
      <c r="N813" s="118"/>
    </row>
    <row r="814" ht="15.75" customHeight="1">
      <c r="A814" s="53">
        <f t="shared" si="1"/>
        <v>809</v>
      </c>
      <c r="B814" s="55"/>
      <c r="C814" s="41">
        <v>45821.0</v>
      </c>
      <c r="D814" s="42" t="s">
        <v>95</v>
      </c>
      <c r="E814" s="42" t="s">
        <v>107</v>
      </c>
      <c r="F814" s="42" t="str">
        <f>+IFERROR(VLOOKUP(E814,'DANH MỤC'!$C:$H,2,0),"")</f>
        <v>Pallet gỗ 1200x1200x130mm</v>
      </c>
      <c r="G814" s="42" t="str">
        <f>+IFERROR(VLOOKUP(E814,'DANH MỤC'!$C:$H,6,0),"")</f>
        <v>Bộ</v>
      </c>
      <c r="H814" s="42">
        <f>+IFERROR(VLOOKUP(E814,'DANH MỤC'!$C:$H,3,0),"")</f>
        <v>1200</v>
      </c>
      <c r="I814" s="42">
        <f>+IFERROR(VLOOKUP(E814,'DANH MỤC'!$C:$H,4,0),"")</f>
        <v>1200</v>
      </c>
      <c r="J814" s="42">
        <f>+IFERROR(VLOOKUP(E814,'DANH MỤC'!$C:$H,5,0),"")</f>
        <v>130</v>
      </c>
      <c r="K814" s="53">
        <v>80.0</v>
      </c>
      <c r="L814" s="58"/>
      <c r="M814" s="55"/>
      <c r="N814" s="55"/>
    </row>
    <row r="815" ht="15.75" customHeight="1">
      <c r="A815" s="53">
        <f t="shared" si="1"/>
        <v>810</v>
      </c>
      <c r="B815" s="55" t="s">
        <v>412</v>
      </c>
      <c r="C815" s="41">
        <v>45822.0</v>
      </c>
      <c r="D815" s="42" t="s">
        <v>561</v>
      </c>
      <c r="E815" s="42" t="s">
        <v>47</v>
      </c>
      <c r="F815" s="42" t="str">
        <f>+IFERROR(VLOOKUP(E815,'DANH MỤC'!$C:$H,2,0),"")</f>
        <v>Ivory Ningbo</v>
      </c>
      <c r="G815" s="42" t="str">
        <f>+IFERROR(VLOOKUP(E815,'DANH MỤC'!$C:$H,6,0),"")</f>
        <v>Kg</v>
      </c>
      <c r="H815" s="42">
        <f>+IFERROR(VLOOKUP(E815,'DANH MỤC'!$C:$H,3,0),"")</f>
        <v>210</v>
      </c>
      <c r="I815" s="42">
        <f>+IFERROR(VLOOKUP(E815,'DANH MỤC'!$C:$H,4,0),"")</f>
        <v>109</v>
      </c>
      <c r="J815" s="42" t="str">
        <f>+IFERROR(VLOOKUP(E815,'DANH MỤC'!$C:$H,5,0),"")</f>
        <v/>
      </c>
      <c r="K815" s="53"/>
      <c r="L815" s="58">
        <f>34*1030+205-65</f>
        <v>35160</v>
      </c>
      <c r="M815" s="55"/>
      <c r="N815" s="55"/>
    </row>
    <row r="816" ht="15.75" customHeight="1">
      <c r="A816" s="53">
        <f t="shared" si="1"/>
        <v>811</v>
      </c>
      <c r="B816" s="55" t="s">
        <v>412</v>
      </c>
      <c r="C816" s="41">
        <v>45822.0</v>
      </c>
      <c r="D816" s="42" t="s">
        <v>562</v>
      </c>
      <c r="E816" s="42" t="s">
        <v>184</v>
      </c>
      <c r="F816" s="42" t="str">
        <f>+IFERROR(VLOOKUP(E816,'DANH MỤC'!$C:$H,2,0),"")</f>
        <v>Ống lõi giấy phi 120x7x95mm</v>
      </c>
      <c r="G816" s="42" t="str">
        <f>+IFERROR(VLOOKUP(E816,'DANH MỤC'!$C:$H,6,0),"")</f>
        <v>Cái</v>
      </c>
      <c r="H816" s="42">
        <f>+IFERROR(VLOOKUP(E816,'DANH MỤC'!$C:$H,3,0),"")</f>
        <v>120</v>
      </c>
      <c r="I816" s="42">
        <f>+IFERROR(VLOOKUP(E816,'DANH MỤC'!$C:$H,4,0),"")</f>
        <v>70</v>
      </c>
      <c r="J816" s="42">
        <f>+IFERROR(VLOOKUP(E816,'DANH MỤC'!$C:$H,5,0),"")</f>
        <v>95</v>
      </c>
      <c r="K816" s="53"/>
      <c r="L816" s="58">
        <v>342.0</v>
      </c>
      <c r="M816" s="55"/>
      <c r="N816" s="55"/>
    </row>
    <row r="817" ht="15.75" customHeight="1">
      <c r="A817" s="53">
        <f t="shared" si="1"/>
        <v>812</v>
      </c>
      <c r="B817" s="55" t="s">
        <v>412</v>
      </c>
      <c r="C817" s="41">
        <v>45822.0</v>
      </c>
      <c r="D817" s="42" t="s">
        <v>562</v>
      </c>
      <c r="E817" s="42" t="s">
        <v>183</v>
      </c>
      <c r="F817" s="42" t="str">
        <f>+IFERROR(VLOOKUP(E817,'DANH MỤC'!$C:$H,2,0),"")</f>
        <v>Ống lõi giấy phi 120x7x90mm</v>
      </c>
      <c r="G817" s="42" t="str">
        <f>+IFERROR(VLOOKUP(E817,'DANH MỤC'!$C:$H,6,0),"")</f>
        <v>Cái</v>
      </c>
      <c r="H817" s="42">
        <f>+IFERROR(VLOOKUP(E817,'DANH MỤC'!$C:$H,3,0),"")</f>
        <v>120</v>
      </c>
      <c r="I817" s="42">
        <f>+IFERROR(VLOOKUP(E817,'DANH MỤC'!$C:$H,4,0),"")</f>
        <v>70</v>
      </c>
      <c r="J817" s="42">
        <f>+IFERROR(VLOOKUP(E817,'DANH MỤC'!$C:$H,5,0),"")</f>
        <v>90</v>
      </c>
      <c r="K817" s="53"/>
      <c r="L817" s="58">
        <v>236.0</v>
      </c>
      <c r="M817" s="55"/>
      <c r="N817" s="55"/>
    </row>
    <row r="818" ht="15.75" customHeight="1">
      <c r="A818" s="53">
        <f t="shared" si="1"/>
        <v>813</v>
      </c>
      <c r="B818" s="55" t="s">
        <v>412</v>
      </c>
      <c r="C818" s="41">
        <v>45822.0</v>
      </c>
      <c r="D818" s="42" t="s">
        <v>562</v>
      </c>
      <c r="E818" s="42" t="s">
        <v>182</v>
      </c>
      <c r="F818" s="42" t="str">
        <f>+IFERROR(VLOOKUP(E818,'DANH MỤC'!$C:$H,2,0),"")</f>
        <v>Ống lõi giấy phi 120x7x71mm</v>
      </c>
      <c r="G818" s="42" t="str">
        <f>+IFERROR(VLOOKUP(E818,'DANH MỤC'!$C:$H,6,0),"")</f>
        <v>Cái</v>
      </c>
      <c r="H818" s="42">
        <f>+IFERROR(VLOOKUP(E818,'DANH MỤC'!$C:$H,3,0),"")</f>
        <v>120</v>
      </c>
      <c r="I818" s="42">
        <f>+IFERROR(VLOOKUP(E818,'DANH MỤC'!$C:$H,4,0),"")</f>
        <v>70</v>
      </c>
      <c r="J818" s="42">
        <f>+IFERROR(VLOOKUP(E818,'DANH MỤC'!$C:$H,5,0),"")</f>
        <v>71</v>
      </c>
      <c r="K818" s="53"/>
      <c r="L818" s="58">
        <v>2110.0</v>
      </c>
      <c r="M818" s="55"/>
      <c r="N818" s="55"/>
    </row>
    <row r="819" ht="15.75" customHeight="1">
      <c r="A819" s="53">
        <f t="shared" si="1"/>
        <v>814</v>
      </c>
      <c r="B819" s="55" t="s">
        <v>412</v>
      </c>
      <c r="C819" s="41">
        <v>45822.0</v>
      </c>
      <c r="D819" s="42" t="s">
        <v>562</v>
      </c>
      <c r="E819" s="42" t="s">
        <v>127</v>
      </c>
      <c r="F819" s="42" t="str">
        <f>+IFERROR(VLOOKUP(E819,'DANH MỤC'!$C:$H,2,0),"")</f>
        <v>Pallet gỗ 1100x1100x130mm</v>
      </c>
      <c r="G819" s="42" t="str">
        <f>+IFERROR(VLOOKUP(E819,'DANH MỤC'!$C:$H,6,0),"")</f>
        <v>Bộ</v>
      </c>
      <c r="H819" s="42">
        <f>+IFERROR(VLOOKUP(E819,'DANH MỤC'!$C:$H,3,0),"")</f>
        <v>1100</v>
      </c>
      <c r="I819" s="42">
        <f>+IFERROR(VLOOKUP(E819,'DANH MỤC'!$C:$H,4,0),"")</f>
        <v>1100</v>
      </c>
      <c r="J819" s="42">
        <f>+IFERROR(VLOOKUP(E819,'DANH MỤC'!$C:$H,5,0),"")</f>
        <v>130</v>
      </c>
      <c r="K819" s="53"/>
      <c r="L819" s="58">
        <v>45.0</v>
      </c>
      <c r="M819" s="55"/>
      <c r="N819" s="55"/>
    </row>
    <row r="820" ht="15.75" customHeight="1">
      <c r="A820" s="53">
        <f t="shared" si="1"/>
        <v>815</v>
      </c>
      <c r="B820" s="55" t="s">
        <v>412</v>
      </c>
      <c r="C820" s="41">
        <v>45822.0</v>
      </c>
      <c r="D820" s="42" t="s">
        <v>562</v>
      </c>
      <c r="E820" s="42" t="s">
        <v>96</v>
      </c>
      <c r="F820" s="42" t="str">
        <f>+IFERROR(VLOOKUP(E820,'DANH MỤC'!$C:$H,2,0),"")</f>
        <v>Giấy bao gói lưỡi gà</v>
      </c>
      <c r="G820" s="42" t="str">
        <f>+IFERROR(VLOOKUP(E820,'DANH MỤC'!$C:$H,6,0),"")</f>
        <v>Kg</v>
      </c>
      <c r="H820" s="42" t="str">
        <f>+IFERROR(VLOOKUP(E820,'DANH MỤC'!$C:$H,3,0),"")</f>
        <v/>
      </c>
      <c r="I820" s="42" t="str">
        <f>+IFERROR(VLOOKUP(E820,'DANH MỤC'!$C:$H,4,0),"")</f>
        <v/>
      </c>
      <c r="J820" s="42" t="str">
        <f>+IFERROR(VLOOKUP(E820,'DANH MỤC'!$C:$H,5,0),"")</f>
        <v/>
      </c>
      <c r="K820" s="53"/>
      <c r="L820" s="58">
        <v>30.89</v>
      </c>
      <c r="M820" s="55"/>
      <c r="N820" s="55"/>
    </row>
    <row r="821" ht="15.75" customHeight="1">
      <c r="A821" s="53">
        <f t="shared" si="1"/>
        <v>816</v>
      </c>
      <c r="B821" s="55" t="s">
        <v>412</v>
      </c>
      <c r="C821" s="41">
        <v>45822.0</v>
      </c>
      <c r="D821" s="42" t="s">
        <v>562</v>
      </c>
      <c r="E821" s="42" t="s">
        <v>112</v>
      </c>
      <c r="F821" s="42" t="str">
        <f>+IFERROR(VLOOKUP(E821,'DANH MỤC'!$C:$H,2,0),"")</f>
        <v>Dây đai PET xanh (B)</v>
      </c>
      <c r="G821" s="42" t="str">
        <f>+IFERROR(VLOOKUP(E821,'DANH MỤC'!$C:$H,6,0),"")</f>
        <v>Kg</v>
      </c>
      <c r="H821" s="42" t="str">
        <f>+IFERROR(VLOOKUP(E821,'DANH MỤC'!$C:$H,3,0),"")</f>
        <v/>
      </c>
      <c r="I821" s="42" t="str">
        <f>+IFERROR(VLOOKUP(E821,'DANH MỤC'!$C:$H,4,0),"")</f>
        <v/>
      </c>
      <c r="J821" s="42" t="str">
        <f>+IFERROR(VLOOKUP(E821,'DANH MỤC'!$C:$H,5,0),"")</f>
        <v/>
      </c>
      <c r="K821" s="53"/>
      <c r="L821" s="58">
        <v>31.5</v>
      </c>
      <c r="M821" s="55"/>
      <c r="N821" s="55"/>
    </row>
    <row r="822" ht="15.75" customHeight="1">
      <c r="A822" s="53">
        <f t="shared" si="1"/>
        <v>817</v>
      </c>
      <c r="B822" s="55" t="s">
        <v>412</v>
      </c>
      <c r="C822" s="41">
        <v>45822.0</v>
      </c>
      <c r="D822" s="42" t="s">
        <v>562</v>
      </c>
      <c r="E822" s="42" t="s">
        <v>115</v>
      </c>
      <c r="F822" s="42" t="str">
        <f>+IFERROR(VLOOKUP(E822,'DANH MỤC'!$C:$H,2,0),"")</f>
        <v>Màng Strecth Film 5.0-0.6kg</v>
      </c>
      <c r="G822" s="42" t="str">
        <f>+IFERROR(VLOOKUP(E822,'DANH MỤC'!$C:$H,6,0),"")</f>
        <v>Kg</v>
      </c>
      <c r="H822" s="42" t="str">
        <f>+IFERROR(VLOOKUP(E822,'DANH MỤC'!$C:$H,3,0),"")</f>
        <v/>
      </c>
      <c r="I822" s="42" t="str">
        <f>+IFERROR(VLOOKUP(E822,'DANH MỤC'!$C:$H,4,0),"")</f>
        <v/>
      </c>
      <c r="J822" s="42" t="str">
        <f>+IFERROR(VLOOKUP(E822,'DANH MỤC'!$C:$H,5,0),"")</f>
        <v/>
      </c>
      <c r="K822" s="53"/>
      <c r="L822" s="58">
        <v>29.25</v>
      </c>
      <c r="M822" s="55"/>
      <c r="N822" s="55"/>
    </row>
    <row r="823" ht="15.75" customHeight="1">
      <c r="A823" s="53">
        <f t="shared" si="1"/>
        <v>818</v>
      </c>
      <c r="B823" s="55" t="s">
        <v>412</v>
      </c>
      <c r="C823" s="41">
        <v>45822.0</v>
      </c>
      <c r="D823" s="42" t="s">
        <v>563</v>
      </c>
      <c r="E823" s="42" t="s">
        <v>104</v>
      </c>
      <c r="F823" s="42" t="str">
        <f>+IFERROR(VLOOKUP(E823,'DANH MỤC'!$C:$H,2,0),"")</f>
        <v>Lưỡi gà trắng 95mm x 800m x 210gsm</v>
      </c>
      <c r="G823" s="42" t="str">
        <f>+IFERROR(VLOOKUP(E823,'DANH MỤC'!$C:$H,6,0),"")</f>
        <v>Cuộn</v>
      </c>
      <c r="H823" s="42">
        <f>+IFERROR(VLOOKUP(E823,'DANH MỤC'!$C:$H,3,0),"")</f>
        <v>210</v>
      </c>
      <c r="I823" s="42">
        <f>+IFERROR(VLOOKUP(E823,'DANH MỤC'!$C:$H,4,0),"")</f>
        <v>95</v>
      </c>
      <c r="J823" s="42">
        <f>+IFERROR(VLOOKUP(E823,'DANH MỤC'!$C:$H,5,0),"")</f>
        <v>800</v>
      </c>
      <c r="K823" s="53">
        <v>573.0</v>
      </c>
      <c r="L823" s="58"/>
      <c r="M823" s="55"/>
      <c r="N823" s="55"/>
    </row>
    <row r="824" ht="15.75" customHeight="1">
      <c r="A824" s="53">
        <f t="shared" si="1"/>
        <v>819</v>
      </c>
      <c r="B824" s="55" t="s">
        <v>412</v>
      </c>
      <c r="C824" s="41">
        <v>45822.0</v>
      </c>
      <c r="D824" s="42" t="s">
        <v>563</v>
      </c>
      <c r="E824" s="42" t="s">
        <v>81</v>
      </c>
      <c r="F824" s="42" t="str">
        <f>+IFERROR(VLOOKUP(E824,'DANH MỤC'!$C:$H,2,0),"")</f>
        <v>Lưỡi gà trắng 71mm x 800m x 210gsm</v>
      </c>
      <c r="G824" s="42" t="str">
        <f>+IFERROR(VLOOKUP(E824,'DANH MỤC'!$C:$H,6,0),"")</f>
        <v>Cuộn</v>
      </c>
      <c r="H824" s="42">
        <f>+IFERROR(VLOOKUP(E824,'DANH MỤC'!$C:$H,3,0),"")</f>
        <v>210</v>
      </c>
      <c r="I824" s="42">
        <f>+IFERROR(VLOOKUP(E824,'DANH MỤC'!$C:$H,4,0),"")</f>
        <v>71</v>
      </c>
      <c r="J824" s="42">
        <f>+IFERROR(VLOOKUP(E824,'DANH MỤC'!$C:$H,5,0),"")</f>
        <v>800</v>
      </c>
      <c r="K824" s="53">
        <v>2093.0</v>
      </c>
      <c r="L824" s="58"/>
      <c r="M824" s="55"/>
      <c r="N824" s="55"/>
    </row>
    <row r="825" ht="15.75" customHeight="1">
      <c r="A825" s="53">
        <f t="shared" si="1"/>
        <v>820</v>
      </c>
      <c r="B825" s="55" t="s">
        <v>412</v>
      </c>
      <c r="C825" s="41">
        <v>45822.0</v>
      </c>
      <c r="D825" s="42" t="s">
        <v>564</v>
      </c>
      <c r="E825" s="42" t="s">
        <v>96</v>
      </c>
      <c r="F825" s="42" t="str">
        <f>+IFERROR(VLOOKUP(E825,'DANH MỤC'!$C:$H,2,0),"")</f>
        <v>Giấy bao gói lưỡi gà</v>
      </c>
      <c r="G825" s="42" t="str">
        <f>+IFERROR(VLOOKUP(E825,'DANH MỤC'!$C:$H,6,0),"")</f>
        <v>Kg</v>
      </c>
      <c r="H825" s="42" t="str">
        <f>+IFERROR(VLOOKUP(E825,'DANH MỤC'!$C:$H,3,0),"")</f>
        <v/>
      </c>
      <c r="I825" s="42" t="str">
        <f>+IFERROR(VLOOKUP(E825,'DANH MỤC'!$C:$H,4,0),"")</f>
        <v/>
      </c>
      <c r="J825" s="42" t="str">
        <f>+IFERROR(VLOOKUP(E825,'DANH MỤC'!$C:$H,5,0),"")</f>
        <v/>
      </c>
      <c r="K825" s="53"/>
      <c r="L825" s="58">
        <v>0.09</v>
      </c>
      <c r="M825" s="55"/>
      <c r="N825" s="55"/>
    </row>
    <row r="826" ht="15.75" customHeight="1">
      <c r="A826" s="53">
        <f t="shared" si="1"/>
        <v>821</v>
      </c>
      <c r="B826" s="55" t="s">
        <v>412</v>
      </c>
      <c r="C826" s="41">
        <v>45822.0</v>
      </c>
      <c r="D826" s="42" t="s">
        <v>319</v>
      </c>
      <c r="E826" s="42" t="s">
        <v>81</v>
      </c>
      <c r="F826" s="42" t="str">
        <f>+IFERROR(VLOOKUP(E826,'DANH MỤC'!$C:$H,2,0),"")</f>
        <v>Lưỡi gà trắng 71mm x 800m x 210gsm</v>
      </c>
      <c r="G826" s="42" t="str">
        <f>+IFERROR(VLOOKUP(E826,'DANH MỤC'!$C:$H,6,0),"")</f>
        <v>Cuộn</v>
      </c>
      <c r="H826" s="42">
        <f>+IFERROR(VLOOKUP(E826,'DANH MỤC'!$C:$H,3,0),"")</f>
        <v>210</v>
      </c>
      <c r="I826" s="42">
        <f>+IFERROR(VLOOKUP(E826,'DANH MỤC'!$C:$H,4,0),"")</f>
        <v>71</v>
      </c>
      <c r="J826" s="42">
        <f>+IFERROR(VLOOKUP(E826,'DANH MỤC'!$C:$H,5,0),"")</f>
        <v>800</v>
      </c>
      <c r="K826" s="53">
        <v>8.0</v>
      </c>
      <c r="L826" s="58"/>
      <c r="M826" s="55" t="s">
        <v>565</v>
      </c>
      <c r="N826" s="55"/>
    </row>
    <row r="827" ht="15.75" customHeight="1">
      <c r="A827" s="117">
        <f t="shared" si="1"/>
        <v>822</v>
      </c>
      <c r="B827" s="118"/>
      <c r="C827" s="119">
        <v>45825.0</v>
      </c>
      <c r="D827" s="120" t="s">
        <v>146</v>
      </c>
      <c r="E827" s="120" t="s">
        <v>81</v>
      </c>
      <c r="F827" s="120" t="str">
        <f>+IFERROR(VLOOKUP(E827,'DANH MỤC'!$C:$H,2,0),"")</f>
        <v>Lưỡi gà trắng 71mm x 800m x 210gsm</v>
      </c>
      <c r="G827" s="120" t="str">
        <f>+IFERROR(VLOOKUP(E827,'DANH MỤC'!$C:$H,6,0),"")</f>
        <v>Cuộn</v>
      </c>
      <c r="H827" s="120">
        <f>+IFERROR(VLOOKUP(E827,'DANH MỤC'!$C:$H,3,0),"")</f>
        <v>210</v>
      </c>
      <c r="I827" s="120">
        <f>+IFERROR(VLOOKUP(E827,'DANH MỤC'!$C:$H,4,0),"")</f>
        <v>71</v>
      </c>
      <c r="J827" s="120">
        <f>+IFERROR(VLOOKUP(E827,'DANH MỤC'!$C:$H,5,0),"")</f>
        <v>800</v>
      </c>
      <c r="K827" s="117"/>
      <c r="L827" s="121">
        <v>300.0</v>
      </c>
      <c r="M827" s="118" t="s">
        <v>304</v>
      </c>
      <c r="N827" s="118"/>
    </row>
    <row r="828" ht="15.75" customHeight="1">
      <c r="A828" s="117">
        <f t="shared" si="1"/>
        <v>823</v>
      </c>
      <c r="B828" s="118"/>
      <c r="C828" s="119">
        <v>45828.0</v>
      </c>
      <c r="D828" s="120" t="s">
        <v>215</v>
      </c>
      <c r="E828" s="120" t="s">
        <v>113</v>
      </c>
      <c r="F828" s="120" t="str">
        <f>+IFERROR(VLOOKUP(E828,'DANH MỤC'!$C:$H,2,0),"")</f>
        <v>Lưỡi gà trắng 95mm x 800m x 230gsm</v>
      </c>
      <c r="G828" s="120" t="str">
        <f>+IFERROR(VLOOKUP(E828,'DANH MỤC'!$C:$H,6,0),"")</f>
        <v>Cuộn</v>
      </c>
      <c r="H828" s="120">
        <f>+IFERROR(VLOOKUP(E828,'DANH MỤC'!$C:$H,3,0),"")</f>
        <v>230</v>
      </c>
      <c r="I828" s="120">
        <f>+IFERROR(VLOOKUP(E828,'DANH MỤC'!$C:$H,4,0),"")</f>
        <v>95</v>
      </c>
      <c r="J828" s="120">
        <f>+IFERROR(VLOOKUP(E828,'DANH MỤC'!$C:$H,5,0),"")</f>
        <v>800</v>
      </c>
      <c r="K828" s="117"/>
      <c r="L828" s="121">
        <v>300.0</v>
      </c>
      <c r="M828" s="118" t="s">
        <v>452</v>
      </c>
      <c r="N828" s="118"/>
    </row>
    <row r="829" ht="15.75" customHeight="1">
      <c r="A829" s="117">
        <f t="shared" si="1"/>
        <v>824</v>
      </c>
      <c r="B829" s="118"/>
      <c r="C829" s="119">
        <v>45831.0</v>
      </c>
      <c r="D829" s="120" t="s">
        <v>130</v>
      </c>
      <c r="E829" s="120" t="s">
        <v>123</v>
      </c>
      <c r="F829" s="120" t="str">
        <f>+IFERROR(VLOOKUP(E829,'DANH MỤC'!$C:$H,2,0),"")</f>
        <v>Lưỡi gà trắng 90mm x 800m x 250gsm</v>
      </c>
      <c r="G829" s="120" t="str">
        <f>+IFERROR(VLOOKUP(E829,'DANH MỤC'!$C:$H,6,0),"")</f>
        <v>Cuộn</v>
      </c>
      <c r="H829" s="120">
        <f>+IFERROR(VLOOKUP(E829,'DANH MỤC'!$C:$H,3,0),"")</f>
        <v>250</v>
      </c>
      <c r="I829" s="120">
        <f>+IFERROR(VLOOKUP(E829,'DANH MỤC'!$C:$H,4,0),"")</f>
        <v>90</v>
      </c>
      <c r="J829" s="120">
        <f>+IFERROR(VLOOKUP(E829,'DANH MỤC'!$C:$H,5,0),"")</f>
        <v>800</v>
      </c>
      <c r="K829" s="117"/>
      <c r="L829" s="121">
        <f>52*9</f>
        <v>468</v>
      </c>
      <c r="M829" s="118" t="s">
        <v>131</v>
      </c>
      <c r="N829" s="118"/>
    </row>
    <row r="830" ht="15.75" customHeight="1">
      <c r="A830" s="117">
        <f t="shared" si="1"/>
        <v>825</v>
      </c>
      <c r="B830" s="118"/>
      <c r="C830" s="119">
        <v>45831.0</v>
      </c>
      <c r="D830" s="120" t="s">
        <v>130</v>
      </c>
      <c r="E830" s="120" t="s">
        <v>104</v>
      </c>
      <c r="F830" s="120" t="str">
        <f>+IFERROR(VLOOKUP(E830,'DANH MỤC'!$C:$H,2,0),"")</f>
        <v>Lưỡi gà trắng 95mm x 800m x 210gsm</v>
      </c>
      <c r="G830" s="120" t="str">
        <f>+IFERROR(VLOOKUP(E830,'DANH MỤC'!$C:$H,6,0),"")</f>
        <v>Cuộn</v>
      </c>
      <c r="H830" s="120">
        <f>+IFERROR(VLOOKUP(E830,'DANH MỤC'!$C:$H,3,0),"")</f>
        <v>210</v>
      </c>
      <c r="I830" s="120">
        <f>+IFERROR(VLOOKUP(E830,'DANH MỤC'!$C:$H,4,0),"")</f>
        <v>95</v>
      </c>
      <c r="J830" s="120">
        <f>+IFERROR(VLOOKUP(E830,'DANH MỤC'!$C:$H,5,0),"")</f>
        <v>800</v>
      </c>
      <c r="K830" s="117"/>
      <c r="L830" s="121">
        <v>52.0</v>
      </c>
      <c r="M830" s="118" t="s">
        <v>131</v>
      </c>
      <c r="N830" s="118"/>
    </row>
    <row r="831" ht="15.75" customHeight="1">
      <c r="A831" s="53">
        <f t="shared" si="1"/>
        <v>826</v>
      </c>
      <c r="B831" s="55"/>
      <c r="C831" s="41">
        <v>45835.0</v>
      </c>
      <c r="D831" s="42" t="s">
        <v>95</v>
      </c>
      <c r="E831" s="42" t="s">
        <v>182</v>
      </c>
      <c r="F831" s="42" t="str">
        <f>+IFERROR(VLOOKUP(E831,'DANH MỤC'!$C:$H,2,0),"")</f>
        <v>Ống lõi giấy phi 120x7x71mm</v>
      </c>
      <c r="G831" s="42" t="str">
        <f>+IFERROR(VLOOKUP(E831,'DANH MỤC'!$C:$H,6,0),"")</f>
        <v>Cái</v>
      </c>
      <c r="H831" s="42">
        <f>+IFERROR(VLOOKUP(E831,'DANH MỤC'!$C:$H,3,0),"")</f>
        <v>120</v>
      </c>
      <c r="I831" s="42">
        <f>+IFERROR(VLOOKUP(E831,'DANH MỤC'!$C:$H,4,0),"")</f>
        <v>70</v>
      </c>
      <c r="J831" s="42">
        <f>+IFERROR(VLOOKUP(E831,'DANH MỤC'!$C:$H,5,0),"")</f>
        <v>71</v>
      </c>
      <c r="K831" s="53">
        <v>2000.0</v>
      </c>
      <c r="L831" s="58"/>
      <c r="M831" s="55"/>
      <c r="N831" s="55"/>
    </row>
    <row r="832" ht="15.75" customHeight="1">
      <c r="A832" s="53">
        <f t="shared" si="1"/>
        <v>827</v>
      </c>
      <c r="B832" s="55"/>
      <c r="C832" s="41">
        <v>45835.0</v>
      </c>
      <c r="D832" s="42" t="s">
        <v>95</v>
      </c>
      <c r="E832" s="42" t="s">
        <v>183</v>
      </c>
      <c r="F832" s="42" t="str">
        <f>+IFERROR(VLOOKUP(E832,'DANH MỤC'!$C:$H,2,0),"")</f>
        <v>Ống lõi giấy phi 120x7x90mm</v>
      </c>
      <c r="G832" s="42" t="str">
        <f>+IFERROR(VLOOKUP(E832,'DANH MỤC'!$C:$H,6,0),"")</f>
        <v>Cái</v>
      </c>
      <c r="H832" s="42">
        <f>+IFERROR(VLOOKUP(E832,'DANH MỤC'!$C:$H,3,0),"")</f>
        <v>120</v>
      </c>
      <c r="I832" s="42">
        <f>+IFERROR(VLOOKUP(E832,'DANH MỤC'!$C:$H,4,0),"")</f>
        <v>70</v>
      </c>
      <c r="J832" s="42">
        <f>+IFERROR(VLOOKUP(E832,'DANH MỤC'!$C:$H,5,0),"")</f>
        <v>90</v>
      </c>
      <c r="K832" s="53">
        <v>1000.0</v>
      </c>
      <c r="L832" s="58"/>
      <c r="M832" s="55"/>
      <c r="N832" s="55"/>
    </row>
    <row r="833" ht="15.75" customHeight="1">
      <c r="A833" s="53">
        <f t="shared" si="1"/>
        <v>828</v>
      </c>
      <c r="B833" s="55"/>
      <c r="C833" s="41">
        <v>45835.0</v>
      </c>
      <c r="D833" s="42" t="s">
        <v>95</v>
      </c>
      <c r="E833" s="42" t="s">
        <v>184</v>
      </c>
      <c r="F833" s="42" t="str">
        <f>+IFERROR(VLOOKUP(E833,'DANH MỤC'!$C:$H,2,0),"")</f>
        <v>Ống lõi giấy phi 120x7x95mm</v>
      </c>
      <c r="G833" s="42" t="str">
        <f>+IFERROR(VLOOKUP(E833,'DANH MỤC'!$C:$H,6,0),"")</f>
        <v>Cái</v>
      </c>
      <c r="H833" s="42">
        <f>+IFERROR(VLOOKUP(E833,'DANH MỤC'!$C:$H,3,0),"")</f>
        <v>120</v>
      </c>
      <c r="I833" s="42">
        <f>+IFERROR(VLOOKUP(E833,'DANH MỤC'!$C:$H,4,0),"")</f>
        <v>70</v>
      </c>
      <c r="J833" s="42">
        <f>+IFERROR(VLOOKUP(E833,'DANH MỤC'!$C:$H,5,0),"")</f>
        <v>95</v>
      </c>
      <c r="K833" s="53">
        <v>3000.0</v>
      </c>
      <c r="L833" s="58"/>
      <c r="M833" s="55"/>
      <c r="N833" s="55"/>
    </row>
    <row r="834" ht="15.75" customHeight="1">
      <c r="A834" s="117">
        <f t="shared" si="1"/>
        <v>829</v>
      </c>
      <c r="B834" s="118"/>
      <c r="C834" s="119">
        <v>45839.0</v>
      </c>
      <c r="D834" s="120" t="s">
        <v>130</v>
      </c>
      <c r="E834" s="120" t="s">
        <v>123</v>
      </c>
      <c r="F834" s="120" t="str">
        <f>+IFERROR(VLOOKUP(E834,'DANH MỤC'!$C:$H,2,0),"")</f>
        <v>Lưỡi gà trắng 90mm x 800m x 250gsm</v>
      </c>
      <c r="G834" s="120" t="str">
        <f>+IFERROR(VLOOKUP(E834,'DANH MỤC'!$C:$H,6,0),"")</f>
        <v>Cuộn</v>
      </c>
      <c r="H834" s="120">
        <f>+IFERROR(VLOOKUP(E834,'DANH MỤC'!$C:$H,3,0),"")</f>
        <v>250</v>
      </c>
      <c r="I834" s="120">
        <f>+IFERROR(VLOOKUP(E834,'DANH MỤC'!$C:$H,4,0),"")</f>
        <v>90</v>
      </c>
      <c r="J834" s="120">
        <f>+IFERROR(VLOOKUP(E834,'DANH MỤC'!$C:$H,5,0),"")</f>
        <v>800</v>
      </c>
      <c r="K834" s="117"/>
      <c r="L834" s="121">
        <f>52*10</f>
        <v>520</v>
      </c>
      <c r="M834" s="118" t="s">
        <v>131</v>
      </c>
      <c r="N834" s="118"/>
    </row>
    <row r="835" ht="15.75" customHeight="1">
      <c r="A835" s="117">
        <f t="shared" si="1"/>
        <v>830</v>
      </c>
      <c r="B835" s="118"/>
      <c r="C835" s="119">
        <v>45840.0</v>
      </c>
      <c r="D835" s="120" t="s">
        <v>146</v>
      </c>
      <c r="E835" s="120" t="s">
        <v>104</v>
      </c>
      <c r="F835" s="120" t="str">
        <f>+IFERROR(VLOOKUP(E835,'DANH MỤC'!$C:$H,2,0),"")</f>
        <v>Lưỡi gà trắng 95mm x 800m x 210gsm</v>
      </c>
      <c r="G835" s="120" t="str">
        <f>+IFERROR(VLOOKUP(E835,'DANH MỤC'!$C:$H,6,0),"")</f>
        <v>Cuộn</v>
      </c>
      <c r="H835" s="120">
        <f>+IFERROR(VLOOKUP(E835,'DANH MỤC'!$C:$H,3,0),"")</f>
        <v>210</v>
      </c>
      <c r="I835" s="120">
        <f>+IFERROR(VLOOKUP(E835,'DANH MỤC'!$C:$H,4,0),"")</f>
        <v>95</v>
      </c>
      <c r="J835" s="120">
        <f>+IFERROR(VLOOKUP(E835,'DANH MỤC'!$C:$H,5,0),"")</f>
        <v>800</v>
      </c>
      <c r="K835" s="117"/>
      <c r="L835" s="121">
        <v>120.0</v>
      </c>
      <c r="M835" s="118" t="s">
        <v>304</v>
      </c>
      <c r="N835" s="118"/>
    </row>
    <row r="836" ht="15.75" customHeight="1">
      <c r="A836" s="117">
        <f t="shared" si="1"/>
        <v>831</v>
      </c>
      <c r="B836" s="118"/>
      <c r="C836" s="119">
        <v>45840.0</v>
      </c>
      <c r="D836" s="120" t="s">
        <v>146</v>
      </c>
      <c r="E836" s="120" t="s">
        <v>89</v>
      </c>
      <c r="F836" s="120" t="str">
        <f>+IFERROR(VLOOKUP(E836,'DANH MỤC'!$C:$H,2,0),"")</f>
        <v>Lưỡi gà trắng 83mm x 800m x 210gsm</v>
      </c>
      <c r="G836" s="120" t="str">
        <f>+IFERROR(VLOOKUP(E836,'DANH MỤC'!$C:$H,6,0),"")</f>
        <v>Cuộn</v>
      </c>
      <c r="H836" s="120">
        <f>+IFERROR(VLOOKUP(E836,'DANH MỤC'!$C:$H,3,0),"")</f>
        <v>210</v>
      </c>
      <c r="I836" s="120">
        <f>+IFERROR(VLOOKUP(E836,'DANH MỤC'!$C:$H,4,0),"")</f>
        <v>83</v>
      </c>
      <c r="J836" s="120">
        <f>+IFERROR(VLOOKUP(E836,'DANH MỤC'!$C:$H,5,0),"")</f>
        <v>800</v>
      </c>
      <c r="K836" s="117"/>
      <c r="L836" s="121">
        <v>60.0</v>
      </c>
      <c r="M836" s="118" t="s">
        <v>304</v>
      </c>
      <c r="N836" s="118"/>
    </row>
    <row r="837" ht="15.75" customHeight="1">
      <c r="A837" s="117">
        <f t="shared" si="1"/>
        <v>832</v>
      </c>
      <c r="B837" s="118"/>
      <c r="C837" s="119">
        <v>45840.0</v>
      </c>
      <c r="D837" s="120" t="s">
        <v>146</v>
      </c>
      <c r="E837" s="120" t="s">
        <v>81</v>
      </c>
      <c r="F837" s="120" t="str">
        <f>+IFERROR(VLOOKUP(E837,'DANH MỤC'!$C:$H,2,0),"")</f>
        <v>Lưỡi gà trắng 71mm x 800m x 210gsm</v>
      </c>
      <c r="G837" s="120" t="str">
        <f>+IFERROR(VLOOKUP(E837,'DANH MỤC'!$C:$H,6,0),"")</f>
        <v>Cuộn</v>
      </c>
      <c r="H837" s="120">
        <f>+IFERROR(VLOOKUP(E837,'DANH MỤC'!$C:$H,3,0),"")</f>
        <v>210</v>
      </c>
      <c r="I837" s="120">
        <f>+IFERROR(VLOOKUP(E837,'DANH MỤC'!$C:$H,4,0),"")</f>
        <v>71</v>
      </c>
      <c r="J837" s="120">
        <f>+IFERROR(VLOOKUP(E837,'DANH MỤC'!$C:$H,5,0),"")</f>
        <v>800</v>
      </c>
      <c r="K837" s="117"/>
      <c r="L837" s="121">
        <v>360.0</v>
      </c>
      <c r="M837" s="118" t="s">
        <v>304</v>
      </c>
      <c r="N837" s="118"/>
    </row>
    <row r="838" ht="15.75" customHeight="1">
      <c r="A838" s="117">
        <f t="shared" si="1"/>
        <v>833</v>
      </c>
      <c r="B838" s="118"/>
      <c r="C838" s="119">
        <v>45840.0</v>
      </c>
      <c r="D838" s="120" t="s">
        <v>146</v>
      </c>
      <c r="E838" s="120" t="s">
        <v>120</v>
      </c>
      <c r="F838" s="120" t="str">
        <f>+IFERROR(VLOOKUP(E838,'DANH MỤC'!$C:$H,2,0),"")</f>
        <v>Lưỡi gà trắng 98mm x 800m x 230gsm</v>
      </c>
      <c r="G838" s="120" t="str">
        <f>+IFERROR(VLOOKUP(E838,'DANH MỤC'!$C:$H,6,0),"")</f>
        <v>Cuộn</v>
      </c>
      <c r="H838" s="120">
        <f>+IFERROR(VLOOKUP(E838,'DANH MỤC'!$C:$H,3,0),"")</f>
        <v>230</v>
      </c>
      <c r="I838" s="120">
        <f>+IFERROR(VLOOKUP(E838,'DANH MỤC'!$C:$H,4,0),"")</f>
        <v>98</v>
      </c>
      <c r="J838" s="120">
        <f>+IFERROR(VLOOKUP(E838,'DANH MỤC'!$C:$H,5,0),"")</f>
        <v>800</v>
      </c>
      <c r="K838" s="117"/>
      <c r="L838" s="121">
        <v>240.0</v>
      </c>
      <c r="M838" s="118" t="s">
        <v>304</v>
      </c>
      <c r="N838" s="118"/>
    </row>
    <row r="839" ht="15.75" customHeight="1">
      <c r="A839" s="53">
        <f t="shared" si="1"/>
        <v>834</v>
      </c>
      <c r="B839" s="55" t="s">
        <v>402</v>
      </c>
      <c r="C839" s="41">
        <v>45841.0</v>
      </c>
      <c r="D839" s="42" t="s">
        <v>591</v>
      </c>
      <c r="E839" s="42" t="s">
        <v>88</v>
      </c>
      <c r="F839" s="42" t="str">
        <f>+IFERROR(VLOOKUP(E839,'DANH MỤC'!$C:$H,2,0),"")</f>
        <v>Ivory Ningbo</v>
      </c>
      <c r="G839" s="42" t="str">
        <f>+IFERROR(VLOOKUP(E839,'DANH MỤC'!$C:$H,6,0),"")</f>
        <v>Kg</v>
      </c>
      <c r="H839" s="42">
        <f>+IFERROR(VLOOKUP(E839,'DANH MỤC'!$C:$H,3,0),"")</f>
        <v>250</v>
      </c>
      <c r="I839" s="42">
        <f>+IFERROR(VLOOKUP(E839,'DANH MỤC'!$C:$H,4,0),"")</f>
        <v>109</v>
      </c>
      <c r="J839" s="42" t="str">
        <f>+IFERROR(VLOOKUP(E839,'DANH MỤC'!$C:$H,5,0),"")</f>
        <v/>
      </c>
      <c r="K839" s="53"/>
      <c r="L839" s="58">
        <f>37*981+783-332</f>
        <v>36748</v>
      </c>
      <c r="M839" s="55"/>
      <c r="N839" s="55"/>
    </row>
    <row r="840" ht="15.75" customHeight="1">
      <c r="A840" s="53">
        <f t="shared" si="1"/>
        <v>835</v>
      </c>
      <c r="B840" s="55" t="s">
        <v>402</v>
      </c>
      <c r="C840" s="41">
        <v>45841.0</v>
      </c>
      <c r="D840" s="42" t="s">
        <v>598</v>
      </c>
      <c r="E840" s="42" t="s">
        <v>183</v>
      </c>
      <c r="F840" s="42" t="str">
        <f>+IFERROR(VLOOKUP(E840,'DANH MỤC'!$C:$H,2,0),"")</f>
        <v>Ống lõi giấy phi 120x7x90mm</v>
      </c>
      <c r="G840" s="42" t="str">
        <f>+IFERROR(VLOOKUP(E840,'DANH MỤC'!$C:$H,6,0),"")</f>
        <v>Cái</v>
      </c>
      <c r="H840" s="42">
        <f>+IFERROR(VLOOKUP(E840,'DANH MỤC'!$C:$H,3,0),"")</f>
        <v>120</v>
      </c>
      <c r="I840" s="42">
        <f>+IFERROR(VLOOKUP(E840,'DANH MỤC'!$C:$H,4,0),"")</f>
        <v>70</v>
      </c>
      <c r="J840" s="42">
        <f>+IFERROR(VLOOKUP(E840,'DANH MỤC'!$C:$H,5,0),"")</f>
        <v>90</v>
      </c>
      <c r="K840" s="53"/>
      <c r="L840" s="58">
        <v>2100.0</v>
      </c>
      <c r="M840" s="55"/>
      <c r="N840" s="55"/>
    </row>
    <row r="841" ht="15.75" customHeight="1">
      <c r="A841" s="53">
        <f t="shared" si="1"/>
        <v>836</v>
      </c>
      <c r="B841" s="55" t="s">
        <v>402</v>
      </c>
      <c r="C841" s="41">
        <v>45841.0</v>
      </c>
      <c r="D841" s="42" t="s">
        <v>598</v>
      </c>
      <c r="E841" s="42" t="s">
        <v>107</v>
      </c>
      <c r="F841" s="42" t="str">
        <f>+IFERROR(VLOOKUP(E841,'DANH MỤC'!$C:$H,2,0),"")</f>
        <v>Pallet gỗ 1200x1200x130mm</v>
      </c>
      <c r="G841" s="42" t="str">
        <f>+IFERROR(VLOOKUP(E841,'DANH MỤC'!$C:$H,6,0),"")</f>
        <v>Bộ</v>
      </c>
      <c r="H841" s="42">
        <f>+IFERROR(VLOOKUP(E841,'DANH MỤC'!$C:$H,3,0),"")</f>
        <v>1200</v>
      </c>
      <c r="I841" s="42">
        <f>+IFERROR(VLOOKUP(E841,'DANH MỤC'!$C:$H,4,0),"")</f>
        <v>1200</v>
      </c>
      <c r="J841" s="42">
        <f>+IFERROR(VLOOKUP(E841,'DANH MỤC'!$C:$H,5,0),"")</f>
        <v>130</v>
      </c>
      <c r="K841" s="53"/>
      <c r="L841" s="58">
        <v>38.0</v>
      </c>
      <c r="M841" s="55"/>
      <c r="N841" s="55"/>
    </row>
    <row r="842" ht="15.75" customHeight="1">
      <c r="A842" s="53">
        <f t="shared" si="1"/>
        <v>837</v>
      </c>
      <c r="B842" s="55" t="s">
        <v>402</v>
      </c>
      <c r="C842" s="41">
        <v>45841.0</v>
      </c>
      <c r="D842" s="42" t="s">
        <v>598</v>
      </c>
      <c r="E842" s="42" t="s">
        <v>96</v>
      </c>
      <c r="F842" s="42" t="str">
        <f>+IFERROR(VLOOKUP(E842,'DANH MỤC'!$C:$H,2,0),"")</f>
        <v>Giấy bao gói lưỡi gà</v>
      </c>
      <c r="G842" s="42" t="str">
        <f>+IFERROR(VLOOKUP(E842,'DANH MỤC'!$C:$H,6,0),"")</f>
        <v>Kg</v>
      </c>
      <c r="H842" s="42" t="str">
        <f>+IFERROR(VLOOKUP(E842,'DANH MỤC'!$C:$H,3,0),"")</f>
        <v/>
      </c>
      <c r="I842" s="42" t="str">
        <f>+IFERROR(VLOOKUP(E842,'DANH MỤC'!$C:$H,4,0),"")</f>
        <v/>
      </c>
      <c r="J842" s="42" t="str">
        <f>+IFERROR(VLOOKUP(E842,'DANH MỤC'!$C:$H,5,0),"")</f>
        <v/>
      </c>
      <c r="K842" s="53"/>
      <c r="L842" s="58">
        <v>27.61</v>
      </c>
      <c r="M842" s="55"/>
      <c r="N842" s="55"/>
    </row>
    <row r="843" ht="15.75" customHeight="1">
      <c r="A843" s="53">
        <f t="shared" si="1"/>
        <v>838</v>
      </c>
      <c r="B843" s="55" t="s">
        <v>402</v>
      </c>
      <c r="C843" s="41">
        <v>45841.0</v>
      </c>
      <c r="D843" s="42" t="s">
        <v>598</v>
      </c>
      <c r="E843" s="42" t="s">
        <v>112</v>
      </c>
      <c r="F843" s="42" t="str">
        <f>+IFERROR(VLOOKUP(E843,'DANH MỤC'!$C:$H,2,0),"")</f>
        <v>Dây đai PET xanh (B)</v>
      </c>
      <c r="G843" s="42" t="str">
        <f>+IFERROR(VLOOKUP(E843,'DANH MỤC'!$C:$H,6,0),"")</f>
        <v>Kg</v>
      </c>
      <c r="H843" s="42" t="str">
        <f>+IFERROR(VLOOKUP(E843,'DANH MỤC'!$C:$H,3,0),"")</f>
        <v/>
      </c>
      <c r="I843" s="42" t="str">
        <f>+IFERROR(VLOOKUP(E843,'DANH MỤC'!$C:$H,4,0),"")</f>
        <v/>
      </c>
      <c r="J843" s="42" t="str">
        <f>+IFERROR(VLOOKUP(E843,'DANH MỤC'!$C:$H,5,0),"")</f>
        <v/>
      </c>
      <c r="K843" s="53"/>
      <c r="L843" s="58">
        <v>26.6</v>
      </c>
      <c r="M843" s="55"/>
      <c r="N843" s="55"/>
    </row>
    <row r="844" ht="15.75" customHeight="1">
      <c r="A844" s="53">
        <f t="shared" si="1"/>
        <v>839</v>
      </c>
      <c r="B844" s="55" t="s">
        <v>402</v>
      </c>
      <c r="C844" s="41">
        <v>45841.0</v>
      </c>
      <c r="D844" s="42" t="s">
        <v>598</v>
      </c>
      <c r="E844" s="42" t="s">
        <v>115</v>
      </c>
      <c r="F844" s="42" t="str">
        <f>+IFERROR(VLOOKUP(E844,'DANH MỤC'!$C:$H,2,0),"")</f>
        <v>Màng Strecth Film 5.0-0.6kg</v>
      </c>
      <c r="G844" s="42" t="str">
        <f>+IFERROR(VLOOKUP(E844,'DANH MỤC'!$C:$H,6,0),"")</f>
        <v>Kg</v>
      </c>
      <c r="H844" s="42" t="str">
        <f>+IFERROR(VLOOKUP(E844,'DANH MỤC'!$C:$H,3,0),"")</f>
        <v/>
      </c>
      <c r="I844" s="42" t="str">
        <f>+IFERROR(VLOOKUP(E844,'DANH MỤC'!$C:$H,4,0),"")</f>
        <v/>
      </c>
      <c r="J844" s="42" t="str">
        <f>+IFERROR(VLOOKUP(E844,'DANH MỤC'!$C:$H,5,0),"")</f>
        <v/>
      </c>
      <c r="K844" s="53"/>
      <c r="L844" s="58">
        <v>24.7</v>
      </c>
      <c r="M844" s="55"/>
      <c r="N844" s="55"/>
    </row>
    <row r="845" ht="15.75" customHeight="1">
      <c r="A845" s="53">
        <f t="shared" si="1"/>
        <v>840</v>
      </c>
      <c r="B845" s="55" t="s">
        <v>402</v>
      </c>
      <c r="C845" s="41">
        <v>45841.0</v>
      </c>
      <c r="D845" s="42" t="s">
        <v>598</v>
      </c>
      <c r="E845" s="42" t="s">
        <v>156</v>
      </c>
      <c r="F845" s="42" t="str">
        <f>+IFERROR(VLOOKUP(E845,'DANH MỤC'!$C:$H,2,0),"")</f>
        <v>Nẹp gỗ pallet dài 1.15m</v>
      </c>
      <c r="G845" s="42" t="str">
        <f>+IFERROR(VLOOKUP(E845,'DANH MỤC'!$C:$H,6,0),"")</f>
        <v>Cái</v>
      </c>
      <c r="H845" s="42" t="str">
        <f>+IFERROR(VLOOKUP(E845,'DANH MỤC'!$C:$H,3,0),"")</f>
        <v/>
      </c>
      <c r="I845" s="42" t="str">
        <f>+IFERROR(VLOOKUP(E845,'DANH MỤC'!$C:$H,4,0),"")</f>
        <v/>
      </c>
      <c r="J845" s="42">
        <f>+IFERROR(VLOOKUP(E845,'DANH MỤC'!$C:$H,5,0),"")</f>
        <v>1150</v>
      </c>
      <c r="K845" s="53"/>
      <c r="L845" s="58">
        <f>38*4</f>
        <v>152</v>
      </c>
      <c r="M845" s="55"/>
      <c r="N845" s="55"/>
    </row>
    <row r="846" ht="15.75" customHeight="1">
      <c r="A846" s="53">
        <f t="shared" si="1"/>
        <v>841</v>
      </c>
      <c r="B846" s="55" t="s">
        <v>402</v>
      </c>
      <c r="C846" s="41">
        <v>45841.0</v>
      </c>
      <c r="D846" s="42" t="s">
        <v>628</v>
      </c>
      <c r="E846" s="42" t="s">
        <v>123</v>
      </c>
      <c r="F846" s="42" t="str">
        <f>+IFERROR(VLOOKUP(E846,'DANH MỤC'!$C:$H,2,0),"")</f>
        <v>Lưỡi gà trắng 90mm x 800m x 250gsm</v>
      </c>
      <c r="G846" s="42" t="str">
        <f>+IFERROR(VLOOKUP(E846,'DANH MỤC'!$C:$H,6,0),"")</f>
        <v>Cuộn</v>
      </c>
      <c r="H846" s="42">
        <f>+IFERROR(VLOOKUP(E846,'DANH MỤC'!$C:$H,3,0),"")</f>
        <v>250</v>
      </c>
      <c r="I846" s="42">
        <f>+IFERROR(VLOOKUP(E846,'DANH MỤC'!$C:$H,4,0),"")</f>
        <v>90</v>
      </c>
      <c r="J846" s="42">
        <f>+IFERROR(VLOOKUP(E846,'DANH MỤC'!$C:$H,5,0),"")</f>
        <v>800</v>
      </c>
      <c r="K846" s="53">
        <f>2016-4</f>
        <v>2012</v>
      </c>
      <c r="L846" s="58"/>
      <c r="M846" s="55"/>
      <c r="N846" s="55"/>
    </row>
    <row r="847" ht="15.75" customHeight="1">
      <c r="A847" s="53">
        <f t="shared" si="1"/>
        <v>842</v>
      </c>
      <c r="B847" s="55" t="s">
        <v>402</v>
      </c>
      <c r="C847" s="41">
        <v>45841.0</v>
      </c>
      <c r="D847" s="42" t="s">
        <v>634</v>
      </c>
      <c r="E847" s="42" t="s">
        <v>96</v>
      </c>
      <c r="F847" s="42" t="str">
        <f>+IFERROR(VLOOKUP(E847,'DANH MỤC'!$C:$H,2,0),"")</f>
        <v>Giấy bao gói lưỡi gà</v>
      </c>
      <c r="G847" s="42" t="str">
        <f>+IFERROR(VLOOKUP(E847,'DANH MỤC'!$C:$H,6,0),"")</f>
        <v>Kg</v>
      </c>
      <c r="H847" s="42" t="str">
        <f>+IFERROR(VLOOKUP(E847,'DANH MỤC'!$C:$H,3,0),"")</f>
        <v/>
      </c>
      <c r="I847" s="42" t="str">
        <f>+IFERROR(VLOOKUP(E847,'DANH MỤC'!$C:$H,4,0),"")</f>
        <v/>
      </c>
      <c r="J847" s="42" t="str">
        <f>+IFERROR(VLOOKUP(E847,'DANH MỤC'!$C:$H,5,0),"")</f>
        <v/>
      </c>
      <c r="K847" s="53"/>
      <c r="L847" s="58">
        <v>0.05</v>
      </c>
      <c r="M847" s="55"/>
      <c r="N847" s="55"/>
    </row>
    <row r="848" ht="15.75" customHeight="1">
      <c r="A848" s="53">
        <f t="shared" si="1"/>
        <v>843</v>
      </c>
      <c r="B848" s="55" t="s">
        <v>402</v>
      </c>
      <c r="C848" s="41">
        <v>45841.0</v>
      </c>
      <c r="D848" s="42" t="s">
        <v>319</v>
      </c>
      <c r="E848" s="42" t="s">
        <v>123</v>
      </c>
      <c r="F848" s="42" t="str">
        <f>+IFERROR(VLOOKUP(E848,'DANH MỤC'!$C:$H,2,0),"")</f>
        <v>Lưỡi gà trắng 90mm x 800m x 250gsm</v>
      </c>
      <c r="G848" s="42" t="str">
        <f>+IFERROR(VLOOKUP(E848,'DANH MỤC'!$C:$H,6,0),"")</f>
        <v>Cuộn</v>
      </c>
      <c r="H848" s="42">
        <f>+IFERROR(VLOOKUP(E848,'DANH MỤC'!$C:$H,3,0),"")</f>
        <v>250</v>
      </c>
      <c r="I848" s="42">
        <f>+IFERROR(VLOOKUP(E848,'DANH MỤC'!$C:$H,4,0),"")</f>
        <v>90</v>
      </c>
      <c r="J848" s="42">
        <f>+IFERROR(VLOOKUP(E848,'DANH MỤC'!$C:$H,5,0),"")</f>
        <v>800</v>
      </c>
      <c r="K848" s="53">
        <v>4.0</v>
      </c>
      <c r="L848" s="58"/>
      <c r="M848" s="55" t="s">
        <v>644</v>
      </c>
      <c r="N848" s="55"/>
    </row>
    <row r="849" ht="15.75" customHeight="1">
      <c r="A849" s="53">
        <f t="shared" si="1"/>
        <v>844</v>
      </c>
      <c r="B849" s="55"/>
      <c r="C849" s="41">
        <v>45841.0</v>
      </c>
      <c r="D849" s="42" t="s">
        <v>523</v>
      </c>
      <c r="E849" s="42" t="s">
        <v>110</v>
      </c>
      <c r="F849" s="42" t="str">
        <f>+IFERROR(VLOOKUP(E849,'DANH MỤC'!$C:$H,2,0),"")</f>
        <v>Kraft nâu LG (cuộn)</v>
      </c>
      <c r="G849" s="42" t="str">
        <f>+IFERROR(VLOOKUP(E849,'DANH MỤC'!$C:$H,6,0),"")</f>
        <v>Kg</v>
      </c>
      <c r="H849" s="42" t="str">
        <f>+IFERROR(VLOOKUP(E849,'DANH MỤC'!$C:$H,3,0),"")</f>
        <v/>
      </c>
      <c r="I849" s="42" t="str">
        <f>+IFERROR(VLOOKUP(E849,'DANH MỤC'!$C:$H,4,0),"")</f>
        <v/>
      </c>
      <c r="J849" s="42" t="str">
        <f>+IFERROR(VLOOKUP(E849,'DANH MỤC'!$C:$H,5,0),"")</f>
        <v/>
      </c>
      <c r="K849" s="53"/>
      <c r="L849" s="58">
        <f>370-65</f>
        <v>305</v>
      </c>
      <c r="M849" s="55"/>
      <c r="N849" s="55"/>
    </row>
    <row r="850" ht="15.75" customHeight="1">
      <c r="A850" s="53">
        <f t="shared" si="1"/>
        <v>845</v>
      </c>
      <c r="B850" s="55"/>
      <c r="C850" s="41">
        <v>45841.0</v>
      </c>
      <c r="D850" s="42" t="s">
        <v>525</v>
      </c>
      <c r="E850" s="42" t="s">
        <v>96</v>
      </c>
      <c r="F850" s="42" t="str">
        <f>+IFERROR(VLOOKUP(E850,'DANH MỤC'!$C:$H,2,0),"")</f>
        <v>Giấy bao gói lưỡi gà</v>
      </c>
      <c r="G850" s="42" t="str">
        <f>+IFERROR(VLOOKUP(E850,'DANH MỤC'!$C:$H,6,0),"")</f>
        <v>Kg</v>
      </c>
      <c r="H850" s="42" t="str">
        <f>+IFERROR(VLOOKUP(E850,'DANH MỤC'!$C:$H,3,0),"")</f>
        <v/>
      </c>
      <c r="I850" s="42" t="str">
        <f>+IFERROR(VLOOKUP(E850,'DANH MỤC'!$C:$H,4,0),"")</f>
        <v/>
      </c>
      <c r="J850" s="42" t="str">
        <f>+IFERROR(VLOOKUP(E850,'DANH MỤC'!$C:$H,5,0),"")</f>
        <v/>
      </c>
      <c r="K850" s="53">
        <v>250.0</v>
      </c>
      <c r="L850" s="58"/>
      <c r="M850" s="55"/>
      <c r="N850" s="55"/>
    </row>
    <row r="851" ht="15.75" customHeight="1">
      <c r="A851" s="117">
        <f t="shared" si="1"/>
        <v>846</v>
      </c>
      <c r="B851" s="118"/>
      <c r="C851" s="119">
        <v>45847.0</v>
      </c>
      <c r="D851" s="120" t="s">
        <v>146</v>
      </c>
      <c r="E851" s="120" t="s">
        <v>120</v>
      </c>
      <c r="F851" s="120" t="str">
        <f>+IFERROR(VLOOKUP(E851,'DANH MỤC'!$C:$H,2,0),"")</f>
        <v>Lưỡi gà trắng 98mm x 800m x 230gsm</v>
      </c>
      <c r="G851" s="120" t="str">
        <f>+IFERROR(VLOOKUP(E851,'DANH MỤC'!$C:$H,6,0),"")</f>
        <v>Cuộn</v>
      </c>
      <c r="H851" s="120">
        <f>+IFERROR(VLOOKUP(E851,'DANH MỤC'!$C:$H,3,0),"")</f>
        <v>230</v>
      </c>
      <c r="I851" s="120">
        <f>+IFERROR(VLOOKUP(E851,'DANH MỤC'!$C:$H,4,0),"")</f>
        <v>98</v>
      </c>
      <c r="J851" s="120">
        <f>+IFERROR(VLOOKUP(E851,'DANH MỤC'!$C:$H,5,0),"")</f>
        <v>800</v>
      </c>
      <c r="K851" s="117"/>
      <c r="L851" s="121">
        <f>3*60+19</f>
        <v>199</v>
      </c>
      <c r="M851" s="118" t="s">
        <v>304</v>
      </c>
      <c r="N851" s="118"/>
    </row>
    <row r="852" ht="15.75" customHeight="1">
      <c r="A852" s="117">
        <f t="shared" si="1"/>
        <v>847</v>
      </c>
      <c r="B852" s="118"/>
      <c r="C852" s="119">
        <v>45847.0</v>
      </c>
      <c r="D852" s="120" t="s">
        <v>146</v>
      </c>
      <c r="E852" s="120" t="s">
        <v>81</v>
      </c>
      <c r="F852" s="120" t="str">
        <f>+IFERROR(VLOOKUP(E852,'DANH MỤC'!$C:$H,2,0),"")</f>
        <v>Lưỡi gà trắng 71mm x 800m x 210gsm</v>
      </c>
      <c r="G852" s="120" t="str">
        <f>+IFERROR(VLOOKUP(E852,'DANH MỤC'!$C:$H,6,0),"")</f>
        <v>Cuộn</v>
      </c>
      <c r="H852" s="120">
        <f>+IFERROR(VLOOKUP(E852,'DANH MỤC'!$C:$H,3,0),"")</f>
        <v>210</v>
      </c>
      <c r="I852" s="120">
        <f>+IFERROR(VLOOKUP(E852,'DANH MỤC'!$C:$H,4,0),"")</f>
        <v>71</v>
      </c>
      <c r="J852" s="120">
        <f>+IFERROR(VLOOKUP(E852,'DANH MỤC'!$C:$H,5,0),"")</f>
        <v>800</v>
      </c>
      <c r="K852" s="117"/>
      <c r="L852" s="121">
        <f>10*60</f>
        <v>600</v>
      </c>
      <c r="M852" s="118" t="s">
        <v>304</v>
      </c>
      <c r="N852" s="118"/>
    </row>
    <row r="853" ht="15.75" customHeight="1">
      <c r="A853" s="53">
        <f t="shared" si="1"/>
        <v>848</v>
      </c>
      <c r="B853" s="55"/>
      <c r="C853" s="41">
        <v>45853.0</v>
      </c>
      <c r="D853" s="42" t="s">
        <v>35</v>
      </c>
      <c r="E853" s="42" t="s">
        <v>88</v>
      </c>
      <c r="F853" s="42" t="str">
        <f>+IFERROR(VLOOKUP(E853,'DANH MỤC'!$C:$H,2,0),"")</f>
        <v>Ivory Ningbo</v>
      </c>
      <c r="G853" s="42" t="str">
        <f>+IFERROR(VLOOKUP(E853,'DANH MỤC'!$C:$H,6,0),"")</f>
        <v>Kg</v>
      </c>
      <c r="H853" s="42">
        <f>+IFERROR(VLOOKUP(E853,'DANH MỤC'!$C:$H,3,0),"")</f>
        <v>250</v>
      </c>
      <c r="I853" s="42">
        <f>+IFERROR(VLOOKUP(E853,'DANH MỤC'!$C:$H,4,0),"")</f>
        <v>109</v>
      </c>
      <c r="J853" s="42" t="str">
        <f>+IFERROR(VLOOKUP(E853,'DANH MỤC'!$C:$H,5,0),"")</f>
        <v/>
      </c>
      <c r="K853" s="53">
        <f>16*981</f>
        <v>15696</v>
      </c>
      <c r="L853" s="58"/>
      <c r="M853" s="55"/>
      <c r="N853" s="55"/>
    </row>
    <row r="854" ht="15.75" customHeight="1">
      <c r="A854" s="53">
        <f t="shared" si="1"/>
        <v>849</v>
      </c>
      <c r="B854" s="55"/>
      <c r="C854" s="41">
        <v>45853.0</v>
      </c>
      <c r="D854" s="42" t="s">
        <v>35</v>
      </c>
      <c r="E854" s="42" t="s">
        <v>223</v>
      </c>
      <c r="F854" s="42" t="str">
        <f>+IFERROR(VLOOKUP(E854,'DANH MỤC'!$C:$H,2,0),"")</f>
        <v>Ivory Ningbo</v>
      </c>
      <c r="G854" s="42" t="str">
        <f>+IFERROR(VLOOKUP(E854,'DANH MỤC'!$C:$H,6,0),"")</f>
        <v>Kg</v>
      </c>
      <c r="H854" s="42">
        <f>+IFERROR(VLOOKUP(E854,'DANH MỤC'!$C:$H,3,0),"")</f>
        <v>230</v>
      </c>
      <c r="I854" s="42">
        <f>+IFERROR(VLOOKUP(E854,'DANH MỤC'!$C:$H,4,0),"")</f>
        <v>108</v>
      </c>
      <c r="J854" s="42" t="str">
        <f>+IFERROR(VLOOKUP(E854,'DANH MỤC'!$C:$H,5,0),"")</f>
        <v/>
      </c>
      <c r="K854" s="53">
        <f>10*969</f>
        <v>9690</v>
      </c>
      <c r="L854" s="58"/>
      <c r="M854" s="55"/>
      <c r="N854" s="55"/>
    </row>
    <row r="855" ht="15.75" customHeight="1">
      <c r="A855" s="53">
        <f t="shared" si="1"/>
        <v>850</v>
      </c>
      <c r="B855" s="55"/>
      <c r="C855" s="41">
        <v>45853.0</v>
      </c>
      <c r="D855" s="42" t="s">
        <v>35</v>
      </c>
      <c r="E855" s="42" t="s">
        <v>189</v>
      </c>
      <c r="F855" s="42" t="str">
        <f>+IFERROR(VLOOKUP(E855,'DANH MỤC'!$C:$H,2,0),"")</f>
        <v>Ivory Ningbo</v>
      </c>
      <c r="G855" s="42" t="str">
        <f>+IFERROR(VLOOKUP(E855,'DANH MỤC'!$C:$H,6,0),"")</f>
        <v>Kg</v>
      </c>
      <c r="H855" s="42">
        <f>+IFERROR(VLOOKUP(E855,'DANH MỤC'!$C:$H,3,0),"")</f>
        <v>230</v>
      </c>
      <c r="I855" s="42">
        <f>+IFERROR(VLOOKUP(E855,'DANH MỤC'!$C:$H,4,0),"")</f>
        <v>109</v>
      </c>
      <c r="J855" s="42" t="str">
        <f>+IFERROR(VLOOKUP(E855,'DANH MỤC'!$C:$H,5,0),"")</f>
        <v/>
      </c>
      <c r="K855" s="53">
        <f>5*978</f>
        <v>4890</v>
      </c>
      <c r="L855" s="58"/>
      <c r="M855" s="55"/>
      <c r="N855" s="55"/>
    </row>
    <row r="856" ht="15.75" customHeight="1">
      <c r="A856" s="53">
        <f t="shared" si="1"/>
        <v>851</v>
      </c>
      <c r="B856" s="55"/>
      <c r="C856" s="41">
        <v>45853.0</v>
      </c>
      <c r="D856" s="42" t="s">
        <v>35</v>
      </c>
      <c r="E856" s="42" t="s">
        <v>213</v>
      </c>
      <c r="F856" s="42" t="str">
        <f>+IFERROR(VLOOKUP(E856,'DANH MỤC'!$C:$H,2,0),"")</f>
        <v>Ivory Ningbo</v>
      </c>
      <c r="G856" s="42" t="str">
        <f>+IFERROR(VLOOKUP(E856,'DANH MỤC'!$C:$H,6,0),"")</f>
        <v>Kg</v>
      </c>
      <c r="H856" s="42">
        <f>+IFERROR(VLOOKUP(E856,'DANH MỤC'!$C:$H,3,0),"")</f>
        <v>210</v>
      </c>
      <c r="I856" s="42">
        <f>+IFERROR(VLOOKUP(E856,'DANH MỤC'!$C:$H,4,0),"")</f>
        <v>108</v>
      </c>
      <c r="J856" s="42" t="str">
        <f>+IFERROR(VLOOKUP(E856,'DANH MỤC'!$C:$H,5,0),"")</f>
        <v/>
      </c>
      <c r="K856" s="53">
        <f>20*987</f>
        <v>19740</v>
      </c>
      <c r="L856" s="58"/>
      <c r="M856" s="55"/>
      <c r="N856" s="55"/>
    </row>
    <row r="857" ht="15.75" customHeight="1">
      <c r="A857" s="117">
        <f t="shared" si="1"/>
        <v>852</v>
      </c>
      <c r="B857" s="118"/>
      <c r="C857" s="119">
        <v>45855.0</v>
      </c>
      <c r="D857" s="120" t="s">
        <v>146</v>
      </c>
      <c r="E857" s="120" t="s">
        <v>81</v>
      </c>
      <c r="F857" s="120" t="str">
        <f>+IFERROR(VLOOKUP(E857,'DANH MỤC'!$C:$H,2,0),"")</f>
        <v>Lưỡi gà trắng 71mm x 800m x 210gsm</v>
      </c>
      <c r="G857" s="120" t="str">
        <f>+IFERROR(VLOOKUP(E857,'DANH MỤC'!$C:$H,6,0),"")</f>
        <v>Cuộn</v>
      </c>
      <c r="H857" s="120">
        <f>+IFERROR(VLOOKUP(E857,'DANH MỤC'!$C:$H,3,0),"")</f>
        <v>210</v>
      </c>
      <c r="I857" s="120">
        <f>+IFERROR(VLOOKUP(E857,'DANH MỤC'!$C:$H,4,0),"")</f>
        <v>71</v>
      </c>
      <c r="J857" s="120">
        <f>+IFERROR(VLOOKUP(E857,'DANH MỤC'!$C:$H,5,0),"")</f>
        <v>800</v>
      </c>
      <c r="K857" s="117"/>
      <c r="L857" s="121">
        <f>9*60</f>
        <v>540</v>
      </c>
      <c r="M857" s="118" t="s">
        <v>304</v>
      </c>
      <c r="N857" s="118"/>
    </row>
    <row r="858" ht="15.75" customHeight="1">
      <c r="A858" s="117">
        <f t="shared" si="1"/>
        <v>853</v>
      </c>
      <c r="B858" s="118"/>
      <c r="C858" s="119">
        <v>45856.0</v>
      </c>
      <c r="D858" s="120" t="s">
        <v>130</v>
      </c>
      <c r="E858" s="120" t="s">
        <v>123</v>
      </c>
      <c r="F858" s="120" t="str">
        <f>+IFERROR(VLOOKUP(E858,'DANH MỤC'!$C:$H,2,0),"")</f>
        <v>Lưỡi gà trắng 90mm x 800m x 250gsm</v>
      </c>
      <c r="G858" s="120" t="str">
        <f>+IFERROR(VLOOKUP(E858,'DANH MỤC'!$C:$H,6,0),"")</f>
        <v>Cuộn</v>
      </c>
      <c r="H858" s="120">
        <f>+IFERROR(VLOOKUP(E858,'DANH MỤC'!$C:$H,3,0),"")</f>
        <v>250</v>
      </c>
      <c r="I858" s="120">
        <f>+IFERROR(VLOOKUP(E858,'DANH MỤC'!$C:$H,4,0),"")</f>
        <v>90</v>
      </c>
      <c r="J858" s="120">
        <f>+IFERROR(VLOOKUP(E858,'DANH MỤC'!$C:$H,5,0),"")</f>
        <v>800</v>
      </c>
      <c r="K858" s="117"/>
      <c r="L858" s="121">
        <f>5*52</f>
        <v>260</v>
      </c>
      <c r="M858" s="118" t="s">
        <v>131</v>
      </c>
      <c r="N858" s="118"/>
    </row>
    <row r="859" ht="15.75" customHeight="1">
      <c r="A859" s="117">
        <f t="shared" si="1"/>
        <v>854</v>
      </c>
      <c r="B859" s="118"/>
      <c r="C859" s="119">
        <v>45856.0</v>
      </c>
      <c r="D859" s="120" t="s">
        <v>130</v>
      </c>
      <c r="E859" s="120" t="s">
        <v>104</v>
      </c>
      <c r="F859" s="120" t="str">
        <f>+IFERROR(VLOOKUP(E859,'DANH MỤC'!$C:$H,2,0),"")</f>
        <v>Lưỡi gà trắng 95mm x 800m x 210gsm</v>
      </c>
      <c r="G859" s="120" t="str">
        <f>+IFERROR(VLOOKUP(E859,'DANH MỤC'!$C:$H,6,0),"")</f>
        <v>Cuộn</v>
      </c>
      <c r="H859" s="120">
        <f>+IFERROR(VLOOKUP(E859,'DANH MỤC'!$C:$H,3,0),"")</f>
        <v>210</v>
      </c>
      <c r="I859" s="120">
        <f>+IFERROR(VLOOKUP(E859,'DANH MỤC'!$C:$H,4,0),"")</f>
        <v>95</v>
      </c>
      <c r="J859" s="120">
        <f>+IFERROR(VLOOKUP(E859,'DANH MỤC'!$C:$H,5,0),"")</f>
        <v>800</v>
      </c>
      <c r="K859" s="117"/>
      <c r="L859" s="121">
        <f>10*52</f>
        <v>520</v>
      </c>
      <c r="M859" s="118" t="s">
        <v>131</v>
      </c>
      <c r="N859" s="118"/>
    </row>
    <row r="860" ht="15.75" customHeight="1">
      <c r="A860" s="53">
        <f t="shared" si="1"/>
        <v>855</v>
      </c>
      <c r="B860" s="55" t="s">
        <v>402</v>
      </c>
      <c r="C860" s="41">
        <v>45859.0</v>
      </c>
      <c r="D860" s="42" t="s">
        <v>654</v>
      </c>
      <c r="E860" s="42" t="s">
        <v>47</v>
      </c>
      <c r="F860" s="42" t="str">
        <f>+IFERROR(VLOOKUP(E860,'DANH MỤC'!$C:$H,2,0),"")</f>
        <v>Ivory Ningbo</v>
      </c>
      <c r="G860" s="42" t="str">
        <f>+IFERROR(VLOOKUP(E860,'DANH MỤC'!$C:$H,6,0),"")</f>
        <v>Kg</v>
      </c>
      <c r="H860" s="42">
        <f>+IFERROR(VLOOKUP(E860,'DANH MỤC'!$C:$H,3,0),"")</f>
        <v>210</v>
      </c>
      <c r="I860" s="42">
        <f>+IFERROR(VLOOKUP(E860,'DANH MỤC'!$C:$H,4,0),"")</f>
        <v>109</v>
      </c>
      <c r="J860" s="42" t="str">
        <f>+IFERROR(VLOOKUP(E860,'DANH MỤC'!$C:$H,5,0),"")</f>
        <v/>
      </c>
      <c r="K860" s="53"/>
      <c r="L860" s="58">
        <f>16*1030+65</f>
        <v>16545</v>
      </c>
      <c r="M860" s="55"/>
      <c r="N860" s="55"/>
    </row>
    <row r="861" ht="15.75" customHeight="1">
      <c r="A861" s="53">
        <f t="shared" si="1"/>
        <v>856</v>
      </c>
      <c r="B861" s="55" t="s">
        <v>402</v>
      </c>
      <c r="C861" s="41">
        <v>45859.0</v>
      </c>
      <c r="D861" s="42" t="s">
        <v>654</v>
      </c>
      <c r="E861" s="42" t="s">
        <v>213</v>
      </c>
      <c r="F861" s="42" t="str">
        <f>+IFERROR(VLOOKUP(E861,'DANH MỤC'!$C:$H,2,0),"")</f>
        <v>Ivory Ningbo</v>
      </c>
      <c r="G861" s="42" t="str">
        <f>+IFERROR(VLOOKUP(E861,'DANH MỤC'!$C:$H,6,0),"")</f>
        <v>Kg</v>
      </c>
      <c r="H861" s="42">
        <f>+IFERROR(VLOOKUP(E861,'DANH MỤC'!$C:$H,3,0),"")</f>
        <v>210</v>
      </c>
      <c r="I861" s="42">
        <f>+IFERROR(VLOOKUP(E861,'DANH MỤC'!$C:$H,4,0),"")</f>
        <v>108</v>
      </c>
      <c r="J861" s="42" t="str">
        <f>+IFERROR(VLOOKUP(E861,'DANH MỤC'!$C:$H,5,0),"")</f>
        <v/>
      </c>
      <c r="K861" s="53"/>
      <c r="L861" s="58">
        <f>7*987-200</f>
        <v>6709</v>
      </c>
      <c r="M861" s="55"/>
      <c r="N861" s="55"/>
    </row>
    <row r="862" ht="15.75" customHeight="1">
      <c r="A862" s="53">
        <f t="shared" si="1"/>
        <v>857</v>
      </c>
      <c r="B862" s="55" t="s">
        <v>402</v>
      </c>
      <c r="C862" s="41">
        <v>45859.0</v>
      </c>
      <c r="D862" s="42" t="s">
        <v>655</v>
      </c>
      <c r="E862" s="42" t="s">
        <v>184</v>
      </c>
      <c r="F862" s="42" t="str">
        <f>+IFERROR(VLOOKUP(E862,'DANH MỤC'!$C:$H,2,0),"")</f>
        <v>Ống lõi giấy phi 120x7x95mm</v>
      </c>
      <c r="G862" s="42" t="str">
        <f>+IFERROR(VLOOKUP(E862,'DANH MỤC'!$C:$H,6,0),"")</f>
        <v>Cái</v>
      </c>
      <c r="H862" s="42">
        <f>+IFERROR(VLOOKUP(E862,'DANH MỤC'!$C:$H,3,0),"")</f>
        <v>120</v>
      </c>
      <c r="I862" s="42">
        <f>+IFERROR(VLOOKUP(E862,'DANH MỤC'!$C:$H,4,0),"")</f>
        <v>70</v>
      </c>
      <c r="J862" s="42">
        <f>+IFERROR(VLOOKUP(E862,'DANH MỤC'!$C:$H,5,0),"")</f>
        <v>95</v>
      </c>
      <c r="K862" s="53"/>
      <c r="L862" s="58">
        <v>889.0</v>
      </c>
      <c r="M862" s="55"/>
      <c r="N862" s="55"/>
    </row>
    <row r="863" ht="15.75" customHeight="1">
      <c r="A863" s="53">
        <f t="shared" si="1"/>
        <v>858</v>
      </c>
      <c r="B863" s="55" t="s">
        <v>402</v>
      </c>
      <c r="C863" s="41">
        <v>45859.0</v>
      </c>
      <c r="D863" s="42" t="s">
        <v>655</v>
      </c>
      <c r="E863" s="42" t="s">
        <v>183</v>
      </c>
      <c r="F863" s="42" t="str">
        <f>+IFERROR(VLOOKUP(E863,'DANH MỤC'!$C:$H,2,0),"")</f>
        <v>Ống lõi giấy phi 120x7x90mm</v>
      </c>
      <c r="G863" s="42" t="str">
        <f>+IFERROR(VLOOKUP(E863,'DANH MỤC'!$C:$H,6,0),"")</f>
        <v>Cái</v>
      </c>
      <c r="H863" s="42">
        <f>+IFERROR(VLOOKUP(E863,'DANH MỤC'!$C:$H,3,0),"")</f>
        <v>120</v>
      </c>
      <c r="I863" s="42">
        <f>+IFERROR(VLOOKUP(E863,'DANH MỤC'!$C:$H,4,0),"")</f>
        <v>70</v>
      </c>
      <c r="J863" s="42">
        <f>+IFERROR(VLOOKUP(E863,'DANH MỤC'!$C:$H,5,0),"")</f>
        <v>90</v>
      </c>
      <c r="K863" s="53"/>
      <c r="L863" s="58">
        <v>300.0</v>
      </c>
      <c r="M863" s="55"/>
      <c r="N863" s="55"/>
    </row>
    <row r="864" ht="15.75" customHeight="1">
      <c r="A864" s="53">
        <f t="shared" si="1"/>
        <v>859</v>
      </c>
      <c r="B864" s="55" t="s">
        <v>402</v>
      </c>
      <c r="C864" s="41">
        <v>45859.0</v>
      </c>
      <c r="D864" s="42" t="s">
        <v>655</v>
      </c>
      <c r="E864" s="42" t="s">
        <v>182</v>
      </c>
      <c r="F864" s="42" t="str">
        <f>+IFERROR(VLOOKUP(E864,'DANH MỤC'!$C:$H,2,0),"")</f>
        <v>Ống lõi giấy phi 120x7x71mm</v>
      </c>
      <c r="G864" s="42" t="str">
        <f>+IFERROR(VLOOKUP(E864,'DANH MỤC'!$C:$H,6,0),"")</f>
        <v>Cái</v>
      </c>
      <c r="H864" s="42">
        <f>+IFERROR(VLOOKUP(E864,'DANH MỤC'!$C:$H,3,0),"")</f>
        <v>120</v>
      </c>
      <c r="I864" s="42">
        <f>+IFERROR(VLOOKUP(E864,'DANH MỤC'!$C:$H,4,0),"")</f>
        <v>70</v>
      </c>
      <c r="J864" s="42">
        <f>+IFERROR(VLOOKUP(E864,'DANH MỤC'!$C:$H,5,0),"")</f>
        <v>71</v>
      </c>
      <c r="K864" s="53"/>
      <c r="L864" s="58">
        <v>398.0</v>
      </c>
      <c r="M864" s="55"/>
      <c r="N864" s="55"/>
    </row>
    <row r="865" ht="15.75" customHeight="1">
      <c r="A865" s="53">
        <f t="shared" si="1"/>
        <v>860</v>
      </c>
      <c r="B865" s="55" t="s">
        <v>402</v>
      </c>
      <c r="C865" s="41">
        <v>45859.0</v>
      </c>
      <c r="D865" s="42" t="s">
        <v>655</v>
      </c>
      <c r="E865" s="42" t="s">
        <v>127</v>
      </c>
      <c r="F865" s="42" t="str">
        <f>+IFERROR(VLOOKUP(E865,'DANH MỤC'!$C:$H,2,0),"")</f>
        <v>Pallet gỗ 1100x1100x130mm</v>
      </c>
      <c r="G865" s="42" t="str">
        <f>+IFERROR(VLOOKUP(E865,'DANH MỤC'!$C:$H,6,0),"")</f>
        <v>Bộ</v>
      </c>
      <c r="H865" s="42">
        <f>+IFERROR(VLOOKUP(E865,'DANH MỤC'!$C:$H,3,0),"")</f>
        <v>1100</v>
      </c>
      <c r="I865" s="42">
        <f>+IFERROR(VLOOKUP(E865,'DANH MỤC'!$C:$H,4,0),"")</f>
        <v>1100</v>
      </c>
      <c r="J865" s="42">
        <f>+IFERROR(VLOOKUP(E865,'DANH MỤC'!$C:$H,5,0),"")</f>
        <v>130</v>
      </c>
      <c r="K865" s="53"/>
      <c r="L865" s="58">
        <v>29.0</v>
      </c>
      <c r="M865" s="55"/>
      <c r="N865" s="55"/>
    </row>
    <row r="866" ht="15.75" customHeight="1">
      <c r="A866" s="53">
        <f t="shared" si="1"/>
        <v>861</v>
      </c>
      <c r="B866" s="55" t="s">
        <v>402</v>
      </c>
      <c r="C866" s="41">
        <v>45859.0</v>
      </c>
      <c r="D866" s="42" t="s">
        <v>655</v>
      </c>
      <c r="E866" s="42" t="s">
        <v>96</v>
      </c>
      <c r="F866" s="42" t="str">
        <f>+IFERROR(VLOOKUP(E866,'DANH MỤC'!$C:$H,2,0),"")</f>
        <v>Giấy bao gói lưỡi gà</v>
      </c>
      <c r="G866" s="42" t="str">
        <f>+IFERROR(VLOOKUP(E866,'DANH MỤC'!$C:$H,6,0),"")</f>
        <v>Kg</v>
      </c>
      <c r="H866" s="42" t="str">
        <f>+IFERROR(VLOOKUP(E866,'DANH MỤC'!$C:$H,3,0),"")</f>
        <v/>
      </c>
      <c r="I866" s="42" t="str">
        <f>+IFERROR(VLOOKUP(E866,'DANH MỤC'!$C:$H,4,0),"")</f>
        <v/>
      </c>
      <c r="J866" s="42" t="str">
        <f>+IFERROR(VLOOKUP(E866,'DANH MỤC'!$C:$H,5,0),"")</f>
        <v/>
      </c>
      <c r="K866" s="53"/>
      <c r="L866" s="58">
        <v>20.46</v>
      </c>
      <c r="M866" s="55"/>
      <c r="N866" s="55"/>
    </row>
    <row r="867" ht="15.75" customHeight="1">
      <c r="A867" s="53">
        <f t="shared" si="1"/>
        <v>862</v>
      </c>
      <c r="B867" s="55" t="s">
        <v>402</v>
      </c>
      <c r="C867" s="41">
        <v>45859.0</v>
      </c>
      <c r="D867" s="42" t="s">
        <v>655</v>
      </c>
      <c r="E867" s="42" t="s">
        <v>112</v>
      </c>
      <c r="F867" s="42" t="str">
        <f>+IFERROR(VLOOKUP(E867,'DANH MỤC'!$C:$H,2,0),"")</f>
        <v>Dây đai PET xanh (B)</v>
      </c>
      <c r="G867" s="42" t="str">
        <f>+IFERROR(VLOOKUP(E867,'DANH MỤC'!$C:$H,6,0),"")</f>
        <v>Kg</v>
      </c>
      <c r="H867" s="42" t="str">
        <f>+IFERROR(VLOOKUP(E867,'DANH MỤC'!$C:$H,3,0),"")</f>
        <v/>
      </c>
      <c r="I867" s="42" t="str">
        <f>+IFERROR(VLOOKUP(E867,'DANH MỤC'!$C:$H,4,0),"")</f>
        <v/>
      </c>
      <c r="J867" s="42" t="str">
        <f>+IFERROR(VLOOKUP(E867,'DANH MỤC'!$C:$H,5,0),"")</f>
        <v/>
      </c>
      <c r="K867" s="53"/>
      <c r="L867" s="58">
        <v>31.9</v>
      </c>
      <c r="M867" s="55"/>
      <c r="N867" s="55"/>
    </row>
    <row r="868" ht="15.75" customHeight="1">
      <c r="A868" s="53">
        <f t="shared" si="1"/>
        <v>863</v>
      </c>
      <c r="B868" s="55" t="s">
        <v>402</v>
      </c>
      <c r="C868" s="41">
        <v>45859.0</v>
      </c>
      <c r="D868" s="42" t="s">
        <v>655</v>
      </c>
      <c r="E868" s="42" t="s">
        <v>115</v>
      </c>
      <c r="F868" s="42" t="str">
        <f>+IFERROR(VLOOKUP(E868,'DANH MỤC'!$C:$H,2,0),"")</f>
        <v>Màng Strecth Film 5.0-0.6kg</v>
      </c>
      <c r="G868" s="42" t="str">
        <f>+IFERROR(VLOOKUP(E868,'DANH MỤC'!$C:$H,6,0),"")</f>
        <v>Kg</v>
      </c>
      <c r="H868" s="42" t="str">
        <f>+IFERROR(VLOOKUP(E868,'DANH MỤC'!$C:$H,3,0),"")</f>
        <v/>
      </c>
      <c r="I868" s="42" t="str">
        <f>+IFERROR(VLOOKUP(E868,'DANH MỤC'!$C:$H,4,0),"")</f>
        <v/>
      </c>
      <c r="J868" s="42" t="str">
        <f>+IFERROR(VLOOKUP(E868,'DANH MỤC'!$C:$H,5,0),"")</f>
        <v/>
      </c>
      <c r="K868" s="53"/>
      <c r="L868" s="58">
        <v>18.85</v>
      </c>
      <c r="M868" s="55"/>
      <c r="N868" s="55"/>
    </row>
    <row r="869" ht="15.75" customHeight="1">
      <c r="A869" s="53">
        <f t="shared" si="1"/>
        <v>864</v>
      </c>
      <c r="B869" s="55" t="s">
        <v>402</v>
      </c>
      <c r="C869" s="41">
        <v>45859.0</v>
      </c>
      <c r="D869" s="42" t="s">
        <v>656</v>
      </c>
      <c r="E869" s="42" t="s">
        <v>104</v>
      </c>
      <c r="F869" s="42" t="str">
        <f>+IFERROR(VLOOKUP(E869,'DANH MỤC'!$C:$H,2,0),"")</f>
        <v>Lưỡi gà trắng 95mm x 800m x 210gsm</v>
      </c>
      <c r="G869" s="42" t="str">
        <f>+IFERROR(VLOOKUP(E869,'DANH MỤC'!$C:$H,6,0),"")</f>
        <v>Cuộn</v>
      </c>
      <c r="H869" s="42">
        <f>+IFERROR(VLOOKUP(E869,'DANH MỤC'!$C:$H,3,0),"")</f>
        <v>210</v>
      </c>
      <c r="I869" s="42">
        <f>+IFERROR(VLOOKUP(E869,'DANH MỤC'!$C:$H,4,0),"")</f>
        <v>95</v>
      </c>
      <c r="J869" s="42">
        <f>+IFERROR(VLOOKUP(E869,'DANH MỤC'!$C:$H,5,0),"")</f>
        <v>800</v>
      </c>
      <c r="K869" s="53">
        <v>1134.0</v>
      </c>
      <c r="L869" s="58"/>
      <c r="M869" s="55"/>
      <c r="N869" s="55"/>
    </row>
    <row r="870" ht="15.75" customHeight="1">
      <c r="A870" s="53">
        <f t="shared" si="1"/>
        <v>865</v>
      </c>
      <c r="B870" s="55" t="s">
        <v>402</v>
      </c>
      <c r="C870" s="41">
        <v>45859.0</v>
      </c>
      <c r="D870" s="42" t="s">
        <v>656</v>
      </c>
      <c r="E870" s="42" t="s">
        <v>81</v>
      </c>
      <c r="F870" s="42" t="str">
        <f>+IFERROR(VLOOKUP(E870,'DANH MỤC'!$C:$H,2,0),"")</f>
        <v>Lưỡi gà trắng 71mm x 800m x 210gsm</v>
      </c>
      <c r="G870" s="42" t="str">
        <f>+IFERROR(VLOOKUP(E870,'DANH MỤC'!$C:$H,6,0),"")</f>
        <v>Cuộn</v>
      </c>
      <c r="H870" s="42">
        <f>+IFERROR(VLOOKUP(E870,'DANH MỤC'!$C:$H,3,0),"")</f>
        <v>210</v>
      </c>
      <c r="I870" s="42">
        <f>+IFERROR(VLOOKUP(E870,'DANH MỤC'!$C:$H,4,0),"")</f>
        <v>71</v>
      </c>
      <c r="J870" s="42">
        <f>+IFERROR(VLOOKUP(E870,'DANH MỤC'!$C:$H,5,0),"")</f>
        <v>800</v>
      </c>
      <c r="K870" s="53">
        <v>377.0</v>
      </c>
      <c r="L870" s="58"/>
      <c r="M870" s="55"/>
      <c r="N870" s="55"/>
    </row>
    <row r="871" ht="15.75" customHeight="1">
      <c r="A871" s="53">
        <f t="shared" si="1"/>
        <v>866</v>
      </c>
      <c r="B871" s="55" t="s">
        <v>450</v>
      </c>
      <c r="C871" s="41">
        <v>45863.0</v>
      </c>
      <c r="D871" s="42" t="s">
        <v>657</v>
      </c>
      <c r="E871" s="42" t="s">
        <v>223</v>
      </c>
      <c r="F871" s="42" t="str">
        <f>+IFERROR(VLOOKUP(E871,'DANH MỤC'!$C:$H,2,0),"")</f>
        <v>Ivory Ningbo</v>
      </c>
      <c r="G871" s="42" t="str">
        <f>+IFERROR(VLOOKUP(E871,'DANH MỤC'!$C:$H,6,0),"")</f>
        <v>Kg</v>
      </c>
      <c r="H871" s="42">
        <f>+IFERROR(VLOOKUP(E871,'DANH MỤC'!$C:$H,3,0),"")</f>
        <v>230</v>
      </c>
      <c r="I871" s="42">
        <f>+IFERROR(VLOOKUP(E871,'DANH MỤC'!$C:$H,4,0),"")</f>
        <v>108</v>
      </c>
      <c r="J871" s="42" t="str">
        <f>+IFERROR(VLOOKUP(E871,'DANH MỤC'!$C:$H,5,0),"")</f>
        <v/>
      </c>
      <c r="K871" s="53"/>
      <c r="L871" s="58">
        <f>6*969-216</f>
        <v>5598</v>
      </c>
      <c r="M871" s="55"/>
      <c r="N871" s="55"/>
    </row>
    <row r="872" ht="15.75" customHeight="1">
      <c r="A872" s="53">
        <f t="shared" si="1"/>
        <v>867</v>
      </c>
      <c r="B872" s="55" t="s">
        <v>450</v>
      </c>
      <c r="C872" s="41">
        <v>45863.0</v>
      </c>
      <c r="D872" s="42" t="s">
        <v>658</v>
      </c>
      <c r="E872" s="42" t="s">
        <v>184</v>
      </c>
      <c r="F872" s="42" t="str">
        <f>+IFERROR(VLOOKUP(E872,'DANH MỤC'!$C:$H,2,0),"")</f>
        <v>Ống lõi giấy phi 120x7x95mm</v>
      </c>
      <c r="G872" s="42" t="str">
        <f>+IFERROR(VLOOKUP(E872,'DANH MỤC'!$C:$H,6,0),"")</f>
        <v>Cái</v>
      </c>
      <c r="H872" s="42">
        <f>+IFERROR(VLOOKUP(E872,'DANH MỤC'!$C:$H,3,0),"")</f>
        <v>120</v>
      </c>
      <c r="I872" s="42">
        <f>+IFERROR(VLOOKUP(E872,'DANH MỤC'!$C:$H,4,0),"")</f>
        <v>70</v>
      </c>
      <c r="J872" s="42">
        <f>+IFERROR(VLOOKUP(E872,'DANH MỤC'!$C:$H,5,0),"")</f>
        <v>95</v>
      </c>
      <c r="K872" s="53"/>
      <c r="L872" s="58">
        <v>315.0</v>
      </c>
      <c r="M872" s="55"/>
      <c r="N872" s="55"/>
    </row>
    <row r="873" ht="15.75" customHeight="1">
      <c r="A873" s="53">
        <f t="shared" si="1"/>
        <v>868</v>
      </c>
      <c r="B873" s="55" t="s">
        <v>450</v>
      </c>
      <c r="C873" s="41">
        <v>45863.0</v>
      </c>
      <c r="D873" s="42" t="s">
        <v>658</v>
      </c>
      <c r="E873" s="42" t="s">
        <v>107</v>
      </c>
      <c r="F873" s="42" t="str">
        <f>+IFERROR(VLOOKUP(E873,'DANH MỤC'!$C:$H,2,0),"")</f>
        <v>Pallet gỗ 1200x1200x130mm</v>
      </c>
      <c r="G873" s="42" t="str">
        <f>+IFERROR(VLOOKUP(E873,'DANH MỤC'!$C:$H,6,0),"")</f>
        <v>Bộ</v>
      </c>
      <c r="H873" s="42">
        <f>+IFERROR(VLOOKUP(E873,'DANH MỤC'!$C:$H,3,0),"")</f>
        <v>1200</v>
      </c>
      <c r="I873" s="42">
        <f>+IFERROR(VLOOKUP(E873,'DANH MỤC'!$C:$H,4,0),"")</f>
        <v>1200</v>
      </c>
      <c r="J873" s="42">
        <f>+IFERROR(VLOOKUP(E873,'DANH MỤC'!$C:$H,5,0),"")</f>
        <v>130</v>
      </c>
      <c r="K873" s="53"/>
      <c r="L873" s="58">
        <v>5.0</v>
      </c>
      <c r="M873" s="55"/>
      <c r="N873" s="55"/>
    </row>
    <row r="874" ht="15.75" customHeight="1">
      <c r="A874" s="53">
        <f t="shared" si="1"/>
        <v>869</v>
      </c>
      <c r="B874" s="55" t="s">
        <v>450</v>
      </c>
      <c r="C874" s="41">
        <v>45863.0</v>
      </c>
      <c r="D874" s="42" t="s">
        <v>658</v>
      </c>
      <c r="E874" s="42" t="s">
        <v>96</v>
      </c>
      <c r="F874" s="42" t="str">
        <f>+IFERROR(VLOOKUP(E874,'DANH MỤC'!$C:$H,2,0),"")</f>
        <v>Giấy bao gói lưỡi gà</v>
      </c>
      <c r="G874" s="42" t="str">
        <f>+IFERROR(VLOOKUP(E874,'DANH MỤC'!$C:$H,6,0),"")</f>
        <v>Kg</v>
      </c>
      <c r="H874" s="42" t="str">
        <f>+IFERROR(VLOOKUP(E874,'DANH MỤC'!$C:$H,3,0),"")</f>
        <v/>
      </c>
      <c r="I874" s="42" t="str">
        <f>+IFERROR(VLOOKUP(E874,'DANH MỤC'!$C:$H,4,0),"")</f>
        <v/>
      </c>
      <c r="J874" s="42" t="str">
        <f>+IFERROR(VLOOKUP(E874,'DANH MỤC'!$C:$H,5,0),"")</f>
        <v/>
      </c>
      <c r="K874" s="53"/>
      <c r="L874" s="58">
        <v>4.45</v>
      </c>
      <c r="M874" s="55"/>
      <c r="N874" s="55"/>
    </row>
    <row r="875" ht="15.75" customHeight="1">
      <c r="A875" s="53">
        <f t="shared" si="1"/>
        <v>870</v>
      </c>
      <c r="B875" s="55" t="s">
        <v>450</v>
      </c>
      <c r="C875" s="41">
        <v>45863.0</v>
      </c>
      <c r="D875" s="42" t="s">
        <v>658</v>
      </c>
      <c r="E875" s="42" t="s">
        <v>112</v>
      </c>
      <c r="F875" s="42" t="str">
        <f>+IFERROR(VLOOKUP(E875,'DANH MỤC'!$C:$H,2,0),"")</f>
        <v>Dây đai PET xanh (B)</v>
      </c>
      <c r="G875" s="42" t="str">
        <f>+IFERROR(VLOOKUP(E875,'DANH MỤC'!$C:$H,6,0),"")</f>
        <v>Kg</v>
      </c>
      <c r="H875" s="42" t="str">
        <f>+IFERROR(VLOOKUP(E875,'DANH MỤC'!$C:$H,3,0),"")</f>
        <v/>
      </c>
      <c r="I875" s="42" t="str">
        <f>+IFERROR(VLOOKUP(E875,'DANH MỤC'!$C:$H,4,0),"")</f>
        <v/>
      </c>
      <c r="J875" s="42" t="str">
        <f>+IFERROR(VLOOKUP(E875,'DANH MỤC'!$C:$H,5,0),"")</f>
        <v/>
      </c>
      <c r="K875" s="53"/>
      <c r="L875" s="58">
        <v>1.5</v>
      </c>
      <c r="M875" s="55"/>
      <c r="N875" s="55"/>
    </row>
    <row r="876" ht="15.75" customHeight="1">
      <c r="A876" s="53">
        <f t="shared" si="1"/>
        <v>871</v>
      </c>
      <c r="B876" s="55" t="s">
        <v>450</v>
      </c>
      <c r="C876" s="41">
        <v>45863.0</v>
      </c>
      <c r="D876" s="42" t="s">
        <v>658</v>
      </c>
      <c r="E876" s="42" t="s">
        <v>115</v>
      </c>
      <c r="F876" s="42" t="str">
        <f>+IFERROR(VLOOKUP(E876,'DANH MỤC'!$C:$H,2,0),"")</f>
        <v>Màng Strecth Film 5.0-0.6kg</v>
      </c>
      <c r="G876" s="42" t="str">
        <f>+IFERROR(VLOOKUP(E876,'DANH MỤC'!$C:$H,6,0),"")</f>
        <v>Kg</v>
      </c>
      <c r="H876" s="42" t="str">
        <f>+IFERROR(VLOOKUP(E876,'DANH MỤC'!$C:$H,3,0),"")</f>
        <v/>
      </c>
      <c r="I876" s="42" t="str">
        <f>+IFERROR(VLOOKUP(E876,'DANH MỤC'!$C:$H,4,0),"")</f>
        <v/>
      </c>
      <c r="J876" s="42" t="str">
        <f>+IFERROR(VLOOKUP(E876,'DANH MỤC'!$C:$H,5,0),"")</f>
        <v/>
      </c>
      <c r="K876" s="53"/>
      <c r="L876" s="58">
        <v>3.25</v>
      </c>
      <c r="M876" s="55"/>
      <c r="N876" s="55"/>
    </row>
    <row r="877" ht="15.75" customHeight="1">
      <c r="A877" s="53">
        <f t="shared" si="1"/>
        <v>872</v>
      </c>
      <c r="B877" s="55" t="s">
        <v>450</v>
      </c>
      <c r="C877" s="41">
        <v>45863.0</v>
      </c>
      <c r="D877" s="42" t="s">
        <v>659</v>
      </c>
      <c r="E877" s="42" t="s">
        <v>113</v>
      </c>
      <c r="F877" s="42" t="str">
        <f>+IFERROR(VLOOKUP(E877,'DANH MỤC'!$C:$H,2,0),"")</f>
        <v>Lưỡi gà trắng 95mm x 800m x 230gsm</v>
      </c>
      <c r="G877" s="42" t="str">
        <f>+IFERROR(VLOOKUP(E877,'DANH MỤC'!$C:$H,6,0),"")</f>
        <v>Cuộn</v>
      </c>
      <c r="H877" s="42">
        <f>+IFERROR(VLOOKUP(E877,'DANH MỤC'!$C:$H,3,0),"")</f>
        <v>230</v>
      </c>
      <c r="I877" s="42">
        <f>+IFERROR(VLOOKUP(E877,'DANH MỤC'!$C:$H,4,0),"")</f>
        <v>95</v>
      </c>
      <c r="J877" s="42">
        <f>+IFERROR(VLOOKUP(E877,'DANH MỤC'!$C:$H,5,0),"")</f>
        <v>800</v>
      </c>
      <c r="K877" s="53">
        <v>308.0</v>
      </c>
      <c r="L877" s="58"/>
      <c r="M877" s="55"/>
      <c r="N877" s="55"/>
    </row>
    <row r="878" ht="15.75" customHeight="1">
      <c r="A878" s="53">
        <f t="shared" si="1"/>
        <v>873</v>
      </c>
      <c r="B878" s="55"/>
      <c r="C878" s="41">
        <v>45866.0</v>
      </c>
      <c r="D878" s="42" t="s">
        <v>35</v>
      </c>
      <c r="E878" s="42" t="s">
        <v>213</v>
      </c>
      <c r="F878" s="42" t="str">
        <f>+IFERROR(VLOOKUP(E878,'DANH MỤC'!$C:$H,2,0),"")</f>
        <v>Ivory Ningbo</v>
      </c>
      <c r="G878" s="42" t="str">
        <f>+IFERROR(VLOOKUP(E878,'DANH MỤC'!$C:$H,6,0),"")</f>
        <v>Kg</v>
      </c>
      <c r="H878" s="42">
        <f>+IFERROR(VLOOKUP(E878,'DANH MỤC'!$C:$H,3,0),"")</f>
        <v>210</v>
      </c>
      <c r="I878" s="42">
        <f>+IFERROR(VLOOKUP(E878,'DANH MỤC'!$C:$H,4,0),"")</f>
        <v>108</v>
      </c>
      <c r="J878" s="42" t="str">
        <f>+IFERROR(VLOOKUP(E878,'DANH MỤC'!$C:$H,5,0),"")</f>
        <v/>
      </c>
      <c r="K878" s="58">
        <f>26*987</f>
        <v>25662</v>
      </c>
      <c r="L878" s="58"/>
      <c r="M878" s="55" t="s">
        <v>660</v>
      </c>
      <c r="N878" s="55"/>
    </row>
    <row r="879" ht="15.75" customHeight="1">
      <c r="A879" s="53">
        <f t="shared" si="1"/>
        <v>874</v>
      </c>
      <c r="B879" s="55"/>
      <c r="C879" s="41">
        <v>45866.0</v>
      </c>
      <c r="D879" s="42" t="s">
        <v>35</v>
      </c>
      <c r="E879" s="42" t="s">
        <v>189</v>
      </c>
      <c r="F879" s="42" t="str">
        <f>+IFERROR(VLOOKUP(E879,'DANH MỤC'!$C:$H,2,0),"")</f>
        <v>Ivory Ningbo</v>
      </c>
      <c r="G879" s="42" t="str">
        <f>+IFERROR(VLOOKUP(E879,'DANH MỤC'!$C:$H,6,0),"")</f>
        <v>Kg</v>
      </c>
      <c r="H879" s="42">
        <f>+IFERROR(VLOOKUP(E879,'DANH MỤC'!$C:$H,3,0),"")</f>
        <v>230</v>
      </c>
      <c r="I879" s="42">
        <f>+IFERROR(VLOOKUP(E879,'DANH MỤC'!$C:$H,4,0),"")</f>
        <v>109</v>
      </c>
      <c r="J879" s="42" t="str">
        <f>+IFERROR(VLOOKUP(E879,'DANH MỤC'!$C:$H,5,0),"")</f>
        <v/>
      </c>
      <c r="K879" s="53">
        <f>5*978</f>
        <v>4890</v>
      </c>
      <c r="L879" s="58"/>
      <c r="M879" s="55" t="s">
        <v>661</v>
      </c>
      <c r="N879" s="55"/>
    </row>
    <row r="880" ht="15.75" customHeight="1">
      <c r="A880" s="53">
        <f t="shared" si="1"/>
        <v>875</v>
      </c>
      <c r="B880" s="55"/>
      <c r="C880" s="41">
        <v>45866.0</v>
      </c>
      <c r="D880" s="42" t="s">
        <v>35</v>
      </c>
      <c r="E880" s="42" t="s">
        <v>213</v>
      </c>
      <c r="F880" s="42" t="str">
        <f>+IFERROR(VLOOKUP(E880,'DANH MỤC'!$C:$H,2,0),"")</f>
        <v>Ivory Ningbo</v>
      </c>
      <c r="G880" s="42" t="str">
        <f>+IFERROR(VLOOKUP(E880,'DANH MỤC'!$C:$H,6,0),"")</f>
        <v>Kg</v>
      </c>
      <c r="H880" s="42">
        <f>+IFERROR(VLOOKUP(E880,'DANH MỤC'!$C:$H,3,0),"")</f>
        <v>210</v>
      </c>
      <c r="I880" s="42">
        <f>+IFERROR(VLOOKUP(E880,'DANH MỤC'!$C:$H,4,0),"")</f>
        <v>108</v>
      </c>
      <c r="J880" s="42" t="str">
        <f>+IFERROR(VLOOKUP(E880,'DANH MỤC'!$C:$H,5,0),"")</f>
        <v/>
      </c>
      <c r="K880" s="53">
        <f>20*987</f>
        <v>19740</v>
      </c>
      <c r="L880" s="58"/>
      <c r="M880" s="55" t="s">
        <v>661</v>
      </c>
      <c r="N880" s="55"/>
    </row>
    <row r="881" ht="15.75" customHeight="1">
      <c r="A881" s="53">
        <f t="shared" si="1"/>
        <v>876</v>
      </c>
      <c r="B881" s="55"/>
      <c r="C881" s="41">
        <v>45866.0</v>
      </c>
      <c r="D881" s="42" t="s">
        <v>35</v>
      </c>
      <c r="E881" s="42" t="s">
        <v>223</v>
      </c>
      <c r="F881" s="42" t="str">
        <f>+IFERROR(VLOOKUP(E881,'DANH MỤC'!$C:$H,2,0),"")</f>
        <v>Ivory Ningbo</v>
      </c>
      <c r="G881" s="42" t="str">
        <f>+IFERROR(VLOOKUP(E881,'DANH MỤC'!$C:$H,6,0),"")</f>
        <v>Kg</v>
      </c>
      <c r="H881" s="42">
        <f>+IFERROR(VLOOKUP(E881,'DANH MỤC'!$C:$H,3,0),"")</f>
        <v>230</v>
      </c>
      <c r="I881" s="42">
        <f>+IFERROR(VLOOKUP(E881,'DANH MỤC'!$C:$H,4,0),"")</f>
        <v>108</v>
      </c>
      <c r="J881" s="42" t="str">
        <f>+IFERROR(VLOOKUP(E881,'DANH MỤC'!$C:$H,5,0),"")</f>
        <v/>
      </c>
      <c r="K881" s="53">
        <f>969*26</f>
        <v>25194</v>
      </c>
      <c r="L881" s="58"/>
      <c r="M881" s="55" t="s">
        <v>662</v>
      </c>
      <c r="N881" s="55"/>
    </row>
    <row r="882" ht="15.75" customHeight="1">
      <c r="A882" s="53">
        <f t="shared" si="1"/>
        <v>877</v>
      </c>
      <c r="B882" s="55"/>
      <c r="C882" s="41">
        <v>45866.0</v>
      </c>
      <c r="D882" s="42" t="s">
        <v>35</v>
      </c>
      <c r="E882" s="42" t="s">
        <v>88</v>
      </c>
      <c r="F882" s="42" t="str">
        <f>+IFERROR(VLOOKUP(E882,'DANH MỤC'!$C:$H,2,0),"")</f>
        <v>Ivory Ningbo</v>
      </c>
      <c r="G882" s="42" t="str">
        <f>+IFERROR(VLOOKUP(E882,'DANH MỤC'!$C:$H,6,0),"")</f>
        <v>Kg</v>
      </c>
      <c r="H882" s="42">
        <f>+IFERROR(VLOOKUP(E882,'DANH MỤC'!$C:$H,3,0),"")</f>
        <v>250</v>
      </c>
      <c r="I882" s="42">
        <f>+IFERROR(VLOOKUP(E882,'DANH MỤC'!$C:$H,4,0),"")</f>
        <v>109</v>
      </c>
      <c r="J882" s="42" t="str">
        <f>+IFERROR(VLOOKUP(E882,'DANH MỤC'!$C:$H,5,0),"")</f>
        <v/>
      </c>
      <c r="K882" s="53">
        <f>981*24</f>
        <v>23544</v>
      </c>
      <c r="L882" s="58"/>
      <c r="M882" s="55" t="s">
        <v>663</v>
      </c>
      <c r="N882" s="55"/>
    </row>
    <row r="883" ht="15.75" customHeight="1">
      <c r="A883" s="53">
        <f t="shared" si="1"/>
        <v>878</v>
      </c>
      <c r="B883" s="55"/>
      <c r="C883" s="41">
        <v>45866.0</v>
      </c>
      <c r="D883" s="42" t="s">
        <v>35</v>
      </c>
      <c r="E883" s="42" t="s">
        <v>223</v>
      </c>
      <c r="F883" s="42" t="str">
        <f>+IFERROR(VLOOKUP(E883,'DANH MỤC'!$C:$H,2,0),"")</f>
        <v>Ivory Ningbo</v>
      </c>
      <c r="G883" s="42" t="str">
        <f>+IFERROR(VLOOKUP(E883,'DANH MỤC'!$C:$H,6,0),"")</f>
        <v>Kg</v>
      </c>
      <c r="H883" s="42">
        <f>+IFERROR(VLOOKUP(E883,'DANH MỤC'!$C:$H,3,0),"")</f>
        <v>230</v>
      </c>
      <c r="I883" s="42">
        <f>+IFERROR(VLOOKUP(E883,'DANH MỤC'!$C:$H,4,0),"")</f>
        <v>108</v>
      </c>
      <c r="J883" s="42" t="str">
        <f>+IFERROR(VLOOKUP(E883,'DANH MỤC'!$C:$H,5,0),"")</f>
        <v/>
      </c>
      <c r="K883" s="53">
        <v>969.0</v>
      </c>
      <c r="L883" s="58"/>
      <c r="M883" s="55" t="s">
        <v>663</v>
      </c>
      <c r="N883" s="55"/>
    </row>
    <row r="884" ht="15.75" customHeight="1">
      <c r="A884" s="117">
        <f t="shared" si="1"/>
        <v>879</v>
      </c>
      <c r="B884" s="118"/>
      <c r="C884" s="119">
        <v>45868.0</v>
      </c>
      <c r="D884" s="120" t="s">
        <v>146</v>
      </c>
      <c r="E884" s="120" t="s">
        <v>81</v>
      </c>
      <c r="F884" s="120" t="str">
        <f>+IFERROR(VLOOKUP(E884,'DANH MỤC'!$C:$H,2,0),"")</f>
        <v>Lưỡi gà trắng 71mm x 800m x 210gsm</v>
      </c>
      <c r="G884" s="120" t="str">
        <f>+IFERROR(VLOOKUP(E884,'DANH MỤC'!$C:$H,6,0),"")</f>
        <v>Cuộn</v>
      </c>
      <c r="H884" s="120">
        <f>+IFERROR(VLOOKUP(E884,'DANH MỤC'!$C:$H,3,0),"")</f>
        <v>210</v>
      </c>
      <c r="I884" s="120">
        <f>+IFERROR(VLOOKUP(E884,'DANH MỤC'!$C:$H,4,0),"")</f>
        <v>71</v>
      </c>
      <c r="J884" s="120">
        <f>+IFERROR(VLOOKUP(E884,'DANH MỤC'!$C:$H,5,0),"")</f>
        <v>800</v>
      </c>
      <c r="K884" s="117"/>
      <c r="L884" s="121">
        <f>8*60</f>
        <v>480</v>
      </c>
      <c r="M884" s="118" t="s">
        <v>304</v>
      </c>
      <c r="N884" s="118"/>
    </row>
    <row r="885" ht="15.75" customHeight="1">
      <c r="A885" s="117">
        <f t="shared" si="1"/>
        <v>880</v>
      </c>
      <c r="B885" s="118"/>
      <c r="C885" s="119">
        <v>45868.0</v>
      </c>
      <c r="D885" s="120" t="s">
        <v>215</v>
      </c>
      <c r="E885" s="120" t="s">
        <v>113</v>
      </c>
      <c r="F885" s="120" t="str">
        <f>+IFERROR(VLOOKUP(E885,'DANH MỤC'!$C:$H,2,0),"")</f>
        <v>Lưỡi gà trắng 95mm x 800m x 230gsm</v>
      </c>
      <c r="G885" s="120" t="str">
        <f>+IFERROR(VLOOKUP(E885,'DANH MỤC'!$C:$H,6,0),"")</f>
        <v>Cuộn</v>
      </c>
      <c r="H885" s="120">
        <f>+IFERROR(VLOOKUP(E885,'DANH MỤC'!$C:$H,3,0),"")</f>
        <v>230</v>
      </c>
      <c r="I885" s="120">
        <f>+IFERROR(VLOOKUP(E885,'DANH MỤC'!$C:$H,4,0),"")</f>
        <v>95</v>
      </c>
      <c r="J885" s="120">
        <f>+IFERROR(VLOOKUP(E885,'DANH MỤC'!$C:$H,5,0),"")</f>
        <v>800</v>
      </c>
      <c r="K885" s="117"/>
      <c r="L885" s="121">
        <f>5*60</f>
        <v>300</v>
      </c>
      <c r="M885" s="118" t="s">
        <v>452</v>
      </c>
      <c r="N885" s="118"/>
    </row>
    <row r="886" ht="15.75" customHeight="1">
      <c r="A886" s="117">
        <f t="shared" si="1"/>
        <v>881</v>
      </c>
      <c r="B886" s="118"/>
      <c r="C886" s="119">
        <v>45876.0</v>
      </c>
      <c r="D886" s="120" t="s">
        <v>130</v>
      </c>
      <c r="E886" s="120" t="s">
        <v>104</v>
      </c>
      <c r="F886" s="120" t="str">
        <f>+IFERROR(VLOOKUP(E886,'DANH MỤC'!$C:$H,2,0),"")</f>
        <v>Lưỡi gà trắng 95mm x 800m x 210gsm</v>
      </c>
      <c r="G886" s="120" t="str">
        <f>+IFERROR(VLOOKUP(E886,'DANH MỤC'!$C:$H,6,0),"")</f>
        <v>Cuộn</v>
      </c>
      <c r="H886" s="120">
        <f>+IFERROR(VLOOKUP(E886,'DANH MỤC'!$C:$H,3,0),"")</f>
        <v>210</v>
      </c>
      <c r="I886" s="120">
        <f>+IFERROR(VLOOKUP(E886,'DANH MỤC'!$C:$H,4,0),"")</f>
        <v>95</v>
      </c>
      <c r="J886" s="120">
        <f>+IFERROR(VLOOKUP(E886,'DANH MỤC'!$C:$H,5,0),"")</f>
        <v>800</v>
      </c>
      <c r="K886" s="117"/>
      <c r="L886" s="121">
        <f>8*52</f>
        <v>416</v>
      </c>
      <c r="M886" s="118" t="s">
        <v>131</v>
      </c>
      <c r="N886" s="118"/>
    </row>
    <row r="887" ht="15.75" customHeight="1">
      <c r="A887" s="117">
        <f t="shared" si="1"/>
        <v>882</v>
      </c>
      <c r="B887" s="118"/>
      <c r="C887" s="119">
        <v>45876.0</v>
      </c>
      <c r="D887" s="120" t="s">
        <v>130</v>
      </c>
      <c r="E887" s="120" t="s">
        <v>123</v>
      </c>
      <c r="F887" s="120" t="str">
        <f>+IFERROR(VLOOKUP(E887,'DANH MỤC'!$C:$H,2,0),"")</f>
        <v>Lưỡi gà trắng 90mm x 800m x 250gsm</v>
      </c>
      <c r="G887" s="120" t="str">
        <f>+IFERROR(VLOOKUP(E887,'DANH MỤC'!$C:$H,6,0),"")</f>
        <v>Cuộn</v>
      </c>
      <c r="H887" s="120">
        <f>+IFERROR(VLOOKUP(E887,'DANH MỤC'!$C:$H,3,0),"")</f>
        <v>250</v>
      </c>
      <c r="I887" s="120">
        <f>+IFERROR(VLOOKUP(E887,'DANH MỤC'!$C:$H,4,0),"")</f>
        <v>90</v>
      </c>
      <c r="J887" s="120">
        <f>+IFERROR(VLOOKUP(E887,'DANH MỤC'!$C:$H,5,0),"")</f>
        <v>800</v>
      </c>
      <c r="K887" s="117"/>
      <c r="L887" s="121">
        <f>6*52</f>
        <v>312</v>
      </c>
      <c r="M887" s="118" t="s">
        <v>131</v>
      </c>
      <c r="N887" s="118"/>
    </row>
    <row r="888" ht="15.75" customHeight="1">
      <c r="A888" s="117">
        <f t="shared" si="1"/>
        <v>883</v>
      </c>
      <c r="B888" s="118"/>
      <c r="C888" s="119">
        <v>45880.0</v>
      </c>
      <c r="D888" s="120" t="s">
        <v>146</v>
      </c>
      <c r="E888" s="120" t="s">
        <v>81</v>
      </c>
      <c r="F888" s="120" t="str">
        <f>+IFERROR(VLOOKUP(E888,'DANH MỤC'!$C:$H,2,0),"")</f>
        <v>Lưỡi gà trắng 71mm x 800m x 210gsm</v>
      </c>
      <c r="G888" s="120" t="str">
        <f>+IFERROR(VLOOKUP(E888,'DANH MỤC'!$C:$H,6,0),"")</f>
        <v>Cuộn</v>
      </c>
      <c r="H888" s="120">
        <f>+IFERROR(VLOOKUP(E888,'DANH MỤC'!$C:$H,3,0),"")</f>
        <v>210</v>
      </c>
      <c r="I888" s="120">
        <f>+IFERROR(VLOOKUP(E888,'DANH MỤC'!$C:$H,4,0),"")</f>
        <v>71</v>
      </c>
      <c r="J888" s="120">
        <f>+IFERROR(VLOOKUP(E888,'DANH MỤC'!$C:$H,5,0),"")</f>
        <v>800</v>
      </c>
      <c r="K888" s="117"/>
      <c r="L888" s="121">
        <f>7*60</f>
        <v>420</v>
      </c>
      <c r="M888" s="118" t="s">
        <v>304</v>
      </c>
      <c r="N888" s="118"/>
    </row>
    <row r="889" ht="15.75" customHeight="1">
      <c r="A889" s="117">
        <f t="shared" si="1"/>
        <v>884</v>
      </c>
      <c r="B889" s="118"/>
      <c r="C889" s="119">
        <v>45880.0</v>
      </c>
      <c r="D889" s="120" t="s">
        <v>146</v>
      </c>
      <c r="E889" s="120" t="s">
        <v>104</v>
      </c>
      <c r="F889" s="120" t="str">
        <f>+IFERROR(VLOOKUP(E889,'DANH MỤC'!$C:$H,2,0),"")</f>
        <v>Lưỡi gà trắng 95mm x 800m x 210gsm</v>
      </c>
      <c r="G889" s="120" t="str">
        <f>+IFERROR(VLOOKUP(E889,'DANH MỤC'!$C:$H,6,0),"")</f>
        <v>Cuộn</v>
      </c>
      <c r="H889" s="120">
        <f>+IFERROR(VLOOKUP(E889,'DANH MỤC'!$C:$H,3,0),"")</f>
        <v>210</v>
      </c>
      <c r="I889" s="120">
        <f>+IFERROR(VLOOKUP(E889,'DANH MỤC'!$C:$H,4,0),"")</f>
        <v>95</v>
      </c>
      <c r="J889" s="120">
        <f>+IFERROR(VLOOKUP(E889,'DANH MỤC'!$C:$H,5,0),"")</f>
        <v>800</v>
      </c>
      <c r="K889" s="117"/>
      <c r="L889" s="121">
        <v>60.0</v>
      </c>
      <c r="M889" s="118" t="s">
        <v>304</v>
      </c>
      <c r="N889" s="118"/>
    </row>
    <row r="890" ht="15.75" customHeight="1">
      <c r="A890" s="53">
        <f t="shared" si="1"/>
        <v>885</v>
      </c>
      <c r="B890" s="55"/>
      <c r="C890" s="41">
        <v>45880.0</v>
      </c>
      <c r="D890" s="42" t="s">
        <v>95</v>
      </c>
      <c r="E890" s="42" t="s">
        <v>127</v>
      </c>
      <c r="F890" s="42" t="str">
        <f>+IFERROR(VLOOKUP(E890,'DANH MỤC'!$C:$H,2,0),"")</f>
        <v>Pallet gỗ 1100x1100x130mm</v>
      </c>
      <c r="G890" s="42" t="str">
        <f>+IFERROR(VLOOKUP(E890,'DANH MỤC'!$C:$H,6,0),"")</f>
        <v>Bộ</v>
      </c>
      <c r="H890" s="42">
        <f>+IFERROR(VLOOKUP(E890,'DANH MỤC'!$C:$H,3,0),"")</f>
        <v>1100</v>
      </c>
      <c r="I890" s="42">
        <f>+IFERROR(VLOOKUP(E890,'DANH MỤC'!$C:$H,4,0),"")</f>
        <v>1100</v>
      </c>
      <c r="J890" s="42">
        <f>+IFERROR(VLOOKUP(E890,'DANH MỤC'!$C:$H,5,0),"")</f>
        <v>130</v>
      </c>
      <c r="K890" s="53">
        <v>101.0</v>
      </c>
      <c r="L890" s="58"/>
      <c r="M890" s="55"/>
      <c r="N890" s="55"/>
    </row>
    <row r="891" ht="15.75" customHeight="1">
      <c r="A891" s="53">
        <f t="shared" si="1"/>
        <v>886</v>
      </c>
      <c r="B891" s="55" t="s">
        <v>304</v>
      </c>
      <c r="C891" s="41">
        <v>45885.0</v>
      </c>
      <c r="D891" s="42" t="s">
        <v>664</v>
      </c>
      <c r="E891" s="42" t="s">
        <v>213</v>
      </c>
      <c r="F891" s="42" t="str">
        <f>+IFERROR(VLOOKUP(E891,'DANH MỤC'!$C:$H,2,0),"")</f>
        <v>Ivory Ningbo</v>
      </c>
      <c r="G891" s="42" t="str">
        <f>+IFERROR(VLOOKUP(E891,'DANH MỤC'!$C:$H,6,0),"")</f>
        <v>Kg</v>
      </c>
      <c r="H891" s="42">
        <f>+IFERROR(VLOOKUP(E891,'DANH MỤC'!$C:$H,3,0),"")</f>
        <v>210</v>
      </c>
      <c r="I891" s="42">
        <f>+IFERROR(VLOOKUP(E891,'DANH MỤC'!$C:$H,4,0),"")</f>
        <v>108</v>
      </c>
      <c r="J891" s="42" t="str">
        <f>+IFERROR(VLOOKUP(E891,'DANH MỤC'!$C:$H,5,0),"")</f>
        <v/>
      </c>
      <c r="K891" s="53"/>
      <c r="L891" s="58">
        <f>200+35*987-50</f>
        <v>34695</v>
      </c>
      <c r="M891" s="55"/>
      <c r="N891" s="55"/>
    </row>
    <row r="892" ht="15.75" customHeight="1">
      <c r="A892" s="53">
        <f t="shared" si="1"/>
        <v>887</v>
      </c>
      <c r="B892" s="55" t="s">
        <v>304</v>
      </c>
      <c r="C892" s="41">
        <v>45885.0</v>
      </c>
      <c r="D892" s="42" t="s">
        <v>665</v>
      </c>
      <c r="E892" s="42" t="s">
        <v>182</v>
      </c>
      <c r="F892" s="42" t="str">
        <f>+IFERROR(VLOOKUP(E892,'DANH MỤC'!$C:$H,2,0),"")</f>
        <v>Ống lõi giấy phi 120x7x71mm</v>
      </c>
      <c r="G892" s="42" t="str">
        <f>+IFERROR(VLOOKUP(E892,'DANH MỤC'!$C:$H,6,0),"")</f>
        <v>Cái</v>
      </c>
      <c r="H892" s="42">
        <f>+IFERROR(VLOOKUP(E892,'DANH MỤC'!$C:$H,3,0),"")</f>
        <v>120</v>
      </c>
      <c r="I892" s="42">
        <f>+IFERROR(VLOOKUP(E892,'DANH MỤC'!$C:$H,4,0),"")</f>
        <v>70</v>
      </c>
      <c r="J892" s="42">
        <f>+IFERROR(VLOOKUP(E892,'DANH MỤC'!$C:$H,5,0),"")</f>
        <v>71</v>
      </c>
      <c r="K892" s="53"/>
      <c r="L892" s="58">
        <v>2870.0</v>
      </c>
      <c r="M892" s="55"/>
      <c r="N892" s="55"/>
    </row>
    <row r="893" ht="15.75" customHeight="1">
      <c r="A893" s="53">
        <f t="shared" si="1"/>
        <v>888</v>
      </c>
      <c r="B893" s="55" t="s">
        <v>304</v>
      </c>
      <c r="C893" s="41">
        <v>45885.0</v>
      </c>
      <c r="D893" s="42" t="s">
        <v>665</v>
      </c>
      <c r="E893" s="42" t="s">
        <v>127</v>
      </c>
      <c r="F893" s="42" t="str">
        <f>+IFERROR(VLOOKUP(E893,'DANH MỤC'!$C:$H,2,0),"")</f>
        <v>Pallet gỗ 1100x1100x130mm</v>
      </c>
      <c r="G893" s="42" t="str">
        <f>+IFERROR(VLOOKUP(E893,'DANH MỤC'!$C:$H,6,0),"")</f>
        <v>Bộ</v>
      </c>
      <c r="H893" s="42">
        <f>+IFERROR(VLOOKUP(E893,'DANH MỤC'!$C:$H,3,0),"")</f>
        <v>1100</v>
      </c>
      <c r="I893" s="42">
        <f>+IFERROR(VLOOKUP(E893,'DANH MỤC'!$C:$H,4,0),"")</f>
        <v>1100</v>
      </c>
      <c r="J893" s="42">
        <f>+IFERROR(VLOOKUP(E893,'DANH MỤC'!$C:$H,5,0),"")</f>
        <v>130</v>
      </c>
      <c r="K893" s="53"/>
      <c r="L893" s="58">
        <v>46.0</v>
      </c>
      <c r="M893" s="55"/>
      <c r="N893" s="55"/>
    </row>
    <row r="894" ht="15.75" customHeight="1">
      <c r="A894" s="53">
        <f t="shared" si="1"/>
        <v>889</v>
      </c>
      <c r="B894" s="55" t="s">
        <v>304</v>
      </c>
      <c r="C894" s="41">
        <v>45885.0</v>
      </c>
      <c r="D894" s="42" t="s">
        <v>665</v>
      </c>
      <c r="E894" s="42" t="s">
        <v>96</v>
      </c>
      <c r="F894" s="42" t="str">
        <f>+IFERROR(VLOOKUP(E894,'DANH MỤC'!$C:$H,2,0),"")</f>
        <v>Giấy bao gói lưỡi gà</v>
      </c>
      <c r="G894" s="42" t="str">
        <f>+IFERROR(VLOOKUP(E894,'DANH MỤC'!$C:$H,6,0),"")</f>
        <v>Kg</v>
      </c>
      <c r="H894" s="42" t="str">
        <f>+IFERROR(VLOOKUP(E894,'DANH MỤC'!$C:$H,3,0),"")</f>
        <v/>
      </c>
      <c r="I894" s="42" t="str">
        <f>+IFERROR(VLOOKUP(E894,'DANH MỤC'!$C:$H,4,0),"")</f>
        <v/>
      </c>
      <c r="J894" s="42" t="str">
        <f>+IFERROR(VLOOKUP(E894,'DANH MỤC'!$C:$H,5,0),"")</f>
        <v/>
      </c>
      <c r="K894" s="53"/>
      <c r="L894" s="58">
        <v>30.61</v>
      </c>
      <c r="M894" s="55"/>
      <c r="N894" s="55"/>
    </row>
    <row r="895" ht="15.75" customHeight="1">
      <c r="A895" s="53">
        <f t="shared" si="1"/>
        <v>890</v>
      </c>
      <c r="B895" s="55" t="s">
        <v>304</v>
      </c>
      <c r="C895" s="41">
        <v>45885.0</v>
      </c>
      <c r="D895" s="42" t="s">
        <v>665</v>
      </c>
      <c r="E895" s="42" t="s">
        <v>112</v>
      </c>
      <c r="F895" s="42" t="str">
        <f>+IFERROR(VLOOKUP(E895,'DANH MỤC'!$C:$H,2,0),"")</f>
        <v>Dây đai PET xanh (B)</v>
      </c>
      <c r="G895" s="42" t="str">
        <f>+IFERROR(VLOOKUP(E895,'DANH MỤC'!$C:$H,6,0),"")</f>
        <v>Kg</v>
      </c>
      <c r="H895" s="42" t="str">
        <f>+IFERROR(VLOOKUP(E895,'DANH MỤC'!$C:$H,3,0),"")</f>
        <v/>
      </c>
      <c r="I895" s="42" t="str">
        <f>+IFERROR(VLOOKUP(E895,'DANH MỤC'!$C:$H,4,0),"")</f>
        <v/>
      </c>
      <c r="J895" s="42" t="str">
        <f>+IFERROR(VLOOKUP(E895,'DANH MỤC'!$C:$H,5,0),"")</f>
        <v/>
      </c>
      <c r="K895" s="53"/>
      <c r="L895" s="58">
        <v>13.8</v>
      </c>
      <c r="M895" s="55"/>
      <c r="N895" s="55"/>
    </row>
    <row r="896" ht="15.75" customHeight="1">
      <c r="A896" s="53">
        <f t="shared" si="1"/>
        <v>891</v>
      </c>
      <c r="B896" s="55" t="s">
        <v>304</v>
      </c>
      <c r="C896" s="41">
        <v>45885.0</v>
      </c>
      <c r="D896" s="42" t="s">
        <v>665</v>
      </c>
      <c r="E896" s="42" t="s">
        <v>115</v>
      </c>
      <c r="F896" s="42" t="str">
        <f>+IFERROR(VLOOKUP(E896,'DANH MỤC'!$C:$H,2,0),"")</f>
        <v>Màng Strecth Film 5.0-0.6kg</v>
      </c>
      <c r="G896" s="42" t="str">
        <f>+IFERROR(VLOOKUP(E896,'DANH MỤC'!$C:$H,6,0),"")</f>
        <v>Kg</v>
      </c>
      <c r="H896" s="42" t="str">
        <f>+IFERROR(VLOOKUP(E896,'DANH MỤC'!$C:$H,3,0),"")</f>
        <v/>
      </c>
      <c r="I896" s="42" t="str">
        <f>+IFERROR(VLOOKUP(E896,'DANH MỤC'!$C:$H,4,0),"")</f>
        <v/>
      </c>
      <c r="J896" s="42" t="str">
        <f>+IFERROR(VLOOKUP(E896,'DANH MỤC'!$C:$H,5,0),"")</f>
        <v/>
      </c>
      <c r="K896" s="53"/>
      <c r="L896" s="58">
        <v>29.9</v>
      </c>
      <c r="M896" s="55"/>
      <c r="N896" s="55"/>
    </row>
    <row r="897" ht="15.75" customHeight="1">
      <c r="A897" s="53">
        <f t="shared" si="1"/>
        <v>892</v>
      </c>
      <c r="B897" s="55" t="s">
        <v>304</v>
      </c>
      <c r="C897" s="41">
        <v>45885.0</v>
      </c>
      <c r="D897" s="42" t="s">
        <v>666</v>
      </c>
      <c r="E897" s="42" t="s">
        <v>81</v>
      </c>
      <c r="F897" s="42" t="str">
        <f>+IFERROR(VLOOKUP(E897,'DANH MỤC'!$C:$H,2,0),"")</f>
        <v>Lưỡi gà trắng 71mm x 800m x 210gsm</v>
      </c>
      <c r="G897" s="42" t="str">
        <f>+IFERROR(VLOOKUP(E897,'DANH MỤC'!$C:$H,6,0),"")</f>
        <v>Cuộn</v>
      </c>
      <c r="H897" s="42">
        <f>+IFERROR(VLOOKUP(E897,'DANH MỤC'!$C:$H,3,0),"")</f>
        <v>210</v>
      </c>
      <c r="I897" s="42">
        <f>+IFERROR(VLOOKUP(E897,'DANH MỤC'!$C:$H,4,0),"")</f>
        <v>71</v>
      </c>
      <c r="J897" s="42">
        <f>+IFERROR(VLOOKUP(E897,'DANH MỤC'!$C:$H,5,0),"")</f>
        <v>800</v>
      </c>
      <c r="K897" s="53">
        <f>2834-12</f>
        <v>2822</v>
      </c>
      <c r="L897" s="58"/>
      <c r="M897" s="55"/>
      <c r="N897" s="55"/>
    </row>
    <row r="898" ht="15.75" customHeight="1">
      <c r="A898" s="53">
        <f t="shared" si="1"/>
        <v>893</v>
      </c>
      <c r="B898" s="55" t="s">
        <v>304</v>
      </c>
      <c r="C898" s="41">
        <v>45885.0</v>
      </c>
      <c r="D898" s="42" t="s">
        <v>667</v>
      </c>
      <c r="E898" s="42" t="s">
        <v>96</v>
      </c>
      <c r="F898" s="42" t="str">
        <f>+IFERROR(VLOOKUP(E898,'DANH MỤC'!$C:$H,2,0),"")</f>
        <v>Giấy bao gói lưỡi gà</v>
      </c>
      <c r="G898" s="42" t="str">
        <f>+IFERROR(VLOOKUP(E898,'DANH MỤC'!$C:$H,6,0),"")</f>
        <v>Kg</v>
      </c>
      <c r="H898" s="42" t="str">
        <f>+IFERROR(VLOOKUP(E898,'DANH MỤC'!$C:$H,3,0),"")</f>
        <v/>
      </c>
      <c r="I898" s="42" t="str">
        <f>+IFERROR(VLOOKUP(E898,'DANH MỤC'!$C:$H,4,0),"")</f>
        <v/>
      </c>
      <c r="J898" s="42" t="str">
        <f>+IFERROR(VLOOKUP(E898,'DANH MỤC'!$C:$H,5,0),"")</f>
        <v/>
      </c>
      <c r="K898" s="53"/>
      <c r="L898" s="58">
        <v>0.13</v>
      </c>
      <c r="M898" s="55"/>
      <c r="N898" s="55"/>
    </row>
    <row r="899" ht="15.75" customHeight="1">
      <c r="A899" s="53">
        <f t="shared" si="1"/>
        <v>894</v>
      </c>
      <c r="B899" s="55" t="s">
        <v>304</v>
      </c>
      <c r="C899" s="41">
        <v>45885.0</v>
      </c>
      <c r="D899" s="42" t="s">
        <v>319</v>
      </c>
      <c r="E899" s="42" t="s">
        <v>81</v>
      </c>
      <c r="F899" s="42" t="str">
        <f>+IFERROR(VLOOKUP(E899,'DANH MỤC'!$C:$H,2,0),"")</f>
        <v>Lưỡi gà trắng 71mm x 800m x 210gsm</v>
      </c>
      <c r="G899" s="42" t="str">
        <f>+IFERROR(VLOOKUP(E899,'DANH MỤC'!$C:$H,6,0),"")</f>
        <v>Cuộn</v>
      </c>
      <c r="H899" s="42">
        <f>+IFERROR(VLOOKUP(E899,'DANH MỤC'!$C:$H,3,0),"")</f>
        <v>210</v>
      </c>
      <c r="I899" s="42">
        <f>+IFERROR(VLOOKUP(E899,'DANH MỤC'!$C:$H,4,0),"")</f>
        <v>71</v>
      </c>
      <c r="J899" s="42">
        <f>+IFERROR(VLOOKUP(E899,'DANH MỤC'!$C:$H,5,0),"")</f>
        <v>800</v>
      </c>
      <c r="K899" s="53">
        <v>12.0</v>
      </c>
      <c r="L899" s="58"/>
      <c r="M899" s="55" t="s">
        <v>668</v>
      </c>
      <c r="N899" s="55"/>
    </row>
    <row r="900" ht="15.75" customHeight="1">
      <c r="A900" s="117">
        <f t="shared" si="1"/>
        <v>895</v>
      </c>
      <c r="B900" s="118"/>
      <c r="C900" s="119">
        <v>45887.0</v>
      </c>
      <c r="D900" s="120" t="s">
        <v>146</v>
      </c>
      <c r="E900" s="120" t="s">
        <v>81</v>
      </c>
      <c r="F900" s="120" t="str">
        <f>+IFERROR(VLOOKUP(E900,'DANH MỤC'!$C:$H,2,0),"")</f>
        <v>Lưỡi gà trắng 71mm x 800m x 210gsm</v>
      </c>
      <c r="G900" s="120" t="str">
        <f>+IFERROR(VLOOKUP(E900,'DANH MỤC'!$C:$H,6,0),"")</f>
        <v>Cuộn</v>
      </c>
      <c r="H900" s="120">
        <f>+IFERROR(VLOOKUP(E900,'DANH MỤC'!$C:$H,3,0),"")</f>
        <v>210</v>
      </c>
      <c r="I900" s="120">
        <f>+IFERROR(VLOOKUP(E900,'DANH MỤC'!$C:$H,4,0),"")</f>
        <v>71</v>
      </c>
      <c r="J900" s="120">
        <f>+IFERROR(VLOOKUP(E900,'DANH MỤC'!$C:$H,5,0),"")</f>
        <v>800</v>
      </c>
      <c r="K900" s="117"/>
      <c r="L900" s="121">
        <f>15*60</f>
        <v>900</v>
      </c>
      <c r="M900" s="118" t="s">
        <v>304</v>
      </c>
      <c r="N900" s="118"/>
    </row>
    <row r="901" ht="15.75" customHeight="1">
      <c r="A901" s="117">
        <f t="shared" si="1"/>
        <v>896</v>
      </c>
      <c r="B901" s="118"/>
      <c r="C901" s="119">
        <v>45890.0</v>
      </c>
      <c r="D901" s="120" t="s">
        <v>215</v>
      </c>
      <c r="E901" s="120" t="s">
        <v>113</v>
      </c>
      <c r="F901" s="120" t="str">
        <f>+IFERROR(VLOOKUP(E901,'DANH MỤC'!$C:$H,2,0),"")</f>
        <v>Lưỡi gà trắng 95mm x 800m x 230gsm</v>
      </c>
      <c r="G901" s="120" t="str">
        <f>+IFERROR(VLOOKUP(E901,'DANH MỤC'!$C:$H,6,0),"")</f>
        <v>Cuộn</v>
      </c>
      <c r="H901" s="120">
        <f>+IFERROR(VLOOKUP(E901,'DANH MỤC'!$C:$H,3,0),"")</f>
        <v>230</v>
      </c>
      <c r="I901" s="120">
        <f>+IFERROR(VLOOKUP(E901,'DANH MỤC'!$C:$H,4,0),"")</f>
        <v>95</v>
      </c>
      <c r="J901" s="120">
        <f>+IFERROR(VLOOKUP(E901,'DANH MỤC'!$C:$H,5,0),"")</f>
        <v>800</v>
      </c>
      <c r="K901" s="117"/>
      <c r="L901" s="121">
        <f>5*60</f>
        <v>300</v>
      </c>
      <c r="M901" s="118" t="s">
        <v>452</v>
      </c>
      <c r="N901" s="118"/>
    </row>
    <row r="902" ht="15.75" customHeight="1">
      <c r="A902" s="53">
        <f t="shared" si="1"/>
        <v>897</v>
      </c>
      <c r="B902" s="55"/>
      <c r="C902" s="41">
        <v>45892.0</v>
      </c>
      <c r="D902" s="42" t="s">
        <v>95</v>
      </c>
      <c r="E902" s="42" t="s">
        <v>183</v>
      </c>
      <c r="F902" s="42" t="str">
        <f>+IFERROR(VLOOKUP(E902,'DANH MỤC'!$C:$H,2,0),"")</f>
        <v>Ống lõi giấy phi 120x7x90mm</v>
      </c>
      <c r="G902" s="42" t="str">
        <f>+IFERROR(VLOOKUP(E902,'DANH MỤC'!$C:$H,6,0),"")</f>
        <v>Cái</v>
      </c>
      <c r="H902" s="42">
        <f>+IFERROR(VLOOKUP(E902,'DANH MỤC'!$C:$H,3,0),"")</f>
        <v>120</v>
      </c>
      <c r="I902" s="42">
        <f>+IFERROR(VLOOKUP(E902,'DANH MỤC'!$C:$H,4,0),"")</f>
        <v>70</v>
      </c>
      <c r="J902" s="42">
        <f>+IFERROR(VLOOKUP(E902,'DANH MỤC'!$C:$H,5,0),"")</f>
        <v>90</v>
      </c>
      <c r="K902" s="53">
        <v>1000.0</v>
      </c>
      <c r="L902" s="58"/>
      <c r="M902" s="55"/>
      <c r="N902" s="55"/>
    </row>
    <row r="903" ht="15.75" customHeight="1">
      <c r="A903" s="53">
        <f t="shared" si="1"/>
        <v>898</v>
      </c>
      <c r="B903" s="55" t="s">
        <v>669</v>
      </c>
      <c r="C903" s="41">
        <v>45894.0</v>
      </c>
      <c r="D903" s="42" t="s">
        <v>670</v>
      </c>
      <c r="E903" s="42" t="s">
        <v>223</v>
      </c>
      <c r="F903" s="42" t="str">
        <f>+IFERROR(VLOOKUP(E903,'DANH MỤC'!$C:$H,2,0),"")</f>
        <v>Ivory Ningbo</v>
      </c>
      <c r="G903" s="42" t="str">
        <f>+IFERROR(VLOOKUP(E903,'DANH MỤC'!$C:$H,6,0),"")</f>
        <v>Kg</v>
      </c>
      <c r="H903" s="42">
        <f>+IFERROR(VLOOKUP(E903,'DANH MỤC'!$C:$H,3,0),"")</f>
        <v>230</v>
      </c>
      <c r="I903" s="42">
        <f>+IFERROR(VLOOKUP(E903,'DANH MỤC'!$C:$H,4,0),"")</f>
        <v>108</v>
      </c>
      <c r="J903" s="42" t="str">
        <f>+IFERROR(VLOOKUP(E903,'DANH MỤC'!$C:$H,5,0),"")</f>
        <v/>
      </c>
      <c r="K903" s="53"/>
      <c r="L903" s="58">
        <f>17*969+216-261</f>
        <v>16428</v>
      </c>
      <c r="M903" s="55"/>
      <c r="N903" s="55"/>
    </row>
    <row r="904" ht="15.75" customHeight="1">
      <c r="A904" s="53">
        <f t="shared" si="1"/>
        <v>899</v>
      </c>
      <c r="B904" s="55" t="s">
        <v>669</v>
      </c>
      <c r="C904" s="41">
        <v>45894.0</v>
      </c>
      <c r="D904" s="42" t="s">
        <v>671</v>
      </c>
      <c r="E904" s="42" t="s">
        <v>184</v>
      </c>
      <c r="F904" s="42" t="str">
        <f>+IFERROR(VLOOKUP(E904,'DANH MỤC'!$C:$H,2,0),"")</f>
        <v>Ống lõi giấy phi 120x7x95mm</v>
      </c>
      <c r="G904" s="42" t="str">
        <f>+IFERROR(VLOOKUP(E904,'DANH MỤC'!$C:$H,6,0),"")</f>
        <v>Cái</v>
      </c>
      <c r="H904" s="42">
        <f>+IFERROR(VLOOKUP(E904,'DANH MỤC'!$C:$H,3,0),"")</f>
        <v>120</v>
      </c>
      <c r="I904" s="42">
        <f>+IFERROR(VLOOKUP(E904,'DANH MỤC'!$C:$H,4,0),"")</f>
        <v>70</v>
      </c>
      <c r="J904" s="42">
        <f>+IFERROR(VLOOKUP(E904,'DANH MỤC'!$C:$H,5,0),"")</f>
        <v>95</v>
      </c>
      <c r="K904" s="53"/>
      <c r="L904" s="58">
        <v>1116.0</v>
      </c>
      <c r="M904" s="55"/>
      <c r="N904" s="55"/>
    </row>
    <row r="905" ht="15.75" customHeight="1">
      <c r="A905" s="53">
        <f t="shared" si="1"/>
        <v>900</v>
      </c>
      <c r="B905" s="55" t="s">
        <v>669</v>
      </c>
      <c r="C905" s="41">
        <v>45894.0</v>
      </c>
      <c r="D905" s="42" t="s">
        <v>671</v>
      </c>
      <c r="E905" s="42" t="s">
        <v>204</v>
      </c>
      <c r="F905" s="42" t="str">
        <f>+IFERROR(VLOOKUP(E905,'DANH MỤC'!$C:$H,2,0),"")</f>
        <v>Ống lõi giấy phi 120x7x98mm</v>
      </c>
      <c r="G905" s="42" t="str">
        <f>+IFERROR(VLOOKUP(E905,'DANH MỤC'!$C:$H,6,0),"")</f>
        <v>Cái</v>
      </c>
      <c r="H905" s="42">
        <f>+IFERROR(VLOOKUP(E905,'DANH MỤC'!$C:$H,3,0),"")</f>
        <v>120</v>
      </c>
      <c r="I905" s="42">
        <f>+IFERROR(VLOOKUP(E905,'DANH MỤC'!$C:$H,4,0),"")</f>
        <v>70</v>
      </c>
      <c r="J905" s="42">
        <f>+IFERROR(VLOOKUP(E905,'DANH MỤC'!$C:$H,5,0),"")</f>
        <v>98</v>
      </c>
      <c r="K905" s="53"/>
      <c r="L905" s="58">
        <v>53.0</v>
      </c>
      <c r="M905" s="55"/>
      <c r="N905" s="55"/>
    </row>
    <row r="906" ht="15.75" customHeight="1">
      <c r="A906" s="53">
        <f t="shared" si="1"/>
        <v>901</v>
      </c>
      <c r="B906" s="55" t="s">
        <v>669</v>
      </c>
      <c r="C906" s="41">
        <v>45894.0</v>
      </c>
      <c r="D906" s="42" t="s">
        <v>671</v>
      </c>
      <c r="E906" s="42" t="s">
        <v>107</v>
      </c>
      <c r="F906" s="42" t="str">
        <f>+IFERROR(VLOOKUP(E906,'DANH MỤC'!$C:$H,2,0),"")</f>
        <v>Pallet gỗ 1200x1200x130mm</v>
      </c>
      <c r="G906" s="42" t="str">
        <f>+IFERROR(VLOOKUP(E906,'DANH MỤC'!$C:$H,6,0),"")</f>
        <v>Bộ</v>
      </c>
      <c r="H906" s="42">
        <f>+IFERROR(VLOOKUP(E906,'DANH MỤC'!$C:$H,3,0),"")</f>
        <v>1200</v>
      </c>
      <c r="I906" s="42">
        <f>+IFERROR(VLOOKUP(E906,'DANH MỤC'!$C:$H,4,0),"")</f>
        <v>1200</v>
      </c>
      <c r="J906" s="42">
        <f>+IFERROR(VLOOKUP(E906,'DANH MỤC'!$C:$H,5,0),"")</f>
        <v>130</v>
      </c>
      <c r="K906" s="53"/>
      <c r="L906" s="58">
        <v>15.0</v>
      </c>
      <c r="M906" s="55"/>
      <c r="N906" s="55"/>
    </row>
    <row r="907" ht="15.75" customHeight="1">
      <c r="A907" s="53">
        <f t="shared" si="1"/>
        <v>902</v>
      </c>
      <c r="B907" s="55" t="s">
        <v>669</v>
      </c>
      <c r="C907" s="41">
        <v>45894.0</v>
      </c>
      <c r="D907" s="42" t="s">
        <v>671</v>
      </c>
      <c r="E907" s="42" t="s">
        <v>96</v>
      </c>
      <c r="F907" s="42" t="str">
        <f>+IFERROR(VLOOKUP(E907,'DANH MỤC'!$C:$H,2,0),"")</f>
        <v>Giấy bao gói lưỡi gà</v>
      </c>
      <c r="G907" s="42" t="str">
        <f>+IFERROR(VLOOKUP(E907,'DANH MỤC'!$C:$H,6,0),"")</f>
        <v>Kg</v>
      </c>
      <c r="H907" s="42" t="str">
        <f>+IFERROR(VLOOKUP(E907,'DANH MỤC'!$C:$H,3,0),"")</f>
        <v/>
      </c>
      <c r="I907" s="42" t="str">
        <f>+IFERROR(VLOOKUP(E907,'DANH MỤC'!$C:$H,4,0),"")</f>
        <v/>
      </c>
      <c r="J907" s="42" t="str">
        <f>+IFERROR(VLOOKUP(E907,'DANH MỤC'!$C:$H,5,0),"")</f>
        <v/>
      </c>
      <c r="K907" s="53"/>
      <c r="L907" s="58">
        <v>12.98</v>
      </c>
      <c r="M907" s="55"/>
      <c r="N907" s="55"/>
    </row>
    <row r="908" ht="15.75" customHeight="1">
      <c r="A908" s="53">
        <f t="shared" si="1"/>
        <v>903</v>
      </c>
      <c r="B908" s="55" t="s">
        <v>669</v>
      </c>
      <c r="C908" s="41">
        <v>45894.0</v>
      </c>
      <c r="D908" s="42" t="s">
        <v>671</v>
      </c>
      <c r="E908" s="42" t="s">
        <v>112</v>
      </c>
      <c r="F908" s="42" t="str">
        <f>+IFERROR(VLOOKUP(E908,'DANH MỤC'!$C:$H,2,0),"")</f>
        <v>Dây đai PET xanh (B)</v>
      </c>
      <c r="G908" s="42" t="str">
        <f>+IFERROR(VLOOKUP(E908,'DANH MỤC'!$C:$H,6,0),"")</f>
        <v>Kg</v>
      </c>
      <c r="H908" s="42" t="str">
        <f>+IFERROR(VLOOKUP(E908,'DANH MỤC'!$C:$H,3,0),"")</f>
        <v/>
      </c>
      <c r="I908" s="42" t="str">
        <f>+IFERROR(VLOOKUP(E908,'DANH MỤC'!$C:$H,4,0),"")</f>
        <v/>
      </c>
      <c r="J908" s="42" t="str">
        <f>+IFERROR(VLOOKUP(E908,'DANH MỤC'!$C:$H,5,0),"")</f>
        <v/>
      </c>
      <c r="K908" s="53"/>
      <c r="L908" s="58">
        <v>4.5</v>
      </c>
      <c r="M908" s="55"/>
      <c r="N908" s="55"/>
    </row>
    <row r="909" ht="15.75" customHeight="1">
      <c r="A909" s="53">
        <f t="shared" si="1"/>
        <v>904</v>
      </c>
      <c r="B909" s="55" t="s">
        <v>669</v>
      </c>
      <c r="C909" s="41">
        <v>45894.0</v>
      </c>
      <c r="D909" s="42" t="s">
        <v>671</v>
      </c>
      <c r="E909" s="42" t="s">
        <v>115</v>
      </c>
      <c r="F909" s="42" t="str">
        <f>+IFERROR(VLOOKUP(E909,'DANH MỤC'!$C:$H,2,0),"")</f>
        <v>Màng Strecth Film 5.0-0.6kg</v>
      </c>
      <c r="G909" s="42" t="str">
        <f>+IFERROR(VLOOKUP(E909,'DANH MỤC'!$C:$H,6,0),"")</f>
        <v>Kg</v>
      </c>
      <c r="H909" s="42" t="str">
        <f>+IFERROR(VLOOKUP(E909,'DANH MỤC'!$C:$H,3,0),"")</f>
        <v/>
      </c>
      <c r="I909" s="42" t="str">
        <f>+IFERROR(VLOOKUP(E909,'DANH MỤC'!$C:$H,4,0),"")</f>
        <v/>
      </c>
      <c r="J909" s="42" t="str">
        <f>+IFERROR(VLOOKUP(E909,'DANH MỤC'!$C:$H,5,0),"")</f>
        <v/>
      </c>
      <c r="K909" s="53"/>
      <c r="L909" s="58">
        <v>9.75</v>
      </c>
      <c r="M909" s="55"/>
      <c r="N909" s="55"/>
    </row>
    <row r="910" ht="15.75" customHeight="1">
      <c r="A910" s="53">
        <f t="shared" si="1"/>
        <v>905</v>
      </c>
      <c r="B910" s="55" t="s">
        <v>669</v>
      </c>
      <c r="C910" s="41">
        <v>45894.0</v>
      </c>
      <c r="D910" s="42" t="s">
        <v>672</v>
      </c>
      <c r="E910" s="42" t="s">
        <v>113</v>
      </c>
      <c r="F910" s="42" t="str">
        <f>+IFERROR(VLOOKUP(E910,'DANH MỤC'!$C:$H,2,0),"")</f>
        <v>Lưỡi gà trắng 95mm x 800m x 230gsm</v>
      </c>
      <c r="G910" s="42" t="str">
        <f>+IFERROR(VLOOKUP(E910,'DANH MỤC'!$C:$H,6,0),"")</f>
        <v>Cuộn</v>
      </c>
      <c r="H910" s="42">
        <f>+IFERROR(VLOOKUP(E910,'DANH MỤC'!$C:$H,3,0),"")</f>
        <v>230</v>
      </c>
      <c r="I910" s="42">
        <f>+IFERROR(VLOOKUP(E910,'DANH MỤC'!$C:$H,4,0),"")</f>
        <v>95</v>
      </c>
      <c r="J910" s="42">
        <f>+IFERROR(VLOOKUP(E910,'DANH MỤC'!$C:$H,5,0),"")</f>
        <v>800</v>
      </c>
      <c r="K910" s="53">
        <v>898.0</v>
      </c>
      <c r="L910" s="58"/>
      <c r="M910" s="55"/>
      <c r="N910" s="55"/>
    </row>
    <row r="911" ht="15.75" customHeight="1">
      <c r="A911" s="53">
        <f t="shared" si="1"/>
        <v>906</v>
      </c>
      <c r="B911" s="55"/>
      <c r="C911" s="41">
        <v>45895.0</v>
      </c>
      <c r="D911" s="42" t="s">
        <v>95</v>
      </c>
      <c r="E911" s="42" t="s">
        <v>182</v>
      </c>
      <c r="F911" s="42" t="str">
        <f>+IFERROR(VLOOKUP(E911,'DANH MỤC'!$C:$H,2,0),"")</f>
        <v>Ống lõi giấy phi 120x7x71mm</v>
      </c>
      <c r="G911" s="42" t="str">
        <f>+IFERROR(VLOOKUP(E911,'DANH MỤC'!$C:$H,6,0),"")</f>
        <v>Cái</v>
      </c>
      <c r="H911" s="42">
        <f>+IFERROR(VLOOKUP(E911,'DANH MỤC'!$C:$H,3,0),"")</f>
        <v>120</v>
      </c>
      <c r="I911" s="42">
        <f>+IFERROR(VLOOKUP(E911,'DANH MỤC'!$C:$H,4,0),"")</f>
        <v>70</v>
      </c>
      <c r="J911" s="42">
        <f>+IFERROR(VLOOKUP(E911,'DANH MỤC'!$C:$H,5,0),"")</f>
        <v>71</v>
      </c>
      <c r="K911" s="53">
        <v>3000.0</v>
      </c>
      <c r="L911" s="58"/>
      <c r="M911" s="55"/>
      <c r="N911" s="55"/>
    </row>
    <row r="912" ht="15.75" customHeight="1">
      <c r="A912" s="53">
        <f t="shared" si="1"/>
        <v>907</v>
      </c>
      <c r="B912" s="55"/>
      <c r="C912" s="41">
        <v>45895.0</v>
      </c>
      <c r="D912" s="42" t="s">
        <v>95</v>
      </c>
      <c r="E912" s="42" t="s">
        <v>183</v>
      </c>
      <c r="F912" s="42" t="str">
        <f>+IFERROR(VLOOKUP(E912,'DANH MỤC'!$C:$H,2,0),"")</f>
        <v>Ống lõi giấy phi 120x7x90mm</v>
      </c>
      <c r="G912" s="42" t="str">
        <f>+IFERROR(VLOOKUP(E912,'DANH MỤC'!$C:$H,6,0),"")</f>
        <v>Cái</v>
      </c>
      <c r="H912" s="42">
        <f>+IFERROR(VLOOKUP(E912,'DANH MỤC'!$C:$H,3,0),"")</f>
        <v>120</v>
      </c>
      <c r="I912" s="42">
        <f>+IFERROR(VLOOKUP(E912,'DANH MỤC'!$C:$H,4,0),"")</f>
        <v>70</v>
      </c>
      <c r="J912" s="42">
        <f>+IFERROR(VLOOKUP(E912,'DANH MỤC'!$C:$H,5,0),"")</f>
        <v>90</v>
      </c>
      <c r="K912" s="53">
        <v>1000.0</v>
      </c>
      <c r="L912" s="58"/>
      <c r="M912" s="55"/>
      <c r="N912" s="55"/>
    </row>
    <row r="913" ht="15.75" customHeight="1">
      <c r="A913" s="53">
        <f t="shared" si="1"/>
        <v>908</v>
      </c>
      <c r="B913" s="55"/>
      <c r="C913" s="41">
        <v>45895.0</v>
      </c>
      <c r="D913" s="42" t="s">
        <v>95</v>
      </c>
      <c r="E913" s="42" t="s">
        <v>184</v>
      </c>
      <c r="F913" s="42" t="str">
        <f>+IFERROR(VLOOKUP(E913,'DANH MỤC'!$C:$H,2,0),"")</f>
        <v>Ống lõi giấy phi 120x7x95mm</v>
      </c>
      <c r="G913" s="42" t="str">
        <f>+IFERROR(VLOOKUP(E913,'DANH MỤC'!$C:$H,6,0),"")</f>
        <v>Cái</v>
      </c>
      <c r="H913" s="42">
        <f>+IFERROR(VLOOKUP(E913,'DANH MỤC'!$C:$H,3,0),"")</f>
        <v>120</v>
      </c>
      <c r="I913" s="42">
        <f>+IFERROR(VLOOKUP(E913,'DANH MỤC'!$C:$H,4,0),"")</f>
        <v>70</v>
      </c>
      <c r="J913" s="42">
        <f>+IFERROR(VLOOKUP(E913,'DANH MỤC'!$C:$H,5,0),"")</f>
        <v>95</v>
      </c>
      <c r="K913" s="53">
        <v>1000.0</v>
      </c>
      <c r="L913" s="58"/>
      <c r="M913" s="55"/>
      <c r="N913" s="55"/>
    </row>
    <row r="914" ht="15.75" customHeight="1">
      <c r="A914" s="117">
        <f t="shared" si="1"/>
        <v>909</v>
      </c>
      <c r="B914" s="118"/>
      <c r="C914" s="119">
        <v>45897.0</v>
      </c>
      <c r="D914" s="120" t="s">
        <v>215</v>
      </c>
      <c r="E914" s="120" t="s">
        <v>113</v>
      </c>
      <c r="F914" s="120" t="str">
        <f>+IFERROR(VLOOKUP(E914,'DANH MỤC'!$C:$H,2,0),"")</f>
        <v>Lưỡi gà trắng 95mm x 800m x 230gsm</v>
      </c>
      <c r="G914" s="120" t="str">
        <f>+IFERROR(VLOOKUP(E914,'DANH MỤC'!$C:$H,6,0),"")</f>
        <v>Cuộn</v>
      </c>
      <c r="H914" s="120">
        <f>+IFERROR(VLOOKUP(E914,'DANH MỤC'!$C:$H,3,0),"")</f>
        <v>230</v>
      </c>
      <c r="I914" s="120">
        <f>+IFERROR(VLOOKUP(E914,'DANH MỤC'!$C:$H,4,0),"")</f>
        <v>95</v>
      </c>
      <c r="J914" s="120">
        <f>+IFERROR(VLOOKUP(E914,'DANH MỤC'!$C:$H,5,0),"")</f>
        <v>800</v>
      </c>
      <c r="K914" s="117"/>
      <c r="L914" s="121">
        <f>5*60</f>
        <v>300</v>
      </c>
      <c r="M914" s="118" t="s">
        <v>452</v>
      </c>
      <c r="N914" s="118"/>
    </row>
    <row r="915" ht="15.75" customHeight="1">
      <c r="A915" s="117">
        <f t="shared" si="1"/>
        <v>910</v>
      </c>
      <c r="B915" s="118"/>
      <c r="C915" s="119">
        <v>45903.0</v>
      </c>
      <c r="D915" s="120" t="s">
        <v>130</v>
      </c>
      <c r="E915" s="120" t="s">
        <v>123</v>
      </c>
      <c r="F915" s="120" t="str">
        <f>+IFERROR(VLOOKUP(E915,'DANH MỤC'!$C:$H,2,0),"")</f>
        <v>Lưỡi gà trắng 90mm x 800m x 250gsm</v>
      </c>
      <c r="G915" s="120" t="str">
        <f>+IFERROR(VLOOKUP(E915,'DANH MỤC'!$C:$H,6,0),"")</f>
        <v>Cuộn</v>
      </c>
      <c r="H915" s="120">
        <f>+IFERROR(VLOOKUP(E915,'DANH MỤC'!$C:$H,3,0),"")</f>
        <v>250</v>
      </c>
      <c r="I915" s="120">
        <f>+IFERROR(VLOOKUP(E915,'DANH MỤC'!$C:$H,4,0),"")</f>
        <v>90</v>
      </c>
      <c r="J915" s="120">
        <f>+IFERROR(VLOOKUP(E915,'DANH MỤC'!$C:$H,5,0),"")</f>
        <v>800</v>
      </c>
      <c r="K915" s="117"/>
      <c r="L915" s="121">
        <f>9*52</f>
        <v>468</v>
      </c>
      <c r="M915" s="118" t="s">
        <v>131</v>
      </c>
      <c r="N915" s="118"/>
    </row>
    <row r="916" ht="15.75" customHeight="1">
      <c r="A916" s="53">
        <f t="shared" si="1"/>
        <v>911</v>
      </c>
      <c r="B916" s="55" t="s">
        <v>402</v>
      </c>
      <c r="C916" s="41">
        <v>45908.0</v>
      </c>
      <c r="D916" s="42" t="s">
        <v>673</v>
      </c>
      <c r="E916" s="42" t="s">
        <v>88</v>
      </c>
      <c r="F916" s="42" t="str">
        <f>+IFERROR(VLOOKUP(E916,'DANH MỤC'!$C:$H,2,0),"")</f>
        <v>Ivory Ningbo</v>
      </c>
      <c r="G916" s="42" t="str">
        <f>+IFERROR(VLOOKUP(E916,'DANH MỤC'!$C:$H,6,0),"")</f>
        <v>Kg</v>
      </c>
      <c r="H916" s="42">
        <f>+IFERROR(VLOOKUP(E916,'DANH MỤC'!$C:$H,3,0),"")</f>
        <v>250</v>
      </c>
      <c r="I916" s="42">
        <f>+IFERROR(VLOOKUP(E916,'DANH MỤC'!$C:$H,4,0),"")</f>
        <v>109</v>
      </c>
      <c r="J916" s="42" t="str">
        <f>+IFERROR(VLOOKUP(E916,'DANH MỤC'!$C:$H,5,0),"")</f>
        <v/>
      </c>
      <c r="K916" s="53"/>
      <c r="L916" s="58">
        <f>332+21*981-790</f>
        <v>20143</v>
      </c>
      <c r="M916" s="55"/>
      <c r="N916" s="55"/>
    </row>
    <row r="917" ht="15.75" customHeight="1">
      <c r="A917" s="53">
        <f t="shared" si="1"/>
        <v>912</v>
      </c>
      <c r="B917" s="55" t="s">
        <v>402</v>
      </c>
      <c r="C917" s="41">
        <v>45908.0</v>
      </c>
      <c r="D917" s="42" t="s">
        <v>674</v>
      </c>
      <c r="E917" s="42" t="s">
        <v>183</v>
      </c>
      <c r="F917" s="42" t="str">
        <f>+IFERROR(VLOOKUP(E917,'DANH MỤC'!$C:$H,2,0),"")</f>
        <v>Ống lõi giấy phi 120x7x90mm</v>
      </c>
      <c r="G917" s="42" t="str">
        <f>+IFERROR(VLOOKUP(E917,'DANH MỤC'!$C:$H,6,0),"")</f>
        <v>Cái</v>
      </c>
      <c r="H917" s="42">
        <f>+IFERROR(VLOOKUP(E917,'DANH MỤC'!$C:$H,3,0),"")</f>
        <v>120</v>
      </c>
      <c r="I917" s="42">
        <f>+IFERROR(VLOOKUP(E917,'DANH MỤC'!$C:$H,4,0),"")</f>
        <v>70</v>
      </c>
      <c r="J917" s="42">
        <f>+IFERROR(VLOOKUP(E917,'DANH MỤC'!$C:$H,5,0),"")</f>
        <v>90</v>
      </c>
      <c r="K917" s="53"/>
      <c r="L917" s="58">
        <v>1104.0</v>
      </c>
      <c r="M917" s="55"/>
      <c r="N917" s="55"/>
    </row>
    <row r="918" ht="15.75" customHeight="1">
      <c r="A918" s="53">
        <f t="shared" si="1"/>
        <v>913</v>
      </c>
      <c r="B918" s="55" t="s">
        <v>402</v>
      </c>
      <c r="C918" s="41">
        <v>45908.0</v>
      </c>
      <c r="D918" s="42" t="s">
        <v>674</v>
      </c>
      <c r="E918" s="42" t="s">
        <v>107</v>
      </c>
      <c r="F918" s="42" t="str">
        <f>+IFERROR(VLOOKUP(E918,'DANH MỤC'!$C:$H,2,0),"")</f>
        <v>Pallet gỗ 1200x1200x130mm</v>
      </c>
      <c r="G918" s="42" t="str">
        <f>+IFERROR(VLOOKUP(E918,'DANH MỤC'!$C:$H,6,0),"")</f>
        <v>Bộ</v>
      </c>
      <c r="H918" s="42">
        <f>+IFERROR(VLOOKUP(E918,'DANH MỤC'!$C:$H,3,0),"")</f>
        <v>1200</v>
      </c>
      <c r="I918" s="42">
        <f>+IFERROR(VLOOKUP(E918,'DANH MỤC'!$C:$H,4,0),"")</f>
        <v>1200</v>
      </c>
      <c r="J918" s="42">
        <f>+IFERROR(VLOOKUP(E918,'DANH MỤC'!$C:$H,5,0),"")</f>
        <v>130</v>
      </c>
      <c r="K918" s="53"/>
      <c r="L918" s="58">
        <v>20.0</v>
      </c>
      <c r="M918" s="55"/>
      <c r="N918" s="55"/>
    </row>
    <row r="919" ht="15.75" customHeight="1">
      <c r="A919" s="53">
        <f t="shared" si="1"/>
        <v>914</v>
      </c>
      <c r="B919" s="55" t="s">
        <v>402</v>
      </c>
      <c r="C919" s="41">
        <v>45908.0</v>
      </c>
      <c r="D919" s="42" t="s">
        <v>674</v>
      </c>
      <c r="E919" s="42" t="s">
        <v>96</v>
      </c>
      <c r="F919" s="42" t="str">
        <f>+IFERROR(VLOOKUP(E919,'DANH MỤC'!$C:$H,2,0),"")</f>
        <v>Giấy bao gói lưỡi gà</v>
      </c>
      <c r="G919" s="42" t="str">
        <f>+IFERROR(VLOOKUP(E919,'DANH MỤC'!$C:$H,6,0),"")</f>
        <v>Kg</v>
      </c>
      <c r="H919" s="42" t="str">
        <f>+IFERROR(VLOOKUP(E919,'DANH MỤC'!$C:$H,3,0),"")</f>
        <v/>
      </c>
      <c r="I919" s="42" t="str">
        <f>+IFERROR(VLOOKUP(E919,'DANH MỤC'!$C:$H,4,0),"")</f>
        <v/>
      </c>
      <c r="J919" s="42" t="str">
        <f>+IFERROR(VLOOKUP(E919,'DANH MỤC'!$C:$H,5,0),"")</f>
        <v/>
      </c>
      <c r="K919" s="53"/>
      <c r="L919" s="58">
        <v>15.12</v>
      </c>
      <c r="M919" s="55"/>
      <c r="N919" s="55"/>
    </row>
    <row r="920" ht="15.75" customHeight="1">
      <c r="A920" s="53">
        <f t="shared" si="1"/>
        <v>915</v>
      </c>
      <c r="B920" s="55" t="s">
        <v>402</v>
      </c>
      <c r="C920" s="41">
        <v>45908.0</v>
      </c>
      <c r="D920" s="42" t="s">
        <v>674</v>
      </c>
      <c r="E920" s="42" t="s">
        <v>112</v>
      </c>
      <c r="F920" s="42" t="str">
        <f>+IFERROR(VLOOKUP(E920,'DANH MỤC'!$C:$H,2,0),"")</f>
        <v>Dây đai PET xanh (B)</v>
      </c>
      <c r="G920" s="42" t="str">
        <f>+IFERROR(VLOOKUP(E920,'DANH MỤC'!$C:$H,6,0),"")</f>
        <v>Kg</v>
      </c>
      <c r="H920" s="42" t="str">
        <f>+IFERROR(VLOOKUP(E920,'DANH MỤC'!$C:$H,3,0),"")</f>
        <v/>
      </c>
      <c r="I920" s="42" t="str">
        <f>+IFERROR(VLOOKUP(E920,'DANH MỤC'!$C:$H,4,0),"")</f>
        <v/>
      </c>
      <c r="J920" s="42" t="str">
        <f>+IFERROR(VLOOKUP(E920,'DANH MỤC'!$C:$H,5,0),"")</f>
        <v/>
      </c>
      <c r="K920" s="53"/>
      <c r="L920" s="58">
        <v>10.0</v>
      </c>
      <c r="M920" s="55"/>
      <c r="N920" s="55"/>
    </row>
    <row r="921" ht="15.75" customHeight="1">
      <c r="A921" s="53">
        <f t="shared" si="1"/>
        <v>916</v>
      </c>
      <c r="B921" s="55" t="s">
        <v>402</v>
      </c>
      <c r="C921" s="41">
        <v>45908.0</v>
      </c>
      <c r="D921" s="42" t="s">
        <v>674</v>
      </c>
      <c r="E921" s="42" t="s">
        <v>115</v>
      </c>
      <c r="F921" s="42" t="str">
        <f>+IFERROR(VLOOKUP(E921,'DANH MỤC'!$C:$H,2,0),"")</f>
        <v>Màng Strecth Film 5.0-0.6kg</v>
      </c>
      <c r="G921" s="42" t="str">
        <f>+IFERROR(VLOOKUP(E921,'DANH MỤC'!$C:$H,6,0),"")</f>
        <v>Kg</v>
      </c>
      <c r="H921" s="42" t="str">
        <f>+IFERROR(VLOOKUP(E921,'DANH MỤC'!$C:$H,3,0),"")</f>
        <v/>
      </c>
      <c r="I921" s="42" t="str">
        <f>+IFERROR(VLOOKUP(E921,'DANH MỤC'!$C:$H,4,0),"")</f>
        <v/>
      </c>
      <c r="J921" s="42" t="str">
        <f>+IFERROR(VLOOKUP(E921,'DANH MỤC'!$C:$H,5,0),"")</f>
        <v/>
      </c>
      <c r="K921" s="53"/>
      <c r="L921" s="58">
        <v>6.0</v>
      </c>
      <c r="M921" s="55"/>
      <c r="N921" s="55"/>
    </row>
    <row r="922" ht="15.75" customHeight="1">
      <c r="A922" s="53">
        <f t="shared" si="1"/>
        <v>917</v>
      </c>
      <c r="B922" s="55" t="s">
        <v>402</v>
      </c>
      <c r="C922" s="41">
        <v>45908.0</v>
      </c>
      <c r="D922" s="42" t="s">
        <v>674</v>
      </c>
      <c r="E922" s="42" t="s">
        <v>156</v>
      </c>
      <c r="F922" s="42" t="str">
        <f>+IFERROR(VLOOKUP(E922,'DANH MỤC'!$C:$H,2,0),"")</f>
        <v>Nẹp gỗ pallet dài 1.15m</v>
      </c>
      <c r="G922" s="42" t="str">
        <f>+IFERROR(VLOOKUP(E922,'DANH MỤC'!$C:$H,6,0),"")</f>
        <v>Cái</v>
      </c>
      <c r="H922" s="42" t="str">
        <f>+IFERROR(VLOOKUP(E922,'DANH MỤC'!$C:$H,3,0),"")</f>
        <v/>
      </c>
      <c r="I922" s="42" t="str">
        <f>+IFERROR(VLOOKUP(E922,'DANH MỤC'!$C:$H,4,0),"")</f>
        <v/>
      </c>
      <c r="J922" s="42">
        <f>+IFERROR(VLOOKUP(E922,'DANH MỤC'!$C:$H,5,0),"")</f>
        <v>1150</v>
      </c>
      <c r="K922" s="53"/>
      <c r="L922" s="58">
        <v>80.0</v>
      </c>
      <c r="M922" s="55"/>
      <c r="N922" s="55"/>
    </row>
    <row r="923" ht="15.75" customHeight="1">
      <c r="A923" s="53">
        <f t="shared" si="1"/>
        <v>918</v>
      </c>
      <c r="B923" s="55" t="s">
        <v>402</v>
      </c>
      <c r="C923" s="41">
        <v>45908.0</v>
      </c>
      <c r="D923" s="42" t="s">
        <v>675</v>
      </c>
      <c r="E923" s="42" t="s">
        <v>123</v>
      </c>
      <c r="F923" s="42" t="str">
        <f>+IFERROR(VLOOKUP(E923,'DANH MỤC'!$C:$H,2,0),"")</f>
        <v>Lưỡi gà trắng 90mm x 800m x 250gsm</v>
      </c>
      <c r="G923" s="42" t="str">
        <f>+IFERROR(VLOOKUP(E923,'DANH MỤC'!$C:$H,6,0),"")</f>
        <v>Cuộn</v>
      </c>
      <c r="H923" s="42">
        <f>+IFERROR(VLOOKUP(E923,'DANH MỤC'!$C:$H,3,0),"")</f>
        <v>250</v>
      </c>
      <c r="I923" s="42">
        <f>+IFERROR(VLOOKUP(E923,'DANH MỤC'!$C:$H,4,0),"")</f>
        <v>90</v>
      </c>
      <c r="J923" s="42">
        <f>+IFERROR(VLOOKUP(E923,'DANH MỤC'!$C:$H,5,0),"")</f>
        <v>800</v>
      </c>
      <c r="K923" s="53">
        <v>1104.0</v>
      </c>
      <c r="L923" s="58"/>
      <c r="M923" s="55"/>
      <c r="N923" s="55"/>
    </row>
    <row r="924" ht="15.75" customHeight="1">
      <c r="A924" s="117">
        <f t="shared" si="1"/>
        <v>919</v>
      </c>
      <c r="B924" s="118"/>
      <c r="C924" s="119">
        <v>45910.0</v>
      </c>
      <c r="D924" s="120" t="s">
        <v>215</v>
      </c>
      <c r="E924" s="120" t="s">
        <v>113</v>
      </c>
      <c r="F924" s="120" t="str">
        <f>+IFERROR(VLOOKUP(E924,'DANH MỤC'!$C:$H,2,0),"")</f>
        <v>Lưỡi gà trắng 95mm x 800m x 230gsm</v>
      </c>
      <c r="G924" s="120" t="str">
        <f>+IFERROR(VLOOKUP(E924,'DANH MỤC'!$C:$H,6,0),"")</f>
        <v>Cuộn</v>
      </c>
      <c r="H924" s="120">
        <f>+IFERROR(VLOOKUP(E924,'DANH MỤC'!$C:$H,3,0),"")</f>
        <v>230</v>
      </c>
      <c r="I924" s="120">
        <f>+IFERROR(VLOOKUP(E924,'DANH MỤC'!$C:$H,4,0),"")</f>
        <v>95</v>
      </c>
      <c r="J924" s="120">
        <f>+IFERROR(VLOOKUP(E924,'DANH MỤC'!$C:$H,5,0),"")</f>
        <v>800</v>
      </c>
      <c r="K924" s="117"/>
      <c r="L924" s="121">
        <f>5*60</f>
        <v>300</v>
      </c>
      <c r="M924" s="118" t="s">
        <v>452</v>
      </c>
      <c r="N924" s="118"/>
    </row>
    <row r="925" ht="15.75" customHeight="1">
      <c r="A925" s="117">
        <f t="shared" si="1"/>
        <v>920</v>
      </c>
      <c r="B925" s="118"/>
      <c r="C925" s="119">
        <v>45911.0</v>
      </c>
      <c r="D925" s="120" t="s">
        <v>146</v>
      </c>
      <c r="E925" s="120" t="s">
        <v>81</v>
      </c>
      <c r="F925" s="120" t="str">
        <f>+IFERROR(VLOOKUP(E925,'DANH MỤC'!$C:$H,2,0),"")</f>
        <v>Lưỡi gà trắng 71mm x 800m x 210gsm</v>
      </c>
      <c r="G925" s="120" t="str">
        <f>+IFERROR(VLOOKUP(E925,'DANH MỤC'!$C:$H,6,0),"")</f>
        <v>Cuộn</v>
      </c>
      <c r="H925" s="120">
        <f>+IFERROR(VLOOKUP(E925,'DANH MỤC'!$C:$H,3,0),"")</f>
        <v>210</v>
      </c>
      <c r="I925" s="120">
        <f>+IFERROR(VLOOKUP(E925,'DANH MỤC'!$C:$H,4,0),"")</f>
        <v>71</v>
      </c>
      <c r="J925" s="120">
        <f>+IFERROR(VLOOKUP(E925,'DANH MỤC'!$C:$H,5,0),"")</f>
        <v>800</v>
      </c>
      <c r="K925" s="117"/>
      <c r="L925" s="121">
        <f>10*60</f>
        <v>600</v>
      </c>
      <c r="M925" s="118" t="s">
        <v>304</v>
      </c>
      <c r="N925" s="118"/>
    </row>
    <row r="926" ht="15.75" customHeight="1">
      <c r="A926" s="53">
        <f t="shared" si="1"/>
        <v>921</v>
      </c>
      <c r="B926" s="55"/>
      <c r="C926" s="41">
        <v>45911.0</v>
      </c>
      <c r="D926" s="42" t="s">
        <v>95</v>
      </c>
      <c r="E926" s="42" t="s">
        <v>107</v>
      </c>
      <c r="F926" s="42" t="str">
        <f>+IFERROR(VLOOKUP(E926,'DANH MỤC'!$C:$H,2,0),"")</f>
        <v>Pallet gỗ 1200x1200x130mm</v>
      </c>
      <c r="G926" s="42" t="str">
        <f>+IFERROR(VLOOKUP(E926,'DANH MỤC'!$C:$H,6,0),"")</f>
        <v>Bộ</v>
      </c>
      <c r="H926" s="42">
        <f>+IFERROR(VLOOKUP(E926,'DANH MỤC'!$C:$H,3,0),"")</f>
        <v>1200</v>
      </c>
      <c r="I926" s="42">
        <f>+IFERROR(VLOOKUP(E926,'DANH MỤC'!$C:$H,4,0),"")</f>
        <v>1200</v>
      </c>
      <c r="J926" s="42">
        <f>+IFERROR(VLOOKUP(E926,'DANH MỤC'!$C:$H,5,0),"")</f>
        <v>130</v>
      </c>
      <c r="K926" s="53">
        <v>50.0</v>
      </c>
      <c r="L926" s="58"/>
      <c r="M926" s="55"/>
      <c r="N926" s="55"/>
    </row>
    <row r="927" ht="15.75" customHeight="1">
      <c r="A927" s="53">
        <f t="shared" si="1"/>
        <v>922</v>
      </c>
      <c r="B927" s="55"/>
      <c r="C927" s="41">
        <v>45911.0</v>
      </c>
      <c r="D927" s="42" t="s">
        <v>95</v>
      </c>
      <c r="E927" s="42" t="s">
        <v>127</v>
      </c>
      <c r="F927" s="42" t="str">
        <f>+IFERROR(VLOOKUP(E927,'DANH MỤC'!$C:$H,2,0),"")</f>
        <v>Pallet gỗ 1100x1100x130mm</v>
      </c>
      <c r="G927" s="42" t="str">
        <f>+IFERROR(VLOOKUP(E927,'DANH MỤC'!$C:$H,6,0),"")</f>
        <v>Bộ</v>
      </c>
      <c r="H927" s="42">
        <f>+IFERROR(VLOOKUP(E927,'DANH MỤC'!$C:$H,3,0),"")</f>
        <v>1100</v>
      </c>
      <c r="I927" s="42">
        <f>+IFERROR(VLOOKUP(E927,'DANH MỤC'!$C:$H,4,0),"")</f>
        <v>1100</v>
      </c>
      <c r="J927" s="42">
        <f>+IFERROR(VLOOKUP(E927,'DANH MỤC'!$C:$H,5,0),"")</f>
        <v>130</v>
      </c>
      <c r="K927" s="53">
        <v>71.0</v>
      </c>
      <c r="L927" s="58"/>
      <c r="M927" s="55"/>
      <c r="N927" s="55"/>
    </row>
    <row r="928" ht="15.75" customHeight="1">
      <c r="A928" s="117">
        <f t="shared" si="1"/>
        <v>923</v>
      </c>
      <c r="B928" s="118"/>
      <c r="C928" s="119">
        <v>45922.0</v>
      </c>
      <c r="D928" s="120" t="s">
        <v>146</v>
      </c>
      <c r="E928" s="120" t="s">
        <v>81</v>
      </c>
      <c r="F928" s="120" t="str">
        <f>+IFERROR(VLOOKUP(E928,'DANH MỤC'!$C:$H,2,0),"")</f>
        <v>Lưỡi gà trắng 71mm x 800m x 210gsm</v>
      </c>
      <c r="G928" s="120" t="str">
        <f>+IFERROR(VLOOKUP(E928,'DANH MỤC'!$C:$H,6,0),"")</f>
        <v>Cuộn</v>
      </c>
      <c r="H928" s="120">
        <f>+IFERROR(VLOOKUP(E928,'DANH MỤC'!$C:$H,3,0),"")</f>
        <v>210</v>
      </c>
      <c r="I928" s="120">
        <f>+IFERROR(VLOOKUP(E928,'DANH MỤC'!$C:$H,4,0),"")</f>
        <v>71</v>
      </c>
      <c r="J928" s="120">
        <f>+IFERROR(VLOOKUP(E928,'DANH MỤC'!$C:$H,5,0),"")</f>
        <v>800</v>
      </c>
      <c r="K928" s="117"/>
      <c r="L928" s="121">
        <f>10*60</f>
        <v>600</v>
      </c>
      <c r="M928" s="118" t="s">
        <v>304</v>
      </c>
      <c r="N928" s="118"/>
    </row>
    <row r="929" ht="15.75" customHeight="1">
      <c r="A929" s="117">
        <f t="shared" si="1"/>
        <v>924</v>
      </c>
      <c r="B929" s="118"/>
      <c r="C929" s="119">
        <v>45922.0</v>
      </c>
      <c r="D929" s="120" t="s">
        <v>130</v>
      </c>
      <c r="E929" s="120" t="s">
        <v>123</v>
      </c>
      <c r="F929" s="120" t="str">
        <f>+IFERROR(VLOOKUP(E929,'DANH MỤC'!$C:$H,2,0),"")</f>
        <v>Lưỡi gà trắng 90mm x 800m x 250gsm</v>
      </c>
      <c r="G929" s="120" t="str">
        <f>+IFERROR(VLOOKUP(E929,'DANH MỤC'!$C:$H,6,0),"")</f>
        <v>Cuộn</v>
      </c>
      <c r="H929" s="120">
        <f>+IFERROR(VLOOKUP(E929,'DANH MỤC'!$C:$H,3,0),"")</f>
        <v>250</v>
      </c>
      <c r="I929" s="120">
        <f>+IFERROR(VLOOKUP(E929,'DANH MỤC'!$C:$H,4,0),"")</f>
        <v>90</v>
      </c>
      <c r="J929" s="120">
        <f>+IFERROR(VLOOKUP(E929,'DANH MỤC'!$C:$H,5,0),"")</f>
        <v>800</v>
      </c>
      <c r="K929" s="117"/>
      <c r="L929" s="121">
        <f>7*52</f>
        <v>364</v>
      </c>
      <c r="M929" s="118" t="s">
        <v>131</v>
      </c>
      <c r="N929" s="118"/>
    </row>
    <row r="930" ht="15.75" customHeight="1">
      <c r="A930" s="117">
        <f t="shared" si="1"/>
        <v>925</v>
      </c>
      <c r="B930" s="449"/>
      <c r="C930" s="119">
        <v>45922.0</v>
      </c>
      <c r="D930" s="120" t="s">
        <v>130</v>
      </c>
      <c r="E930" s="120" t="s">
        <v>104</v>
      </c>
      <c r="F930" s="120" t="str">
        <f>+IFERROR(VLOOKUP(E930,'DANH MỤC'!$C:$H,2,0),"")</f>
        <v>Lưỡi gà trắng 95mm x 800m x 210gsm</v>
      </c>
      <c r="G930" s="120" t="str">
        <f>+IFERROR(VLOOKUP(E930,'DANH MỤC'!$C:$H,6,0),"")</f>
        <v>Cuộn</v>
      </c>
      <c r="H930" s="120">
        <f>+IFERROR(VLOOKUP(E930,'DANH MỤC'!$C:$H,3,0),"")</f>
        <v>210</v>
      </c>
      <c r="I930" s="120">
        <f>+IFERROR(VLOOKUP(E930,'DANH MỤC'!$C:$H,4,0),"")</f>
        <v>95</v>
      </c>
      <c r="J930" s="120">
        <f>+IFERROR(VLOOKUP(E930,'DANH MỤC'!$C:$H,5,0),"")</f>
        <v>800</v>
      </c>
      <c r="K930" s="117"/>
      <c r="L930" s="121">
        <f>6*52</f>
        <v>312</v>
      </c>
      <c r="M930" s="118" t="s">
        <v>131</v>
      </c>
      <c r="N930" s="118"/>
    </row>
    <row r="931" ht="15.75" customHeight="1">
      <c r="A931" s="53">
        <f t="shared" si="1"/>
        <v>926</v>
      </c>
      <c r="B931" s="55"/>
      <c r="C931" s="41">
        <v>45923.0</v>
      </c>
      <c r="D931" s="42" t="s">
        <v>676</v>
      </c>
      <c r="E931" s="42" t="s">
        <v>213</v>
      </c>
      <c r="F931" s="42" t="str">
        <f>+IFERROR(VLOOKUP(E931,'DANH MỤC'!$C:$H,2,0),"")</f>
        <v>Ivory Ningbo</v>
      </c>
      <c r="G931" s="42" t="str">
        <f>+IFERROR(VLOOKUP(E931,'DANH MỤC'!$C:$H,6,0),"")</f>
        <v>Kg</v>
      </c>
      <c r="H931" s="42">
        <f>+IFERROR(VLOOKUP(E931,'DANH MỤC'!$C:$H,3,0),"")</f>
        <v>210</v>
      </c>
      <c r="I931" s="42">
        <f>+IFERROR(VLOOKUP(E931,'DANH MỤC'!$C:$H,4,0),"")</f>
        <v>108</v>
      </c>
      <c r="J931" s="42" t="str">
        <f>+IFERROR(VLOOKUP(E931,'DANH MỤC'!$C:$H,5,0),"")</f>
        <v/>
      </c>
      <c r="K931" s="53"/>
      <c r="L931" s="58">
        <f>24*987+50</f>
        <v>23738</v>
      </c>
      <c r="M931" s="55"/>
      <c r="N931" s="55"/>
    </row>
    <row r="932" ht="15.75" customHeight="1">
      <c r="A932" s="53">
        <f t="shared" si="1"/>
        <v>927</v>
      </c>
      <c r="B932" s="55"/>
      <c r="C932" s="41">
        <v>45923.0</v>
      </c>
      <c r="D932" s="42" t="s">
        <v>677</v>
      </c>
      <c r="E932" s="42" t="s">
        <v>184</v>
      </c>
      <c r="F932" s="42" t="str">
        <f>+IFERROR(VLOOKUP(E932,'DANH MỤC'!$C:$H,2,0),"")</f>
        <v>Ống lõi giấy phi 120x7x95mm</v>
      </c>
      <c r="G932" s="42" t="str">
        <f>+IFERROR(VLOOKUP(E932,'DANH MỤC'!$C:$H,6,0),"")</f>
        <v>Cái</v>
      </c>
      <c r="H932" s="42">
        <f>+IFERROR(VLOOKUP(E932,'DANH MỤC'!$C:$H,3,0),"")</f>
        <v>120</v>
      </c>
      <c r="I932" s="42">
        <f>+IFERROR(VLOOKUP(E932,'DANH MỤC'!$C:$H,4,0),"")</f>
        <v>70</v>
      </c>
      <c r="J932" s="42">
        <f>+IFERROR(VLOOKUP(E932,'DANH MỤC'!$C:$H,5,0),"")</f>
        <v>95</v>
      </c>
      <c r="K932" s="53"/>
      <c r="L932" s="58">
        <v>390.0</v>
      </c>
      <c r="M932" s="55"/>
      <c r="N932" s="55"/>
    </row>
    <row r="933" ht="15.75" customHeight="1">
      <c r="A933" s="53">
        <f t="shared" si="1"/>
        <v>928</v>
      </c>
      <c r="B933" s="55"/>
      <c r="C933" s="41">
        <v>45923.0</v>
      </c>
      <c r="D933" s="42" t="s">
        <v>677</v>
      </c>
      <c r="E933" s="42" t="s">
        <v>182</v>
      </c>
      <c r="F933" s="42" t="str">
        <f>+IFERROR(VLOOKUP(E933,'DANH MỤC'!$C:$H,2,0),"")</f>
        <v>Ống lõi giấy phi 120x7x71mm</v>
      </c>
      <c r="G933" s="42" t="str">
        <f>+IFERROR(VLOOKUP(E933,'DANH MỤC'!$C:$H,6,0),"")</f>
        <v>Cái</v>
      </c>
      <c r="H933" s="42">
        <f>+IFERROR(VLOOKUP(E933,'DANH MỤC'!$C:$H,3,0),"")</f>
        <v>120</v>
      </c>
      <c r="I933" s="42">
        <f>+IFERROR(VLOOKUP(E933,'DANH MỤC'!$C:$H,4,0),"")</f>
        <v>70</v>
      </c>
      <c r="J933" s="42">
        <f>+IFERROR(VLOOKUP(E933,'DANH MỤC'!$C:$H,5,0),"")</f>
        <v>71</v>
      </c>
      <c r="K933" s="53"/>
      <c r="L933" s="58">
        <v>1419.0</v>
      </c>
      <c r="M933" s="55"/>
      <c r="N933" s="55"/>
    </row>
    <row r="934" ht="15.75" customHeight="1">
      <c r="A934" s="53">
        <f t="shared" si="1"/>
        <v>929</v>
      </c>
      <c r="B934" s="55"/>
      <c r="C934" s="41">
        <v>45923.0</v>
      </c>
      <c r="D934" s="42" t="s">
        <v>677</v>
      </c>
      <c r="E934" s="42" t="s">
        <v>127</v>
      </c>
      <c r="F934" s="42" t="str">
        <f>+IFERROR(VLOOKUP(E934,'DANH MỤC'!$C:$H,2,0),"")</f>
        <v>Pallet gỗ 1100x1100x130mm</v>
      </c>
      <c r="G934" s="42" t="str">
        <f>+IFERROR(VLOOKUP(E934,'DANH MỤC'!$C:$H,6,0),"")</f>
        <v>Bộ</v>
      </c>
      <c r="H934" s="42">
        <f>+IFERROR(VLOOKUP(E934,'DANH MỤC'!$C:$H,3,0),"")</f>
        <v>1100</v>
      </c>
      <c r="I934" s="42">
        <f>+IFERROR(VLOOKUP(E934,'DANH MỤC'!$C:$H,4,0),"")</f>
        <v>1100</v>
      </c>
      <c r="J934" s="42">
        <f>+IFERROR(VLOOKUP(E934,'DANH MỤC'!$C:$H,5,0),"")</f>
        <v>130</v>
      </c>
      <c r="K934" s="53"/>
      <c r="L934" s="58">
        <v>31.0</v>
      </c>
      <c r="M934" s="55"/>
      <c r="N934" s="55"/>
    </row>
    <row r="935" ht="15.75" customHeight="1">
      <c r="A935" s="53">
        <f t="shared" si="1"/>
        <v>930</v>
      </c>
      <c r="B935" s="55"/>
      <c r="C935" s="41">
        <v>45923.0</v>
      </c>
      <c r="D935" s="42" t="s">
        <v>677</v>
      </c>
      <c r="E935" s="42" t="s">
        <v>96</v>
      </c>
      <c r="F935" s="42" t="str">
        <f>+IFERROR(VLOOKUP(E935,'DANH MỤC'!$C:$H,2,0),"")</f>
        <v>Giấy bao gói lưỡi gà</v>
      </c>
      <c r="G935" s="42" t="str">
        <f>+IFERROR(VLOOKUP(E935,'DANH MỤC'!$C:$H,6,0),"")</f>
        <v>Kg</v>
      </c>
      <c r="H935" s="42" t="str">
        <f>+IFERROR(VLOOKUP(E935,'DANH MỤC'!$C:$H,3,0),"")</f>
        <v/>
      </c>
      <c r="I935" s="42" t="str">
        <f>+IFERROR(VLOOKUP(E935,'DANH MỤC'!$C:$H,4,0),"")</f>
        <v/>
      </c>
      <c r="J935" s="42" t="str">
        <f>+IFERROR(VLOOKUP(E935,'DANH MỤC'!$C:$H,5,0),"")</f>
        <v/>
      </c>
      <c r="K935" s="53"/>
      <c r="L935" s="58">
        <v>20.92</v>
      </c>
      <c r="M935" s="55"/>
      <c r="N935" s="55"/>
    </row>
    <row r="936" ht="15.75" customHeight="1">
      <c r="A936" s="53">
        <f t="shared" si="1"/>
        <v>931</v>
      </c>
      <c r="B936" s="55"/>
      <c r="C936" s="41">
        <v>45923.0</v>
      </c>
      <c r="D936" s="42" t="s">
        <v>677</v>
      </c>
      <c r="E936" s="42" t="s">
        <v>112</v>
      </c>
      <c r="F936" s="42" t="str">
        <f>+IFERROR(VLOOKUP(E936,'DANH MỤC'!$C:$H,2,0),"")</f>
        <v>Dây đai PET xanh (B)</v>
      </c>
      <c r="G936" s="42" t="str">
        <f>+IFERROR(VLOOKUP(E936,'DANH MỤC'!$C:$H,6,0),"")</f>
        <v>Kg</v>
      </c>
      <c r="H936" s="42" t="str">
        <f>+IFERROR(VLOOKUP(E936,'DANH MỤC'!$C:$H,3,0),"")</f>
        <v/>
      </c>
      <c r="I936" s="42" t="str">
        <f>+IFERROR(VLOOKUP(E936,'DANH MỤC'!$C:$H,4,0),"")</f>
        <v/>
      </c>
      <c r="J936" s="42" t="str">
        <f>+IFERROR(VLOOKUP(E936,'DANH MỤC'!$C:$H,5,0),"")</f>
        <v/>
      </c>
      <c r="K936" s="53"/>
      <c r="L936" s="58">
        <v>9.3</v>
      </c>
      <c r="M936" s="55"/>
      <c r="N936" s="55"/>
    </row>
    <row r="937" ht="15.75" customHeight="1">
      <c r="A937" s="53">
        <f t="shared" si="1"/>
        <v>932</v>
      </c>
      <c r="B937" s="55"/>
      <c r="C937" s="41">
        <v>45923.0</v>
      </c>
      <c r="D937" s="42" t="s">
        <v>677</v>
      </c>
      <c r="E937" s="42" t="s">
        <v>115</v>
      </c>
      <c r="F937" s="42" t="str">
        <f>+IFERROR(VLOOKUP(E937,'DANH MỤC'!$C:$H,2,0),"")</f>
        <v>Màng Strecth Film 5.0-0.6kg</v>
      </c>
      <c r="G937" s="42" t="str">
        <f>+IFERROR(VLOOKUP(E937,'DANH MỤC'!$C:$H,6,0),"")</f>
        <v>Kg</v>
      </c>
      <c r="H937" s="42" t="str">
        <f>+IFERROR(VLOOKUP(E937,'DANH MỤC'!$C:$H,3,0),"")</f>
        <v/>
      </c>
      <c r="I937" s="42" t="str">
        <f>+IFERROR(VLOOKUP(E937,'DANH MỤC'!$C:$H,4,0),"")</f>
        <v/>
      </c>
      <c r="J937" s="42" t="str">
        <f>+IFERROR(VLOOKUP(E937,'DANH MỤC'!$C:$H,5,0),"")</f>
        <v/>
      </c>
      <c r="K937" s="53"/>
      <c r="L937" s="58">
        <v>9.3</v>
      </c>
      <c r="M937" s="55"/>
      <c r="N937" s="55"/>
    </row>
    <row r="938" ht="15.75" customHeight="1">
      <c r="A938" s="53">
        <f t="shared" si="1"/>
        <v>933</v>
      </c>
      <c r="B938" s="55"/>
      <c r="C938" s="41">
        <v>45923.0</v>
      </c>
      <c r="D938" s="42" t="s">
        <v>678</v>
      </c>
      <c r="E938" s="42" t="s">
        <v>104</v>
      </c>
      <c r="F938" s="42" t="str">
        <f>+IFERROR(VLOOKUP(E938,'DANH MỤC'!$C:$H,2,0),"")</f>
        <v>Lưỡi gà trắng 95mm x 800m x 210gsm</v>
      </c>
      <c r="G938" s="42" t="str">
        <f>+IFERROR(VLOOKUP(E938,'DANH MỤC'!$C:$H,6,0),"")</f>
        <v>Cuộn</v>
      </c>
      <c r="H938" s="42">
        <f>+IFERROR(VLOOKUP(E938,'DANH MỤC'!$C:$H,3,0),"")</f>
        <v>210</v>
      </c>
      <c r="I938" s="42">
        <f>+IFERROR(VLOOKUP(E938,'DANH MỤC'!$C:$H,4,0),"")</f>
        <v>95</v>
      </c>
      <c r="J938" s="42">
        <f>+IFERROR(VLOOKUP(E938,'DANH MỤC'!$C:$H,5,0),"")</f>
        <v>800</v>
      </c>
      <c r="K938" s="53">
        <f>18+36+36+36+261</f>
        <v>387</v>
      </c>
      <c r="L938" s="58"/>
      <c r="M938" s="55"/>
      <c r="N938" s="55"/>
    </row>
    <row r="939" ht="15.75" customHeight="1">
      <c r="A939" s="53">
        <f t="shared" si="1"/>
        <v>934</v>
      </c>
      <c r="B939" s="55"/>
      <c r="C939" s="41">
        <v>45923.0</v>
      </c>
      <c r="D939" s="42" t="s">
        <v>678</v>
      </c>
      <c r="E939" s="42" t="s">
        <v>81</v>
      </c>
      <c r="F939" s="42" t="str">
        <f>+IFERROR(VLOOKUP(E939,'DANH MỤC'!$C:$H,2,0),"")</f>
        <v>Lưỡi gà trắng 71mm x 800m x 210gsm</v>
      </c>
      <c r="G939" s="42" t="str">
        <f>+IFERROR(VLOOKUP(E939,'DANH MỤC'!$C:$H,6,0),"")</f>
        <v>Cuộn</v>
      </c>
      <c r="H939" s="42">
        <f>+IFERROR(VLOOKUP(E939,'DANH MỤC'!$C:$H,3,0),"")</f>
        <v>210</v>
      </c>
      <c r="I939" s="42">
        <f>+IFERROR(VLOOKUP(E939,'DANH MỤC'!$C:$H,4,0),"")</f>
        <v>71</v>
      </c>
      <c r="J939" s="42">
        <f>+IFERROR(VLOOKUP(E939,'DANH MỤC'!$C:$H,5,0),"")</f>
        <v>800</v>
      </c>
      <c r="K939" s="53">
        <f>462+957</f>
        <v>1419</v>
      </c>
      <c r="L939" s="58"/>
      <c r="M939" s="55"/>
      <c r="N939" s="55"/>
    </row>
    <row r="940" ht="15.75" customHeight="1">
      <c r="A940" s="53">
        <f t="shared" si="1"/>
        <v>935</v>
      </c>
      <c r="B940" s="55" t="s">
        <v>679</v>
      </c>
      <c r="C940" s="41">
        <v>45923.0</v>
      </c>
      <c r="D940" s="42" t="s">
        <v>680</v>
      </c>
      <c r="E940" s="42" t="s">
        <v>223</v>
      </c>
      <c r="F940" s="42" t="str">
        <f>+IFERROR(VLOOKUP(E940,'DANH MỤC'!$C:$H,2,0),"")</f>
        <v>Ivory Ningbo</v>
      </c>
      <c r="G940" s="42" t="str">
        <f>+IFERROR(VLOOKUP(E940,'DANH MỤC'!$C:$H,6,0),"")</f>
        <v>Kg</v>
      </c>
      <c r="H940" s="42">
        <f>+IFERROR(VLOOKUP(E940,'DANH MỤC'!$C:$H,3,0),"")</f>
        <v>230</v>
      </c>
      <c r="I940" s="42">
        <f>+IFERROR(VLOOKUP(E940,'DANH MỤC'!$C:$H,4,0),"")</f>
        <v>108</v>
      </c>
      <c r="J940" s="42" t="str">
        <f>+IFERROR(VLOOKUP(E940,'DANH MỤC'!$C:$H,5,0),"")</f>
        <v/>
      </c>
      <c r="K940" s="53"/>
      <c r="L940" s="58">
        <f>14*969+261-30</f>
        <v>13797</v>
      </c>
      <c r="M940" s="55"/>
      <c r="N940" s="55"/>
    </row>
    <row r="941" ht="15.75" customHeight="1">
      <c r="A941" s="53">
        <f t="shared" si="1"/>
        <v>936</v>
      </c>
      <c r="B941" s="55" t="s">
        <v>679</v>
      </c>
      <c r="C941" s="41">
        <v>45923.0</v>
      </c>
      <c r="D941" s="42" t="s">
        <v>681</v>
      </c>
      <c r="E941" s="42" t="s">
        <v>184</v>
      </c>
      <c r="F941" s="42" t="str">
        <f>+IFERROR(VLOOKUP(E941,'DANH MỤC'!$C:$H,2,0),"")</f>
        <v>Ống lõi giấy phi 120x7x95mm</v>
      </c>
      <c r="G941" s="42" t="str">
        <f>+IFERROR(VLOOKUP(E941,'DANH MỤC'!$C:$H,6,0),"")</f>
        <v>Cái</v>
      </c>
      <c r="H941" s="42">
        <f>+IFERROR(VLOOKUP(E941,'DANH MỤC'!$C:$H,3,0),"")</f>
        <v>120</v>
      </c>
      <c r="I941" s="42">
        <f>+IFERROR(VLOOKUP(E941,'DANH MỤC'!$C:$H,4,0),"")</f>
        <v>70</v>
      </c>
      <c r="J941" s="42">
        <f>+IFERROR(VLOOKUP(E941,'DANH MỤC'!$C:$H,5,0),"")</f>
        <v>95</v>
      </c>
      <c r="K941" s="53"/>
      <c r="L941" s="58">
        <v>765.0</v>
      </c>
      <c r="M941" s="55"/>
      <c r="N941" s="55"/>
    </row>
    <row r="942" ht="15.75" customHeight="1">
      <c r="A942" s="53">
        <f t="shared" si="1"/>
        <v>937</v>
      </c>
      <c r="B942" s="55" t="s">
        <v>679</v>
      </c>
      <c r="C942" s="41">
        <v>45923.0</v>
      </c>
      <c r="D942" s="42" t="s">
        <v>681</v>
      </c>
      <c r="E942" s="42" t="s">
        <v>107</v>
      </c>
      <c r="F942" s="42" t="str">
        <f>+IFERROR(VLOOKUP(E942,'DANH MỤC'!$C:$H,2,0),"")</f>
        <v>Pallet gỗ 1200x1200x130mm</v>
      </c>
      <c r="G942" s="42" t="str">
        <f>+IFERROR(VLOOKUP(E942,'DANH MỤC'!$C:$H,6,0),"")</f>
        <v>Bộ</v>
      </c>
      <c r="H942" s="42">
        <f>+IFERROR(VLOOKUP(E942,'DANH MỤC'!$C:$H,3,0),"")</f>
        <v>1200</v>
      </c>
      <c r="I942" s="42">
        <f>+IFERROR(VLOOKUP(E942,'DANH MỤC'!$C:$H,4,0),"")</f>
        <v>1200</v>
      </c>
      <c r="J942" s="42">
        <f>+IFERROR(VLOOKUP(E942,'DANH MỤC'!$C:$H,5,0),"")</f>
        <v>130</v>
      </c>
      <c r="K942" s="53"/>
      <c r="L942" s="58">
        <v>12.0</v>
      </c>
      <c r="M942" s="55"/>
      <c r="N942" s="55"/>
    </row>
    <row r="943" ht="15.75" customHeight="1">
      <c r="A943" s="53">
        <f t="shared" si="1"/>
        <v>938</v>
      </c>
      <c r="B943" s="55" t="s">
        <v>679</v>
      </c>
      <c r="C943" s="41">
        <v>45923.0</v>
      </c>
      <c r="D943" s="42" t="s">
        <v>681</v>
      </c>
      <c r="E943" s="42" t="s">
        <v>156</v>
      </c>
      <c r="F943" s="42" t="str">
        <f>+IFERROR(VLOOKUP(E943,'DANH MỤC'!$C:$H,2,0),"")</f>
        <v>Nẹp gỗ pallet dài 1.15m</v>
      </c>
      <c r="G943" s="42" t="str">
        <f>+IFERROR(VLOOKUP(E943,'DANH MỤC'!$C:$H,6,0),"")</f>
        <v>Cái</v>
      </c>
      <c r="H943" s="42" t="str">
        <f>+IFERROR(VLOOKUP(E943,'DANH MỤC'!$C:$H,3,0),"")</f>
        <v/>
      </c>
      <c r="I943" s="42" t="str">
        <f>+IFERROR(VLOOKUP(E943,'DANH MỤC'!$C:$H,4,0),"")</f>
        <v/>
      </c>
      <c r="J943" s="42">
        <f>+IFERROR(VLOOKUP(E943,'DANH MỤC'!$C:$H,5,0),"")</f>
        <v>1150</v>
      </c>
      <c r="K943" s="53"/>
      <c r="L943" s="58">
        <v>48.0</v>
      </c>
      <c r="M943" s="55"/>
      <c r="N943" s="55"/>
    </row>
    <row r="944" ht="15.75" customHeight="1">
      <c r="A944" s="53">
        <f t="shared" si="1"/>
        <v>939</v>
      </c>
      <c r="B944" s="55" t="s">
        <v>679</v>
      </c>
      <c r="C944" s="41">
        <v>45923.0</v>
      </c>
      <c r="D944" s="42" t="s">
        <v>681</v>
      </c>
      <c r="E944" s="42" t="s">
        <v>96</v>
      </c>
      <c r="F944" s="42" t="str">
        <f>+IFERROR(VLOOKUP(E944,'DANH MỤC'!$C:$H,2,0),"")</f>
        <v>Giấy bao gói lưỡi gà</v>
      </c>
      <c r="G944" s="42" t="str">
        <f>+IFERROR(VLOOKUP(E944,'DANH MỤC'!$C:$H,6,0),"")</f>
        <v>Kg</v>
      </c>
      <c r="H944" s="42" t="str">
        <f>+IFERROR(VLOOKUP(E944,'DANH MỤC'!$C:$H,3,0),"")</f>
        <v/>
      </c>
      <c r="I944" s="42" t="str">
        <f>+IFERROR(VLOOKUP(E944,'DANH MỤC'!$C:$H,4,0),"")</f>
        <v/>
      </c>
      <c r="J944" s="42" t="str">
        <f>+IFERROR(VLOOKUP(E944,'DANH MỤC'!$C:$H,5,0),"")</f>
        <v/>
      </c>
      <c r="K944" s="53"/>
      <c r="L944" s="58">
        <v>10.97</v>
      </c>
      <c r="M944" s="55"/>
      <c r="N944" s="55"/>
    </row>
    <row r="945" ht="15.75" customHeight="1">
      <c r="A945" s="53">
        <f t="shared" si="1"/>
        <v>940</v>
      </c>
      <c r="B945" s="55" t="s">
        <v>679</v>
      </c>
      <c r="C945" s="41">
        <v>45923.0</v>
      </c>
      <c r="D945" s="42" t="s">
        <v>681</v>
      </c>
      <c r="E945" s="42" t="s">
        <v>112</v>
      </c>
      <c r="F945" s="42" t="str">
        <f>+IFERROR(VLOOKUP(E945,'DANH MỤC'!$C:$H,2,0),"")</f>
        <v>Dây đai PET xanh (B)</v>
      </c>
      <c r="G945" s="42" t="str">
        <f>+IFERROR(VLOOKUP(E945,'DANH MỤC'!$C:$H,6,0),"")</f>
        <v>Kg</v>
      </c>
      <c r="H945" s="42" t="str">
        <f>+IFERROR(VLOOKUP(E945,'DANH MỤC'!$C:$H,3,0),"")</f>
        <v/>
      </c>
      <c r="I945" s="42" t="str">
        <f>+IFERROR(VLOOKUP(E945,'DANH MỤC'!$C:$H,4,0),"")</f>
        <v/>
      </c>
      <c r="J945" s="42" t="str">
        <f>+IFERROR(VLOOKUP(E945,'DANH MỤC'!$C:$H,5,0),"")</f>
        <v/>
      </c>
      <c r="K945" s="53"/>
      <c r="L945" s="58">
        <v>6.0</v>
      </c>
      <c r="M945" s="55"/>
      <c r="N945" s="55"/>
    </row>
    <row r="946" ht="15.75" customHeight="1">
      <c r="A946" s="53">
        <f t="shared" si="1"/>
        <v>941</v>
      </c>
      <c r="B946" s="55" t="s">
        <v>679</v>
      </c>
      <c r="C946" s="41">
        <v>45923.0</v>
      </c>
      <c r="D946" s="42" t="s">
        <v>681</v>
      </c>
      <c r="E946" s="42" t="s">
        <v>115</v>
      </c>
      <c r="F946" s="42" t="str">
        <f>+IFERROR(VLOOKUP(E946,'DANH MỤC'!$C:$H,2,0),"")</f>
        <v>Màng Strecth Film 5.0-0.6kg</v>
      </c>
      <c r="G946" s="42" t="str">
        <f>+IFERROR(VLOOKUP(E946,'DANH MỤC'!$C:$H,6,0),"")</f>
        <v>Kg</v>
      </c>
      <c r="H946" s="42" t="str">
        <f>+IFERROR(VLOOKUP(E946,'DANH MỤC'!$C:$H,3,0),"")</f>
        <v/>
      </c>
      <c r="I946" s="42" t="str">
        <f>+IFERROR(VLOOKUP(E946,'DANH MỤC'!$C:$H,4,0),"")</f>
        <v/>
      </c>
      <c r="J946" s="42" t="str">
        <f>+IFERROR(VLOOKUP(E946,'DANH MỤC'!$C:$H,5,0),"")</f>
        <v/>
      </c>
      <c r="K946" s="53"/>
      <c r="L946" s="58">
        <v>3.6</v>
      </c>
      <c r="M946" s="55"/>
      <c r="N946" s="55"/>
    </row>
    <row r="947" ht="15.75" customHeight="1">
      <c r="A947" s="53">
        <f t="shared" si="1"/>
        <v>942</v>
      </c>
      <c r="B947" s="55" t="s">
        <v>679</v>
      </c>
      <c r="C947" s="41">
        <v>45923.0</v>
      </c>
      <c r="D947" s="42" t="s">
        <v>682</v>
      </c>
      <c r="E947" s="42" t="s">
        <v>113</v>
      </c>
      <c r="F947" s="42" t="str">
        <f>+IFERROR(VLOOKUP(E947,'DANH MỤC'!$C:$H,2,0),"")</f>
        <v>Lưỡi gà trắng 95mm x 800m x 230gsm</v>
      </c>
      <c r="G947" s="42" t="str">
        <f>+IFERROR(VLOOKUP(E947,'DANH MỤC'!$C:$H,6,0),"")</f>
        <v>Cuộn</v>
      </c>
      <c r="H947" s="42">
        <f>+IFERROR(VLOOKUP(E947,'DANH MỤC'!$C:$H,3,0),"")</f>
        <v>230</v>
      </c>
      <c r="I947" s="42">
        <f>+IFERROR(VLOOKUP(E947,'DANH MỤC'!$C:$H,4,0),"")</f>
        <v>95</v>
      </c>
      <c r="J947" s="42">
        <f>+IFERROR(VLOOKUP(E947,'DANH MỤC'!$C:$H,5,0),"")</f>
        <v>800</v>
      </c>
      <c r="K947" s="53">
        <v>759.0</v>
      </c>
      <c r="L947" s="58"/>
      <c r="M947" s="55"/>
      <c r="N947" s="55"/>
    </row>
    <row r="948" ht="15.75" customHeight="1">
      <c r="A948" s="53">
        <f t="shared" si="1"/>
        <v>943</v>
      </c>
      <c r="B948" s="55"/>
      <c r="C948" s="41">
        <v>45937.0</v>
      </c>
      <c r="D948" s="42" t="s">
        <v>35</v>
      </c>
      <c r="E948" s="42" t="s">
        <v>207</v>
      </c>
      <c r="F948" s="42" t="str">
        <f>+IFERROR(VLOOKUP(E948,'DANH MỤC'!$C:$H,2,0),"")</f>
        <v>Ivory Ningbo</v>
      </c>
      <c r="G948" s="42" t="str">
        <f>+IFERROR(VLOOKUP(E948,'DANH MỤC'!$C:$H,6,0),"")</f>
        <v>Kg</v>
      </c>
      <c r="H948" s="42">
        <f>+IFERROR(VLOOKUP(E948,'DANH MỤC'!$C:$H,3,0),"")</f>
        <v>210</v>
      </c>
      <c r="I948" s="42">
        <f>+IFERROR(VLOOKUP(E948,'DANH MỤC'!$C:$H,4,0),"")</f>
        <v>70</v>
      </c>
      <c r="J948" s="42" t="str">
        <f>+IFERROR(VLOOKUP(E948,'DANH MỤC'!$C:$H,5,0),"")</f>
        <v/>
      </c>
      <c r="K948" s="53">
        <f>6*639</f>
        <v>3834</v>
      </c>
      <c r="L948" s="58"/>
      <c r="M948" s="55"/>
      <c r="N948" s="55"/>
    </row>
    <row r="949" ht="15.75" customHeight="1">
      <c r="A949" s="117">
        <f t="shared" si="1"/>
        <v>944</v>
      </c>
      <c r="B949" s="118"/>
      <c r="C949" s="119">
        <v>45937.0</v>
      </c>
      <c r="D949" s="120" t="s">
        <v>146</v>
      </c>
      <c r="E949" s="120" t="s">
        <v>81</v>
      </c>
      <c r="F949" s="120" t="str">
        <f>+IFERROR(VLOOKUP(E949,'DANH MỤC'!$C:$H,2,0),"")</f>
        <v>Lưỡi gà trắng 71mm x 800m x 210gsm</v>
      </c>
      <c r="G949" s="120" t="str">
        <f>+IFERROR(VLOOKUP(E949,'DANH MỤC'!$C:$H,6,0),"")</f>
        <v>Cuộn</v>
      </c>
      <c r="H949" s="120">
        <f>+IFERROR(VLOOKUP(E949,'DANH MỤC'!$C:$H,3,0),"")</f>
        <v>210</v>
      </c>
      <c r="I949" s="120">
        <f>+IFERROR(VLOOKUP(E949,'DANH MỤC'!$C:$H,4,0),"")</f>
        <v>71</v>
      </c>
      <c r="J949" s="120">
        <f>+IFERROR(VLOOKUP(E949,'DANH MỤC'!$C:$H,5,0),"")</f>
        <v>800</v>
      </c>
      <c r="K949" s="117"/>
      <c r="L949" s="121">
        <f>8*60</f>
        <v>480</v>
      </c>
      <c r="M949" s="118" t="s">
        <v>304</v>
      </c>
      <c r="N949" s="118"/>
    </row>
    <row r="950" ht="15.75" customHeight="1">
      <c r="A950" s="117">
        <f t="shared" si="1"/>
        <v>945</v>
      </c>
      <c r="B950" s="118"/>
      <c r="C950" s="119">
        <v>45937.0</v>
      </c>
      <c r="D950" s="120" t="s">
        <v>146</v>
      </c>
      <c r="E950" s="120" t="s">
        <v>89</v>
      </c>
      <c r="F950" s="120" t="str">
        <f>+IFERROR(VLOOKUP(E950,'DANH MỤC'!$C:$H,2,0),"")</f>
        <v>Lưỡi gà trắng 83mm x 800m x 210gsm</v>
      </c>
      <c r="G950" s="120" t="str">
        <f>+IFERROR(VLOOKUP(E950,'DANH MỤC'!$C:$H,6,0),"")</f>
        <v>Cuộn</v>
      </c>
      <c r="H950" s="120">
        <f>+IFERROR(VLOOKUP(E950,'DANH MỤC'!$C:$H,3,0),"")</f>
        <v>210</v>
      </c>
      <c r="I950" s="120">
        <f>+IFERROR(VLOOKUP(E950,'DANH MỤC'!$C:$H,4,0),"")</f>
        <v>83</v>
      </c>
      <c r="J950" s="120">
        <f>+IFERROR(VLOOKUP(E950,'DANH MỤC'!$C:$H,5,0),"")</f>
        <v>800</v>
      </c>
      <c r="K950" s="117"/>
      <c r="L950" s="121">
        <v>60.0</v>
      </c>
      <c r="M950" s="118" t="s">
        <v>304</v>
      </c>
      <c r="N950" s="118"/>
    </row>
    <row r="951" ht="15.75" customHeight="1">
      <c r="A951" s="117">
        <f t="shared" si="1"/>
        <v>946</v>
      </c>
      <c r="B951" s="118"/>
      <c r="C951" s="119">
        <v>45937.0</v>
      </c>
      <c r="D951" s="120" t="s">
        <v>146</v>
      </c>
      <c r="E951" s="120" t="s">
        <v>104</v>
      </c>
      <c r="F951" s="120" t="str">
        <f>+IFERROR(VLOOKUP(E951,'DANH MỤC'!$C:$H,2,0),"")</f>
        <v>Lưỡi gà trắng 95mm x 800m x 210gsm</v>
      </c>
      <c r="G951" s="120" t="str">
        <f>+IFERROR(VLOOKUP(E951,'DANH MỤC'!$C:$H,6,0),"")</f>
        <v>Cuộn</v>
      </c>
      <c r="H951" s="120">
        <f>+IFERROR(VLOOKUP(E951,'DANH MỤC'!$C:$H,3,0),"")</f>
        <v>210</v>
      </c>
      <c r="I951" s="120">
        <f>+IFERROR(VLOOKUP(E951,'DANH MỤC'!$C:$H,4,0),"")</f>
        <v>95</v>
      </c>
      <c r="J951" s="120">
        <f>+IFERROR(VLOOKUP(E951,'DANH MỤC'!$C:$H,5,0),"")</f>
        <v>800</v>
      </c>
      <c r="K951" s="117"/>
      <c r="L951" s="121">
        <v>60.0</v>
      </c>
      <c r="M951" s="118" t="s">
        <v>304</v>
      </c>
      <c r="N951" s="118"/>
    </row>
    <row r="952" ht="15.75" customHeight="1">
      <c r="A952" s="117">
        <f t="shared" si="1"/>
        <v>947</v>
      </c>
      <c r="B952" s="118"/>
      <c r="C952" s="119">
        <v>45939.0</v>
      </c>
      <c r="D952" s="120" t="s">
        <v>215</v>
      </c>
      <c r="E952" s="120" t="s">
        <v>113</v>
      </c>
      <c r="F952" s="120" t="str">
        <f>+IFERROR(VLOOKUP(E952,'DANH MỤC'!$C:$H,2,0),"")</f>
        <v>Lưỡi gà trắng 95mm x 800m x 230gsm</v>
      </c>
      <c r="G952" s="120" t="str">
        <f>+IFERROR(VLOOKUP(E952,'DANH MỤC'!$C:$H,6,0),"")</f>
        <v>Cuộn</v>
      </c>
      <c r="H952" s="120">
        <f>+IFERROR(VLOOKUP(E952,'DANH MỤC'!$C:$H,3,0),"")</f>
        <v>230</v>
      </c>
      <c r="I952" s="120">
        <f>+IFERROR(VLOOKUP(E952,'DANH MỤC'!$C:$H,4,0),"")</f>
        <v>95</v>
      </c>
      <c r="J952" s="120">
        <f>+IFERROR(VLOOKUP(E952,'DANH MỤC'!$C:$H,5,0),"")</f>
        <v>800</v>
      </c>
      <c r="K952" s="117"/>
      <c r="L952" s="121">
        <f>5*60</f>
        <v>300</v>
      </c>
      <c r="M952" s="118" t="s">
        <v>452</v>
      </c>
      <c r="N952" s="118"/>
    </row>
    <row r="953" ht="15.75" customHeight="1">
      <c r="A953" s="117">
        <f t="shared" si="1"/>
        <v>948</v>
      </c>
      <c r="B953" s="118"/>
      <c r="C953" s="119">
        <v>45940.0</v>
      </c>
      <c r="D953" s="120" t="s">
        <v>130</v>
      </c>
      <c r="E953" s="120" t="s">
        <v>123</v>
      </c>
      <c r="F953" s="120" t="str">
        <f>+IFERROR(VLOOKUP(E953,'DANH MỤC'!$C:$H,2,0),"")</f>
        <v>Lưỡi gà trắng 90mm x 800m x 250gsm</v>
      </c>
      <c r="G953" s="120" t="str">
        <f>+IFERROR(VLOOKUP(E953,'DANH MỤC'!$C:$H,6,0),"")</f>
        <v>Cuộn</v>
      </c>
      <c r="H953" s="120">
        <f>+IFERROR(VLOOKUP(E953,'DANH MỤC'!$C:$H,3,0),"")</f>
        <v>250</v>
      </c>
      <c r="I953" s="120">
        <f>+IFERROR(VLOOKUP(E953,'DANH MỤC'!$C:$H,4,0),"")</f>
        <v>90</v>
      </c>
      <c r="J953" s="120">
        <f>+IFERROR(VLOOKUP(E953,'DANH MỤC'!$C:$H,5,0),"")</f>
        <v>800</v>
      </c>
      <c r="K953" s="117"/>
      <c r="L953" s="121">
        <f>4*52</f>
        <v>208</v>
      </c>
      <c r="M953" s="118" t="s">
        <v>683</v>
      </c>
      <c r="N953" s="118"/>
    </row>
    <row r="954" ht="15.75" customHeight="1">
      <c r="A954" s="117">
        <f t="shared" si="1"/>
        <v>949</v>
      </c>
      <c r="B954" s="118"/>
      <c r="C954" s="119">
        <v>45940.0</v>
      </c>
      <c r="D954" s="120" t="s">
        <v>130</v>
      </c>
      <c r="E954" s="120" t="s">
        <v>123</v>
      </c>
      <c r="F954" s="120" t="str">
        <f>+IFERROR(VLOOKUP(E954,'DANH MỤC'!$C:$H,2,0),"")</f>
        <v>Lưỡi gà trắng 90mm x 800m x 250gsm</v>
      </c>
      <c r="G954" s="120" t="str">
        <f>+IFERROR(VLOOKUP(E954,'DANH MỤC'!$C:$H,6,0),"")</f>
        <v>Cuộn</v>
      </c>
      <c r="H954" s="120">
        <f>+IFERROR(VLOOKUP(E954,'DANH MỤC'!$C:$H,3,0),"")</f>
        <v>250</v>
      </c>
      <c r="I954" s="120">
        <f>+IFERROR(VLOOKUP(E954,'DANH MỤC'!$C:$H,4,0),"")</f>
        <v>90</v>
      </c>
      <c r="J954" s="120">
        <f>+IFERROR(VLOOKUP(E954,'DANH MỤC'!$C:$H,5,0),"")</f>
        <v>800</v>
      </c>
      <c r="K954" s="117"/>
      <c r="L954" s="121">
        <f>5*52</f>
        <v>260</v>
      </c>
      <c r="M954" s="118" t="s">
        <v>684</v>
      </c>
      <c r="N954" s="118"/>
    </row>
    <row r="955" ht="15.75" customHeight="1">
      <c r="A955" s="53">
        <f t="shared" si="1"/>
        <v>950</v>
      </c>
      <c r="B955" s="55" t="s">
        <v>685</v>
      </c>
      <c r="C955" s="41">
        <v>45940.0</v>
      </c>
      <c r="D955" s="42" t="s">
        <v>686</v>
      </c>
      <c r="E955" s="42" t="s">
        <v>207</v>
      </c>
      <c r="F955" s="42" t="str">
        <f>+IFERROR(VLOOKUP(E955,'DANH MỤC'!$C:$H,2,0),"")</f>
        <v>Ivory Ningbo</v>
      </c>
      <c r="G955" s="42" t="str">
        <f>+IFERROR(VLOOKUP(E955,'DANH MỤC'!$C:$H,6,0),"")</f>
        <v>Kg</v>
      </c>
      <c r="H955" s="42">
        <f>+IFERROR(VLOOKUP(E955,'DANH MỤC'!$C:$H,3,0),"")</f>
        <v>210</v>
      </c>
      <c r="I955" s="42">
        <f>+IFERROR(VLOOKUP(E955,'DANH MỤC'!$C:$H,4,0),"")</f>
        <v>70</v>
      </c>
      <c r="J955" s="42" t="str">
        <f>+IFERROR(VLOOKUP(E955,'DANH MỤC'!$C:$H,5,0),"")</f>
        <v/>
      </c>
      <c r="K955" s="53"/>
      <c r="L955" s="58">
        <v>3834.0</v>
      </c>
      <c r="M955" s="55"/>
      <c r="N955" s="55"/>
    </row>
    <row r="956" ht="15.75" customHeight="1">
      <c r="A956" s="53">
        <f t="shared" si="1"/>
        <v>951</v>
      </c>
      <c r="B956" s="55" t="s">
        <v>685</v>
      </c>
      <c r="C956" s="41">
        <v>45940.0</v>
      </c>
      <c r="D956" s="42" t="s">
        <v>687</v>
      </c>
      <c r="E956" s="42" t="s">
        <v>97</v>
      </c>
      <c r="F956" s="42" t="str">
        <f>+IFERROR(VLOOKUP(E956,'DANH MỤC'!$C:$H,2,0),"")</f>
        <v>Ống lõi giấy phi 120x7x1000mm</v>
      </c>
      <c r="G956" s="42" t="str">
        <f>+IFERROR(VLOOKUP(E956,'DANH MỤC'!$C:$H,6,0),"")</f>
        <v>Cái</v>
      </c>
      <c r="H956" s="42">
        <f>+IFERROR(VLOOKUP(E956,'DANH MỤC'!$C:$H,3,0),"")</f>
        <v>120</v>
      </c>
      <c r="I956" s="42">
        <f>+IFERROR(VLOOKUP(E956,'DANH MỤC'!$C:$H,4,0),"")</f>
        <v>70</v>
      </c>
      <c r="J956" s="42">
        <f>+IFERROR(VLOOKUP(E956,'DANH MỤC'!$C:$H,5,0),"")</f>
        <v>1000</v>
      </c>
      <c r="K956" s="53"/>
      <c r="L956" s="58">
        <v>10.0</v>
      </c>
      <c r="M956" s="55"/>
      <c r="N956" s="55"/>
    </row>
    <row r="957" ht="15.75" customHeight="1">
      <c r="A957" s="53">
        <f t="shared" si="1"/>
        <v>952</v>
      </c>
      <c r="B957" s="55" t="s">
        <v>685</v>
      </c>
      <c r="C957" s="41">
        <v>45940.0</v>
      </c>
      <c r="D957" s="42" t="s">
        <v>687</v>
      </c>
      <c r="E957" s="42" t="s">
        <v>127</v>
      </c>
      <c r="F957" s="42" t="str">
        <f>+IFERROR(VLOOKUP(E957,'DANH MỤC'!$C:$H,2,0),"")</f>
        <v>Pallet gỗ 1100x1100x130mm</v>
      </c>
      <c r="G957" s="42" t="str">
        <f>+IFERROR(VLOOKUP(E957,'DANH MỤC'!$C:$H,6,0),"")</f>
        <v>Bộ</v>
      </c>
      <c r="H957" s="42">
        <f>+IFERROR(VLOOKUP(E957,'DANH MỤC'!$C:$H,3,0),"")</f>
        <v>1100</v>
      </c>
      <c r="I957" s="42">
        <f>+IFERROR(VLOOKUP(E957,'DANH MỤC'!$C:$H,4,0),"")</f>
        <v>1100</v>
      </c>
      <c r="J957" s="42">
        <f>+IFERROR(VLOOKUP(E957,'DANH MỤC'!$C:$H,5,0),"")</f>
        <v>130</v>
      </c>
      <c r="K957" s="53"/>
      <c r="L957" s="58">
        <v>4.0</v>
      </c>
      <c r="M957" s="55"/>
      <c r="N957" s="55"/>
    </row>
    <row r="958" ht="15.75" customHeight="1">
      <c r="A958" s="53">
        <f t="shared" si="1"/>
        <v>953</v>
      </c>
      <c r="B958" s="55" t="s">
        <v>685</v>
      </c>
      <c r="C958" s="41">
        <v>45940.0</v>
      </c>
      <c r="D958" s="42" t="s">
        <v>687</v>
      </c>
      <c r="E958" s="42" t="s">
        <v>96</v>
      </c>
      <c r="F958" s="42" t="str">
        <f>+IFERROR(VLOOKUP(E958,'DANH MỤC'!$C:$H,2,0),"")</f>
        <v>Giấy bao gói lưỡi gà</v>
      </c>
      <c r="G958" s="42" t="str">
        <f>+IFERROR(VLOOKUP(E958,'DANH MỤC'!$C:$H,6,0),"")</f>
        <v>Kg</v>
      </c>
      <c r="H958" s="42" t="str">
        <f>+IFERROR(VLOOKUP(E958,'DANH MỤC'!$C:$H,3,0),"")</f>
        <v/>
      </c>
      <c r="I958" s="42" t="str">
        <f>+IFERROR(VLOOKUP(E958,'DANH MỤC'!$C:$H,4,0),"")</f>
        <v/>
      </c>
      <c r="J958" s="42" t="str">
        <f>+IFERROR(VLOOKUP(E958,'DANH MỤC'!$C:$H,5,0),"")</f>
        <v/>
      </c>
      <c r="K958" s="53"/>
      <c r="L958" s="58">
        <v>3.22</v>
      </c>
      <c r="M958" s="55"/>
      <c r="N958" s="55"/>
    </row>
    <row r="959" ht="15.75" customHeight="1">
      <c r="A959" s="53">
        <f t="shared" si="1"/>
        <v>954</v>
      </c>
      <c r="B959" s="55" t="s">
        <v>685</v>
      </c>
      <c r="C959" s="41">
        <v>45940.0</v>
      </c>
      <c r="D959" s="42" t="s">
        <v>687</v>
      </c>
      <c r="E959" s="42" t="s">
        <v>112</v>
      </c>
      <c r="F959" s="42" t="str">
        <f>+IFERROR(VLOOKUP(E959,'DANH MỤC'!$C:$H,2,0),"")</f>
        <v>Dây đai PET xanh (B)</v>
      </c>
      <c r="G959" s="42" t="str">
        <f>+IFERROR(VLOOKUP(E959,'DANH MỤC'!$C:$H,6,0),"")</f>
        <v>Kg</v>
      </c>
      <c r="H959" s="42" t="str">
        <f>+IFERROR(VLOOKUP(E959,'DANH MỤC'!$C:$H,3,0),"")</f>
        <v/>
      </c>
      <c r="I959" s="42" t="str">
        <f>+IFERROR(VLOOKUP(E959,'DANH MỤC'!$C:$H,4,0),"")</f>
        <v/>
      </c>
      <c r="J959" s="42" t="str">
        <f>+IFERROR(VLOOKUP(E959,'DANH MỤC'!$C:$H,5,0),"")</f>
        <v/>
      </c>
      <c r="K959" s="53"/>
      <c r="L959" s="58">
        <v>2.6</v>
      </c>
      <c r="M959" s="55"/>
      <c r="N959" s="55"/>
    </row>
    <row r="960" ht="15.75" customHeight="1">
      <c r="A960" s="53">
        <f t="shared" si="1"/>
        <v>955</v>
      </c>
      <c r="B960" s="55" t="s">
        <v>685</v>
      </c>
      <c r="C960" s="41">
        <v>45940.0</v>
      </c>
      <c r="D960" s="42" t="s">
        <v>687</v>
      </c>
      <c r="E960" s="42" t="s">
        <v>115</v>
      </c>
      <c r="F960" s="42" t="str">
        <f>+IFERROR(VLOOKUP(E960,'DANH MỤC'!$C:$H,2,0),"")</f>
        <v>Màng Strecth Film 5.0-0.6kg</v>
      </c>
      <c r="G960" s="42" t="str">
        <f>+IFERROR(VLOOKUP(E960,'DANH MỤC'!$C:$H,6,0),"")</f>
        <v>Kg</v>
      </c>
      <c r="H960" s="42" t="str">
        <f>+IFERROR(VLOOKUP(E960,'DANH MỤC'!$C:$H,3,0),"")</f>
        <v/>
      </c>
      <c r="I960" s="42" t="str">
        <f>+IFERROR(VLOOKUP(E960,'DANH MỤC'!$C:$H,4,0),"")</f>
        <v/>
      </c>
      <c r="J960" s="42" t="str">
        <f>+IFERROR(VLOOKUP(E960,'DANH MỤC'!$C:$H,5,0),"")</f>
        <v/>
      </c>
      <c r="K960" s="53"/>
      <c r="L960" s="58">
        <v>1.2</v>
      </c>
      <c r="M960" s="55"/>
      <c r="N960" s="55"/>
    </row>
    <row r="961" ht="15.75" customHeight="1">
      <c r="A961" s="53">
        <f t="shared" si="1"/>
        <v>956</v>
      </c>
      <c r="B961" s="55" t="s">
        <v>685</v>
      </c>
      <c r="C961" s="41">
        <v>45940.0</v>
      </c>
      <c r="D961" s="42" t="s">
        <v>688</v>
      </c>
      <c r="E961" s="42" t="s">
        <v>89</v>
      </c>
      <c r="F961" s="42" t="str">
        <f>+IFERROR(VLOOKUP(E961,'DANH MỤC'!$C:$H,2,0),"")</f>
        <v>Lưỡi gà trắng 83mm x 800m x 210gsm</v>
      </c>
      <c r="G961" s="42" t="str">
        <f>+IFERROR(VLOOKUP(E961,'DANH MỤC'!$C:$H,6,0),"")</f>
        <v>Cuộn</v>
      </c>
      <c r="H961" s="42">
        <f>+IFERROR(VLOOKUP(E961,'DANH MỤC'!$C:$H,3,0),"")</f>
        <v>210</v>
      </c>
      <c r="I961" s="42">
        <f>+IFERROR(VLOOKUP(E961,'DANH MỤC'!$C:$H,4,0),"")</f>
        <v>83</v>
      </c>
      <c r="J961" s="42">
        <f>+IFERROR(VLOOKUP(E961,'DANH MỤC'!$C:$H,5,0),"")</f>
        <v>800</v>
      </c>
      <c r="K961" s="53">
        <f>4*60+8*2-1</f>
        <v>255</v>
      </c>
      <c r="L961" s="58"/>
      <c r="M961" s="55"/>
      <c r="N961" s="55"/>
    </row>
    <row r="962" ht="15.75" customHeight="1">
      <c r="A962" s="53">
        <f t="shared" si="1"/>
        <v>957</v>
      </c>
      <c r="B962" s="55" t="s">
        <v>685</v>
      </c>
      <c r="C962" s="41">
        <v>45940.0</v>
      </c>
      <c r="D962" s="42" t="s">
        <v>689</v>
      </c>
      <c r="E962" s="42" t="s">
        <v>96</v>
      </c>
      <c r="F962" s="42" t="str">
        <f>+IFERROR(VLOOKUP(E962,'DANH MỤC'!$C:$H,2,0),"")</f>
        <v>Giấy bao gói lưỡi gà</v>
      </c>
      <c r="G962" s="42" t="str">
        <f>+IFERROR(VLOOKUP(E962,'DANH MỤC'!$C:$H,6,0),"")</f>
        <v>Kg</v>
      </c>
      <c r="H962" s="42" t="str">
        <f>+IFERROR(VLOOKUP(E962,'DANH MỤC'!$C:$H,3,0),"")</f>
        <v/>
      </c>
      <c r="I962" s="42" t="str">
        <f>+IFERROR(VLOOKUP(E962,'DANH MỤC'!$C:$H,4,0),"")</f>
        <v/>
      </c>
      <c r="J962" s="42" t="str">
        <f>+IFERROR(VLOOKUP(E962,'DANH MỤC'!$C:$H,5,0),"")</f>
        <v/>
      </c>
      <c r="K962" s="53"/>
      <c r="L962" s="58">
        <v>0.01</v>
      </c>
      <c r="M962" s="55"/>
      <c r="N962" s="55"/>
    </row>
    <row r="963" ht="15.75" customHeight="1">
      <c r="A963" s="53">
        <f t="shared" si="1"/>
        <v>958</v>
      </c>
      <c r="B963" s="55"/>
      <c r="C963" s="41">
        <v>45940.0</v>
      </c>
      <c r="D963" s="42" t="s">
        <v>319</v>
      </c>
      <c r="E963" s="42" t="s">
        <v>89</v>
      </c>
      <c r="F963" s="42" t="str">
        <f>+IFERROR(VLOOKUP(E963,'DANH MỤC'!$C:$H,2,0),"")</f>
        <v>Lưỡi gà trắng 83mm x 800m x 210gsm</v>
      </c>
      <c r="G963" s="42" t="str">
        <f>+IFERROR(VLOOKUP(E963,'DANH MỤC'!$C:$H,6,0),"")</f>
        <v>Cuộn</v>
      </c>
      <c r="H963" s="42">
        <f>+IFERROR(VLOOKUP(E963,'DANH MỤC'!$C:$H,3,0),"")</f>
        <v>210</v>
      </c>
      <c r="I963" s="42">
        <f>+IFERROR(VLOOKUP(E963,'DANH MỤC'!$C:$H,4,0),"")</f>
        <v>83</v>
      </c>
      <c r="J963" s="42">
        <f>+IFERROR(VLOOKUP(E963,'DANH MỤC'!$C:$H,5,0),"")</f>
        <v>800</v>
      </c>
      <c r="K963" s="53">
        <v>1.0</v>
      </c>
      <c r="L963" s="58"/>
      <c r="M963" s="55" t="s">
        <v>690</v>
      </c>
      <c r="N963" s="55"/>
    </row>
    <row r="964" ht="15.75" customHeight="1">
      <c r="A964" s="117">
        <f t="shared" si="1"/>
        <v>959</v>
      </c>
      <c r="B964" s="118"/>
      <c r="C964" s="119">
        <v>45940.0</v>
      </c>
      <c r="D964" s="120" t="s">
        <v>146</v>
      </c>
      <c r="E964" s="120" t="s">
        <v>89</v>
      </c>
      <c r="F964" s="120" t="str">
        <f>+IFERROR(VLOOKUP(E964,'DANH MỤC'!$C:$H,2,0),"")</f>
        <v>Lưỡi gà trắng 83mm x 800m x 210gsm</v>
      </c>
      <c r="G964" s="120" t="str">
        <f>+IFERROR(VLOOKUP(E964,'DANH MỤC'!$C:$H,6,0),"")</f>
        <v>Cuộn</v>
      </c>
      <c r="H964" s="120">
        <f>+IFERROR(VLOOKUP(E964,'DANH MỤC'!$C:$H,3,0),"")</f>
        <v>210</v>
      </c>
      <c r="I964" s="120">
        <f>+IFERROR(VLOOKUP(E964,'DANH MỤC'!$C:$H,4,0),"")</f>
        <v>83</v>
      </c>
      <c r="J964" s="120">
        <f>+IFERROR(VLOOKUP(E964,'DANH MỤC'!$C:$H,5,0),"")</f>
        <v>800</v>
      </c>
      <c r="K964" s="117"/>
      <c r="L964" s="121">
        <f>4*60</f>
        <v>240</v>
      </c>
      <c r="M964" s="118" t="s">
        <v>304</v>
      </c>
      <c r="N964" s="118"/>
    </row>
    <row r="965" ht="15.75" customHeight="1">
      <c r="A965" s="53">
        <f t="shared" si="1"/>
        <v>960</v>
      </c>
      <c r="B965" s="55"/>
      <c r="C965" s="41">
        <v>45948.0</v>
      </c>
      <c r="D965" s="42" t="s">
        <v>35</v>
      </c>
      <c r="E965" s="42" t="s">
        <v>213</v>
      </c>
      <c r="F965" s="42" t="str">
        <f>+IFERROR(VLOOKUP(E965,'DANH MỤC'!$C:$H,2,0),"")</f>
        <v>Ivory Ningbo</v>
      </c>
      <c r="G965" s="42" t="str">
        <f>+IFERROR(VLOOKUP(E965,'DANH MỤC'!$C:$H,6,0),"")</f>
        <v>Kg</v>
      </c>
      <c r="H965" s="42">
        <f>+IFERROR(VLOOKUP(E965,'DANH MỤC'!$C:$H,3,0),"")</f>
        <v>210</v>
      </c>
      <c r="I965" s="42">
        <f>+IFERROR(VLOOKUP(E965,'DANH MỤC'!$C:$H,4,0),"")</f>
        <v>108</v>
      </c>
      <c r="J965" s="42" t="str">
        <f>+IFERROR(VLOOKUP(E965,'DANH MỤC'!$C:$H,5,0),"")</f>
        <v/>
      </c>
      <c r="K965" s="53">
        <f>26*987</f>
        <v>25662</v>
      </c>
      <c r="L965" s="58"/>
      <c r="M965" s="55" t="s">
        <v>691</v>
      </c>
      <c r="N965" s="55"/>
    </row>
    <row r="966" ht="15.75" customHeight="1">
      <c r="A966" s="53">
        <f t="shared" si="1"/>
        <v>961</v>
      </c>
      <c r="B966" s="55"/>
      <c r="C966" s="41">
        <v>45948.0</v>
      </c>
      <c r="D966" s="42" t="s">
        <v>35</v>
      </c>
      <c r="E966" s="42" t="s">
        <v>88</v>
      </c>
      <c r="F966" s="42" t="str">
        <f>+IFERROR(VLOOKUP(E966,'DANH MỤC'!$C:$H,2,0),"")</f>
        <v>Ivory Ningbo</v>
      </c>
      <c r="G966" s="42" t="str">
        <f>+IFERROR(VLOOKUP(E966,'DANH MỤC'!$C:$H,6,0),"")</f>
        <v>Kg</v>
      </c>
      <c r="H966" s="42">
        <f>+IFERROR(VLOOKUP(E966,'DANH MỤC'!$C:$H,3,0),"")</f>
        <v>250</v>
      </c>
      <c r="I966" s="42">
        <f>+IFERROR(VLOOKUP(E966,'DANH MỤC'!$C:$H,4,0),"")</f>
        <v>109</v>
      </c>
      <c r="J966" s="42" t="str">
        <f>+IFERROR(VLOOKUP(E966,'DANH MỤC'!$C:$H,5,0),"")</f>
        <v/>
      </c>
      <c r="K966" s="53">
        <f>26*981</f>
        <v>25506</v>
      </c>
      <c r="L966" s="58"/>
      <c r="M966" s="55" t="s">
        <v>692</v>
      </c>
      <c r="N966" s="55"/>
    </row>
    <row r="967" ht="15.75" customHeight="1">
      <c r="A967" s="53">
        <f t="shared" si="1"/>
        <v>962</v>
      </c>
      <c r="B967" s="55"/>
      <c r="C967" s="41">
        <v>45948.0</v>
      </c>
      <c r="D967" s="42" t="s">
        <v>35</v>
      </c>
      <c r="E967" s="42" t="s">
        <v>223</v>
      </c>
      <c r="F967" s="42" t="str">
        <f>+IFERROR(VLOOKUP(E967,'DANH MỤC'!$C:$H,2,0),"")</f>
        <v>Ivory Ningbo</v>
      </c>
      <c r="G967" s="42" t="str">
        <f>+IFERROR(VLOOKUP(E967,'DANH MỤC'!$C:$H,6,0),"")</f>
        <v>Kg</v>
      </c>
      <c r="H967" s="42">
        <f>+IFERROR(VLOOKUP(E967,'DANH MỤC'!$C:$H,3,0),"")</f>
        <v>230</v>
      </c>
      <c r="I967" s="42">
        <f>+IFERROR(VLOOKUP(E967,'DANH MỤC'!$C:$H,4,0),"")</f>
        <v>108</v>
      </c>
      <c r="J967" s="42" t="str">
        <f>+IFERROR(VLOOKUP(E967,'DANH MỤC'!$C:$H,5,0),"")</f>
        <v/>
      </c>
      <c r="K967" s="53">
        <f>21*969</f>
        <v>20349</v>
      </c>
      <c r="L967" s="58"/>
      <c r="M967" s="55" t="s">
        <v>693</v>
      </c>
      <c r="N967" s="55"/>
    </row>
    <row r="968" ht="15.75" customHeight="1">
      <c r="A968" s="53">
        <f t="shared" si="1"/>
        <v>963</v>
      </c>
      <c r="B968" s="55"/>
      <c r="C968" s="41">
        <v>45948.0</v>
      </c>
      <c r="D968" s="42" t="s">
        <v>35</v>
      </c>
      <c r="E968" s="42" t="s">
        <v>213</v>
      </c>
      <c r="F968" s="42" t="str">
        <f>+IFERROR(VLOOKUP(E968,'DANH MỤC'!$C:$H,2,0),"")</f>
        <v>Ivory Ningbo</v>
      </c>
      <c r="G968" s="42" t="str">
        <f>+IFERROR(VLOOKUP(E968,'DANH MỤC'!$C:$H,6,0),"")</f>
        <v>Kg</v>
      </c>
      <c r="H968" s="42">
        <f>+IFERROR(VLOOKUP(E968,'DANH MỤC'!$C:$H,3,0),"")</f>
        <v>210</v>
      </c>
      <c r="I968" s="42">
        <f>+IFERROR(VLOOKUP(E968,'DANH MỤC'!$C:$H,4,0),"")</f>
        <v>108</v>
      </c>
      <c r="J968" s="42" t="str">
        <f>+IFERROR(VLOOKUP(E968,'DANH MỤC'!$C:$H,5,0),"")</f>
        <v/>
      </c>
      <c r="K968" s="53">
        <f>4*987</f>
        <v>3948</v>
      </c>
      <c r="L968" s="58"/>
      <c r="M968" s="55" t="s">
        <v>693</v>
      </c>
      <c r="N968" s="55"/>
    </row>
    <row r="969" ht="15.75" customHeight="1">
      <c r="A969" s="53">
        <f t="shared" si="1"/>
        <v>964</v>
      </c>
      <c r="B969" s="55"/>
      <c r="C969" s="41">
        <v>45948.0</v>
      </c>
      <c r="D969" s="42" t="s">
        <v>35</v>
      </c>
      <c r="E969" s="42" t="s">
        <v>213</v>
      </c>
      <c r="F969" s="42" t="str">
        <f>+IFERROR(VLOOKUP(E969,'DANH MỤC'!$C:$H,2,0),"")</f>
        <v>Ivory Ningbo</v>
      </c>
      <c r="G969" s="42" t="str">
        <f>+IFERROR(VLOOKUP(E969,'DANH MỤC'!$C:$H,6,0),"")</f>
        <v>Kg</v>
      </c>
      <c r="H969" s="42">
        <f>+IFERROR(VLOOKUP(E969,'DANH MỤC'!$C:$H,3,0),"")</f>
        <v>210</v>
      </c>
      <c r="I969" s="42">
        <f>+IFERROR(VLOOKUP(E969,'DANH MỤC'!$C:$H,4,0),"")</f>
        <v>108</v>
      </c>
      <c r="J969" s="42" t="str">
        <f>+IFERROR(VLOOKUP(E969,'DANH MỤC'!$C:$H,5,0),"")</f>
        <v/>
      </c>
      <c r="K969" s="53">
        <f t="shared" ref="K969:K970" si="2">26*987</f>
        <v>25662</v>
      </c>
      <c r="L969" s="58"/>
      <c r="M969" s="55" t="s">
        <v>694</v>
      </c>
      <c r="N969" s="55"/>
    </row>
    <row r="970" ht="15.75" customHeight="1">
      <c r="A970" s="53">
        <f t="shared" si="1"/>
        <v>965</v>
      </c>
      <c r="B970" s="55"/>
      <c r="C970" s="41">
        <v>45948.0</v>
      </c>
      <c r="D970" s="42" t="s">
        <v>35</v>
      </c>
      <c r="E970" s="42" t="s">
        <v>213</v>
      </c>
      <c r="F970" s="42" t="str">
        <f>+IFERROR(VLOOKUP(E970,'DANH MỤC'!$C:$H,2,0),"")</f>
        <v>Ivory Ningbo</v>
      </c>
      <c r="G970" s="42" t="str">
        <f>+IFERROR(VLOOKUP(E970,'DANH MỤC'!$C:$H,6,0),"")</f>
        <v>Kg</v>
      </c>
      <c r="H970" s="42">
        <f>+IFERROR(VLOOKUP(E970,'DANH MỤC'!$C:$H,3,0),"")</f>
        <v>210</v>
      </c>
      <c r="I970" s="42">
        <f>+IFERROR(VLOOKUP(E970,'DANH MỤC'!$C:$H,4,0),"")</f>
        <v>108</v>
      </c>
      <c r="J970" s="42" t="str">
        <f>+IFERROR(VLOOKUP(E970,'DANH MỤC'!$C:$H,5,0),"")</f>
        <v/>
      </c>
      <c r="K970" s="53">
        <f t="shared" si="2"/>
        <v>25662</v>
      </c>
      <c r="L970" s="58"/>
      <c r="M970" s="55" t="s">
        <v>695</v>
      </c>
      <c r="N970" s="55"/>
    </row>
    <row r="971" ht="15.75" customHeight="1">
      <c r="A971" s="117">
        <f t="shared" si="1"/>
        <v>966</v>
      </c>
      <c r="B971" s="118"/>
      <c r="C971" s="119">
        <v>45950.0</v>
      </c>
      <c r="D971" s="120" t="s">
        <v>146</v>
      </c>
      <c r="E971" s="120" t="s">
        <v>81</v>
      </c>
      <c r="F971" s="120" t="str">
        <f>+IFERROR(VLOOKUP(E971,'DANH MỤC'!$C:$H,2,0),"")</f>
        <v>Lưỡi gà trắng 71mm x 800m x 210gsm</v>
      </c>
      <c r="G971" s="120" t="str">
        <f>+IFERROR(VLOOKUP(E971,'DANH MỤC'!$C:$H,6,0),"")</f>
        <v>Cuộn</v>
      </c>
      <c r="H971" s="120">
        <f>+IFERROR(VLOOKUP(E971,'DANH MỤC'!$C:$H,3,0),"")</f>
        <v>210</v>
      </c>
      <c r="I971" s="120">
        <f>+IFERROR(VLOOKUP(E971,'DANH MỤC'!$C:$H,4,0),"")</f>
        <v>71</v>
      </c>
      <c r="J971" s="120">
        <f>+IFERROR(VLOOKUP(E971,'DANH MỤC'!$C:$H,5,0),"")</f>
        <v>800</v>
      </c>
      <c r="K971" s="117"/>
      <c r="L971" s="121">
        <f>10*60</f>
        <v>600</v>
      </c>
      <c r="M971" s="118" t="s">
        <v>304</v>
      </c>
      <c r="N971" s="118"/>
    </row>
    <row r="972" ht="15.75" customHeight="1">
      <c r="A972" s="53">
        <f t="shared" si="1"/>
        <v>967</v>
      </c>
      <c r="B972" s="55" t="s">
        <v>402</v>
      </c>
      <c r="C972" s="41">
        <v>45951.0</v>
      </c>
      <c r="D972" s="42" t="s">
        <v>696</v>
      </c>
      <c r="E972" s="42" t="s">
        <v>88</v>
      </c>
      <c r="F972" s="42" t="str">
        <f>+IFERROR(VLOOKUP(E972,'DANH MỤC'!$C:$H,2,0),"")</f>
        <v>Ivory Ningbo</v>
      </c>
      <c r="G972" s="42" t="str">
        <f>+IFERROR(VLOOKUP(E972,'DANH MỤC'!$C:$H,6,0),"")</f>
        <v>Kg</v>
      </c>
      <c r="H972" s="42">
        <f>+IFERROR(VLOOKUP(E972,'DANH MỤC'!$C:$H,3,0),"")</f>
        <v>250</v>
      </c>
      <c r="I972" s="42">
        <f>+IFERROR(VLOOKUP(E972,'DANH MỤC'!$C:$H,4,0),"")</f>
        <v>109</v>
      </c>
      <c r="J972" s="42" t="str">
        <f>+IFERROR(VLOOKUP(E972,'DANH MỤC'!$C:$H,5,0),"")</f>
        <v/>
      </c>
      <c r="K972" s="53"/>
      <c r="L972" s="58">
        <f>790+21*981-480</f>
        <v>20911</v>
      </c>
      <c r="M972" s="55"/>
      <c r="N972" s="55"/>
    </row>
    <row r="973" ht="15.75" customHeight="1">
      <c r="A973" s="53">
        <f t="shared" si="1"/>
        <v>968</v>
      </c>
      <c r="B973" s="55" t="s">
        <v>402</v>
      </c>
      <c r="C973" s="41">
        <v>45951.0</v>
      </c>
      <c r="D973" s="42" t="s">
        <v>697</v>
      </c>
      <c r="E973" s="42" t="s">
        <v>204</v>
      </c>
      <c r="F973" s="42" t="str">
        <f>+IFERROR(VLOOKUP(E973,'DANH MỤC'!$C:$H,2,0),"")</f>
        <v>Ống lõi giấy phi 120x7x98mm</v>
      </c>
      <c r="G973" s="42" t="str">
        <f>+IFERROR(VLOOKUP(E973,'DANH MỤC'!$C:$H,6,0),"")</f>
        <v>Cái</v>
      </c>
      <c r="H973" s="42">
        <f>+IFERROR(VLOOKUP(E973,'DANH MỤC'!$C:$H,3,0),"")</f>
        <v>120</v>
      </c>
      <c r="I973" s="42">
        <f>+IFERROR(VLOOKUP(E973,'DANH MỤC'!$C:$H,4,0),"")</f>
        <v>70</v>
      </c>
      <c r="J973" s="42">
        <f>+IFERROR(VLOOKUP(E973,'DANH MỤC'!$C:$H,5,0),"")</f>
        <v>98</v>
      </c>
      <c r="K973" s="53"/>
      <c r="L973" s="58">
        <v>44.0</v>
      </c>
      <c r="M973" s="55"/>
      <c r="N973" s="55"/>
    </row>
    <row r="974" ht="15.75" customHeight="1">
      <c r="A974" s="53">
        <f t="shared" si="1"/>
        <v>969</v>
      </c>
      <c r="B974" s="55" t="s">
        <v>402</v>
      </c>
      <c r="C974" s="41">
        <v>45951.0</v>
      </c>
      <c r="D974" s="42" t="s">
        <v>697</v>
      </c>
      <c r="E974" s="42" t="s">
        <v>183</v>
      </c>
      <c r="F974" s="42" t="str">
        <f>+IFERROR(VLOOKUP(E974,'DANH MỤC'!$C:$H,2,0),"")</f>
        <v>Ống lõi giấy phi 120x7x90mm</v>
      </c>
      <c r="G974" s="42" t="str">
        <f>+IFERROR(VLOOKUP(E974,'DANH MỤC'!$C:$H,6,0),"")</f>
        <v>Cái</v>
      </c>
      <c r="H974" s="42">
        <f>+IFERROR(VLOOKUP(E974,'DANH MỤC'!$C:$H,3,0),"")</f>
        <v>120</v>
      </c>
      <c r="I974" s="42">
        <f>+IFERROR(VLOOKUP(E974,'DANH MỤC'!$C:$H,4,0),"")</f>
        <v>70</v>
      </c>
      <c r="J974" s="42">
        <f>+IFERROR(VLOOKUP(E974,'DANH MỤC'!$C:$H,5,0),"")</f>
        <v>90</v>
      </c>
      <c r="K974" s="53"/>
      <c r="L974" s="58">
        <v>1096.0</v>
      </c>
      <c r="M974" s="55"/>
      <c r="N974" s="55"/>
    </row>
    <row r="975" ht="15.75" customHeight="1">
      <c r="A975" s="53">
        <f t="shared" si="1"/>
        <v>970</v>
      </c>
      <c r="B975" s="55" t="s">
        <v>402</v>
      </c>
      <c r="C975" s="41">
        <v>45951.0</v>
      </c>
      <c r="D975" s="42" t="s">
        <v>697</v>
      </c>
      <c r="E975" s="42" t="s">
        <v>107</v>
      </c>
      <c r="F975" s="42" t="str">
        <f>+IFERROR(VLOOKUP(E975,'DANH MỤC'!$C:$H,2,0),"")</f>
        <v>Pallet gỗ 1200x1200x130mm</v>
      </c>
      <c r="G975" s="42" t="str">
        <f>+IFERROR(VLOOKUP(E975,'DANH MỤC'!$C:$H,6,0),"")</f>
        <v>Bộ</v>
      </c>
      <c r="H975" s="42">
        <f>+IFERROR(VLOOKUP(E975,'DANH MỤC'!$C:$H,3,0),"")</f>
        <v>1200</v>
      </c>
      <c r="I975" s="42">
        <f>+IFERROR(VLOOKUP(E975,'DANH MỤC'!$C:$H,4,0),"")</f>
        <v>1200</v>
      </c>
      <c r="J975" s="42">
        <f>+IFERROR(VLOOKUP(E975,'DANH MỤC'!$C:$H,5,0),"")</f>
        <v>130</v>
      </c>
      <c r="K975" s="53"/>
      <c r="L975" s="58">
        <v>22.0</v>
      </c>
      <c r="M975" s="55"/>
      <c r="N975" s="55"/>
    </row>
    <row r="976" ht="15.75" customHeight="1">
      <c r="A976" s="53">
        <f t="shared" si="1"/>
        <v>971</v>
      </c>
      <c r="B976" s="55" t="s">
        <v>402</v>
      </c>
      <c r="C976" s="41">
        <v>45951.0</v>
      </c>
      <c r="D976" s="42" t="s">
        <v>697</v>
      </c>
      <c r="E976" s="42" t="s">
        <v>96</v>
      </c>
      <c r="F976" s="42" t="str">
        <f>+IFERROR(VLOOKUP(E976,'DANH MỤC'!$C:$H,2,0),"")</f>
        <v>Giấy bao gói lưỡi gà</v>
      </c>
      <c r="G976" s="42" t="str">
        <f>+IFERROR(VLOOKUP(E976,'DANH MỤC'!$C:$H,6,0),"")</f>
        <v>Kg</v>
      </c>
      <c r="H976" s="42" t="str">
        <f>+IFERROR(VLOOKUP(E976,'DANH MỤC'!$C:$H,3,0),"")</f>
        <v/>
      </c>
      <c r="I976" s="42" t="str">
        <f>+IFERROR(VLOOKUP(E976,'DANH MỤC'!$C:$H,4,0),"")</f>
        <v/>
      </c>
      <c r="J976" s="42" t="str">
        <f>+IFERROR(VLOOKUP(E976,'DANH MỤC'!$C:$H,5,0),"")</f>
        <v/>
      </c>
      <c r="K976" s="53"/>
      <c r="L976" s="58">
        <v>15.61</v>
      </c>
      <c r="M976" s="55"/>
      <c r="N976" s="55"/>
    </row>
    <row r="977" ht="15.75" customHeight="1">
      <c r="A977" s="53">
        <f t="shared" si="1"/>
        <v>972</v>
      </c>
      <c r="B977" s="55" t="s">
        <v>402</v>
      </c>
      <c r="C977" s="41">
        <v>45951.0</v>
      </c>
      <c r="D977" s="42" t="s">
        <v>697</v>
      </c>
      <c r="E977" s="42" t="s">
        <v>112</v>
      </c>
      <c r="F977" s="42" t="str">
        <f>+IFERROR(VLOOKUP(E977,'DANH MỤC'!$C:$H,2,0),"")</f>
        <v>Dây đai PET xanh (B)</v>
      </c>
      <c r="G977" s="42" t="str">
        <f>+IFERROR(VLOOKUP(E977,'DANH MỤC'!$C:$H,6,0),"")</f>
        <v>Kg</v>
      </c>
      <c r="H977" s="42" t="str">
        <f>+IFERROR(VLOOKUP(E977,'DANH MỤC'!$C:$H,3,0),"")</f>
        <v/>
      </c>
      <c r="I977" s="42" t="str">
        <f>+IFERROR(VLOOKUP(E977,'DANH MỤC'!$C:$H,4,0),"")</f>
        <v/>
      </c>
      <c r="J977" s="42" t="str">
        <f>+IFERROR(VLOOKUP(E977,'DANH MỤC'!$C:$H,5,0),"")</f>
        <v/>
      </c>
      <c r="K977" s="53"/>
      <c r="L977" s="58">
        <v>11.0</v>
      </c>
      <c r="M977" s="55"/>
      <c r="N977" s="55"/>
    </row>
    <row r="978" ht="15.75" customHeight="1">
      <c r="A978" s="53">
        <f t="shared" si="1"/>
        <v>973</v>
      </c>
      <c r="B978" s="55" t="s">
        <v>402</v>
      </c>
      <c r="C978" s="41">
        <v>45951.0</v>
      </c>
      <c r="D978" s="42" t="s">
        <v>697</v>
      </c>
      <c r="E978" s="42" t="s">
        <v>115</v>
      </c>
      <c r="F978" s="42" t="str">
        <f>+IFERROR(VLOOKUP(E978,'DANH MỤC'!$C:$H,2,0),"")</f>
        <v>Màng Strecth Film 5.0-0.6kg</v>
      </c>
      <c r="G978" s="42" t="str">
        <f>+IFERROR(VLOOKUP(E978,'DANH MỤC'!$C:$H,6,0),"")</f>
        <v>Kg</v>
      </c>
      <c r="H978" s="42" t="str">
        <f>+IFERROR(VLOOKUP(E978,'DANH MỤC'!$C:$H,3,0),"")</f>
        <v/>
      </c>
      <c r="I978" s="42" t="str">
        <f>+IFERROR(VLOOKUP(E978,'DANH MỤC'!$C:$H,4,0),"")</f>
        <v/>
      </c>
      <c r="J978" s="42" t="str">
        <f>+IFERROR(VLOOKUP(E978,'DANH MỤC'!$C:$H,5,0),"")</f>
        <v/>
      </c>
      <c r="K978" s="53"/>
      <c r="L978" s="58">
        <v>6.6</v>
      </c>
      <c r="M978" s="55"/>
      <c r="N978" s="55"/>
    </row>
    <row r="979" ht="15.75" customHeight="1">
      <c r="A979" s="53">
        <f t="shared" si="1"/>
        <v>974</v>
      </c>
      <c r="B979" s="55" t="s">
        <v>402</v>
      </c>
      <c r="C979" s="41">
        <v>45951.0</v>
      </c>
      <c r="D979" s="42" t="s">
        <v>698</v>
      </c>
      <c r="E979" s="42" t="s">
        <v>123</v>
      </c>
      <c r="F979" s="42" t="str">
        <f>+IFERROR(VLOOKUP(E979,'DANH MỤC'!$C:$H,2,0),"")</f>
        <v>Lưỡi gà trắng 90mm x 800m x 250gsm</v>
      </c>
      <c r="G979" s="42" t="str">
        <f>+IFERROR(VLOOKUP(E979,'DANH MỤC'!$C:$H,6,0),"")</f>
        <v>Cuộn</v>
      </c>
      <c r="H979" s="42">
        <f>+IFERROR(VLOOKUP(E979,'DANH MỤC'!$C:$H,3,0),"")</f>
        <v>250</v>
      </c>
      <c r="I979" s="42">
        <f>+IFERROR(VLOOKUP(E979,'DANH MỤC'!$C:$H,4,0),"")</f>
        <v>90</v>
      </c>
      <c r="J979" s="42">
        <f>+IFERROR(VLOOKUP(E979,'DANH MỤC'!$C:$H,5,0),"")</f>
        <v>800</v>
      </c>
      <c r="K979" s="53">
        <v>1140.0</v>
      </c>
      <c r="L979" s="58"/>
      <c r="M979" s="55"/>
      <c r="N979" s="55"/>
    </row>
    <row r="980" ht="15.75" customHeight="1">
      <c r="A980" s="53">
        <f t="shared" si="1"/>
        <v>975</v>
      </c>
      <c r="B980" s="55"/>
      <c r="C980" s="41">
        <v>45953.0</v>
      </c>
      <c r="D980" s="42" t="s">
        <v>95</v>
      </c>
      <c r="E980" s="42" t="s">
        <v>115</v>
      </c>
      <c r="F980" s="42" t="str">
        <f>+IFERROR(VLOOKUP(E980,'DANH MỤC'!$C:$H,2,0),"")</f>
        <v>Màng Strecth Film 5.0-0.6kg</v>
      </c>
      <c r="G980" s="42" t="str">
        <f>+IFERROR(VLOOKUP(E980,'DANH MỤC'!$C:$H,6,0),"")</f>
        <v>Kg</v>
      </c>
      <c r="H980" s="42" t="str">
        <f>+IFERROR(VLOOKUP(E980,'DANH MỤC'!$C:$H,3,0),"")</f>
        <v/>
      </c>
      <c r="I980" s="42" t="str">
        <f>+IFERROR(VLOOKUP(E980,'DANH MỤC'!$C:$H,4,0),"")</f>
        <v/>
      </c>
      <c r="J980" s="42" t="str">
        <f>+IFERROR(VLOOKUP(E980,'DANH MỤC'!$C:$H,5,0),"")</f>
        <v/>
      </c>
      <c r="K980" s="53">
        <f>50*4.4</f>
        <v>220</v>
      </c>
      <c r="L980" s="58"/>
      <c r="M980" s="55"/>
      <c r="N980" s="55"/>
    </row>
    <row r="981" ht="15.75" customHeight="1">
      <c r="A981" s="53">
        <f t="shared" si="1"/>
        <v>976</v>
      </c>
      <c r="B981" s="55"/>
      <c r="C981" s="41">
        <v>45953.0</v>
      </c>
      <c r="D981" s="42" t="s">
        <v>95</v>
      </c>
      <c r="E981" s="42" t="s">
        <v>112</v>
      </c>
      <c r="F981" s="42" t="str">
        <f>+IFERROR(VLOOKUP(E981,'DANH MỤC'!$C:$H,2,0),"")</f>
        <v>Dây đai PET xanh (B)</v>
      </c>
      <c r="G981" s="42" t="str">
        <f>+IFERROR(VLOOKUP(E981,'DANH MỤC'!$C:$H,6,0),"")</f>
        <v>Kg</v>
      </c>
      <c r="H981" s="42" t="str">
        <f>+IFERROR(VLOOKUP(E981,'DANH MỤC'!$C:$H,3,0),"")</f>
        <v/>
      </c>
      <c r="I981" s="42" t="str">
        <f>+IFERROR(VLOOKUP(E981,'DANH MỤC'!$C:$H,4,0),"")</f>
        <v/>
      </c>
      <c r="J981" s="42" t="str">
        <f>+IFERROR(VLOOKUP(E981,'DANH MỤC'!$C:$H,5,0),"")</f>
        <v/>
      </c>
      <c r="K981" s="53">
        <f>10*20</f>
        <v>200</v>
      </c>
      <c r="L981" s="58"/>
      <c r="M981" s="55"/>
      <c r="N981" s="55"/>
    </row>
    <row r="982" ht="15.75" customHeight="1">
      <c r="A982" s="53">
        <f t="shared" si="1"/>
        <v>977</v>
      </c>
      <c r="B982" s="55"/>
      <c r="C982" s="41">
        <v>45961.0</v>
      </c>
      <c r="D982" s="42" t="s">
        <v>95</v>
      </c>
      <c r="E982" s="42" t="s">
        <v>183</v>
      </c>
      <c r="F982" s="42" t="str">
        <f>+IFERROR(VLOOKUP(E982,'DANH MỤC'!$C:$H,2,0),"")</f>
        <v>Ống lõi giấy phi 120x7x90mm</v>
      </c>
      <c r="G982" s="42" t="str">
        <f>+IFERROR(VLOOKUP(E982,'DANH MỤC'!$C:$H,6,0),"")</f>
        <v>Cái</v>
      </c>
      <c r="H982" s="42">
        <f>+IFERROR(VLOOKUP(E982,'DANH MỤC'!$C:$H,3,0),"")</f>
        <v>120</v>
      </c>
      <c r="I982" s="42">
        <f>+IFERROR(VLOOKUP(E982,'DANH MỤC'!$C:$H,4,0),"")</f>
        <v>70</v>
      </c>
      <c r="J982" s="42">
        <f>+IFERROR(VLOOKUP(E982,'DANH MỤC'!$C:$H,5,0),"")</f>
        <v>90</v>
      </c>
      <c r="K982" s="53">
        <f>1120+1880</f>
        <v>3000</v>
      </c>
      <c r="L982" s="58"/>
      <c r="M982" s="55"/>
      <c r="N982" s="55"/>
    </row>
    <row r="983" ht="15.75" customHeight="1">
      <c r="A983" s="53">
        <f t="shared" si="1"/>
        <v>978</v>
      </c>
      <c r="B983" s="55"/>
      <c r="C983" s="41">
        <v>45961.0</v>
      </c>
      <c r="D983" s="42" t="s">
        <v>95</v>
      </c>
      <c r="E983" s="42" t="s">
        <v>182</v>
      </c>
      <c r="F983" s="42" t="str">
        <f>+IFERROR(VLOOKUP(E983,'DANH MỤC'!$C:$H,2,0),"")</f>
        <v>Ống lõi giấy phi 120x7x71mm</v>
      </c>
      <c r="G983" s="42" t="str">
        <f>+IFERROR(VLOOKUP(E983,'DANH MỤC'!$C:$H,6,0),"")</f>
        <v>Cái</v>
      </c>
      <c r="H983" s="42">
        <f>+IFERROR(VLOOKUP(E983,'DANH MỤC'!$C:$H,3,0),"")</f>
        <v>120</v>
      </c>
      <c r="I983" s="42">
        <f>+IFERROR(VLOOKUP(E983,'DANH MỤC'!$C:$H,4,0),"")</f>
        <v>70</v>
      </c>
      <c r="J983" s="42">
        <f>+IFERROR(VLOOKUP(E983,'DANH MỤC'!$C:$H,5,0),"")</f>
        <v>71</v>
      </c>
      <c r="K983" s="53">
        <v>4000.0</v>
      </c>
      <c r="L983" s="58"/>
      <c r="M983" s="55"/>
      <c r="N983" s="55"/>
    </row>
    <row r="984" ht="15.75" customHeight="1">
      <c r="A984" s="53">
        <f t="shared" si="1"/>
        <v>979</v>
      </c>
      <c r="B984" s="55"/>
      <c r="C984" s="41">
        <v>45961.0</v>
      </c>
      <c r="D984" s="42" t="s">
        <v>95</v>
      </c>
      <c r="E984" s="42" t="s">
        <v>184</v>
      </c>
      <c r="F984" s="42" t="str">
        <f>+IFERROR(VLOOKUP(E984,'DANH MỤC'!$C:$H,2,0),"")</f>
        <v>Ống lõi giấy phi 120x7x95mm</v>
      </c>
      <c r="G984" s="42" t="str">
        <f>+IFERROR(VLOOKUP(E984,'DANH MỤC'!$C:$H,6,0),"")</f>
        <v>Cái</v>
      </c>
      <c r="H984" s="42">
        <f>+IFERROR(VLOOKUP(E984,'DANH MỤC'!$C:$H,3,0),"")</f>
        <v>120</v>
      </c>
      <c r="I984" s="42">
        <f>+IFERROR(VLOOKUP(E984,'DANH MỤC'!$C:$H,4,0),"")</f>
        <v>70</v>
      </c>
      <c r="J984" s="42">
        <f>+IFERROR(VLOOKUP(E984,'DANH MỤC'!$C:$H,5,0),"")</f>
        <v>95</v>
      </c>
      <c r="K984" s="53">
        <v>3000.0</v>
      </c>
      <c r="L984" s="58"/>
      <c r="M984" s="55"/>
      <c r="N984" s="55"/>
    </row>
    <row r="985" ht="15.75" customHeight="1">
      <c r="A985" s="117">
        <f t="shared" si="1"/>
        <v>980</v>
      </c>
      <c r="B985" s="118"/>
      <c r="C985" s="119">
        <v>45964.0</v>
      </c>
      <c r="D985" s="120" t="s">
        <v>146</v>
      </c>
      <c r="E985" s="120" t="s">
        <v>81</v>
      </c>
      <c r="F985" s="120" t="str">
        <f>+IFERROR(VLOOKUP(E985,'DANH MỤC'!$C:$H,2,0),"")</f>
        <v>Lưỡi gà trắng 71mm x 800m x 210gsm</v>
      </c>
      <c r="G985" s="120" t="str">
        <f>+IFERROR(VLOOKUP(E985,'DANH MỤC'!$C:$H,6,0),"")</f>
        <v>Cuộn</v>
      </c>
      <c r="H985" s="120">
        <f>+IFERROR(VLOOKUP(E985,'DANH MỤC'!$C:$H,3,0),"")</f>
        <v>210</v>
      </c>
      <c r="I985" s="120">
        <f>+IFERROR(VLOOKUP(E985,'DANH MỤC'!$C:$H,4,0),"")</f>
        <v>71</v>
      </c>
      <c r="J985" s="120">
        <f>+IFERROR(VLOOKUP(E985,'DANH MỤC'!$C:$H,5,0),"")</f>
        <v>800</v>
      </c>
      <c r="K985" s="117"/>
      <c r="L985" s="121">
        <f>8*60</f>
        <v>480</v>
      </c>
      <c r="M985" s="118" t="s">
        <v>304</v>
      </c>
      <c r="N985" s="118"/>
    </row>
    <row r="986" ht="15.75" customHeight="1">
      <c r="A986" s="117">
        <f t="shared" si="1"/>
        <v>981</v>
      </c>
      <c r="B986" s="118"/>
      <c r="C986" s="119">
        <v>45964.0</v>
      </c>
      <c r="D986" s="120" t="s">
        <v>146</v>
      </c>
      <c r="E986" s="120" t="s">
        <v>104</v>
      </c>
      <c r="F986" s="120" t="str">
        <f>+IFERROR(VLOOKUP(E986,'DANH MỤC'!$C:$H,2,0),"")</f>
        <v>Lưỡi gà trắng 95mm x 800m x 210gsm</v>
      </c>
      <c r="G986" s="120" t="str">
        <f>+IFERROR(VLOOKUP(E986,'DANH MỤC'!$C:$H,6,0),"")</f>
        <v>Cuộn</v>
      </c>
      <c r="H986" s="120">
        <f>+IFERROR(VLOOKUP(E986,'DANH MỤC'!$C:$H,3,0),"")</f>
        <v>210</v>
      </c>
      <c r="I986" s="120">
        <f>+IFERROR(VLOOKUP(E986,'DANH MỤC'!$C:$H,4,0),"")</f>
        <v>95</v>
      </c>
      <c r="J986" s="120">
        <f>+IFERROR(VLOOKUP(E986,'DANH MỤC'!$C:$H,5,0),"")</f>
        <v>800</v>
      </c>
      <c r="K986" s="117"/>
      <c r="L986" s="121">
        <v>60.0</v>
      </c>
      <c r="M986" s="118" t="s">
        <v>304</v>
      </c>
      <c r="N986" s="118"/>
    </row>
    <row r="987" ht="15.75" customHeight="1">
      <c r="A987" s="117">
        <f t="shared" si="1"/>
        <v>982</v>
      </c>
      <c r="B987" s="118"/>
      <c r="C987" s="119">
        <v>45964.0</v>
      </c>
      <c r="D987" s="120" t="s">
        <v>130</v>
      </c>
      <c r="E987" s="120" t="s">
        <v>123</v>
      </c>
      <c r="F987" s="120" t="str">
        <f>+IFERROR(VLOOKUP(E987,'DANH MỤC'!$C:$H,2,0),"")</f>
        <v>Lưỡi gà trắng 90mm x 800m x 250gsm</v>
      </c>
      <c r="G987" s="120" t="str">
        <f>+IFERROR(VLOOKUP(E987,'DANH MỤC'!$C:$H,6,0),"")</f>
        <v>Cuộn</v>
      </c>
      <c r="H987" s="120">
        <f>+IFERROR(VLOOKUP(E987,'DANH MỤC'!$C:$H,3,0),"")</f>
        <v>250</v>
      </c>
      <c r="I987" s="120">
        <f>+IFERROR(VLOOKUP(E987,'DANH MỤC'!$C:$H,4,0),"")</f>
        <v>90</v>
      </c>
      <c r="J987" s="120">
        <f>+IFERROR(VLOOKUP(E987,'DANH MỤC'!$C:$H,5,0),"")</f>
        <v>800</v>
      </c>
      <c r="K987" s="117"/>
      <c r="L987" s="121">
        <f>9*52</f>
        <v>468</v>
      </c>
      <c r="M987" s="118" t="s">
        <v>131</v>
      </c>
      <c r="N987" s="118"/>
    </row>
    <row r="988" ht="15.75" customHeight="1">
      <c r="A988" s="117">
        <f t="shared" si="1"/>
        <v>983</v>
      </c>
      <c r="B988" s="118"/>
      <c r="C988" s="119">
        <v>45964.0</v>
      </c>
      <c r="D988" s="120" t="s">
        <v>130</v>
      </c>
      <c r="E988" s="120" t="s">
        <v>104</v>
      </c>
      <c r="F988" s="120" t="str">
        <f>+IFERROR(VLOOKUP(E988,'DANH MỤC'!$C:$H,2,0),"")</f>
        <v>Lưỡi gà trắng 95mm x 800m x 210gsm</v>
      </c>
      <c r="G988" s="120" t="str">
        <f>+IFERROR(VLOOKUP(E988,'DANH MỤC'!$C:$H,6,0),"")</f>
        <v>Cuộn</v>
      </c>
      <c r="H988" s="120">
        <f>+IFERROR(VLOOKUP(E988,'DANH MỤC'!$C:$H,3,0),"")</f>
        <v>210</v>
      </c>
      <c r="I988" s="120">
        <f>+IFERROR(VLOOKUP(E988,'DANH MỤC'!$C:$H,4,0),"")</f>
        <v>95</v>
      </c>
      <c r="J988" s="120">
        <f>+IFERROR(VLOOKUP(E988,'DANH MỤC'!$C:$H,5,0),"")</f>
        <v>800</v>
      </c>
      <c r="K988" s="117"/>
      <c r="L988" s="121">
        <f>2*52</f>
        <v>104</v>
      </c>
      <c r="M988" s="118" t="s">
        <v>131</v>
      </c>
      <c r="N988" s="118"/>
    </row>
    <row r="989" ht="15.75" customHeight="1">
      <c r="A989" s="53">
        <f t="shared" si="1"/>
        <v>984</v>
      </c>
      <c r="B989" s="55"/>
      <c r="C989" s="41">
        <v>45964.0</v>
      </c>
      <c r="D989" s="42" t="s">
        <v>715</v>
      </c>
      <c r="E989" s="42" t="s">
        <v>213</v>
      </c>
      <c r="F989" s="42" t="str">
        <f>+IFERROR(VLOOKUP(E989,'DANH MỤC'!$C:$H,2,0),"")</f>
        <v>Ivory Ningbo</v>
      </c>
      <c r="G989" s="42" t="str">
        <f>+IFERROR(VLOOKUP(E989,'DANH MỤC'!$C:$H,6,0),"")</f>
        <v>Kg</v>
      </c>
      <c r="H989" s="42">
        <f>+IFERROR(VLOOKUP(E989,'DANH MỤC'!$C:$H,3,0),"")</f>
        <v>210</v>
      </c>
      <c r="I989" s="42">
        <f>+IFERROR(VLOOKUP(E989,'DANH MỤC'!$C:$H,4,0),"")</f>
        <v>108</v>
      </c>
      <c r="J989" s="42" t="str">
        <f>+IFERROR(VLOOKUP(E989,'DANH MỤC'!$C:$H,5,0),"")</f>
        <v/>
      </c>
      <c r="K989" s="53"/>
      <c r="L989" s="58">
        <f>23*987-909</f>
        <v>21792</v>
      </c>
      <c r="M989" s="55"/>
      <c r="N989" s="55"/>
    </row>
    <row r="990" ht="15.75" customHeight="1">
      <c r="A990" s="53">
        <f t="shared" si="1"/>
        <v>985</v>
      </c>
      <c r="B990" s="55"/>
      <c r="C990" s="41">
        <v>45964.0</v>
      </c>
      <c r="D990" s="42" t="s">
        <v>716</v>
      </c>
      <c r="E990" s="42" t="s">
        <v>182</v>
      </c>
      <c r="F990" s="42" t="str">
        <f>+IFERROR(VLOOKUP(E990,'DANH MỤC'!$C:$H,2,0),"")</f>
        <v>Ống lõi giấy phi 120x7x71mm</v>
      </c>
      <c r="G990" s="42" t="str">
        <f>+IFERROR(VLOOKUP(E990,'DANH MỤC'!$C:$H,6,0),"")</f>
        <v>Cái</v>
      </c>
      <c r="H990" s="42">
        <f>+IFERROR(VLOOKUP(E990,'DANH MỤC'!$C:$H,3,0),"")</f>
        <v>120</v>
      </c>
      <c r="I990" s="42">
        <f>+IFERROR(VLOOKUP(E990,'DANH MỤC'!$C:$H,4,0),"")</f>
        <v>70</v>
      </c>
      <c r="J990" s="42">
        <f>+IFERROR(VLOOKUP(E990,'DANH MỤC'!$C:$H,5,0),"")</f>
        <v>71</v>
      </c>
      <c r="K990" s="53"/>
      <c r="L990" s="58">
        <v>1785.0</v>
      </c>
      <c r="M990" s="55"/>
      <c r="N990" s="55"/>
    </row>
    <row r="991" ht="15.75" customHeight="1">
      <c r="A991" s="53">
        <f t="shared" si="1"/>
        <v>986</v>
      </c>
      <c r="B991" s="55"/>
      <c r="C991" s="41">
        <v>45964.0</v>
      </c>
      <c r="D991" s="42" t="s">
        <v>716</v>
      </c>
      <c r="E991" s="42" t="s">
        <v>127</v>
      </c>
      <c r="F991" s="42" t="str">
        <f>+IFERROR(VLOOKUP(E991,'DANH MỤC'!$C:$H,2,0),"")</f>
        <v>Pallet gỗ 1100x1100x130mm</v>
      </c>
      <c r="G991" s="42" t="str">
        <f>+IFERROR(VLOOKUP(E991,'DANH MỤC'!$C:$H,6,0),"")</f>
        <v>Bộ</v>
      </c>
      <c r="H991" s="42">
        <f>+IFERROR(VLOOKUP(E991,'DANH MỤC'!$C:$H,3,0),"")</f>
        <v>1100</v>
      </c>
      <c r="I991" s="42">
        <f>+IFERROR(VLOOKUP(E991,'DANH MỤC'!$C:$H,4,0),"")</f>
        <v>1100</v>
      </c>
      <c r="J991" s="42">
        <f>+IFERROR(VLOOKUP(E991,'DANH MỤC'!$C:$H,5,0),"")</f>
        <v>130</v>
      </c>
      <c r="K991" s="53"/>
      <c r="L991" s="58">
        <v>30.0</v>
      </c>
      <c r="M991" s="55"/>
      <c r="N991" s="55"/>
    </row>
    <row r="992" ht="15.75" customHeight="1">
      <c r="A992" s="53">
        <f t="shared" si="1"/>
        <v>987</v>
      </c>
      <c r="B992" s="55"/>
      <c r="C992" s="41">
        <v>45964.0</v>
      </c>
      <c r="D992" s="42" t="s">
        <v>716</v>
      </c>
      <c r="E992" s="42" t="s">
        <v>96</v>
      </c>
      <c r="F992" s="42" t="str">
        <f>+IFERROR(VLOOKUP(E992,'DANH MỤC'!$C:$H,2,0),"")</f>
        <v>Giấy bao gói lưỡi gà</v>
      </c>
      <c r="G992" s="42" t="str">
        <f>+IFERROR(VLOOKUP(E992,'DANH MỤC'!$C:$H,6,0),"")</f>
        <v>Kg</v>
      </c>
      <c r="H992" s="42" t="str">
        <f>+IFERROR(VLOOKUP(E992,'DANH MỤC'!$C:$H,3,0),"")</f>
        <v/>
      </c>
      <c r="I992" s="42" t="str">
        <f>+IFERROR(VLOOKUP(E992,'DANH MỤC'!$C:$H,4,0),"")</f>
        <v/>
      </c>
      <c r="J992" s="42" t="str">
        <f>+IFERROR(VLOOKUP(E992,'DANH MỤC'!$C:$H,5,0),"")</f>
        <v/>
      </c>
      <c r="K992" s="53"/>
      <c r="L992" s="58">
        <v>19.28</v>
      </c>
      <c r="M992" s="55"/>
      <c r="N992" s="55"/>
    </row>
    <row r="993" ht="15.75" customHeight="1">
      <c r="A993" s="53">
        <f t="shared" si="1"/>
        <v>988</v>
      </c>
      <c r="B993" s="55"/>
      <c r="C993" s="41">
        <v>45964.0</v>
      </c>
      <c r="D993" s="42" t="s">
        <v>716</v>
      </c>
      <c r="E993" s="42" t="s">
        <v>112</v>
      </c>
      <c r="F993" s="42" t="str">
        <f>+IFERROR(VLOOKUP(E993,'DANH MỤC'!$C:$H,2,0),"")</f>
        <v>Dây đai PET xanh (B)</v>
      </c>
      <c r="G993" s="42" t="str">
        <f>+IFERROR(VLOOKUP(E993,'DANH MỤC'!$C:$H,6,0),"")</f>
        <v>Kg</v>
      </c>
      <c r="H993" s="42" t="str">
        <f>+IFERROR(VLOOKUP(E993,'DANH MỤC'!$C:$H,3,0),"")</f>
        <v/>
      </c>
      <c r="I993" s="42" t="str">
        <f>+IFERROR(VLOOKUP(E993,'DANH MỤC'!$C:$H,4,0),"")</f>
        <v/>
      </c>
      <c r="J993" s="42" t="str">
        <f>+IFERROR(VLOOKUP(E993,'DANH MỤC'!$C:$H,5,0),"")</f>
        <v/>
      </c>
      <c r="K993" s="53"/>
      <c r="L993" s="58">
        <v>12.0</v>
      </c>
      <c r="M993" s="55"/>
      <c r="N993" s="55"/>
    </row>
    <row r="994" ht="15.75" customHeight="1">
      <c r="A994" s="53">
        <f t="shared" si="1"/>
        <v>989</v>
      </c>
      <c r="B994" s="55"/>
      <c r="C994" s="41">
        <v>45964.0</v>
      </c>
      <c r="D994" s="42" t="s">
        <v>716</v>
      </c>
      <c r="E994" s="42" t="s">
        <v>115</v>
      </c>
      <c r="F994" s="42" t="str">
        <f>+IFERROR(VLOOKUP(E994,'DANH MỤC'!$C:$H,2,0),"")</f>
        <v>Màng Strecth Film 5.0-0.6kg</v>
      </c>
      <c r="G994" s="42" t="str">
        <f>+IFERROR(VLOOKUP(E994,'DANH MỤC'!$C:$H,6,0),"")</f>
        <v>Kg</v>
      </c>
      <c r="H994" s="42" t="str">
        <f>+IFERROR(VLOOKUP(E994,'DANH MỤC'!$C:$H,3,0),"")</f>
        <v/>
      </c>
      <c r="I994" s="42" t="str">
        <f>+IFERROR(VLOOKUP(E994,'DANH MỤC'!$C:$H,4,0),"")</f>
        <v/>
      </c>
      <c r="J994" s="42" t="str">
        <f>+IFERROR(VLOOKUP(E994,'DANH MỤC'!$C:$H,5,0),"")</f>
        <v/>
      </c>
      <c r="K994" s="53"/>
      <c r="L994" s="58">
        <v>9.0</v>
      </c>
      <c r="M994" s="55"/>
      <c r="N994" s="55"/>
    </row>
    <row r="995" ht="15.75" customHeight="1">
      <c r="A995" s="53">
        <f t="shared" si="1"/>
        <v>990</v>
      </c>
      <c r="B995" s="55"/>
      <c r="C995" s="41">
        <v>45964.0</v>
      </c>
      <c r="D995" s="42" t="s">
        <v>717</v>
      </c>
      <c r="E995" s="42" t="s">
        <v>81</v>
      </c>
      <c r="F995" s="42" t="str">
        <f>+IFERROR(VLOOKUP(E995,'DANH MỤC'!$C:$H,2,0),"")</f>
        <v>Lưỡi gà trắng 71mm x 800m x 210gsm</v>
      </c>
      <c r="G995" s="42" t="str">
        <f>+IFERROR(VLOOKUP(E995,'DANH MỤC'!$C:$H,6,0),"")</f>
        <v>Cuộn</v>
      </c>
      <c r="H995" s="42">
        <f>+IFERROR(VLOOKUP(E995,'DANH MỤC'!$C:$H,3,0),"")</f>
        <v>210</v>
      </c>
      <c r="I995" s="42">
        <f>+IFERROR(VLOOKUP(E995,'DANH MỤC'!$C:$H,4,0),"")</f>
        <v>71</v>
      </c>
      <c r="J995" s="42">
        <f>+IFERROR(VLOOKUP(E995,'DANH MỤC'!$C:$H,5,0),"")</f>
        <v>800</v>
      </c>
      <c r="K995" s="53">
        <v>1785.0</v>
      </c>
      <c r="L995" s="58"/>
      <c r="M995" s="55"/>
      <c r="N995" s="55"/>
    </row>
    <row r="996" ht="15.75" customHeight="1">
      <c r="A996" s="117">
        <f t="shared" si="1"/>
        <v>991</v>
      </c>
      <c r="B996" s="118"/>
      <c r="C996" s="119">
        <v>45968.0</v>
      </c>
      <c r="D996" s="120" t="s">
        <v>215</v>
      </c>
      <c r="E996" s="120" t="s">
        <v>113</v>
      </c>
      <c r="F996" s="120" t="str">
        <f>+IFERROR(VLOOKUP(E996,'DANH MỤC'!$C:$H,2,0),"")</f>
        <v>Lưỡi gà trắng 95mm x 800m x 230gsm</v>
      </c>
      <c r="G996" s="120" t="str">
        <f>+IFERROR(VLOOKUP(E996,'DANH MỤC'!$C:$H,6,0),"")</f>
        <v>Cuộn</v>
      </c>
      <c r="H996" s="120">
        <f>+IFERROR(VLOOKUP(E996,'DANH MỤC'!$C:$H,3,0),"")</f>
        <v>230</v>
      </c>
      <c r="I996" s="120">
        <f>+IFERROR(VLOOKUP(E996,'DANH MỤC'!$C:$H,4,0),"")</f>
        <v>95</v>
      </c>
      <c r="J996" s="120">
        <f>+IFERROR(VLOOKUP(E996,'DANH MỤC'!$C:$H,5,0),"")</f>
        <v>800</v>
      </c>
      <c r="K996" s="117"/>
      <c r="L996" s="121">
        <f>5*60</f>
        <v>300</v>
      </c>
      <c r="M996" s="118" t="s">
        <v>452</v>
      </c>
      <c r="N996" s="118"/>
    </row>
    <row r="997" ht="15.75" customHeight="1">
      <c r="A997" s="53">
        <f t="shared" si="1"/>
        <v>992</v>
      </c>
      <c r="B997" s="55"/>
      <c r="C997" s="41">
        <v>45973.0</v>
      </c>
      <c r="D997" s="42" t="s">
        <v>718</v>
      </c>
      <c r="E997" s="42" t="s">
        <v>213</v>
      </c>
      <c r="F997" s="42" t="str">
        <f>+IFERROR(VLOOKUP(E997,'DANH MỤC'!$C:$H,2,0),"")</f>
        <v>Ivory Ningbo</v>
      </c>
      <c r="G997" s="42" t="str">
        <f>+IFERROR(VLOOKUP(E997,'DANH MỤC'!$C:$H,6,0),"")</f>
        <v>Kg</v>
      </c>
      <c r="H997" s="42">
        <f>+IFERROR(VLOOKUP(E997,'DANH MỤC'!$C:$H,3,0),"")</f>
        <v>210</v>
      </c>
      <c r="I997" s="42">
        <f>+IFERROR(VLOOKUP(E997,'DANH MỤC'!$C:$H,4,0),"")</f>
        <v>108</v>
      </c>
      <c r="J997" s="42" t="str">
        <f>+IFERROR(VLOOKUP(E997,'DANH MỤC'!$C:$H,5,0),"")</f>
        <v/>
      </c>
      <c r="K997" s="53"/>
      <c r="L997" s="58">
        <f>909+12*987</f>
        <v>12753</v>
      </c>
      <c r="M997" s="55"/>
      <c r="N997" s="55"/>
    </row>
    <row r="998" ht="15.75" customHeight="1">
      <c r="A998" s="53">
        <f t="shared" si="1"/>
        <v>993</v>
      </c>
      <c r="B998" s="55"/>
      <c r="C998" s="41">
        <v>45973.0</v>
      </c>
      <c r="D998" s="42" t="s">
        <v>719</v>
      </c>
      <c r="E998" s="42" t="s">
        <v>184</v>
      </c>
      <c r="F998" s="42" t="str">
        <f>+IFERROR(VLOOKUP(E998,'DANH MỤC'!$C:$H,2,0),"")</f>
        <v>Ống lõi giấy phi 120x7x95mm</v>
      </c>
      <c r="G998" s="42" t="str">
        <f>+IFERROR(VLOOKUP(E998,'DANH MỤC'!$C:$H,6,0),"")</f>
        <v>Cái</v>
      </c>
      <c r="H998" s="42">
        <f>+IFERROR(VLOOKUP(E998,'DANH MỤC'!$C:$H,3,0),"")</f>
        <v>120</v>
      </c>
      <c r="I998" s="42">
        <f>+IFERROR(VLOOKUP(E998,'DANH MỤC'!$C:$H,4,0),"")</f>
        <v>70</v>
      </c>
      <c r="J998" s="42">
        <f>+IFERROR(VLOOKUP(E998,'DANH MỤC'!$C:$H,5,0),"")</f>
        <v>95</v>
      </c>
      <c r="K998" s="53"/>
      <c r="L998" s="58">
        <v>635.0</v>
      </c>
      <c r="M998" s="55"/>
      <c r="N998" s="55"/>
    </row>
    <row r="999" ht="15.75" customHeight="1">
      <c r="A999" s="53">
        <f t="shared" si="1"/>
        <v>994</v>
      </c>
      <c r="B999" s="55"/>
      <c r="C999" s="41">
        <v>45973.0</v>
      </c>
      <c r="D999" s="42" t="s">
        <v>719</v>
      </c>
      <c r="E999" s="42" t="s">
        <v>182</v>
      </c>
      <c r="F999" s="42" t="str">
        <f>+IFERROR(VLOOKUP(E999,'DANH MỤC'!$C:$H,2,0),"")</f>
        <v>Ống lõi giấy phi 120x7x71mm</v>
      </c>
      <c r="G999" s="42" t="str">
        <f>+IFERROR(VLOOKUP(E999,'DANH MỤC'!$C:$H,6,0),"")</f>
        <v>Cái</v>
      </c>
      <c r="H999" s="42">
        <f>+IFERROR(VLOOKUP(E999,'DANH MỤC'!$C:$H,3,0),"")</f>
        <v>120</v>
      </c>
      <c r="I999" s="42">
        <f>+IFERROR(VLOOKUP(E999,'DANH MỤC'!$C:$H,4,0),"")</f>
        <v>70</v>
      </c>
      <c r="J999" s="42">
        <f>+IFERROR(VLOOKUP(E999,'DANH MỤC'!$C:$H,5,0),"")</f>
        <v>71</v>
      </c>
      <c r="K999" s="53"/>
      <c r="L999" s="58">
        <v>215.0</v>
      </c>
      <c r="M999" s="55"/>
      <c r="N999" s="55"/>
    </row>
    <row r="1000" ht="15.75" customHeight="1">
      <c r="A1000" s="53">
        <f t="shared" si="1"/>
        <v>995</v>
      </c>
      <c r="B1000" s="55"/>
      <c r="C1000" s="41">
        <v>45973.0</v>
      </c>
      <c r="D1000" s="42" t="s">
        <v>719</v>
      </c>
      <c r="E1000" s="42" t="s">
        <v>127</v>
      </c>
      <c r="F1000" s="42" t="str">
        <f>+IFERROR(VLOOKUP(E1000,'DANH MỤC'!$C:$H,2,0),"")</f>
        <v>Pallet gỗ 1100x1100x130mm</v>
      </c>
      <c r="G1000" s="42" t="str">
        <f>+IFERROR(VLOOKUP(E1000,'DANH MỤC'!$C:$H,6,0),"")</f>
        <v>Bộ</v>
      </c>
      <c r="H1000" s="42">
        <f>+IFERROR(VLOOKUP(E1000,'DANH MỤC'!$C:$H,3,0),"")</f>
        <v>1100</v>
      </c>
      <c r="I1000" s="42">
        <f>+IFERROR(VLOOKUP(E1000,'DANH MỤC'!$C:$H,4,0),"")</f>
        <v>1100</v>
      </c>
      <c r="J1000" s="42">
        <f>+IFERROR(VLOOKUP(E1000,'DANH MỤC'!$C:$H,5,0),"")</f>
        <v>130</v>
      </c>
      <c r="K1000" s="53"/>
      <c r="L1000" s="58">
        <v>15.0</v>
      </c>
      <c r="M1000" s="55"/>
      <c r="N1000" s="55"/>
    </row>
    <row r="1001" ht="15.75" customHeight="1">
      <c r="A1001" s="53">
        <f t="shared" si="1"/>
        <v>996</v>
      </c>
      <c r="B1001" s="55"/>
      <c r="C1001" s="41">
        <v>45973.0</v>
      </c>
      <c r="D1001" s="42" t="s">
        <v>719</v>
      </c>
      <c r="E1001" s="42" t="s">
        <v>96</v>
      </c>
      <c r="F1001" s="42" t="str">
        <f>+IFERROR(VLOOKUP(E1001,'DANH MỤC'!$C:$H,2,0),"")</f>
        <v>Giấy bao gói lưỡi gà</v>
      </c>
      <c r="G1001" s="42" t="str">
        <f>+IFERROR(VLOOKUP(E1001,'DANH MỤC'!$C:$H,6,0),"")</f>
        <v>Kg</v>
      </c>
      <c r="H1001" s="42" t="str">
        <f>+IFERROR(VLOOKUP(E1001,'DANH MỤC'!$C:$H,3,0),"")</f>
        <v/>
      </c>
      <c r="I1001" s="42" t="str">
        <f>+IFERROR(VLOOKUP(E1001,'DANH MỤC'!$C:$H,4,0),"")</f>
        <v/>
      </c>
      <c r="J1001" s="42" t="str">
        <f>+IFERROR(VLOOKUP(E1001,'DANH MỤC'!$C:$H,5,0),"")</f>
        <v/>
      </c>
      <c r="K1001" s="53"/>
      <c r="L1001" s="58">
        <v>11.36</v>
      </c>
      <c r="M1001" s="55"/>
      <c r="N1001" s="55"/>
    </row>
    <row r="1002" ht="15.75" customHeight="1">
      <c r="A1002" s="53">
        <f t="shared" si="1"/>
        <v>997</v>
      </c>
      <c r="B1002" s="55"/>
      <c r="C1002" s="41">
        <v>45973.0</v>
      </c>
      <c r="D1002" s="42" t="s">
        <v>719</v>
      </c>
      <c r="E1002" s="42" t="s">
        <v>112</v>
      </c>
      <c r="F1002" s="42" t="str">
        <f>+IFERROR(VLOOKUP(E1002,'DANH MỤC'!$C:$H,2,0),"")</f>
        <v>Dây đai PET xanh (B)</v>
      </c>
      <c r="G1002" s="42" t="str">
        <f>+IFERROR(VLOOKUP(E1002,'DANH MỤC'!$C:$H,6,0),"")</f>
        <v>Kg</v>
      </c>
      <c r="H1002" s="42" t="str">
        <f>+IFERROR(VLOOKUP(E1002,'DANH MỤC'!$C:$H,3,0),"")</f>
        <v/>
      </c>
      <c r="I1002" s="42" t="str">
        <f>+IFERROR(VLOOKUP(E1002,'DANH MỤC'!$C:$H,4,0),"")</f>
        <v/>
      </c>
      <c r="J1002" s="42" t="str">
        <f>+IFERROR(VLOOKUP(E1002,'DANH MỤC'!$C:$H,5,0),"")</f>
        <v/>
      </c>
      <c r="K1002" s="53"/>
      <c r="L1002" s="58">
        <v>6.0</v>
      </c>
      <c r="M1002" s="55"/>
      <c r="N1002" s="55"/>
    </row>
    <row r="1003" ht="15.75" customHeight="1">
      <c r="A1003" s="53">
        <f t="shared" si="1"/>
        <v>998</v>
      </c>
      <c r="B1003" s="55"/>
      <c r="C1003" s="41">
        <v>45973.0</v>
      </c>
      <c r="D1003" s="42" t="s">
        <v>719</v>
      </c>
      <c r="E1003" s="42" t="s">
        <v>115</v>
      </c>
      <c r="F1003" s="42" t="str">
        <f>+IFERROR(VLOOKUP(E1003,'DANH MỤC'!$C:$H,2,0),"")</f>
        <v>Màng Strecth Film 5.0-0.6kg</v>
      </c>
      <c r="G1003" s="42" t="str">
        <f>+IFERROR(VLOOKUP(E1003,'DANH MỤC'!$C:$H,6,0),"")</f>
        <v>Kg</v>
      </c>
      <c r="H1003" s="42" t="str">
        <f>+IFERROR(VLOOKUP(E1003,'DANH MỤC'!$C:$H,3,0),"")</f>
        <v/>
      </c>
      <c r="I1003" s="42" t="str">
        <f>+IFERROR(VLOOKUP(E1003,'DANH MỤC'!$C:$H,4,0),"")</f>
        <v/>
      </c>
      <c r="J1003" s="42" t="str">
        <f>+IFERROR(VLOOKUP(E1003,'DANH MỤC'!$C:$H,5,0),"")</f>
        <v/>
      </c>
      <c r="K1003" s="53"/>
      <c r="L1003" s="58">
        <v>9.75</v>
      </c>
      <c r="M1003" s="55"/>
      <c r="N1003" s="55"/>
    </row>
    <row r="1004" ht="15.75" customHeight="1">
      <c r="A1004" s="53">
        <f t="shared" si="1"/>
        <v>999</v>
      </c>
      <c r="B1004" s="55"/>
      <c r="C1004" s="41">
        <v>45973.0</v>
      </c>
      <c r="D1004" s="42" t="s">
        <v>720</v>
      </c>
      <c r="E1004" s="42" t="s">
        <v>104</v>
      </c>
      <c r="F1004" s="42" t="str">
        <f>+IFERROR(VLOOKUP(E1004,'DANH MỤC'!$C:$H,2,0),"")</f>
        <v>Lưỡi gà trắng 95mm x 800m x 210gsm</v>
      </c>
      <c r="G1004" s="42" t="str">
        <f>+IFERROR(VLOOKUP(E1004,'DANH MỤC'!$C:$H,6,0),"")</f>
        <v>Cuộn</v>
      </c>
      <c r="H1004" s="42">
        <f>+IFERROR(VLOOKUP(E1004,'DANH MỤC'!$C:$H,3,0),"")</f>
        <v>210</v>
      </c>
      <c r="I1004" s="42">
        <f>+IFERROR(VLOOKUP(E1004,'DANH MỤC'!$C:$H,4,0),"")</f>
        <v>95</v>
      </c>
      <c r="J1004" s="42">
        <f>+IFERROR(VLOOKUP(E1004,'DANH MỤC'!$C:$H,5,0),"")</f>
        <v>800</v>
      </c>
      <c r="K1004" s="53">
        <v>629.0</v>
      </c>
      <c r="L1004" s="58"/>
      <c r="M1004" s="55"/>
      <c r="N1004" s="55"/>
    </row>
    <row r="1005" ht="15.75" customHeight="1">
      <c r="A1005" s="53">
        <f t="shared" si="1"/>
        <v>1000</v>
      </c>
      <c r="B1005" s="55"/>
      <c r="C1005" s="41">
        <v>45973.0</v>
      </c>
      <c r="D1005" s="42" t="s">
        <v>720</v>
      </c>
      <c r="E1005" s="42" t="s">
        <v>81</v>
      </c>
      <c r="F1005" s="42" t="str">
        <f>+IFERROR(VLOOKUP(E1005,'DANH MỤC'!$C:$H,2,0),"")</f>
        <v>Lưỡi gà trắng 71mm x 800m x 210gsm</v>
      </c>
      <c r="G1005" s="42" t="str">
        <f>+IFERROR(VLOOKUP(E1005,'DANH MỤC'!$C:$H,6,0),"")</f>
        <v>Cuộn</v>
      </c>
      <c r="H1005" s="42">
        <f>+IFERROR(VLOOKUP(E1005,'DANH MỤC'!$C:$H,3,0),"")</f>
        <v>210</v>
      </c>
      <c r="I1005" s="42">
        <f>+IFERROR(VLOOKUP(E1005,'DANH MỤC'!$C:$H,4,0),"")</f>
        <v>71</v>
      </c>
      <c r="J1005" s="42">
        <f>+IFERROR(VLOOKUP(E1005,'DANH MỤC'!$C:$H,5,0),"")</f>
        <v>800</v>
      </c>
      <c r="K1005" s="53">
        <v>210.0</v>
      </c>
      <c r="L1005" s="58"/>
      <c r="M1005" s="55"/>
      <c r="N1005" s="55"/>
    </row>
    <row r="1006" ht="15.75" customHeight="1">
      <c r="A1006" s="117">
        <f t="shared" si="1"/>
        <v>1001</v>
      </c>
      <c r="B1006" s="118"/>
      <c r="C1006" s="119">
        <v>45978.0</v>
      </c>
      <c r="D1006" s="120" t="s">
        <v>146</v>
      </c>
      <c r="E1006" s="120" t="s">
        <v>81</v>
      </c>
      <c r="F1006" s="120" t="str">
        <f>+IFERROR(VLOOKUP(E1006,'DANH MỤC'!$C:$H,2,0),"")</f>
        <v>Lưỡi gà trắng 71mm x 800m x 210gsm</v>
      </c>
      <c r="G1006" s="120" t="str">
        <f>+IFERROR(VLOOKUP(E1006,'DANH MỤC'!$C:$H,6,0),"")</f>
        <v>Cuộn</v>
      </c>
      <c r="H1006" s="120">
        <f>+IFERROR(VLOOKUP(E1006,'DANH MỤC'!$C:$H,3,0),"")</f>
        <v>210</v>
      </c>
      <c r="I1006" s="120">
        <f>+IFERROR(VLOOKUP(E1006,'DANH MỤC'!$C:$H,4,0),"")</f>
        <v>71</v>
      </c>
      <c r="J1006" s="120">
        <f>+IFERROR(VLOOKUP(E1006,'DANH MỤC'!$C:$H,5,0),"")</f>
        <v>800</v>
      </c>
      <c r="K1006" s="117"/>
      <c r="L1006" s="121">
        <f>10*60</f>
        <v>600</v>
      </c>
      <c r="M1006" s="118" t="s">
        <v>304</v>
      </c>
      <c r="N1006" s="118"/>
    </row>
    <row r="1007" ht="15.75" customHeight="1">
      <c r="A1007" s="53">
        <f t="shared" si="1"/>
        <v>1002</v>
      </c>
      <c r="B1007" s="55"/>
      <c r="C1007" s="41">
        <v>45980.0</v>
      </c>
      <c r="D1007" s="42" t="s">
        <v>721</v>
      </c>
      <c r="E1007" s="42" t="s">
        <v>189</v>
      </c>
      <c r="F1007" s="42" t="str">
        <f>+IFERROR(VLOOKUP(E1007,'DANH MỤC'!$C:$H,2,0),"")</f>
        <v>Ivory Ningbo</v>
      </c>
      <c r="G1007" s="42" t="str">
        <f>+IFERROR(VLOOKUP(E1007,'DANH MỤC'!$C:$H,6,0),"")</f>
        <v>Kg</v>
      </c>
      <c r="H1007" s="42">
        <f>+IFERROR(VLOOKUP(E1007,'DANH MỤC'!$C:$H,3,0),"")</f>
        <v>230</v>
      </c>
      <c r="I1007" s="42">
        <f>+IFERROR(VLOOKUP(E1007,'DANH MỤC'!$C:$H,4,0),"")</f>
        <v>109</v>
      </c>
      <c r="J1007" s="42" t="str">
        <f>+IFERROR(VLOOKUP(E1007,'DANH MỤC'!$C:$H,5,0),"")</f>
        <v/>
      </c>
      <c r="K1007" s="53"/>
      <c r="L1007" s="58">
        <f>465+10*978+3*990-760</f>
        <v>12455</v>
      </c>
      <c r="M1007" s="55"/>
      <c r="N1007" s="55"/>
    </row>
    <row r="1008" ht="15.75" customHeight="1">
      <c r="A1008" s="53">
        <f t="shared" si="1"/>
        <v>1003</v>
      </c>
      <c r="B1008" s="55"/>
      <c r="C1008" s="41">
        <v>45980.0</v>
      </c>
      <c r="D1008" s="42" t="s">
        <v>722</v>
      </c>
      <c r="E1008" s="42" t="s">
        <v>184</v>
      </c>
      <c r="F1008" s="42" t="str">
        <f>+IFERROR(VLOOKUP(E1008,'DANH MỤC'!$C:$H,2,0),"")</f>
        <v>Ống lõi giấy phi 120x7x95mm</v>
      </c>
      <c r="G1008" s="42" t="str">
        <f>+IFERROR(VLOOKUP(E1008,'DANH MỤC'!$C:$H,6,0),"")</f>
        <v>Cái</v>
      </c>
      <c r="H1008" s="42">
        <f>+IFERROR(VLOOKUP(E1008,'DANH MỤC'!$C:$H,3,0),"")</f>
        <v>120</v>
      </c>
      <c r="I1008" s="42">
        <f>+IFERROR(VLOOKUP(E1008,'DANH MỤC'!$C:$H,4,0),"")</f>
        <v>70</v>
      </c>
      <c r="J1008" s="42">
        <f>+IFERROR(VLOOKUP(E1008,'DANH MỤC'!$C:$H,5,0),"")</f>
        <v>95</v>
      </c>
      <c r="K1008" s="53"/>
      <c r="L1008" s="58">
        <v>750.0</v>
      </c>
      <c r="M1008" s="55"/>
      <c r="N1008" s="55"/>
    </row>
    <row r="1009" ht="15.75" customHeight="1">
      <c r="A1009" s="53">
        <f t="shared" si="1"/>
        <v>1004</v>
      </c>
      <c r="B1009" s="55"/>
      <c r="C1009" s="41">
        <v>45980.0</v>
      </c>
      <c r="D1009" s="42" t="s">
        <v>722</v>
      </c>
      <c r="E1009" s="42" t="s">
        <v>204</v>
      </c>
      <c r="F1009" s="42" t="str">
        <f>+IFERROR(VLOOKUP(E1009,'DANH MỤC'!$C:$H,2,0),"")</f>
        <v>Ống lõi giấy phi 120x7x98mm</v>
      </c>
      <c r="G1009" s="42" t="str">
        <f>+IFERROR(VLOOKUP(E1009,'DANH MỤC'!$C:$H,6,0),"")</f>
        <v>Cái</v>
      </c>
      <c r="H1009" s="42">
        <f>+IFERROR(VLOOKUP(E1009,'DANH MỤC'!$C:$H,3,0),"")</f>
        <v>120</v>
      </c>
      <c r="I1009" s="42">
        <f>+IFERROR(VLOOKUP(E1009,'DANH MỤC'!$C:$H,4,0),"")</f>
        <v>70</v>
      </c>
      <c r="J1009" s="42">
        <f>+IFERROR(VLOOKUP(E1009,'DANH MỤC'!$C:$H,5,0),"")</f>
        <v>98</v>
      </c>
      <c r="K1009" s="53"/>
      <c r="L1009" s="58">
        <v>1.0</v>
      </c>
      <c r="M1009" s="55"/>
      <c r="N1009" s="55"/>
    </row>
    <row r="1010" ht="15.75" customHeight="1">
      <c r="A1010" s="53">
        <f t="shared" si="1"/>
        <v>1005</v>
      </c>
      <c r="B1010" s="55"/>
      <c r="C1010" s="41">
        <v>45980.0</v>
      </c>
      <c r="D1010" s="42" t="s">
        <v>722</v>
      </c>
      <c r="E1010" s="42" t="s">
        <v>107</v>
      </c>
      <c r="F1010" s="42" t="str">
        <f>+IFERROR(VLOOKUP(E1010,'DANH MỤC'!$C:$H,2,0),"")</f>
        <v>Pallet gỗ 1200x1200x130mm</v>
      </c>
      <c r="G1010" s="42" t="str">
        <f>+IFERROR(VLOOKUP(E1010,'DANH MỤC'!$C:$H,6,0),"")</f>
        <v>Bộ</v>
      </c>
      <c r="H1010" s="42">
        <f>+IFERROR(VLOOKUP(E1010,'DANH MỤC'!$C:$H,3,0),"")</f>
        <v>1200</v>
      </c>
      <c r="I1010" s="42">
        <f>+IFERROR(VLOOKUP(E1010,'DANH MỤC'!$C:$H,4,0),"")</f>
        <v>1200</v>
      </c>
      <c r="J1010" s="42">
        <f>+IFERROR(VLOOKUP(E1010,'DANH MỤC'!$C:$H,5,0),"")</f>
        <v>130</v>
      </c>
      <c r="K1010" s="53"/>
      <c r="L1010" s="58">
        <v>13.0</v>
      </c>
      <c r="M1010" s="55"/>
      <c r="N1010" s="55"/>
    </row>
    <row r="1011" ht="15.75" customHeight="1">
      <c r="A1011" s="53">
        <f t="shared" si="1"/>
        <v>1006</v>
      </c>
      <c r="B1011" s="55"/>
      <c r="C1011" s="41">
        <v>45980.0</v>
      </c>
      <c r="D1011" s="42" t="s">
        <v>722</v>
      </c>
      <c r="E1011" s="42" t="s">
        <v>96</v>
      </c>
      <c r="F1011" s="42" t="str">
        <f>+IFERROR(VLOOKUP(E1011,'DANH MỤC'!$C:$H,2,0),"")</f>
        <v>Giấy bao gói lưỡi gà</v>
      </c>
      <c r="G1011" s="42" t="str">
        <f>+IFERROR(VLOOKUP(E1011,'DANH MỤC'!$C:$H,6,0),"")</f>
        <v>Kg</v>
      </c>
      <c r="H1011" s="42" t="str">
        <f>+IFERROR(VLOOKUP(E1011,'DANH MỤC'!$C:$H,3,0),"")</f>
        <v/>
      </c>
      <c r="I1011" s="42" t="str">
        <f>+IFERROR(VLOOKUP(E1011,'DANH MỤC'!$C:$H,4,0),"")</f>
        <v/>
      </c>
      <c r="J1011" s="42" t="str">
        <f>+IFERROR(VLOOKUP(E1011,'DANH MỤC'!$C:$H,5,0),"")</f>
        <v/>
      </c>
      <c r="K1011" s="53"/>
      <c r="L1011" s="58">
        <v>10.19</v>
      </c>
      <c r="M1011" s="55"/>
      <c r="N1011" s="55"/>
    </row>
    <row r="1012" ht="15.75" customHeight="1">
      <c r="A1012" s="53">
        <f t="shared" si="1"/>
        <v>1007</v>
      </c>
      <c r="B1012" s="55"/>
      <c r="C1012" s="41">
        <v>45980.0</v>
      </c>
      <c r="D1012" s="42" t="s">
        <v>722</v>
      </c>
      <c r="E1012" s="42" t="s">
        <v>112</v>
      </c>
      <c r="F1012" s="42" t="str">
        <f>+IFERROR(VLOOKUP(E1012,'DANH MỤC'!$C:$H,2,0),"")</f>
        <v>Dây đai PET xanh (B)</v>
      </c>
      <c r="G1012" s="42" t="str">
        <f>+IFERROR(VLOOKUP(E1012,'DANH MỤC'!$C:$H,6,0),"")</f>
        <v>Kg</v>
      </c>
      <c r="H1012" s="42" t="str">
        <f>+IFERROR(VLOOKUP(E1012,'DANH MỤC'!$C:$H,3,0),"")</f>
        <v/>
      </c>
      <c r="I1012" s="42" t="str">
        <f>+IFERROR(VLOOKUP(E1012,'DANH MỤC'!$C:$H,4,0),"")</f>
        <v/>
      </c>
      <c r="J1012" s="42" t="str">
        <f>+IFERROR(VLOOKUP(E1012,'DANH MỤC'!$C:$H,5,0),"")</f>
        <v/>
      </c>
      <c r="K1012" s="53"/>
      <c r="L1012" s="58">
        <v>8.45</v>
      </c>
      <c r="M1012" s="55"/>
      <c r="N1012" s="55"/>
    </row>
    <row r="1013" ht="15.75" customHeight="1">
      <c r="A1013" s="53">
        <f t="shared" si="1"/>
        <v>1008</v>
      </c>
      <c r="B1013" s="55"/>
      <c r="C1013" s="41">
        <v>45980.0</v>
      </c>
      <c r="D1013" s="42" t="s">
        <v>722</v>
      </c>
      <c r="E1013" s="42" t="s">
        <v>115</v>
      </c>
      <c r="F1013" s="42" t="str">
        <f>+IFERROR(VLOOKUP(E1013,'DANH MỤC'!$C:$H,2,0),"")</f>
        <v>Màng Strecth Film 5.0-0.6kg</v>
      </c>
      <c r="G1013" s="42" t="str">
        <f>+IFERROR(VLOOKUP(E1013,'DANH MỤC'!$C:$H,6,0),"")</f>
        <v>Kg</v>
      </c>
      <c r="H1013" s="42" t="str">
        <f>+IFERROR(VLOOKUP(E1013,'DANH MỤC'!$C:$H,3,0),"")</f>
        <v/>
      </c>
      <c r="I1013" s="42" t="str">
        <f>+IFERROR(VLOOKUP(E1013,'DANH MỤC'!$C:$H,4,0),"")</f>
        <v/>
      </c>
      <c r="J1013" s="42" t="str">
        <f>+IFERROR(VLOOKUP(E1013,'DANH MỤC'!$C:$H,5,0),"")</f>
        <v/>
      </c>
      <c r="K1013" s="53"/>
      <c r="L1013" s="58">
        <v>3.0</v>
      </c>
      <c r="M1013" s="55"/>
      <c r="N1013" s="55"/>
    </row>
    <row r="1014" ht="15.75" customHeight="1">
      <c r="A1014" s="53">
        <f t="shared" si="1"/>
        <v>1009</v>
      </c>
      <c r="B1014" s="55"/>
      <c r="C1014" s="41">
        <v>45980.0</v>
      </c>
      <c r="D1014" s="42" t="s">
        <v>722</v>
      </c>
      <c r="E1014" s="42" t="s">
        <v>156</v>
      </c>
      <c r="F1014" s="42" t="str">
        <f>+IFERROR(VLOOKUP(E1014,'DANH MỤC'!$C:$H,2,0),"")</f>
        <v>Nẹp gỗ pallet dài 1.15m</v>
      </c>
      <c r="G1014" s="42" t="str">
        <f>+IFERROR(VLOOKUP(E1014,'DANH MỤC'!$C:$H,6,0),"")</f>
        <v>Cái</v>
      </c>
      <c r="H1014" s="42" t="str">
        <f>+IFERROR(VLOOKUP(E1014,'DANH MỤC'!$C:$H,3,0),"")</f>
        <v/>
      </c>
      <c r="I1014" s="42" t="str">
        <f>+IFERROR(VLOOKUP(E1014,'DANH MỤC'!$C:$H,4,0),"")</f>
        <v/>
      </c>
      <c r="J1014" s="42">
        <f>+IFERROR(VLOOKUP(E1014,'DANH MỤC'!$C:$H,5,0),"")</f>
        <v>1150</v>
      </c>
      <c r="K1014" s="53"/>
      <c r="L1014" s="58">
        <f>13*4</f>
        <v>52</v>
      </c>
      <c r="M1014" s="55"/>
      <c r="N1014" s="55"/>
    </row>
    <row r="1015" ht="15.75" customHeight="1">
      <c r="A1015" s="53">
        <f t="shared" si="1"/>
        <v>1010</v>
      </c>
      <c r="B1015" s="55"/>
      <c r="C1015" s="41">
        <v>45980.0</v>
      </c>
      <c r="D1015" s="42" t="s">
        <v>723</v>
      </c>
      <c r="E1015" s="42" t="s">
        <v>117</v>
      </c>
      <c r="F1015" s="42" t="str">
        <f>+IFERROR(VLOOKUP(E1015,'DANH MỤC'!$C:$H,2,0),"")</f>
        <v>Lưỡi gà trắng 97mm x 800m x 230gsm</v>
      </c>
      <c r="G1015" s="42" t="str">
        <f>+IFERROR(VLOOKUP(E1015,'DANH MỤC'!$C:$H,6,0),"")</f>
        <v>Cuộn</v>
      </c>
      <c r="H1015" s="42">
        <f>+IFERROR(VLOOKUP(E1015,'DANH MỤC'!$C:$H,3,0),"")</f>
        <v>230</v>
      </c>
      <c r="I1015" s="42">
        <f>+IFERROR(VLOOKUP(E1015,'DANH MỤC'!$C:$H,4,0),"")</f>
        <v>97</v>
      </c>
      <c r="J1015" s="42">
        <f>+IFERROR(VLOOKUP(E1015,'DANH MỤC'!$C:$H,5,0),"")</f>
        <v>800</v>
      </c>
      <c r="K1015" s="53">
        <v>1.0</v>
      </c>
      <c r="L1015" s="58"/>
      <c r="M1015" s="55"/>
      <c r="N1015" s="55"/>
    </row>
    <row r="1016" ht="15.75" customHeight="1">
      <c r="A1016" s="53">
        <f t="shared" si="1"/>
        <v>1011</v>
      </c>
      <c r="B1016" s="55"/>
      <c r="C1016" s="41">
        <v>45980.0</v>
      </c>
      <c r="D1016" s="42" t="s">
        <v>723</v>
      </c>
      <c r="E1016" s="42" t="s">
        <v>113</v>
      </c>
      <c r="F1016" s="42" t="str">
        <f>+IFERROR(VLOOKUP(E1016,'DANH MỤC'!$C:$H,2,0),"")</f>
        <v>Lưỡi gà trắng 95mm x 800m x 230gsm</v>
      </c>
      <c r="G1016" s="42" t="str">
        <f>+IFERROR(VLOOKUP(E1016,'DANH MỤC'!$C:$H,6,0),"")</f>
        <v>Cuộn</v>
      </c>
      <c r="H1016" s="42">
        <f>+IFERROR(VLOOKUP(E1016,'DANH MỤC'!$C:$H,3,0),"")</f>
        <v>230</v>
      </c>
      <c r="I1016" s="42">
        <f>+IFERROR(VLOOKUP(E1016,'DANH MỤC'!$C:$H,4,0),"")</f>
        <v>95</v>
      </c>
      <c r="J1016" s="42">
        <f>+IFERROR(VLOOKUP(E1016,'DANH MỤC'!$C:$H,5,0),"")</f>
        <v>800</v>
      </c>
      <c r="K1016" s="53">
        <v>557.0</v>
      </c>
      <c r="L1016" s="58"/>
      <c r="M1016" s="55"/>
      <c r="N1016" s="55"/>
    </row>
    <row r="1017" ht="15.75" customHeight="1">
      <c r="A1017" s="53">
        <f t="shared" si="1"/>
        <v>1012</v>
      </c>
      <c r="B1017" s="55"/>
      <c r="C1017" s="41">
        <v>45980.0</v>
      </c>
      <c r="D1017" s="42" t="s">
        <v>723</v>
      </c>
      <c r="E1017" s="42" t="s">
        <v>108</v>
      </c>
      <c r="F1017" s="42" t="str">
        <f>+IFERROR(VLOOKUP(E1017,'DANH MỤC'!$C:$H,2,0),"")</f>
        <v>Lưỡi gà trắng 75mm x 800m x 230gsm</v>
      </c>
      <c r="G1017" s="42" t="str">
        <f>+IFERROR(VLOOKUP(E1017,'DANH MỤC'!$C:$H,6,0),"")</f>
        <v>Cuộn</v>
      </c>
      <c r="H1017" s="42">
        <f>+IFERROR(VLOOKUP(E1017,'DANH MỤC'!$C:$H,3,0),"")</f>
        <v>230</v>
      </c>
      <c r="I1017" s="42">
        <f>+IFERROR(VLOOKUP(E1017,'DANH MỤC'!$C:$H,4,0),"")</f>
        <v>75</v>
      </c>
      <c r="J1017" s="42">
        <f>+IFERROR(VLOOKUP(E1017,'DANH MỤC'!$C:$H,5,0),"")</f>
        <v>800</v>
      </c>
      <c r="K1017" s="53">
        <v>186.0</v>
      </c>
      <c r="L1017" s="58"/>
      <c r="M1017" s="55"/>
      <c r="N1017" s="55"/>
    </row>
    <row r="1018" ht="15.75" customHeight="1">
      <c r="A1018" s="117">
        <f t="shared" si="1"/>
        <v>1013</v>
      </c>
      <c r="B1018" s="118"/>
      <c r="C1018" s="119">
        <v>45980.0</v>
      </c>
      <c r="D1018" s="120" t="s">
        <v>529</v>
      </c>
      <c r="E1018" s="120" t="s">
        <v>117</v>
      </c>
      <c r="F1018" s="120" t="str">
        <f>+IFERROR(VLOOKUP(E1018,'DANH MỤC'!$C:$H,2,0),"")</f>
        <v>Lưỡi gà trắng 97mm x 800m x 230gsm</v>
      </c>
      <c r="G1018" s="120" t="str">
        <f>+IFERROR(VLOOKUP(E1018,'DANH MỤC'!$C:$H,6,0),"")</f>
        <v>Cuộn</v>
      </c>
      <c r="H1018" s="120">
        <f>+IFERROR(VLOOKUP(E1018,'DANH MỤC'!$C:$H,3,0),"")</f>
        <v>230</v>
      </c>
      <c r="I1018" s="120">
        <f>+IFERROR(VLOOKUP(E1018,'DANH MỤC'!$C:$H,4,0),"")</f>
        <v>97</v>
      </c>
      <c r="J1018" s="120">
        <f>+IFERROR(VLOOKUP(E1018,'DANH MỤC'!$C:$H,5,0),"")</f>
        <v>800</v>
      </c>
      <c r="K1018" s="117"/>
      <c r="L1018" s="121">
        <v>1.0</v>
      </c>
      <c r="M1018" s="118" t="s">
        <v>529</v>
      </c>
      <c r="N1018" s="118"/>
    </row>
    <row r="1019" ht="15.75" customHeight="1">
      <c r="A1019" s="117">
        <f t="shared" si="1"/>
        <v>1014</v>
      </c>
      <c r="B1019" s="118"/>
      <c r="C1019" s="119">
        <v>45980.0</v>
      </c>
      <c r="D1019" s="120" t="s">
        <v>529</v>
      </c>
      <c r="E1019" s="120" t="s">
        <v>108</v>
      </c>
      <c r="F1019" s="120" t="str">
        <f>+IFERROR(VLOOKUP(E1019,'DANH MỤC'!$C:$H,2,0),"")</f>
        <v>Lưỡi gà trắng 75mm x 800m x 230gsm</v>
      </c>
      <c r="G1019" s="120" t="str">
        <f>+IFERROR(VLOOKUP(E1019,'DANH MỤC'!$C:$H,6,0),"")</f>
        <v>Cuộn</v>
      </c>
      <c r="H1019" s="120">
        <f>+IFERROR(VLOOKUP(E1019,'DANH MỤC'!$C:$H,3,0),"")</f>
        <v>230</v>
      </c>
      <c r="I1019" s="120">
        <f>+IFERROR(VLOOKUP(E1019,'DANH MỤC'!$C:$H,4,0),"")</f>
        <v>75</v>
      </c>
      <c r="J1019" s="120">
        <f>+IFERROR(VLOOKUP(E1019,'DANH MỤC'!$C:$H,5,0),"")</f>
        <v>800</v>
      </c>
      <c r="K1019" s="117"/>
      <c r="L1019" s="121">
        <v>1.0</v>
      </c>
      <c r="M1019" s="118" t="s">
        <v>529</v>
      </c>
      <c r="N1019" s="118"/>
    </row>
    <row r="1020" ht="15.75" customHeight="1">
      <c r="A1020" s="117">
        <f t="shared" si="1"/>
        <v>1015</v>
      </c>
      <c r="B1020" s="118"/>
      <c r="C1020" s="119">
        <v>45993.0</v>
      </c>
      <c r="D1020" s="120" t="s">
        <v>146</v>
      </c>
      <c r="E1020" s="120" t="s">
        <v>81</v>
      </c>
      <c r="F1020" s="120" t="str">
        <f>+IFERROR(VLOOKUP(E1020,'DANH MỤC'!$C:$H,2,0),"")</f>
        <v>Lưỡi gà trắng 71mm x 800m x 210gsm</v>
      </c>
      <c r="G1020" s="120" t="str">
        <f>+IFERROR(VLOOKUP(E1020,'DANH MỤC'!$C:$H,6,0),"")</f>
        <v>Cuộn</v>
      </c>
      <c r="H1020" s="120">
        <f>+IFERROR(VLOOKUP(E1020,'DANH MỤC'!$C:$H,3,0),"")</f>
        <v>210</v>
      </c>
      <c r="I1020" s="120">
        <f>+IFERROR(VLOOKUP(E1020,'DANH MỤC'!$C:$H,4,0),"")</f>
        <v>71</v>
      </c>
      <c r="J1020" s="120">
        <f>+IFERROR(VLOOKUP(E1020,'DANH MỤC'!$C:$H,5,0),"")</f>
        <v>800</v>
      </c>
      <c r="K1020" s="117"/>
      <c r="L1020" s="121">
        <v>600.0</v>
      </c>
      <c r="M1020" s="118" t="s">
        <v>304</v>
      </c>
      <c r="N1020" s="118"/>
    </row>
    <row r="1021" ht="15.75" customHeight="1">
      <c r="A1021" s="117">
        <f t="shared" si="1"/>
        <v>1016</v>
      </c>
      <c r="B1021" s="118"/>
      <c r="C1021" s="119">
        <v>45993.0</v>
      </c>
      <c r="D1021" s="120" t="s">
        <v>146</v>
      </c>
      <c r="E1021" s="120" t="s">
        <v>104</v>
      </c>
      <c r="F1021" s="120" t="str">
        <f>+IFERROR(VLOOKUP(E1021,'DANH MỤC'!$C:$H,2,0),"")</f>
        <v>Lưỡi gà trắng 95mm x 800m x 210gsm</v>
      </c>
      <c r="G1021" s="120" t="str">
        <f>+IFERROR(VLOOKUP(E1021,'DANH MỤC'!$C:$H,6,0),"")</f>
        <v>Cuộn</v>
      </c>
      <c r="H1021" s="120">
        <f>+IFERROR(VLOOKUP(E1021,'DANH MỤC'!$C:$H,3,0),"")</f>
        <v>210</v>
      </c>
      <c r="I1021" s="120">
        <f>+IFERROR(VLOOKUP(E1021,'DANH MỤC'!$C:$H,4,0),"")</f>
        <v>95</v>
      </c>
      <c r="J1021" s="120">
        <f>+IFERROR(VLOOKUP(E1021,'DANH MỤC'!$C:$H,5,0),"")</f>
        <v>800</v>
      </c>
      <c r="K1021" s="117"/>
      <c r="L1021" s="121">
        <v>60.0</v>
      </c>
      <c r="M1021" s="118" t="s">
        <v>304</v>
      </c>
      <c r="N1021" s="118"/>
    </row>
    <row r="1022" ht="15.75" customHeight="1">
      <c r="A1022" s="117">
        <f t="shared" si="1"/>
        <v>1017</v>
      </c>
      <c r="B1022" s="118"/>
      <c r="C1022" s="119">
        <v>45995.0</v>
      </c>
      <c r="D1022" s="120" t="s">
        <v>130</v>
      </c>
      <c r="E1022" s="120" t="s">
        <v>123</v>
      </c>
      <c r="F1022" s="120" t="str">
        <f>+IFERROR(VLOOKUP(E1022,'DANH MỤC'!$C:$H,2,0),"")</f>
        <v>Lưỡi gà trắng 90mm x 800m x 250gsm</v>
      </c>
      <c r="G1022" s="120" t="str">
        <f>+IFERROR(VLOOKUP(E1022,'DANH MỤC'!$C:$H,6,0),"")</f>
        <v>Cuộn</v>
      </c>
      <c r="H1022" s="120">
        <f>+IFERROR(VLOOKUP(E1022,'DANH MỤC'!$C:$H,3,0),"")</f>
        <v>250</v>
      </c>
      <c r="I1022" s="120">
        <f>+IFERROR(VLOOKUP(E1022,'DANH MỤC'!$C:$H,4,0),"")</f>
        <v>90</v>
      </c>
      <c r="J1022" s="120">
        <f>+IFERROR(VLOOKUP(E1022,'DANH MỤC'!$C:$H,5,0),"")</f>
        <v>800</v>
      </c>
      <c r="K1022" s="117"/>
      <c r="L1022" s="121">
        <f>9*52</f>
        <v>468</v>
      </c>
      <c r="M1022" s="118" t="s">
        <v>131</v>
      </c>
      <c r="N1022" s="118"/>
    </row>
    <row r="1023" ht="15.75" customHeight="1">
      <c r="A1023" s="117">
        <f t="shared" si="1"/>
        <v>1018</v>
      </c>
      <c r="B1023" s="118"/>
      <c r="C1023" s="119">
        <v>45995.0</v>
      </c>
      <c r="D1023" s="120" t="s">
        <v>130</v>
      </c>
      <c r="E1023" s="120" t="s">
        <v>104</v>
      </c>
      <c r="F1023" s="120" t="str">
        <f>+IFERROR(VLOOKUP(E1023,'DANH MỤC'!$C:$H,2,0),"")</f>
        <v>Lưỡi gà trắng 95mm x 800m x 210gsm</v>
      </c>
      <c r="G1023" s="120" t="str">
        <f>+IFERROR(VLOOKUP(E1023,'DANH MỤC'!$C:$H,6,0),"")</f>
        <v>Cuộn</v>
      </c>
      <c r="H1023" s="120">
        <f>+IFERROR(VLOOKUP(E1023,'DANH MỤC'!$C:$H,3,0),"")</f>
        <v>210</v>
      </c>
      <c r="I1023" s="120">
        <f>+IFERROR(VLOOKUP(E1023,'DANH MỤC'!$C:$H,4,0),"")</f>
        <v>95</v>
      </c>
      <c r="J1023" s="120">
        <f>+IFERROR(VLOOKUP(E1023,'DANH MỤC'!$C:$H,5,0),"")</f>
        <v>800</v>
      </c>
      <c r="K1023" s="117"/>
      <c r="L1023" s="121">
        <f>2*52</f>
        <v>104</v>
      </c>
      <c r="M1023" s="118" t="s">
        <v>131</v>
      </c>
      <c r="N1023" s="118"/>
    </row>
    <row r="1024" ht="15.75" customHeight="1">
      <c r="A1024" s="53">
        <f t="shared" si="1"/>
        <v>1019</v>
      </c>
      <c r="B1024" s="55"/>
      <c r="C1024" s="41">
        <v>46002.0</v>
      </c>
      <c r="D1024" s="42" t="s">
        <v>95</v>
      </c>
      <c r="E1024" s="42" t="s">
        <v>127</v>
      </c>
      <c r="F1024" s="42" t="str">
        <f>+IFERROR(VLOOKUP(E1024,'DANH MỤC'!$C:$H,2,0),"")</f>
        <v>Pallet gỗ 1100x1100x130mm</v>
      </c>
      <c r="G1024" s="42" t="str">
        <f>+IFERROR(VLOOKUP(E1024,'DANH MỤC'!$C:$H,6,0),"")</f>
        <v>Bộ</v>
      </c>
      <c r="H1024" s="42">
        <f>+IFERROR(VLOOKUP(E1024,'DANH MỤC'!$C:$H,3,0),"")</f>
        <v>1100</v>
      </c>
      <c r="I1024" s="42">
        <f>+IFERROR(VLOOKUP(E1024,'DANH MỤC'!$C:$H,4,0),"")</f>
        <v>1100</v>
      </c>
      <c r="J1024" s="42">
        <f>+IFERROR(VLOOKUP(E1024,'DANH MỤC'!$C:$H,5,0),"")</f>
        <v>130</v>
      </c>
      <c r="K1024" s="53">
        <v>50.0</v>
      </c>
      <c r="L1024" s="58"/>
      <c r="M1024" s="55"/>
      <c r="N1024" s="55"/>
    </row>
    <row r="1025" ht="15.75" customHeight="1">
      <c r="A1025" s="53">
        <f t="shared" si="1"/>
        <v>1020</v>
      </c>
      <c r="B1025" s="55"/>
      <c r="C1025" s="41">
        <v>46002.0</v>
      </c>
      <c r="D1025" s="42" t="s">
        <v>95</v>
      </c>
      <c r="E1025" s="42" t="s">
        <v>107</v>
      </c>
      <c r="F1025" s="42" t="str">
        <f>+IFERROR(VLOOKUP(E1025,'DANH MỤC'!$C:$H,2,0),"")</f>
        <v>Pallet gỗ 1200x1200x130mm</v>
      </c>
      <c r="G1025" s="42" t="str">
        <f>+IFERROR(VLOOKUP(E1025,'DANH MỤC'!$C:$H,6,0),"")</f>
        <v>Bộ</v>
      </c>
      <c r="H1025" s="42">
        <f>+IFERROR(VLOOKUP(E1025,'DANH MỤC'!$C:$H,3,0),"")</f>
        <v>1200</v>
      </c>
      <c r="I1025" s="42">
        <f>+IFERROR(VLOOKUP(E1025,'DANH MỤC'!$C:$H,4,0),"")</f>
        <v>1200</v>
      </c>
      <c r="J1025" s="42">
        <f>+IFERROR(VLOOKUP(E1025,'DANH MỤC'!$C:$H,5,0),"")</f>
        <v>130</v>
      </c>
      <c r="K1025" s="53">
        <v>50.0</v>
      </c>
      <c r="L1025" s="58"/>
      <c r="M1025" s="55"/>
      <c r="N1025" s="55"/>
    </row>
    <row r="1026" ht="15.75" customHeight="1">
      <c r="A1026" s="53">
        <f t="shared" si="1"/>
        <v>1021</v>
      </c>
      <c r="B1026" s="55"/>
      <c r="C1026" s="41">
        <v>46002.0</v>
      </c>
      <c r="D1026" s="42" t="s">
        <v>95</v>
      </c>
      <c r="E1026" s="42" t="s">
        <v>156</v>
      </c>
      <c r="F1026" s="42" t="str">
        <f>+IFERROR(VLOOKUP(E1026,'DANH MỤC'!$C:$H,2,0),"")</f>
        <v>Nẹp gỗ pallet dài 1.15m</v>
      </c>
      <c r="G1026" s="42" t="str">
        <f>+IFERROR(VLOOKUP(E1026,'DANH MỤC'!$C:$H,6,0),"")</f>
        <v>Cái</v>
      </c>
      <c r="H1026" s="42" t="str">
        <f>+IFERROR(VLOOKUP(E1026,'DANH MỤC'!$C:$H,3,0),"")</f>
        <v/>
      </c>
      <c r="I1026" s="42" t="str">
        <f>+IFERROR(VLOOKUP(E1026,'DANH MỤC'!$C:$H,4,0),"")</f>
        <v/>
      </c>
      <c r="J1026" s="42">
        <f>+IFERROR(VLOOKUP(E1026,'DANH MỤC'!$C:$H,5,0),"")</f>
        <v>1150</v>
      </c>
      <c r="K1026" s="53">
        <v>200.0</v>
      </c>
      <c r="L1026" s="58"/>
      <c r="M1026" s="55"/>
      <c r="N1026" s="55"/>
    </row>
    <row r="1027" ht="15.75" customHeight="1">
      <c r="A1027" s="117">
        <f t="shared" si="1"/>
        <v>1022</v>
      </c>
      <c r="B1027" s="118"/>
      <c r="C1027" s="119">
        <v>46004.0</v>
      </c>
      <c r="D1027" s="120" t="s">
        <v>146</v>
      </c>
      <c r="E1027" s="120" t="s">
        <v>81</v>
      </c>
      <c r="F1027" s="120" t="str">
        <f>+IFERROR(VLOOKUP(E1027,'DANH MỤC'!$C:$H,2,0),"")</f>
        <v>Lưỡi gà trắng 71mm x 800m x 210gsm</v>
      </c>
      <c r="G1027" s="120" t="str">
        <f>+IFERROR(VLOOKUP(E1027,'DANH MỤC'!$C:$H,6,0),"")</f>
        <v>Cuộn</v>
      </c>
      <c r="H1027" s="120">
        <f>+IFERROR(VLOOKUP(E1027,'DANH MỤC'!$C:$H,3,0),"")</f>
        <v>210</v>
      </c>
      <c r="I1027" s="120">
        <f>+IFERROR(VLOOKUP(E1027,'DANH MỤC'!$C:$H,4,0),"")</f>
        <v>71</v>
      </c>
      <c r="J1027" s="120">
        <f>+IFERROR(VLOOKUP(E1027,'DANH MỤC'!$C:$H,5,0),"")</f>
        <v>800</v>
      </c>
      <c r="K1027" s="117"/>
      <c r="L1027" s="121">
        <f>11*60</f>
        <v>660</v>
      </c>
      <c r="M1027" s="118" t="s">
        <v>304</v>
      </c>
      <c r="N1027" s="118"/>
    </row>
    <row r="1028" ht="15.75" customHeight="1">
      <c r="A1028" s="117">
        <f t="shared" si="1"/>
        <v>1023</v>
      </c>
      <c r="B1028" s="118"/>
      <c r="C1028" s="119">
        <v>46006.0</v>
      </c>
      <c r="D1028" s="120" t="s">
        <v>215</v>
      </c>
      <c r="E1028" s="120" t="s">
        <v>113</v>
      </c>
      <c r="F1028" s="120" t="str">
        <f>+IFERROR(VLOOKUP(E1028,'DANH MỤC'!$C:$H,2,0),"")</f>
        <v>Lưỡi gà trắng 95mm x 800m x 230gsm</v>
      </c>
      <c r="G1028" s="120" t="str">
        <f>+IFERROR(VLOOKUP(E1028,'DANH MỤC'!$C:$H,6,0),"")</f>
        <v>Cuộn</v>
      </c>
      <c r="H1028" s="120">
        <f>+IFERROR(VLOOKUP(E1028,'DANH MỤC'!$C:$H,3,0),"")</f>
        <v>230</v>
      </c>
      <c r="I1028" s="120">
        <f>+IFERROR(VLOOKUP(E1028,'DANH MỤC'!$C:$H,4,0),"")</f>
        <v>95</v>
      </c>
      <c r="J1028" s="120">
        <f>+IFERROR(VLOOKUP(E1028,'DANH MỤC'!$C:$H,5,0),"")</f>
        <v>800</v>
      </c>
      <c r="K1028" s="117"/>
      <c r="L1028" s="121">
        <f>7*60</f>
        <v>420</v>
      </c>
      <c r="M1028" s="118" t="s">
        <v>452</v>
      </c>
      <c r="N1028" s="118"/>
    </row>
    <row r="1029" ht="15.75" customHeight="1">
      <c r="A1029" s="53">
        <f t="shared" si="1"/>
        <v>1024</v>
      </c>
      <c r="B1029" s="55"/>
      <c r="C1029" s="41">
        <v>46008.0</v>
      </c>
      <c r="D1029" s="42" t="s">
        <v>35</v>
      </c>
      <c r="E1029" s="42" t="s">
        <v>213</v>
      </c>
      <c r="F1029" s="42" t="str">
        <f>+IFERROR(VLOOKUP(E1029,'DANH MỤC'!$C:$H,2,0),"")</f>
        <v>Ivory Ningbo</v>
      </c>
      <c r="G1029" s="42" t="str">
        <f>+IFERROR(VLOOKUP(E1029,'DANH MỤC'!$C:$H,6,0),"")</f>
        <v>Kg</v>
      </c>
      <c r="H1029" s="42">
        <f>+IFERROR(VLOOKUP(E1029,'DANH MỤC'!$C:$H,3,0),"")</f>
        <v>210</v>
      </c>
      <c r="I1029" s="42">
        <f>+IFERROR(VLOOKUP(E1029,'DANH MỤC'!$C:$H,4,0),"")</f>
        <v>108</v>
      </c>
      <c r="J1029" s="42" t="str">
        <f>+IFERROR(VLOOKUP(E1029,'DANH MỤC'!$C:$H,5,0),"")</f>
        <v/>
      </c>
      <c r="K1029" s="53">
        <f>25*987</f>
        <v>24675</v>
      </c>
      <c r="L1029" s="58"/>
      <c r="M1029" s="55" t="s">
        <v>724</v>
      </c>
      <c r="N1029" s="55"/>
    </row>
    <row r="1030" ht="15.75" customHeight="1">
      <c r="A1030" s="53">
        <f t="shared" si="1"/>
        <v>1025</v>
      </c>
      <c r="B1030" s="55"/>
      <c r="C1030" s="41">
        <v>46008.0</v>
      </c>
      <c r="D1030" s="42" t="s">
        <v>35</v>
      </c>
      <c r="E1030" s="42" t="s">
        <v>88</v>
      </c>
      <c r="F1030" s="42" t="str">
        <f>+IFERROR(VLOOKUP(E1030,'DANH MỤC'!$C:$H,2,0),"")</f>
        <v>Ivory Ningbo</v>
      </c>
      <c r="G1030" s="42" t="str">
        <f>+IFERROR(VLOOKUP(E1030,'DANH MỤC'!$C:$H,6,0),"")</f>
        <v>Kg</v>
      </c>
      <c r="H1030" s="42">
        <f>+IFERROR(VLOOKUP(E1030,'DANH MỤC'!$C:$H,3,0),"")</f>
        <v>250</v>
      </c>
      <c r="I1030" s="42">
        <f>+IFERROR(VLOOKUP(E1030,'DANH MỤC'!$C:$H,4,0),"")</f>
        <v>109</v>
      </c>
      <c r="J1030" s="42" t="str">
        <f>+IFERROR(VLOOKUP(E1030,'DANH MỤC'!$C:$H,5,0),"")</f>
        <v/>
      </c>
      <c r="K1030" s="53">
        <f>5*981</f>
        <v>4905</v>
      </c>
      <c r="L1030" s="58"/>
      <c r="M1030" s="55" t="s">
        <v>725</v>
      </c>
      <c r="N1030" s="55"/>
    </row>
    <row r="1031" ht="15.75" customHeight="1">
      <c r="A1031" s="53">
        <f t="shared" si="1"/>
        <v>1026</v>
      </c>
      <c r="B1031" s="55"/>
      <c r="C1031" s="41">
        <v>46008.0</v>
      </c>
      <c r="D1031" s="42" t="s">
        <v>35</v>
      </c>
      <c r="E1031" s="42" t="s">
        <v>223</v>
      </c>
      <c r="F1031" s="42" t="str">
        <f>+IFERROR(VLOOKUP(E1031,'DANH MỤC'!$C:$H,2,0),"")</f>
        <v>Ivory Ningbo</v>
      </c>
      <c r="G1031" s="42" t="str">
        <f>+IFERROR(VLOOKUP(E1031,'DANH MỤC'!$C:$H,6,0),"")</f>
        <v>Kg</v>
      </c>
      <c r="H1031" s="42">
        <f>+IFERROR(VLOOKUP(E1031,'DANH MỤC'!$C:$H,3,0),"")</f>
        <v>230</v>
      </c>
      <c r="I1031" s="42">
        <f>+IFERROR(VLOOKUP(E1031,'DANH MỤC'!$C:$H,4,0),"")</f>
        <v>108</v>
      </c>
      <c r="J1031" s="42" t="str">
        <f>+IFERROR(VLOOKUP(E1031,'DANH MỤC'!$C:$H,5,0),"")</f>
        <v/>
      </c>
      <c r="K1031" s="53">
        <f>5*969</f>
        <v>4845</v>
      </c>
      <c r="L1031" s="58"/>
      <c r="M1031" s="55" t="s">
        <v>725</v>
      </c>
      <c r="N1031" s="55"/>
    </row>
    <row r="1032" ht="15.75" customHeight="1">
      <c r="A1032" s="53">
        <f t="shared" si="1"/>
        <v>1027</v>
      </c>
      <c r="B1032" s="55"/>
      <c r="C1032" s="41">
        <v>46008.0</v>
      </c>
      <c r="D1032" s="42" t="s">
        <v>35</v>
      </c>
      <c r="E1032" s="42" t="s">
        <v>213</v>
      </c>
      <c r="F1032" s="42" t="str">
        <f>+IFERROR(VLOOKUP(E1032,'DANH MỤC'!$C:$H,2,0),"")</f>
        <v>Ivory Ningbo</v>
      </c>
      <c r="G1032" s="42" t="str">
        <f>+IFERROR(VLOOKUP(E1032,'DANH MỤC'!$C:$H,6,0),"")</f>
        <v>Kg</v>
      </c>
      <c r="H1032" s="42">
        <f>+IFERROR(VLOOKUP(E1032,'DANH MỤC'!$C:$H,3,0),"")</f>
        <v>210</v>
      </c>
      <c r="I1032" s="42">
        <f>+IFERROR(VLOOKUP(E1032,'DANH MỤC'!$C:$H,4,0),"")</f>
        <v>108</v>
      </c>
      <c r="J1032" s="42" t="str">
        <f>+IFERROR(VLOOKUP(E1032,'DANH MỤC'!$C:$H,5,0),"")</f>
        <v/>
      </c>
      <c r="K1032" s="53">
        <f>15*987</f>
        <v>14805</v>
      </c>
      <c r="L1032" s="58"/>
      <c r="M1032" s="55" t="s">
        <v>725</v>
      </c>
      <c r="N1032" s="55"/>
    </row>
    <row r="1033" ht="15.75" customHeight="1">
      <c r="A1033" s="53">
        <f t="shared" si="1"/>
        <v>1028</v>
      </c>
      <c r="B1033" s="55"/>
      <c r="C1033" s="41">
        <v>46008.0</v>
      </c>
      <c r="D1033" s="42" t="s">
        <v>35</v>
      </c>
      <c r="E1033" s="42" t="s">
        <v>213</v>
      </c>
      <c r="F1033" s="42" t="str">
        <f>+IFERROR(VLOOKUP(E1033,'DANH MỤC'!$C:$H,2,0),"")</f>
        <v>Ivory Ningbo</v>
      </c>
      <c r="G1033" s="42" t="str">
        <f>+IFERROR(VLOOKUP(E1033,'DANH MỤC'!$C:$H,6,0),"")</f>
        <v>Kg</v>
      </c>
      <c r="H1033" s="42">
        <f>+IFERROR(VLOOKUP(E1033,'DANH MỤC'!$C:$H,3,0),"")</f>
        <v>210</v>
      </c>
      <c r="I1033" s="42">
        <f>+IFERROR(VLOOKUP(E1033,'DANH MỤC'!$C:$H,4,0),"")</f>
        <v>108</v>
      </c>
      <c r="J1033" s="42" t="str">
        <f>+IFERROR(VLOOKUP(E1033,'DANH MỤC'!$C:$H,5,0),"")</f>
        <v/>
      </c>
      <c r="K1033" s="53">
        <f>26*987</f>
        <v>25662</v>
      </c>
      <c r="L1033" s="58"/>
      <c r="M1033" s="55" t="s">
        <v>726</v>
      </c>
      <c r="N1033" s="55"/>
    </row>
    <row r="1034" ht="15.75" customHeight="1">
      <c r="A1034" s="53">
        <f t="shared" si="1"/>
        <v>1029</v>
      </c>
      <c r="B1034" s="55"/>
      <c r="C1034" s="41">
        <v>46008.0</v>
      </c>
      <c r="D1034" s="42" t="s">
        <v>35</v>
      </c>
      <c r="E1034" s="42" t="s">
        <v>223</v>
      </c>
      <c r="F1034" s="42" t="str">
        <f>+IFERROR(VLOOKUP(E1034,'DANH MỤC'!$C:$H,2,0),"")</f>
        <v>Ivory Ningbo</v>
      </c>
      <c r="G1034" s="42" t="str">
        <f>+IFERROR(VLOOKUP(E1034,'DANH MỤC'!$C:$H,6,0),"")</f>
        <v>Kg</v>
      </c>
      <c r="H1034" s="42">
        <f>+IFERROR(VLOOKUP(E1034,'DANH MỤC'!$C:$H,3,0),"")</f>
        <v>230</v>
      </c>
      <c r="I1034" s="42">
        <f>+IFERROR(VLOOKUP(E1034,'DANH MỤC'!$C:$H,4,0),"")</f>
        <v>108</v>
      </c>
      <c r="J1034" s="42" t="str">
        <f>+IFERROR(VLOOKUP(E1034,'DANH MỤC'!$C:$H,5,0),"")</f>
        <v/>
      </c>
      <c r="K1034" s="53">
        <f>26*969</f>
        <v>25194</v>
      </c>
      <c r="L1034" s="58"/>
      <c r="M1034" s="55" t="s">
        <v>727</v>
      </c>
      <c r="N1034" s="55"/>
    </row>
    <row r="1035" ht="15.75" customHeight="1">
      <c r="A1035" s="53">
        <f t="shared" si="1"/>
        <v>1030</v>
      </c>
      <c r="B1035" s="55"/>
      <c r="C1035" s="41">
        <v>46009.0</v>
      </c>
      <c r="D1035" s="42" t="s">
        <v>35</v>
      </c>
      <c r="E1035" s="42" t="s">
        <v>88</v>
      </c>
      <c r="F1035" s="42" t="str">
        <f>+IFERROR(VLOOKUP(E1035,'DANH MỤC'!$C:$H,2,0),"")</f>
        <v>Ivory Ningbo</v>
      </c>
      <c r="G1035" s="42" t="str">
        <f>+IFERROR(VLOOKUP(E1035,'DANH MỤC'!$C:$H,6,0),"")</f>
        <v>Kg</v>
      </c>
      <c r="H1035" s="42">
        <f>+IFERROR(VLOOKUP(E1035,'DANH MỤC'!$C:$H,3,0),"")</f>
        <v>250</v>
      </c>
      <c r="I1035" s="42">
        <f>+IFERROR(VLOOKUP(E1035,'DANH MỤC'!$C:$H,4,0),"")</f>
        <v>109</v>
      </c>
      <c r="J1035" s="42" t="str">
        <f>+IFERROR(VLOOKUP(E1035,'DANH MỤC'!$C:$H,5,0),"")</f>
        <v/>
      </c>
      <c r="K1035" s="53">
        <f>26*981</f>
        <v>25506</v>
      </c>
      <c r="L1035" s="58"/>
      <c r="M1035" s="55" t="s">
        <v>728</v>
      </c>
      <c r="N1035" s="55"/>
    </row>
    <row r="1036" ht="15.75" customHeight="1">
      <c r="A1036" s="53">
        <f t="shared" si="1"/>
        <v>1031</v>
      </c>
      <c r="B1036" s="55"/>
      <c r="C1036" s="41">
        <v>46009.0</v>
      </c>
      <c r="D1036" s="42" t="s">
        <v>35</v>
      </c>
      <c r="E1036" s="42" t="s">
        <v>213</v>
      </c>
      <c r="F1036" s="42" t="str">
        <f>+IFERROR(VLOOKUP(E1036,'DANH MỤC'!$C:$H,2,0),"")</f>
        <v>Ivory Ningbo</v>
      </c>
      <c r="G1036" s="42" t="str">
        <f>+IFERROR(VLOOKUP(E1036,'DANH MỤC'!$C:$H,6,0),"")</f>
        <v>Kg</v>
      </c>
      <c r="H1036" s="42">
        <f>+IFERROR(VLOOKUP(E1036,'DANH MỤC'!$C:$H,3,0),"")</f>
        <v>210</v>
      </c>
      <c r="I1036" s="42">
        <f>+IFERROR(VLOOKUP(E1036,'DANH MỤC'!$C:$H,4,0),"")</f>
        <v>108</v>
      </c>
      <c r="J1036" s="42" t="str">
        <f>+IFERROR(VLOOKUP(E1036,'DANH MỤC'!$C:$H,5,0),"")</f>
        <v/>
      </c>
      <c r="K1036" s="53">
        <f>26*987</f>
        <v>25662</v>
      </c>
      <c r="L1036" s="58"/>
      <c r="M1036" s="55" t="s">
        <v>729</v>
      </c>
      <c r="N1036" s="55"/>
    </row>
    <row r="1037" ht="15.75" customHeight="1">
      <c r="A1037" s="117">
        <f t="shared" si="1"/>
        <v>1032</v>
      </c>
      <c r="B1037" s="118"/>
      <c r="C1037" s="119">
        <v>46010.0</v>
      </c>
      <c r="D1037" s="120" t="s">
        <v>146</v>
      </c>
      <c r="E1037" s="120" t="s">
        <v>81</v>
      </c>
      <c r="F1037" s="120" t="str">
        <f>+IFERROR(VLOOKUP(E1037,'DANH MỤC'!$C:$H,2,0),"")</f>
        <v>Lưỡi gà trắng 71mm x 800m x 210gsm</v>
      </c>
      <c r="G1037" s="120" t="str">
        <f>+IFERROR(VLOOKUP(E1037,'DANH MỤC'!$C:$H,6,0),"")</f>
        <v>Cuộn</v>
      </c>
      <c r="H1037" s="120">
        <f>+IFERROR(VLOOKUP(E1037,'DANH MỤC'!$C:$H,3,0),"")</f>
        <v>210</v>
      </c>
      <c r="I1037" s="120">
        <f>+IFERROR(VLOOKUP(E1037,'DANH MỤC'!$C:$H,4,0),"")</f>
        <v>71</v>
      </c>
      <c r="J1037" s="120">
        <f>+IFERROR(VLOOKUP(E1037,'DANH MỤC'!$C:$H,5,0),"")</f>
        <v>800</v>
      </c>
      <c r="K1037" s="117"/>
      <c r="L1037" s="121">
        <f>10*60</f>
        <v>600</v>
      </c>
      <c r="M1037" s="118" t="s">
        <v>304</v>
      </c>
      <c r="N1037" s="118"/>
    </row>
    <row r="1038" ht="15.75" customHeight="1">
      <c r="A1038" s="53">
        <f t="shared" si="1"/>
        <v>1033</v>
      </c>
      <c r="B1038" s="55"/>
      <c r="C1038" s="41">
        <v>46010.0</v>
      </c>
      <c r="D1038" s="42" t="s">
        <v>730</v>
      </c>
      <c r="E1038" s="42" t="s">
        <v>213</v>
      </c>
      <c r="F1038" s="42" t="str">
        <f>+IFERROR(VLOOKUP(E1038,'DANH MỤC'!$C:$H,2,0),"")</f>
        <v>Ivory Ningbo</v>
      </c>
      <c r="G1038" s="42" t="str">
        <f>+IFERROR(VLOOKUP(E1038,'DANH MỤC'!$C:$H,6,0),"")</f>
        <v>Kg</v>
      </c>
      <c r="H1038" s="42">
        <f>+IFERROR(VLOOKUP(E1038,'DANH MỤC'!$C:$H,3,0),"")</f>
        <v>210</v>
      </c>
      <c r="I1038" s="42">
        <f>+IFERROR(VLOOKUP(E1038,'DANH MỤC'!$C:$H,4,0),"")</f>
        <v>108</v>
      </c>
      <c r="J1038" s="42" t="str">
        <f>+IFERROR(VLOOKUP(E1038,'DANH MỤC'!$C:$H,5,0),"")</f>
        <v/>
      </c>
      <c r="K1038" s="53"/>
      <c r="L1038" s="58">
        <f>45*987-80</f>
        <v>44335</v>
      </c>
      <c r="M1038" s="55"/>
      <c r="N1038" s="55"/>
    </row>
    <row r="1039" ht="15.75" customHeight="1">
      <c r="A1039" s="53">
        <f t="shared" si="1"/>
        <v>1034</v>
      </c>
      <c r="B1039" s="55"/>
      <c r="C1039" s="41">
        <v>46010.0</v>
      </c>
      <c r="D1039" s="42" t="s">
        <v>731</v>
      </c>
      <c r="E1039" s="42" t="s">
        <v>182</v>
      </c>
      <c r="F1039" s="42" t="str">
        <f>+IFERROR(VLOOKUP(E1039,'DANH MỤC'!$C:$H,2,0),"")</f>
        <v>Ống lõi giấy phi 120x7x71mm</v>
      </c>
      <c r="G1039" s="42" t="str">
        <f>+IFERROR(VLOOKUP(E1039,'DANH MỤC'!$C:$H,6,0),"")</f>
        <v>Cái</v>
      </c>
      <c r="H1039" s="42">
        <f>+IFERROR(VLOOKUP(E1039,'DANH MỤC'!$C:$H,3,0),"")</f>
        <v>120</v>
      </c>
      <c r="I1039" s="42">
        <f>+IFERROR(VLOOKUP(E1039,'DANH MỤC'!$C:$H,4,0),"")</f>
        <v>70</v>
      </c>
      <c r="J1039" s="42">
        <f>+IFERROR(VLOOKUP(E1039,'DANH MỤC'!$C:$H,5,0),"")</f>
        <v>71</v>
      </c>
      <c r="K1039" s="53"/>
      <c r="L1039" s="58">
        <v>3722.0</v>
      </c>
      <c r="M1039" s="55"/>
      <c r="N1039" s="55"/>
    </row>
    <row r="1040" ht="15.75" customHeight="1">
      <c r="A1040" s="53">
        <f t="shared" si="1"/>
        <v>1035</v>
      </c>
      <c r="B1040" s="55"/>
      <c r="C1040" s="41">
        <v>46010.0</v>
      </c>
      <c r="D1040" s="42" t="s">
        <v>731</v>
      </c>
      <c r="E1040" s="42" t="s">
        <v>127</v>
      </c>
      <c r="F1040" s="42" t="str">
        <f>+IFERROR(VLOOKUP(E1040,'DANH MỤC'!$C:$H,2,0),"")</f>
        <v>Pallet gỗ 1100x1100x130mm</v>
      </c>
      <c r="G1040" s="42" t="str">
        <f>+IFERROR(VLOOKUP(E1040,'DANH MỤC'!$C:$H,6,0),"")</f>
        <v>Bộ</v>
      </c>
      <c r="H1040" s="42">
        <f>+IFERROR(VLOOKUP(E1040,'DANH MỤC'!$C:$H,3,0),"")</f>
        <v>1100</v>
      </c>
      <c r="I1040" s="42">
        <f>+IFERROR(VLOOKUP(E1040,'DANH MỤC'!$C:$H,4,0),"")</f>
        <v>1100</v>
      </c>
      <c r="J1040" s="42">
        <f>+IFERROR(VLOOKUP(E1040,'DANH MỤC'!$C:$H,5,0),"")</f>
        <v>130</v>
      </c>
      <c r="K1040" s="53"/>
      <c r="L1040" s="58">
        <v>61.0</v>
      </c>
      <c r="M1040" s="55"/>
      <c r="N1040" s="55"/>
    </row>
    <row r="1041" ht="15.75" customHeight="1">
      <c r="A1041" s="53">
        <f t="shared" si="1"/>
        <v>1036</v>
      </c>
      <c r="B1041" s="55"/>
      <c r="C1041" s="41">
        <v>46010.0</v>
      </c>
      <c r="D1041" s="42" t="s">
        <v>731</v>
      </c>
      <c r="E1041" s="42" t="s">
        <v>96</v>
      </c>
      <c r="F1041" s="42" t="str">
        <f>+IFERROR(VLOOKUP(E1041,'DANH MỤC'!$C:$H,2,0),"")</f>
        <v>Giấy bao gói lưỡi gà</v>
      </c>
      <c r="G1041" s="42" t="str">
        <f>+IFERROR(VLOOKUP(E1041,'DANH MỤC'!$C:$H,6,0),"")</f>
        <v>Kg</v>
      </c>
      <c r="H1041" s="42" t="str">
        <f>+IFERROR(VLOOKUP(E1041,'DANH MỤC'!$C:$H,3,0),"")</f>
        <v/>
      </c>
      <c r="I1041" s="42" t="str">
        <f>+IFERROR(VLOOKUP(E1041,'DANH MỤC'!$C:$H,4,0),"")</f>
        <v/>
      </c>
      <c r="J1041" s="42" t="str">
        <f>+IFERROR(VLOOKUP(E1041,'DANH MỤC'!$C:$H,5,0),"")</f>
        <v/>
      </c>
      <c r="K1041" s="53"/>
      <c r="L1041" s="58">
        <v>39.36</v>
      </c>
      <c r="M1041" s="55"/>
      <c r="N1041" s="55"/>
    </row>
    <row r="1042" ht="15.75" customHeight="1">
      <c r="A1042" s="53">
        <f t="shared" si="1"/>
        <v>1037</v>
      </c>
      <c r="B1042" s="55"/>
      <c r="C1042" s="41">
        <v>46010.0</v>
      </c>
      <c r="D1042" s="42" t="s">
        <v>731</v>
      </c>
      <c r="E1042" s="42" t="s">
        <v>112</v>
      </c>
      <c r="F1042" s="42" t="str">
        <f>+IFERROR(VLOOKUP(E1042,'DANH MỤC'!$C:$H,2,0),"")</f>
        <v>Dây đai PET xanh (B)</v>
      </c>
      <c r="G1042" s="42" t="str">
        <f>+IFERROR(VLOOKUP(E1042,'DANH MỤC'!$C:$H,6,0),"")</f>
        <v>Kg</v>
      </c>
      <c r="H1042" s="42" t="str">
        <f>+IFERROR(VLOOKUP(E1042,'DANH MỤC'!$C:$H,3,0),"")</f>
        <v/>
      </c>
      <c r="I1042" s="42" t="str">
        <f>+IFERROR(VLOOKUP(E1042,'DANH MỤC'!$C:$H,4,0),"")</f>
        <v/>
      </c>
      <c r="J1042" s="42" t="str">
        <f>+IFERROR(VLOOKUP(E1042,'DANH MỤC'!$C:$H,5,0),"")</f>
        <v/>
      </c>
      <c r="K1042" s="53"/>
      <c r="L1042" s="58">
        <v>24.4</v>
      </c>
      <c r="M1042" s="55"/>
      <c r="N1042" s="55"/>
    </row>
    <row r="1043" ht="15.75" customHeight="1">
      <c r="A1043" s="53">
        <f t="shared" si="1"/>
        <v>1038</v>
      </c>
      <c r="B1043" s="55"/>
      <c r="C1043" s="41">
        <v>46010.0</v>
      </c>
      <c r="D1043" s="42" t="s">
        <v>731</v>
      </c>
      <c r="E1043" s="42" t="s">
        <v>115</v>
      </c>
      <c r="F1043" s="42" t="str">
        <f>+IFERROR(VLOOKUP(E1043,'DANH MỤC'!$C:$H,2,0),"")</f>
        <v>Màng Strecth Film 5.0-0.6kg</v>
      </c>
      <c r="G1043" s="42" t="str">
        <f>+IFERROR(VLOOKUP(E1043,'DANH MỤC'!$C:$H,6,0),"")</f>
        <v>Kg</v>
      </c>
      <c r="H1043" s="42" t="str">
        <f>+IFERROR(VLOOKUP(E1043,'DANH MỤC'!$C:$H,3,0),"")</f>
        <v/>
      </c>
      <c r="I1043" s="42" t="str">
        <f>+IFERROR(VLOOKUP(E1043,'DANH MỤC'!$C:$H,4,0),"")</f>
        <v/>
      </c>
      <c r="J1043" s="42" t="str">
        <f>+IFERROR(VLOOKUP(E1043,'DANH MỤC'!$C:$H,5,0),"")</f>
        <v/>
      </c>
      <c r="K1043" s="53"/>
      <c r="L1043" s="58">
        <v>18.3</v>
      </c>
      <c r="M1043" s="55"/>
      <c r="N1043" s="55"/>
    </row>
    <row r="1044" ht="15.75" customHeight="1">
      <c r="A1044" s="53">
        <f t="shared" si="1"/>
        <v>1039</v>
      </c>
      <c r="B1044" s="55"/>
      <c r="C1044" s="41">
        <v>46010.0</v>
      </c>
      <c r="D1044" s="42" t="s">
        <v>732</v>
      </c>
      <c r="E1044" s="42" t="s">
        <v>81</v>
      </c>
      <c r="F1044" s="42" t="str">
        <f>+IFERROR(VLOOKUP(E1044,'DANH MỤC'!$C:$H,2,0),"")</f>
        <v>Lưỡi gà trắng 71mm x 800m x 210gsm</v>
      </c>
      <c r="G1044" s="42" t="str">
        <f>+IFERROR(VLOOKUP(E1044,'DANH MỤC'!$C:$H,6,0),"")</f>
        <v>Cuộn</v>
      </c>
      <c r="H1044" s="42">
        <f>+IFERROR(VLOOKUP(E1044,'DANH MỤC'!$C:$H,3,0),"")</f>
        <v>210</v>
      </c>
      <c r="I1044" s="42">
        <f>+IFERROR(VLOOKUP(E1044,'DANH MỤC'!$C:$H,4,0),"")</f>
        <v>71</v>
      </c>
      <c r="J1044" s="42">
        <f>+IFERROR(VLOOKUP(E1044,'DANH MỤC'!$C:$H,5,0),"")</f>
        <v>800</v>
      </c>
      <c r="K1044" s="53">
        <f>17*180+2*180+90-1+135</f>
        <v>3644</v>
      </c>
      <c r="L1044" s="58"/>
      <c r="M1044" s="55"/>
      <c r="N1044" s="55"/>
    </row>
    <row r="1045" ht="15.75" customHeight="1">
      <c r="A1045" s="117">
        <f t="shared" si="1"/>
        <v>1040</v>
      </c>
      <c r="B1045" s="118"/>
      <c r="C1045" s="119">
        <v>46014.0</v>
      </c>
      <c r="D1045" s="120" t="s">
        <v>146</v>
      </c>
      <c r="E1045" s="120" t="s">
        <v>81</v>
      </c>
      <c r="F1045" s="120" t="str">
        <f>+IFERROR(VLOOKUP(E1045,'DANH MỤC'!$C:$H,2,0),"")</f>
        <v>Lưỡi gà trắng 71mm x 800m x 210gsm</v>
      </c>
      <c r="G1045" s="120" t="str">
        <f>+IFERROR(VLOOKUP(E1045,'DANH MỤC'!$C:$H,6,0),"")</f>
        <v>Cuộn</v>
      </c>
      <c r="H1045" s="120">
        <f>+IFERROR(VLOOKUP(E1045,'DANH MỤC'!$C:$H,3,0),"")</f>
        <v>210</v>
      </c>
      <c r="I1045" s="120">
        <f>+IFERROR(VLOOKUP(E1045,'DANH MỤC'!$C:$H,4,0),"")</f>
        <v>71</v>
      </c>
      <c r="J1045" s="120">
        <f>+IFERROR(VLOOKUP(E1045,'DANH MỤC'!$C:$H,5,0),"")</f>
        <v>800</v>
      </c>
      <c r="K1045" s="117"/>
      <c r="L1045" s="121">
        <f>7*60</f>
        <v>420</v>
      </c>
      <c r="M1045" s="118" t="s">
        <v>304</v>
      </c>
      <c r="N1045" s="118"/>
    </row>
    <row r="1046" ht="15.75" customHeight="1">
      <c r="A1046" s="117">
        <f t="shared" si="1"/>
        <v>1041</v>
      </c>
      <c r="B1046" s="118"/>
      <c r="C1046" s="119">
        <v>46018.0</v>
      </c>
      <c r="D1046" s="120" t="s">
        <v>146</v>
      </c>
      <c r="E1046" s="120" t="s">
        <v>81</v>
      </c>
      <c r="F1046" s="120" t="str">
        <f>+IFERROR(VLOOKUP(E1046,'DANH MỤC'!$C:$H,2,0),"")</f>
        <v>Lưỡi gà trắng 71mm x 800m x 210gsm</v>
      </c>
      <c r="G1046" s="120" t="str">
        <f>+IFERROR(VLOOKUP(E1046,'DANH MỤC'!$C:$H,6,0),"")</f>
        <v>Cuộn</v>
      </c>
      <c r="H1046" s="120">
        <f>+IFERROR(VLOOKUP(E1046,'DANH MỤC'!$C:$H,3,0),"")</f>
        <v>210</v>
      </c>
      <c r="I1046" s="120">
        <f>+IFERROR(VLOOKUP(E1046,'DANH MỤC'!$C:$H,4,0),"")</f>
        <v>71</v>
      </c>
      <c r="J1046" s="120">
        <f>+IFERROR(VLOOKUP(E1046,'DANH MỤC'!$C:$H,5,0),"")</f>
        <v>800</v>
      </c>
      <c r="K1046" s="117"/>
      <c r="L1046" s="121">
        <f>10*60</f>
        <v>600</v>
      </c>
      <c r="M1046" s="118" t="s">
        <v>304</v>
      </c>
      <c r="N1046" s="118"/>
    </row>
    <row r="1047" ht="15.75" customHeight="1">
      <c r="A1047" s="117">
        <f t="shared" si="1"/>
        <v>1042</v>
      </c>
      <c r="B1047" s="118"/>
      <c r="C1047" s="119">
        <v>46021.0</v>
      </c>
      <c r="D1047" s="120" t="s">
        <v>146</v>
      </c>
      <c r="E1047" s="120" t="s">
        <v>81</v>
      </c>
      <c r="F1047" s="120" t="str">
        <f>+IFERROR(VLOOKUP(E1047,'DANH MỤC'!$C:$H,2,0),"")</f>
        <v>Lưỡi gà trắng 71mm x 800m x 210gsm</v>
      </c>
      <c r="G1047" s="120" t="str">
        <f>+IFERROR(VLOOKUP(E1047,'DANH MỤC'!$C:$H,6,0),"")</f>
        <v>Cuộn</v>
      </c>
      <c r="H1047" s="120">
        <f>+IFERROR(VLOOKUP(E1047,'DANH MỤC'!$C:$H,3,0),"")</f>
        <v>210</v>
      </c>
      <c r="I1047" s="120">
        <f>+IFERROR(VLOOKUP(E1047,'DANH MỤC'!$C:$H,4,0),"")</f>
        <v>71</v>
      </c>
      <c r="J1047" s="120">
        <f>+IFERROR(VLOOKUP(E1047,'DANH MỤC'!$C:$H,5,0),"")</f>
        <v>800</v>
      </c>
      <c r="K1047" s="117"/>
      <c r="L1047" s="121">
        <f>16*60</f>
        <v>960</v>
      </c>
      <c r="M1047" s="118" t="s">
        <v>304</v>
      </c>
      <c r="N1047" s="118"/>
    </row>
    <row r="1048" ht="15.75" customHeight="1">
      <c r="A1048" s="117">
        <f t="shared" si="1"/>
        <v>1043</v>
      </c>
      <c r="B1048" s="118"/>
      <c r="C1048" s="119">
        <v>46027.0</v>
      </c>
      <c r="D1048" s="120" t="s">
        <v>130</v>
      </c>
      <c r="E1048" s="120" t="s">
        <v>123</v>
      </c>
      <c r="F1048" s="120" t="str">
        <f>+IFERROR(VLOOKUP(E1048,'DANH MỤC'!$C:$H,2,0),"")</f>
        <v>Lưỡi gà trắng 90mm x 800m x 250gsm</v>
      </c>
      <c r="G1048" s="120" t="str">
        <f>+IFERROR(VLOOKUP(E1048,'DANH MỤC'!$C:$H,6,0),"")</f>
        <v>Cuộn</v>
      </c>
      <c r="H1048" s="120">
        <f>+IFERROR(VLOOKUP(E1048,'DANH MỤC'!$C:$H,3,0),"")</f>
        <v>250</v>
      </c>
      <c r="I1048" s="120">
        <f>+IFERROR(VLOOKUP(E1048,'DANH MỤC'!$C:$H,4,0),"")</f>
        <v>90</v>
      </c>
      <c r="J1048" s="120">
        <f>+IFERROR(VLOOKUP(E1048,'DANH MỤC'!$C:$H,5,0),"")</f>
        <v>800</v>
      </c>
      <c r="K1048" s="117"/>
      <c r="L1048" s="121">
        <f>9*52+1</f>
        <v>469</v>
      </c>
      <c r="M1048" s="118" t="s">
        <v>131</v>
      </c>
      <c r="N1048" s="118"/>
    </row>
    <row r="1049" ht="15.75" customHeight="1">
      <c r="A1049" s="117">
        <f t="shared" si="1"/>
        <v>1044</v>
      </c>
      <c r="B1049" s="118"/>
      <c r="C1049" s="119">
        <v>46027.0</v>
      </c>
      <c r="D1049" s="120" t="s">
        <v>130</v>
      </c>
      <c r="E1049" s="120" t="s">
        <v>104</v>
      </c>
      <c r="F1049" s="120" t="str">
        <f>+IFERROR(VLOOKUP(E1049,'DANH MỤC'!$C:$H,2,0),"")</f>
        <v>Lưỡi gà trắng 95mm x 800m x 210gsm</v>
      </c>
      <c r="G1049" s="120" t="str">
        <f>+IFERROR(VLOOKUP(E1049,'DANH MỤC'!$C:$H,6,0),"")</f>
        <v>Cuộn</v>
      </c>
      <c r="H1049" s="120">
        <f>+IFERROR(VLOOKUP(E1049,'DANH MỤC'!$C:$H,3,0),"")</f>
        <v>210</v>
      </c>
      <c r="I1049" s="120">
        <f>+IFERROR(VLOOKUP(E1049,'DANH MỤC'!$C:$H,4,0),"")</f>
        <v>95</v>
      </c>
      <c r="J1049" s="120">
        <f>+IFERROR(VLOOKUP(E1049,'DANH MỤC'!$C:$H,5,0),"")</f>
        <v>800</v>
      </c>
      <c r="K1049" s="117"/>
      <c r="L1049" s="121">
        <f>2*52</f>
        <v>104</v>
      </c>
      <c r="M1049" s="118" t="s">
        <v>131</v>
      </c>
      <c r="N1049" s="118"/>
    </row>
    <row r="1050" ht="15.75" customHeight="1">
      <c r="A1050" s="53"/>
      <c r="B1050" s="55"/>
      <c r="C1050" s="41">
        <v>46027.0</v>
      </c>
      <c r="D1050" s="42" t="s">
        <v>733</v>
      </c>
      <c r="E1050" s="42" t="s">
        <v>107</v>
      </c>
      <c r="F1050" s="42" t="str">
        <f>+IFERROR(VLOOKUP(E1050,'DANH MỤC'!$C:$H,2,0),"")</f>
        <v>Pallet gỗ 1200x1200x130mm</v>
      </c>
      <c r="G1050" s="42" t="str">
        <f>+IFERROR(VLOOKUP(E1050,'DANH MỤC'!$C:$H,6,0),"")</f>
        <v>Bộ</v>
      </c>
      <c r="H1050" s="42">
        <f>+IFERROR(VLOOKUP(E1050,'DANH MỤC'!$C:$H,3,0),"")</f>
        <v>1200</v>
      </c>
      <c r="I1050" s="42">
        <f>+IFERROR(VLOOKUP(E1050,'DANH MỤC'!$C:$H,4,0),"")</f>
        <v>1200</v>
      </c>
      <c r="J1050" s="42">
        <f>+IFERROR(VLOOKUP(E1050,'DANH MỤC'!$C:$H,5,0),"")</f>
        <v>130</v>
      </c>
      <c r="K1050" s="53"/>
      <c r="L1050" s="58">
        <v>12.0</v>
      </c>
      <c r="M1050" s="55" t="s">
        <v>734</v>
      </c>
      <c r="N1050" s="55"/>
    </row>
    <row r="1051" ht="15.75" customHeight="1">
      <c r="A1051" s="53"/>
      <c r="B1051" s="55"/>
      <c r="C1051" s="41">
        <v>46027.0</v>
      </c>
      <c r="D1051" s="42" t="s">
        <v>733</v>
      </c>
      <c r="E1051" s="42" t="s">
        <v>127</v>
      </c>
      <c r="F1051" s="42" t="str">
        <f>+IFERROR(VLOOKUP(E1051,'DANH MỤC'!$C:$H,2,0),"")</f>
        <v>Pallet gỗ 1100x1100x130mm</v>
      </c>
      <c r="G1051" s="42" t="str">
        <f>+IFERROR(VLOOKUP(E1051,'DANH MỤC'!$C:$H,6,0),"")</f>
        <v>Bộ</v>
      </c>
      <c r="H1051" s="42">
        <f>+IFERROR(VLOOKUP(E1051,'DANH MỤC'!$C:$H,3,0),"")</f>
        <v>1100</v>
      </c>
      <c r="I1051" s="42">
        <f>+IFERROR(VLOOKUP(E1051,'DANH MỤC'!$C:$H,4,0),"")</f>
        <v>1100</v>
      </c>
      <c r="J1051" s="42">
        <f>+IFERROR(VLOOKUP(E1051,'DANH MỤC'!$C:$H,5,0),"")</f>
        <v>130</v>
      </c>
      <c r="K1051" s="53"/>
      <c r="L1051" s="58">
        <v>3.0</v>
      </c>
      <c r="M1051" s="55" t="s">
        <v>734</v>
      </c>
      <c r="N1051" s="55"/>
    </row>
    <row r="1052" ht="15.75" customHeight="1">
      <c r="A1052" s="53">
        <f t="shared" ref="A1052:A1151" si="3">+ROW()-5</f>
        <v>1047</v>
      </c>
      <c r="B1052" s="55"/>
      <c r="C1052" s="41">
        <v>46027.0</v>
      </c>
      <c r="D1052" s="42" t="s">
        <v>735</v>
      </c>
      <c r="E1052" s="42" t="s">
        <v>81</v>
      </c>
      <c r="F1052" s="42" t="str">
        <f>+IFERROR(VLOOKUP(E1052,'DANH MỤC'!$C:$H,2,0),"")</f>
        <v>Lưỡi gà trắng 71mm x 800m x 210gsm</v>
      </c>
      <c r="G1052" s="42" t="str">
        <f>+IFERROR(VLOOKUP(E1052,'DANH MỤC'!$C:$H,6,0),"")</f>
        <v>Cuộn</v>
      </c>
      <c r="H1052" s="42">
        <f>+IFERROR(VLOOKUP(E1052,'DANH MỤC'!$C:$H,3,0),"")</f>
        <v>210</v>
      </c>
      <c r="I1052" s="42">
        <f>+IFERROR(VLOOKUP(E1052,'DANH MỤC'!$C:$H,4,0),"")</f>
        <v>71</v>
      </c>
      <c r="J1052" s="42">
        <f>+IFERROR(VLOOKUP(E1052,'DANH MỤC'!$C:$H,5,0),"")</f>
        <v>800</v>
      </c>
      <c r="K1052" s="53"/>
      <c r="L1052" s="58">
        <v>6.0</v>
      </c>
      <c r="M1052" s="55"/>
      <c r="N1052" s="55"/>
    </row>
    <row r="1053" ht="15.75" customHeight="1">
      <c r="A1053" s="53">
        <f t="shared" si="3"/>
        <v>1048</v>
      </c>
      <c r="B1053" s="55"/>
      <c r="C1053" s="41">
        <v>46027.0</v>
      </c>
      <c r="D1053" s="42" t="s">
        <v>735</v>
      </c>
      <c r="E1053" s="42" t="s">
        <v>89</v>
      </c>
      <c r="F1053" s="42" t="str">
        <f>+IFERROR(VLOOKUP(E1053,'DANH MỤC'!$C:$H,2,0),"")</f>
        <v>Lưỡi gà trắng 83mm x 800m x 210gsm</v>
      </c>
      <c r="G1053" s="42" t="str">
        <f>+IFERROR(VLOOKUP(E1053,'DANH MỤC'!$C:$H,6,0),"")</f>
        <v>Cuộn</v>
      </c>
      <c r="H1053" s="42">
        <f>+IFERROR(VLOOKUP(E1053,'DANH MỤC'!$C:$H,3,0),"")</f>
        <v>210</v>
      </c>
      <c r="I1053" s="42">
        <f>+IFERROR(VLOOKUP(E1053,'DANH MỤC'!$C:$H,4,0),"")</f>
        <v>83</v>
      </c>
      <c r="J1053" s="42">
        <f>+IFERROR(VLOOKUP(E1053,'DANH MỤC'!$C:$H,5,0),"")</f>
        <v>800</v>
      </c>
      <c r="K1053" s="53"/>
      <c r="L1053" s="58">
        <v>1.0</v>
      </c>
      <c r="M1053" s="55"/>
      <c r="N1053" s="55"/>
    </row>
    <row r="1054" ht="15.75" customHeight="1">
      <c r="A1054" s="53">
        <f t="shared" si="3"/>
        <v>1049</v>
      </c>
      <c r="B1054" s="55"/>
      <c r="C1054" s="41">
        <v>46027.0</v>
      </c>
      <c r="D1054" s="42" t="s">
        <v>735</v>
      </c>
      <c r="E1054" s="42" t="s">
        <v>113</v>
      </c>
      <c r="F1054" s="42" t="str">
        <f>+IFERROR(VLOOKUP(E1054,'DANH MỤC'!$C:$H,2,0),"")</f>
        <v>Lưỡi gà trắng 95mm x 800m x 230gsm</v>
      </c>
      <c r="G1054" s="42" t="str">
        <f>+IFERROR(VLOOKUP(E1054,'DANH MỤC'!$C:$H,6,0),"")</f>
        <v>Cuộn</v>
      </c>
      <c r="H1054" s="42">
        <f>+IFERROR(VLOOKUP(E1054,'DANH MỤC'!$C:$H,3,0),"")</f>
        <v>230</v>
      </c>
      <c r="I1054" s="42">
        <f>+IFERROR(VLOOKUP(E1054,'DANH MỤC'!$C:$H,4,0),"")</f>
        <v>95</v>
      </c>
      <c r="J1054" s="42">
        <f>+IFERROR(VLOOKUP(E1054,'DANH MỤC'!$C:$H,5,0),"")</f>
        <v>800</v>
      </c>
      <c r="K1054" s="53"/>
      <c r="L1054" s="58">
        <v>5.0</v>
      </c>
      <c r="M1054" s="55"/>
      <c r="N1054" s="55"/>
    </row>
    <row r="1055" ht="15.75" customHeight="1">
      <c r="A1055" s="53">
        <f t="shared" si="3"/>
        <v>1050</v>
      </c>
      <c r="B1055" s="55"/>
      <c r="C1055" s="41">
        <v>46027.0</v>
      </c>
      <c r="D1055" s="42" t="s">
        <v>735</v>
      </c>
      <c r="E1055" s="42" t="s">
        <v>120</v>
      </c>
      <c r="F1055" s="42" t="str">
        <f>+IFERROR(VLOOKUP(E1055,'DANH MỤC'!$C:$H,2,0),"")</f>
        <v>Lưỡi gà trắng 98mm x 800m x 230gsm</v>
      </c>
      <c r="G1055" s="42" t="str">
        <f>+IFERROR(VLOOKUP(E1055,'DANH MỤC'!$C:$H,6,0),"")</f>
        <v>Cuộn</v>
      </c>
      <c r="H1055" s="42">
        <f>+IFERROR(VLOOKUP(E1055,'DANH MỤC'!$C:$H,3,0),"")</f>
        <v>230</v>
      </c>
      <c r="I1055" s="42">
        <f>+IFERROR(VLOOKUP(E1055,'DANH MỤC'!$C:$H,4,0),"")</f>
        <v>98</v>
      </c>
      <c r="J1055" s="42">
        <f>+IFERROR(VLOOKUP(E1055,'DANH MỤC'!$C:$H,5,0),"")</f>
        <v>800</v>
      </c>
      <c r="K1055" s="53"/>
      <c r="L1055" s="58">
        <v>15.0</v>
      </c>
      <c r="M1055" s="55"/>
      <c r="N1055" s="55"/>
    </row>
    <row r="1056" ht="15.75" customHeight="1">
      <c r="A1056" s="53">
        <f t="shared" si="3"/>
        <v>1051</v>
      </c>
      <c r="B1056" s="55"/>
      <c r="C1056" s="41">
        <v>46027.0</v>
      </c>
      <c r="D1056" s="42" t="s">
        <v>735</v>
      </c>
      <c r="E1056" s="42" t="s">
        <v>123</v>
      </c>
      <c r="F1056" s="42" t="str">
        <f>+IFERROR(VLOOKUP(E1056,'DANH MỤC'!$C:$H,2,0),"")</f>
        <v>Lưỡi gà trắng 90mm x 800m x 250gsm</v>
      </c>
      <c r="G1056" s="42" t="str">
        <f>+IFERROR(VLOOKUP(E1056,'DANH MỤC'!$C:$H,6,0),"")</f>
        <v>Cuộn</v>
      </c>
      <c r="H1056" s="42">
        <f>+IFERROR(VLOOKUP(E1056,'DANH MỤC'!$C:$H,3,0),"")</f>
        <v>250</v>
      </c>
      <c r="I1056" s="42">
        <f>+IFERROR(VLOOKUP(E1056,'DANH MỤC'!$C:$H,4,0),"")</f>
        <v>90</v>
      </c>
      <c r="J1056" s="42">
        <f>+IFERROR(VLOOKUP(E1056,'DANH MỤC'!$C:$H,5,0),"")</f>
        <v>800</v>
      </c>
      <c r="K1056" s="53"/>
      <c r="L1056" s="58">
        <v>8.0</v>
      </c>
      <c r="M1056" s="55"/>
      <c r="N1056" s="55"/>
    </row>
    <row r="1057" ht="15.75" customHeight="1">
      <c r="A1057" s="53">
        <f t="shared" si="3"/>
        <v>1052</v>
      </c>
      <c r="B1057" s="55"/>
      <c r="C1057" s="41">
        <v>46036.0</v>
      </c>
      <c r="D1057" s="42" t="s">
        <v>736</v>
      </c>
      <c r="E1057" s="42" t="s">
        <v>154</v>
      </c>
      <c r="F1057" s="42" t="str">
        <f>+IFERROR(VLOOKUP(E1057,'DANH MỤC'!$C:$H,2,0),"")</f>
        <v>Ivory Ningbo</v>
      </c>
      <c r="G1057" s="42" t="str">
        <f>+IFERROR(VLOOKUP(E1057,'DANH MỤC'!$C:$H,6,0),"")</f>
        <v>Kg</v>
      </c>
      <c r="H1057" s="42">
        <f>+IFERROR(VLOOKUP(E1057,'DANH MỤC'!$C:$H,3,0),"")</f>
        <v>210</v>
      </c>
      <c r="I1057" s="42">
        <f>+IFERROR(VLOOKUP(E1057,'DANH MỤC'!$C:$H,4,0),"")</f>
        <v>79</v>
      </c>
      <c r="J1057" s="42" t="str">
        <f>+IFERROR(VLOOKUP(E1057,'DANH MỤC'!$C:$H,5,0),"")</f>
        <v/>
      </c>
      <c r="K1057" s="53"/>
      <c r="L1057" s="58">
        <v>65.0</v>
      </c>
      <c r="M1057" s="55"/>
      <c r="N1057" s="55"/>
    </row>
    <row r="1058" ht="15.75" customHeight="1">
      <c r="A1058" s="53">
        <f t="shared" si="3"/>
        <v>1053</v>
      </c>
      <c r="B1058" s="55"/>
      <c r="C1058" s="41">
        <v>46036.0</v>
      </c>
      <c r="D1058" s="42" t="s">
        <v>736</v>
      </c>
      <c r="E1058" s="42" t="s">
        <v>60</v>
      </c>
      <c r="F1058" s="42" t="str">
        <f>+IFERROR(VLOOKUP(E1058,'DANH MỤC'!$C:$H,2,0),"")</f>
        <v>Ivory Ningbo</v>
      </c>
      <c r="G1058" s="42" t="str">
        <f>+IFERROR(VLOOKUP(E1058,'DANH MỤC'!$C:$H,6,0),"")</f>
        <v>Kg</v>
      </c>
      <c r="H1058" s="42">
        <f>+IFERROR(VLOOKUP(E1058,'DANH MỤC'!$C:$H,3,0),"")</f>
        <v>210</v>
      </c>
      <c r="I1058" s="42">
        <f>+IFERROR(VLOOKUP(E1058,'DANH MỤC'!$C:$H,4,0),"")</f>
        <v>86</v>
      </c>
      <c r="J1058" s="42" t="str">
        <f>+IFERROR(VLOOKUP(E1058,'DANH MỤC'!$C:$H,5,0),"")</f>
        <v/>
      </c>
      <c r="K1058" s="53"/>
      <c r="L1058" s="58">
        <v>71.0</v>
      </c>
      <c r="M1058" s="55"/>
      <c r="N1058" s="55"/>
    </row>
    <row r="1059" ht="15.75" customHeight="1">
      <c r="A1059" s="53">
        <f t="shared" si="3"/>
        <v>1054</v>
      </c>
      <c r="B1059" s="55"/>
      <c r="C1059" s="41">
        <v>46036.0</v>
      </c>
      <c r="D1059" s="42" t="s">
        <v>736</v>
      </c>
      <c r="E1059" s="42" t="s">
        <v>67</v>
      </c>
      <c r="F1059" s="42" t="str">
        <f>+IFERROR(VLOOKUP(E1059,'DANH MỤC'!$C:$H,2,0),"")</f>
        <v>Ivory Ningbo</v>
      </c>
      <c r="G1059" s="42" t="str">
        <f>+IFERROR(VLOOKUP(E1059,'DANH MỤC'!$C:$H,6,0),"")</f>
        <v>Kg</v>
      </c>
      <c r="H1059" s="42">
        <f>+IFERROR(VLOOKUP(E1059,'DANH MỤC'!$C:$H,3,0),"")</f>
        <v>230</v>
      </c>
      <c r="I1059" s="42">
        <f>+IFERROR(VLOOKUP(E1059,'DANH MỤC'!$C:$H,4,0),"")</f>
        <v>79</v>
      </c>
      <c r="J1059" s="42" t="str">
        <f>+IFERROR(VLOOKUP(E1059,'DANH MỤC'!$C:$H,5,0),"")</f>
        <v/>
      </c>
      <c r="K1059" s="53"/>
      <c r="L1059" s="58">
        <v>75.0</v>
      </c>
      <c r="M1059" s="55"/>
      <c r="N1059" s="55"/>
    </row>
    <row r="1060" ht="15.75" customHeight="1">
      <c r="A1060" s="53">
        <f t="shared" si="3"/>
        <v>1055</v>
      </c>
      <c r="B1060" s="55"/>
      <c r="C1060" s="41">
        <v>46036.0</v>
      </c>
      <c r="D1060" s="42" t="s">
        <v>736</v>
      </c>
      <c r="E1060" s="42" t="s">
        <v>148</v>
      </c>
      <c r="F1060" s="42" t="str">
        <f>+IFERROR(VLOOKUP(E1060,'DANH MỤC'!$C:$H,2,0),"")</f>
        <v>Ivory Ningbo</v>
      </c>
      <c r="G1060" s="42" t="str">
        <f>+IFERROR(VLOOKUP(E1060,'DANH MỤC'!$C:$H,6,0),"")</f>
        <v>Kg</v>
      </c>
      <c r="H1060" s="42">
        <f>+IFERROR(VLOOKUP(E1060,'DANH MỤC'!$C:$H,3,0),"")</f>
        <v>250</v>
      </c>
      <c r="I1060" s="42">
        <f>+IFERROR(VLOOKUP(E1060,'DANH MỤC'!$C:$H,4,0),"")</f>
        <v>100</v>
      </c>
      <c r="J1060" s="42" t="str">
        <f>+IFERROR(VLOOKUP(E1060,'DANH MỤC'!$C:$H,5,0),"")</f>
        <v/>
      </c>
      <c r="K1060" s="53"/>
      <c r="L1060" s="58">
        <v>83.0</v>
      </c>
      <c r="M1060" s="55"/>
      <c r="N1060" s="55"/>
    </row>
    <row r="1061" ht="15.75" customHeight="1">
      <c r="A1061" s="53">
        <f t="shared" si="3"/>
        <v>1056</v>
      </c>
      <c r="B1061" s="55"/>
      <c r="C1061" s="41">
        <v>46036.0</v>
      </c>
      <c r="D1061" s="42" t="s">
        <v>736</v>
      </c>
      <c r="E1061" s="42" t="s">
        <v>88</v>
      </c>
      <c r="F1061" s="42" t="str">
        <f>+IFERROR(VLOOKUP(E1061,'DANH MỤC'!$C:$H,2,0),"")</f>
        <v>Ivory Ningbo</v>
      </c>
      <c r="G1061" s="42" t="str">
        <f>+IFERROR(VLOOKUP(E1061,'DANH MỤC'!$C:$H,6,0),"")</f>
        <v>Kg</v>
      </c>
      <c r="H1061" s="42">
        <f>+IFERROR(VLOOKUP(E1061,'DANH MỤC'!$C:$H,3,0),"")</f>
        <v>250</v>
      </c>
      <c r="I1061" s="42">
        <f>+IFERROR(VLOOKUP(E1061,'DANH MỤC'!$C:$H,4,0),"")</f>
        <v>109</v>
      </c>
      <c r="J1061" s="42" t="str">
        <f>+IFERROR(VLOOKUP(E1061,'DANH MỤC'!$C:$H,5,0),"")</f>
        <v/>
      </c>
      <c r="K1061" s="53"/>
      <c r="L1061" s="58">
        <v>140.0</v>
      </c>
      <c r="M1061" s="55"/>
      <c r="N1061" s="55"/>
    </row>
    <row r="1062" ht="15.75" customHeight="1">
      <c r="A1062" s="53">
        <f t="shared" si="3"/>
        <v>1057</v>
      </c>
      <c r="B1062" s="55"/>
      <c r="C1062" s="41">
        <v>46036.0</v>
      </c>
      <c r="D1062" s="42" t="s">
        <v>736</v>
      </c>
      <c r="E1062" s="42" t="s">
        <v>91</v>
      </c>
      <c r="F1062" s="42" t="str">
        <f>+IFERROR(VLOOKUP(E1062,'DANH MỤC'!$C:$H,2,0),"")</f>
        <v>Ivory IPSUN</v>
      </c>
      <c r="G1062" s="42" t="str">
        <f>+IFERROR(VLOOKUP(E1062,'DANH MỤC'!$C:$H,6,0),"")</f>
        <v>Kg</v>
      </c>
      <c r="H1062" s="42">
        <f>+IFERROR(VLOOKUP(E1062,'DANH MỤC'!$C:$H,3,0),"")</f>
        <v>250</v>
      </c>
      <c r="I1062" s="42">
        <f>+IFERROR(VLOOKUP(E1062,'DANH MỤC'!$C:$H,4,0),"")</f>
        <v>109</v>
      </c>
      <c r="J1062" s="42" t="str">
        <f>+IFERROR(VLOOKUP(E1062,'DANH MỤC'!$C:$H,5,0),"")</f>
        <v/>
      </c>
      <c r="K1062" s="53"/>
      <c r="L1062" s="58">
        <f>74+60</f>
        <v>134</v>
      </c>
      <c r="M1062" s="55"/>
      <c r="N1062" s="55"/>
    </row>
    <row r="1063" ht="15.75" customHeight="1">
      <c r="A1063" s="53">
        <f t="shared" si="3"/>
        <v>1058</v>
      </c>
      <c r="B1063" s="55"/>
      <c r="C1063" s="41">
        <v>46036.0</v>
      </c>
      <c r="D1063" s="42" t="s">
        <v>737</v>
      </c>
      <c r="E1063" s="42" t="s">
        <v>92</v>
      </c>
      <c r="F1063" s="42" t="str">
        <f>+IFERROR(VLOOKUP(E1063,'DANH MỤC'!$C:$H,2,0),"")</f>
        <v>Ivory Ningbo</v>
      </c>
      <c r="G1063" s="42" t="str">
        <f>+IFERROR(VLOOKUP(E1063,'DANH MỤC'!$C:$H,6,0),"")</f>
        <v>Kg</v>
      </c>
      <c r="H1063" s="42">
        <f>+IFERROR(VLOOKUP(E1063,'DANH MỤC'!$C:$H,3,0),"")</f>
        <v>250</v>
      </c>
      <c r="I1063" s="42">
        <f>+IFERROR(VLOOKUP(E1063,'DANH MỤC'!$C:$H,4,0),"")</f>
        <v>65</v>
      </c>
      <c r="J1063" s="42" t="str">
        <f>+IFERROR(VLOOKUP(E1063,'DANH MỤC'!$C:$H,5,0),"")</f>
        <v/>
      </c>
      <c r="K1063" s="53"/>
      <c r="L1063" s="58">
        <v>110.0</v>
      </c>
      <c r="M1063" s="55" t="s">
        <v>738</v>
      </c>
      <c r="N1063" s="55"/>
    </row>
    <row r="1064" ht="15.75" customHeight="1">
      <c r="A1064" s="53">
        <f t="shared" si="3"/>
        <v>1059</v>
      </c>
      <c r="B1064" s="55"/>
      <c r="C1064" s="41">
        <v>46036.0</v>
      </c>
      <c r="D1064" s="42" t="s">
        <v>737</v>
      </c>
      <c r="E1064" s="42" t="s">
        <v>87</v>
      </c>
      <c r="F1064" s="42" t="str">
        <f>+IFERROR(VLOOKUP(E1064,'DANH MỤC'!$C:$H,2,0),"")</f>
        <v>Ivory IPSUN</v>
      </c>
      <c r="G1064" s="42" t="str">
        <f>+IFERROR(VLOOKUP(E1064,'DANH MỤC'!$C:$H,6,0),"")</f>
        <v>Kg</v>
      </c>
      <c r="H1064" s="42">
        <f>+IFERROR(VLOOKUP(E1064,'DANH MỤC'!$C:$H,3,0),"")</f>
        <v>250</v>
      </c>
      <c r="I1064" s="42">
        <f>+IFERROR(VLOOKUP(E1064,'DANH MỤC'!$C:$H,4,0),"")</f>
        <v>84</v>
      </c>
      <c r="J1064" s="42" t="str">
        <f>+IFERROR(VLOOKUP(E1064,'DANH MỤC'!$C:$H,5,0),"")</f>
        <v/>
      </c>
      <c r="K1064" s="53"/>
      <c r="L1064" s="58">
        <f>21+30</f>
        <v>51</v>
      </c>
      <c r="M1064" s="55" t="s">
        <v>739</v>
      </c>
      <c r="N1064" s="55"/>
    </row>
    <row r="1065" ht="15.75" customHeight="1">
      <c r="A1065" s="53">
        <f t="shared" si="3"/>
        <v>1060</v>
      </c>
      <c r="B1065" s="55"/>
      <c r="C1065" s="41">
        <v>46036.0</v>
      </c>
      <c r="D1065" s="42" t="s">
        <v>740</v>
      </c>
      <c r="E1065" s="42" t="s">
        <v>260</v>
      </c>
      <c r="F1065" s="42" t="str">
        <f>+IFERROR(VLOOKUP(E1065,'DANH MỤC'!$C:$H,2,0),"")</f>
        <v>Giấy lót đóng gói</v>
      </c>
      <c r="G1065" s="42" t="str">
        <f>+IFERROR(VLOOKUP(E1065,'DANH MỤC'!$C:$H,6,0),"")</f>
        <v>Kg</v>
      </c>
      <c r="H1065" s="42" t="str">
        <f>+IFERROR(VLOOKUP(E1065,'DANH MỤC'!$C:$H,3,0),"")</f>
        <v/>
      </c>
      <c r="I1065" s="42" t="str">
        <f>+IFERROR(VLOOKUP(E1065,'DANH MỤC'!$C:$H,4,0),"")</f>
        <v/>
      </c>
      <c r="J1065" s="42" t="str">
        <f>+IFERROR(VLOOKUP(E1065,'DANH MỤC'!$C:$H,5,0),"")</f>
        <v/>
      </c>
      <c r="K1065" s="58">
        <v>829.55</v>
      </c>
      <c r="L1065" s="58"/>
      <c r="M1065" s="55" t="s">
        <v>741</v>
      </c>
      <c r="N1065" s="55"/>
    </row>
    <row r="1066" ht="15.75" customHeight="1">
      <c r="A1066" s="53">
        <f t="shared" si="3"/>
        <v>1061</v>
      </c>
      <c r="B1066" s="55"/>
      <c r="C1066" s="41">
        <v>46036.0</v>
      </c>
      <c r="D1066" s="42" t="s">
        <v>740</v>
      </c>
      <c r="E1066" s="42" t="s">
        <v>260</v>
      </c>
      <c r="F1066" s="42" t="str">
        <f>+IFERROR(VLOOKUP(E1066,'DANH MỤC'!$C:$H,2,0),"")</f>
        <v>Giấy lót đóng gói</v>
      </c>
      <c r="G1066" s="42" t="str">
        <f>+IFERROR(VLOOKUP(E1066,'DANH MỤC'!$C:$H,6,0),"")</f>
        <v>Kg</v>
      </c>
      <c r="H1066" s="42" t="str">
        <f>+IFERROR(VLOOKUP(E1066,'DANH MỤC'!$C:$H,3,0),"")</f>
        <v/>
      </c>
      <c r="I1066" s="42" t="str">
        <f>+IFERROR(VLOOKUP(E1066,'DANH MỤC'!$C:$H,4,0),"")</f>
        <v/>
      </c>
      <c r="J1066" s="42" t="str">
        <f>+IFERROR(VLOOKUP(E1066,'DANH MỤC'!$C:$H,5,0),"")</f>
        <v/>
      </c>
      <c r="K1066" s="53">
        <f>110+51</f>
        <v>161</v>
      </c>
      <c r="L1066" s="58"/>
      <c r="M1066" s="55" t="s">
        <v>742</v>
      </c>
      <c r="N1066" s="55"/>
    </row>
    <row r="1067" ht="15.75" customHeight="1">
      <c r="A1067" s="117">
        <f t="shared" si="3"/>
        <v>1062</v>
      </c>
      <c r="B1067" s="118"/>
      <c r="C1067" s="119">
        <v>46042.0</v>
      </c>
      <c r="D1067" s="120" t="s">
        <v>130</v>
      </c>
      <c r="E1067" s="120" t="s">
        <v>123</v>
      </c>
      <c r="F1067" s="120" t="str">
        <f>+IFERROR(VLOOKUP(E1067,'DANH MỤC'!$C:$H,2,0),"")</f>
        <v>Lưỡi gà trắng 90mm x 800m x 250gsm</v>
      </c>
      <c r="G1067" s="120" t="str">
        <f>+IFERROR(VLOOKUP(E1067,'DANH MỤC'!$C:$H,6,0),"")</f>
        <v>Cuộn</v>
      </c>
      <c r="H1067" s="120">
        <f>+IFERROR(VLOOKUP(E1067,'DANH MỤC'!$C:$H,3,0),"")</f>
        <v>250</v>
      </c>
      <c r="I1067" s="120">
        <f>+IFERROR(VLOOKUP(E1067,'DANH MỤC'!$C:$H,4,0),"")</f>
        <v>90</v>
      </c>
      <c r="J1067" s="120">
        <f>+IFERROR(VLOOKUP(E1067,'DANH MỤC'!$C:$H,5,0),"")</f>
        <v>800</v>
      </c>
      <c r="K1067" s="117"/>
      <c r="L1067" s="117">
        <f>8*52</f>
        <v>416</v>
      </c>
      <c r="M1067" s="118" t="s">
        <v>743</v>
      </c>
      <c r="N1067" s="118"/>
    </row>
    <row r="1068" ht="15.75" customHeight="1">
      <c r="A1068" s="117">
        <f t="shared" si="3"/>
        <v>1063</v>
      </c>
      <c r="B1068" s="118"/>
      <c r="C1068" s="119">
        <v>46042.0</v>
      </c>
      <c r="D1068" s="120" t="s">
        <v>130</v>
      </c>
      <c r="E1068" s="120" t="s">
        <v>104</v>
      </c>
      <c r="F1068" s="120" t="str">
        <f>+IFERROR(VLOOKUP(E1068,'DANH MỤC'!$C:$H,2,0),"")</f>
        <v>Lưỡi gà trắng 95mm x 800m x 210gsm</v>
      </c>
      <c r="G1068" s="120" t="str">
        <f>+IFERROR(VLOOKUP(E1068,'DANH MỤC'!$C:$H,6,0),"")</f>
        <v>Cuộn</v>
      </c>
      <c r="H1068" s="120">
        <f>+IFERROR(VLOOKUP(E1068,'DANH MỤC'!$C:$H,3,0),"")</f>
        <v>210</v>
      </c>
      <c r="I1068" s="120">
        <f>+IFERROR(VLOOKUP(E1068,'DANH MỤC'!$C:$H,4,0),"")</f>
        <v>95</v>
      </c>
      <c r="J1068" s="120">
        <f>+IFERROR(VLOOKUP(E1068,'DANH MỤC'!$C:$H,5,0),"")</f>
        <v>800</v>
      </c>
      <c r="K1068" s="117"/>
      <c r="L1068" s="117">
        <f>2*52</f>
        <v>104</v>
      </c>
      <c r="M1068" s="118"/>
      <c r="N1068" s="118"/>
    </row>
    <row r="1069" ht="15.75" customHeight="1">
      <c r="A1069" s="117">
        <f t="shared" si="3"/>
        <v>1064</v>
      </c>
      <c r="B1069" s="118"/>
      <c r="C1069" s="119">
        <v>46042.0</v>
      </c>
      <c r="D1069" s="120" t="s">
        <v>215</v>
      </c>
      <c r="E1069" s="120" t="s">
        <v>113</v>
      </c>
      <c r="F1069" s="120" t="str">
        <f>+IFERROR(VLOOKUP(E1069,'DANH MỤC'!$C:$H,2,0),"")</f>
        <v>Lưỡi gà trắng 95mm x 800m x 230gsm</v>
      </c>
      <c r="G1069" s="120" t="str">
        <f>+IFERROR(VLOOKUP(E1069,'DANH MỤC'!$C:$H,6,0),"")</f>
        <v>Cuộn</v>
      </c>
      <c r="H1069" s="120">
        <f>+IFERROR(VLOOKUP(E1069,'DANH MỤC'!$C:$H,3,0),"")</f>
        <v>230</v>
      </c>
      <c r="I1069" s="120">
        <f>+IFERROR(VLOOKUP(E1069,'DANH MỤC'!$C:$H,4,0),"")</f>
        <v>95</v>
      </c>
      <c r="J1069" s="120">
        <f>+IFERROR(VLOOKUP(E1069,'DANH MỤC'!$C:$H,5,0),"")</f>
        <v>800</v>
      </c>
      <c r="K1069" s="117"/>
      <c r="L1069" s="458">
        <f>5*60</f>
        <v>300</v>
      </c>
      <c r="M1069" s="118"/>
      <c r="N1069" s="118"/>
    </row>
    <row r="1070" ht="15.75" customHeight="1">
      <c r="A1070" s="117">
        <f t="shared" si="3"/>
        <v>1065</v>
      </c>
      <c r="B1070" s="118"/>
      <c r="C1070" s="119">
        <v>46042.0</v>
      </c>
      <c r="D1070" s="120" t="s">
        <v>146</v>
      </c>
      <c r="E1070" s="120" t="s">
        <v>81</v>
      </c>
      <c r="F1070" s="120" t="str">
        <f>+IFERROR(VLOOKUP(E1070,'DANH MỤC'!$C:$H,2,0),"")</f>
        <v>Lưỡi gà trắng 71mm x 800m x 210gsm</v>
      </c>
      <c r="G1070" s="120" t="str">
        <f>+IFERROR(VLOOKUP(E1070,'DANH MỤC'!$C:$H,6,0),"")</f>
        <v>Cuộn</v>
      </c>
      <c r="H1070" s="120">
        <f>+IFERROR(VLOOKUP(E1070,'DANH MỤC'!$C:$H,3,0),"")</f>
        <v>210</v>
      </c>
      <c r="I1070" s="120">
        <f>+IFERROR(VLOOKUP(E1070,'DANH MỤC'!$C:$H,4,0),"")</f>
        <v>71</v>
      </c>
      <c r="J1070" s="120">
        <f>+IFERROR(VLOOKUP(E1070,'DANH MỤC'!$C:$H,5,0),"")</f>
        <v>800</v>
      </c>
      <c r="K1070" s="117"/>
      <c r="L1070" s="121">
        <f>4*60</f>
        <v>240</v>
      </c>
      <c r="M1070" s="118"/>
      <c r="N1070" s="118"/>
    </row>
    <row r="1071" ht="15.75" customHeight="1">
      <c r="A1071" s="117">
        <f t="shared" si="3"/>
        <v>1066</v>
      </c>
      <c r="B1071" s="118"/>
      <c r="C1071" s="119">
        <v>46042.0</v>
      </c>
      <c r="D1071" s="120" t="s">
        <v>146</v>
      </c>
      <c r="E1071" s="120" t="s">
        <v>104</v>
      </c>
      <c r="F1071" s="120" t="str">
        <f>+IFERROR(VLOOKUP(E1071,'DANH MỤC'!$C:$H,2,0),"")</f>
        <v>Lưỡi gà trắng 95mm x 800m x 210gsm</v>
      </c>
      <c r="G1071" s="120" t="str">
        <f>+IFERROR(VLOOKUP(E1071,'DANH MỤC'!$C:$H,6,0),"")</f>
        <v>Cuộn</v>
      </c>
      <c r="H1071" s="120">
        <f>+IFERROR(VLOOKUP(E1071,'DANH MỤC'!$C:$H,3,0),"")</f>
        <v>210</v>
      </c>
      <c r="I1071" s="120">
        <f>+IFERROR(VLOOKUP(E1071,'DANH MỤC'!$C:$H,4,0),"")</f>
        <v>95</v>
      </c>
      <c r="J1071" s="120">
        <f>+IFERROR(VLOOKUP(E1071,'DANH MỤC'!$C:$H,5,0),"")</f>
        <v>800</v>
      </c>
      <c r="K1071" s="117"/>
      <c r="L1071" s="121">
        <f>2*60</f>
        <v>120</v>
      </c>
      <c r="M1071" s="118"/>
      <c r="N1071" s="118"/>
    </row>
    <row r="1072" ht="15.75" customHeight="1">
      <c r="A1072" s="53">
        <f t="shared" si="3"/>
        <v>1067</v>
      </c>
      <c r="B1072" s="55" t="s">
        <v>402</v>
      </c>
      <c r="C1072" s="41">
        <v>46044.0</v>
      </c>
      <c r="D1072" s="42" t="s">
        <v>744</v>
      </c>
      <c r="E1072" s="42" t="s">
        <v>88</v>
      </c>
      <c r="F1072" s="42" t="str">
        <f>+IFERROR(VLOOKUP(E1072,'DANH MỤC'!$C:$H,2,0),"")</f>
        <v>Ivory Ningbo</v>
      </c>
      <c r="G1072" s="42" t="str">
        <f>+IFERROR(VLOOKUP(E1072,'DANH MỤC'!$C:$H,6,0),"")</f>
        <v>Kg</v>
      </c>
      <c r="H1072" s="42">
        <f>+IFERROR(VLOOKUP(E1072,'DANH MỤC'!$C:$H,3,0),"")</f>
        <v>250</v>
      </c>
      <c r="I1072" s="42">
        <f>+IFERROR(VLOOKUP(E1072,'DANH MỤC'!$C:$H,4,0),"")</f>
        <v>109</v>
      </c>
      <c r="J1072" s="42" t="str">
        <f>+IFERROR(VLOOKUP(E1072,'DANH MỤC'!$C:$H,5,0),"")</f>
        <v/>
      </c>
      <c r="K1072" s="53"/>
      <c r="L1072" s="58">
        <f>480+30+29*981</f>
        <v>28959</v>
      </c>
      <c r="M1072" s="55"/>
      <c r="N1072" s="55"/>
    </row>
    <row r="1073" ht="15.75" customHeight="1">
      <c r="A1073" s="53">
        <f t="shared" si="3"/>
        <v>1068</v>
      </c>
      <c r="B1073" s="55" t="s">
        <v>402</v>
      </c>
      <c r="C1073" s="41">
        <v>46044.0</v>
      </c>
      <c r="D1073" s="42" t="s">
        <v>745</v>
      </c>
      <c r="E1073" s="42" t="s">
        <v>183</v>
      </c>
      <c r="F1073" s="42" t="str">
        <f>+IFERROR(VLOOKUP(E1073,'DANH MỤC'!$C:$H,2,0),"")</f>
        <v>Ống lõi giấy phi 120x7x90mm</v>
      </c>
      <c r="G1073" s="42" t="str">
        <f>+IFERROR(VLOOKUP(E1073,'DANH MỤC'!$C:$H,6,0),"")</f>
        <v>Cái</v>
      </c>
      <c r="H1073" s="42">
        <f>+IFERROR(VLOOKUP(E1073,'DANH MỤC'!$C:$H,3,0),"")</f>
        <v>120</v>
      </c>
      <c r="I1073" s="42">
        <f>+IFERROR(VLOOKUP(E1073,'DANH MỤC'!$C:$H,4,0),"")</f>
        <v>70</v>
      </c>
      <c r="J1073" s="42">
        <f>+IFERROR(VLOOKUP(E1073,'DANH MỤC'!$C:$H,5,0),"")</f>
        <v>90</v>
      </c>
      <c r="K1073" s="53"/>
      <c r="L1073" s="58">
        <v>1600.0</v>
      </c>
      <c r="M1073" s="55"/>
      <c r="N1073" s="55"/>
    </row>
    <row r="1074" ht="15.75" customHeight="1">
      <c r="A1074" s="53">
        <f t="shared" si="3"/>
        <v>1069</v>
      </c>
      <c r="B1074" s="55" t="s">
        <v>402</v>
      </c>
      <c r="C1074" s="41">
        <v>46044.0</v>
      </c>
      <c r="D1074" s="42" t="s">
        <v>745</v>
      </c>
      <c r="E1074" s="42" t="s">
        <v>107</v>
      </c>
      <c r="F1074" s="42" t="str">
        <f>+IFERROR(VLOOKUP(E1074,'DANH MỤC'!$C:$H,2,0),"")</f>
        <v>Pallet gỗ 1200x1200x130mm</v>
      </c>
      <c r="G1074" s="42" t="str">
        <f>+IFERROR(VLOOKUP(E1074,'DANH MỤC'!$C:$H,6,0),"")</f>
        <v>Bộ</v>
      </c>
      <c r="H1074" s="42">
        <f>+IFERROR(VLOOKUP(E1074,'DANH MỤC'!$C:$H,3,0),"")</f>
        <v>1200</v>
      </c>
      <c r="I1074" s="42">
        <f>+IFERROR(VLOOKUP(E1074,'DANH MỤC'!$C:$H,4,0),"")</f>
        <v>1200</v>
      </c>
      <c r="J1074" s="42">
        <f>+IFERROR(VLOOKUP(E1074,'DANH MỤC'!$C:$H,5,0),"")</f>
        <v>130</v>
      </c>
      <c r="K1074" s="53"/>
      <c r="L1074" s="58">
        <v>30.0</v>
      </c>
      <c r="M1074" s="55"/>
      <c r="N1074" s="55"/>
    </row>
    <row r="1075" ht="15.75" customHeight="1">
      <c r="A1075" s="53">
        <f t="shared" si="3"/>
        <v>1070</v>
      </c>
      <c r="B1075" s="55" t="s">
        <v>402</v>
      </c>
      <c r="C1075" s="41">
        <v>46044.0</v>
      </c>
      <c r="D1075" s="42" t="s">
        <v>745</v>
      </c>
      <c r="E1075" s="42" t="s">
        <v>96</v>
      </c>
      <c r="F1075" s="42" t="str">
        <f>+IFERROR(VLOOKUP(E1075,'DANH MỤC'!$C:$H,2,0),"")</f>
        <v>Giấy bao gói lưỡi gà</v>
      </c>
      <c r="G1075" s="42" t="str">
        <f>+IFERROR(VLOOKUP(E1075,'DANH MỤC'!$C:$H,6,0),"")</f>
        <v>Kg</v>
      </c>
      <c r="H1075" s="42" t="str">
        <f>+IFERROR(VLOOKUP(E1075,'DANH MỤC'!$C:$H,3,0),"")</f>
        <v/>
      </c>
      <c r="I1075" s="42" t="str">
        <f>+IFERROR(VLOOKUP(E1075,'DANH MỤC'!$C:$H,4,0),"")</f>
        <v/>
      </c>
      <c r="J1075" s="42" t="str">
        <f>+IFERROR(VLOOKUP(E1075,'DANH MỤC'!$C:$H,5,0),"")</f>
        <v/>
      </c>
      <c r="K1075" s="53"/>
      <c r="L1075" s="58">
        <v>21.65</v>
      </c>
      <c r="M1075" s="55"/>
      <c r="N1075" s="55"/>
    </row>
    <row r="1076" ht="15.75" customHeight="1">
      <c r="A1076" s="53">
        <f t="shared" si="3"/>
        <v>1071</v>
      </c>
      <c r="B1076" s="55" t="s">
        <v>402</v>
      </c>
      <c r="C1076" s="41">
        <v>46044.0</v>
      </c>
      <c r="D1076" s="42" t="s">
        <v>745</v>
      </c>
      <c r="E1076" s="42" t="s">
        <v>112</v>
      </c>
      <c r="F1076" s="42" t="str">
        <f>+IFERROR(VLOOKUP(E1076,'DANH MỤC'!$C:$H,2,0),"")</f>
        <v>Dây đai PET xanh (B)</v>
      </c>
      <c r="G1076" s="42" t="str">
        <f>+IFERROR(VLOOKUP(E1076,'DANH MỤC'!$C:$H,6,0),"")</f>
        <v>Kg</v>
      </c>
      <c r="H1076" s="42" t="str">
        <f>+IFERROR(VLOOKUP(E1076,'DANH MỤC'!$C:$H,3,0),"")</f>
        <v/>
      </c>
      <c r="I1076" s="42" t="str">
        <f>+IFERROR(VLOOKUP(E1076,'DANH MỤC'!$C:$H,4,0),"")</f>
        <v/>
      </c>
      <c r="J1076" s="42" t="str">
        <f>+IFERROR(VLOOKUP(E1076,'DANH MỤC'!$C:$H,5,0),"")</f>
        <v/>
      </c>
      <c r="K1076" s="53"/>
      <c r="L1076" s="58">
        <v>15.0</v>
      </c>
      <c r="M1076" s="55"/>
      <c r="N1076" s="55"/>
    </row>
    <row r="1077" ht="15.75" customHeight="1">
      <c r="A1077" s="53">
        <f t="shared" si="3"/>
        <v>1072</v>
      </c>
      <c r="B1077" s="55" t="s">
        <v>402</v>
      </c>
      <c r="C1077" s="41">
        <v>46044.0</v>
      </c>
      <c r="D1077" s="42" t="s">
        <v>745</v>
      </c>
      <c r="E1077" s="42" t="s">
        <v>115</v>
      </c>
      <c r="F1077" s="42" t="str">
        <f>+IFERROR(VLOOKUP(E1077,'DANH MỤC'!$C:$H,2,0),"")</f>
        <v>Màng Strecth Film 5.0-0.6kg</v>
      </c>
      <c r="G1077" s="42" t="str">
        <f>+IFERROR(VLOOKUP(E1077,'DANH MỤC'!$C:$H,6,0),"")</f>
        <v>Kg</v>
      </c>
      <c r="H1077" s="42" t="str">
        <f>+IFERROR(VLOOKUP(E1077,'DANH MỤC'!$C:$H,3,0),"")</f>
        <v/>
      </c>
      <c r="I1077" s="42" t="str">
        <f>+IFERROR(VLOOKUP(E1077,'DANH MỤC'!$C:$H,4,0),"")</f>
        <v/>
      </c>
      <c r="J1077" s="42" t="str">
        <f>+IFERROR(VLOOKUP(E1077,'DANH MỤC'!$C:$H,5,0),"")</f>
        <v/>
      </c>
      <c r="K1077" s="53"/>
      <c r="L1077" s="58">
        <v>18.0</v>
      </c>
      <c r="M1077" s="55"/>
      <c r="N1077" s="55"/>
    </row>
    <row r="1078" ht="15.75" customHeight="1">
      <c r="A1078" s="53">
        <f t="shared" si="3"/>
        <v>1073</v>
      </c>
      <c r="B1078" s="55" t="s">
        <v>402</v>
      </c>
      <c r="C1078" s="41">
        <v>46044.0</v>
      </c>
      <c r="D1078" s="42" t="s">
        <v>746</v>
      </c>
      <c r="E1078" s="42" t="s">
        <v>123</v>
      </c>
      <c r="F1078" s="42" t="str">
        <f>+IFERROR(VLOOKUP(E1078,'DANH MỤC'!$C:$H,2,0),"")</f>
        <v>Lưỡi gà trắng 90mm x 800m x 250gsm</v>
      </c>
      <c r="G1078" s="42" t="str">
        <f>+IFERROR(VLOOKUP(E1078,'DANH MỤC'!$C:$H,6,0),"")</f>
        <v>Cuộn</v>
      </c>
      <c r="H1078" s="42">
        <f>+IFERROR(VLOOKUP(E1078,'DANH MỤC'!$C:$H,3,0),"")</f>
        <v>250</v>
      </c>
      <c r="I1078" s="42">
        <f>+IFERROR(VLOOKUP(E1078,'DANH MỤC'!$C:$H,4,0),"")</f>
        <v>90</v>
      </c>
      <c r="J1078" s="42">
        <f>+IFERROR(VLOOKUP(E1078,'DANH MỤC'!$C:$H,5,0),"")</f>
        <v>800</v>
      </c>
      <c r="K1078" s="53">
        <v>1581.0</v>
      </c>
      <c r="L1078" s="58"/>
      <c r="M1078" s="55"/>
      <c r="N1078" s="55"/>
    </row>
    <row r="1079" ht="15.75" customHeight="1">
      <c r="A1079" s="117">
        <f t="shared" si="3"/>
        <v>1074</v>
      </c>
      <c r="B1079" s="118"/>
      <c r="C1079" s="119">
        <v>46044.0</v>
      </c>
      <c r="D1079" s="120" t="s">
        <v>146</v>
      </c>
      <c r="E1079" s="120" t="s">
        <v>81</v>
      </c>
      <c r="F1079" s="120" t="str">
        <f>+IFERROR(VLOOKUP(E1079,'DANH MỤC'!$C:$H,2,0),"")</f>
        <v>Lưỡi gà trắng 71mm x 800m x 210gsm</v>
      </c>
      <c r="G1079" s="120" t="str">
        <f>+IFERROR(VLOOKUP(E1079,'DANH MỤC'!$C:$H,6,0),"")</f>
        <v>Cuộn</v>
      </c>
      <c r="H1079" s="120">
        <f>+IFERROR(VLOOKUP(E1079,'DANH MỤC'!$C:$H,3,0),"")</f>
        <v>210</v>
      </c>
      <c r="I1079" s="120">
        <f>+IFERROR(VLOOKUP(E1079,'DANH MỤC'!$C:$H,4,0),"")</f>
        <v>71</v>
      </c>
      <c r="J1079" s="120">
        <f>+IFERROR(VLOOKUP(E1079,'DANH MỤC'!$C:$H,5,0),"")</f>
        <v>800</v>
      </c>
      <c r="K1079" s="117"/>
      <c r="L1079" s="121">
        <f>11*60</f>
        <v>660</v>
      </c>
      <c r="M1079" s="118" t="s">
        <v>304</v>
      </c>
      <c r="N1079" s="118"/>
    </row>
    <row r="1080" ht="15.75" customHeight="1">
      <c r="A1080" s="53">
        <f t="shared" si="3"/>
        <v>1075</v>
      </c>
      <c r="B1080" s="55"/>
      <c r="C1080" s="41">
        <v>46051.0</v>
      </c>
      <c r="D1080" s="42" t="s">
        <v>95</v>
      </c>
      <c r="E1080" s="42" t="s">
        <v>182</v>
      </c>
      <c r="F1080" s="42" t="str">
        <f>+IFERROR(VLOOKUP(E1080,'DANH MỤC'!$C:$H,2,0),"")</f>
        <v>Ống lõi giấy phi 120x7x71mm</v>
      </c>
      <c r="G1080" s="42" t="str">
        <f>+IFERROR(VLOOKUP(E1080,'DANH MỤC'!$C:$H,6,0),"")</f>
        <v>Cái</v>
      </c>
      <c r="H1080" s="42">
        <f>+IFERROR(VLOOKUP(E1080,'DANH MỤC'!$C:$H,3,0),"")</f>
        <v>120</v>
      </c>
      <c r="I1080" s="42">
        <f>+IFERROR(VLOOKUP(E1080,'DANH MỤC'!$C:$H,4,0),"")</f>
        <v>70</v>
      </c>
      <c r="J1080" s="42">
        <f>+IFERROR(VLOOKUP(E1080,'DANH MỤC'!$C:$H,5,0),"")</f>
        <v>71</v>
      </c>
      <c r="K1080" s="53">
        <v>5000.0</v>
      </c>
      <c r="L1080" s="58"/>
      <c r="M1080" s="55"/>
      <c r="N1080" s="55"/>
    </row>
    <row r="1081" ht="15.75" customHeight="1">
      <c r="A1081" s="117">
        <f t="shared" si="3"/>
        <v>1076</v>
      </c>
      <c r="B1081" s="118"/>
      <c r="C1081" s="119">
        <v>46052.0</v>
      </c>
      <c r="D1081" s="120" t="s">
        <v>215</v>
      </c>
      <c r="E1081" s="120" t="s">
        <v>113</v>
      </c>
      <c r="F1081" s="120" t="str">
        <f>+IFERROR(VLOOKUP(E1081,'DANH MỤC'!$C:$H,2,0),"")</f>
        <v>Lưỡi gà trắng 95mm x 800m x 230gsm</v>
      </c>
      <c r="G1081" s="120" t="str">
        <f>+IFERROR(VLOOKUP(E1081,'DANH MỤC'!$C:$H,6,0),"")</f>
        <v>Cuộn</v>
      </c>
      <c r="H1081" s="120">
        <f>+IFERROR(VLOOKUP(E1081,'DANH MỤC'!$C:$H,3,0),"")</f>
        <v>230</v>
      </c>
      <c r="I1081" s="120">
        <f>+IFERROR(VLOOKUP(E1081,'DANH MỤC'!$C:$H,4,0),"")</f>
        <v>95</v>
      </c>
      <c r="J1081" s="120">
        <f>+IFERROR(VLOOKUP(E1081,'DANH MỤC'!$C:$H,5,0),"")</f>
        <v>800</v>
      </c>
      <c r="K1081" s="117"/>
      <c r="L1081" s="121">
        <f>5*60</f>
        <v>300</v>
      </c>
      <c r="M1081" s="118" t="s">
        <v>452</v>
      </c>
      <c r="N1081" s="118"/>
    </row>
    <row r="1082" ht="15.75" customHeight="1">
      <c r="A1082" s="53">
        <f t="shared" si="3"/>
        <v>1077</v>
      </c>
      <c r="B1082" s="55"/>
      <c r="C1082" s="41">
        <v>46052.0</v>
      </c>
      <c r="D1082" s="42" t="s">
        <v>95</v>
      </c>
      <c r="E1082" s="42" t="s">
        <v>184</v>
      </c>
      <c r="F1082" s="42" t="str">
        <f>+IFERROR(VLOOKUP(E1082,'DANH MỤC'!$C:$H,2,0),"")</f>
        <v>Ống lõi giấy phi 120x7x95mm</v>
      </c>
      <c r="G1082" s="42" t="str">
        <f>+IFERROR(VLOOKUP(E1082,'DANH MỤC'!$C:$H,6,0),"")</f>
        <v>Cái</v>
      </c>
      <c r="H1082" s="42">
        <f>+IFERROR(VLOOKUP(E1082,'DANH MỤC'!$C:$H,3,0),"")</f>
        <v>120</v>
      </c>
      <c r="I1082" s="42">
        <f>+IFERROR(VLOOKUP(E1082,'DANH MỤC'!$C:$H,4,0),"")</f>
        <v>70</v>
      </c>
      <c r="J1082" s="42">
        <f>+IFERROR(VLOOKUP(E1082,'DANH MỤC'!$C:$H,5,0),"")</f>
        <v>95</v>
      </c>
      <c r="K1082" s="53">
        <v>1500.0</v>
      </c>
      <c r="L1082" s="58"/>
      <c r="M1082" s="55"/>
      <c r="N1082" s="55"/>
    </row>
    <row r="1083" ht="15.75" customHeight="1">
      <c r="A1083" s="53">
        <f t="shared" si="3"/>
        <v>1078</v>
      </c>
      <c r="B1083" s="55" t="s">
        <v>747</v>
      </c>
      <c r="C1083" s="41">
        <v>46053.0</v>
      </c>
      <c r="D1083" s="42" t="s">
        <v>748</v>
      </c>
      <c r="E1083" s="42" t="s">
        <v>223</v>
      </c>
      <c r="F1083" s="42" t="str">
        <f>+IFERROR(VLOOKUP(E1083,'DANH MỤC'!$C:$H,2,0),"")</f>
        <v>Ivory Ningbo</v>
      </c>
      <c r="G1083" s="42" t="str">
        <f>+IFERROR(VLOOKUP(E1083,'DANH MỤC'!$C:$H,6,0),"")</f>
        <v>Kg</v>
      </c>
      <c r="H1083" s="42">
        <f>+IFERROR(VLOOKUP(E1083,'DANH MỤC'!$C:$H,3,0),"")</f>
        <v>230</v>
      </c>
      <c r="I1083" s="42">
        <f>+IFERROR(VLOOKUP(E1083,'DANH MỤC'!$C:$H,4,0),"")</f>
        <v>108</v>
      </c>
      <c r="J1083" s="42" t="str">
        <f>+IFERROR(VLOOKUP(E1083,'DANH MỤC'!$C:$H,5,0),"")</f>
        <v/>
      </c>
      <c r="K1083" s="53"/>
      <c r="L1083" s="58">
        <f>14*969+30-410</f>
        <v>13186</v>
      </c>
      <c r="M1083" s="55"/>
      <c r="N1083" s="55"/>
    </row>
    <row r="1084" ht="15.75" customHeight="1">
      <c r="A1084" s="53">
        <f t="shared" si="3"/>
        <v>1079</v>
      </c>
      <c r="B1084" s="55" t="s">
        <v>747</v>
      </c>
      <c r="C1084" s="41">
        <v>46053.0</v>
      </c>
      <c r="D1084" s="42" t="s">
        <v>749</v>
      </c>
      <c r="E1084" s="42" t="s">
        <v>184</v>
      </c>
      <c r="F1084" s="42" t="str">
        <f>+IFERROR(VLOOKUP(E1084,'DANH MỤC'!$C:$H,2,0),"")</f>
        <v>Ống lõi giấy phi 120x7x95mm</v>
      </c>
      <c r="G1084" s="42" t="str">
        <f>+IFERROR(VLOOKUP(E1084,'DANH MỤC'!$C:$H,6,0),"")</f>
        <v>Cái</v>
      </c>
      <c r="H1084" s="42">
        <f>+IFERROR(VLOOKUP(E1084,'DANH MỤC'!$C:$H,3,0),"")</f>
        <v>120</v>
      </c>
      <c r="I1084" s="42">
        <f>+IFERROR(VLOOKUP(E1084,'DANH MỤC'!$C:$H,4,0),"")</f>
        <v>70</v>
      </c>
      <c r="J1084" s="42">
        <f>+IFERROR(VLOOKUP(E1084,'DANH MỤC'!$C:$H,5,0),"")</f>
        <v>95</v>
      </c>
      <c r="K1084" s="53"/>
      <c r="L1084" s="58">
        <v>735.0</v>
      </c>
      <c r="M1084" s="55"/>
      <c r="N1084" s="55"/>
    </row>
    <row r="1085" ht="15.75" customHeight="1">
      <c r="A1085" s="53">
        <f t="shared" si="3"/>
        <v>1080</v>
      </c>
      <c r="B1085" s="55" t="s">
        <v>747</v>
      </c>
      <c r="C1085" s="41">
        <v>46053.0</v>
      </c>
      <c r="D1085" s="42" t="s">
        <v>749</v>
      </c>
      <c r="E1085" s="42" t="s">
        <v>107</v>
      </c>
      <c r="F1085" s="42" t="str">
        <f>+IFERROR(VLOOKUP(E1085,'DANH MỤC'!$C:$H,2,0),"")</f>
        <v>Pallet gỗ 1200x1200x130mm</v>
      </c>
      <c r="G1085" s="42" t="str">
        <f>+IFERROR(VLOOKUP(E1085,'DANH MỤC'!$C:$H,6,0),"")</f>
        <v>Bộ</v>
      </c>
      <c r="H1085" s="42">
        <f>+IFERROR(VLOOKUP(E1085,'DANH MỤC'!$C:$H,3,0),"")</f>
        <v>1200</v>
      </c>
      <c r="I1085" s="42">
        <f>+IFERROR(VLOOKUP(E1085,'DANH MỤC'!$C:$H,4,0),"")</f>
        <v>1200</v>
      </c>
      <c r="J1085" s="42">
        <f>+IFERROR(VLOOKUP(E1085,'DANH MỤC'!$C:$H,5,0),"")</f>
        <v>130</v>
      </c>
      <c r="K1085" s="53"/>
      <c r="L1085" s="58">
        <v>12.0</v>
      </c>
      <c r="M1085" s="55"/>
      <c r="N1085" s="55"/>
    </row>
    <row r="1086" ht="15.75" customHeight="1">
      <c r="A1086" s="53">
        <f t="shared" si="3"/>
        <v>1081</v>
      </c>
      <c r="B1086" s="55" t="s">
        <v>747</v>
      </c>
      <c r="C1086" s="41">
        <v>46053.0</v>
      </c>
      <c r="D1086" s="42" t="s">
        <v>749</v>
      </c>
      <c r="E1086" s="42" t="s">
        <v>156</v>
      </c>
      <c r="F1086" s="42" t="str">
        <f>+IFERROR(VLOOKUP(E1086,'DANH MỤC'!$C:$H,2,0),"")</f>
        <v>Nẹp gỗ pallet dài 1.15m</v>
      </c>
      <c r="G1086" s="42" t="str">
        <f>+IFERROR(VLOOKUP(E1086,'DANH MỤC'!$C:$H,6,0),"")</f>
        <v>Cái</v>
      </c>
      <c r="H1086" s="42" t="str">
        <f>+IFERROR(VLOOKUP(E1086,'DANH MỤC'!$C:$H,3,0),"")</f>
        <v/>
      </c>
      <c r="I1086" s="42" t="str">
        <f>+IFERROR(VLOOKUP(E1086,'DANH MỤC'!$C:$H,4,0),"")</f>
        <v/>
      </c>
      <c r="J1086" s="42">
        <f>+IFERROR(VLOOKUP(E1086,'DANH MỤC'!$C:$H,5,0),"")</f>
        <v>1150</v>
      </c>
      <c r="K1086" s="53"/>
      <c r="L1086" s="58">
        <v>48.0</v>
      </c>
      <c r="M1086" s="55"/>
      <c r="N1086" s="55"/>
    </row>
    <row r="1087" ht="15.75" customHeight="1">
      <c r="A1087" s="53">
        <f t="shared" si="3"/>
        <v>1082</v>
      </c>
      <c r="B1087" s="55" t="s">
        <v>747</v>
      </c>
      <c r="C1087" s="41">
        <v>46053.0</v>
      </c>
      <c r="D1087" s="42" t="s">
        <v>749</v>
      </c>
      <c r="E1087" s="42" t="s">
        <v>96</v>
      </c>
      <c r="F1087" s="42" t="str">
        <f>+IFERROR(VLOOKUP(E1087,'DANH MỤC'!$C:$H,2,0),"")</f>
        <v>Giấy bao gói lưỡi gà</v>
      </c>
      <c r="G1087" s="42" t="str">
        <f>+IFERROR(VLOOKUP(E1087,'DANH MỤC'!$C:$H,6,0),"")</f>
        <v>Kg</v>
      </c>
      <c r="H1087" s="42" t="str">
        <f>+IFERROR(VLOOKUP(E1087,'DANH MỤC'!$C:$H,3,0),"")</f>
        <v/>
      </c>
      <c r="I1087" s="42" t="str">
        <f>+IFERROR(VLOOKUP(E1087,'DANH MỤC'!$C:$H,4,0),"")</f>
        <v/>
      </c>
      <c r="J1087" s="42" t="str">
        <f>+IFERROR(VLOOKUP(E1087,'DANH MỤC'!$C:$H,5,0),"")</f>
        <v/>
      </c>
      <c r="K1087" s="53"/>
      <c r="L1087" s="58">
        <v>10.49</v>
      </c>
      <c r="M1087" s="55"/>
      <c r="N1087" s="55"/>
    </row>
    <row r="1088" ht="15.75" customHeight="1">
      <c r="A1088" s="53">
        <f t="shared" si="3"/>
        <v>1083</v>
      </c>
      <c r="B1088" s="55" t="s">
        <v>747</v>
      </c>
      <c r="C1088" s="41">
        <v>46053.0</v>
      </c>
      <c r="D1088" s="42" t="s">
        <v>749</v>
      </c>
      <c r="E1088" s="42" t="s">
        <v>112</v>
      </c>
      <c r="F1088" s="42" t="str">
        <f>+IFERROR(VLOOKUP(E1088,'DANH MỤC'!$C:$H,2,0),"")</f>
        <v>Dây đai PET xanh (B)</v>
      </c>
      <c r="G1088" s="42" t="str">
        <f>+IFERROR(VLOOKUP(E1088,'DANH MỤC'!$C:$H,6,0),"")</f>
        <v>Kg</v>
      </c>
      <c r="H1088" s="42" t="str">
        <f>+IFERROR(VLOOKUP(E1088,'DANH MỤC'!$C:$H,3,0),"")</f>
        <v/>
      </c>
      <c r="I1088" s="42" t="str">
        <f>+IFERROR(VLOOKUP(E1088,'DANH MỤC'!$C:$H,4,0),"")</f>
        <v/>
      </c>
      <c r="J1088" s="42" t="str">
        <f>+IFERROR(VLOOKUP(E1088,'DANH MỤC'!$C:$H,5,0),"")</f>
        <v/>
      </c>
      <c r="K1088" s="53"/>
      <c r="L1088" s="58">
        <v>8.4</v>
      </c>
      <c r="M1088" s="55"/>
      <c r="N1088" s="55"/>
    </row>
    <row r="1089" ht="15.75" customHeight="1">
      <c r="A1089" s="53">
        <f t="shared" si="3"/>
        <v>1084</v>
      </c>
      <c r="B1089" s="55" t="s">
        <v>747</v>
      </c>
      <c r="C1089" s="41">
        <v>46053.0</v>
      </c>
      <c r="D1089" s="42" t="s">
        <v>749</v>
      </c>
      <c r="E1089" s="42" t="s">
        <v>115</v>
      </c>
      <c r="F1089" s="42" t="str">
        <f>+IFERROR(VLOOKUP(E1089,'DANH MỤC'!$C:$H,2,0),"")</f>
        <v>Màng Strecth Film 5.0-0.6kg</v>
      </c>
      <c r="G1089" s="42" t="str">
        <f>+IFERROR(VLOOKUP(E1089,'DANH MỤC'!$C:$H,6,0),"")</f>
        <v>Kg</v>
      </c>
      <c r="H1089" s="42" t="str">
        <f>+IFERROR(VLOOKUP(E1089,'DANH MỤC'!$C:$H,3,0),"")</f>
        <v/>
      </c>
      <c r="I1089" s="42" t="str">
        <f>+IFERROR(VLOOKUP(E1089,'DANH MỤC'!$C:$H,4,0),"")</f>
        <v/>
      </c>
      <c r="J1089" s="42" t="str">
        <f>+IFERROR(VLOOKUP(E1089,'DANH MỤC'!$C:$H,5,0),"")</f>
        <v/>
      </c>
      <c r="K1089" s="53"/>
      <c r="L1089" s="58">
        <v>6.0</v>
      </c>
      <c r="M1089" s="55"/>
      <c r="N1089" s="55"/>
    </row>
    <row r="1090" ht="15.75" customHeight="1">
      <c r="A1090" s="53">
        <f t="shared" si="3"/>
        <v>1085</v>
      </c>
      <c r="B1090" s="55" t="s">
        <v>747</v>
      </c>
      <c r="C1090" s="41">
        <v>46053.0</v>
      </c>
      <c r="D1090" s="42" t="s">
        <v>750</v>
      </c>
      <c r="E1090" s="42" t="s">
        <v>113</v>
      </c>
      <c r="F1090" s="42" t="str">
        <f>+IFERROR(VLOOKUP(E1090,'DANH MỤC'!$C:$H,2,0),"")</f>
        <v>Lưỡi gà trắng 95mm x 800m x 230gsm</v>
      </c>
      <c r="G1090" s="42" t="str">
        <f>+IFERROR(VLOOKUP(E1090,'DANH MỤC'!$C:$H,6,0),"")</f>
        <v>Cuộn</v>
      </c>
      <c r="H1090" s="42">
        <f>+IFERROR(VLOOKUP(E1090,'DANH MỤC'!$C:$H,3,0),"")</f>
        <v>230</v>
      </c>
      <c r="I1090" s="42">
        <f>+IFERROR(VLOOKUP(E1090,'DANH MỤC'!$C:$H,4,0),"")</f>
        <v>95</v>
      </c>
      <c r="J1090" s="42">
        <f>+IFERROR(VLOOKUP(E1090,'DANH MỤC'!$C:$H,5,0),"")</f>
        <v>800</v>
      </c>
      <c r="K1090" s="53">
        <v>726.0</v>
      </c>
      <c r="L1090" s="58"/>
      <c r="M1090" s="55"/>
      <c r="N1090" s="55"/>
    </row>
    <row r="1091" ht="15.75" customHeight="1">
      <c r="A1091" s="53">
        <f t="shared" si="3"/>
        <v>1086</v>
      </c>
      <c r="B1091" s="55"/>
      <c r="C1091" s="41">
        <v>46053.0</v>
      </c>
      <c r="D1091" s="42" t="s">
        <v>95</v>
      </c>
      <c r="E1091" s="42" t="s">
        <v>183</v>
      </c>
      <c r="F1091" s="42" t="str">
        <f>+IFERROR(VLOOKUP(E1091,'DANH MỤC'!$C:$H,2,0),"")</f>
        <v>Ống lõi giấy phi 120x7x90mm</v>
      </c>
      <c r="G1091" s="42" t="str">
        <f>+IFERROR(VLOOKUP(E1091,'DANH MỤC'!$C:$H,6,0),"")</f>
        <v>Cái</v>
      </c>
      <c r="H1091" s="42">
        <f>+IFERROR(VLOOKUP(E1091,'DANH MỤC'!$C:$H,3,0),"")</f>
        <v>120</v>
      </c>
      <c r="I1091" s="42">
        <f>+IFERROR(VLOOKUP(E1091,'DANH MỤC'!$C:$H,4,0),"")</f>
        <v>70</v>
      </c>
      <c r="J1091" s="42">
        <f>+IFERROR(VLOOKUP(E1091,'DANH MỤC'!$C:$H,5,0),"")</f>
        <v>90</v>
      </c>
      <c r="K1091" s="53">
        <v>2000.0</v>
      </c>
      <c r="L1091" s="58"/>
      <c r="M1091" s="55"/>
      <c r="N1091" s="55"/>
    </row>
    <row r="1092" ht="15.75" customHeight="1">
      <c r="A1092" s="117">
        <f t="shared" si="3"/>
        <v>1087</v>
      </c>
      <c r="B1092" s="118"/>
      <c r="C1092" s="119">
        <v>46058.0</v>
      </c>
      <c r="D1092" s="120" t="s">
        <v>146</v>
      </c>
      <c r="E1092" s="120" t="s">
        <v>81</v>
      </c>
      <c r="F1092" s="120" t="str">
        <f>+IFERROR(VLOOKUP(E1092,'DANH MỤC'!$C:$H,2,0),"")</f>
        <v>Lưỡi gà trắng 71mm x 800m x 210gsm</v>
      </c>
      <c r="G1092" s="120" t="str">
        <f>+IFERROR(VLOOKUP(E1092,'DANH MỤC'!$C:$H,6,0),"")</f>
        <v>Cuộn</v>
      </c>
      <c r="H1092" s="120">
        <f>+IFERROR(VLOOKUP(E1092,'DANH MỤC'!$C:$H,3,0),"")</f>
        <v>210</v>
      </c>
      <c r="I1092" s="120">
        <f>+IFERROR(VLOOKUP(E1092,'DANH MỤC'!$C:$H,4,0),"")</f>
        <v>71</v>
      </c>
      <c r="J1092" s="120">
        <f>+IFERROR(VLOOKUP(E1092,'DANH MỤC'!$C:$H,5,0),"")</f>
        <v>800</v>
      </c>
      <c r="K1092" s="117"/>
      <c r="L1092" s="121">
        <f>15*60</f>
        <v>900</v>
      </c>
      <c r="M1092" s="118" t="s">
        <v>304</v>
      </c>
      <c r="N1092" s="118"/>
    </row>
    <row r="1093" ht="15.75" customHeight="1">
      <c r="A1093" s="117">
        <f t="shared" si="3"/>
        <v>1088</v>
      </c>
      <c r="B1093" s="118"/>
      <c r="C1093" s="119">
        <v>46065.0</v>
      </c>
      <c r="D1093" s="120" t="s">
        <v>146</v>
      </c>
      <c r="E1093" s="120" t="s">
        <v>81</v>
      </c>
      <c r="F1093" s="120" t="str">
        <f>+IFERROR(VLOOKUP(E1093,'DANH MỤC'!$C:$H,2,0),"")</f>
        <v>Lưỡi gà trắng 71mm x 800m x 210gsm</v>
      </c>
      <c r="G1093" s="120" t="str">
        <f>+IFERROR(VLOOKUP(E1093,'DANH MỤC'!$C:$H,6,0),"")</f>
        <v>Cuộn</v>
      </c>
      <c r="H1093" s="120">
        <f>+IFERROR(VLOOKUP(E1093,'DANH MỤC'!$C:$H,3,0),"")</f>
        <v>210</v>
      </c>
      <c r="I1093" s="120">
        <f>+IFERROR(VLOOKUP(E1093,'DANH MỤC'!$C:$H,4,0),"")</f>
        <v>71</v>
      </c>
      <c r="J1093" s="120">
        <f>+IFERROR(VLOOKUP(E1093,'DANH MỤC'!$C:$H,5,0),"")</f>
        <v>800</v>
      </c>
      <c r="K1093" s="117"/>
      <c r="L1093" s="121">
        <f>6*60</f>
        <v>360</v>
      </c>
      <c r="M1093" s="118" t="s">
        <v>304</v>
      </c>
      <c r="N1093" s="118"/>
    </row>
    <row r="1094" ht="15.75" customHeight="1">
      <c r="A1094" s="117">
        <f t="shared" si="3"/>
        <v>1089</v>
      </c>
      <c r="B1094" s="118"/>
      <c r="C1094" s="119">
        <v>46065.0</v>
      </c>
      <c r="D1094" s="120" t="s">
        <v>146</v>
      </c>
      <c r="E1094" s="120" t="s">
        <v>98</v>
      </c>
      <c r="F1094" s="120" t="str">
        <f>+IFERROR(VLOOKUP(E1094,'DANH MỤC'!$C:$H,2,0),"")</f>
        <v>Lưỡi gà trắng 91mm x 800m x 210gsm</v>
      </c>
      <c r="G1094" s="120" t="str">
        <f>+IFERROR(VLOOKUP(E1094,'DANH MỤC'!$C:$H,6,0),"")</f>
        <v>Cuộn</v>
      </c>
      <c r="H1094" s="120">
        <f>+IFERROR(VLOOKUP(E1094,'DANH MỤC'!$C:$H,3,0),"")</f>
        <v>210</v>
      </c>
      <c r="I1094" s="120">
        <f>+IFERROR(VLOOKUP(E1094,'DANH MỤC'!$C:$H,4,0),"")</f>
        <v>91</v>
      </c>
      <c r="J1094" s="120">
        <f>+IFERROR(VLOOKUP(E1094,'DANH MỤC'!$C:$H,5,0),"")</f>
        <v>800</v>
      </c>
      <c r="K1094" s="117"/>
      <c r="L1094" s="121">
        <v>30.0</v>
      </c>
      <c r="M1094" s="118" t="s">
        <v>304</v>
      </c>
      <c r="N1094" s="118"/>
    </row>
    <row r="1095" ht="15.75" customHeight="1">
      <c r="A1095" s="117">
        <f t="shared" si="3"/>
        <v>1090</v>
      </c>
      <c r="B1095" s="118"/>
      <c r="C1095" s="119">
        <v>46065.0</v>
      </c>
      <c r="D1095" s="120" t="s">
        <v>146</v>
      </c>
      <c r="E1095" s="120" t="s">
        <v>104</v>
      </c>
      <c r="F1095" s="120" t="str">
        <f>+IFERROR(VLOOKUP(E1095,'DANH MỤC'!$C:$H,2,0),"")</f>
        <v>Lưỡi gà trắng 95mm x 800m x 210gsm</v>
      </c>
      <c r="G1095" s="120" t="str">
        <f>+IFERROR(VLOOKUP(E1095,'DANH MỤC'!$C:$H,6,0),"")</f>
        <v>Cuộn</v>
      </c>
      <c r="H1095" s="120">
        <f>+IFERROR(VLOOKUP(E1095,'DANH MỤC'!$C:$H,3,0),"")</f>
        <v>210</v>
      </c>
      <c r="I1095" s="120">
        <f>+IFERROR(VLOOKUP(E1095,'DANH MỤC'!$C:$H,4,0),"")</f>
        <v>95</v>
      </c>
      <c r="J1095" s="120">
        <f>+IFERROR(VLOOKUP(E1095,'DANH MỤC'!$C:$H,5,0),"")</f>
        <v>800</v>
      </c>
      <c r="K1095" s="117"/>
      <c r="L1095" s="121">
        <v>60.0</v>
      </c>
      <c r="M1095" s="118" t="s">
        <v>304</v>
      </c>
      <c r="N1095" s="118"/>
    </row>
    <row r="1096" ht="15.75" customHeight="1">
      <c r="A1096" s="117">
        <f t="shared" si="3"/>
        <v>1091</v>
      </c>
      <c r="B1096" s="118"/>
      <c r="C1096" s="119">
        <v>46077.0</v>
      </c>
      <c r="D1096" s="120" t="s">
        <v>130</v>
      </c>
      <c r="E1096" s="120" t="s">
        <v>123</v>
      </c>
      <c r="F1096" s="120" t="str">
        <f>+IFERROR(VLOOKUP(E1096,'DANH MỤC'!$C:$H,2,0),"")</f>
        <v>Lưỡi gà trắng 90mm x 800m x 250gsm</v>
      </c>
      <c r="G1096" s="120" t="str">
        <f>+IFERROR(VLOOKUP(E1096,'DANH MỤC'!$C:$H,6,0),"")</f>
        <v>Cuộn</v>
      </c>
      <c r="H1096" s="120">
        <f>+IFERROR(VLOOKUP(E1096,'DANH MỤC'!$C:$H,3,0),"")</f>
        <v>250</v>
      </c>
      <c r="I1096" s="120">
        <f>+IFERROR(VLOOKUP(E1096,'DANH MỤC'!$C:$H,4,0),"")</f>
        <v>90</v>
      </c>
      <c r="J1096" s="120">
        <f>+IFERROR(VLOOKUP(E1096,'DANH MỤC'!$C:$H,5,0),"")</f>
        <v>800</v>
      </c>
      <c r="K1096" s="117"/>
      <c r="L1096" s="121">
        <f t="shared" ref="L1096:L1097" si="4">6*52</f>
        <v>312</v>
      </c>
      <c r="M1096" s="118" t="s">
        <v>751</v>
      </c>
      <c r="N1096" s="118"/>
    </row>
    <row r="1097" ht="15.75" customHeight="1">
      <c r="A1097" s="117">
        <f t="shared" si="3"/>
        <v>1092</v>
      </c>
      <c r="B1097" s="118"/>
      <c r="C1097" s="119">
        <v>46077.0</v>
      </c>
      <c r="D1097" s="120" t="s">
        <v>130</v>
      </c>
      <c r="E1097" s="120" t="s">
        <v>104</v>
      </c>
      <c r="F1097" s="120" t="str">
        <f>+IFERROR(VLOOKUP(E1097,'DANH MỤC'!$C:$H,2,0),"")</f>
        <v>Lưỡi gà trắng 95mm x 800m x 210gsm</v>
      </c>
      <c r="G1097" s="120" t="str">
        <f>+IFERROR(VLOOKUP(E1097,'DANH MỤC'!$C:$H,6,0),"")</f>
        <v>Cuộn</v>
      </c>
      <c r="H1097" s="120">
        <f>+IFERROR(VLOOKUP(E1097,'DANH MỤC'!$C:$H,3,0),"")</f>
        <v>210</v>
      </c>
      <c r="I1097" s="120">
        <f>+IFERROR(VLOOKUP(E1097,'DANH MỤC'!$C:$H,4,0),"")</f>
        <v>95</v>
      </c>
      <c r="J1097" s="120">
        <f>+IFERROR(VLOOKUP(E1097,'DANH MỤC'!$C:$H,5,0),"")</f>
        <v>800</v>
      </c>
      <c r="K1097" s="117"/>
      <c r="L1097" s="121">
        <f t="shared" si="4"/>
        <v>312</v>
      </c>
      <c r="M1097" s="118" t="s">
        <v>752</v>
      </c>
      <c r="N1097" s="118"/>
    </row>
    <row r="1098" ht="15.75" customHeight="1">
      <c r="A1098" s="117">
        <f t="shared" si="3"/>
        <v>1093</v>
      </c>
      <c r="B1098" s="118"/>
      <c r="C1098" s="119">
        <v>46077.0</v>
      </c>
      <c r="D1098" s="120" t="s">
        <v>130</v>
      </c>
      <c r="E1098" s="120" t="s">
        <v>123</v>
      </c>
      <c r="F1098" s="120" t="str">
        <f>+IFERROR(VLOOKUP(E1098,'DANH MỤC'!$C:$H,2,0),"")</f>
        <v>Lưỡi gà trắng 90mm x 800m x 250gsm</v>
      </c>
      <c r="G1098" s="120" t="str">
        <f>+IFERROR(VLOOKUP(E1098,'DANH MỤC'!$C:$H,6,0),"")</f>
        <v>Cuộn</v>
      </c>
      <c r="H1098" s="120">
        <f>+IFERROR(VLOOKUP(E1098,'DANH MỤC'!$C:$H,3,0),"")</f>
        <v>250</v>
      </c>
      <c r="I1098" s="120">
        <f>+IFERROR(VLOOKUP(E1098,'DANH MỤC'!$C:$H,4,0),"")</f>
        <v>90</v>
      </c>
      <c r="J1098" s="120">
        <f>+IFERROR(VLOOKUP(E1098,'DANH MỤC'!$C:$H,5,0),"")</f>
        <v>800</v>
      </c>
      <c r="K1098" s="117"/>
      <c r="L1098" s="121">
        <v>1.0</v>
      </c>
      <c r="M1098" s="118" t="s">
        <v>753</v>
      </c>
      <c r="N1098" s="118"/>
    </row>
    <row r="1099" ht="15.75" customHeight="1">
      <c r="A1099" s="117">
        <f t="shared" si="3"/>
        <v>1094</v>
      </c>
      <c r="B1099" s="118"/>
      <c r="C1099" s="119">
        <v>46077.0</v>
      </c>
      <c r="D1099" s="120" t="s">
        <v>130</v>
      </c>
      <c r="E1099" s="120" t="s">
        <v>104</v>
      </c>
      <c r="F1099" s="120" t="str">
        <f>+IFERROR(VLOOKUP(E1099,'DANH MỤC'!$C:$H,2,0),"")</f>
        <v>Lưỡi gà trắng 95mm x 800m x 210gsm</v>
      </c>
      <c r="G1099" s="120" t="str">
        <f>+IFERROR(VLOOKUP(E1099,'DANH MỤC'!$C:$H,6,0),"")</f>
        <v>Cuộn</v>
      </c>
      <c r="H1099" s="120">
        <f>+IFERROR(VLOOKUP(E1099,'DANH MỤC'!$C:$H,3,0),"")</f>
        <v>210</v>
      </c>
      <c r="I1099" s="120">
        <f>+IFERROR(VLOOKUP(E1099,'DANH MỤC'!$C:$H,4,0),"")</f>
        <v>95</v>
      </c>
      <c r="J1099" s="120">
        <f>+IFERROR(VLOOKUP(E1099,'DANH MỤC'!$C:$H,5,0),"")</f>
        <v>800</v>
      </c>
      <c r="K1099" s="117"/>
      <c r="L1099" s="121">
        <v>8.0</v>
      </c>
      <c r="M1099" s="118" t="s">
        <v>753</v>
      </c>
      <c r="N1099" s="118"/>
    </row>
    <row r="1100" ht="15.75" customHeight="1">
      <c r="A1100" s="117">
        <f t="shared" si="3"/>
        <v>1095</v>
      </c>
      <c r="B1100" s="118"/>
      <c r="C1100" s="119">
        <v>46079.0</v>
      </c>
      <c r="D1100" s="120" t="s">
        <v>146</v>
      </c>
      <c r="E1100" s="120" t="s">
        <v>81</v>
      </c>
      <c r="F1100" s="120" t="str">
        <f>+IFERROR(VLOOKUP(E1100,'DANH MỤC'!$C:$H,2,0),"")</f>
        <v>Lưỡi gà trắng 71mm x 800m x 210gsm</v>
      </c>
      <c r="G1100" s="120" t="str">
        <f>+IFERROR(VLOOKUP(E1100,'DANH MỤC'!$C:$H,6,0),"")</f>
        <v>Cuộn</v>
      </c>
      <c r="H1100" s="120">
        <f>+IFERROR(VLOOKUP(E1100,'DANH MỤC'!$C:$H,3,0),"")</f>
        <v>210</v>
      </c>
      <c r="I1100" s="120">
        <f>+IFERROR(VLOOKUP(E1100,'DANH MỤC'!$C:$H,4,0),"")</f>
        <v>71</v>
      </c>
      <c r="J1100" s="120">
        <f>+IFERROR(VLOOKUP(E1100,'DANH MỤC'!$C:$H,5,0),"")</f>
        <v>800</v>
      </c>
      <c r="K1100" s="117"/>
      <c r="L1100" s="121">
        <f>9*60</f>
        <v>540</v>
      </c>
      <c r="M1100" s="118" t="s">
        <v>304</v>
      </c>
      <c r="N1100" s="118"/>
    </row>
    <row r="1101" ht="15.75" customHeight="1">
      <c r="A1101" s="53">
        <f t="shared" si="3"/>
        <v>1096</v>
      </c>
      <c r="B1101" s="55"/>
      <c r="C1101" s="41">
        <v>46088.0</v>
      </c>
      <c r="D1101" s="42" t="s">
        <v>754</v>
      </c>
      <c r="E1101" s="42" t="s">
        <v>213</v>
      </c>
      <c r="F1101" s="42" t="str">
        <f>+IFERROR(VLOOKUP(E1101,'DANH MỤC'!$C:$H,2,0),"")</f>
        <v>Ivory Ningbo</v>
      </c>
      <c r="G1101" s="42" t="str">
        <f>+IFERROR(VLOOKUP(E1101,'DANH MỤC'!$C:$H,6,0),"")</f>
        <v>Kg</v>
      </c>
      <c r="H1101" s="42">
        <f>+IFERROR(VLOOKUP(E1101,'DANH MỤC'!$C:$H,3,0),"")</f>
        <v>210</v>
      </c>
      <c r="I1101" s="42">
        <f>+IFERROR(VLOOKUP(E1101,'DANH MỤC'!$C:$H,4,0),"")</f>
        <v>108</v>
      </c>
      <c r="J1101" s="42" t="str">
        <f>+IFERROR(VLOOKUP(E1101,'DANH MỤC'!$C:$H,5,0),"")</f>
        <v/>
      </c>
      <c r="K1101" s="53"/>
      <c r="L1101" s="58">
        <f>30*987+80-300</f>
        <v>29390</v>
      </c>
      <c r="M1101" s="55"/>
      <c r="N1101" s="55"/>
    </row>
    <row r="1102" ht="15.75" customHeight="1">
      <c r="A1102" s="53">
        <f t="shared" si="3"/>
        <v>1097</v>
      </c>
      <c r="B1102" s="55"/>
      <c r="C1102" s="41">
        <v>46088.0</v>
      </c>
      <c r="D1102" s="42" t="s">
        <v>755</v>
      </c>
      <c r="E1102" s="42" t="s">
        <v>182</v>
      </c>
      <c r="F1102" s="42" t="str">
        <f>+IFERROR(VLOOKUP(E1102,'DANH MỤC'!$C:$H,2,0),"")</f>
        <v>Ống lõi giấy phi 120x7x71mm</v>
      </c>
      <c r="G1102" s="42" t="str">
        <f>+IFERROR(VLOOKUP(E1102,'DANH MỤC'!$C:$H,6,0),"")</f>
        <v>Cái</v>
      </c>
      <c r="H1102" s="42">
        <f>+IFERROR(VLOOKUP(E1102,'DANH MỤC'!$C:$H,3,0),"")</f>
        <v>120</v>
      </c>
      <c r="I1102" s="42">
        <f>+IFERROR(VLOOKUP(E1102,'DANH MỤC'!$C:$H,4,0),"")</f>
        <v>70</v>
      </c>
      <c r="J1102" s="42">
        <f>+IFERROR(VLOOKUP(E1102,'DANH MỤC'!$C:$H,5,0),"")</f>
        <v>71</v>
      </c>
      <c r="K1102" s="53"/>
      <c r="L1102" s="58">
        <v>2375.0</v>
      </c>
      <c r="M1102" s="55"/>
      <c r="N1102" s="55"/>
    </row>
    <row r="1103" ht="15.75" customHeight="1">
      <c r="A1103" s="53">
        <f t="shared" si="3"/>
        <v>1098</v>
      </c>
      <c r="B1103" s="55"/>
      <c r="C1103" s="41">
        <v>46088.0</v>
      </c>
      <c r="D1103" s="42" t="s">
        <v>755</v>
      </c>
      <c r="E1103" s="42" t="s">
        <v>183</v>
      </c>
      <c r="F1103" s="42" t="str">
        <f>+IFERROR(VLOOKUP(E1103,'DANH MỤC'!$C:$H,2,0),"")</f>
        <v>Ống lõi giấy phi 120x7x90mm</v>
      </c>
      <c r="G1103" s="42" t="str">
        <f>+IFERROR(VLOOKUP(E1103,'DANH MỤC'!$C:$H,6,0),"")</f>
        <v>Cái</v>
      </c>
      <c r="H1103" s="42">
        <f>+IFERROR(VLOOKUP(E1103,'DANH MỤC'!$C:$H,3,0),"")</f>
        <v>120</v>
      </c>
      <c r="I1103" s="42">
        <f>+IFERROR(VLOOKUP(E1103,'DANH MỤC'!$C:$H,4,0),"")</f>
        <v>70</v>
      </c>
      <c r="J1103" s="42">
        <f>+IFERROR(VLOOKUP(E1103,'DANH MỤC'!$C:$H,5,0),"")</f>
        <v>90</v>
      </c>
      <c r="K1103" s="53"/>
      <c r="L1103" s="58">
        <v>30.0</v>
      </c>
      <c r="M1103" s="55"/>
      <c r="N1103" s="55"/>
    </row>
    <row r="1104" ht="15.75" customHeight="1">
      <c r="A1104" s="53">
        <f t="shared" si="3"/>
        <v>1099</v>
      </c>
      <c r="B1104" s="55"/>
      <c r="C1104" s="41">
        <v>46088.0</v>
      </c>
      <c r="D1104" s="42" t="s">
        <v>755</v>
      </c>
      <c r="E1104" s="42" t="s">
        <v>127</v>
      </c>
      <c r="F1104" s="42" t="str">
        <f>+IFERROR(VLOOKUP(E1104,'DANH MỤC'!$C:$H,2,0),"")</f>
        <v>Pallet gỗ 1100x1100x130mm</v>
      </c>
      <c r="G1104" s="42" t="str">
        <f>+IFERROR(VLOOKUP(E1104,'DANH MỤC'!$C:$H,6,0),"")</f>
        <v>Bộ</v>
      </c>
      <c r="H1104" s="42">
        <f>+IFERROR(VLOOKUP(E1104,'DANH MỤC'!$C:$H,3,0),"")</f>
        <v>1100</v>
      </c>
      <c r="I1104" s="42">
        <f>+IFERROR(VLOOKUP(E1104,'DANH MỤC'!$C:$H,4,0),"")</f>
        <v>1100</v>
      </c>
      <c r="J1104" s="42">
        <f>+IFERROR(VLOOKUP(E1104,'DANH MỤC'!$C:$H,5,0),"")</f>
        <v>130</v>
      </c>
      <c r="K1104" s="53"/>
      <c r="L1104" s="58">
        <v>39.0</v>
      </c>
      <c r="M1104" s="55"/>
      <c r="N1104" s="55"/>
    </row>
    <row r="1105" ht="15.75" customHeight="1">
      <c r="A1105" s="53">
        <f t="shared" si="3"/>
        <v>1100</v>
      </c>
      <c r="B1105" s="55"/>
      <c r="C1105" s="41">
        <v>46088.0</v>
      </c>
      <c r="D1105" s="42" t="s">
        <v>755</v>
      </c>
      <c r="E1105" s="42" t="s">
        <v>107</v>
      </c>
      <c r="F1105" s="42" t="str">
        <f>+IFERROR(VLOOKUP(E1105,'DANH MỤC'!$C:$H,2,0),"")</f>
        <v>Pallet gỗ 1200x1200x130mm</v>
      </c>
      <c r="G1105" s="42" t="str">
        <f>+IFERROR(VLOOKUP(E1105,'DANH MỤC'!$C:$H,6,0),"")</f>
        <v>Bộ</v>
      </c>
      <c r="H1105" s="42">
        <f>+IFERROR(VLOOKUP(E1105,'DANH MỤC'!$C:$H,3,0),"")</f>
        <v>1200</v>
      </c>
      <c r="I1105" s="42">
        <f>+IFERROR(VLOOKUP(E1105,'DANH MỤC'!$C:$H,4,0),"")</f>
        <v>1200</v>
      </c>
      <c r="J1105" s="42">
        <f>+IFERROR(VLOOKUP(E1105,'DANH MỤC'!$C:$H,5,0),"")</f>
        <v>130</v>
      </c>
      <c r="K1105" s="53"/>
      <c r="L1105" s="58">
        <v>1.0</v>
      </c>
      <c r="M1105" s="55"/>
      <c r="N1105" s="55"/>
    </row>
    <row r="1106" ht="15.75" customHeight="1">
      <c r="A1106" s="53">
        <f t="shared" si="3"/>
        <v>1101</v>
      </c>
      <c r="B1106" s="55"/>
      <c r="C1106" s="41">
        <v>46088.0</v>
      </c>
      <c r="D1106" s="42" t="s">
        <v>755</v>
      </c>
      <c r="E1106" s="42" t="s">
        <v>260</v>
      </c>
      <c r="F1106" s="42" t="str">
        <f>+IFERROR(VLOOKUP(E1106,'DANH MỤC'!$C:$H,2,0),"")</f>
        <v>Giấy lót đóng gói</v>
      </c>
      <c r="G1106" s="42" t="str">
        <f>+IFERROR(VLOOKUP(E1106,'DANH MỤC'!$C:$H,6,0),"")</f>
        <v>Kg</v>
      </c>
      <c r="H1106" s="42" t="str">
        <f>+IFERROR(VLOOKUP(E1106,'DANH MỤC'!$C:$H,3,0),"")</f>
        <v/>
      </c>
      <c r="I1106" s="42" t="str">
        <f>+IFERROR(VLOOKUP(E1106,'DANH MỤC'!$C:$H,4,0),"")</f>
        <v/>
      </c>
      <c r="J1106" s="42" t="str">
        <f>+IFERROR(VLOOKUP(E1106,'DANH MỤC'!$C:$H,5,0),"")</f>
        <v/>
      </c>
      <c r="K1106" s="53"/>
      <c r="L1106" s="58">
        <v>24.0</v>
      </c>
      <c r="M1106" s="55"/>
      <c r="N1106" s="55"/>
    </row>
    <row r="1107" ht="15.75" customHeight="1">
      <c r="A1107" s="53">
        <f t="shared" si="3"/>
        <v>1102</v>
      </c>
      <c r="B1107" s="55"/>
      <c r="C1107" s="41">
        <v>46088.0</v>
      </c>
      <c r="D1107" s="42" t="s">
        <v>755</v>
      </c>
      <c r="E1107" s="42" t="s">
        <v>96</v>
      </c>
      <c r="F1107" s="42" t="str">
        <f>+IFERROR(VLOOKUP(E1107,'DANH MỤC'!$C:$H,2,0),"")</f>
        <v>Giấy bao gói lưỡi gà</v>
      </c>
      <c r="G1107" s="42" t="str">
        <f>+IFERROR(VLOOKUP(E1107,'DANH MỤC'!$C:$H,6,0),"")</f>
        <v>Kg</v>
      </c>
      <c r="H1107" s="42" t="str">
        <f>+IFERROR(VLOOKUP(E1107,'DANH MỤC'!$C:$H,3,0),"")</f>
        <v/>
      </c>
      <c r="I1107" s="42" t="str">
        <f>+IFERROR(VLOOKUP(E1107,'DANH MỤC'!$C:$H,4,0),"")</f>
        <v/>
      </c>
      <c r="J1107" s="42" t="str">
        <f>+IFERROR(VLOOKUP(E1107,'DANH MỤC'!$C:$H,5,0),"")</f>
        <v/>
      </c>
      <c r="K1107" s="53"/>
      <c r="L1107" s="58">
        <v>25.91</v>
      </c>
      <c r="M1107" s="55"/>
      <c r="N1107" s="55"/>
    </row>
    <row r="1108" ht="15.75" customHeight="1">
      <c r="A1108" s="53">
        <f t="shared" si="3"/>
        <v>1103</v>
      </c>
      <c r="B1108" s="55"/>
      <c r="C1108" s="41">
        <v>46088.0</v>
      </c>
      <c r="D1108" s="42" t="s">
        <v>755</v>
      </c>
      <c r="E1108" s="42" t="s">
        <v>112</v>
      </c>
      <c r="F1108" s="42" t="str">
        <f>+IFERROR(VLOOKUP(E1108,'DANH MỤC'!$C:$H,2,0),"")</f>
        <v>Dây đai PET xanh (B)</v>
      </c>
      <c r="G1108" s="42" t="str">
        <f>+IFERROR(VLOOKUP(E1108,'DANH MỤC'!$C:$H,6,0),"")</f>
        <v>Kg</v>
      </c>
      <c r="H1108" s="42" t="str">
        <f>+IFERROR(VLOOKUP(E1108,'DANH MỤC'!$C:$H,3,0),"")</f>
        <v/>
      </c>
      <c r="I1108" s="42" t="str">
        <f>+IFERROR(VLOOKUP(E1108,'DANH MỤC'!$C:$H,4,0),"")</f>
        <v/>
      </c>
      <c r="J1108" s="42" t="str">
        <f>+IFERROR(VLOOKUP(E1108,'DANH MỤC'!$C:$H,5,0),"")</f>
        <v/>
      </c>
      <c r="K1108" s="53"/>
      <c r="L1108" s="58">
        <v>16.0</v>
      </c>
      <c r="M1108" s="55"/>
      <c r="N1108" s="55"/>
    </row>
    <row r="1109" ht="15.75" customHeight="1">
      <c r="A1109" s="53">
        <f t="shared" si="3"/>
        <v>1104</v>
      </c>
      <c r="B1109" s="55"/>
      <c r="C1109" s="41">
        <v>46088.0</v>
      </c>
      <c r="D1109" s="42" t="s">
        <v>755</v>
      </c>
      <c r="E1109" s="42" t="s">
        <v>115</v>
      </c>
      <c r="F1109" s="42" t="str">
        <f>+IFERROR(VLOOKUP(E1109,'DANH MỤC'!$C:$H,2,0),"")</f>
        <v>Màng Strecth Film 5.0-0.6kg</v>
      </c>
      <c r="G1109" s="42" t="str">
        <f>+IFERROR(VLOOKUP(E1109,'DANH MỤC'!$C:$H,6,0),"")</f>
        <v>Kg</v>
      </c>
      <c r="H1109" s="42" t="str">
        <f>+IFERROR(VLOOKUP(E1109,'DANH MỤC'!$C:$H,3,0),"")</f>
        <v/>
      </c>
      <c r="I1109" s="42" t="str">
        <f>+IFERROR(VLOOKUP(E1109,'DANH MỤC'!$C:$H,4,0),"")</f>
        <v/>
      </c>
      <c r="J1109" s="42" t="str">
        <f>+IFERROR(VLOOKUP(E1109,'DANH MỤC'!$C:$H,5,0),"")</f>
        <v/>
      </c>
      <c r="K1109" s="53"/>
      <c r="L1109" s="58">
        <v>12.0</v>
      </c>
      <c r="M1109" s="55"/>
      <c r="N1109" s="55"/>
    </row>
    <row r="1110" ht="15.75" customHeight="1">
      <c r="A1110" s="53">
        <f t="shared" si="3"/>
        <v>1105</v>
      </c>
      <c r="B1110" s="55"/>
      <c r="C1110" s="41">
        <v>46088.0</v>
      </c>
      <c r="D1110" s="42" t="s">
        <v>756</v>
      </c>
      <c r="E1110" s="42" t="s">
        <v>81</v>
      </c>
      <c r="F1110" s="42" t="str">
        <f>+IFERROR(VLOOKUP(E1110,'DANH MỤC'!$C:$H,2,0),"")</f>
        <v>Lưỡi gà trắng 71mm x 800m x 210gsm</v>
      </c>
      <c r="G1110" s="42" t="str">
        <f>+IFERROR(VLOOKUP(E1110,'DANH MỤC'!$C:$H,6,0),"")</f>
        <v>Cuộn</v>
      </c>
      <c r="H1110" s="42">
        <f>+IFERROR(VLOOKUP(E1110,'DANH MỤC'!$C:$H,3,0),"")</f>
        <v>210</v>
      </c>
      <c r="I1110" s="42">
        <f>+IFERROR(VLOOKUP(E1110,'DANH MỤC'!$C:$H,4,0),"")</f>
        <v>71</v>
      </c>
      <c r="J1110" s="42">
        <f>+IFERROR(VLOOKUP(E1110,'DANH MỤC'!$C:$H,5,0),"")</f>
        <v>800</v>
      </c>
      <c r="K1110" s="53">
        <v>2360.0</v>
      </c>
      <c r="L1110" s="58"/>
      <c r="M1110" s="55"/>
      <c r="N1110" s="55"/>
    </row>
    <row r="1111" ht="15.75" customHeight="1">
      <c r="A1111" s="53">
        <f t="shared" si="3"/>
        <v>1106</v>
      </c>
      <c r="B1111" s="55"/>
      <c r="C1111" s="41">
        <v>46088.0</v>
      </c>
      <c r="D1111" s="42" t="s">
        <v>756</v>
      </c>
      <c r="E1111" s="42" t="s">
        <v>98</v>
      </c>
      <c r="F1111" s="42" t="str">
        <f>+IFERROR(VLOOKUP(E1111,'DANH MỤC'!$C:$H,2,0),"")</f>
        <v>Lưỡi gà trắng 91mm x 800m x 210gsm</v>
      </c>
      <c r="G1111" s="42" t="str">
        <f>+IFERROR(VLOOKUP(E1111,'DANH MỤC'!$C:$H,6,0),"")</f>
        <v>Cuộn</v>
      </c>
      <c r="H1111" s="42">
        <f>+IFERROR(VLOOKUP(E1111,'DANH MỤC'!$C:$H,3,0),"")</f>
        <v>210</v>
      </c>
      <c r="I1111" s="42">
        <f>+IFERROR(VLOOKUP(E1111,'DANH MỤC'!$C:$H,4,0),"")</f>
        <v>91</v>
      </c>
      <c r="J1111" s="42">
        <f>+IFERROR(VLOOKUP(E1111,'DANH MỤC'!$C:$H,5,0),"")</f>
        <v>800</v>
      </c>
      <c r="K1111" s="53">
        <v>30.0</v>
      </c>
      <c r="L1111" s="58"/>
      <c r="M1111" s="55"/>
      <c r="N1111" s="55"/>
    </row>
    <row r="1112" ht="15.75" customHeight="1">
      <c r="A1112" s="117">
        <f t="shared" si="3"/>
        <v>1107</v>
      </c>
      <c r="B1112" s="118"/>
      <c r="C1112" s="119">
        <v>46097.0</v>
      </c>
      <c r="D1112" s="120" t="s">
        <v>146</v>
      </c>
      <c r="E1112" s="120" t="s">
        <v>81</v>
      </c>
      <c r="F1112" s="120" t="str">
        <f>+IFERROR(VLOOKUP(E1112,'DANH MỤC'!$C:$H,2,0),"")</f>
        <v>Lưỡi gà trắng 71mm x 800m x 210gsm</v>
      </c>
      <c r="G1112" s="120" t="str">
        <f>+IFERROR(VLOOKUP(E1112,'DANH MỤC'!$C:$H,6,0),"")</f>
        <v>Cuộn</v>
      </c>
      <c r="H1112" s="120">
        <f>+IFERROR(VLOOKUP(E1112,'DANH MỤC'!$C:$H,3,0),"")</f>
        <v>210</v>
      </c>
      <c r="I1112" s="120">
        <f>+IFERROR(VLOOKUP(E1112,'DANH MỤC'!$C:$H,4,0),"")</f>
        <v>71</v>
      </c>
      <c r="J1112" s="120">
        <f>+IFERROR(VLOOKUP(E1112,'DANH MỤC'!$C:$H,5,0),"")</f>
        <v>800</v>
      </c>
      <c r="K1112" s="117"/>
      <c r="L1112" s="121">
        <f>9*60</f>
        <v>540</v>
      </c>
      <c r="M1112" s="118" t="s">
        <v>304</v>
      </c>
      <c r="N1112" s="118"/>
    </row>
    <row r="1113" ht="15.75" customHeight="1">
      <c r="A1113" s="117">
        <f t="shared" si="3"/>
        <v>1108</v>
      </c>
      <c r="B1113" s="118"/>
      <c r="C1113" s="119">
        <v>46097.0</v>
      </c>
      <c r="D1113" s="120" t="s">
        <v>146</v>
      </c>
      <c r="E1113" s="120" t="s">
        <v>104</v>
      </c>
      <c r="F1113" s="120" t="str">
        <f>+IFERROR(VLOOKUP(E1113,'DANH MỤC'!$C:$H,2,0),"")</f>
        <v>Lưỡi gà trắng 95mm x 800m x 210gsm</v>
      </c>
      <c r="G1113" s="120" t="str">
        <f>+IFERROR(VLOOKUP(E1113,'DANH MỤC'!$C:$H,6,0),"")</f>
        <v>Cuộn</v>
      </c>
      <c r="H1113" s="120">
        <f>+IFERROR(VLOOKUP(E1113,'DANH MỤC'!$C:$H,3,0),"")</f>
        <v>210</v>
      </c>
      <c r="I1113" s="120">
        <f>+IFERROR(VLOOKUP(E1113,'DANH MỤC'!$C:$H,4,0),"")</f>
        <v>95</v>
      </c>
      <c r="J1113" s="120">
        <f>+IFERROR(VLOOKUP(E1113,'DANH MỤC'!$C:$H,5,0),"")</f>
        <v>800</v>
      </c>
      <c r="K1113" s="117"/>
      <c r="L1113" s="121">
        <f>5*60</f>
        <v>300</v>
      </c>
      <c r="M1113" s="118" t="s">
        <v>304</v>
      </c>
      <c r="N1113" s="118"/>
    </row>
    <row r="1114" ht="15.75" customHeight="1">
      <c r="A1114" s="53">
        <f t="shared" si="3"/>
        <v>1109</v>
      </c>
      <c r="B1114" s="55"/>
      <c r="C1114" s="41">
        <v>46100.0</v>
      </c>
      <c r="D1114" s="42" t="s">
        <v>757</v>
      </c>
      <c r="E1114" s="42" t="s">
        <v>213</v>
      </c>
      <c r="F1114" s="42" t="str">
        <f>+IFERROR(VLOOKUP(E1114,'DANH MỤC'!$C:$H,2,0),"")</f>
        <v>Ivory Ningbo</v>
      </c>
      <c r="G1114" s="42" t="str">
        <f>+IFERROR(VLOOKUP(E1114,'DANH MỤC'!$C:$H,6,0),"")</f>
        <v>Kg</v>
      </c>
      <c r="H1114" s="42">
        <f>+IFERROR(VLOOKUP(E1114,'DANH MỤC'!$C:$H,3,0),"")</f>
        <v>210</v>
      </c>
      <c r="I1114" s="42">
        <f>+IFERROR(VLOOKUP(E1114,'DANH MỤC'!$C:$H,4,0),"")</f>
        <v>108</v>
      </c>
      <c r="J1114" s="42" t="str">
        <f>+IFERROR(VLOOKUP(E1114,'DANH MỤC'!$C:$H,5,0),"")</f>
        <v/>
      </c>
      <c r="K1114" s="53"/>
      <c r="L1114" s="58">
        <f>20*987-300</f>
        <v>19440</v>
      </c>
      <c r="M1114" s="55"/>
      <c r="N1114" s="55"/>
    </row>
    <row r="1115" ht="15.75" customHeight="1">
      <c r="A1115" s="53">
        <f t="shared" si="3"/>
        <v>1110</v>
      </c>
      <c r="B1115" s="55"/>
      <c r="C1115" s="41">
        <v>46100.0</v>
      </c>
      <c r="D1115" s="42" t="s">
        <v>758</v>
      </c>
      <c r="E1115" s="42" t="s">
        <v>182</v>
      </c>
      <c r="F1115" s="42" t="str">
        <f>+IFERROR(VLOOKUP(E1115,'DANH MỤC'!$C:$H,2,0),"")</f>
        <v>Ống lõi giấy phi 120x7x71mm</v>
      </c>
      <c r="G1115" s="42" t="str">
        <f>+IFERROR(VLOOKUP(E1115,'DANH MỤC'!$C:$H,6,0),"")</f>
        <v>Cái</v>
      </c>
      <c r="H1115" s="42">
        <f>+IFERROR(VLOOKUP(E1115,'DANH MỤC'!$C:$H,3,0),"")</f>
        <v>120</v>
      </c>
      <c r="I1115" s="42">
        <f>+IFERROR(VLOOKUP(E1115,'DANH MỤC'!$C:$H,4,0),"")</f>
        <v>70</v>
      </c>
      <c r="J1115" s="42">
        <f>+IFERROR(VLOOKUP(E1115,'DANH MỤC'!$C:$H,5,0),"")</f>
        <v>71</v>
      </c>
      <c r="K1115" s="53"/>
      <c r="L1115" s="58">
        <v>330.0</v>
      </c>
      <c r="M1115" s="55"/>
      <c r="N1115" s="55"/>
    </row>
    <row r="1116" ht="15.75" customHeight="1">
      <c r="A1116" s="53">
        <f t="shared" si="3"/>
        <v>1111</v>
      </c>
      <c r="B1116" s="55"/>
      <c r="C1116" s="41">
        <v>46100.0</v>
      </c>
      <c r="D1116" s="42" t="s">
        <v>758</v>
      </c>
      <c r="E1116" s="42" t="s">
        <v>184</v>
      </c>
      <c r="F1116" s="42" t="str">
        <f>+IFERROR(VLOOKUP(E1116,'DANH MỤC'!$C:$H,2,0),"")</f>
        <v>Ống lõi giấy phi 120x7x95mm</v>
      </c>
      <c r="G1116" s="42" t="str">
        <f>+IFERROR(VLOOKUP(E1116,'DANH MỤC'!$C:$H,6,0),"")</f>
        <v>Cái</v>
      </c>
      <c r="H1116" s="42">
        <f>+IFERROR(VLOOKUP(E1116,'DANH MỤC'!$C:$H,3,0),"")</f>
        <v>120</v>
      </c>
      <c r="I1116" s="42">
        <f>+IFERROR(VLOOKUP(E1116,'DANH MỤC'!$C:$H,4,0),"")</f>
        <v>70</v>
      </c>
      <c r="J1116" s="42">
        <f>+IFERROR(VLOOKUP(E1116,'DANH MỤC'!$C:$H,5,0),"")</f>
        <v>95</v>
      </c>
      <c r="K1116" s="53"/>
      <c r="L1116" s="58">
        <v>975.0</v>
      </c>
      <c r="M1116" s="55"/>
      <c r="N1116" s="55"/>
    </row>
    <row r="1117" ht="15.75" customHeight="1">
      <c r="A1117" s="53">
        <f t="shared" si="3"/>
        <v>1112</v>
      </c>
      <c r="B1117" s="55"/>
      <c r="C1117" s="41">
        <v>46100.0</v>
      </c>
      <c r="D1117" s="42" t="s">
        <v>758</v>
      </c>
      <c r="E1117" s="42" t="s">
        <v>127</v>
      </c>
      <c r="F1117" s="42" t="str">
        <f>+IFERROR(VLOOKUP(E1117,'DANH MỤC'!$C:$H,2,0),"")</f>
        <v>Pallet gỗ 1100x1100x130mm</v>
      </c>
      <c r="G1117" s="42" t="str">
        <f>+IFERROR(VLOOKUP(E1117,'DANH MỤC'!$C:$H,6,0),"")</f>
        <v>Bộ</v>
      </c>
      <c r="H1117" s="42">
        <f>+IFERROR(VLOOKUP(E1117,'DANH MỤC'!$C:$H,3,0),"")</f>
        <v>1100</v>
      </c>
      <c r="I1117" s="42">
        <f>+IFERROR(VLOOKUP(E1117,'DANH MỤC'!$C:$H,4,0),"")</f>
        <v>1100</v>
      </c>
      <c r="J1117" s="42">
        <f>+IFERROR(VLOOKUP(E1117,'DANH MỤC'!$C:$H,5,0),"")</f>
        <v>130</v>
      </c>
      <c r="K1117" s="53"/>
      <c r="L1117" s="58">
        <v>19.0</v>
      </c>
      <c r="M1117" s="55"/>
      <c r="N1117" s="55"/>
    </row>
    <row r="1118" ht="15.75" customHeight="1">
      <c r="A1118" s="53">
        <f t="shared" si="3"/>
        <v>1113</v>
      </c>
      <c r="B1118" s="55"/>
      <c r="C1118" s="41">
        <v>46100.0</v>
      </c>
      <c r="D1118" s="42" t="s">
        <v>758</v>
      </c>
      <c r="E1118" s="42" t="s">
        <v>156</v>
      </c>
      <c r="F1118" s="42" t="str">
        <f>+IFERROR(VLOOKUP(E1118,'DANH MỤC'!$C:$H,2,0),"")</f>
        <v>Nẹp gỗ pallet dài 1.15m</v>
      </c>
      <c r="G1118" s="42" t="str">
        <f>+IFERROR(VLOOKUP(E1118,'DANH MỤC'!$C:$H,6,0),"")</f>
        <v>Cái</v>
      </c>
      <c r="H1118" s="42" t="str">
        <f>+IFERROR(VLOOKUP(E1118,'DANH MỤC'!$C:$H,3,0),"")</f>
        <v/>
      </c>
      <c r="I1118" s="42" t="str">
        <f>+IFERROR(VLOOKUP(E1118,'DANH MỤC'!$C:$H,4,0),"")</f>
        <v/>
      </c>
      <c r="J1118" s="42">
        <f>+IFERROR(VLOOKUP(E1118,'DANH MỤC'!$C:$H,5,0),"")</f>
        <v>1150</v>
      </c>
      <c r="K1118" s="53"/>
      <c r="L1118" s="58">
        <v>80.0</v>
      </c>
      <c r="M1118" s="55"/>
      <c r="N1118" s="55"/>
    </row>
    <row r="1119" ht="15.75" customHeight="1">
      <c r="A1119" s="53">
        <f t="shared" si="3"/>
        <v>1114</v>
      </c>
      <c r="B1119" s="55"/>
      <c r="C1119" s="41">
        <v>46100.0</v>
      </c>
      <c r="D1119" s="42" t="s">
        <v>758</v>
      </c>
      <c r="E1119" s="42" t="s">
        <v>96</v>
      </c>
      <c r="F1119" s="42" t="str">
        <f>+IFERROR(VLOOKUP(E1119,'DANH MỤC'!$C:$H,2,0),"")</f>
        <v>Giấy bao gói lưỡi gà</v>
      </c>
      <c r="G1119" s="42" t="str">
        <f>+IFERROR(VLOOKUP(E1119,'DANH MỤC'!$C:$H,6,0),"")</f>
        <v>Kg</v>
      </c>
      <c r="H1119" s="42" t="str">
        <f>+IFERROR(VLOOKUP(E1119,'DANH MỤC'!$C:$H,3,0),"")</f>
        <v/>
      </c>
      <c r="I1119" s="42" t="str">
        <f>+IFERROR(VLOOKUP(E1119,'DANH MỤC'!$C:$H,4,0),"")</f>
        <v/>
      </c>
      <c r="J1119" s="42" t="str">
        <f>+IFERROR(VLOOKUP(E1119,'DANH MỤC'!$C:$H,5,0),"")</f>
        <v/>
      </c>
      <c r="K1119" s="53"/>
      <c r="L1119" s="58">
        <v>17.22</v>
      </c>
      <c r="M1119" s="55"/>
      <c r="N1119" s="55"/>
    </row>
    <row r="1120" ht="15.75" customHeight="1">
      <c r="A1120" s="53">
        <f t="shared" si="3"/>
        <v>1115</v>
      </c>
      <c r="B1120" s="55"/>
      <c r="C1120" s="41">
        <v>46100.0</v>
      </c>
      <c r="D1120" s="42" t="s">
        <v>758</v>
      </c>
      <c r="E1120" s="42" t="s">
        <v>112</v>
      </c>
      <c r="F1120" s="42" t="str">
        <f>+IFERROR(VLOOKUP(E1120,'DANH MỤC'!$C:$H,2,0),"")</f>
        <v>Dây đai PET xanh (B)</v>
      </c>
      <c r="G1120" s="42" t="str">
        <f>+IFERROR(VLOOKUP(E1120,'DANH MỤC'!$C:$H,6,0),"")</f>
        <v>Kg</v>
      </c>
      <c r="H1120" s="42" t="str">
        <f>+IFERROR(VLOOKUP(E1120,'DANH MỤC'!$C:$H,3,0),"")</f>
        <v/>
      </c>
      <c r="I1120" s="42" t="str">
        <f>+IFERROR(VLOOKUP(E1120,'DANH MỤC'!$C:$H,4,0),"")</f>
        <v/>
      </c>
      <c r="J1120" s="42" t="str">
        <f>+IFERROR(VLOOKUP(E1120,'DANH MỤC'!$C:$H,5,0),"")</f>
        <v/>
      </c>
      <c r="K1120" s="53"/>
      <c r="L1120" s="58">
        <v>5.7</v>
      </c>
      <c r="M1120" s="55"/>
      <c r="N1120" s="55"/>
    </row>
    <row r="1121" ht="15.75" customHeight="1">
      <c r="A1121" s="53">
        <f t="shared" si="3"/>
        <v>1116</v>
      </c>
      <c r="B1121" s="55"/>
      <c r="C1121" s="41">
        <v>46100.0</v>
      </c>
      <c r="D1121" s="42" t="s">
        <v>758</v>
      </c>
      <c r="E1121" s="42" t="s">
        <v>115</v>
      </c>
      <c r="F1121" s="42" t="str">
        <f>+IFERROR(VLOOKUP(E1121,'DANH MỤC'!$C:$H,2,0),"")</f>
        <v>Màng Strecth Film 5.0-0.6kg</v>
      </c>
      <c r="G1121" s="42" t="str">
        <f>+IFERROR(VLOOKUP(E1121,'DANH MỤC'!$C:$H,6,0),"")</f>
        <v>Kg</v>
      </c>
      <c r="H1121" s="42" t="str">
        <f>+IFERROR(VLOOKUP(E1121,'DANH MỤC'!$C:$H,3,0),"")</f>
        <v/>
      </c>
      <c r="I1121" s="42" t="str">
        <f>+IFERROR(VLOOKUP(E1121,'DANH MỤC'!$C:$H,4,0),"")</f>
        <v/>
      </c>
      <c r="J1121" s="42" t="str">
        <f>+IFERROR(VLOOKUP(E1121,'DANH MỤC'!$C:$H,5,0),"")</f>
        <v/>
      </c>
      <c r="K1121" s="53"/>
      <c r="L1121" s="58">
        <v>15.2</v>
      </c>
      <c r="M1121" s="55"/>
      <c r="N1121" s="55"/>
    </row>
    <row r="1122" ht="15.75" customHeight="1">
      <c r="A1122" s="53">
        <f t="shared" si="3"/>
        <v>1117</v>
      </c>
      <c r="B1122" s="55"/>
      <c r="C1122" s="41">
        <v>46100.0</v>
      </c>
      <c r="D1122" s="42" t="s">
        <v>759</v>
      </c>
      <c r="E1122" s="42" t="s">
        <v>81</v>
      </c>
      <c r="F1122" s="42" t="str">
        <f>+IFERROR(VLOOKUP(E1122,'DANH MỤC'!$C:$H,2,0),"")</f>
        <v>Lưỡi gà trắng 71mm x 800m x 210gsm</v>
      </c>
      <c r="G1122" s="42" t="str">
        <f>+IFERROR(VLOOKUP(E1122,'DANH MỤC'!$C:$H,6,0),"")</f>
        <v>Cuộn</v>
      </c>
      <c r="H1122" s="42">
        <f>+IFERROR(VLOOKUP(E1122,'DANH MỤC'!$C:$H,3,0),"")</f>
        <v>210</v>
      </c>
      <c r="I1122" s="42">
        <f>+IFERROR(VLOOKUP(E1122,'DANH MỤC'!$C:$H,4,0),"")</f>
        <v>71</v>
      </c>
      <c r="J1122" s="42">
        <f>+IFERROR(VLOOKUP(E1122,'DANH MỤC'!$C:$H,5,0),"")</f>
        <v>800</v>
      </c>
      <c r="K1122" s="53">
        <v>318.0</v>
      </c>
      <c r="L1122" s="58"/>
      <c r="M1122" s="55"/>
      <c r="N1122" s="55"/>
    </row>
    <row r="1123" ht="15.75" customHeight="1">
      <c r="A1123" s="53">
        <f t="shared" si="3"/>
        <v>1118</v>
      </c>
      <c r="B1123" s="55"/>
      <c r="C1123" s="41">
        <v>46100.0</v>
      </c>
      <c r="D1123" s="42" t="s">
        <v>759</v>
      </c>
      <c r="E1123" s="42" t="s">
        <v>104</v>
      </c>
      <c r="F1123" s="42" t="str">
        <f>+IFERROR(VLOOKUP(E1123,'DANH MỤC'!$C:$H,2,0),"")</f>
        <v>Lưỡi gà trắng 95mm x 800m x 210gsm</v>
      </c>
      <c r="G1123" s="42" t="str">
        <f>+IFERROR(VLOOKUP(E1123,'DANH MỤC'!$C:$H,6,0),"")</f>
        <v>Cuộn</v>
      </c>
      <c r="H1123" s="42">
        <f>+IFERROR(VLOOKUP(E1123,'DANH MỤC'!$C:$H,3,0),"")</f>
        <v>210</v>
      </c>
      <c r="I1123" s="42">
        <f>+IFERROR(VLOOKUP(E1123,'DANH MỤC'!$C:$H,4,0),"")</f>
        <v>95</v>
      </c>
      <c r="J1123" s="42">
        <f>+IFERROR(VLOOKUP(E1123,'DANH MỤC'!$C:$H,5,0),"")</f>
        <v>800</v>
      </c>
      <c r="K1123" s="53">
        <v>954.0</v>
      </c>
      <c r="L1123" s="58"/>
      <c r="M1123" s="55"/>
      <c r="N1123" s="55"/>
    </row>
    <row r="1124" ht="15.75" customHeight="1">
      <c r="A1124" s="53">
        <f t="shared" si="3"/>
        <v>1119</v>
      </c>
      <c r="B1124" s="55"/>
      <c r="C1124" s="41">
        <v>46101.0</v>
      </c>
      <c r="D1124" s="42" t="s">
        <v>760</v>
      </c>
      <c r="E1124" s="42" t="s">
        <v>213</v>
      </c>
      <c r="F1124" s="42" t="str">
        <f>+IFERROR(VLOOKUP(E1124,'DANH MỤC'!$C:$H,2,0),"")</f>
        <v>Ivory Ningbo</v>
      </c>
      <c r="G1124" s="42" t="str">
        <f>+IFERROR(VLOOKUP(E1124,'DANH MỤC'!$C:$H,6,0),"")</f>
        <v>Kg</v>
      </c>
      <c r="H1124" s="42">
        <f>+IFERROR(VLOOKUP(E1124,'DANH MỤC'!$C:$H,3,0),"")</f>
        <v>210</v>
      </c>
      <c r="I1124" s="42">
        <f>+IFERROR(VLOOKUP(E1124,'DANH MỤC'!$C:$H,4,0),"")</f>
        <v>108</v>
      </c>
      <c r="J1124" s="42" t="str">
        <f>+IFERROR(VLOOKUP(E1124,'DANH MỤC'!$C:$H,5,0),"")</f>
        <v/>
      </c>
      <c r="K1124" s="53"/>
      <c r="L1124" s="58">
        <f>300+1*987</f>
        <v>1287</v>
      </c>
      <c r="M1124" s="55"/>
      <c r="N1124" s="55"/>
    </row>
    <row r="1125" ht="15.75" customHeight="1">
      <c r="A1125" s="53">
        <f t="shared" si="3"/>
        <v>1120</v>
      </c>
      <c r="B1125" s="55"/>
      <c r="C1125" s="41">
        <v>46101.0</v>
      </c>
      <c r="D1125" s="42" t="s">
        <v>761</v>
      </c>
      <c r="E1125" s="42" t="s">
        <v>182</v>
      </c>
      <c r="F1125" s="42" t="str">
        <f>+IFERROR(VLOOKUP(E1125,'DANH MỤC'!$C:$H,2,0),"")</f>
        <v>Ống lõi giấy phi 120x7x71mm</v>
      </c>
      <c r="G1125" s="42" t="str">
        <f>+IFERROR(VLOOKUP(E1125,'DANH MỤC'!$C:$H,6,0),"")</f>
        <v>Cái</v>
      </c>
      <c r="H1125" s="42">
        <f>+IFERROR(VLOOKUP(E1125,'DANH MỤC'!$C:$H,3,0),"")</f>
        <v>120</v>
      </c>
      <c r="I1125" s="42">
        <f>+IFERROR(VLOOKUP(E1125,'DANH MỤC'!$C:$H,4,0),"")</f>
        <v>70</v>
      </c>
      <c r="J1125" s="42">
        <f>+IFERROR(VLOOKUP(E1125,'DANH MỤC'!$C:$H,5,0),"")</f>
        <v>71</v>
      </c>
      <c r="K1125" s="53"/>
      <c r="L1125" s="58">
        <v>56.0</v>
      </c>
      <c r="M1125" s="55"/>
      <c r="N1125" s="55"/>
    </row>
    <row r="1126" ht="15.75" customHeight="1">
      <c r="A1126" s="53">
        <f t="shared" si="3"/>
        <v>1121</v>
      </c>
      <c r="B1126" s="55"/>
      <c r="C1126" s="41">
        <v>46101.0</v>
      </c>
      <c r="D1126" s="42" t="s">
        <v>761</v>
      </c>
      <c r="E1126" s="42" t="s">
        <v>184</v>
      </c>
      <c r="F1126" s="42" t="str">
        <f>+IFERROR(VLOOKUP(E1126,'DANH MỤC'!$C:$H,2,0),"")</f>
        <v>Ống lõi giấy phi 120x7x95mm</v>
      </c>
      <c r="G1126" s="42" t="str">
        <f>+IFERROR(VLOOKUP(E1126,'DANH MỤC'!$C:$H,6,0),"")</f>
        <v>Cái</v>
      </c>
      <c r="H1126" s="42">
        <f>+IFERROR(VLOOKUP(E1126,'DANH MỤC'!$C:$H,3,0),"")</f>
        <v>120</v>
      </c>
      <c r="I1126" s="42">
        <f>+IFERROR(VLOOKUP(E1126,'DANH MỤC'!$C:$H,4,0),"")</f>
        <v>70</v>
      </c>
      <c r="J1126" s="42">
        <f>+IFERROR(VLOOKUP(E1126,'DANH MỤC'!$C:$H,5,0),"")</f>
        <v>95</v>
      </c>
      <c r="K1126" s="53"/>
      <c r="L1126" s="58">
        <v>42.0</v>
      </c>
      <c r="M1126" s="55"/>
      <c r="N1126" s="55"/>
    </row>
    <row r="1127" ht="15.75" customHeight="1">
      <c r="A1127" s="53">
        <f t="shared" si="3"/>
        <v>1122</v>
      </c>
      <c r="B1127" s="55"/>
      <c r="C1127" s="41">
        <v>46101.0</v>
      </c>
      <c r="D1127" s="42" t="s">
        <v>761</v>
      </c>
      <c r="E1127" s="42" t="s">
        <v>127</v>
      </c>
      <c r="F1127" s="42" t="str">
        <f>+IFERROR(VLOOKUP(E1127,'DANH MỤC'!$C:$H,2,0),"")</f>
        <v>Pallet gỗ 1100x1100x130mm</v>
      </c>
      <c r="G1127" s="42" t="str">
        <f>+IFERROR(VLOOKUP(E1127,'DANH MỤC'!$C:$H,6,0),"")</f>
        <v>Bộ</v>
      </c>
      <c r="H1127" s="42">
        <f>+IFERROR(VLOOKUP(E1127,'DANH MỤC'!$C:$H,3,0),"")</f>
        <v>1100</v>
      </c>
      <c r="I1127" s="42">
        <f>+IFERROR(VLOOKUP(E1127,'DANH MỤC'!$C:$H,4,0),"")</f>
        <v>1100</v>
      </c>
      <c r="J1127" s="42">
        <f>+IFERROR(VLOOKUP(E1127,'DANH MỤC'!$C:$H,5,0),"")</f>
        <v>130</v>
      </c>
      <c r="K1127" s="53"/>
      <c r="L1127" s="58">
        <v>2.0</v>
      </c>
      <c r="M1127" s="55"/>
      <c r="N1127" s="55"/>
    </row>
    <row r="1128" ht="15.75" customHeight="1">
      <c r="A1128" s="53">
        <f t="shared" si="3"/>
        <v>1123</v>
      </c>
      <c r="B1128" s="55"/>
      <c r="C1128" s="41">
        <v>46101.0</v>
      </c>
      <c r="D1128" s="42" t="s">
        <v>761</v>
      </c>
      <c r="E1128" s="42" t="s">
        <v>96</v>
      </c>
      <c r="F1128" s="42" t="str">
        <f>+IFERROR(VLOOKUP(E1128,'DANH MỤC'!$C:$H,2,0),"")</f>
        <v>Giấy bao gói lưỡi gà</v>
      </c>
      <c r="G1128" s="42" t="str">
        <f>+IFERROR(VLOOKUP(E1128,'DANH MỤC'!$C:$H,6,0),"")</f>
        <v>Kg</v>
      </c>
      <c r="H1128" s="42" t="str">
        <f>+IFERROR(VLOOKUP(E1128,'DANH MỤC'!$C:$H,3,0),"")</f>
        <v/>
      </c>
      <c r="I1128" s="42" t="str">
        <f>+IFERROR(VLOOKUP(E1128,'DANH MỤC'!$C:$H,4,0),"")</f>
        <v/>
      </c>
      <c r="J1128" s="42" t="str">
        <f>+IFERROR(VLOOKUP(E1128,'DANH MỤC'!$C:$H,5,0),"")</f>
        <v/>
      </c>
      <c r="K1128" s="53"/>
      <c r="L1128" s="58">
        <v>1.14</v>
      </c>
      <c r="M1128" s="55"/>
      <c r="N1128" s="55"/>
    </row>
    <row r="1129" ht="15.75" customHeight="1">
      <c r="A1129" s="53">
        <f t="shared" si="3"/>
        <v>1124</v>
      </c>
      <c r="B1129" s="55"/>
      <c r="C1129" s="41">
        <v>46101.0</v>
      </c>
      <c r="D1129" s="42" t="s">
        <v>761</v>
      </c>
      <c r="E1129" s="42" t="s">
        <v>112</v>
      </c>
      <c r="F1129" s="42" t="str">
        <f>+IFERROR(VLOOKUP(E1129,'DANH MỤC'!$C:$H,2,0),"")</f>
        <v>Dây đai PET xanh (B)</v>
      </c>
      <c r="G1129" s="42" t="str">
        <f>+IFERROR(VLOOKUP(E1129,'DANH MỤC'!$C:$H,6,0),"")</f>
        <v>Kg</v>
      </c>
      <c r="H1129" s="42" t="str">
        <f>+IFERROR(VLOOKUP(E1129,'DANH MỤC'!$C:$H,3,0),"")</f>
        <v/>
      </c>
      <c r="I1129" s="42" t="str">
        <f>+IFERROR(VLOOKUP(E1129,'DANH MỤC'!$C:$H,4,0),"")</f>
        <v/>
      </c>
      <c r="J1129" s="42" t="str">
        <f>+IFERROR(VLOOKUP(E1129,'DANH MỤC'!$C:$H,5,0),"")</f>
        <v/>
      </c>
      <c r="K1129" s="53"/>
      <c r="L1129" s="58">
        <v>0.6</v>
      </c>
      <c r="M1129" s="55"/>
      <c r="N1129" s="55"/>
    </row>
    <row r="1130" ht="15.75" customHeight="1">
      <c r="A1130" s="53">
        <f t="shared" si="3"/>
        <v>1125</v>
      </c>
      <c r="B1130" s="55"/>
      <c r="C1130" s="41">
        <v>46101.0</v>
      </c>
      <c r="D1130" s="42" t="s">
        <v>761</v>
      </c>
      <c r="E1130" s="42" t="s">
        <v>115</v>
      </c>
      <c r="F1130" s="42" t="str">
        <f>+IFERROR(VLOOKUP(E1130,'DANH MỤC'!$C:$H,2,0),"")</f>
        <v>Màng Strecth Film 5.0-0.6kg</v>
      </c>
      <c r="G1130" s="42" t="str">
        <f>+IFERROR(VLOOKUP(E1130,'DANH MỤC'!$C:$H,6,0),"")</f>
        <v>Kg</v>
      </c>
      <c r="H1130" s="42" t="str">
        <f>+IFERROR(VLOOKUP(E1130,'DANH MỤC'!$C:$H,3,0),"")</f>
        <v/>
      </c>
      <c r="I1130" s="42" t="str">
        <f>+IFERROR(VLOOKUP(E1130,'DANH MỤC'!$C:$H,4,0),"")</f>
        <v/>
      </c>
      <c r="J1130" s="42" t="str">
        <f>+IFERROR(VLOOKUP(E1130,'DANH MỤC'!$C:$H,5,0),"")</f>
        <v/>
      </c>
      <c r="K1130" s="53"/>
      <c r="L1130" s="58">
        <v>1.6</v>
      </c>
      <c r="M1130" s="55"/>
      <c r="N1130" s="55"/>
    </row>
    <row r="1131" ht="15.75" customHeight="1">
      <c r="A1131" s="53">
        <f t="shared" si="3"/>
        <v>1126</v>
      </c>
      <c r="B1131" s="55"/>
      <c r="C1131" s="41">
        <v>46101.0</v>
      </c>
      <c r="D1131" s="42" t="s">
        <v>762</v>
      </c>
      <c r="E1131" s="42" t="s">
        <v>81</v>
      </c>
      <c r="F1131" s="42" t="str">
        <f>+IFERROR(VLOOKUP(E1131,'DANH MỤC'!$C:$H,2,0),"")</f>
        <v>Lưỡi gà trắng 71mm x 800m x 210gsm</v>
      </c>
      <c r="G1131" s="42" t="str">
        <f>+IFERROR(VLOOKUP(E1131,'DANH MỤC'!$C:$H,6,0),"")</f>
        <v>Cuộn</v>
      </c>
      <c r="H1131" s="42">
        <f>+IFERROR(VLOOKUP(E1131,'DANH MỤC'!$C:$H,3,0),"")</f>
        <v>210</v>
      </c>
      <c r="I1131" s="42">
        <f>+IFERROR(VLOOKUP(E1131,'DANH MỤC'!$C:$H,4,0),"")</f>
        <v>71</v>
      </c>
      <c r="J1131" s="42">
        <f>+IFERROR(VLOOKUP(E1131,'DANH MỤC'!$C:$H,5,0),"")</f>
        <v>800</v>
      </c>
      <c r="K1131" s="53">
        <v>56.0</v>
      </c>
      <c r="L1131" s="58"/>
      <c r="M1131" s="55"/>
      <c r="N1131" s="55"/>
    </row>
    <row r="1132" ht="15.75" customHeight="1">
      <c r="A1132" s="53">
        <f t="shared" si="3"/>
        <v>1127</v>
      </c>
      <c r="B1132" s="55"/>
      <c r="C1132" s="41">
        <v>46101.0</v>
      </c>
      <c r="D1132" s="42" t="s">
        <v>762</v>
      </c>
      <c r="E1132" s="42" t="s">
        <v>89</v>
      </c>
      <c r="F1132" s="42" t="str">
        <f>+IFERROR(VLOOKUP(E1132,'DANH MỤC'!$C:$H,2,0),"")</f>
        <v>Lưỡi gà trắng 83mm x 800m x 210gsm</v>
      </c>
      <c r="G1132" s="42" t="str">
        <f>+IFERROR(VLOOKUP(E1132,'DANH MỤC'!$C:$H,6,0),"")</f>
        <v>Cuộn</v>
      </c>
      <c r="H1132" s="42">
        <f>+IFERROR(VLOOKUP(E1132,'DANH MỤC'!$C:$H,3,0),"")</f>
        <v>210</v>
      </c>
      <c r="I1132" s="42">
        <f>+IFERROR(VLOOKUP(E1132,'DANH MỤC'!$C:$H,4,0),"")</f>
        <v>83</v>
      </c>
      <c r="J1132" s="42">
        <f>+IFERROR(VLOOKUP(E1132,'DANH MỤC'!$C:$H,5,0),"")</f>
        <v>800</v>
      </c>
      <c r="K1132" s="53">
        <v>42.0</v>
      </c>
      <c r="L1132" s="58"/>
      <c r="M1132" s="55"/>
      <c r="N1132" s="55"/>
    </row>
    <row r="1133" ht="15.75" customHeight="1">
      <c r="A1133" s="53">
        <f t="shared" si="3"/>
        <v>1128</v>
      </c>
      <c r="B1133" s="55"/>
      <c r="C1133" s="41">
        <v>46106.0</v>
      </c>
      <c r="D1133" s="42" t="s">
        <v>763</v>
      </c>
      <c r="E1133" s="42" t="s">
        <v>213</v>
      </c>
      <c r="F1133" s="42" t="str">
        <f>+IFERROR(VLOOKUP(E1133,'DANH MỤC'!$C:$H,2,0),"")</f>
        <v>Ivory Ningbo</v>
      </c>
      <c r="G1133" s="42" t="str">
        <f>+IFERROR(VLOOKUP(E1133,'DANH MỤC'!$C:$H,6,0),"")</f>
        <v>Kg</v>
      </c>
      <c r="H1133" s="42">
        <f>+IFERROR(VLOOKUP(E1133,'DANH MỤC'!$C:$H,3,0),"")</f>
        <v>210</v>
      </c>
      <c r="I1133" s="42">
        <f>+IFERROR(VLOOKUP(E1133,'DANH MỤC'!$C:$H,4,0),"")</f>
        <v>108</v>
      </c>
      <c r="J1133" s="42" t="str">
        <f>+IFERROR(VLOOKUP(E1133,'DANH MỤC'!$C:$H,5,0),"")</f>
        <v/>
      </c>
      <c r="K1133" s="53"/>
      <c r="L1133" s="58">
        <f>5*987-50</f>
        <v>4885</v>
      </c>
      <c r="M1133" s="55"/>
      <c r="N1133" s="55"/>
    </row>
    <row r="1134" ht="15.75" customHeight="1">
      <c r="A1134" s="53">
        <f t="shared" si="3"/>
        <v>1129</v>
      </c>
      <c r="B1134" s="55"/>
      <c r="C1134" s="41">
        <v>46106.0</v>
      </c>
      <c r="D1134" s="42" t="s">
        <v>764</v>
      </c>
      <c r="E1134" s="42" t="s">
        <v>182</v>
      </c>
      <c r="F1134" s="42" t="str">
        <f>+IFERROR(VLOOKUP(E1134,'DANH MỤC'!$C:$H,2,0),"")</f>
        <v>Ống lõi giấy phi 120x7x71mm</v>
      </c>
      <c r="G1134" s="42" t="str">
        <f>+IFERROR(VLOOKUP(E1134,'DANH MỤC'!$C:$H,6,0),"")</f>
        <v>Cái</v>
      </c>
      <c r="H1134" s="42">
        <f>+IFERROR(VLOOKUP(E1134,'DANH MỤC'!$C:$H,3,0),"")</f>
        <v>120</v>
      </c>
      <c r="I1134" s="42">
        <f>+IFERROR(VLOOKUP(E1134,'DANH MỤC'!$C:$H,4,0),"")</f>
        <v>70</v>
      </c>
      <c r="J1134" s="42">
        <f>+IFERROR(VLOOKUP(E1134,'DANH MỤC'!$C:$H,5,0),"")</f>
        <v>71</v>
      </c>
      <c r="K1134" s="53"/>
      <c r="L1134" s="58">
        <v>375.0</v>
      </c>
      <c r="M1134" s="55"/>
      <c r="N1134" s="55"/>
    </row>
    <row r="1135" ht="15.75" customHeight="1">
      <c r="A1135" s="53">
        <f t="shared" si="3"/>
        <v>1130</v>
      </c>
      <c r="B1135" s="55"/>
      <c r="C1135" s="41">
        <v>46106.0</v>
      </c>
      <c r="D1135" s="42" t="s">
        <v>764</v>
      </c>
      <c r="E1135" s="42" t="s">
        <v>184</v>
      </c>
      <c r="F1135" s="42" t="str">
        <f>+IFERROR(VLOOKUP(E1135,'DANH MỤC'!$C:$H,2,0),"")</f>
        <v>Ống lõi giấy phi 120x7x95mm</v>
      </c>
      <c r="G1135" s="42" t="str">
        <f>+IFERROR(VLOOKUP(E1135,'DANH MỤC'!$C:$H,6,0),"")</f>
        <v>Cái</v>
      </c>
      <c r="H1135" s="42">
        <f>+IFERROR(VLOOKUP(E1135,'DANH MỤC'!$C:$H,3,0),"")</f>
        <v>120</v>
      </c>
      <c r="I1135" s="42">
        <f>+IFERROR(VLOOKUP(E1135,'DANH MỤC'!$C:$H,4,0),"")</f>
        <v>70</v>
      </c>
      <c r="J1135" s="42">
        <f>+IFERROR(VLOOKUP(E1135,'DANH MỤC'!$C:$H,5,0),"")</f>
        <v>95</v>
      </c>
      <c r="K1135" s="53"/>
      <c r="L1135" s="58">
        <v>22.0</v>
      </c>
      <c r="M1135" s="55"/>
      <c r="N1135" s="55"/>
    </row>
    <row r="1136" ht="15.75" customHeight="1">
      <c r="A1136" s="53">
        <f t="shared" si="3"/>
        <v>1131</v>
      </c>
      <c r="B1136" s="55"/>
      <c r="C1136" s="41">
        <v>46106.0</v>
      </c>
      <c r="D1136" s="42" t="s">
        <v>764</v>
      </c>
      <c r="E1136" s="42" t="s">
        <v>127</v>
      </c>
      <c r="F1136" s="42" t="str">
        <f>+IFERROR(VLOOKUP(E1136,'DANH MỤC'!$C:$H,2,0),"")</f>
        <v>Pallet gỗ 1100x1100x130mm</v>
      </c>
      <c r="G1136" s="42" t="str">
        <f>+IFERROR(VLOOKUP(E1136,'DANH MỤC'!$C:$H,6,0),"")</f>
        <v>Bộ</v>
      </c>
      <c r="H1136" s="42">
        <f>+IFERROR(VLOOKUP(E1136,'DANH MỤC'!$C:$H,3,0),"")</f>
        <v>1100</v>
      </c>
      <c r="I1136" s="42">
        <f>+IFERROR(VLOOKUP(E1136,'DANH MỤC'!$C:$H,4,0),"")</f>
        <v>1100</v>
      </c>
      <c r="J1136" s="42">
        <f>+IFERROR(VLOOKUP(E1136,'DANH MỤC'!$C:$H,5,0),"")</f>
        <v>130</v>
      </c>
      <c r="K1136" s="53"/>
      <c r="L1136" s="58">
        <v>7.0</v>
      </c>
      <c r="M1136" s="55"/>
      <c r="N1136" s="55"/>
    </row>
    <row r="1137" ht="15.75" customHeight="1">
      <c r="A1137" s="53">
        <f t="shared" si="3"/>
        <v>1132</v>
      </c>
      <c r="B1137" s="55"/>
      <c r="C1137" s="41">
        <v>46106.0</v>
      </c>
      <c r="D1137" s="42" t="s">
        <v>764</v>
      </c>
      <c r="E1137" s="42" t="s">
        <v>96</v>
      </c>
      <c r="F1137" s="42" t="str">
        <f>+IFERROR(VLOOKUP(E1137,'DANH MỤC'!$C:$H,2,0),"")</f>
        <v>Giấy bao gói lưỡi gà</v>
      </c>
      <c r="G1137" s="42" t="str">
        <f>+IFERROR(VLOOKUP(E1137,'DANH MỤC'!$C:$H,6,0),"")</f>
        <v>Kg</v>
      </c>
      <c r="H1137" s="42" t="str">
        <f>+IFERROR(VLOOKUP(E1137,'DANH MỤC'!$C:$H,3,0),"")</f>
        <v/>
      </c>
      <c r="I1137" s="42" t="str">
        <f>+IFERROR(VLOOKUP(E1137,'DANH MỤC'!$C:$H,4,0),"")</f>
        <v/>
      </c>
      <c r="J1137" s="42" t="str">
        <f>+IFERROR(VLOOKUP(E1137,'DANH MỤC'!$C:$H,5,0),"")</f>
        <v/>
      </c>
      <c r="K1137" s="53"/>
      <c r="L1137" s="58">
        <v>4.37</v>
      </c>
      <c r="M1137" s="55"/>
      <c r="N1137" s="55"/>
    </row>
    <row r="1138" ht="15.75" customHeight="1">
      <c r="A1138" s="53">
        <f t="shared" si="3"/>
        <v>1133</v>
      </c>
      <c r="B1138" s="55"/>
      <c r="C1138" s="41">
        <v>46106.0</v>
      </c>
      <c r="D1138" s="42" t="s">
        <v>764</v>
      </c>
      <c r="E1138" s="42" t="s">
        <v>112</v>
      </c>
      <c r="F1138" s="42" t="str">
        <f>+IFERROR(VLOOKUP(E1138,'DANH MỤC'!$C:$H,2,0),"")</f>
        <v>Dây đai PET xanh (B)</v>
      </c>
      <c r="G1138" s="42" t="str">
        <f>+IFERROR(VLOOKUP(E1138,'DANH MỤC'!$C:$H,6,0),"")</f>
        <v>Kg</v>
      </c>
      <c r="H1138" s="42" t="str">
        <f>+IFERROR(VLOOKUP(E1138,'DANH MỤC'!$C:$H,3,0),"")</f>
        <v/>
      </c>
      <c r="I1138" s="42" t="str">
        <f>+IFERROR(VLOOKUP(E1138,'DANH MỤC'!$C:$H,4,0),"")</f>
        <v/>
      </c>
      <c r="J1138" s="42" t="str">
        <f>+IFERROR(VLOOKUP(E1138,'DANH MỤC'!$C:$H,5,0),"")</f>
        <v/>
      </c>
      <c r="K1138" s="53"/>
      <c r="L1138" s="58">
        <v>2.1</v>
      </c>
      <c r="M1138" s="55"/>
      <c r="N1138" s="55"/>
    </row>
    <row r="1139" ht="15.75" customHeight="1">
      <c r="A1139" s="53">
        <f t="shared" si="3"/>
        <v>1134</v>
      </c>
      <c r="B1139" s="55"/>
      <c r="C1139" s="41">
        <v>46106.0</v>
      </c>
      <c r="D1139" s="42" t="s">
        <v>764</v>
      </c>
      <c r="E1139" s="42" t="s">
        <v>115</v>
      </c>
      <c r="F1139" s="42" t="str">
        <f>+IFERROR(VLOOKUP(E1139,'DANH MỤC'!$C:$H,2,0),"")</f>
        <v>Màng Strecth Film 5.0-0.6kg</v>
      </c>
      <c r="G1139" s="42" t="str">
        <f>+IFERROR(VLOOKUP(E1139,'DANH MỤC'!$C:$H,6,0),"")</f>
        <v>Kg</v>
      </c>
      <c r="H1139" s="42" t="str">
        <f>+IFERROR(VLOOKUP(E1139,'DANH MỤC'!$C:$H,3,0),"")</f>
        <v/>
      </c>
      <c r="I1139" s="42" t="str">
        <f>+IFERROR(VLOOKUP(E1139,'DANH MỤC'!$C:$H,4,0),"")</f>
        <v/>
      </c>
      <c r="J1139" s="42" t="str">
        <f>+IFERROR(VLOOKUP(E1139,'DANH MỤC'!$C:$H,5,0),"")</f>
        <v/>
      </c>
      <c r="K1139" s="53"/>
      <c r="L1139" s="58">
        <v>5.6</v>
      </c>
      <c r="M1139" s="55"/>
      <c r="N1139" s="55"/>
    </row>
    <row r="1140" ht="15.75" customHeight="1">
      <c r="A1140" s="53">
        <f t="shared" si="3"/>
        <v>1135</v>
      </c>
      <c r="B1140" s="55"/>
      <c r="C1140" s="41">
        <v>46106.0</v>
      </c>
      <c r="D1140" s="42" t="s">
        <v>765</v>
      </c>
      <c r="E1140" s="42" t="s">
        <v>81</v>
      </c>
      <c r="F1140" s="42" t="str">
        <f>+IFERROR(VLOOKUP(E1140,'DANH MỤC'!$C:$H,2,0),"")</f>
        <v>Lưỡi gà trắng 71mm x 800m x 210gsm</v>
      </c>
      <c r="G1140" s="42" t="str">
        <f>+IFERROR(VLOOKUP(E1140,'DANH MỤC'!$C:$H,6,0),"")</f>
        <v>Cuộn</v>
      </c>
      <c r="H1140" s="42">
        <f>+IFERROR(VLOOKUP(E1140,'DANH MỤC'!$C:$H,3,0),"")</f>
        <v>210</v>
      </c>
      <c r="I1140" s="42">
        <f>+IFERROR(VLOOKUP(E1140,'DANH MỤC'!$C:$H,4,0),"")</f>
        <v>71</v>
      </c>
      <c r="J1140" s="42">
        <f>+IFERROR(VLOOKUP(E1140,'DANH MỤC'!$C:$H,5,0),"")</f>
        <v>800</v>
      </c>
      <c r="K1140" s="53">
        <v>375.0</v>
      </c>
      <c r="L1140" s="58"/>
      <c r="M1140" s="55"/>
      <c r="N1140" s="55"/>
    </row>
    <row r="1141" ht="15.75" customHeight="1">
      <c r="A1141" s="53">
        <f t="shared" si="3"/>
        <v>1136</v>
      </c>
      <c r="B1141" s="55"/>
      <c r="C1141" s="41">
        <v>46106.0</v>
      </c>
      <c r="D1141" s="42" t="s">
        <v>765</v>
      </c>
      <c r="E1141" s="42" t="s">
        <v>101</v>
      </c>
      <c r="F1141" s="42" t="str">
        <f>+IFERROR(VLOOKUP(E1141,'DANH MỤC'!$C:$H,2,0),"")</f>
        <v>Lưỡi gà trắng 96.5mm x 800m x 210gsm</v>
      </c>
      <c r="G1141" s="42" t="str">
        <f>+IFERROR(VLOOKUP(E1141,'DANH MỤC'!$C:$H,6,0),"")</f>
        <v>Cuộn</v>
      </c>
      <c r="H1141" s="42">
        <f>+IFERROR(VLOOKUP(E1141,'DANH MỤC'!$C:$H,3,0),"")</f>
        <v>210</v>
      </c>
      <c r="I1141" s="42">
        <f>+IFERROR(VLOOKUP(E1141,'DANH MỤC'!$C:$H,4,0),"")</f>
        <v>96.5</v>
      </c>
      <c r="J1141" s="42">
        <f>+IFERROR(VLOOKUP(E1141,'DANH MỤC'!$C:$H,5,0),"")</f>
        <v>800</v>
      </c>
      <c r="K1141" s="53">
        <v>22.0</v>
      </c>
      <c r="L1141" s="58"/>
      <c r="M1141" s="55"/>
      <c r="N1141" s="55"/>
    </row>
    <row r="1142" ht="15.75" customHeight="1">
      <c r="A1142" s="53">
        <f t="shared" si="3"/>
        <v>1137</v>
      </c>
      <c r="B1142" s="55"/>
      <c r="C1142" s="41">
        <v>46107.0</v>
      </c>
      <c r="D1142" s="42" t="s">
        <v>523</v>
      </c>
      <c r="E1142" s="42" t="s">
        <v>110</v>
      </c>
      <c r="F1142" s="42" t="str">
        <f>+IFERROR(VLOOKUP(E1142,'DANH MỤC'!$C:$H,2,0),"")</f>
        <v>Kraft nâu LG (cuộn)</v>
      </c>
      <c r="G1142" s="42" t="str">
        <f>+IFERROR(VLOOKUP(E1142,'DANH MỤC'!$C:$H,6,0),"")</f>
        <v>Kg</v>
      </c>
      <c r="H1142" s="42" t="str">
        <f>+IFERROR(VLOOKUP(E1142,'DANH MỤC'!$C:$H,3,0),"")</f>
        <v/>
      </c>
      <c r="I1142" s="42" t="str">
        <f>+IFERROR(VLOOKUP(E1142,'DANH MỤC'!$C:$H,4,0),"")</f>
        <v/>
      </c>
      <c r="J1142" s="42" t="str">
        <f>+IFERROR(VLOOKUP(E1142,'DANH MỤC'!$C:$H,5,0),"")</f>
        <v/>
      </c>
      <c r="K1142" s="53"/>
      <c r="L1142" s="58">
        <v>348.0</v>
      </c>
      <c r="M1142" s="55"/>
      <c r="N1142" s="55"/>
    </row>
    <row r="1143" ht="15.75" customHeight="1">
      <c r="A1143" s="53">
        <f t="shared" si="3"/>
        <v>1138</v>
      </c>
      <c r="B1143" s="55"/>
      <c r="C1143" s="41">
        <v>46107.0</v>
      </c>
      <c r="D1143" s="42" t="s">
        <v>525</v>
      </c>
      <c r="E1143" s="42" t="s">
        <v>96</v>
      </c>
      <c r="F1143" s="42" t="str">
        <f>+IFERROR(VLOOKUP(E1143,'DANH MỤC'!$C:$H,2,0),"")</f>
        <v>Giấy bao gói lưỡi gà</v>
      </c>
      <c r="G1143" s="42" t="str">
        <f>+IFERROR(VLOOKUP(E1143,'DANH MỤC'!$C:$H,6,0),"")</f>
        <v>Kg</v>
      </c>
      <c r="H1143" s="42" t="str">
        <f>+IFERROR(VLOOKUP(E1143,'DANH MỤC'!$C:$H,3,0),"")</f>
        <v/>
      </c>
      <c r="I1143" s="42" t="str">
        <f>+IFERROR(VLOOKUP(E1143,'DANH MỤC'!$C:$H,4,0),"")</f>
        <v/>
      </c>
      <c r="J1143" s="42" t="str">
        <f>+IFERROR(VLOOKUP(E1143,'DANH MỤC'!$C:$H,5,0),"")</f>
        <v/>
      </c>
      <c r="K1143" s="53">
        <v>328.0</v>
      </c>
      <c r="L1143" s="58"/>
      <c r="M1143" s="55"/>
      <c r="N1143" s="55"/>
    </row>
    <row r="1144" ht="15.75" customHeight="1">
      <c r="A1144" s="117">
        <f t="shared" si="3"/>
        <v>1139</v>
      </c>
      <c r="B1144" s="118"/>
      <c r="C1144" s="119">
        <v>46111.0</v>
      </c>
      <c r="D1144" s="120" t="s">
        <v>146</v>
      </c>
      <c r="E1144" s="120" t="s">
        <v>81</v>
      </c>
      <c r="F1144" s="120" t="str">
        <f>+IFERROR(VLOOKUP(E1144,'DANH MỤC'!$C:$H,2,0),"")</f>
        <v>Lưỡi gà trắng 71mm x 800m x 210gsm</v>
      </c>
      <c r="G1144" s="120" t="str">
        <f>+IFERROR(VLOOKUP(E1144,'DANH MỤC'!$C:$H,6,0),"")</f>
        <v>Cuộn</v>
      </c>
      <c r="H1144" s="120">
        <f>+IFERROR(VLOOKUP(E1144,'DANH MỤC'!$C:$H,3,0),"")</f>
        <v>210</v>
      </c>
      <c r="I1144" s="120">
        <f>+IFERROR(VLOOKUP(E1144,'DANH MỤC'!$C:$H,4,0),"")</f>
        <v>71</v>
      </c>
      <c r="J1144" s="120">
        <f>+IFERROR(VLOOKUP(E1144,'DANH MỤC'!$C:$H,5,0),"")</f>
        <v>800</v>
      </c>
      <c r="K1144" s="117"/>
      <c r="L1144" s="121">
        <f>5*60</f>
        <v>300</v>
      </c>
      <c r="M1144" s="118"/>
      <c r="N1144" s="118"/>
    </row>
    <row r="1145" ht="15.75" customHeight="1">
      <c r="A1145" s="117">
        <f t="shared" si="3"/>
        <v>1140</v>
      </c>
      <c r="B1145" s="118"/>
      <c r="C1145" s="119">
        <v>46111.0</v>
      </c>
      <c r="D1145" s="120" t="s">
        <v>146</v>
      </c>
      <c r="E1145" s="120" t="s">
        <v>89</v>
      </c>
      <c r="F1145" s="120" t="str">
        <f>+IFERROR(VLOOKUP(E1145,'DANH MỤC'!$C:$H,2,0),"")</f>
        <v>Lưỡi gà trắng 83mm x 800m x 210gsm</v>
      </c>
      <c r="G1145" s="120" t="str">
        <f>+IFERROR(VLOOKUP(E1145,'DANH MỤC'!$C:$H,6,0),"")</f>
        <v>Cuộn</v>
      </c>
      <c r="H1145" s="120">
        <f>+IFERROR(VLOOKUP(E1145,'DANH MỤC'!$C:$H,3,0),"")</f>
        <v>210</v>
      </c>
      <c r="I1145" s="120">
        <f>+IFERROR(VLOOKUP(E1145,'DANH MỤC'!$C:$H,4,0),"")</f>
        <v>83</v>
      </c>
      <c r="J1145" s="120">
        <f>+IFERROR(VLOOKUP(E1145,'DANH MỤC'!$C:$H,5,0),"")</f>
        <v>800</v>
      </c>
      <c r="K1145" s="117"/>
      <c r="L1145" s="121">
        <f>1*60</f>
        <v>60</v>
      </c>
      <c r="M1145" s="118"/>
      <c r="N1145" s="118"/>
    </row>
    <row r="1146" ht="15.75" customHeight="1">
      <c r="A1146" s="117">
        <f t="shared" si="3"/>
        <v>1141</v>
      </c>
      <c r="B1146" s="118"/>
      <c r="C1146" s="119">
        <v>46111.0</v>
      </c>
      <c r="D1146" s="120" t="s">
        <v>146</v>
      </c>
      <c r="E1146" s="120" t="s">
        <v>101</v>
      </c>
      <c r="F1146" s="120" t="str">
        <f>+IFERROR(VLOOKUP(E1146,'DANH MỤC'!$C:$H,2,0),"")</f>
        <v>Lưỡi gà trắng 96.5mm x 800m x 210gsm</v>
      </c>
      <c r="G1146" s="120" t="str">
        <f>+IFERROR(VLOOKUP(E1146,'DANH MỤC'!$C:$H,6,0),"")</f>
        <v>Cuộn</v>
      </c>
      <c r="H1146" s="120">
        <f>+IFERROR(VLOOKUP(E1146,'DANH MỤC'!$C:$H,3,0),"")</f>
        <v>210</v>
      </c>
      <c r="I1146" s="120">
        <f>+IFERROR(VLOOKUP(E1146,'DANH MỤC'!$C:$H,4,0),"")</f>
        <v>96.5</v>
      </c>
      <c r="J1146" s="120">
        <f>+IFERROR(VLOOKUP(E1146,'DANH MỤC'!$C:$H,5,0),"")</f>
        <v>800</v>
      </c>
      <c r="K1146" s="117"/>
      <c r="L1146" s="121">
        <f>1*22</f>
        <v>22</v>
      </c>
      <c r="M1146" s="118"/>
      <c r="N1146" s="118"/>
    </row>
    <row r="1147" ht="15.75" customHeight="1">
      <c r="A1147" s="117">
        <f t="shared" si="3"/>
        <v>1142</v>
      </c>
      <c r="B1147" s="118" t="s">
        <v>766</v>
      </c>
      <c r="C1147" s="119">
        <v>46118.0</v>
      </c>
      <c r="D1147" s="120" t="s">
        <v>146</v>
      </c>
      <c r="E1147" s="120" t="s">
        <v>81</v>
      </c>
      <c r="F1147" s="120" t="str">
        <f>+IFERROR(VLOOKUP(E1147,'DANH MỤC'!$C:$H,2,0),"")</f>
        <v>Lưỡi gà trắng 71mm x 800m x 210gsm</v>
      </c>
      <c r="G1147" s="120" t="str">
        <f>+IFERROR(VLOOKUP(E1147,'DANH MỤC'!$C:$H,6,0),"")</f>
        <v>Cuộn</v>
      </c>
      <c r="H1147" s="120">
        <f>+IFERROR(VLOOKUP(E1147,'DANH MỤC'!$C:$H,3,0),"")</f>
        <v>210</v>
      </c>
      <c r="I1147" s="120">
        <f>+IFERROR(VLOOKUP(E1147,'DANH MỤC'!$C:$H,4,0),"")</f>
        <v>71</v>
      </c>
      <c r="J1147" s="120">
        <f>+IFERROR(VLOOKUP(E1147,'DANH MỤC'!$C:$H,5,0),"")</f>
        <v>800</v>
      </c>
      <c r="K1147" s="117"/>
      <c r="L1147" s="121">
        <v>300.0</v>
      </c>
      <c r="M1147" s="118" t="s">
        <v>304</v>
      </c>
      <c r="N1147" s="118"/>
    </row>
    <row r="1148" ht="15.75" customHeight="1">
      <c r="A1148" s="117">
        <f t="shared" si="3"/>
        <v>1143</v>
      </c>
      <c r="B1148" s="118"/>
      <c r="C1148" s="119">
        <v>46118.0</v>
      </c>
      <c r="D1148" s="120" t="s">
        <v>146</v>
      </c>
      <c r="E1148" s="120" t="s">
        <v>81</v>
      </c>
      <c r="F1148" s="120" t="str">
        <f>+IFERROR(VLOOKUP(E1148,'DANH MỤC'!$C:$H,2,0),"")</f>
        <v>Lưỡi gà trắng 71mm x 800m x 210gsm</v>
      </c>
      <c r="G1148" s="120" t="str">
        <f>+IFERROR(VLOOKUP(E1148,'DANH MỤC'!$C:$H,6,0),"")</f>
        <v>Cuộn</v>
      </c>
      <c r="H1148" s="120">
        <f>+IFERROR(VLOOKUP(E1148,'DANH MỤC'!$C:$H,3,0),"")</f>
        <v>210</v>
      </c>
      <c r="I1148" s="120">
        <f>+IFERROR(VLOOKUP(E1148,'DANH MỤC'!$C:$H,4,0),"")</f>
        <v>71</v>
      </c>
      <c r="J1148" s="120">
        <f>+IFERROR(VLOOKUP(E1148,'DANH MỤC'!$C:$H,5,0),"")</f>
        <v>800</v>
      </c>
      <c r="K1148" s="117"/>
      <c r="L1148" s="121">
        <v>1.0</v>
      </c>
      <c r="M1148" s="118" t="s">
        <v>767</v>
      </c>
      <c r="N1148" s="118"/>
    </row>
    <row r="1149" ht="15.75" customHeight="1">
      <c r="A1149" s="117">
        <f t="shared" si="3"/>
        <v>1144</v>
      </c>
      <c r="B1149" s="118"/>
      <c r="C1149" s="119">
        <v>46118.0</v>
      </c>
      <c r="D1149" s="120" t="s">
        <v>215</v>
      </c>
      <c r="E1149" s="120" t="s">
        <v>113</v>
      </c>
      <c r="F1149" s="120" t="str">
        <f>+IFERROR(VLOOKUP(E1149,'DANH MỤC'!$C:$H,2,0),"")</f>
        <v>Lưỡi gà trắng 95mm x 800m x 230gsm</v>
      </c>
      <c r="G1149" s="120" t="str">
        <f>+IFERROR(VLOOKUP(E1149,'DANH MỤC'!$C:$H,6,0),"")</f>
        <v>Cuộn</v>
      </c>
      <c r="H1149" s="120">
        <f>+IFERROR(VLOOKUP(E1149,'DANH MỤC'!$C:$H,3,0),"")</f>
        <v>230</v>
      </c>
      <c r="I1149" s="120">
        <f>+IFERROR(VLOOKUP(E1149,'DANH MỤC'!$C:$H,4,0),"")</f>
        <v>95</v>
      </c>
      <c r="J1149" s="120">
        <f>+IFERROR(VLOOKUP(E1149,'DANH MỤC'!$C:$H,5,0),"")</f>
        <v>800</v>
      </c>
      <c r="K1149" s="117"/>
      <c r="L1149" s="121">
        <v>300.0</v>
      </c>
      <c r="M1149" s="118" t="s">
        <v>452</v>
      </c>
      <c r="N1149" s="118"/>
    </row>
    <row r="1150" ht="15.75" customHeight="1">
      <c r="A1150" s="460">
        <f t="shared" si="3"/>
        <v>1145</v>
      </c>
      <c r="B1150" s="461"/>
      <c r="C1150" s="462">
        <v>46118.0</v>
      </c>
      <c r="D1150" s="463" t="s">
        <v>768</v>
      </c>
      <c r="E1150" s="463" t="s">
        <v>182</v>
      </c>
      <c r="F1150" s="463" t="str">
        <f>+IFERROR(VLOOKUP(E1150,'DANH MỤC'!$C:$H,2,0),"")</f>
        <v>Ống lõi giấy phi 120x7x71mm</v>
      </c>
      <c r="G1150" s="463" t="str">
        <f>+IFERROR(VLOOKUP(E1150,'DANH MỤC'!$C:$H,6,0),"")</f>
        <v>Cái</v>
      </c>
      <c r="H1150" s="463">
        <f>+IFERROR(VLOOKUP(E1150,'DANH MỤC'!$C:$H,3,0),"")</f>
        <v>120</v>
      </c>
      <c r="I1150" s="463">
        <f>+IFERROR(VLOOKUP(E1150,'DANH MỤC'!$C:$H,4,0),"")</f>
        <v>70</v>
      </c>
      <c r="J1150" s="463">
        <f>+IFERROR(VLOOKUP(E1150,'DANH MỤC'!$C:$H,5,0),"")</f>
        <v>71</v>
      </c>
      <c r="K1150" s="460"/>
      <c r="L1150" s="464">
        <v>10.0</v>
      </c>
      <c r="M1150" s="461"/>
      <c r="N1150" s="461"/>
    </row>
    <row r="1151" ht="15.75" customHeight="1">
      <c r="A1151" s="460">
        <f t="shared" si="3"/>
        <v>1146</v>
      </c>
      <c r="B1151" s="461"/>
      <c r="C1151" s="462">
        <v>46118.0</v>
      </c>
      <c r="D1151" s="463" t="s">
        <v>768</v>
      </c>
      <c r="E1151" s="463" t="s">
        <v>184</v>
      </c>
      <c r="F1151" s="463" t="str">
        <f>+IFERROR(VLOOKUP(E1151,'DANH MỤC'!$C:$H,2,0),"")</f>
        <v>Ống lõi giấy phi 120x7x95mm</v>
      </c>
      <c r="G1151" s="463" t="str">
        <f>+IFERROR(VLOOKUP(E1151,'DANH MỤC'!$C:$H,6,0),"")</f>
        <v>Cái</v>
      </c>
      <c r="H1151" s="463">
        <f>+IFERROR(VLOOKUP(E1151,'DANH MỤC'!$C:$H,3,0),"")</f>
        <v>120</v>
      </c>
      <c r="I1151" s="463">
        <f>+IFERROR(VLOOKUP(E1151,'DANH MỤC'!$C:$H,4,0),"")</f>
        <v>70</v>
      </c>
      <c r="J1151" s="463">
        <f>+IFERROR(VLOOKUP(E1151,'DANH MỤC'!$C:$H,5,0),"")</f>
        <v>95</v>
      </c>
      <c r="K1151" s="460"/>
      <c r="L1151" s="464">
        <v>10.0</v>
      </c>
      <c r="M1151" s="461"/>
      <c r="N1151" s="461"/>
    </row>
    <row r="1152" ht="15.75" customHeight="1">
      <c r="A1152" s="465"/>
      <c r="B1152" s="466"/>
      <c r="C1152" s="467">
        <v>46119.0</v>
      </c>
      <c r="D1152" s="468" t="s">
        <v>95</v>
      </c>
      <c r="E1152" s="468" t="s">
        <v>107</v>
      </c>
      <c r="F1152" s="468" t="str">
        <f>+IFERROR(VLOOKUP(E1152,'DANH MỤC'!$C:$H,2,0),"")</f>
        <v>Pallet gỗ 1200x1200x130mm</v>
      </c>
      <c r="G1152" s="468" t="str">
        <f>+IFERROR(VLOOKUP(E1152,'DANH MỤC'!$C:$H,6,0),"")</f>
        <v>Bộ</v>
      </c>
      <c r="H1152" s="468">
        <f>+IFERROR(VLOOKUP(E1152,'DANH MỤC'!$C:$H,3,0),"")</f>
        <v>1200</v>
      </c>
      <c r="I1152" s="468">
        <f>+IFERROR(VLOOKUP(E1152,'DANH MỤC'!$C:$H,4,0),"")</f>
        <v>1200</v>
      </c>
      <c r="J1152" s="468">
        <f>+IFERROR(VLOOKUP(E1152,'DANH MỤC'!$C:$H,5,0),"")</f>
        <v>130</v>
      </c>
      <c r="K1152" s="465">
        <v>40.0</v>
      </c>
      <c r="L1152" s="469"/>
      <c r="M1152" s="466" t="s">
        <v>769</v>
      </c>
      <c r="N1152" s="466"/>
    </row>
    <row r="1153" ht="15.75" customHeight="1">
      <c r="A1153" s="465"/>
      <c r="B1153" s="466"/>
      <c r="C1153" s="467">
        <v>46119.0</v>
      </c>
      <c r="D1153" s="468" t="s">
        <v>95</v>
      </c>
      <c r="E1153" s="468" t="s">
        <v>127</v>
      </c>
      <c r="F1153" s="468" t="str">
        <f>+IFERROR(VLOOKUP(E1153,'DANH MỤC'!$C:$H,2,0),"")</f>
        <v>Pallet gỗ 1100x1100x130mm</v>
      </c>
      <c r="G1153" s="468" t="str">
        <f>+IFERROR(VLOOKUP(E1153,'DANH MỤC'!$C:$H,6,0),"")</f>
        <v>Bộ</v>
      </c>
      <c r="H1153" s="468">
        <f>+IFERROR(VLOOKUP(E1153,'DANH MỤC'!$C:$H,3,0),"")</f>
        <v>1100</v>
      </c>
      <c r="I1153" s="468">
        <f>+IFERROR(VLOOKUP(E1153,'DANH MỤC'!$C:$H,4,0),"")</f>
        <v>1100</v>
      </c>
      <c r="J1153" s="468">
        <f>+IFERROR(VLOOKUP(E1153,'DANH MỤC'!$C:$H,5,0),"")</f>
        <v>130</v>
      </c>
      <c r="K1153" s="465">
        <v>60.0</v>
      </c>
      <c r="L1153" s="469"/>
      <c r="M1153" s="466" t="s">
        <v>769</v>
      </c>
      <c r="N1153" s="466"/>
    </row>
    <row r="1154" ht="15.75" customHeight="1">
      <c r="A1154" s="465"/>
      <c r="B1154" s="466"/>
      <c r="C1154" s="467">
        <v>46119.0</v>
      </c>
      <c r="D1154" s="468" t="s">
        <v>95</v>
      </c>
      <c r="E1154" s="468" t="s">
        <v>156</v>
      </c>
      <c r="F1154" s="468" t="str">
        <f>+IFERROR(VLOOKUP(E1154,'DANH MỤC'!$C:$H,2,0),"")</f>
        <v>Nẹp gỗ pallet dài 1.15m</v>
      </c>
      <c r="G1154" s="468" t="str">
        <f>+IFERROR(VLOOKUP(E1154,'DANH MỤC'!$C:$H,6,0),"")</f>
        <v>Cái</v>
      </c>
      <c r="H1154" s="468" t="str">
        <f>+IFERROR(VLOOKUP(E1154,'DANH MỤC'!$C:$H,3,0),"")</f>
        <v/>
      </c>
      <c r="I1154" s="468" t="str">
        <f>+IFERROR(VLOOKUP(E1154,'DANH MỤC'!$C:$H,4,0),"")</f>
        <v/>
      </c>
      <c r="J1154" s="468">
        <f>+IFERROR(VLOOKUP(E1154,'DANH MỤC'!$C:$H,5,0),"")</f>
        <v>1150</v>
      </c>
      <c r="K1154" s="465">
        <v>100.0</v>
      </c>
      <c r="L1154" s="469"/>
      <c r="M1154" s="466"/>
      <c r="N1154" s="466"/>
    </row>
    <row r="1155" ht="15.75" customHeight="1">
      <c r="A1155" s="53">
        <f t="shared" ref="A1155:A1190" si="5">+ROW()-5</f>
        <v>1150</v>
      </c>
      <c r="B1155" s="55"/>
      <c r="C1155" s="41">
        <v>46122.0</v>
      </c>
      <c r="D1155" s="42" t="s">
        <v>770</v>
      </c>
      <c r="E1155" s="42" t="s">
        <v>104</v>
      </c>
      <c r="F1155" s="42" t="str">
        <f>+IFERROR(VLOOKUP(E1155,'DANH MỤC'!$C:$H,2,0),"")</f>
        <v>Lưỡi gà trắng 95mm x 800m x 210gsm</v>
      </c>
      <c r="G1155" s="42" t="str">
        <f>+IFERROR(VLOOKUP(E1155,'DANH MỤC'!$C:$H,6,0),"")</f>
        <v>Cuộn</v>
      </c>
      <c r="H1155" s="42">
        <f>+IFERROR(VLOOKUP(E1155,'DANH MỤC'!$C:$H,3,0),"")</f>
        <v>210</v>
      </c>
      <c r="I1155" s="42">
        <f>+IFERROR(VLOOKUP(E1155,'DANH MỤC'!$C:$H,4,0),"")</f>
        <v>95</v>
      </c>
      <c r="J1155" s="42">
        <f>+IFERROR(VLOOKUP(E1155,'DANH MỤC'!$C:$H,5,0),"")</f>
        <v>800</v>
      </c>
      <c r="K1155" s="53"/>
      <c r="L1155" s="58">
        <f>6*52+3</f>
        <v>315</v>
      </c>
      <c r="M1155" s="55" t="s">
        <v>771</v>
      </c>
      <c r="N1155" s="55"/>
    </row>
    <row r="1156" ht="15.75" customHeight="1">
      <c r="A1156" s="53">
        <f t="shared" si="5"/>
        <v>1151</v>
      </c>
      <c r="B1156" s="55"/>
      <c r="C1156" s="41">
        <v>46122.0</v>
      </c>
      <c r="D1156" s="42" t="s">
        <v>770</v>
      </c>
      <c r="E1156" s="42" t="s">
        <v>123</v>
      </c>
      <c r="F1156" s="42" t="str">
        <f>+IFERROR(VLOOKUP(E1156,'DANH MỤC'!$C:$H,2,0),"")</f>
        <v>Lưỡi gà trắng 90mm x 800m x 250gsm</v>
      </c>
      <c r="G1156" s="42" t="str">
        <f>+IFERROR(VLOOKUP(E1156,'DANH MỤC'!$C:$H,6,0),"")</f>
        <v>Cuộn</v>
      </c>
      <c r="H1156" s="42">
        <f>+IFERROR(VLOOKUP(E1156,'DANH MỤC'!$C:$H,3,0),"")</f>
        <v>250</v>
      </c>
      <c r="I1156" s="42">
        <f>+IFERROR(VLOOKUP(E1156,'DANH MỤC'!$C:$H,4,0),"")</f>
        <v>90</v>
      </c>
      <c r="J1156" s="42">
        <f>+IFERROR(VLOOKUP(E1156,'DANH MỤC'!$C:$H,5,0),"")</f>
        <v>800</v>
      </c>
      <c r="K1156" s="53"/>
      <c r="L1156" s="58">
        <f>7*52</f>
        <v>364</v>
      </c>
      <c r="M1156" s="55"/>
      <c r="N1156" s="55"/>
    </row>
    <row r="1157" ht="15.75" customHeight="1">
      <c r="A1157" s="53">
        <f t="shared" si="5"/>
        <v>1152</v>
      </c>
      <c r="B1157" s="55"/>
      <c r="C1157" s="41">
        <v>46122.0</v>
      </c>
      <c r="D1157" s="42" t="s">
        <v>772</v>
      </c>
      <c r="E1157" s="42" t="s">
        <v>156</v>
      </c>
      <c r="F1157" s="42" t="str">
        <f>+IFERROR(VLOOKUP(E1157,'DANH MỤC'!$C:$H,2,0),"")</f>
        <v>Nẹp gỗ pallet dài 1.15m</v>
      </c>
      <c r="G1157" s="42" t="str">
        <f>+IFERROR(VLOOKUP(E1157,'DANH MỤC'!$C:$H,6,0),"")</f>
        <v>Cái</v>
      </c>
      <c r="H1157" s="42" t="str">
        <f>+IFERROR(VLOOKUP(E1157,'DANH MỤC'!$C:$H,3,0),"")</f>
        <v/>
      </c>
      <c r="I1157" s="42" t="str">
        <f>+IFERROR(VLOOKUP(E1157,'DANH MỤC'!$C:$H,4,0),"")</f>
        <v/>
      </c>
      <c r="J1157" s="42">
        <f>+IFERROR(VLOOKUP(E1157,'DANH MỤC'!$C:$H,5,0),"")</f>
        <v>1150</v>
      </c>
      <c r="K1157" s="53"/>
      <c r="L1157" s="58">
        <v>12.0</v>
      </c>
      <c r="M1157" s="55"/>
      <c r="N1157" s="55"/>
    </row>
    <row r="1158" ht="15.75" customHeight="1">
      <c r="A1158" s="53">
        <f t="shared" si="5"/>
        <v>1153</v>
      </c>
      <c r="B1158" s="55"/>
      <c r="C1158" s="41">
        <v>46122.0</v>
      </c>
      <c r="D1158" s="42" t="s">
        <v>35</v>
      </c>
      <c r="E1158" s="42" t="s">
        <v>88</v>
      </c>
      <c r="F1158" s="42" t="str">
        <f>+IFERROR(VLOOKUP(E1158,'DANH MỤC'!$C:$H,2,0),"")</f>
        <v>Ivory Ningbo</v>
      </c>
      <c r="G1158" s="42" t="str">
        <f>+IFERROR(VLOOKUP(E1158,'DANH MỤC'!$C:$H,6,0),"")</f>
        <v>Kg</v>
      </c>
      <c r="H1158" s="42">
        <f>+IFERROR(VLOOKUP(E1158,'DANH MỤC'!$C:$H,3,0),"")</f>
        <v>250</v>
      </c>
      <c r="I1158" s="42">
        <f>+IFERROR(VLOOKUP(E1158,'DANH MỤC'!$C:$H,4,0),"")</f>
        <v>109</v>
      </c>
      <c r="J1158" s="42" t="str">
        <f>+IFERROR(VLOOKUP(E1158,'DANH MỤC'!$C:$H,5,0),"")</f>
        <v/>
      </c>
      <c r="K1158" s="53">
        <v>25506.0</v>
      </c>
      <c r="L1158" s="58"/>
      <c r="M1158" s="55" t="s">
        <v>773</v>
      </c>
      <c r="N1158" s="55"/>
    </row>
    <row r="1159" ht="15.75" customHeight="1">
      <c r="A1159" s="53">
        <f t="shared" si="5"/>
        <v>1154</v>
      </c>
      <c r="B1159" s="55"/>
      <c r="C1159" s="41">
        <v>46122.0</v>
      </c>
      <c r="D1159" s="42" t="s">
        <v>35</v>
      </c>
      <c r="E1159" s="42" t="s">
        <v>219</v>
      </c>
      <c r="F1159" s="42" t="str">
        <f>+IFERROR(VLOOKUP(E1159,'DANH MỤC'!$C:$H,2,0),"")</f>
        <v>Ivory Ningbo</v>
      </c>
      <c r="G1159" s="42" t="str">
        <f>+IFERROR(VLOOKUP(E1159,'DANH MỤC'!$C:$H,6,0),"")</f>
        <v>Kg</v>
      </c>
      <c r="H1159" s="42">
        <f>+IFERROR(VLOOKUP(E1159,'DANH MỤC'!$C:$H,3,0),"")</f>
        <v>230</v>
      </c>
      <c r="I1159" s="42">
        <f>+IFERROR(VLOOKUP(E1159,'DANH MỤC'!$C:$H,4,0),"")</f>
        <v>106</v>
      </c>
      <c r="J1159" s="42" t="str">
        <f>+IFERROR(VLOOKUP(E1159,'DANH MỤC'!$C:$H,5,0),"")</f>
        <v/>
      </c>
      <c r="K1159" s="53">
        <v>24726.0</v>
      </c>
      <c r="L1159" s="58"/>
      <c r="M1159" s="55" t="s">
        <v>774</v>
      </c>
      <c r="N1159" s="55"/>
    </row>
    <row r="1160" ht="15.75" customHeight="1">
      <c r="A1160" s="53">
        <f t="shared" si="5"/>
        <v>1155</v>
      </c>
      <c r="B1160" s="55"/>
      <c r="C1160" s="41">
        <v>46122.0</v>
      </c>
      <c r="D1160" s="42" t="s">
        <v>35</v>
      </c>
      <c r="E1160" s="42" t="s">
        <v>219</v>
      </c>
      <c r="F1160" s="42" t="str">
        <f>+IFERROR(VLOOKUP(E1160,'DANH MỤC'!$C:$H,2,0),"")</f>
        <v>Ivory Ningbo</v>
      </c>
      <c r="G1160" s="42" t="str">
        <f>+IFERROR(VLOOKUP(E1160,'DANH MỤC'!$C:$H,6,0),"")</f>
        <v>Kg</v>
      </c>
      <c r="H1160" s="42">
        <f>+IFERROR(VLOOKUP(E1160,'DANH MỤC'!$C:$H,3,0),"")</f>
        <v>230</v>
      </c>
      <c r="I1160" s="42">
        <f>+IFERROR(VLOOKUP(E1160,'DANH MỤC'!$C:$H,4,0),"")</f>
        <v>106</v>
      </c>
      <c r="J1160" s="42" t="str">
        <f>+IFERROR(VLOOKUP(E1160,'DANH MỤC'!$C:$H,5,0),"")</f>
        <v/>
      </c>
      <c r="K1160" s="53">
        <v>10461.0</v>
      </c>
      <c r="L1160" s="58"/>
      <c r="M1160" s="55" t="s">
        <v>775</v>
      </c>
      <c r="N1160" s="55"/>
    </row>
    <row r="1161" ht="15.75" customHeight="1">
      <c r="A1161" s="53">
        <f t="shared" si="5"/>
        <v>1156</v>
      </c>
      <c r="B1161" s="55"/>
      <c r="C1161" s="41">
        <v>46122.0</v>
      </c>
      <c r="D1161" s="42" t="s">
        <v>35</v>
      </c>
      <c r="E1161" s="42" t="s">
        <v>213</v>
      </c>
      <c r="F1161" s="42" t="str">
        <f>+IFERROR(VLOOKUP(E1161,'DANH MỤC'!$C:$H,2,0),"")</f>
        <v>Ivory Ningbo</v>
      </c>
      <c r="G1161" s="42" t="str">
        <f>+IFERROR(VLOOKUP(E1161,'DANH MỤC'!$C:$H,6,0),"")</f>
        <v>Kg</v>
      </c>
      <c r="H1161" s="42">
        <f>+IFERROR(VLOOKUP(E1161,'DANH MỤC'!$C:$H,3,0),"")</f>
        <v>210</v>
      </c>
      <c r="I1161" s="42">
        <f>+IFERROR(VLOOKUP(E1161,'DANH MỤC'!$C:$H,4,0),"")</f>
        <v>108</v>
      </c>
      <c r="J1161" s="42" t="str">
        <f>+IFERROR(VLOOKUP(E1161,'DANH MỤC'!$C:$H,5,0),"")</f>
        <v/>
      </c>
      <c r="K1161" s="53">
        <v>14805.0</v>
      </c>
      <c r="L1161" s="58"/>
      <c r="M1161" s="55" t="s">
        <v>775</v>
      </c>
      <c r="N1161" s="55"/>
    </row>
    <row r="1162" ht="15.75" customHeight="1">
      <c r="A1162" s="53">
        <f t="shared" si="5"/>
        <v>1157</v>
      </c>
      <c r="B1162" s="55"/>
      <c r="C1162" s="41">
        <v>46123.0</v>
      </c>
      <c r="D1162" s="42" t="s">
        <v>35</v>
      </c>
      <c r="E1162" s="42" t="s">
        <v>88</v>
      </c>
      <c r="F1162" s="42" t="str">
        <f>+IFERROR(VLOOKUP(E1162,'DANH MỤC'!$C:$H,2,0),"")</f>
        <v>Ivory Ningbo</v>
      </c>
      <c r="G1162" s="42" t="str">
        <f>+IFERROR(VLOOKUP(E1162,'DANH MỤC'!$C:$H,6,0),"")</f>
        <v>Kg</v>
      </c>
      <c r="H1162" s="42">
        <f>+IFERROR(VLOOKUP(E1162,'DANH MỤC'!$C:$H,3,0),"")</f>
        <v>250</v>
      </c>
      <c r="I1162" s="42">
        <f>+IFERROR(VLOOKUP(E1162,'DANH MỤC'!$C:$H,4,0),"")</f>
        <v>109</v>
      </c>
      <c r="J1162" s="42" t="str">
        <f>+IFERROR(VLOOKUP(E1162,'DANH MỤC'!$C:$H,5,0),"")</f>
        <v/>
      </c>
      <c r="K1162" s="53">
        <v>4905.0</v>
      </c>
      <c r="L1162" s="58"/>
      <c r="M1162" s="55" t="s">
        <v>776</v>
      </c>
      <c r="N1162" s="55"/>
    </row>
    <row r="1163" ht="15.75" customHeight="1">
      <c r="A1163" s="53">
        <f t="shared" si="5"/>
        <v>1158</v>
      </c>
      <c r="B1163" s="55"/>
      <c r="C1163" s="41">
        <v>46123.0</v>
      </c>
      <c r="D1163" s="42" t="s">
        <v>35</v>
      </c>
      <c r="E1163" s="42" t="s">
        <v>209</v>
      </c>
      <c r="F1163" s="42" t="str">
        <f>+IFERROR(VLOOKUP(E1163,'DANH MỤC'!$C:$H,2,0),"")</f>
        <v>Ivory Ningbo</v>
      </c>
      <c r="G1163" s="42" t="str">
        <f>+IFERROR(VLOOKUP(E1163,'DANH MỤC'!$C:$H,6,0),"")</f>
        <v>Kg</v>
      </c>
      <c r="H1163" s="42">
        <f>+IFERROR(VLOOKUP(E1163,'DANH MỤC'!$C:$H,3,0),"")</f>
        <v>210</v>
      </c>
      <c r="I1163" s="42">
        <f>+IFERROR(VLOOKUP(E1163,'DANH MỤC'!$C:$H,4,0),"")</f>
        <v>106</v>
      </c>
      <c r="J1163" s="42" t="str">
        <f>+IFERROR(VLOOKUP(E1163,'DANH MỤC'!$C:$H,5,0),"")</f>
        <v/>
      </c>
      <c r="K1163" s="53">
        <v>20328.0</v>
      </c>
      <c r="L1163" s="58"/>
      <c r="M1163" s="55" t="s">
        <v>776</v>
      </c>
      <c r="N1163" s="55"/>
    </row>
    <row r="1164" ht="15.75" customHeight="1">
      <c r="A1164" s="53">
        <f t="shared" si="5"/>
        <v>1159</v>
      </c>
      <c r="B1164" s="55"/>
      <c r="C1164" s="41">
        <v>46125.0</v>
      </c>
      <c r="D1164" s="42" t="s">
        <v>35</v>
      </c>
      <c r="E1164" s="42" t="s">
        <v>213</v>
      </c>
      <c r="F1164" s="42" t="str">
        <f>+IFERROR(VLOOKUP(E1164,'DANH MỤC'!$C:$H,2,0),"")</f>
        <v>Ivory Ningbo</v>
      </c>
      <c r="G1164" s="42" t="str">
        <f>+IFERROR(VLOOKUP(E1164,'DANH MỤC'!$C:$H,6,0),"")</f>
        <v>Kg</v>
      </c>
      <c r="H1164" s="42">
        <f>+IFERROR(VLOOKUP(E1164,'DANH MỤC'!$C:$H,3,0),"")</f>
        <v>210</v>
      </c>
      <c r="I1164" s="42">
        <f>+IFERROR(VLOOKUP(E1164,'DANH MỤC'!$C:$H,4,0),"")</f>
        <v>108</v>
      </c>
      <c r="J1164" s="42" t="str">
        <f>+IFERROR(VLOOKUP(E1164,'DANH MỤC'!$C:$H,5,0),"")</f>
        <v/>
      </c>
      <c r="K1164" s="53">
        <v>25662.0</v>
      </c>
      <c r="L1164" s="58"/>
      <c r="M1164" s="55" t="s">
        <v>777</v>
      </c>
      <c r="N1164" s="55"/>
    </row>
    <row r="1165" ht="15.75" customHeight="1">
      <c r="A1165" s="117">
        <f t="shared" si="5"/>
        <v>1160</v>
      </c>
      <c r="B1165" s="118"/>
      <c r="C1165" s="119">
        <v>46129.0</v>
      </c>
      <c r="D1165" s="120" t="s">
        <v>130</v>
      </c>
      <c r="E1165" s="120" t="s">
        <v>104</v>
      </c>
      <c r="F1165" s="120" t="str">
        <f>+IFERROR(VLOOKUP(E1165,'DANH MỤC'!$C:$H,2,0),"")</f>
        <v>Lưỡi gà trắng 95mm x 800m x 210gsm</v>
      </c>
      <c r="G1165" s="120" t="str">
        <f>+IFERROR(VLOOKUP(E1165,'DANH MỤC'!$C:$H,6,0),"")</f>
        <v>Cuộn</v>
      </c>
      <c r="H1165" s="120">
        <f>+IFERROR(VLOOKUP(E1165,'DANH MỤC'!$C:$H,3,0),"")</f>
        <v>210</v>
      </c>
      <c r="I1165" s="120">
        <f>+IFERROR(VLOOKUP(E1165,'DANH MỤC'!$C:$H,4,0),"")</f>
        <v>95</v>
      </c>
      <c r="J1165" s="120">
        <f>+IFERROR(VLOOKUP(E1165,'DANH MỤC'!$C:$H,5,0),"")</f>
        <v>800</v>
      </c>
      <c r="K1165" s="117"/>
      <c r="L1165" s="121">
        <v>104.0</v>
      </c>
      <c r="M1165" s="118" t="s">
        <v>778</v>
      </c>
      <c r="N1165" s="118"/>
    </row>
    <row r="1166" ht="15.75" customHeight="1">
      <c r="A1166" s="117">
        <f t="shared" si="5"/>
        <v>1161</v>
      </c>
      <c r="B1166" s="118"/>
      <c r="C1166" s="119">
        <v>46129.0</v>
      </c>
      <c r="D1166" s="120" t="s">
        <v>130</v>
      </c>
      <c r="E1166" s="120" t="s">
        <v>123</v>
      </c>
      <c r="F1166" s="120" t="str">
        <f>+IFERROR(VLOOKUP(E1166,'DANH MỤC'!$C:$H,2,0),"")</f>
        <v>Lưỡi gà trắng 90mm x 800m x 250gsm</v>
      </c>
      <c r="G1166" s="120" t="str">
        <f>+IFERROR(VLOOKUP(E1166,'DANH MỤC'!$C:$H,6,0),"")</f>
        <v>Cuộn</v>
      </c>
      <c r="H1166" s="120">
        <f>+IFERROR(VLOOKUP(E1166,'DANH MỤC'!$C:$H,3,0),"")</f>
        <v>250</v>
      </c>
      <c r="I1166" s="120">
        <f>+IFERROR(VLOOKUP(E1166,'DANH MỤC'!$C:$H,4,0),"")</f>
        <v>90</v>
      </c>
      <c r="J1166" s="120">
        <f>+IFERROR(VLOOKUP(E1166,'DANH MỤC'!$C:$H,5,0),"")</f>
        <v>800</v>
      </c>
      <c r="K1166" s="117"/>
      <c r="L1166" s="121">
        <f>9*52</f>
        <v>468</v>
      </c>
      <c r="M1166" s="118" t="s">
        <v>778</v>
      </c>
      <c r="N1166" s="118"/>
    </row>
    <row r="1167" ht="15.75" customHeight="1">
      <c r="A1167" s="53">
        <f t="shared" si="5"/>
        <v>1162</v>
      </c>
      <c r="B1167" s="55"/>
      <c r="C1167" s="41">
        <v>46129.0</v>
      </c>
      <c r="D1167" s="42" t="s">
        <v>779</v>
      </c>
      <c r="E1167" s="42" t="s">
        <v>182</v>
      </c>
      <c r="F1167" s="42" t="str">
        <f>+IFERROR(VLOOKUP(E1167,'DANH MỤC'!$C:$H,2,0),"")</f>
        <v>Ống lõi giấy phi 120x7x71mm</v>
      </c>
      <c r="G1167" s="42" t="str">
        <f>+IFERROR(VLOOKUP(E1167,'DANH MỤC'!$C:$H,6,0),"")</f>
        <v>Cái</v>
      </c>
      <c r="H1167" s="42">
        <f>+IFERROR(VLOOKUP(E1167,'DANH MỤC'!$C:$H,3,0),"")</f>
        <v>120</v>
      </c>
      <c r="I1167" s="42">
        <f>+IFERROR(VLOOKUP(E1167,'DANH MỤC'!$C:$H,4,0),"")</f>
        <v>70</v>
      </c>
      <c r="J1167" s="42">
        <f>+IFERROR(VLOOKUP(E1167,'DANH MỤC'!$C:$H,5,0),"")</f>
        <v>71</v>
      </c>
      <c r="K1167" s="53"/>
      <c r="L1167" s="58">
        <v>595.0</v>
      </c>
      <c r="M1167" s="55"/>
      <c r="N1167" s="55"/>
    </row>
    <row r="1168" ht="15.75" customHeight="1">
      <c r="A1168" s="53">
        <f t="shared" si="5"/>
        <v>1163</v>
      </c>
      <c r="B1168" s="55"/>
      <c r="C1168" s="41">
        <v>46129.0</v>
      </c>
      <c r="D1168" s="42" t="s">
        <v>779</v>
      </c>
      <c r="E1168" s="42" t="s">
        <v>127</v>
      </c>
      <c r="F1168" s="42" t="str">
        <f>+IFERROR(VLOOKUP(E1168,'DANH MỤC'!$C:$H,2,0),"")</f>
        <v>Pallet gỗ 1100x1100x130mm</v>
      </c>
      <c r="G1168" s="42" t="str">
        <f>+IFERROR(VLOOKUP(E1168,'DANH MỤC'!$C:$H,6,0),"")</f>
        <v>Bộ</v>
      </c>
      <c r="H1168" s="42">
        <f>+IFERROR(VLOOKUP(E1168,'DANH MỤC'!$C:$H,3,0),"")</f>
        <v>1100</v>
      </c>
      <c r="I1168" s="42">
        <f>+IFERROR(VLOOKUP(E1168,'DANH MỤC'!$C:$H,4,0),"")</f>
        <v>1100</v>
      </c>
      <c r="J1168" s="42">
        <f>+IFERROR(VLOOKUP(E1168,'DANH MỤC'!$C:$H,5,0),"")</f>
        <v>130</v>
      </c>
      <c r="K1168" s="53"/>
      <c r="L1168" s="58">
        <v>10.0</v>
      </c>
      <c r="M1168" s="55"/>
      <c r="N1168" s="55"/>
    </row>
    <row r="1169" ht="15.75" customHeight="1">
      <c r="A1169" s="53">
        <f t="shared" si="5"/>
        <v>1164</v>
      </c>
      <c r="B1169" s="55"/>
      <c r="C1169" s="41">
        <v>46129.0</v>
      </c>
      <c r="D1169" s="42" t="s">
        <v>779</v>
      </c>
      <c r="E1169" s="42" t="s">
        <v>96</v>
      </c>
      <c r="F1169" s="42" t="str">
        <f>+IFERROR(VLOOKUP(E1169,'DANH MỤC'!$C:$H,2,0),"")</f>
        <v>Giấy bao gói lưỡi gà</v>
      </c>
      <c r="G1169" s="42" t="str">
        <f>+IFERROR(VLOOKUP(E1169,'DANH MỤC'!$C:$H,6,0),"")</f>
        <v>Kg</v>
      </c>
      <c r="H1169" s="42" t="str">
        <f>+IFERROR(VLOOKUP(E1169,'DANH MỤC'!$C:$H,3,0),"")</f>
        <v/>
      </c>
      <c r="I1169" s="42" t="str">
        <f>+IFERROR(VLOOKUP(E1169,'DANH MỤC'!$C:$H,4,0),"")</f>
        <v/>
      </c>
      <c r="J1169" s="42" t="str">
        <f>+IFERROR(VLOOKUP(E1169,'DANH MỤC'!$C:$H,5,0),"")</f>
        <v/>
      </c>
      <c r="K1169" s="53"/>
      <c r="L1169" s="58">
        <v>6.11</v>
      </c>
      <c r="M1169" s="55"/>
      <c r="N1169" s="55"/>
    </row>
    <row r="1170" ht="15.75" customHeight="1">
      <c r="A1170" s="53">
        <f t="shared" si="5"/>
        <v>1165</v>
      </c>
      <c r="B1170" s="55"/>
      <c r="C1170" s="41">
        <v>46129.0</v>
      </c>
      <c r="D1170" s="42" t="s">
        <v>779</v>
      </c>
      <c r="E1170" s="42" t="s">
        <v>112</v>
      </c>
      <c r="F1170" s="42" t="str">
        <f>+IFERROR(VLOOKUP(E1170,'DANH MỤC'!$C:$H,2,0),"")</f>
        <v>Dây đai PET xanh (B)</v>
      </c>
      <c r="G1170" s="42" t="str">
        <f>+IFERROR(VLOOKUP(E1170,'DANH MỤC'!$C:$H,6,0),"")</f>
        <v>Kg</v>
      </c>
      <c r="H1170" s="42" t="str">
        <f>+IFERROR(VLOOKUP(E1170,'DANH MỤC'!$C:$H,3,0),"")</f>
        <v/>
      </c>
      <c r="I1170" s="42" t="str">
        <f>+IFERROR(VLOOKUP(E1170,'DANH MỤC'!$C:$H,4,0),"")</f>
        <v/>
      </c>
      <c r="J1170" s="42" t="str">
        <f>+IFERROR(VLOOKUP(E1170,'DANH MỤC'!$C:$H,5,0),"")</f>
        <v/>
      </c>
      <c r="K1170" s="53"/>
      <c r="L1170" s="58">
        <v>7.0</v>
      </c>
      <c r="M1170" s="55"/>
      <c r="N1170" s="55"/>
    </row>
    <row r="1171" ht="15.75" customHeight="1">
      <c r="A1171" s="53">
        <f t="shared" si="5"/>
        <v>1166</v>
      </c>
      <c r="B1171" s="55"/>
      <c r="C1171" s="41">
        <v>46129.0</v>
      </c>
      <c r="D1171" s="42" t="s">
        <v>779</v>
      </c>
      <c r="E1171" s="42" t="s">
        <v>115</v>
      </c>
      <c r="F1171" s="42" t="str">
        <f>+IFERROR(VLOOKUP(E1171,'DANH MỤC'!$C:$H,2,0),"")</f>
        <v>Màng Strecth Film 5.0-0.6kg</v>
      </c>
      <c r="G1171" s="42" t="str">
        <f>+IFERROR(VLOOKUP(E1171,'DANH MỤC'!$C:$H,6,0),"")</f>
        <v>Kg</v>
      </c>
      <c r="H1171" s="42" t="str">
        <f>+IFERROR(VLOOKUP(E1171,'DANH MỤC'!$C:$H,3,0),"")</f>
        <v/>
      </c>
      <c r="I1171" s="42" t="str">
        <f>+IFERROR(VLOOKUP(E1171,'DANH MỤC'!$C:$H,4,0),"")</f>
        <v/>
      </c>
      <c r="J1171" s="42" t="str">
        <f>+IFERROR(VLOOKUP(E1171,'DANH MỤC'!$C:$H,5,0),"")</f>
        <v/>
      </c>
      <c r="K1171" s="53"/>
      <c r="L1171" s="58">
        <v>5.0</v>
      </c>
      <c r="M1171" s="55"/>
      <c r="N1171" s="55"/>
    </row>
    <row r="1172" ht="15.75" customHeight="1">
      <c r="A1172" s="53">
        <f t="shared" si="5"/>
        <v>1167</v>
      </c>
      <c r="B1172" s="55"/>
      <c r="C1172" s="41">
        <v>46129.0</v>
      </c>
      <c r="D1172" s="42" t="s">
        <v>780</v>
      </c>
      <c r="E1172" s="42" t="s">
        <v>81</v>
      </c>
      <c r="F1172" s="42" t="str">
        <f>+IFERROR(VLOOKUP(E1172,'DANH MỤC'!$C:$H,2,0),"")</f>
        <v>Lưỡi gà trắng 71mm x 800m x 210gsm</v>
      </c>
      <c r="G1172" s="42" t="str">
        <f>+IFERROR(VLOOKUP(E1172,'DANH MỤC'!$C:$H,6,0),"")</f>
        <v>Cuộn</v>
      </c>
      <c r="H1172" s="42">
        <f>+IFERROR(VLOOKUP(E1172,'DANH MỤC'!$C:$H,3,0),"")</f>
        <v>210</v>
      </c>
      <c r="I1172" s="42">
        <f>+IFERROR(VLOOKUP(E1172,'DANH MỤC'!$C:$H,4,0),"")</f>
        <v>71</v>
      </c>
      <c r="J1172" s="42">
        <f>+IFERROR(VLOOKUP(E1172,'DANH MỤC'!$C:$H,5,0),"")</f>
        <v>800</v>
      </c>
      <c r="K1172" s="53">
        <v>585.0</v>
      </c>
      <c r="L1172" s="58"/>
      <c r="M1172" s="55"/>
      <c r="N1172" s="55"/>
    </row>
    <row r="1173" ht="15.75" customHeight="1">
      <c r="A1173" s="53">
        <f t="shared" si="5"/>
        <v>1168</v>
      </c>
      <c r="B1173" s="55"/>
      <c r="C1173" s="41">
        <v>46129.0</v>
      </c>
      <c r="D1173" s="42" t="s">
        <v>781</v>
      </c>
      <c r="E1173" s="42" t="s">
        <v>213</v>
      </c>
      <c r="F1173" s="42" t="str">
        <f>+IFERROR(VLOOKUP(E1173,'DANH MỤC'!$C:$H,2,0),"")</f>
        <v>Ivory Ningbo</v>
      </c>
      <c r="G1173" s="42" t="str">
        <f>+IFERROR(VLOOKUP(E1173,'DANH MỤC'!$C:$H,6,0),"")</f>
        <v>Kg</v>
      </c>
      <c r="H1173" s="42">
        <f>+IFERROR(VLOOKUP(E1173,'DANH MỤC'!$C:$H,3,0),"")</f>
        <v>210</v>
      </c>
      <c r="I1173" s="42">
        <f>+IFERROR(VLOOKUP(E1173,'DANH MỤC'!$C:$H,4,0),"")</f>
        <v>108</v>
      </c>
      <c r="J1173" s="42" t="str">
        <f>+IFERROR(VLOOKUP(E1173,'DANH MỤC'!$C:$H,5,0),"")</f>
        <v/>
      </c>
      <c r="K1173" s="53"/>
      <c r="L1173" s="58">
        <f>8*987+50-806</f>
        <v>7140</v>
      </c>
      <c r="M1173" s="55"/>
      <c r="N1173" s="55"/>
    </row>
    <row r="1174" ht="15.75" customHeight="1">
      <c r="A1174" s="53">
        <f t="shared" si="5"/>
        <v>1169</v>
      </c>
      <c r="B1174" s="55"/>
      <c r="C1174" s="41">
        <v>46138.0</v>
      </c>
      <c r="D1174" s="42" t="s">
        <v>782</v>
      </c>
      <c r="E1174" s="42" t="s">
        <v>184</v>
      </c>
      <c r="F1174" s="42" t="str">
        <f>+IFERROR(VLOOKUP(E1174,'DANH MỤC'!$C:$H,2,0),"")</f>
        <v>Ống lõi giấy phi 120x7x95mm</v>
      </c>
      <c r="G1174" s="42" t="str">
        <f>+IFERROR(VLOOKUP(E1174,'DANH MỤC'!$C:$H,6,0),"")</f>
        <v>Cái</v>
      </c>
      <c r="H1174" s="42">
        <f>+IFERROR(VLOOKUP(E1174,'DANH MỤC'!$C:$H,3,0),"")</f>
        <v>120</v>
      </c>
      <c r="I1174" s="42">
        <f>+IFERROR(VLOOKUP(E1174,'DANH MỤC'!$C:$H,4,0),"")</f>
        <v>70</v>
      </c>
      <c r="J1174" s="42">
        <f>+IFERROR(VLOOKUP(E1174,'DANH MỤC'!$C:$H,5,0),"")</f>
        <v>95</v>
      </c>
      <c r="K1174" s="53"/>
      <c r="L1174" s="58">
        <v>550.0</v>
      </c>
      <c r="M1174" s="55"/>
      <c r="N1174" s="55"/>
    </row>
    <row r="1175" ht="15.75" customHeight="1">
      <c r="A1175" s="53">
        <f t="shared" si="5"/>
        <v>1170</v>
      </c>
      <c r="B1175" s="55"/>
      <c r="C1175" s="41">
        <v>46138.0</v>
      </c>
      <c r="D1175" s="42" t="s">
        <v>782</v>
      </c>
      <c r="E1175" s="42" t="s">
        <v>107</v>
      </c>
      <c r="F1175" s="42" t="str">
        <f>+IFERROR(VLOOKUP(E1175,'DANH MỤC'!$C:$H,2,0),"")</f>
        <v>Pallet gỗ 1200x1200x130mm</v>
      </c>
      <c r="G1175" s="42" t="str">
        <f>+IFERROR(VLOOKUP(E1175,'DANH MỤC'!$C:$H,6,0),"")</f>
        <v>Bộ</v>
      </c>
      <c r="H1175" s="42">
        <f>+IFERROR(VLOOKUP(E1175,'DANH MỤC'!$C:$H,3,0),"")</f>
        <v>1200</v>
      </c>
      <c r="I1175" s="42">
        <f>+IFERROR(VLOOKUP(E1175,'DANH MỤC'!$C:$H,4,0),"")</f>
        <v>1200</v>
      </c>
      <c r="J1175" s="42">
        <f>+IFERROR(VLOOKUP(E1175,'DANH MỤC'!$C:$H,5,0),"")</f>
        <v>130</v>
      </c>
      <c r="K1175" s="53"/>
      <c r="L1175" s="58">
        <v>10.0</v>
      </c>
      <c r="M1175" s="55"/>
      <c r="N1175" s="55"/>
    </row>
    <row r="1176" ht="15.75" customHeight="1">
      <c r="A1176" s="53">
        <f t="shared" si="5"/>
        <v>1171</v>
      </c>
      <c r="B1176" s="55"/>
      <c r="C1176" s="41">
        <v>46138.0</v>
      </c>
      <c r="D1176" s="42" t="s">
        <v>782</v>
      </c>
      <c r="E1176" s="42" t="s">
        <v>156</v>
      </c>
      <c r="F1176" s="42" t="str">
        <f>+IFERROR(VLOOKUP(E1176,'DANH MỤC'!$C:$H,2,0),"")</f>
        <v>Nẹp gỗ pallet dài 1.15m</v>
      </c>
      <c r="G1176" s="42" t="str">
        <f>+IFERROR(VLOOKUP(E1176,'DANH MỤC'!$C:$H,6,0),"")</f>
        <v>Cái</v>
      </c>
      <c r="H1176" s="42" t="str">
        <f>+IFERROR(VLOOKUP(E1176,'DANH MỤC'!$C:$H,3,0),"")</f>
        <v/>
      </c>
      <c r="I1176" s="42" t="str">
        <f>+IFERROR(VLOOKUP(E1176,'DANH MỤC'!$C:$H,4,0),"")</f>
        <v/>
      </c>
      <c r="J1176" s="42">
        <f>+IFERROR(VLOOKUP(E1176,'DANH MỤC'!$C:$H,5,0),"")</f>
        <v>1150</v>
      </c>
      <c r="K1176" s="53"/>
      <c r="L1176" s="58">
        <v>36.0</v>
      </c>
      <c r="M1176" s="55"/>
      <c r="N1176" s="55"/>
    </row>
    <row r="1177" ht="15.75" customHeight="1">
      <c r="A1177" s="53">
        <f t="shared" si="5"/>
        <v>1172</v>
      </c>
      <c r="B1177" s="55"/>
      <c r="C1177" s="41">
        <v>46138.0</v>
      </c>
      <c r="D1177" s="42" t="s">
        <v>782</v>
      </c>
      <c r="E1177" s="42" t="s">
        <v>96</v>
      </c>
      <c r="F1177" s="42" t="str">
        <f>+IFERROR(VLOOKUP(E1177,'DANH MỤC'!$C:$H,2,0),"")</f>
        <v>Giấy bao gói lưỡi gà</v>
      </c>
      <c r="G1177" s="42" t="str">
        <f>+IFERROR(VLOOKUP(E1177,'DANH MỤC'!$C:$H,6,0),"")</f>
        <v>Kg</v>
      </c>
      <c r="H1177" s="42" t="str">
        <f>+IFERROR(VLOOKUP(E1177,'DANH MỤC'!$C:$H,3,0),"")</f>
        <v/>
      </c>
      <c r="I1177" s="42" t="str">
        <f>+IFERROR(VLOOKUP(E1177,'DANH MỤC'!$C:$H,4,0),"")</f>
        <v/>
      </c>
      <c r="J1177" s="42" t="str">
        <f>+IFERROR(VLOOKUP(E1177,'DANH MỤC'!$C:$H,5,0),"")</f>
        <v/>
      </c>
      <c r="K1177" s="53"/>
      <c r="L1177" s="58">
        <v>7.5</v>
      </c>
      <c r="M1177" s="55"/>
      <c r="N1177" s="55"/>
    </row>
    <row r="1178" ht="15.75" customHeight="1">
      <c r="A1178" s="53">
        <f t="shared" si="5"/>
        <v>1173</v>
      </c>
      <c r="B1178" s="55"/>
      <c r="C1178" s="41">
        <v>46138.0</v>
      </c>
      <c r="D1178" s="42" t="s">
        <v>782</v>
      </c>
      <c r="E1178" s="42" t="s">
        <v>112</v>
      </c>
      <c r="F1178" s="42" t="str">
        <f>+IFERROR(VLOOKUP(E1178,'DANH MỤC'!$C:$H,2,0),"")</f>
        <v>Dây đai PET xanh (B)</v>
      </c>
      <c r="G1178" s="42" t="str">
        <f>+IFERROR(VLOOKUP(E1178,'DANH MỤC'!$C:$H,6,0),"")</f>
        <v>Kg</v>
      </c>
      <c r="H1178" s="42" t="str">
        <f>+IFERROR(VLOOKUP(E1178,'DANH MỤC'!$C:$H,3,0),"")</f>
        <v/>
      </c>
      <c r="I1178" s="42" t="str">
        <f>+IFERROR(VLOOKUP(E1178,'DANH MỤC'!$C:$H,4,0),"")</f>
        <v/>
      </c>
      <c r="J1178" s="42" t="str">
        <f>+IFERROR(VLOOKUP(E1178,'DANH MỤC'!$C:$H,5,0),"")</f>
        <v/>
      </c>
      <c r="K1178" s="53"/>
      <c r="L1178" s="58">
        <v>6.3</v>
      </c>
      <c r="M1178" s="55"/>
      <c r="N1178" s="55"/>
    </row>
    <row r="1179" ht="15.75" customHeight="1">
      <c r="A1179" s="53">
        <f t="shared" si="5"/>
        <v>1174</v>
      </c>
      <c r="B1179" s="55"/>
      <c r="C1179" s="41">
        <v>46138.0</v>
      </c>
      <c r="D1179" s="42" t="s">
        <v>782</v>
      </c>
      <c r="E1179" s="42" t="s">
        <v>115</v>
      </c>
      <c r="F1179" s="42" t="str">
        <f>+IFERROR(VLOOKUP(E1179,'DANH MỤC'!$C:$H,2,0),"")</f>
        <v>Màng Strecth Film 5.0-0.6kg</v>
      </c>
      <c r="G1179" s="42" t="str">
        <f>+IFERROR(VLOOKUP(E1179,'DANH MỤC'!$C:$H,6,0),"")</f>
        <v>Kg</v>
      </c>
      <c r="H1179" s="42" t="str">
        <f>+IFERROR(VLOOKUP(E1179,'DANH MỤC'!$C:$H,3,0),"")</f>
        <v/>
      </c>
      <c r="I1179" s="42" t="str">
        <f>+IFERROR(VLOOKUP(E1179,'DANH MỤC'!$C:$H,4,0),"")</f>
        <v/>
      </c>
      <c r="J1179" s="42" t="str">
        <f>+IFERROR(VLOOKUP(E1179,'DANH MỤC'!$C:$H,5,0),"")</f>
        <v/>
      </c>
      <c r="K1179" s="53"/>
      <c r="L1179" s="58">
        <v>4.5</v>
      </c>
      <c r="M1179" s="55"/>
      <c r="N1179" s="55"/>
    </row>
    <row r="1180" ht="15.75" customHeight="1">
      <c r="A1180" s="53">
        <f t="shared" si="5"/>
        <v>1175</v>
      </c>
      <c r="B1180" s="55"/>
      <c r="C1180" s="41">
        <v>46138.0</v>
      </c>
      <c r="D1180" s="42" t="s">
        <v>783</v>
      </c>
      <c r="E1180" s="42" t="s">
        <v>113</v>
      </c>
      <c r="F1180" s="42" t="str">
        <f>+IFERROR(VLOOKUP(E1180,'DANH MỤC'!$C:$H,2,0),"")</f>
        <v>Lưỡi gà trắng 95mm x 800m x 230gsm</v>
      </c>
      <c r="G1180" s="42" t="str">
        <f>+IFERROR(VLOOKUP(E1180,'DANH MỤC'!$C:$H,6,0),"")</f>
        <v>Cuộn</v>
      </c>
      <c r="H1180" s="42">
        <f>+IFERROR(VLOOKUP(E1180,'DANH MỤC'!$C:$H,3,0),"")</f>
        <v>230</v>
      </c>
      <c r="I1180" s="42">
        <f>+IFERROR(VLOOKUP(E1180,'DANH MỤC'!$C:$H,4,0),"")</f>
        <v>95</v>
      </c>
      <c r="J1180" s="42">
        <f>+IFERROR(VLOOKUP(E1180,'DANH MỤC'!$C:$H,5,0),"")</f>
        <v>800</v>
      </c>
      <c r="K1180" s="53">
        <v>537.0</v>
      </c>
      <c r="L1180" s="58"/>
      <c r="M1180" s="55"/>
      <c r="N1180" s="55"/>
    </row>
    <row r="1181" ht="15.75" customHeight="1">
      <c r="A1181" s="53">
        <f t="shared" si="5"/>
        <v>1176</v>
      </c>
      <c r="B1181" s="55"/>
      <c r="C1181" s="41">
        <v>46138.0</v>
      </c>
      <c r="D1181" s="42" t="s">
        <v>784</v>
      </c>
      <c r="E1181" s="42" t="s">
        <v>223</v>
      </c>
      <c r="F1181" s="42" t="str">
        <f>+IFERROR(VLOOKUP(E1181,'DANH MỤC'!$C:$H,2,0),"")</f>
        <v>Ivory Ningbo</v>
      </c>
      <c r="G1181" s="42" t="str">
        <f>+IFERROR(VLOOKUP(E1181,'DANH MỤC'!$C:$H,6,0),"")</f>
        <v>Kg</v>
      </c>
      <c r="H1181" s="42">
        <f>+IFERROR(VLOOKUP(E1181,'DANH MỤC'!$C:$H,3,0),"")</f>
        <v>230</v>
      </c>
      <c r="I1181" s="42">
        <f>+IFERROR(VLOOKUP(E1181,'DANH MỤC'!$C:$H,4,0),"")</f>
        <v>108</v>
      </c>
      <c r="J1181" s="42" t="str">
        <f>+IFERROR(VLOOKUP(E1181,'DANH MỤC'!$C:$H,5,0),"")</f>
        <v/>
      </c>
      <c r="K1181" s="53"/>
      <c r="L1181" s="58">
        <v>9850.0</v>
      </c>
      <c r="M1181" s="55"/>
      <c r="N1181" s="55"/>
    </row>
    <row r="1182" ht="15.75" customHeight="1">
      <c r="A1182" s="117">
        <f t="shared" si="5"/>
        <v>1177</v>
      </c>
      <c r="B1182" s="118"/>
      <c r="C1182" s="119">
        <v>46140.0</v>
      </c>
      <c r="D1182" s="120" t="s">
        <v>215</v>
      </c>
      <c r="E1182" s="120" t="s">
        <v>113</v>
      </c>
      <c r="F1182" s="120" t="str">
        <f>+IFERROR(VLOOKUP(E1182,'DANH MỤC'!$C:$H,2,0),"")</f>
        <v>Lưỡi gà trắng 95mm x 800m x 230gsm</v>
      </c>
      <c r="G1182" s="120" t="str">
        <f>+IFERROR(VLOOKUP(E1182,'DANH MỤC'!$C:$H,6,0),"")</f>
        <v>Cuộn</v>
      </c>
      <c r="H1182" s="120">
        <f>+IFERROR(VLOOKUP(E1182,'DANH MỤC'!$C:$H,3,0),"")</f>
        <v>230</v>
      </c>
      <c r="I1182" s="120">
        <f>+IFERROR(VLOOKUP(E1182,'DANH MỤC'!$C:$H,4,0),"")</f>
        <v>95</v>
      </c>
      <c r="J1182" s="120">
        <f>+IFERROR(VLOOKUP(E1182,'DANH MỤC'!$C:$H,5,0),"")</f>
        <v>800</v>
      </c>
      <c r="K1182" s="117"/>
      <c r="L1182" s="121">
        <f>7*60</f>
        <v>420</v>
      </c>
      <c r="M1182" s="118"/>
      <c r="N1182" s="118"/>
    </row>
    <row r="1183" ht="15.75" customHeight="1">
      <c r="A1183" s="53">
        <f t="shared" si="5"/>
        <v>1178</v>
      </c>
      <c r="B1183" s="55"/>
      <c r="C1183" s="41">
        <v>46148.0</v>
      </c>
      <c r="D1183" s="42" t="s">
        <v>785</v>
      </c>
      <c r="E1183" s="42" t="s">
        <v>184</v>
      </c>
      <c r="F1183" s="42" t="str">
        <f>+IFERROR(VLOOKUP(E1183,'DANH MỤC'!$C:$H,2,0),"")</f>
        <v>Ống lõi giấy phi 120x7x95mm</v>
      </c>
      <c r="G1183" s="42" t="str">
        <f>+IFERROR(VLOOKUP(E1183,'DANH MỤC'!$C:$H,6,0),"")</f>
        <v>Cái</v>
      </c>
      <c r="H1183" s="42">
        <f>+IFERROR(VLOOKUP(E1183,'DANH MỤC'!$C:$H,3,0),"")</f>
        <v>120</v>
      </c>
      <c r="I1183" s="42">
        <f>+IFERROR(VLOOKUP(E1183,'DANH MỤC'!$C:$H,4,0),"")</f>
        <v>70</v>
      </c>
      <c r="J1183" s="42">
        <f>+IFERROR(VLOOKUP(E1183,'DANH MỤC'!$C:$H,5,0),"")</f>
        <v>95</v>
      </c>
      <c r="K1183" s="53"/>
      <c r="L1183" s="58">
        <v>666.0</v>
      </c>
      <c r="M1183" s="55"/>
      <c r="N1183" s="55"/>
    </row>
    <row r="1184" ht="15.75" customHeight="1">
      <c r="A1184" s="53">
        <f t="shared" si="5"/>
        <v>1179</v>
      </c>
      <c r="B1184" s="55"/>
      <c r="C1184" s="41">
        <v>46148.0</v>
      </c>
      <c r="D1184" s="42" t="s">
        <v>785</v>
      </c>
      <c r="E1184" s="42" t="s">
        <v>127</v>
      </c>
      <c r="F1184" s="42" t="str">
        <f>+IFERROR(VLOOKUP(E1184,'DANH MỤC'!$C:$H,2,0),"")</f>
        <v>Pallet gỗ 1100x1100x130mm</v>
      </c>
      <c r="G1184" s="42" t="str">
        <f>+IFERROR(VLOOKUP(E1184,'DANH MỤC'!$C:$H,6,0),"")</f>
        <v>Bộ</v>
      </c>
      <c r="H1184" s="42">
        <f>+IFERROR(VLOOKUP(E1184,'DANH MỤC'!$C:$H,3,0),"")</f>
        <v>1100</v>
      </c>
      <c r="I1184" s="42">
        <f>+IFERROR(VLOOKUP(E1184,'DANH MỤC'!$C:$H,4,0),"")</f>
        <v>1100</v>
      </c>
      <c r="J1184" s="42">
        <f>+IFERROR(VLOOKUP(E1184,'DANH MỤC'!$C:$H,5,0),"")</f>
        <v>130</v>
      </c>
      <c r="K1184" s="53"/>
      <c r="L1184" s="58">
        <v>13.0</v>
      </c>
      <c r="M1184" s="55"/>
      <c r="N1184" s="55"/>
    </row>
    <row r="1185" ht="15.75" customHeight="1">
      <c r="A1185" s="53">
        <f t="shared" si="5"/>
        <v>1180</v>
      </c>
      <c r="B1185" s="55"/>
      <c r="C1185" s="41">
        <v>46148.0</v>
      </c>
      <c r="D1185" s="42" t="s">
        <v>785</v>
      </c>
      <c r="E1185" s="42" t="s">
        <v>156</v>
      </c>
      <c r="F1185" s="42" t="str">
        <f>+IFERROR(VLOOKUP(E1185,'DANH MỤC'!$C:$H,2,0),"")</f>
        <v>Nẹp gỗ pallet dài 1.15m</v>
      </c>
      <c r="G1185" s="42" t="str">
        <f>+IFERROR(VLOOKUP(E1185,'DANH MỤC'!$C:$H,6,0),"")</f>
        <v>Cái</v>
      </c>
      <c r="H1185" s="42" t="str">
        <f>+IFERROR(VLOOKUP(E1185,'DANH MỤC'!$C:$H,3,0),"")</f>
        <v/>
      </c>
      <c r="I1185" s="42" t="str">
        <f>+IFERROR(VLOOKUP(E1185,'DANH MỤC'!$C:$H,4,0),"")</f>
        <v/>
      </c>
      <c r="J1185" s="42">
        <f>+IFERROR(VLOOKUP(E1185,'DANH MỤC'!$C:$H,5,0),"")</f>
        <v>1150</v>
      </c>
      <c r="K1185" s="53"/>
      <c r="L1185" s="58">
        <v>52.0</v>
      </c>
      <c r="M1185" s="55"/>
      <c r="N1185" s="55"/>
    </row>
    <row r="1186" ht="15.75" customHeight="1">
      <c r="A1186" s="53">
        <f t="shared" si="5"/>
        <v>1181</v>
      </c>
      <c r="B1186" s="55"/>
      <c r="C1186" s="41">
        <v>46148.0</v>
      </c>
      <c r="D1186" s="42" t="s">
        <v>785</v>
      </c>
      <c r="E1186" s="42" t="s">
        <v>96</v>
      </c>
      <c r="F1186" s="42" t="str">
        <f>+IFERROR(VLOOKUP(E1186,'DANH MỤC'!$C:$H,2,0),"")</f>
        <v>Giấy bao gói lưỡi gà</v>
      </c>
      <c r="G1186" s="42" t="str">
        <f>+IFERROR(VLOOKUP(E1186,'DANH MỤC'!$C:$H,6,0),"")</f>
        <v>Kg</v>
      </c>
      <c r="H1186" s="42" t="str">
        <f>+IFERROR(VLOOKUP(E1186,'DANH MỤC'!$C:$H,3,0),"")</f>
        <v/>
      </c>
      <c r="I1186" s="42" t="str">
        <f>+IFERROR(VLOOKUP(E1186,'DANH MỤC'!$C:$H,4,0),"")</f>
        <v/>
      </c>
      <c r="J1186" s="42" t="str">
        <f>+IFERROR(VLOOKUP(E1186,'DANH MỤC'!$C:$H,5,0),"")</f>
        <v/>
      </c>
      <c r="K1186" s="53"/>
      <c r="L1186" s="58">
        <v>9.02139</v>
      </c>
      <c r="M1186" s="55"/>
      <c r="N1186" s="55"/>
    </row>
    <row r="1187" ht="15.75" customHeight="1">
      <c r="A1187" s="53">
        <f t="shared" si="5"/>
        <v>1182</v>
      </c>
      <c r="B1187" s="55"/>
      <c r="C1187" s="41">
        <v>46148.0</v>
      </c>
      <c r="D1187" s="42" t="s">
        <v>785</v>
      </c>
      <c r="E1187" s="42" t="s">
        <v>112</v>
      </c>
      <c r="F1187" s="42" t="str">
        <f>+IFERROR(VLOOKUP(E1187,'DANH MỤC'!$C:$H,2,0),"")</f>
        <v>Dây đai PET xanh (B)</v>
      </c>
      <c r="G1187" s="42" t="str">
        <f>+IFERROR(VLOOKUP(E1187,'DANH MỤC'!$C:$H,6,0),"")</f>
        <v>Kg</v>
      </c>
      <c r="H1187" s="42" t="str">
        <f>+IFERROR(VLOOKUP(E1187,'DANH MỤC'!$C:$H,3,0),"")</f>
        <v/>
      </c>
      <c r="I1187" s="42" t="str">
        <f>+IFERROR(VLOOKUP(E1187,'DANH MỤC'!$C:$H,4,0),"")</f>
        <v/>
      </c>
      <c r="J1187" s="42" t="str">
        <f>+IFERROR(VLOOKUP(E1187,'DANH MỤC'!$C:$H,5,0),"")</f>
        <v/>
      </c>
      <c r="K1187" s="53"/>
      <c r="L1187" s="58">
        <v>9.1</v>
      </c>
      <c r="M1187" s="55"/>
      <c r="N1187" s="55"/>
    </row>
    <row r="1188" ht="15.75" customHeight="1">
      <c r="A1188" s="53">
        <f t="shared" si="5"/>
        <v>1183</v>
      </c>
      <c r="B1188" s="55"/>
      <c r="C1188" s="41">
        <v>46148.0</v>
      </c>
      <c r="D1188" s="42" t="s">
        <v>785</v>
      </c>
      <c r="E1188" s="42" t="s">
        <v>115</v>
      </c>
      <c r="F1188" s="42" t="str">
        <f>+IFERROR(VLOOKUP(E1188,'DANH MỤC'!$C:$H,2,0),"")</f>
        <v>Màng Strecth Film 5.0-0.6kg</v>
      </c>
      <c r="G1188" s="42" t="str">
        <f>+IFERROR(VLOOKUP(E1188,'DANH MỤC'!$C:$H,6,0),"")</f>
        <v>Kg</v>
      </c>
      <c r="H1188" s="42" t="str">
        <f>+IFERROR(VLOOKUP(E1188,'DANH MỤC'!$C:$H,3,0),"")</f>
        <v/>
      </c>
      <c r="I1188" s="42" t="str">
        <f>+IFERROR(VLOOKUP(E1188,'DANH MỤC'!$C:$H,4,0),"")</f>
        <v/>
      </c>
      <c r="J1188" s="42" t="str">
        <f>+IFERROR(VLOOKUP(E1188,'DANH MỤC'!$C:$H,5,0),"")</f>
        <v/>
      </c>
      <c r="K1188" s="53"/>
      <c r="L1188" s="58">
        <v>6.5</v>
      </c>
      <c r="M1188" s="55"/>
      <c r="N1188" s="55"/>
    </row>
    <row r="1189" ht="15.75" customHeight="1">
      <c r="A1189" s="53">
        <f t="shared" si="5"/>
        <v>1184</v>
      </c>
      <c r="B1189" s="55"/>
      <c r="C1189" s="41">
        <v>46148.0</v>
      </c>
      <c r="D1189" s="42" t="s">
        <v>786</v>
      </c>
      <c r="E1189" s="42" t="s">
        <v>104</v>
      </c>
      <c r="F1189" s="42" t="str">
        <f>+IFERROR(VLOOKUP(E1189,'DANH MỤC'!$C:$H,2,0),"")</f>
        <v>Lưỡi gà trắng 95mm x 800m x 210gsm</v>
      </c>
      <c r="G1189" s="42" t="str">
        <f>+IFERROR(VLOOKUP(E1189,'DANH MỤC'!$C:$H,6,0),"")</f>
        <v>Cuộn</v>
      </c>
      <c r="H1189" s="42">
        <f>+IFERROR(VLOOKUP(E1189,'DANH MỤC'!$C:$H,3,0),"")</f>
        <v>210</v>
      </c>
      <c r="I1189" s="42">
        <f>+IFERROR(VLOOKUP(E1189,'DANH MỤC'!$C:$H,4,0),"")</f>
        <v>95</v>
      </c>
      <c r="J1189" s="42">
        <f>+IFERROR(VLOOKUP(E1189,'DANH MỤC'!$C:$H,5,0),"")</f>
        <v>800</v>
      </c>
      <c r="K1189" s="53">
        <v>646.0</v>
      </c>
      <c r="L1189" s="58"/>
      <c r="M1189" s="55"/>
      <c r="N1189" s="55"/>
    </row>
    <row r="1190" ht="15.75" customHeight="1">
      <c r="A1190" s="53">
        <f t="shared" si="5"/>
        <v>1185</v>
      </c>
      <c r="B1190" s="55"/>
      <c r="C1190" s="41">
        <v>46148.0</v>
      </c>
      <c r="D1190" s="42" t="s">
        <v>787</v>
      </c>
      <c r="E1190" s="42" t="s">
        <v>209</v>
      </c>
      <c r="F1190" s="42" t="str">
        <f>+IFERROR(VLOOKUP(E1190,'DANH MỤC'!$C:$H,2,0),"")</f>
        <v>Ivory Ningbo</v>
      </c>
      <c r="G1190" s="42" t="str">
        <f>+IFERROR(VLOOKUP(E1190,'DANH MỤC'!$C:$H,6,0),"")</f>
        <v>Kg</v>
      </c>
      <c r="H1190" s="42">
        <f>+IFERROR(VLOOKUP(E1190,'DANH MỤC'!$C:$H,3,0),"")</f>
        <v>210</v>
      </c>
      <c r="I1190" s="42">
        <f>+IFERROR(VLOOKUP(E1190,'DANH MỤC'!$C:$H,4,0),"")</f>
        <v>106</v>
      </c>
      <c r="J1190" s="42" t="str">
        <f>+IFERROR(VLOOKUP(E1190,'DANH MỤC'!$C:$H,5,0),"")</f>
        <v/>
      </c>
      <c r="K1190" s="53"/>
      <c r="L1190" s="58">
        <f>11*968</f>
        <v>10648</v>
      </c>
      <c r="M1190" s="55"/>
      <c r="N1190" s="55"/>
    </row>
    <row r="1191" ht="15.75" customHeight="1">
      <c r="A1191" s="53"/>
      <c r="B1191" s="55"/>
      <c r="C1191" s="41">
        <v>46149.0</v>
      </c>
      <c r="D1191" s="42" t="s">
        <v>95</v>
      </c>
      <c r="E1191" s="42" t="s">
        <v>184</v>
      </c>
      <c r="F1191" s="42" t="str">
        <f>+IFERROR(VLOOKUP(E1191,'DANH MỤC'!$C:$H,2,0),"")</f>
        <v>Ống lõi giấy phi 120x7x95mm</v>
      </c>
      <c r="G1191" s="42" t="str">
        <f>+IFERROR(VLOOKUP(E1191,'DANH MỤC'!$C:$H,6,0),"")</f>
        <v>Cái</v>
      </c>
      <c r="H1191" s="42">
        <f>+IFERROR(VLOOKUP(E1191,'DANH MỤC'!$C:$H,3,0),"")</f>
        <v>120</v>
      </c>
      <c r="I1191" s="42">
        <f>+IFERROR(VLOOKUP(E1191,'DANH MỤC'!$C:$H,4,0),"")</f>
        <v>70</v>
      </c>
      <c r="J1191" s="42">
        <f>+IFERROR(VLOOKUP(E1191,'DANH MỤC'!$C:$H,5,0),"")</f>
        <v>95</v>
      </c>
      <c r="K1191" s="53">
        <v>3000.0</v>
      </c>
      <c r="L1191" s="58"/>
      <c r="M1191" s="55"/>
      <c r="N1191" s="55"/>
    </row>
    <row r="1192" ht="15.75" customHeight="1">
      <c r="A1192" s="53"/>
      <c r="B1192" s="55"/>
      <c r="C1192" s="41">
        <v>46149.0</v>
      </c>
      <c r="D1192" s="42" t="s">
        <v>95</v>
      </c>
      <c r="E1192" s="42" t="s">
        <v>182</v>
      </c>
      <c r="F1192" s="42" t="str">
        <f>+IFERROR(VLOOKUP(E1192,'DANH MỤC'!$C:$H,2,0),"")</f>
        <v>Ống lõi giấy phi 120x7x71mm</v>
      </c>
      <c r="G1192" s="42" t="str">
        <f>+IFERROR(VLOOKUP(E1192,'DANH MỤC'!$C:$H,6,0),"")</f>
        <v>Cái</v>
      </c>
      <c r="H1192" s="42">
        <f>+IFERROR(VLOOKUP(E1192,'DANH MỤC'!$C:$H,3,0),"")</f>
        <v>120</v>
      </c>
      <c r="I1192" s="42">
        <f>+IFERROR(VLOOKUP(E1192,'DANH MỤC'!$C:$H,4,0),"")</f>
        <v>70</v>
      </c>
      <c r="J1192" s="42">
        <f>+IFERROR(VLOOKUP(E1192,'DANH MỤC'!$C:$H,5,0),"")</f>
        <v>71</v>
      </c>
      <c r="K1192" s="53">
        <v>8000.0</v>
      </c>
      <c r="L1192" s="58"/>
      <c r="M1192" s="55"/>
      <c r="N1192" s="55"/>
    </row>
    <row r="1193" ht="15.75" customHeight="1">
      <c r="A1193" s="53">
        <f t="shared" ref="A1193:A1217" si="6">+ROW()-5</f>
        <v>1188</v>
      </c>
      <c r="B1193" s="55"/>
      <c r="C1193" s="41">
        <v>46156.0</v>
      </c>
      <c r="D1193" s="42" t="s">
        <v>788</v>
      </c>
      <c r="E1193" s="42" t="s">
        <v>184</v>
      </c>
      <c r="F1193" s="42" t="str">
        <f>+IFERROR(VLOOKUP(E1193,'DANH MỤC'!$C:$H,2,0),"")</f>
        <v>Ống lõi giấy phi 120x7x95mm</v>
      </c>
      <c r="G1193" s="42" t="str">
        <f>+IFERROR(VLOOKUP(E1193,'DANH MỤC'!$C:$H,6,0),"")</f>
        <v>Cái</v>
      </c>
      <c r="H1193" s="42">
        <f>+IFERROR(VLOOKUP(E1193,'DANH MỤC'!$C:$H,3,0),"")</f>
        <v>120</v>
      </c>
      <c r="I1193" s="42">
        <f>+IFERROR(VLOOKUP(E1193,'DANH MỤC'!$C:$H,4,0),"")</f>
        <v>70</v>
      </c>
      <c r="J1193" s="42">
        <f>+IFERROR(VLOOKUP(E1193,'DANH MỤC'!$C:$H,5,0),"")</f>
        <v>95</v>
      </c>
      <c r="K1193" s="53"/>
      <c r="L1193" s="58">
        <v>330.0</v>
      </c>
      <c r="M1193" s="55"/>
      <c r="N1193" s="55"/>
    </row>
    <row r="1194" ht="15.75" customHeight="1">
      <c r="A1194" s="53">
        <f t="shared" si="6"/>
        <v>1189</v>
      </c>
      <c r="B1194" s="55"/>
      <c r="C1194" s="41">
        <v>46156.0</v>
      </c>
      <c r="D1194" s="42" t="s">
        <v>788</v>
      </c>
      <c r="E1194" s="42" t="s">
        <v>107</v>
      </c>
      <c r="F1194" s="42" t="str">
        <f>+IFERROR(VLOOKUP(E1194,'DANH MỤC'!$C:$H,2,0),"")</f>
        <v>Pallet gỗ 1200x1200x130mm</v>
      </c>
      <c r="G1194" s="42" t="str">
        <f>+IFERROR(VLOOKUP(E1194,'DANH MỤC'!$C:$H,6,0),"")</f>
        <v>Bộ</v>
      </c>
      <c r="H1194" s="42">
        <f>+IFERROR(VLOOKUP(E1194,'DANH MỤC'!$C:$H,3,0),"")</f>
        <v>1200</v>
      </c>
      <c r="I1194" s="42">
        <f>+IFERROR(VLOOKUP(E1194,'DANH MỤC'!$C:$H,4,0),"")</f>
        <v>1200</v>
      </c>
      <c r="J1194" s="42">
        <f>+IFERROR(VLOOKUP(E1194,'DANH MỤC'!$C:$H,5,0),"")</f>
        <v>130</v>
      </c>
      <c r="K1194" s="53"/>
      <c r="L1194" s="58">
        <v>6.0</v>
      </c>
      <c r="M1194" s="55"/>
      <c r="N1194" s="55"/>
    </row>
    <row r="1195" ht="15.75" customHeight="1">
      <c r="A1195" s="53">
        <f t="shared" si="6"/>
        <v>1190</v>
      </c>
      <c r="B1195" s="55"/>
      <c r="C1195" s="41">
        <v>46156.0</v>
      </c>
      <c r="D1195" s="42" t="s">
        <v>788</v>
      </c>
      <c r="E1195" s="42" t="s">
        <v>156</v>
      </c>
      <c r="F1195" s="42" t="str">
        <f>+IFERROR(VLOOKUP(E1195,'DANH MỤC'!$C:$H,2,0),"")</f>
        <v>Nẹp gỗ pallet dài 1.15m</v>
      </c>
      <c r="G1195" s="42" t="str">
        <f>+IFERROR(VLOOKUP(E1195,'DANH MỤC'!$C:$H,6,0),"")</f>
        <v>Cái</v>
      </c>
      <c r="H1195" s="42" t="str">
        <f>+IFERROR(VLOOKUP(E1195,'DANH MỤC'!$C:$H,3,0),"")</f>
        <v/>
      </c>
      <c r="I1195" s="42" t="str">
        <f>+IFERROR(VLOOKUP(E1195,'DANH MỤC'!$C:$H,4,0),"")</f>
        <v/>
      </c>
      <c r="J1195" s="42">
        <f>+IFERROR(VLOOKUP(E1195,'DANH MỤC'!$C:$H,5,0),"")</f>
        <v>1150</v>
      </c>
      <c r="K1195" s="53"/>
      <c r="L1195" s="58">
        <v>12.0</v>
      </c>
      <c r="M1195" s="55"/>
      <c r="N1195" s="55"/>
    </row>
    <row r="1196" ht="15.75" customHeight="1">
      <c r="A1196" s="53">
        <f t="shared" si="6"/>
        <v>1191</v>
      </c>
      <c r="B1196" s="55"/>
      <c r="C1196" s="41">
        <v>46156.0</v>
      </c>
      <c r="D1196" s="42" t="s">
        <v>788</v>
      </c>
      <c r="E1196" s="42" t="s">
        <v>96</v>
      </c>
      <c r="F1196" s="42" t="str">
        <f>+IFERROR(VLOOKUP(E1196,'DANH MỤC'!$C:$H,2,0),"")</f>
        <v>Giấy bao gói lưỡi gà</v>
      </c>
      <c r="G1196" s="42" t="str">
        <f>+IFERROR(VLOOKUP(E1196,'DANH MỤC'!$C:$H,6,0),"")</f>
        <v>Kg</v>
      </c>
      <c r="H1196" s="42" t="str">
        <f>+IFERROR(VLOOKUP(E1196,'DANH MỤC'!$C:$H,3,0),"")</f>
        <v/>
      </c>
      <c r="I1196" s="42" t="str">
        <f>+IFERROR(VLOOKUP(E1196,'DANH MỤC'!$C:$H,4,0),"")</f>
        <v/>
      </c>
      <c r="J1196" s="42" t="str">
        <f>+IFERROR(VLOOKUP(E1196,'DANH MỤC'!$C:$H,5,0),"")</f>
        <v/>
      </c>
      <c r="K1196" s="53"/>
      <c r="L1196" s="58">
        <v>4.454835</v>
      </c>
      <c r="M1196" s="55"/>
      <c r="N1196" s="55"/>
    </row>
    <row r="1197" ht="15.75" customHeight="1">
      <c r="A1197" s="53">
        <f t="shared" si="6"/>
        <v>1192</v>
      </c>
      <c r="B1197" s="55"/>
      <c r="C1197" s="41">
        <v>46156.0</v>
      </c>
      <c r="D1197" s="42" t="s">
        <v>788</v>
      </c>
      <c r="E1197" s="42" t="s">
        <v>112</v>
      </c>
      <c r="F1197" s="42" t="str">
        <f>+IFERROR(VLOOKUP(E1197,'DANH MỤC'!$C:$H,2,0),"")</f>
        <v>Dây đai PET xanh (B)</v>
      </c>
      <c r="G1197" s="42" t="str">
        <f>+IFERROR(VLOOKUP(E1197,'DANH MỤC'!$C:$H,6,0),"")</f>
        <v>Kg</v>
      </c>
      <c r="H1197" s="42" t="str">
        <f>+IFERROR(VLOOKUP(E1197,'DANH MỤC'!$C:$H,3,0),"")</f>
        <v/>
      </c>
      <c r="I1197" s="42" t="str">
        <f>+IFERROR(VLOOKUP(E1197,'DANH MỤC'!$C:$H,4,0),"")</f>
        <v/>
      </c>
      <c r="J1197" s="42" t="str">
        <f>+IFERROR(VLOOKUP(E1197,'DANH MỤC'!$C:$H,5,0),"")</f>
        <v/>
      </c>
      <c r="K1197" s="53"/>
      <c r="L1197" s="58">
        <v>3.5</v>
      </c>
      <c r="M1197" s="55"/>
      <c r="N1197" s="55"/>
    </row>
    <row r="1198" ht="15.75" customHeight="1">
      <c r="A1198" s="53">
        <f t="shared" si="6"/>
        <v>1193</v>
      </c>
      <c r="B1198" s="55"/>
      <c r="C1198" s="41">
        <v>46156.0</v>
      </c>
      <c r="D1198" s="42" t="s">
        <v>788</v>
      </c>
      <c r="E1198" s="42" t="s">
        <v>115</v>
      </c>
      <c r="F1198" s="42" t="str">
        <f>+IFERROR(VLOOKUP(E1198,'DANH MỤC'!$C:$H,2,0),"")</f>
        <v>Màng Strecth Film 5.0-0.6kg</v>
      </c>
      <c r="G1198" s="42" t="str">
        <f>+IFERROR(VLOOKUP(E1198,'DANH MỤC'!$C:$H,6,0),"")</f>
        <v>Kg</v>
      </c>
      <c r="H1198" s="42" t="str">
        <f>+IFERROR(VLOOKUP(E1198,'DANH MỤC'!$C:$H,3,0),"")</f>
        <v/>
      </c>
      <c r="I1198" s="42" t="str">
        <f>+IFERROR(VLOOKUP(E1198,'DANH MỤC'!$C:$H,4,0),"")</f>
        <v/>
      </c>
      <c r="J1198" s="42" t="str">
        <f>+IFERROR(VLOOKUP(E1198,'DANH MỤC'!$C:$H,5,0),"")</f>
        <v/>
      </c>
      <c r="K1198" s="53"/>
      <c r="L1198" s="58">
        <v>2.5</v>
      </c>
      <c r="M1198" s="55"/>
      <c r="N1198" s="55"/>
    </row>
    <row r="1199" ht="15.75" customHeight="1">
      <c r="A1199" s="53">
        <f t="shared" si="6"/>
        <v>1194</v>
      </c>
      <c r="B1199" s="55"/>
      <c r="C1199" s="41">
        <v>46156.0</v>
      </c>
      <c r="D1199" s="42" t="s">
        <v>789</v>
      </c>
      <c r="E1199" s="42" t="s">
        <v>113</v>
      </c>
      <c r="F1199" s="42" t="str">
        <f>+IFERROR(VLOOKUP(E1199,'DANH MỤC'!$C:$H,2,0),"")</f>
        <v>Lưỡi gà trắng 95mm x 800m x 230gsm</v>
      </c>
      <c r="G1199" s="42" t="str">
        <f>+IFERROR(VLOOKUP(E1199,'DANH MỤC'!$C:$H,6,0),"")</f>
        <v>Cuộn</v>
      </c>
      <c r="H1199" s="42">
        <f>+IFERROR(VLOOKUP(E1199,'DANH MỤC'!$C:$H,3,0),"")</f>
        <v>230</v>
      </c>
      <c r="I1199" s="42">
        <f>+IFERROR(VLOOKUP(E1199,'DANH MỤC'!$C:$H,4,0),"")</f>
        <v>95</v>
      </c>
      <c r="J1199" s="42">
        <f>+IFERROR(VLOOKUP(E1199,'DANH MỤC'!$C:$H,5,0),"")</f>
        <v>800</v>
      </c>
      <c r="K1199" s="53">
        <v>319.0</v>
      </c>
      <c r="L1199" s="58"/>
      <c r="M1199" s="55"/>
      <c r="N1199" s="55"/>
    </row>
    <row r="1200" ht="15.75" customHeight="1">
      <c r="A1200" s="53">
        <f t="shared" si="6"/>
        <v>1195</v>
      </c>
      <c r="B1200" s="55"/>
      <c r="C1200" s="41">
        <v>46156.0</v>
      </c>
      <c r="D1200" s="42" t="s">
        <v>790</v>
      </c>
      <c r="E1200" s="42" t="s">
        <v>219</v>
      </c>
      <c r="F1200" s="42" t="str">
        <f>+IFERROR(VLOOKUP(E1200,'DANH MỤC'!$C:$H,2,0),"")</f>
        <v>Ivory Ningbo</v>
      </c>
      <c r="G1200" s="42" t="str">
        <f>+IFERROR(VLOOKUP(E1200,'DANH MỤC'!$C:$H,6,0),"")</f>
        <v>Kg</v>
      </c>
      <c r="H1200" s="42">
        <f>+IFERROR(VLOOKUP(E1200,'DANH MỤC'!$C:$H,3,0),"")</f>
        <v>230</v>
      </c>
      <c r="I1200" s="42">
        <f>+IFERROR(VLOOKUP(E1200,'DANH MỤC'!$C:$H,4,0),"")</f>
        <v>106</v>
      </c>
      <c r="J1200" s="42" t="str">
        <f>+IFERROR(VLOOKUP(E1200,'DANH MỤC'!$C:$H,5,0),"")</f>
        <v/>
      </c>
      <c r="K1200" s="53"/>
      <c r="L1200" s="58">
        <f>6*951</f>
        <v>5706</v>
      </c>
      <c r="M1200" s="55"/>
      <c r="N1200" s="55"/>
    </row>
    <row r="1201" ht="15.75" customHeight="1">
      <c r="A1201" s="53">
        <f t="shared" si="6"/>
        <v>1196</v>
      </c>
      <c r="B1201" s="55"/>
      <c r="C1201" s="41">
        <v>46156.0</v>
      </c>
      <c r="D1201" s="42" t="s">
        <v>791</v>
      </c>
      <c r="E1201" s="42" t="s">
        <v>107</v>
      </c>
      <c r="F1201" s="42" t="str">
        <f>+IFERROR(VLOOKUP(E1201,'DANH MỤC'!$C:$H,2,0),"")</f>
        <v>Pallet gỗ 1200x1200x130mm</v>
      </c>
      <c r="G1201" s="42" t="str">
        <f>+IFERROR(VLOOKUP(E1201,'DANH MỤC'!$C:$H,6,0),"")</f>
        <v>Bộ</v>
      </c>
      <c r="H1201" s="42">
        <f>+IFERROR(VLOOKUP(E1201,'DANH MỤC'!$C:$H,3,0),"")</f>
        <v>1200</v>
      </c>
      <c r="I1201" s="42">
        <f>+IFERROR(VLOOKUP(E1201,'DANH MỤC'!$C:$H,4,0),"")</f>
        <v>1200</v>
      </c>
      <c r="J1201" s="42">
        <f>+IFERROR(VLOOKUP(E1201,'DANH MỤC'!$C:$H,5,0),"")</f>
        <v>130</v>
      </c>
      <c r="K1201" s="53"/>
      <c r="L1201" s="58">
        <v>6.0</v>
      </c>
      <c r="M1201" s="55"/>
      <c r="N1201" s="55"/>
    </row>
    <row r="1202" ht="15.75" customHeight="1">
      <c r="A1202" s="117">
        <f t="shared" si="6"/>
        <v>1197</v>
      </c>
      <c r="B1202" s="118"/>
      <c r="C1202" s="119">
        <v>46162.0</v>
      </c>
      <c r="D1202" s="120" t="s">
        <v>130</v>
      </c>
      <c r="E1202" s="120" t="s">
        <v>123</v>
      </c>
      <c r="F1202" s="120" t="str">
        <f>+IFERROR(VLOOKUP(E1202,'DANH MỤC'!$C:$H,2,0),"")</f>
        <v>Lưỡi gà trắng 90mm x 800m x 250gsm</v>
      </c>
      <c r="G1202" s="120" t="str">
        <f>+IFERROR(VLOOKUP(E1202,'DANH MỤC'!$C:$H,6,0),"")</f>
        <v>Cuộn</v>
      </c>
      <c r="H1202" s="120">
        <f>+IFERROR(VLOOKUP(E1202,'DANH MỤC'!$C:$H,3,0),"")</f>
        <v>250</v>
      </c>
      <c r="I1202" s="120">
        <f>+IFERROR(VLOOKUP(E1202,'DANH MỤC'!$C:$H,4,0),"")</f>
        <v>90</v>
      </c>
      <c r="J1202" s="120">
        <f>+IFERROR(VLOOKUP(E1202,'DANH MỤC'!$C:$H,5,0),"")</f>
        <v>800</v>
      </c>
      <c r="K1202" s="117"/>
      <c r="L1202" s="121">
        <f>8*52</f>
        <v>416</v>
      </c>
      <c r="M1202" s="118"/>
      <c r="N1202" s="118"/>
    </row>
    <row r="1203" ht="15.75" customHeight="1">
      <c r="A1203" s="117">
        <f t="shared" si="6"/>
        <v>1198</v>
      </c>
      <c r="B1203" s="118"/>
      <c r="C1203" s="119">
        <v>46162.0</v>
      </c>
      <c r="D1203" s="120" t="s">
        <v>130</v>
      </c>
      <c r="E1203" s="120" t="s">
        <v>104</v>
      </c>
      <c r="F1203" s="120" t="str">
        <f>+IFERROR(VLOOKUP(E1203,'DANH MỤC'!$C:$H,2,0),"")</f>
        <v>Lưỡi gà trắng 95mm x 800m x 210gsm</v>
      </c>
      <c r="G1203" s="120" t="str">
        <f>+IFERROR(VLOOKUP(E1203,'DANH MỤC'!$C:$H,6,0),"")</f>
        <v>Cuộn</v>
      </c>
      <c r="H1203" s="120">
        <f>+IFERROR(VLOOKUP(E1203,'DANH MỤC'!$C:$H,3,0),"")</f>
        <v>210</v>
      </c>
      <c r="I1203" s="120">
        <f>+IFERROR(VLOOKUP(E1203,'DANH MỤC'!$C:$H,4,0),"")</f>
        <v>95</v>
      </c>
      <c r="J1203" s="120">
        <f>+IFERROR(VLOOKUP(E1203,'DANH MỤC'!$C:$H,5,0),"")</f>
        <v>800</v>
      </c>
      <c r="K1203" s="117"/>
      <c r="L1203" s="121">
        <f>4*52</f>
        <v>208</v>
      </c>
      <c r="M1203" s="118"/>
      <c r="N1203" s="118"/>
    </row>
    <row r="1204" ht="15.75" customHeight="1">
      <c r="A1204" s="53">
        <f t="shared" si="6"/>
        <v>1199</v>
      </c>
      <c r="B1204" s="55"/>
      <c r="C1204" s="41">
        <v>46168.0</v>
      </c>
      <c r="D1204" s="42" t="s">
        <v>792</v>
      </c>
      <c r="E1204" s="42" t="s">
        <v>183</v>
      </c>
      <c r="F1204" s="42" t="str">
        <f>+IFERROR(VLOOKUP(E1204,'DANH MỤC'!$C:$H,2,0),"")</f>
        <v>Ống lõi giấy phi 120x7x90mm</v>
      </c>
      <c r="G1204" s="42" t="str">
        <f>+IFERROR(VLOOKUP(E1204,'DANH MỤC'!$C:$H,6,0),"")</f>
        <v>Cái</v>
      </c>
      <c r="H1204" s="42">
        <f>+IFERROR(VLOOKUP(E1204,'DANH MỤC'!$C:$H,3,0),"")</f>
        <v>120</v>
      </c>
      <c r="I1204" s="42">
        <f>+IFERROR(VLOOKUP(E1204,'DANH MỤC'!$C:$H,4,0),"")</f>
        <v>70</v>
      </c>
      <c r="J1204" s="42">
        <f>+IFERROR(VLOOKUP(E1204,'DANH MỤC'!$C:$H,5,0),"")</f>
        <v>90</v>
      </c>
      <c r="K1204" s="53"/>
      <c r="L1204" s="58">
        <v>1050.0</v>
      </c>
      <c r="M1204" s="55"/>
      <c r="N1204" s="55"/>
    </row>
    <row r="1205" ht="15.75" customHeight="1">
      <c r="A1205" s="53">
        <f t="shared" si="6"/>
        <v>1200</v>
      </c>
      <c r="B1205" s="55"/>
      <c r="C1205" s="41">
        <v>46168.0</v>
      </c>
      <c r="D1205" s="42" t="s">
        <v>792</v>
      </c>
      <c r="E1205" s="42" t="s">
        <v>107</v>
      </c>
      <c r="F1205" s="42" t="str">
        <f>+IFERROR(VLOOKUP(E1205,'DANH MỤC'!$C:$H,2,0),"")</f>
        <v>Pallet gỗ 1200x1200x130mm</v>
      </c>
      <c r="G1205" s="42" t="str">
        <f>+IFERROR(VLOOKUP(E1205,'DANH MỤC'!$C:$H,6,0),"")</f>
        <v>Bộ</v>
      </c>
      <c r="H1205" s="42">
        <f>+IFERROR(VLOOKUP(E1205,'DANH MỤC'!$C:$H,3,0),"")</f>
        <v>1200</v>
      </c>
      <c r="I1205" s="42">
        <f>+IFERROR(VLOOKUP(E1205,'DANH MỤC'!$C:$H,4,0),"")</f>
        <v>1200</v>
      </c>
      <c r="J1205" s="42">
        <f>+IFERROR(VLOOKUP(E1205,'DANH MỤC'!$C:$H,5,0),"")</f>
        <v>130</v>
      </c>
      <c r="K1205" s="53"/>
      <c r="L1205" s="58">
        <v>18.0</v>
      </c>
      <c r="M1205" s="55"/>
      <c r="N1205" s="55"/>
    </row>
    <row r="1206" ht="15.75" customHeight="1">
      <c r="A1206" s="53">
        <f t="shared" si="6"/>
        <v>1201</v>
      </c>
      <c r="B1206" s="55"/>
      <c r="C1206" s="41">
        <v>46168.0</v>
      </c>
      <c r="D1206" s="42" t="s">
        <v>792</v>
      </c>
      <c r="E1206" s="42" t="s">
        <v>96</v>
      </c>
      <c r="F1206" s="42" t="str">
        <f>+IFERROR(VLOOKUP(E1206,'DANH MỤC'!$C:$H,2,0),"")</f>
        <v>Giấy bao gói lưỡi gà</v>
      </c>
      <c r="G1206" s="42" t="str">
        <f>+IFERROR(VLOOKUP(E1206,'DANH MỤC'!$C:$H,6,0),"")</f>
        <v>Kg</v>
      </c>
      <c r="H1206" s="42" t="str">
        <f>+IFERROR(VLOOKUP(E1206,'DANH MỤC'!$C:$H,3,0),"")</f>
        <v/>
      </c>
      <c r="I1206" s="42" t="str">
        <f>+IFERROR(VLOOKUP(E1206,'DANH MỤC'!$C:$H,4,0),"")</f>
        <v/>
      </c>
      <c r="J1206" s="42" t="str">
        <f>+IFERROR(VLOOKUP(E1206,'DANH MỤC'!$C:$H,5,0),"")</f>
        <v/>
      </c>
      <c r="K1206" s="53"/>
      <c r="L1206" s="58">
        <v>13.3096446</v>
      </c>
      <c r="M1206" s="55"/>
      <c r="N1206" s="55"/>
    </row>
    <row r="1207" ht="15.75" customHeight="1">
      <c r="A1207" s="53">
        <f t="shared" si="6"/>
        <v>1202</v>
      </c>
      <c r="B1207" s="55"/>
      <c r="C1207" s="41">
        <v>46168.0</v>
      </c>
      <c r="D1207" s="42" t="s">
        <v>792</v>
      </c>
      <c r="E1207" s="42" t="s">
        <v>112</v>
      </c>
      <c r="F1207" s="42" t="str">
        <f>+IFERROR(VLOOKUP(E1207,'DANH MỤC'!$C:$H,2,0),"")</f>
        <v>Dây đai PET xanh (B)</v>
      </c>
      <c r="G1207" s="42" t="str">
        <f>+IFERROR(VLOOKUP(E1207,'DANH MỤC'!$C:$H,6,0),"")</f>
        <v>Kg</v>
      </c>
      <c r="H1207" s="42" t="str">
        <f>+IFERROR(VLOOKUP(E1207,'DANH MỤC'!$C:$H,3,0),"")</f>
        <v/>
      </c>
      <c r="I1207" s="42" t="str">
        <f>+IFERROR(VLOOKUP(E1207,'DANH MỤC'!$C:$H,4,0),"")</f>
        <v/>
      </c>
      <c r="J1207" s="42" t="str">
        <f>+IFERROR(VLOOKUP(E1207,'DANH MỤC'!$C:$H,5,0),"")</f>
        <v/>
      </c>
      <c r="K1207" s="53"/>
      <c r="L1207" s="58">
        <v>12.85956</v>
      </c>
      <c r="M1207" s="55"/>
      <c r="N1207" s="55"/>
    </row>
    <row r="1208" ht="15.75" customHeight="1">
      <c r="A1208" s="53">
        <f t="shared" si="6"/>
        <v>1203</v>
      </c>
      <c r="B1208" s="55"/>
      <c r="C1208" s="41">
        <v>46168.0</v>
      </c>
      <c r="D1208" s="42" t="s">
        <v>792</v>
      </c>
      <c r="E1208" s="42" t="s">
        <v>115</v>
      </c>
      <c r="F1208" s="42" t="str">
        <f>+IFERROR(VLOOKUP(E1208,'DANH MỤC'!$C:$H,2,0),"")</f>
        <v>Màng Strecth Film 5.0-0.6kg</v>
      </c>
      <c r="G1208" s="42" t="str">
        <f>+IFERROR(VLOOKUP(E1208,'DANH MỤC'!$C:$H,6,0),"")</f>
        <v>Kg</v>
      </c>
      <c r="H1208" s="42" t="str">
        <f>+IFERROR(VLOOKUP(E1208,'DANH MỤC'!$C:$H,3,0),"")</f>
        <v/>
      </c>
      <c r="I1208" s="42" t="str">
        <f>+IFERROR(VLOOKUP(E1208,'DANH MỤC'!$C:$H,4,0),"")</f>
        <v/>
      </c>
      <c r="J1208" s="42" t="str">
        <f>+IFERROR(VLOOKUP(E1208,'DANH MỤC'!$C:$H,5,0),"")</f>
        <v/>
      </c>
      <c r="K1208" s="53"/>
      <c r="L1208" s="58">
        <v>9.5</v>
      </c>
      <c r="M1208" s="55"/>
      <c r="N1208" s="55"/>
    </row>
    <row r="1209" ht="15.75" customHeight="1">
      <c r="A1209" s="53">
        <f t="shared" si="6"/>
        <v>1204</v>
      </c>
      <c r="B1209" s="55"/>
      <c r="C1209" s="41">
        <v>46168.0</v>
      </c>
      <c r="D1209" s="42" t="s">
        <v>793</v>
      </c>
      <c r="E1209" s="42" t="s">
        <v>123</v>
      </c>
      <c r="F1209" s="42" t="str">
        <f>+IFERROR(VLOOKUP(E1209,'DANH MỤC'!$C:$H,2,0),"")</f>
        <v>Lưỡi gà trắng 90mm x 800m x 250gsm</v>
      </c>
      <c r="G1209" s="42" t="str">
        <f>+IFERROR(VLOOKUP(E1209,'DANH MỤC'!$C:$H,6,0),"")</f>
        <v>Cuộn</v>
      </c>
      <c r="H1209" s="42">
        <f>+IFERROR(VLOOKUP(E1209,'DANH MỤC'!$C:$H,3,0),"")</f>
        <v>250</v>
      </c>
      <c r="I1209" s="42">
        <f>+IFERROR(VLOOKUP(E1209,'DANH MỤC'!$C:$H,4,0),"")</f>
        <v>90</v>
      </c>
      <c r="J1209" s="42">
        <f>+IFERROR(VLOOKUP(E1209,'DANH MỤC'!$C:$H,5,0),"")</f>
        <v>800</v>
      </c>
      <c r="K1209" s="53">
        <v>972.0</v>
      </c>
      <c r="L1209" s="58"/>
      <c r="M1209" s="55"/>
      <c r="N1209" s="55"/>
    </row>
    <row r="1210" ht="15.75" customHeight="1">
      <c r="A1210" s="53">
        <f t="shared" si="6"/>
        <v>1205</v>
      </c>
      <c r="B1210" s="55"/>
      <c r="C1210" s="41">
        <v>46168.0</v>
      </c>
      <c r="D1210" s="42" t="s">
        <v>794</v>
      </c>
      <c r="E1210" s="42" t="s">
        <v>88</v>
      </c>
      <c r="F1210" s="42" t="str">
        <f>+IFERROR(VLOOKUP(E1210,'DANH MỤC'!$C:$H,2,0),"")</f>
        <v>Ivory Ningbo</v>
      </c>
      <c r="G1210" s="42" t="str">
        <f>+IFERROR(VLOOKUP(E1210,'DANH MỤC'!$C:$H,6,0),"")</f>
        <v>Kg</v>
      </c>
      <c r="H1210" s="42">
        <f>+IFERROR(VLOOKUP(E1210,'DANH MỤC'!$C:$H,3,0),"")</f>
        <v>250</v>
      </c>
      <c r="I1210" s="42">
        <f>+IFERROR(VLOOKUP(E1210,'DANH MỤC'!$C:$H,4,0),"")</f>
        <v>109</v>
      </c>
      <c r="J1210" s="42" t="str">
        <f>+IFERROR(VLOOKUP(E1210,'DANH MỤC'!$C:$H,5,0),"")</f>
        <v/>
      </c>
      <c r="K1210" s="53"/>
      <c r="L1210" s="58">
        <v>17939.0</v>
      </c>
      <c r="M1210" s="55"/>
      <c r="N1210" s="55"/>
    </row>
    <row r="1211" ht="15.75" customHeight="1">
      <c r="A1211" s="117">
        <f t="shared" si="6"/>
        <v>1206</v>
      </c>
      <c r="B1211" s="118"/>
      <c r="C1211" s="119">
        <v>46178.0</v>
      </c>
      <c r="D1211" s="120" t="s">
        <v>130</v>
      </c>
      <c r="E1211" s="120" t="s">
        <v>123</v>
      </c>
      <c r="F1211" s="120" t="str">
        <f>+IFERROR(VLOOKUP(E1211,'DANH MỤC'!$C:$H,2,0),"")</f>
        <v>Lưỡi gà trắng 90mm x 800m x 250gsm</v>
      </c>
      <c r="G1211" s="120" t="str">
        <f>+IFERROR(VLOOKUP(E1211,'DANH MỤC'!$C:$H,6,0),"")</f>
        <v>Cuộn</v>
      </c>
      <c r="H1211" s="120">
        <f>+IFERROR(VLOOKUP(E1211,'DANH MỤC'!$C:$H,3,0),"")</f>
        <v>250</v>
      </c>
      <c r="I1211" s="120">
        <f>+IFERROR(VLOOKUP(E1211,'DANH MỤC'!$C:$H,4,0),"")</f>
        <v>90</v>
      </c>
      <c r="J1211" s="120">
        <f>+IFERROR(VLOOKUP(E1211,'DANH MỤC'!$C:$H,5,0),"")</f>
        <v>800</v>
      </c>
      <c r="K1211" s="117"/>
      <c r="L1211" s="121">
        <v>416.0</v>
      </c>
      <c r="M1211" s="118"/>
      <c r="N1211" s="118"/>
    </row>
    <row r="1212" ht="15.75" customHeight="1">
      <c r="A1212" s="117">
        <f t="shared" si="6"/>
        <v>1207</v>
      </c>
      <c r="B1212" s="118"/>
      <c r="C1212" s="119">
        <v>46178.0</v>
      </c>
      <c r="D1212" s="120" t="s">
        <v>130</v>
      </c>
      <c r="E1212" s="120" t="s">
        <v>104</v>
      </c>
      <c r="F1212" s="120" t="str">
        <f>+IFERROR(VLOOKUP(E1212,'DANH MỤC'!$C:$H,2,0),"")</f>
        <v>Lưỡi gà trắng 95mm x 800m x 210gsm</v>
      </c>
      <c r="G1212" s="120" t="str">
        <f>+IFERROR(VLOOKUP(E1212,'DANH MỤC'!$C:$H,6,0),"")</f>
        <v>Cuộn</v>
      </c>
      <c r="H1212" s="120">
        <f>+IFERROR(VLOOKUP(E1212,'DANH MỤC'!$C:$H,3,0),"")</f>
        <v>210</v>
      </c>
      <c r="I1212" s="120">
        <f>+IFERROR(VLOOKUP(E1212,'DANH MỤC'!$C:$H,4,0),"")</f>
        <v>95</v>
      </c>
      <c r="J1212" s="120">
        <f>+IFERROR(VLOOKUP(E1212,'DANH MỤC'!$C:$H,5,0),"")</f>
        <v>800</v>
      </c>
      <c r="K1212" s="117"/>
      <c r="L1212" s="121">
        <v>208.0</v>
      </c>
      <c r="M1212" s="118"/>
      <c r="N1212" s="118"/>
    </row>
    <row r="1213" ht="15.75" customHeight="1">
      <c r="A1213" s="53">
        <f t="shared" si="6"/>
        <v>1208</v>
      </c>
      <c r="B1213" s="55"/>
      <c r="C1213" s="41">
        <v>46179.0</v>
      </c>
      <c r="D1213" s="42" t="s">
        <v>95</v>
      </c>
      <c r="E1213" s="42" t="s">
        <v>107</v>
      </c>
      <c r="F1213" s="42" t="str">
        <f>+IFERROR(VLOOKUP(E1213,'DANH MỤC'!$C:$H,2,0),"")</f>
        <v>Pallet gỗ 1200x1200x130mm</v>
      </c>
      <c r="G1213" s="42" t="str">
        <f>+IFERROR(VLOOKUP(E1213,'DANH MỤC'!$C:$H,6,0),"")</f>
        <v>Bộ</v>
      </c>
      <c r="H1213" s="42">
        <f>+IFERROR(VLOOKUP(E1213,'DANH MỤC'!$C:$H,3,0),"")</f>
        <v>1200</v>
      </c>
      <c r="I1213" s="42">
        <f>+IFERROR(VLOOKUP(E1213,'DANH MỤC'!$C:$H,4,0),"")</f>
        <v>1200</v>
      </c>
      <c r="J1213" s="42">
        <f>+IFERROR(VLOOKUP(E1213,'DANH MỤC'!$C:$H,5,0),"")</f>
        <v>130</v>
      </c>
      <c r="K1213" s="53">
        <v>60.0</v>
      </c>
      <c r="L1213" s="58"/>
      <c r="M1213" s="55"/>
      <c r="N1213" s="55"/>
    </row>
    <row r="1214" ht="15.75" customHeight="1">
      <c r="A1214" s="53">
        <f t="shared" si="6"/>
        <v>1209</v>
      </c>
      <c r="B1214" s="55"/>
      <c r="C1214" s="41">
        <v>46179.0</v>
      </c>
      <c r="D1214" s="42" t="s">
        <v>95</v>
      </c>
      <c r="E1214" s="42" t="s">
        <v>127</v>
      </c>
      <c r="F1214" s="42" t="str">
        <f>+IFERROR(VLOOKUP(E1214,'DANH MỤC'!$C:$H,2,0),"")</f>
        <v>Pallet gỗ 1100x1100x130mm</v>
      </c>
      <c r="G1214" s="42" t="str">
        <f>+IFERROR(VLOOKUP(E1214,'DANH MỤC'!$C:$H,6,0),"")</f>
        <v>Bộ</v>
      </c>
      <c r="H1214" s="42">
        <f>+IFERROR(VLOOKUP(E1214,'DANH MỤC'!$C:$H,3,0),"")</f>
        <v>1100</v>
      </c>
      <c r="I1214" s="42">
        <f>+IFERROR(VLOOKUP(E1214,'DANH MỤC'!$C:$H,4,0),"")</f>
        <v>1100</v>
      </c>
      <c r="J1214" s="42">
        <f>+IFERROR(VLOOKUP(E1214,'DANH MỤC'!$C:$H,5,0),"")</f>
        <v>130</v>
      </c>
      <c r="K1214" s="53">
        <v>30.0</v>
      </c>
      <c r="L1214" s="58"/>
      <c r="M1214" s="55"/>
      <c r="N1214" s="55"/>
    </row>
    <row r="1215" ht="15.75" customHeight="1">
      <c r="A1215" s="117">
        <f t="shared" si="6"/>
        <v>1210</v>
      </c>
      <c r="B1215" s="118"/>
      <c r="C1215" s="119">
        <v>46185.0</v>
      </c>
      <c r="D1215" s="120" t="s">
        <v>130</v>
      </c>
      <c r="E1215" s="120" t="s">
        <v>123</v>
      </c>
      <c r="F1215" s="120" t="str">
        <f>+IFERROR(VLOOKUP(E1215,'DANH MỤC'!$C:$H,2,0),"")</f>
        <v>Lưỡi gà trắng 90mm x 800m x 250gsm</v>
      </c>
      <c r="G1215" s="120" t="str">
        <f>+IFERROR(VLOOKUP(E1215,'DANH MỤC'!$C:$H,6,0),"")</f>
        <v>Cuộn</v>
      </c>
      <c r="H1215" s="120">
        <f>+IFERROR(VLOOKUP(E1215,'DANH MỤC'!$C:$H,3,0),"")</f>
        <v>250</v>
      </c>
      <c r="I1215" s="120">
        <f>+IFERROR(VLOOKUP(E1215,'DANH MỤC'!$C:$H,4,0),"")</f>
        <v>90</v>
      </c>
      <c r="J1215" s="120">
        <f>+IFERROR(VLOOKUP(E1215,'DANH MỤC'!$C:$H,5,0),"")</f>
        <v>800</v>
      </c>
      <c r="K1215" s="117"/>
      <c r="L1215" s="121">
        <f>7*52</f>
        <v>364</v>
      </c>
      <c r="M1215" s="118"/>
      <c r="N1215" s="118"/>
    </row>
    <row r="1216" ht="15.75" customHeight="1">
      <c r="A1216" s="117">
        <f t="shared" si="6"/>
        <v>1211</v>
      </c>
      <c r="B1216" s="118"/>
      <c r="C1216" s="119">
        <v>46185.0</v>
      </c>
      <c r="D1216" s="120" t="s">
        <v>130</v>
      </c>
      <c r="E1216" s="120" t="s">
        <v>104</v>
      </c>
      <c r="F1216" s="120" t="str">
        <f>+IFERROR(VLOOKUP(E1216,'DANH MỤC'!$C:$H,2,0),"")</f>
        <v>Lưỡi gà trắng 95mm x 800m x 210gsm</v>
      </c>
      <c r="G1216" s="120" t="str">
        <f>+IFERROR(VLOOKUP(E1216,'DANH MỤC'!$C:$H,6,0),"")</f>
        <v>Cuộn</v>
      </c>
      <c r="H1216" s="120">
        <f>+IFERROR(VLOOKUP(E1216,'DANH MỤC'!$C:$H,3,0),"")</f>
        <v>210</v>
      </c>
      <c r="I1216" s="120">
        <f>+IFERROR(VLOOKUP(E1216,'DANH MỤC'!$C:$H,4,0),"")</f>
        <v>95</v>
      </c>
      <c r="J1216" s="120">
        <f>+IFERROR(VLOOKUP(E1216,'DANH MỤC'!$C:$H,5,0),"")</f>
        <v>800</v>
      </c>
      <c r="K1216" s="117"/>
      <c r="L1216" s="121">
        <f>4*52</f>
        <v>208</v>
      </c>
      <c r="M1216" s="118"/>
      <c r="N1216" s="118"/>
    </row>
    <row r="1217" ht="15.75" customHeight="1">
      <c r="A1217" s="117">
        <f t="shared" si="6"/>
        <v>1212</v>
      </c>
      <c r="B1217" s="118"/>
      <c r="C1217" s="119">
        <v>46185.0</v>
      </c>
      <c r="D1217" s="120" t="s">
        <v>130</v>
      </c>
      <c r="E1217" s="120" t="s">
        <v>107</v>
      </c>
      <c r="F1217" s="120" t="str">
        <f>+IFERROR(VLOOKUP(E1217,'DANH MỤC'!$C:$H,2,0),"")</f>
        <v>Pallet gỗ 1200x1200x130mm</v>
      </c>
      <c r="G1217" s="120" t="str">
        <f>+IFERROR(VLOOKUP(E1217,'DANH MỤC'!$C:$H,6,0),"")</f>
        <v>Bộ</v>
      </c>
      <c r="H1217" s="120">
        <f>+IFERROR(VLOOKUP(E1217,'DANH MỤC'!$C:$H,3,0),"")</f>
        <v>1200</v>
      </c>
      <c r="I1217" s="120">
        <f>+IFERROR(VLOOKUP(E1217,'DANH MỤC'!$C:$H,4,0),"")</f>
        <v>1200</v>
      </c>
      <c r="J1217" s="120">
        <f>+IFERROR(VLOOKUP(E1217,'DANH MỤC'!$C:$H,5,0),"")</f>
        <v>130</v>
      </c>
      <c r="K1217" s="117"/>
      <c r="L1217" s="121">
        <v>5.0</v>
      </c>
      <c r="M1217" s="118"/>
      <c r="N1217" s="118"/>
    </row>
    <row r="1218" ht="15.75" customHeight="1">
      <c r="A1218" s="117"/>
      <c r="B1218" s="118"/>
      <c r="C1218" s="119">
        <v>46188.0</v>
      </c>
      <c r="D1218" s="120" t="s">
        <v>215</v>
      </c>
      <c r="E1218" s="120" t="s">
        <v>113</v>
      </c>
      <c r="F1218" s="120" t="str">
        <f>+IFERROR(VLOOKUP(E1218,'DANH MỤC'!$C:$H,2,0),"")</f>
        <v>Lưỡi gà trắng 95mm x 800m x 230gsm</v>
      </c>
      <c r="G1218" s="120" t="str">
        <f>+IFERROR(VLOOKUP(E1218,'DANH MỤC'!$C:$H,6,0),"")</f>
        <v>Cuộn</v>
      </c>
      <c r="H1218" s="120">
        <f>+IFERROR(VLOOKUP(E1218,'DANH MỤC'!$C:$H,3,0),"")</f>
        <v>230</v>
      </c>
      <c r="I1218" s="120">
        <f>+IFERROR(VLOOKUP(E1218,'DANH MỤC'!$C:$H,4,0),"")</f>
        <v>95</v>
      </c>
      <c r="J1218" s="120">
        <f>+IFERROR(VLOOKUP(E1218,'DANH MỤC'!$C:$H,5,0),"")</f>
        <v>800</v>
      </c>
      <c r="K1218" s="117"/>
      <c r="L1218" s="121">
        <f>5*60</f>
        <v>300</v>
      </c>
      <c r="M1218" s="118" t="s">
        <v>795</v>
      </c>
      <c r="N1218" s="118"/>
    </row>
    <row r="1219" ht="15.75" customHeight="1">
      <c r="A1219" s="53">
        <f t="shared" ref="A1219:A1871" si="7">+ROW()-5</f>
        <v>1214</v>
      </c>
      <c r="B1219" s="55"/>
      <c r="C1219" s="41">
        <v>46203.0</v>
      </c>
      <c r="D1219" s="42" t="s">
        <v>796</v>
      </c>
      <c r="E1219" s="42" t="s">
        <v>183</v>
      </c>
      <c r="F1219" s="42" t="str">
        <f>+IFERROR(VLOOKUP(E1219,'DANH MỤC'!$C:$H,2,0),"")</f>
        <v>Ống lõi giấy phi 120x7x90mm</v>
      </c>
      <c r="G1219" s="42" t="str">
        <f>+IFERROR(VLOOKUP(E1219,'DANH MỤC'!$C:$H,6,0),"")</f>
        <v>Cái</v>
      </c>
      <c r="H1219" s="42">
        <f>+IFERROR(VLOOKUP(E1219,'DANH MỤC'!$C:$H,3,0),"")</f>
        <v>120</v>
      </c>
      <c r="I1219" s="42">
        <f>+IFERROR(VLOOKUP(E1219,'DANH MỤC'!$C:$H,4,0),"")</f>
        <v>70</v>
      </c>
      <c r="J1219" s="42">
        <f>+IFERROR(VLOOKUP(E1219,'DANH MỤC'!$C:$H,5,0),"")</f>
        <v>90</v>
      </c>
      <c r="K1219" s="53"/>
      <c r="L1219" s="58">
        <f>1296+100</f>
        <v>1396</v>
      </c>
      <c r="M1219" s="55"/>
      <c r="N1219" s="55"/>
    </row>
    <row r="1220" ht="15.75" customHeight="1">
      <c r="A1220" s="53">
        <f t="shared" si="7"/>
        <v>1215</v>
      </c>
      <c r="B1220" s="55"/>
      <c r="C1220" s="41">
        <v>46203.0</v>
      </c>
      <c r="D1220" s="42" t="s">
        <v>796</v>
      </c>
      <c r="E1220" s="42" t="s">
        <v>107</v>
      </c>
      <c r="F1220" s="42" t="str">
        <f>+IFERROR(VLOOKUP(E1220,'DANH MỤC'!$C:$H,2,0),"")</f>
        <v>Pallet gỗ 1200x1200x130mm</v>
      </c>
      <c r="G1220" s="42" t="str">
        <f>+IFERROR(VLOOKUP(E1220,'DANH MỤC'!$C:$H,6,0),"")</f>
        <v>Bộ</v>
      </c>
      <c r="H1220" s="42">
        <f>+IFERROR(VLOOKUP(E1220,'DANH MỤC'!$C:$H,3,0),"")</f>
        <v>1200</v>
      </c>
      <c r="I1220" s="42">
        <f>+IFERROR(VLOOKUP(E1220,'DANH MỤC'!$C:$H,4,0),"")</f>
        <v>1200</v>
      </c>
      <c r="J1220" s="42">
        <f>+IFERROR(VLOOKUP(E1220,'DANH MỤC'!$C:$H,5,0),"")</f>
        <v>130</v>
      </c>
      <c r="K1220" s="53"/>
      <c r="L1220" s="58">
        <f>21+4</f>
        <v>25</v>
      </c>
      <c r="M1220" s="55"/>
      <c r="N1220" s="55"/>
    </row>
    <row r="1221" ht="15.75" customHeight="1">
      <c r="A1221" s="53">
        <f t="shared" si="7"/>
        <v>1216</v>
      </c>
      <c r="B1221" s="55"/>
      <c r="C1221" s="41">
        <v>46203.0</v>
      </c>
      <c r="D1221" s="42" t="s">
        <v>796</v>
      </c>
      <c r="E1221" s="42" t="s">
        <v>96</v>
      </c>
      <c r="F1221" s="42" t="str">
        <f>+IFERROR(VLOOKUP(E1221,'DANH MỤC'!$C:$H,2,0),"")</f>
        <v>Giấy bao gói lưỡi gà</v>
      </c>
      <c r="G1221" s="42" t="str">
        <f>+IFERROR(VLOOKUP(E1221,'DANH MỤC'!$C:$H,6,0),"")</f>
        <v>Kg</v>
      </c>
      <c r="H1221" s="42" t="str">
        <f>+IFERROR(VLOOKUP(E1221,'DANH MỤC'!$C:$H,3,0),"")</f>
        <v/>
      </c>
      <c r="I1221" s="42" t="str">
        <f>+IFERROR(VLOOKUP(E1221,'DANH MỤC'!$C:$H,4,0),"")</f>
        <v/>
      </c>
      <c r="J1221" s="42" t="str">
        <f>+IFERROR(VLOOKUP(E1221,'DANH MỤC'!$C:$H,5,0),"")</f>
        <v/>
      </c>
      <c r="K1221" s="53"/>
      <c r="L1221" s="58">
        <v>17.14608</v>
      </c>
      <c r="M1221" s="55"/>
      <c r="N1221" s="55"/>
    </row>
    <row r="1222" ht="15.75" customHeight="1">
      <c r="A1222" s="53">
        <f t="shared" si="7"/>
        <v>1217</v>
      </c>
      <c r="B1222" s="55"/>
      <c r="C1222" s="41">
        <v>46203.0</v>
      </c>
      <c r="D1222" s="42" t="s">
        <v>796</v>
      </c>
      <c r="E1222" s="42" t="s">
        <v>112</v>
      </c>
      <c r="F1222" s="42" t="str">
        <f>+IFERROR(VLOOKUP(E1222,'DANH MỤC'!$C:$H,2,0),"")</f>
        <v>Dây đai PET xanh (B)</v>
      </c>
      <c r="G1222" s="42" t="str">
        <f>+IFERROR(VLOOKUP(E1222,'DANH MỤC'!$C:$H,6,0),"")</f>
        <v>Kg</v>
      </c>
      <c r="H1222" s="42" t="str">
        <f>+IFERROR(VLOOKUP(E1222,'DANH MỤC'!$C:$H,3,0),"")</f>
        <v/>
      </c>
      <c r="I1222" s="42" t="str">
        <f>+IFERROR(VLOOKUP(E1222,'DANH MỤC'!$C:$H,4,0),"")</f>
        <v/>
      </c>
      <c r="J1222" s="42" t="str">
        <f>+IFERROR(VLOOKUP(E1222,'DANH MỤC'!$C:$H,5,0),"")</f>
        <v/>
      </c>
      <c r="K1222" s="53"/>
      <c r="L1222" s="58">
        <v>17.5</v>
      </c>
      <c r="M1222" s="55"/>
      <c r="N1222" s="55"/>
    </row>
    <row r="1223" ht="15.75" customHeight="1">
      <c r="A1223" s="53">
        <f t="shared" si="7"/>
        <v>1218</v>
      </c>
      <c r="B1223" s="55"/>
      <c r="C1223" s="41">
        <v>46203.0</v>
      </c>
      <c r="D1223" s="42" t="s">
        <v>796</v>
      </c>
      <c r="E1223" s="42" t="s">
        <v>115</v>
      </c>
      <c r="F1223" s="42" t="str">
        <f>+IFERROR(VLOOKUP(E1223,'DANH MỤC'!$C:$H,2,0),"")</f>
        <v>Màng Strecth Film 5.0-0.6kg</v>
      </c>
      <c r="G1223" s="42" t="str">
        <f>+IFERROR(VLOOKUP(E1223,'DANH MỤC'!$C:$H,6,0),"")</f>
        <v>Kg</v>
      </c>
      <c r="H1223" s="42" t="str">
        <f>+IFERROR(VLOOKUP(E1223,'DANH MỤC'!$C:$H,3,0),"")</f>
        <v/>
      </c>
      <c r="I1223" s="42" t="str">
        <f>+IFERROR(VLOOKUP(E1223,'DANH MỤC'!$C:$H,4,0),"")</f>
        <v/>
      </c>
      <c r="J1223" s="42" t="str">
        <f>+IFERROR(VLOOKUP(E1223,'DANH MỤC'!$C:$H,5,0),"")</f>
        <v/>
      </c>
      <c r="K1223" s="53"/>
      <c r="L1223" s="58">
        <v>12.5</v>
      </c>
      <c r="M1223" s="55"/>
      <c r="N1223" s="55"/>
    </row>
    <row r="1224" ht="15.75" customHeight="1">
      <c r="A1224" s="53">
        <f t="shared" si="7"/>
        <v>1219</v>
      </c>
      <c r="B1224" s="55"/>
      <c r="C1224" s="41">
        <v>46203.0</v>
      </c>
      <c r="D1224" s="42" t="s">
        <v>797</v>
      </c>
      <c r="E1224" s="42" t="s">
        <v>123</v>
      </c>
      <c r="F1224" s="42" t="str">
        <f>+IFERROR(VLOOKUP(E1224,'DANH MỤC'!$C:$H,2,0),"")</f>
        <v>Lưỡi gà trắng 90mm x 800m x 250gsm</v>
      </c>
      <c r="G1224" s="42" t="str">
        <f>+IFERROR(VLOOKUP(E1224,'DANH MỤC'!$C:$H,6,0),"")</f>
        <v>Cuộn</v>
      </c>
      <c r="H1224" s="42">
        <f>+IFERROR(VLOOKUP(E1224,'DANH MỤC'!$C:$H,3,0),"")</f>
        <v>250</v>
      </c>
      <c r="I1224" s="42">
        <f>+IFERROR(VLOOKUP(E1224,'DANH MỤC'!$C:$H,4,0),"")</f>
        <v>90</v>
      </c>
      <c r="J1224" s="42">
        <f>+IFERROR(VLOOKUP(E1224,'DANH MỤC'!$C:$H,5,0),"")</f>
        <v>800</v>
      </c>
      <c r="K1224" s="53">
        <v>1296.0</v>
      </c>
      <c r="L1224" s="58"/>
      <c r="M1224" s="55"/>
      <c r="N1224" s="55"/>
    </row>
    <row r="1225" ht="15.75" customHeight="1">
      <c r="A1225" s="53">
        <f t="shared" si="7"/>
        <v>1220</v>
      </c>
      <c r="B1225" s="55"/>
      <c r="C1225" s="41">
        <v>46203.0</v>
      </c>
      <c r="D1225" s="42" t="s">
        <v>798</v>
      </c>
      <c r="E1225" s="42" t="s">
        <v>88</v>
      </c>
      <c r="F1225" s="42" t="str">
        <f>+IFERROR(VLOOKUP(E1225,'DANH MỤC'!$C:$H,2,0),"")</f>
        <v>Ivory Ningbo</v>
      </c>
      <c r="G1225" s="42" t="str">
        <f>+IFERROR(VLOOKUP(E1225,'DANH MỤC'!$C:$H,6,0),"")</f>
        <v>Kg</v>
      </c>
      <c r="H1225" s="42">
        <f>+IFERROR(VLOOKUP(E1225,'DANH MỤC'!$C:$H,3,0),"")</f>
        <v>250</v>
      </c>
      <c r="I1225" s="42">
        <f>+IFERROR(VLOOKUP(E1225,'DANH MỤC'!$C:$H,4,0),"")</f>
        <v>109</v>
      </c>
      <c r="J1225" s="42" t="str">
        <f>+IFERROR(VLOOKUP(E1225,'DANH MỤC'!$C:$H,5,0),"")</f>
        <v/>
      </c>
      <c r="K1225" s="53"/>
      <c r="L1225" s="58">
        <f>24244-350</f>
        <v>23894</v>
      </c>
      <c r="M1225" s="55"/>
      <c r="N1225" s="55"/>
    </row>
    <row r="1226" ht="15.75" customHeight="1">
      <c r="A1226" s="53">
        <f t="shared" si="7"/>
        <v>1221</v>
      </c>
      <c r="B1226" s="55"/>
      <c r="C1226" s="41">
        <v>46203.0</v>
      </c>
      <c r="D1226" s="42" t="s">
        <v>796</v>
      </c>
      <c r="E1226" s="42" t="s">
        <v>260</v>
      </c>
      <c r="F1226" s="42" t="str">
        <f>+IFERROR(VLOOKUP(E1226,'DANH MỤC'!$C:$H,2,0),"")</f>
        <v>Giấy lót đóng gói</v>
      </c>
      <c r="G1226" s="42" t="str">
        <f>+IFERROR(VLOOKUP(E1226,'DANH MỤC'!$C:$H,6,0),"")</f>
        <v>Kg</v>
      </c>
      <c r="H1226" s="42" t="str">
        <f>+IFERROR(VLOOKUP(E1226,'DANH MỤC'!$C:$H,3,0),"")</f>
        <v/>
      </c>
      <c r="I1226" s="42" t="str">
        <f>+IFERROR(VLOOKUP(E1226,'DANH MỤC'!$C:$H,4,0),"")</f>
        <v/>
      </c>
      <c r="J1226" s="42" t="str">
        <f>+IFERROR(VLOOKUP(E1226,'DANH MỤC'!$C:$H,5,0),"")</f>
        <v/>
      </c>
      <c r="K1226" s="53"/>
      <c r="L1226" s="58">
        <v>200.0</v>
      </c>
      <c r="M1226" s="55"/>
      <c r="N1226" s="55"/>
    </row>
    <row r="1227" ht="15.75" customHeight="1">
      <c r="A1227" s="53">
        <f t="shared" si="7"/>
        <v>1222</v>
      </c>
      <c r="B1227" s="55"/>
      <c r="C1227" s="41">
        <v>46213.0</v>
      </c>
      <c r="D1227" s="42" t="s">
        <v>799</v>
      </c>
      <c r="E1227" s="42" t="s">
        <v>184</v>
      </c>
      <c r="F1227" s="42" t="str">
        <f>+IFERROR(VLOOKUP(E1227,'DANH MỤC'!$C:$H,2,0),"")</f>
        <v>Ống lõi giấy phi 120x7x95mm</v>
      </c>
      <c r="G1227" s="42" t="str">
        <f>+IFERROR(VLOOKUP(E1227,'DANH MỤC'!$C:$H,6,0),"")</f>
        <v>Cái</v>
      </c>
      <c r="H1227" s="42">
        <f>+IFERROR(VLOOKUP(E1227,'DANH MỤC'!$C:$H,3,0),"")</f>
        <v>120</v>
      </c>
      <c r="I1227" s="42">
        <f>+IFERROR(VLOOKUP(E1227,'DANH MỤC'!$C:$H,4,0),"")</f>
        <v>70</v>
      </c>
      <c r="J1227" s="42">
        <f>+IFERROR(VLOOKUP(E1227,'DANH MỤC'!$C:$H,5,0),"")</f>
        <v>95</v>
      </c>
      <c r="K1227" s="53"/>
      <c r="L1227" s="58">
        <v>539.0</v>
      </c>
      <c r="M1227" s="55"/>
      <c r="N1227" s="55"/>
    </row>
    <row r="1228" ht="15.75" customHeight="1">
      <c r="A1228" s="53">
        <f t="shared" si="7"/>
        <v>1223</v>
      </c>
      <c r="B1228" s="55"/>
      <c r="C1228" s="41">
        <v>46213.0</v>
      </c>
      <c r="D1228" s="42" t="s">
        <v>799</v>
      </c>
      <c r="E1228" s="42" t="s">
        <v>127</v>
      </c>
      <c r="F1228" s="42" t="str">
        <f>+IFERROR(VLOOKUP(E1228,'DANH MỤC'!$C:$H,2,0),"")</f>
        <v>Pallet gỗ 1100x1100x130mm</v>
      </c>
      <c r="G1228" s="42" t="str">
        <f>+IFERROR(VLOOKUP(E1228,'DANH MỤC'!$C:$H,6,0),"")</f>
        <v>Bộ</v>
      </c>
      <c r="H1228" s="42">
        <f>+IFERROR(VLOOKUP(E1228,'DANH MỤC'!$C:$H,3,0),"")</f>
        <v>1100</v>
      </c>
      <c r="I1228" s="42">
        <f>+IFERROR(VLOOKUP(E1228,'DANH MỤC'!$C:$H,4,0),"")</f>
        <v>1100</v>
      </c>
      <c r="J1228" s="42">
        <f>+IFERROR(VLOOKUP(E1228,'DANH MỤC'!$C:$H,5,0),"")</f>
        <v>130</v>
      </c>
      <c r="K1228" s="53"/>
      <c r="L1228" s="58">
        <v>11.0</v>
      </c>
      <c r="M1228" s="55"/>
      <c r="N1228" s="55"/>
    </row>
    <row r="1229" ht="15.75" customHeight="1">
      <c r="A1229" s="53">
        <f t="shared" si="7"/>
        <v>1224</v>
      </c>
      <c r="B1229" s="55"/>
      <c r="C1229" s="41">
        <v>46213.0</v>
      </c>
      <c r="D1229" s="42" t="s">
        <v>799</v>
      </c>
      <c r="E1229" s="42" t="s">
        <v>96</v>
      </c>
      <c r="F1229" s="42" t="str">
        <f>+IFERROR(VLOOKUP(E1229,'DANH MỤC'!$C:$H,2,0),"")</f>
        <v>Giấy bao gói lưỡi gà</v>
      </c>
      <c r="G1229" s="42" t="str">
        <f>+IFERROR(VLOOKUP(E1229,'DANH MỤC'!$C:$H,6,0),"")</f>
        <v>Kg</v>
      </c>
      <c r="H1229" s="42" t="str">
        <f>+IFERROR(VLOOKUP(E1229,'DANH MỤC'!$C:$H,3,0),"")</f>
        <v/>
      </c>
      <c r="I1229" s="42" t="str">
        <f>+IFERROR(VLOOKUP(E1229,'DANH MỤC'!$C:$H,4,0),"")</f>
        <v/>
      </c>
      <c r="J1229" s="42" t="str">
        <f>+IFERROR(VLOOKUP(E1229,'DANH MỤC'!$C:$H,5,0),"")</f>
        <v/>
      </c>
      <c r="K1229" s="53"/>
      <c r="L1229" s="58">
        <v>7.53</v>
      </c>
      <c r="M1229" s="55"/>
      <c r="N1229" s="55"/>
    </row>
    <row r="1230" ht="15.75" customHeight="1">
      <c r="A1230" s="53">
        <f t="shared" si="7"/>
        <v>1225</v>
      </c>
      <c r="B1230" s="55"/>
      <c r="C1230" s="41">
        <v>46213.0</v>
      </c>
      <c r="D1230" s="42" t="s">
        <v>799</v>
      </c>
      <c r="E1230" s="42" t="s">
        <v>112</v>
      </c>
      <c r="F1230" s="42" t="str">
        <f>+IFERROR(VLOOKUP(E1230,'DANH MỤC'!$C:$H,2,0),"")</f>
        <v>Dây đai PET xanh (B)</v>
      </c>
      <c r="G1230" s="42" t="str">
        <f>+IFERROR(VLOOKUP(E1230,'DANH MỤC'!$C:$H,6,0),"")</f>
        <v>Kg</v>
      </c>
      <c r="H1230" s="42" t="str">
        <f>+IFERROR(VLOOKUP(E1230,'DANH MỤC'!$C:$H,3,0),"")</f>
        <v/>
      </c>
      <c r="I1230" s="42" t="str">
        <f>+IFERROR(VLOOKUP(E1230,'DANH MỤC'!$C:$H,4,0),"")</f>
        <v/>
      </c>
      <c r="J1230" s="42" t="str">
        <f>+IFERROR(VLOOKUP(E1230,'DANH MỤC'!$C:$H,5,0),"")</f>
        <v/>
      </c>
      <c r="K1230" s="53"/>
      <c r="L1230" s="58">
        <v>7.0</v>
      </c>
      <c r="M1230" s="55"/>
      <c r="N1230" s="55"/>
    </row>
    <row r="1231" ht="15.75" customHeight="1">
      <c r="A1231" s="53">
        <f t="shared" si="7"/>
        <v>1226</v>
      </c>
      <c r="B1231" s="55"/>
      <c r="C1231" s="41">
        <v>46213.0</v>
      </c>
      <c r="D1231" s="42" t="s">
        <v>799</v>
      </c>
      <c r="E1231" s="42" t="s">
        <v>115</v>
      </c>
      <c r="F1231" s="42" t="str">
        <f>+IFERROR(VLOOKUP(E1231,'DANH MỤC'!$C:$H,2,0),"")</f>
        <v>Màng Strecth Film 5.0-0.6kg</v>
      </c>
      <c r="G1231" s="42" t="str">
        <f>+IFERROR(VLOOKUP(E1231,'DANH MỤC'!$C:$H,6,0),"")</f>
        <v>Kg</v>
      </c>
      <c r="H1231" s="42" t="str">
        <f>+IFERROR(VLOOKUP(E1231,'DANH MỤC'!$C:$H,3,0),"")</f>
        <v/>
      </c>
      <c r="I1231" s="42" t="str">
        <f>+IFERROR(VLOOKUP(E1231,'DANH MỤC'!$C:$H,4,0),"")</f>
        <v/>
      </c>
      <c r="J1231" s="42" t="str">
        <f>+IFERROR(VLOOKUP(E1231,'DANH MỤC'!$C:$H,5,0),"")</f>
        <v/>
      </c>
      <c r="K1231" s="53"/>
      <c r="L1231" s="58">
        <v>5.0</v>
      </c>
      <c r="M1231" s="55"/>
      <c r="N1231" s="55"/>
    </row>
    <row r="1232" ht="15.75" customHeight="1">
      <c r="A1232" s="53">
        <f t="shared" si="7"/>
        <v>1227</v>
      </c>
      <c r="B1232" s="55"/>
      <c r="C1232" s="41">
        <v>46213.0</v>
      </c>
      <c r="D1232" s="42" t="s">
        <v>799</v>
      </c>
      <c r="E1232" s="42" t="s">
        <v>260</v>
      </c>
      <c r="F1232" s="42" t="str">
        <f>+IFERROR(VLOOKUP(E1232,'DANH MỤC'!$C:$H,2,0),"")</f>
        <v>Giấy lót đóng gói</v>
      </c>
      <c r="G1232" s="42" t="str">
        <f>+IFERROR(VLOOKUP(E1232,'DANH MỤC'!$C:$H,6,0),"")</f>
        <v>Kg</v>
      </c>
      <c r="H1232" s="42" t="str">
        <f>+IFERROR(VLOOKUP(E1232,'DANH MỤC'!$C:$H,3,0),"")</f>
        <v/>
      </c>
      <c r="I1232" s="42" t="str">
        <f>+IFERROR(VLOOKUP(E1232,'DANH MỤC'!$C:$H,4,0),"")</f>
        <v/>
      </c>
      <c r="J1232" s="42" t="str">
        <f>+IFERROR(VLOOKUP(E1232,'DANH MỤC'!$C:$H,5,0),"")</f>
        <v/>
      </c>
      <c r="K1232" s="53"/>
      <c r="L1232" s="58">
        <v>50.0</v>
      </c>
      <c r="M1232" s="55"/>
      <c r="N1232" s="55"/>
    </row>
    <row r="1233" ht="15.75" customHeight="1">
      <c r="A1233" s="53">
        <f t="shared" si="7"/>
        <v>1228</v>
      </c>
      <c r="B1233" s="55"/>
      <c r="C1233" s="41">
        <v>46213.0</v>
      </c>
      <c r="D1233" s="42" t="s">
        <v>800</v>
      </c>
      <c r="E1233" s="42" t="s">
        <v>213</v>
      </c>
      <c r="F1233" s="42" t="str">
        <f>+IFERROR(VLOOKUP(E1233,'DANH MỤC'!$C:$H,2,0),"")</f>
        <v>Ivory Ningbo</v>
      </c>
      <c r="G1233" s="42" t="str">
        <f>+IFERROR(VLOOKUP(E1233,'DANH MỤC'!$C:$H,6,0),"")</f>
        <v>Kg</v>
      </c>
      <c r="H1233" s="42">
        <f>+IFERROR(VLOOKUP(E1233,'DANH MỤC'!$C:$H,3,0),"")</f>
        <v>210</v>
      </c>
      <c r="I1233" s="42">
        <f>+IFERROR(VLOOKUP(E1233,'DANH MỤC'!$C:$H,4,0),"")</f>
        <v>108</v>
      </c>
      <c r="J1233" s="42" t="str">
        <f>+IFERROR(VLOOKUP(E1233,'DANH MỤC'!$C:$H,5,0),"")</f>
        <v/>
      </c>
      <c r="K1233" s="53"/>
      <c r="L1233" s="58">
        <v>9002.0</v>
      </c>
      <c r="M1233" s="55"/>
      <c r="N1233" s="55"/>
    </row>
    <row r="1234" ht="15.75" customHeight="1">
      <c r="A1234" s="53">
        <f t="shared" si="7"/>
        <v>1229</v>
      </c>
      <c r="B1234" s="55"/>
      <c r="C1234" s="41">
        <v>46213.0</v>
      </c>
      <c r="D1234" s="42" t="s">
        <v>801</v>
      </c>
      <c r="E1234" s="42" t="s">
        <v>104</v>
      </c>
      <c r="F1234" s="42" t="str">
        <f>+IFERROR(VLOOKUP(E1234,'DANH MỤC'!$C:$H,2,0),"")</f>
        <v>Lưỡi gà trắng 95mm x 800m x 210gsm</v>
      </c>
      <c r="G1234" s="42" t="str">
        <f>+IFERROR(VLOOKUP(E1234,'DANH MỤC'!$C:$H,6,0),"")</f>
        <v>Cuộn</v>
      </c>
      <c r="H1234" s="42">
        <f>+IFERROR(VLOOKUP(E1234,'DANH MỤC'!$C:$H,3,0),"")</f>
        <v>210</v>
      </c>
      <c r="I1234" s="42">
        <f>+IFERROR(VLOOKUP(E1234,'DANH MỤC'!$C:$H,4,0),"")</f>
        <v>95</v>
      </c>
      <c r="J1234" s="42">
        <f>+IFERROR(VLOOKUP(E1234,'DANH MỤC'!$C:$H,5,0),"")</f>
        <v>800</v>
      </c>
      <c r="K1234" s="53">
        <v>539.0</v>
      </c>
      <c r="L1234" s="58"/>
      <c r="M1234" s="55"/>
      <c r="N1234" s="55"/>
    </row>
    <row r="1235" ht="15.75" customHeight="1">
      <c r="A1235" s="117">
        <f t="shared" si="7"/>
        <v>1230</v>
      </c>
      <c r="B1235" s="118"/>
      <c r="C1235" s="119">
        <v>46218.0</v>
      </c>
      <c r="D1235" s="120" t="s">
        <v>146</v>
      </c>
      <c r="E1235" s="120" t="s">
        <v>81</v>
      </c>
      <c r="F1235" s="120" t="str">
        <f>+IFERROR(VLOOKUP(E1235,'DANH MỤC'!$C:$H,2,0),"")</f>
        <v>Lưỡi gà trắng 71mm x 800m x 210gsm</v>
      </c>
      <c r="G1235" s="120" t="str">
        <f>+IFERROR(VLOOKUP(E1235,'DANH MỤC'!$C:$H,6,0),"")</f>
        <v>Cuộn</v>
      </c>
      <c r="H1235" s="120">
        <f>+IFERROR(VLOOKUP(E1235,'DANH MỤC'!$C:$H,3,0),"")</f>
        <v>210</v>
      </c>
      <c r="I1235" s="120">
        <f>+IFERROR(VLOOKUP(E1235,'DANH MỤC'!$C:$H,4,0),"")</f>
        <v>71</v>
      </c>
      <c r="J1235" s="120">
        <f>+IFERROR(VLOOKUP(E1235,'DANH MỤC'!$C:$H,5,0),"")</f>
        <v>800</v>
      </c>
      <c r="K1235" s="117"/>
      <c r="L1235" s="121">
        <v>600.0</v>
      </c>
      <c r="M1235" s="118"/>
      <c r="N1235" s="118"/>
    </row>
    <row r="1236" ht="15.75" customHeight="1">
      <c r="A1236" s="117">
        <f t="shared" si="7"/>
        <v>1231</v>
      </c>
      <c r="B1236" s="118"/>
      <c r="C1236" s="119">
        <v>46219.0</v>
      </c>
      <c r="D1236" s="120" t="s">
        <v>215</v>
      </c>
      <c r="E1236" s="120" t="s">
        <v>113</v>
      </c>
      <c r="F1236" s="120" t="str">
        <f>+IFERROR(VLOOKUP(E1236,'DANH MỤC'!$C:$H,2,0),"")</f>
        <v>Lưỡi gà trắng 95mm x 800m x 230gsm</v>
      </c>
      <c r="G1236" s="120" t="str">
        <f>+IFERROR(VLOOKUP(E1236,'DANH MỤC'!$C:$H,6,0),"")</f>
        <v>Cuộn</v>
      </c>
      <c r="H1236" s="120">
        <f>+IFERROR(VLOOKUP(E1236,'DANH MỤC'!$C:$H,3,0),"")</f>
        <v>230</v>
      </c>
      <c r="I1236" s="120">
        <f>+IFERROR(VLOOKUP(E1236,'DANH MỤC'!$C:$H,4,0),"")</f>
        <v>95</v>
      </c>
      <c r="J1236" s="120">
        <f>+IFERROR(VLOOKUP(E1236,'DANH MỤC'!$C:$H,5,0),"")</f>
        <v>800</v>
      </c>
      <c r="K1236" s="117"/>
      <c r="L1236" s="121">
        <v>300.0</v>
      </c>
      <c r="M1236" s="118"/>
      <c r="N1236" s="118"/>
    </row>
    <row r="1237" ht="15.75" customHeight="1">
      <c r="A1237" s="53">
        <f t="shared" si="7"/>
        <v>1232</v>
      </c>
      <c r="B1237" s="55"/>
      <c r="C1237" s="41">
        <v>46224.0</v>
      </c>
      <c r="D1237" s="42" t="s">
        <v>802</v>
      </c>
      <c r="E1237" s="42" t="s">
        <v>184</v>
      </c>
      <c r="F1237" s="42" t="str">
        <f>+IFERROR(VLOOKUP(E1237,'DANH MỤC'!$C:$H,2,0),"")</f>
        <v>Ống lõi giấy phi 120x7x95mm</v>
      </c>
      <c r="G1237" s="42" t="str">
        <f>+IFERROR(VLOOKUP(E1237,'DANH MỤC'!$C:$H,6,0),"")</f>
        <v>Cái</v>
      </c>
      <c r="H1237" s="42">
        <f>+IFERROR(VLOOKUP(E1237,'DANH MỤC'!$C:$H,3,0),"")</f>
        <v>120</v>
      </c>
      <c r="I1237" s="42">
        <f>+IFERROR(VLOOKUP(E1237,'DANH MỤC'!$C:$H,4,0),"")</f>
        <v>70</v>
      </c>
      <c r="J1237" s="42">
        <f>+IFERROR(VLOOKUP(E1237,'DANH MỤC'!$C:$H,5,0),"")</f>
        <v>95</v>
      </c>
      <c r="K1237" s="53"/>
      <c r="L1237" s="58">
        <v>680.0</v>
      </c>
      <c r="M1237" s="55"/>
      <c r="N1237" s="55"/>
    </row>
    <row r="1238" ht="15.75" customHeight="1">
      <c r="A1238" s="53">
        <f t="shared" si="7"/>
        <v>1233</v>
      </c>
      <c r="B1238" s="55"/>
      <c r="C1238" s="41">
        <v>46224.0</v>
      </c>
      <c r="D1238" s="42" t="s">
        <v>802</v>
      </c>
      <c r="E1238" s="42" t="s">
        <v>107</v>
      </c>
      <c r="F1238" s="42" t="str">
        <f>+IFERROR(VLOOKUP(E1238,'DANH MỤC'!$C:$H,2,0),"")</f>
        <v>Pallet gỗ 1200x1200x130mm</v>
      </c>
      <c r="G1238" s="42" t="str">
        <f>+IFERROR(VLOOKUP(E1238,'DANH MỤC'!$C:$H,6,0),"")</f>
        <v>Bộ</v>
      </c>
      <c r="H1238" s="42">
        <f>+IFERROR(VLOOKUP(E1238,'DANH MỤC'!$C:$H,3,0),"")</f>
        <v>1200</v>
      </c>
      <c r="I1238" s="42">
        <f>+IFERROR(VLOOKUP(E1238,'DANH MỤC'!$C:$H,4,0),"")</f>
        <v>1200</v>
      </c>
      <c r="J1238" s="42">
        <f>+IFERROR(VLOOKUP(E1238,'DANH MỤC'!$C:$H,5,0),"")</f>
        <v>130</v>
      </c>
      <c r="K1238" s="53"/>
      <c r="L1238" s="58">
        <v>12.0</v>
      </c>
      <c r="M1238" s="55"/>
      <c r="N1238" s="55"/>
    </row>
    <row r="1239" ht="15.75" customHeight="1">
      <c r="A1239" s="53">
        <f t="shared" si="7"/>
        <v>1234</v>
      </c>
      <c r="B1239" s="55"/>
      <c r="C1239" s="41">
        <v>46224.0</v>
      </c>
      <c r="D1239" s="42" t="s">
        <v>802</v>
      </c>
      <c r="E1239" s="42" t="s">
        <v>96</v>
      </c>
      <c r="F1239" s="42" t="str">
        <f>+IFERROR(VLOOKUP(E1239,'DANH MỤC'!$C:$H,2,0),"")</f>
        <v>Giấy bao gói lưỡi gà</v>
      </c>
      <c r="G1239" s="42" t="str">
        <f>+IFERROR(VLOOKUP(E1239,'DANH MỤC'!$C:$H,6,0),"")</f>
        <v>Kg</v>
      </c>
      <c r="H1239" s="42" t="str">
        <f>+IFERROR(VLOOKUP(E1239,'DANH MỤC'!$C:$H,3,0),"")</f>
        <v/>
      </c>
      <c r="I1239" s="42" t="str">
        <f>+IFERROR(VLOOKUP(E1239,'DANH MỤC'!$C:$H,4,0),"")</f>
        <v/>
      </c>
      <c r="J1239" s="42" t="str">
        <f>+IFERROR(VLOOKUP(E1239,'DANH MỤC'!$C:$H,5,0),"")</f>
        <v/>
      </c>
      <c r="K1239" s="53"/>
      <c r="L1239" s="58">
        <v>9.06</v>
      </c>
      <c r="M1239" s="55"/>
      <c r="N1239" s="55"/>
    </row>
    <row r="1240" ht="15.75" customHeight="1">
      <c r="A1240" s="53">
        <f t="shared" si="7"/>
        <v>1235</v>
      </c>
      <c r="B1240" s="55"/>
      <c r="C1240" s="41">
        <v>46224.0</v>
      </c>
      <c r="D1240" s="42" t="s">
        <v>802</v>
      </c>
      <c r="E1240" s="42" t="s">
        <v>112</v>
      </c>
      <c r="F1240" s="42" t="str">
        <f>+IFERROR(VLOOKUP(E1240,'DANH MỤC'!$C:$H,2,0),"")</f>
        <v>Dây đai PET xanh (B)</v>
      </c>
      <c r="G1240" s="42" t="str">
        <f>+IFERROR(VLOOKUP(E1240,'DANH MỤC'!$C:$H,6,0),"")</f>
        <v>Kg</v>
      </c>
      <c r="H1240" s="42" t="str">
        <f>+IFERROR(VLOOKUP(E1240,'DANH MỤC'!$C:$H,3,0),"")</f>
        <v/>
      </c>
      <c r="I1240" s="42" t="str">
        <f>+IFERROR(VLOOKUP(E1240,'DANH MỤC'!$C:$H,4,0),"")</f>
        <v/>
      </c>
      <c r="J1240" s="42" t="str">
        <f>+IFERROR(VLOOKUP(E1240,'DANH MỤC'!$C:$H,5,0),"")</f>
        <v/>
      </c>
      <c r="K1240" s="53"/>
      <c r="L1240" s="58">
        <v>7.7</v>
      </c>
      <c r="M1240" s="55"/>
      <c r="N1240" s="55"/>
    </row>
    <row r="1241" ht="15.75" customHeight="1">
      <c r="A1241" s="53">
        <f t="shared" si="7"/>
        <v>1236</v>
      </c>
      <c r="B1241" s="55"/>
      <c r="C1241" s="41">
        <v>46224.0</v>
      </c>
      <c r="D1241" s="42" t="s">
        <v>802</v>
      </c>
      <c r="E1241" s="42" t="s">
        <v>115</v>
      </c>
      <c r="F1241" s="42" t="str">
        <f>+IFERROR(VLOOKUP(E1241,'DANH MỤC'!$C:$H,2,0),"")</f>
        <v>Màng Strecth Film 5.0-0.6kg</v>
      </c>
      <c r="G1241" s="42" t="str">
        <f>+IFERROR(VLOOKUP(E1241,'DANH MỤC'!$C:$H,6,0),"")</f>
        <v>Kg</v>
      </c>
      <c r="H1241" s="42" t="str">
        <f>+IFERROR(VLOOKUP(E1241,'DANH MỤC'!$C:$H,3,0),"")</f>
        <v/>
      </c>
      <c r="I1241" s="42" t="str">
        <f>+IFERROR(VLOOKUP(E1241,'DANH MỤC'!$C:$H,4,0),"")</f>
        <v/>
      </c>
      <c r="J1241" s="42" t="str">
        <f>+IFERROR(VLOOKUP(E1241,'DANH MỤC'!$C:$H,5,0),"")</f>
        <v/>
      </c>
      <c r="K1241" s="53"/>
      <c r="L1241" s="58">
        <v>5.5</v>
      </c>
      <c r="M1241" s="55"/>
      <c r="N1241" s="55"/>
    </row>
    <row r="1242" ht="15.75" customHeight="1">
      <c r="A1242" s="53">
        <f t="shared" si="7"/>
        <v>1237</v>
      </c>
      <c r="B1242" s="55"/>
      <c r="C1242" s="41">
        <v>46224.0</v>
      </c>
      <c r="D1242" s="42" t="s">
        <v>802</v>
      </c>
      <c r="E1242" s="42" t="s">
        <v>260</v>
      </c>
      <c r="F1242" s="42" t="str">
        <f>+IFERROR(VLOOKUP(E1242,'DANH MỤC'!$C:$H,2,0),"")</f>
        <v>Giấy lót đóng gói</v>
      </c>
      <c r="G1242" s="42" t="str">
        <f>+IFERROR(VLOOKUP(E1242,'DANH MỤC'!$C:$H,6,0),"")</f>
        <v>Kg</v>
      </c>
      <c r="H1242" s="42" t="str">
        <f>+IFERROR(VLOOKUP(E1242,'DANH MỤC'!$C:$H,3,0),"")</f>
        <v/>
      </c>
      <c r="I1242" s="42" t="str">
        <f>+IFERROR(VLOOKUP(E1242,'DANH MỤC'!$C:$H,4,0),"")</f>
        <v/>
      </c>
      <c r="J1242" s="42" t="str">
        <f>+IFERROR(VLOOKUP(E1242,'DANH MỤC'!$C:$H,5,0),"")</f>
        <v/>
      </c>
      <c r="K1242" s="53"/>
      <c r="L1242" s="58">
        <v>50.0</v>
      </c>
      <c r="M1242" s="55"/>
      <c r="N1242" s="55"/>
    </row>
    <row r="1243" ht="15.75" customHeight="1">
      <c r="A1243" s="53">
        <f t="shared" si="7"/>
        <v>1238</v>
      </c>
      <c r="B1243" s="55"/>
      <c r="C1243" s="41">
        <v>46224.0</v>
      </c>
      <c r="D1243" s="42" t="s">
        <v>803</v>
      </c>
      <c r="E1243" s="42" t="s">
        <v>219</v>
      </c>
      <c r="F1243" s="42" t="str">
        <f>+IFERROR(VLOOKUP(E1243,'DANH MỤC'!$C:$H,2,0),"")</f>
        <v>Ivory Ningbo</v>
      </c>
      <c r="G1243" s="42" t="str">
        <f>+IFERROR(VLOOKUP(E1243,'DANH MỤC'!$C:$H,6,0),"")</f>
        <v>Kg</v>
      </c>
      <c r="H1243" s="42">
        <f>+IFERROR(VLOOKUP(E1243,'DANH MỤC'!$C:$H,3,0),"")</f>
        <v>230</v>
      </c>
      <c r="I1243" s="42">
        <f>+IFERROR(VLOOKUP(E1243,'DANH MỤC'!$C:$H,4,0),"")</f>
        <v>106</v>
      </c>
      <c r="J1243" s="42" t="str">
        <f>+IFERROR(VLOOKUP(E1243,'DANH MỤC'!$C:$H,5,0),"")</f>
        <v/>
      </c>
      <c r="K1243" s="53"/>
      <c r="L1243" s="58">
        <v>11663.0</v>
      </c>
      <c r="M1243" s="55"/>
      <c r="N1243" s="55"/>
    </row>
    <row r="1244" ht="15.75" customHeight="1">
      <c r="A1244" s="53">
        <f t="shared" si="7"/>
        <v>1239</v>
      </c>
      <c r="B1244" s="55"/>
      <c r="C1244" s="41">
        <v>46224.0</v>
      </c>
      <c r="D1244" s="42" t="s">
        <v>804</v>
      </c>
      <c r="E1244" s="42" t="s">
        <v>113</v>
      </c>
      <c r="F1244" s="42" t="str">
        <f>+IFERROR(VLOOKUP(E1244,'DANH MỤC'!$C:$H,2,0),"")</f>
        <v>Lưỡi gà trắng 95mm x 800m x 230gsm</v>
      </c>
      <c r="G1244" s="42" t="str">
        <f>+IFERROR(VLOOKUP(E1244,'DANH MỤC'!$C:$H,6,0),"")</f>
        <v>Cuộn</v>
      </c>
      <c r="H1244" s="42">
        <f>+IFERROR(VLOOKUP(E1244,'DANH MỤC'!$C:$H,3,0),"")</f>
        <v>230</v>
      </c>
      <c r="I1244" s="42">
        <f>+IFERROR(VLOOKUP(E1244,'DANH MỤC'!$C:$H,4,0),"")</f>
        <v>95</v>
      </c>
      <c r="J1244" s="42">
        <f>+IFERROR(VLOOKUP(E1244,'DANH MỤC'!$C:$H,5,0),"")</f>
        <v>800</v>
      </c>
      <c r="K1244" s="53">
        <v>649.0</v>
      </c>
      <c r="L1244" s="58"/>
      <c r="M1244" s="55"/>
      <c r="N1244" s="55"/>
    </row>
    <row r="1245" ht="15.75" customHeight="1">
      <c r="A1245" s="117">
        <f t="shared" si="7"/>
        <v>1240</v>
      </c>
      <c r="B1245" s="118"/>
      <c r="C1245" s="119">
        <v>46226.0</v>
      </c>
      <c r="D1245" s="120" t="s">
        <v>805</v>
      </c>
      <c r="E1245" s="120" t="s">
        <v>104</v>
      </c>
      <c r="F1245" s="120" t="str">
        <f>+IFERROR(VLOOKUP(E1245,'DANH MỤC'!$C:$H,2,0),"")</f>
        <v>Lưỡi gà trắng 95mm x 800m x 210gsm</v>
      </c>
      <c r="G1245" s="120" t="str">
        <f>+IFERROR(VLOOKUP(E1245,'DANH MỤC'!$C:$H,6,0),"")</f>
        <v>Cuộn</v>
      </c>
      <c r="H1245" s="120">
        <f>+IFERROR(VLOOKUP(E1245,'DANH MỤC'!$C:$H,3,0),"")</f>
        <v>210</v>
      </c>
      <c r="I1245" s="120">
        <f>+IFERROR(VLOOKUP(E1245,'DANH MỤC'!$C:$H,4,0),"")</f>
        <v>95</v>
      </c>
      <c r="J1245" s="120">
        <f>+IFERROR(VLOOKUP(E1245,'DANH MỤC'!$C:$H,5,0),"")</f>
        <v>800</v>
      </c>
      <c r="K1245" s="117"/>
      <c r="L1245" s="121">
        <v>1.0</v>
      </c>
      <c r="M1245" s="118"/>
      <c r="N1245" s="118"/>
    </row>
    <row r="1246" ht="15.75" customHeight="1">
      <c r="A1246" s="53">
        <f t="shared" si="7"/>
        <v>1241</v>
      </c>
      <c r="B1246" s="55"/>
      <c r="C1246" s="41">
        <v>46232.0</v>
      </c>
      <c r="D1246" s="42" t="s">
        <v>806</v>
      </c>
      <c r="E1246" s="42" t="s">
        <v>184</v>
      </c>
      <c r="F1246" s="42" t="str">
        <f>+IFERROR(VLOOKUP(E1246,'DANH MỤC'!$C:$H,2,0),"")</f>
        <v>Ống lõi giấy phi 120x7x95mm</v>
      </c>
      <c r="G1246" s="42" t="str">
        <f>+IFERROR(VLOOKUP(E1246,'DANH MỤC'!$C:$H,6,0),"")</f>
        <v>Cái</v>
      </c>
      <c r="H1246" s="42">
        <f>+IFERROR(VLOOKUP(E1246,'DANH MỤC'!$C:$H,3,0),"")</f>
        <v>120</v>
      </c>
      <c r="I1246" s="42">
        <f>+IFERROR(VLOOKUP(E1246,'DANH MỤC'!$C:$H,4,0),"")</f>
        <v>70</v>
      </c>
      <c r="J1246" s="42">
        <f>+IFERROR(VLOOKUP(E1246,'DANH MỤC'!$C:$H,5,0),"")</f>
        <v>95</v>
      </c>
      <c r="K1246" s="53"/>
      <c r="L1246" s="58">
        <v>320.0</v>
      </c>
      <c r="M1246" s="55"/>
      <c r="N1246" s="55"/>
    </row>
    <row r="1247" ht="15.75" customHeight="1">
      <c r="A1247" s="53">
        <f t="shared" si="7"/>
        <v>1242</v>
      </c>
      <c r="B1247" s="55"/>
      <c r="C1247" s="41">
        <v>46232.0</v>
      </c>
      <c r="D1247" s="42" t="s">
        <v>806</v>
      </c>
      <c r="E1247" s="42" t="s">
        <v>127</v>
      </c>
      <c r="F1247" s="42" t="str">
        <f>+IFERROR(VLOOKUP(E1247,'DANH MỤC'!$C:$H,2,0),"")</f>
        <v>Pallet gỗ 1100x1100x130mm</v>
      </c>
      <c r="G1247" s="42" t="str">
        <f>+IFERROR(VLOOKUP(E1247,'DANH MỤC'!$C:$H,6,0),"")</f>
        <v>Bộ</v>
      </c>
      <c r="H1247" s="42">
        <f>+IFERROR(VLOOKUP(E1247,'DANH MỤC'!$C:$H,3,0),"")</f>
        <v>1100</v>
      </c>
      <c r="I1247" s="42">
        <f>+IFERROR(VLOOKUP(E1247,'DANH MỤC'!$C:$H,4,0),"")</f>
        <v>1100</v>
      </c>
      <c r="J1247" s="42">
        <f>+IFERROR(VLOOKUP(E1247,'DANH MỤC'!$C:$H,5,0),"")</f>
        <v>130</v>
      </c>
      <c r="K1247" s="53"/>
      <c r="L1247" s="58">
        <v>6.0</v>
      </c>
      <c r="M1247" s="55"/>
      <c r="N1247" s="55"/>
    </row>
    <row r="1248" ht="15.75" customHeight="1">
      <c r="A1248" s="53">
        <f t="shared" si="7"/>
        <v>1243</v>
      </c>
      <c r="B1248" s="55"/>
      <c r="C1248" s="41">
        <v>46232.0</v>
      </c>
      <c r="D1248" s="42" t="s">
        <v>806</v>
      </c>
      <c r="E1248" s="42" t="s">
        <v>96</v>
      </c>
      <c r="F1248" s="42" t="str">
        <f>+IFERROR(VLOOKUP(E1248,'DANH MỤC'!$C:$H,2,0),"")</f>
        <v>Giấy bao gói lưỡi gà</v>
      </c>
      <c r="G1248" s="42" t="str">
        <f>+IFERROR(VLOOKUP(E1248,'DANH MỤC'!$C:$H,6,0),"")</f>
        <v>Kg</v>
      </c>
      <c r="H1248" s="42" t="str">
        <f>+IFERROR(VLOOKUP(E1248,'DANH MỤC'!$C:$H,3,0),"")</f>
        <v/>
      </c>
      <c r="I1248" s="42" t="str">
        <f>+IFERROR(VLOOKUP(E1248,'DANH MỤC'!$C:$H,4,0),"")</f>
        <v/>
      </c>
      <c r="J1248" s="42" t="str">
        <f>+IFERROR(VLOOKUP(E1248,'DANH MỤC'!$C:$H,5,0),"")</f>
        <v/>
      </c>
      <c r="K1248" s="53"/>
      <c r="L1248" s="58">
        <v>4.34</v>
      </c>
      <c r="M1248" s="55"/>
      <c r="N1248" s="55"/>
    </row>
    <row r="1249" ht="15.75" customHeight="1">
      <c r="A1249" s="53">
        <f t="shared" si="7"/>
        <v>1244</v>
      </c>
      <c r="B1249" s="55"/>
      <c r="C1249" s="41">
        <v>46232.0</v>
      </c>
      <c r="D1249" s="42" t="s">
        <v>806</v>
      </c>
      <c r="E1249" s="42" t="s">
        <v>112</v>
      </c>
      <c r="F1249" s="42" t="str">
        <f>+IFERROR(VLOOKUP(E1249,'DANH MỤC'!$C:$H,2,0),"")</f>
        <v>Dây đai PET xanh (B)</v>
      </c>
      <c r="G1249" s="42" t="str">
        <f>+IFERROR(VLOOKUP(E1249,'DANH MỤC'!$C:$H,6,0),"")</f>
        <v>Kg</v>
      </c>
      <c r="H1249" s="42" t="str">
        <f>+IFERROR(VLOOKUP(E1249,'DANH MỤC'!$C:$H,3,0),"")</f>
        <v/>
      </c>
      <c r="I1249" s="42" t="str">
        <f>+IFERROR(VLOOKUP(E1249,'DANH MỤC'!$C:$H,4,0),"")</f>
        <v/>
      </c>
      <c r="J1249" s="42" t="str">
        <f>+IFERROR(VLOOKUP(E1249,'DANH MỤC'!$C:$H,5,0),"")</f>
        <v/>
      </c>
      <c r="K1249" s="53"/>
      <c r="L1249" s="58">
        <v>4.2</v>
      </c>
      <c r="M1249" s="55"/>
      <c r="N1249" s="55"/>
    </row>
    <row r="1250" ht="15.75" customHeight="1">
      <c r="A1250" s="53">
        <f t="shared" si="7"/>
        <v>1245</v>
      </c>
      <c r="B1250" s="55"/>
      <c r="C1250" s="41">
        <v>46232.0</v>
      </c>
      <c r="D1250" s="42" t="s">
        <v>806</v>
      </c>
      <c r="E1250" s="42" t="s">
        <v>115</v>
      </c>
      <c r="F1250" s="42" t="str">
        <f>+IFERROR(VLOOKUP(E1250,'DANH MỤC'!$C:$H,2,0),"")</f>
        <v>Màng Strecth Film 5.0-0.6kg</v>
      </c>
      <c r="G1250" s="42" t="str">
        <f>+IFERROR(VLOOKUP(E1250,'DANH MỤC'!$C:$H,6,0),"")</f>
        <v>Kg</v>
      </c>
      <c r="H1250" s="42" t="str">
        <f>+IFERROR(VLOOKUP(E1250,'DANH MỤC'!$C:$H,3,0),"")</f>
        <v/>
      </c>
      <c r="I1250" s="42" t="str">
        <f>+IFERROR(VLOOKUP(E1250,'DANH MỤC'!$C:$H,4,0),"")</f>
        <v/>
      </c>
      <c r="J1250" s="42" t="str">
        <f>+IFERROR(VLOOKUP(E1250,'DANH MỤC'!$C:$H,5,0),"")</f>
        <v/>
      </c>
      <c r="K1250" s="53"/>
      <c r="L1250" s="58">
        <v>3.0</v>
      </c>
      <c r="M1250" s="55"/>
      <c r="N1250" s="55"/>
    </row>
    <row r="1251" ht="15.75" customHeight="1">
      <c r="A1251" s="53">
        <f t="shared" si="7"/>
        <v>1246</v>
      </c>
      <c r="B1251" s="55"/>
      <c r="C1251" s="41">
        <v>46232.0</v>
      </c>
      <c r="D1251" s="42" t="s">
        <v>807</v>
      </c>
      <c r="E1251" s="42" t="s">
        <v>213</v>
      </c>
      <c r="F1251" s="42" t="str">
        <f>+IFERROR(VLOOKUP(E1251,'DANH MỤC'!$C:$H,2,0),"")</f>
        <v>Ivory Ningbo</v>
      </c>
      <c r="G1251" s="42" t="str">
        <f>+IFERROR(VLOOKUP(E1251,'DANH MỤC'!$C:$H,6,0),"")</f>
        <v>Kg</v>
      </c>
      <c r="H1251" s="42">
        <f>+IFERROR(VLOOKUP(E1251,'DANH MỤC'!$C:$H,3,0),"")</f>
        <v>210</v>
      </c>
      <c r="I1251" s="42">
        <f>+IFERROR(VLOOKUP(E1251,'DANH MỤC'!$C:$H,4,0),"")</f>
        <v>108</v>
      </c>
      <c r="J1251" s="42" t="str">
        <f>+IFERROR(VLOOKUP(E1251,'DANH MỤC'!$C:$H,5,0),"")</f>
        <v/>
      </c>
      <c r="K1251" s="53"/>
      <c r="L1251" s="58">
        <v>5222.0</v>
      </c>
      <c r="M1251" s="55"/>
      <c r="N1251" s="55"/>
    </row>
    <row r="1252" ht="15.75" customHeight="1">
      <c r="A1252" s="53">
        <f t="shared" si="7"/>
        <v>1247</v>
      </c>
      <c r="B1252" s="55"/>
      <c r="C1252" s="41">
        <v>46232.0</v>
      </c>
      <c r="D1252" s="42" t="s">
        <v>808</v>
      </c>
      <c r="E1252" s="42" t="s">
        <v>104</v>
      </c>
      <c r="F1252" s="42" t="str">
        <f>+IFERROR(VLOOKUP(E1252,'DANH MỤC'!$C:$H,2,0),"")</f>
        <v>Lưỡi gà trắng 95mm x 800m x 210gsm</v>
      </c>
      <c r="G1252" s="42" t="str">
        <f>+IFERROR(VLOOKUP(E1252,'DANH MỤC'!$C:$H,6,0),"")</f>
        <v>Cuộn</v>
      </c>
      <c r="H1252" s="42">
        <f>+IFERROR(VLOOKUP(E1252,'DANH MỤC'!$C:$H,3,0),"")</f>
        <v>210</v>
      </c>
      <c r="I1252" s="42">
        <f>+IFERROR(VLOOKUP(E1252,'DANH MỤC'!$C:$H,4,0),"")</f>
        <v>95</v>
      </c>
      <c r="J1252" s="42">
        <f>+IFERROR(VLOOKUP(E1252,'DANH MỤC'!$C:$H,5,0),"")</f>
        <v>800</v>
      </c>
      <c r="K1252" s="53">
        <v>311.0</v>
      </c>
      <c r="L1252" s="58"/>
      <c r="M1252" s="55"/>
      <c r="N1252" s="55"/>
    </row>
    <row r="1253" ht="15.75" customHeight="1">
      <c r="A1253" s="117">
        <f t="shared" si="7"/>
        <v>1248</v>
      </c>
      <c r="B1253" s="118"/>
      <c r="C1253" s="119">
        <v>46233.0</v>
      </c>
      <c r="D1253" s="120" t="s">
        <v>146</v>
      </c>
      <c r="E1253" s="120" t="s">
        <v>81</v>
      </c>
      <c r="F1253" s="120" t="str">
        <f>+IFERROR(VLOOKUP(E1253,'DANH MỤC'!$C:$H,2,0),"")</f>
        <v>Lưỡi gà trắng 71mm x 800m x 210gsm</v>
      </c>
      <c r="G1253" s="120" t="str">
        <f>+IFERROR(VLOOKUP(E1253,'DANH MỤC'!$C:$H,6,0),"")</f>
        <v>Cuộn</v>
      </c>
      <c r="H1253" s="120">
        <f>+IFERROR(VLOOKUP(E1253,'DANH MỤC'!$C:$H,3,0),"")</f>
        <v>210</v>
      </c>
      <c r="I1253" s="120">
        <f>+IFERROR(VLOOKUP(E1253,'DANH MỤC'!$C:$H,4,0),"")</f>
        <v>71</v>
      </c>
      <c r="J1253" s="120">
        <f>+IFERROR(VLOOKUP(E1253,'DANH MỤC'!$C:$H,5,0),"")</f>
        <v>800</v>
      </c>
      <c r="K1253" s="117"/>
      <c r="L1253" s="121">
        <f>8*60</f>
        <v>480</v>
      </c>
      <c r="M1253" s="118"/>
      <c r="N1253" s="118"/>
    </row>
    <row r="1254" ht="15.75" customHeight="1">
      <c r="A1254" s="117">
        <f t="shared" si="7"/>
        <v>1249</v>
      </c>
      <c r="B1254" s="118"/>
      <c r="C1254" s="119">
        <v>46238.0</v>
      </c>
      <c r="D1254" s="120" t="s">
        <v>130</v>
      </c>
      <c r="E1254" s="120" t="s">
        <v>123</v>
      </c>
      <c r="F1254" s="120" t="str">
        <f>+IFERROR(VLOOKUP(E1254,'DANH MỤC'!$C:$H,2,0),"")</f>
        <v>Lưỡi gà trắng 90mm x 800m x 250gsm</v>
      </c>
      <c r="G1254" s="120" t="str">
        <f>+IFERROR(VLOOKUP(E1254,'DANH MỤC'!$C:$H,6,0),"")</f>
        <v>Cuộn</v>
      </c>
      <c r="H1254" s="120">
        <f>+IFERROR(VLOOKUP(E1254,'DANH MỤC'!$C:$H,3,0),"")</f>
        <v>250</v>
      </c>
      <c r="I1254" s="120">
        <f>+IFERROR(VLOOKUP(E1254,'DANH MỤC'!$C:$H,4,0),"")</f>
        <v>90</v>
      </c>
      <c r="J1254" s="120">
        <f>+IFERROR(VLOOKUP(E1254,'DANH MỤC'!$C:$H,5,0),"")</f>
        <v>800</v>
      </c>
      <c r="K1254" s="117"/>
      <c r="L1254" s="121">
        <f>9*52</f>
        <v>468</v>
      </c>
      <c r="M1254" s="118"/>
      <c r="N1254" s="118"/>
    </row>
    <row r="1255" ht="15.75" customHeight="1">
      <c r="A1255" s="117">
        <f t="shared" si="7"/>
        <v>1250</v>
      </c>
      <c r="B1255" s="118"/>
      <c r="C1255" s="119">
        <v>46238.0</v>
      </c>
      <c r="D1255" s="120" t="s">
        <v>130</v>
      </c>
      <c r="E1255" s="120" t="s">
        <v>104</v>
      </c>
      <c r="F1255" s="120" t="str">
        <f>+IFERROR(VLOOKUP(E1255,'DANH MỤC'!$C:$H,2,0),"")</f>
        <v>Lưỡi gà trắng 95mm x 800m x 210gsm</v>
      </c>
      <c r="G1255" s="120" t="str">
        <f>+IFERROR(VLOOKUP(E1255,'DANH MỤC'!$C:$H,6,0),"")</f>
        <v>Cuộn</v>
      </c>
      <c r="H1255" s="120">
        <f>+IFERROR(VLOOKUP(E1255,'DANH MỤC'!$C:$H,3,0),"")</f>
        <v>210</v>
      </c>
      <c r="I1255" s="120">
        <f>+IFERROR(VLOOKUP(E1255,'DANH MỤC'!$C:$H,4,0),"")</f>
        <v>95</v>
      </c>
      <c r="J1255" s="120">
        <f>+IFERROR(VLOOKUP(E1255,'DANH MỤC'!$C:$H,5,0),"")</f>
        <v>800</v>
      </c>
      <c r="K1255" s="117"/>
      <c r="L1255" s="121">
        <f>52+52</f>
        <v>104</v>
      </c>
      <c r="M1255" s="118"/>
      <c r="N1255" s="118"/>
    </row>
    <row r="1256" ht="15.75" customHeight="1">
      <c r="A1256" s="117">
        <f t="shared" si="7"/>
        <v>1251</v>
      </c>
      <c r="B1256" s="118"/>
      <c r="C1256" s="119">
        <v>46244.0</v>
      </c>
      <c r="D1256" s="120" t="s">
        <v>146</v>
      </c>
      <c r="E1256" s="120" t="s">
        <v>81</v>
      </c>
      <c r="F1256" s="120" t="str">
        <f>+IFERROR(VLOOKUP(E1256,'DANH MỤC'!$C:$H,2,0),"")</f>
        <v>Lưỡi gà trắng 71mm x 800m x 210gsm</v>
      </c>
      <c r="G1256" s="120" t="str">
        <f>+IFERROR(VLOOKUP(E1256,'DANH MỤC'!$C:$H,6,0),"")</f>
        <v>Cuộn</v>
      </c>
      <c r="H1256" s="120">
        <f>+IFERROR(VLOOKUP(E1256,'DANH MỤC'!$C:$H,3,0),"")</f>
        <v>210</v>
      </c>
      <c r="I1256" s="120">
        <f>+IFERROR(VLOOKUP(E1256,'DANH MỤC'!$C:$H,4,0),"")</f>
        <v>71</v>
      </c>
      <c r="J1256" s="120">
        <f>+IFERROR(VLOOKUP(E1256,'DANH MỤC'!$C:$H,5,0),"")</f>
        <v>800</v>
      </c>
      <c r="K1256" s="117"/>
      <c r="L1256" s="121">
        <v>425.0</v>
      </c>
      <c r="M1256" s="118"/>
      <c r="N1256" s="118"/>
    </row>
    <row r="1257" ht="15.75" customHeight="1">
      <c r="A1257" s="53">
        <f t="shared" si="7"/>
        <v>1252</v>
      </c>
      <c r="B1257" s="55"/>
      <c r="C1257" s="41">
        <v>46254.0</v>
      </c>
      <c r="D1257" s="42" t="s">
        <v>809</v>
      </c>
      <c r="E1257" s="42" t="s">
        <v>183</v>
      </c>
      <c r="F1257" s="42" t="str">
        <f>+IFERROR(VLOOKUP(E1257,'DANH MỤC'!$C:$H,2,0),"")</f>
        <v>Ống lõi giấy phi 120x7x90mm</v>
      </c>
      <c r="G1257" s="42" t="str">
        <f>+IFERROR(VLOOKUP(E1257,'DANH MỤC'!$C:$H,6,0),"")</f>
        <v>Cái</v>
      </c>
      <c r="H1257" s="42">
        <f>+IFERROR(VLOOKUP(E1257,'DANH MỤC'!$C:$H,3,0),"")</f>
        <v>120</v>
      </c>
      <c r="I1257" s="42">
        <f>+IFERROR(VLOOKUP(E1257,'DANH MỤC'!$C:$H,4,0),"")</f>
        <v>70</v>
      </c>
      <c r="J1257" s="42">
        <f>+IFERROR(VLOOKUP(E1257,'DANH MỤC'!$C:$H,5,0),"")</f>
        <v>90</v>
      </c>
      <c r="K1257" s="53"/>
      <c r="L1257" s="58">
        <v>774.0</v>
      </c>
      <c r="M1257" s="55"/>
      <c r="N1257" s="55"/>
    </row>
    <row r="1258" ht="15.75" customHeight="1">
      <c r="A1258" s="53">
        <f t="shared" si="7"/>
        <v>1253</v>
      </c>
      <c r="B1258" s="55"/>
      <c r="C1258" s="41">
        <v>46254.0</v>
      </c>
      <c r="D1258" s="42" t="s">
        <v>809</v>
      </c>
      <c r="E1258" s="42" t="s">
        <v>107</v>
      </c>
      <c r="F1258" s="42" t="str">
        <f>+IFERROR(VLOOKUP(E1258,'DANH MỤC'!$C:$H,2,0),"")</f>
        <v>Pallet gỗ 1200x1200x130mm</v>
      </c>
      <c r="G1258" s="42" t="str">
        <f>+IFERROR(VLOOKUP(E1258,'DANH MỤC'!$C:$H,6,0),"")</f>
        <v>Bộ</v>
      </c>
      <c r="H1258" s="42">
        <f>+IFERROR(VLOOKUP(E1258,'DANH MỤC'!$C:$H,3,0),"")</f>
        <v>1200</v>
      </c>
      <c r="I1258" s="42">
        <f>+IFERROR(VLOOKUP(E1258,'DANH MỤC'!$C:$H,4,0),"")</f>
        <v>1200</v>
      </c>
      <c r="J1258" s="42">
        <f>+IFERROR(VLOOKUP(E1258,'DANH MỤC'!$C:$H,5,0),"")</f>
        <v>130</v>
      </c>
      <c r="K1258" s="53"/>
      <c r="L1258" s="58">
        <v>16.0</v>
      </c>
      <c r="M1258" s="55"/>
      <c r="N1258" s="55"/>
    </row>
    <row r="1259" ht="15.75" customHeight="1">
      <c r="A1259" s="53">
        <f t="shared" si="7"/>
        <v>1254</v>
      </c>
      <c r="B1259" s="55"/>
      <c r="C1259" s="41">
        <v>46254.0</v>
      </c>
      <c r="D1259" s="42" t="s">
        <v>809</v>
      </c>
      <c r="E1259" s="42" t="s">
        <v>96</v>
      </c>
      <c r="F1259" s="42" t="str">
        <f>+IFERROR(VLOOKUP(E1259,'DANH MỤC'!$C:$H,2,0),"")</f>
        <v>Giấy bao gói lưỡi gà</v>
      </c>
      <c r="G1259" s="42" t="str">
        <f>+IFERROR(VLOOKUP(E1259,'DANH MỤC'!$C:$H,6,0),"")</f>
        <v>Kg</v>
      </c>
      <c r="H1259" s="42" t="str">
        <f>+IFERROR(VLOOKUP(E1259,'DANH MỤC'!$C:$H,3,0),"")</f>
        <v/>
      </c>
      <c r="I1259" s="42" t="str">
        <f>+IFERROR(VLOOKUP(E1259,'DANH MỤC'!$C:$H,4,0),"")</f>
        <v/>
      </c>
      <c r="J1259" s="42" t="str">
        <f>+IFERROR(VLOOKUP(E1259,'DANH MỤC'!$C:$H,5,0),"")</f>
        <v/>
      </c>
      <c r="K1259" s="53"/>
      <c r="L1259" s="58">
        <v>10.24002</v>
      </c>
      <c r="M1259" s="55"/>
      <c r="N1259" s="55"/>
    </row>
    <row r="1260" ht="15.75" customHeight="1">
      <c r="A1260" s="53">
        <f t="shared" si="7"/>
        <v>1255</v>
      </c>
      <c r="B1260" s="55"/>
      <c r="C1260" s="41">
        <v>46254.0</v>
      </c>
      <c r="D1260" s="42" t="s">
        <v>809</v>
      </c>
      <c r="E1260" s="42" t="s">
        <v>112</v>
      </c>
      <c r="F1260" s="42" t="str">
        <f>+IFERROR(VLOOKUP(E1260,'DANH MỤC'!$C:$H,2,0),"")</f>
        <v>Dây đai PET xanh (B)</v>
      </c>
      <c r="G1260" s="42" t="str">
        <f>+IFERROR(VLOOKUP(E1260,'DANH MỤC'!$C:$H,6,0),"")</f>
        <v>Kg</v>
      </c>
      <c r="H1260" s="42" t="str">
        <f>+IFERROR(VLOOKUP(E1260,'DANH MỤC'!$C:$H,3,0),"")</f>
        <v/>
      </c>
      <c r="I1260" s="42" t="str">
        <f>+IFERROR(VLOOKUP(E1260,'DANH MỤC'!$C:$H,4,0),"")</f>
        <v/>
      </c>
      <c r="J1260" s="42" t="str">
        <f>+IFERROR(VLOOKUP(E1260,'DANH MỤC'!$C:$H,5,0),"")</f>
        <v/>
      </c>
      <c r="K1260" s="53"/>
      <c r="L1260" s="58">
        <v>10.5</v>
      </c>
      <c r="M1260" s="55"/>
      <c r="N1260" s="55"/>
    </row>
    <row r="1261" ht="15.75" customHeight="1">
      <c r="A1261" s="53">
        <f t="shared" si="7"/>
        <v>1256</v>
      </c>
      <c r="B1261" s="55"/>
      <c r="C1261" s="41">
        <v>46254.0</v>
      </c>
      <c r="D1261" s="42" t="s">
        <v>809</v>
      </c>
      <c r="E1261" s="42" t="s">
        <v>115</v>
      </c>
      <c r="F1261" s="42" t="str">
        <f>+IFERROR(VLOOKUP(E1261,'DANH MỤC'!$C:$H,2,0),"")</f>
        <v>Màng Strecth Film 5.0-0.6kg</v>
      </c>
      <c r="G1261" s="42" t="str">
        <f>+IFERROR(VLOOKUP(E1261,'DANH MỤC'!$C:$H,6,0),"")</f>
        <v>Kg</v>
      </c>
      <c r="H1261" s="42" t="str">
        <f>+IFERROR(VLOOKUP(E1261,'DANH MỤC'!$C:$H,3,0),"")</f>
        <v/>
      </c>
      <c r="I1261" s="42" t="str">
        <f>+IFERROR(VLOOKUP(E1261,'DANH MỤC'!$C:$H,4,0),"")</f>
        <v/>
      </c>
      <c r="J1261" s="42" t="str">
        <f>+IFERROR(VLOOKUP(E1261,'DANH MỤC'!$C:$H,5,0),"")</f>
        <v/>
      </c>
      <c r="K1261" s="53"/>
      <c r="L1261" s="58">
        <v>7.5</v>
      </c>
      <c r="M1261" s="55"/>
      <c r="N1261" s="55"/>
    </row>
    <row r="1262" ht="15.75" customHeight="1">
      <c r="A1262" s="53">
        <f t="shared" si="7"/>
        <v>1257</v>
      </c>
      <c r="B1262" s="55"/>
      <c r="C1262" s="41">
        <v>46254.0</v>
      </c>
      <c r="D1262" s="42" t="s">
        <v>810</v>
      </c>
      <c r="E1262" s="42" t="s">
        <v>123</v>
      </c>
      <c r="F1262" s="42" t="str">
        <f>+IFERROR(VLOOKUP(E1262,'DANH MỤC'!$C:$H,2,0),"")</f>
        <v>Lưỡi gà trắng 90mm x 800m x 250gsm</v>
      </c>
      <c r="G1262" s="42" t="str">
        <f>+IFERROR(VLOOKUP(E1262,'DANH MỤC'!$C:$H,6,0),"")</f>
        <v>Cuộn</v>
      </c>
      <c r="H1262" s="42">
        <f>+IFERROR(VLOOKUP(E1262,'DANH MỤC'!$C:$H,3,0),"")</f>
        <v>250</v>
      </c>
      <c r="I1262" s="42">
        <f>+IFERROR(VLOOKUP(E1262,'DANH MỤC'!$C:$H,4,0),"")</f>
        <v>90</v>
      </c>
      <c r="J1262" s="42">
        <f>+IFERROR(VLOOKUP(E1262,'DANH MỤC'!$C:$H,5,0),"")</f>
        <v>800</v>
      </c>
      <c r="K1262" s="53">
        <v>774.0</v>
      </c>
      <c r="L1262" s="58"/>
      <c r="M1262" s="55"/>
      <c r="N1262" s="55"/>
    </row>
    <row r="1263" ht="15.75" customHeight="1">
      <c r="A1263" s="53">
        <f t="shared" si="7"/>
        <v>1258</v>
      </c>
      <c r="B1263" s="55"/>
      <c r="C1263" s="41">
        <v>46254.0</v>
      </c>
      <c r="D1263" s="42" t="s">
        <v>809</v>
      </c>
      <c r="E1263" s="42" t="s">
        <v>88</v>
      </c>
      <c r="F1263" s="42" t="str">
        <f>+IFERROR(VLOOKUP(E1263,'DANH MỤC'!$C:$H,2,0),"")</f>
        <v>Ivory Ningbo</v>
      </c>
      <c r="G1263" s="42" t="str">
        <f>+IFERROR(VLOOKUP(E1263,'DANH MỤC'!$C:$H,6,0),"")</f>
        <v>Kg</v>
      </c>
      <c r="H1263" s="42">
        <f>+IFERROR(VLOOKUP(E1263,'DANH MỤC'!$C:$H,3,0),"")</f>
        <v>250</v>
      </c>
      <c r="I1263" s="42">
        <f>+IFERROR(VLOOKUP(E1263,'DANH MỤC'!$C:$H,4,0),"")</f>
        <v>109</v>
      </c>
      <c r="J1263" s="42" t="str">
        <f>+IFERROR(VLOOKUP(E1263,'DANH MỤC'!$C:$H,5,0),"")</f>
        <v/>
      </c>
      <c r="K1263" s="53"/>
      <c r="L1263" s="58">
        <v>14265.0</v>
      </c>
      <c r="M1263" s="55"/>
      <c r="N1263" s="55"/>
    </row>
    <row r="1264" ht="15.75" customHeight="1">
      <c r="A1264" s="117">
        <f t="shared" si="7"/>
        <v>1259</v>
      </c>
      <c r="B1264" s="118"/>
      <c r="C1264" s="119">
        <v>46258.0</v>
      </c>
      <c r="D1264" s="120" t="s">
        <v>215</v>
      </c>
      <c r="E1264" s="120" t="s">
        <v>113</v>
      </c>
      <c r="F1264" s="120" t="str">
        <f>+IFERROR(VLOOKUP(E1264,'DANH MỤC'!$C:$H,2,0),"")</f>
        <v>Lưỡi gà trắng 95mm x 800m x 230gsm</v>
      </c>
      <c r="G1264" s="120" t="str">
        <f>+IFERROR(VLOOKUP(E1264,'DANH MỤC'!$C:$H,6,0),"")</f>
        <v>Cuộn</v>
      </c>
      <c r="H1264" s="120">
        <f>+IFERROR(VLOOKUP(E1264,'DANH MỤC'!$C:$H,3,0),"")</f>
        <v>230</v>
      </c>
      <c r="I1264" s="120">
        <f>+IFERROR(VLOOKUP(E1264,'DANH MỤC'!$C:$H,4,0),"")</f>
        <v>95</v>
      </c>
      <c r="J1264" s="120">
        <f>+IFERROR(VLOOKUP(E1264,'DANH MỤC'!$C:$H,5,0),"")</f>
        <v>800</v>
      </c>
      <c r="K1264" s="117"/>
      <c r="L1264" s="121">
        <v>300.0</v>
      </c>
      <c r="M1264" s="118"/>
      <c r="N1264" s="118"/>
    </row>
    <row r="1265" ht="15.75" customHeight="1">
      <c r="A1265" s="53">
        <f t="shared" si="7"/>
        <v>1260</v>
      </c>
      <c r="B1265" s="55"/>
      <c r="C1265" s="41"/>
      <c r="D1265" s="42"/>
      <c r="E1265" s="42"/>
      <c r="F1265" s="42" t="str">
        <f>+IFERROR(VLOOKUP(E1265,'DANH MỤC'!$C:$H,2,0),"")</f>
        <v/>
      </c>
      <c r="G1265" s="42" t="str">
        <f>+IFERROR(VLOOKUP(E1265,'DANH MỤC'!$C:$H,6,0),"")</f>
        <v/>
      </c>
      <c r="H1265" s="42" t="str">
        <f>+IFERROR(VLOOKUP(E1265,'DANH MỤC'!$C:$H,3,0),"")</f>
        <v/>
      </c>
      <c r="I1265" s="42" t="str">
        <f>+IFERROR(VLOOKUP(E1265,'DANH MỤC'!$C:$H,4,0),"")</f>
        <v/>
      </c>
      <c r="J1265" s="42" t="str">
        <f>+IFERROR(VLOOKUP(E1265,'DANH MỤC'!$C:$H,5,0),"")</f>
        <v/>
      </c>
      <c r="K1265" s="53"/>
      <c r="L1265" s="58"/>
      <c r="M1265" s="55"/>
      <c r="N1265" s="55"/>
    </row>
    <row r="1266" ht="15.75" customHeight="1">
      <c r="A1266" s="53">
        <f t="shared" si="7"/>
        <v>1261</v>
      </c>
      <c r="B1266" s="55"/>
      <c r="C1266" s="41"/>
      <c r="D1266" s="42"/>
      <c r="E1266" s="42"/>
      <c r="F1266" s="42" t="str">
        <f>+IFERROR(VLOOKUP(E1266,'DANH MỤC'!$C:$H,2,0),"")</f>
        <v/>
      </c>
      <c r="G1266" s="42" t="str">
        <f>+IFERROR(VLOOKUP(E1266,'DANH MỤC'!$C:$H,6,0),"")</f>
        <v/>
      </c>
      <c r="H1266" s="42" t="str">
        <f>+IFERROR(VLOOKUP(E1266,'DANH MỤC'!$C:$H,3,0),"")</f>
        <v/>
      </c>
      <c r="I1266" s="42" t="str">
        <f>+IFERROR(VLOOKUP(E1266,'DANH MỤC'!$C:$H,4,0),"")</f>
        <v/>
      </c>
      <c r="J1266" s="42" t="str">
        <f>+IFERROR(VLOOKUP(E1266,'DANH MỤC'!$C:$H,5,0),"")</f>
        <v/>
      </c>
      <c r="K1266" s="53"/>
      <c r="L1266" s="58"/>
      <c r="M1266" s="55"/>
      <c r="N1266" s="55"/>
    </row>
    <row r="1267" ht="15.75" customHeight="1">
      <c r="A1267" s="53">
        <f t="shared" si="7"/>
        <v>1262</v>
      </c>
      <c r="B1267" s="55"/>
      <c r="C1267" s="41"/>
      <c r="D1267" s="42"/>
      <c r="E1267" s="42"/>
      <c r="F1267" s="42" t="str">
        <f>+IFERROR(VLOOKUP(E1267,'DANH MỤC'!$C:$H,2,0),"")</f>
        <v/>
      </c>
      <c r="G1267" s="42" t="str">
        <f>+IFERROR(VLOOKUP(E1267,'DANH MỤC'!$C:$H,6,0),"")</f>
        <v/>
      </c>
      <c r="H1267" s="42" t="str">
        <f>+IFERROR(VLOOKUP(E1267,'DANH MỤC'!$C:$H,3,0),"")</f>
        <v/>
      </c>
      <c r="I1267" s="42" t="str">
        <f>+IFERROR(VLOOKUP(E1267,'DANH MỤC'!$C:$H,4,0),"")</f>
        <v/>
      </c>
      <c r="J1267" s="42" t="str">
        <f>+IFERROR(VLOOKUP(E1267,'DANH MỤC'!$C:$H,5,0),"")</f>
        <v/>
      </c>
      <c r="K1267" s="53"/>
      <c r="L1267" s="58"/>
      <c r="M1267" s="55"/>
      <c r="N1267" s="55"/>
    </row>
    <row r="1268" ht="15.75" customHeight="1">
      <c r="A1268" s="53">
        <f t="shared" si="7"/>
        <v>1263</v>
      </c>
      <c r="B1268" s="55"/>
      <c r="C1268" s="41"/>
      <c r="D1268" s="42"/>
      <c r="E1268" s="42"/>
      <c r="F1268" s="42" t="str">
        <f>+IFERROR(VLOOKUP(E1268,'DANH MỤC'!$C:$H,2,0),"")</f>
        <v/>
      </c>
      <c r="G1268" s="42" t="str">
        <f>+IFERROR(VLOOKUP(E1268,'DANH MỤC'!$C:$H,6,0),"")</f>
        <v/>
      </c>
      <c r="H1268" s="42" t="str">
        <f>+IFERROR(VLOOKUP(E1268,'DANH MỤC'!$C:$H,3,0),"")</f>
        <v/>
      </c>
      <c r="I1268" s="42" t="str">
        <f>+IFERROR(VLOOKUP(E1268,'DANH MỤC'!$C:$H,4,0),"")</f>
        <v/>
      </c>
      <c r="J1268" s="42" t="str">
        <f>+IFERROR(VLOOKUP(E1268,'DANH MỤC'!$C:$H,5,0),"")</f>
        <v/>
      </c>
      <c r="K1268" s="53"/>
      <c r="L1268" s="58"/>
      <c r="M1268" s="55"/>
      <c r="N1268" s="55"/>
    </row>
    <row r="1269" ht="15.75" customHeight="1">
      <c r="A1269" s="53">
        <f t="shared" si="7"/>
        <v>1264</v>
      </c>
      <c r="B1269" s="55"/>
      <c r="C1269" s="41"/>
      <c r="D1269" s="42"/>
      <c r="E1269" s="42"/>
      <c r="F1269" s="42" t="str">
        <f>+IFERROR(VLOOKUP(E1269,'DANH MỤC'!$C:$H,2,0),"")</f>
        <v/>
      </c>
      <c r="G1269" s="42" t="str">
        <f>+IFERROR(VLOOKUP(E1269,'DANH MỤC'!$C:$H,6,0),"")</f>
        <v/>
      </c>
      <c r="H1269" s="42" t="str">
        <f>+IFERROR(VLOOKUP(E1269,'DANH MỤC'!$C:$H,3,0),"")</f>
        <v/>
      </c>
      <c r="I1269" s="42" t="str">
        <f>+IFERROR(VLOOKUP(E1269,'DANH MỤC'!$C:$H,4,0),"")</f>
        <v/>
      </c>
      <c r="J1269" s="42" t="str">
        <f>+IFERROR(VLOOKUP(E1269,'DANH MỤC'!$C:$H,5,0),"")</f>
        <v/>
      </c>
      <c r="K1269" s="53"/>
      <c r="L1269" s="58"/>
      <c r="M1269" s="55"/>
      <c r="N1269" s="55"/>
    </row>
    <row r="1270" ht="15.75" customHeight="1">
      <c r="A1270" s="53">
        <f t="shared" si="7"/>
        <v>1265</v>
      </c>
      <c r="B1270" s="55"/>
      <c r="C1270" s="41"/>
      <c r="D1270" s="42"/>
      <c r="E1270" s="42"/>
      <c r="F1270" s="42" t="str">
        <f>+IFERROR(VLOOKUP(E1270,'DANH MỤC'!$C:$H,2,0),"")</f>
        <v/>
      </c>
      <c r="G1270" s="42" t="str">
        <f>+IFERROR(VLOOKUP(E1270,'DANH MỤC'!$C:$H,6,0),"")</f>
        <v/>
      </c>
      <c r="H1270" s="42" t="str">
        <f>+IFERROR(VLOOKUP(E1270,'DANH MỤC'!$C:$H,3,0),"")</f>
        <v/>
      </c>
      <c r="I1270" s="42" t="str">
        <f>+IFERROR(VLOOKUP(E1270,'DANH MỤC'!$C:$H,4,0),"")</f>
        <v/>
      </c>
      <c r="J1270" s="42" t="str">
        <f>+IFERROR(VLOOKUP(E1270,'DANH MỤC'!$C:$H,5,0),"")</f>
        <v/>
      </c>
      <c r="K1270" s="53"/>
      <c r="L1270" s="58"/>
      <c r="M1270" s="55"/>
      <c r="N1270" s="55"/>
    </row>
    <row r="1271" ht="15.75" customHeight="1">
      <c r="A1271" s="53">
        <f t="shared" si="7"/>
        <v>1266</v>
      </c>
      <c r="B1271" s="55"/>
      <c r="C1271" s="41"/>
      <c r="D1271" s="42"/>
      <c r="E1271" s="42"/>
      <c r="F1271" s="42" t="str">
        <f>+IFERROR(VLOOKUP(E1271,'DANH MỤC'!$C:$H,2,0),"")</f>
        <v/>
      </c>
      <c r="G1271" s="42" t="str">
        <f>+IFERROR(VLOOKUP(E1271,'DANH MỤC'!$C:$H,6,0),"")</f>
        <v/>
      </c>
      <c r="H1271" s="42" t="str">
        <f>+IFERROR(VLOOKUP(E1271,'DANH MỤC'!$C:$H,3,0),"")</f>
        <v/>
      </c>
      <c r="I1271" s="42" t="str">
        <f>+IFERROR(VLOOKUP(E1271,'DANH MỤC'!$C:$H,4,0),"")</f>
        <v/>
      </c>
      <c r="J1271" s="42" t="str">
        <f>+IFERROR(VLOOKUP(E1271,'DANH MỤC'!$C:$H,5,0),"")</f>
        <v/>
      </c>
      <c r="K1271" s="53"/>
      <c r="L1271" s="58"/>
      <c r="M1271" s="55"/>
      <c r="N1271" s="55"/>
    </row>
    <row r="1272" ht="15.75" customHeight="1">
      <c r="A1272" s="53">
        <f t="shared" si="7"/>
        <v>1267</v>
      </c>
      <c r="B1272" s="55"/>
      <c r="C1272" s="41"/>
      <c r="D1272" s="42"/>
      <c r="E1272" s="42"/>
      <c r="F1272" s="42" t="str">
        <f>+IFERROR(VLOOKUP(E1272,'DANH MỤC'!$C:$H,2,0),"")</f>
        <v/>
      </c>
      <c r="G1272" s="42" t="str">
        <f>+IFERROR(VLOOKUP(E1272,'DANH MỤC'!$C:$H,6,0),"")</f>
        <v/>
      </c>
      <c r="H1272" s="42" t="str">
        <f>+IFERROR(VLOOKUP(E1272,'DANH MỤC'!$C:$H,3,0),"")</f>
        <v/>
      </c>
      <c r="I1272" s="42" t="str">
        <f>+IFERROR(VLOOKUP(E1272,'DANH MỤC'!$C:$H,4,0),"")</f>
        <v/>
      </c>
      <c r="J1272" s="42" t="str">
        <f>+IFERROR(VLOOKUP(E1272,'DANH MỤC'!$C:$H,5,0),"")</f>
        <v/>
      </c>
      <c r="K1272" s="53"/>
      <c r="L1272" s="58"/>
      <c r="M1272" s="55"/>
      <c r="N1272" s="55"/>
    </row>
    <row r="1273" ht="15.75" customHeight="1">
      <c r="A1273" s="53">
        <f t="shared" si="7"/>
        <v>1268</v>
      </c>
      <c r="B1273" s="55"/>
      <c r="C1273" s="41"/>
      <c r="D1273" s="42"/>
      <c r="E1273" s="42"/>
      <c r="F1273" s="42" t="str">
        <f>+IFERROR(VLOOKUP(E1273,'DANH MỤC'!$C:$H,2,0),"")</f>
        <v/>
      </c>
      <c r="G1273" s="42" t="str">
        <f>+IFERROR(VLOOKUP(E1273,'DANH MỤC'!$C:$H,6,0),"")</f>
        <v/>
      </c>
      <c r="H1273" s="42" t="str">
        <f>+IFERROR(VLOOKUP(E1273,'DANH MỤC'!$C:$H,3,0),"")</f>
        <v/>
      </c>
      <c r="I1273" s="42" t="str">
        <f>+IFERROR(VLOOKUP(E1273,'DANH MỤC'!$C:$H,4,0),"")</f>
        <v/>
      </c>
      <c r="J1273" s="42" t="str">
        <f>+IFERROR(VLOOKUP(E1273,'DANH MỤC'!$C:$H,5,0),"")</f>
        <v/>
      </c>
      <c r="K1273" s="53"/>
      <c r="L1273" s="58"/>
      <c r="M1273" s="55"/>
      <c r="N1273" s="55"/>
    </row>
    <row r="1274" ht="15.75" customHeight="1">
      <c r="A1274" s="53">
        <f t="shared" si="7"/>
        <v>1269</v>
      </c>
      <c r="B1274" s="55"/>
      <c r="C1274" s="41"/>
      <c r="D1274" s="42"/>
      <c r="E1274" s="42"/>
      <c r="F1274" s="42" t="str">
        <f>+IFERROR(VLOOKUP(E1274,'DANH MỤC'!$C:$H,2,0),"")</f>
        <v/>
      </c>
      <c r="G1274" s="42" t="str">
        <f>+IFERROR(VLOOKUP(E1274,'DANH MỤC'!$C:$H,6,0),"")</f>
        <v/>
      </c>
      <c r="H1274" s="42" t="str">
        <f>+IFERROR(VLOOKUP(E1274,'DANH MỤC'!$C:$H,3,0),"")</f>
        <v/>
      </c>
      <c r="I1274" s="42" t="str">
        <f>+IFERROR(VLOOKUP(E1274,'DANH MỤC'!$C:$H,4,0),"")</f>
        <v/>
      </c>
      <c r="J1274" s="42" t="str">
        <f>+IFERROR(VLOOKUP(E1274,'DANH MỤC'!$C:$H,5,0),"")</f>
        <v/>
      </c>
      <c r="K1274" s="53"/>
      <c r="L1274" s="58"/>
      <c r="M1274" s="55"/>
      <c r="N1274" s="55"/>
    </row>
    <row r="1275" ht="15.75" customHeight="1">
      <c r="A1275" s="53">
        <f t="shared" si="7"/>
        <v>1270</v>
      </c>
      <c r="B1275" s="55"/>
      <c r="C1275" s="41"/>
      <c r="D1275" s="42"/>
      <c r="E1275" s="42"/>
      <c r="F1275" s="42" t="str">
        <f>+IFERROR(VLOOKUP(E1275,'DANH MỤC'!$C:$H,2,0),"")</f>
        <v/>
      </c>
      <c r="G1275" s="42" t="str">
        <f>+IFERROR(VLOOKUP(E1275,'DANH MỤC'!$C:$H,6,0),"")</f>
        <v/>
      </c>
      <c r="H1275" s="42" t="str">
        <f>+IFERROR(VLOOKUP(E1275,'DANH MỤC'!$C:$H,3,0),"")</f>
        <v/>
      </c>
      <c r="I1275" s="42" t="str">
        <f>+IFERROR(VLOOKUP(E1275,'DANH MỤC'!$C:$H,4,0),"")</f>
        <v/>
      </c>
      <c r="J1275" s="42" t="str">
        <f>+IFERROR(VLOOKUP(E1275,'DANH MỤC'!$C:$H,5,0),"")</f>
        <v/>
      </c>
      <c r="K1275" s="53"/>
      <c r="L1275" s="58"/>
      <c r="M1275" s="55"/>
      <c r="N1275" s="55"/>
    </row>
    <row r="1276" ht="15.75" customHeight="1">
      <c r="A1276" s="53">
        <f t="shared" si="7"/>
        <v>1271</v>
      </c>
      <c r="B1276" s="55"/>
      <c r="C1276" s="41"/>
      <c r="D1276" s="42"/>
      <c r="E1276" s="42"/>
      <c r="F1276" s="42" t="str">
        <f>+IFERROR(VLOOKUP(E1276,'DANH MỤC'!$C:$H,2,0),"")</f>
        <v/>
      </c>
      <c r="G1276" s="42" t="str">
        <f>+IFERROR(VLOOKUP(E1276,'DANH MỤC'!$C:$H,6,0),"")</f>
        <v/>
      </c>
      <c r="H1276" s="42" t="str">
        <f>+IFERROR(VLOOKUP(E1276,'DANH MỤC'!$C:$H,3,0),"")</f>
        <v/>
      </c>
      <c r="I1276" s="42" t="str">
        <f>+IFERROR(VLOOKUP(E1276,'DANH MỤC'!$C:$H,4,0),"")</f>
        <v/>
      </c>
      <c r="J1276" s="42" t="str">
        <f>+IFERROR(VLOOKUP(E1276,'DANH MỤC'!$C:$H,5,0),"")</f>
        <v/>
      </c>
      <c r="K1276" s="53"/>
      <c r="L1276" s="58"/>
      <c r="M1276" s="55"/>
      <c r="N1276" s="55"/>
    </row>
    <row r="1277" ht="15.75" customHeight="1">
      <c r="A1277" s="53">
        <f t="shared" si="7"/>
        <v>1272</v>
      </c>
      <c r="B1277" s="55"/>
      <c r="C1277" s="41"/>
      <c r="D1277" s="42"/>
      <c r="E1277" s="42"/>
      <c r="F1277" s="42" t="str">
        <f>+IFERROR(VLOOKUP(E1277,'DANH MỤC'!$C:$H,2,0),"")</f>
        <v/>
      </c>
      <c r="G1277" s="42" t="str">
        <f>+IFERROR(VLOOKUP(E1277,'DANH MỤC'!$C:$H,6,0),"")</f>
        <v/>
      </c>
      <c r="H1277" s="42" t="str">
        <f>+IFERROR(VLOOKUP(E1277,'DANH MỤC'!$C:$H,3,0),"")</f>
        <v/>
      </c>
      <c r="I1277" s="42" t="str">
        <f>+IFERROR(VLOOKUP(E1277,'DANH MỤC'!$C:$H,4,0),"")</f>
        <v/>
      </c>
      <c r="J1277" s="42" t="str">
        <f>+IFERROR(VLOOKUP(E1277,'DANH MỤC'!$C:$H,5,0),"")</f>
        <v/>
      </c>
      <c r="K1277" s="53"/>
      <c r="L1277" s="58"/>
      <c r="M1277" s="55"/>
      <c r="N1277" s="55"/>
    </row>
    <row r="1278" ht="15.75" customHeight="1">
      <c r="A1278" s="53">
        <f t="shared" si="7"/>
        <v>1273</v>
      </c>
      <c r="B1278" s="55"/>
      <c r="C1278" s="41"/>
      <c r="D1278" s="42"/>
      <c r="E1278" s="42"/>
      <c r="F1278" s="42" t="str">
        <f>+IFERROR(VLOOKUP(E1278,'DANH MỤC'!$C:$H,2,0),"")</f>
        <v/>
      </c>
      <c r="G1278" s="42" t="str">
        <f>+IFERROR(VLOOKUP(E1278,'DANH MỤC'!$C:$H,6,0),"")</f>
        <v/>
      </c>
      <c r="H1278" s="42" t="str">
        <f>+IFERROR(VLOOKUP(E1278,'DANH MỤC'!$C:$H,3,0),"")</f>
        <v/>
      </c>
      <c r="I1278" s="42" t="str">
        <f>+IFERROR(VLOOKUP(E1278,'DANH MỤC'!$C:$H,4,0),"")</f>
        <v/>
      </c>
      <c r="J1278" s="42" t="str">
        <f>+IFERROR(VLOOKUP(E1278,'DANH MỤC'!$C:$H,5,0),"")</f>
        <v/>
      </c>
      <c r="K1278" s="53"/>
      <c r="L1278" s="58"/>
      <c r="M1278" s="55"/>
      <c r="N1278" s="55"/>
    </row>
    <row r="1279" ht="15.75" customHeight="1">
      <c r="A1279" s="53">
        <f t="shared" si="7"/>
        <v>1274</v>
      </c>
      <c r="B1279" s="55"/>
      <c r="C1279" s="41"/>
      <c r="D1279" s="42"/>
      <c r="E1279" s="42"/>
      <c r="F1279" s="42" t="str">
        <f>+IFERROR(VLOOKUP(E1279,'DANH MỤC'!$C:$H,2,0),"")</f>
        <v/>
      </c>
      <c r="G1279" s="42" t="str">
        <f>+IFERROR(VLOOKUP(E1279,'DANH MỤC'!$C:$H,6,0),"")</f>
        <v/>
      </c>
      <c r="H1279" s="42" t="str">
        <f>+IFERROR(VLOOKUP(E1279,'DANH MỤC'!$C:$H,3,0),"")</f>
        <v/>
      </c>
      <c r="I1279" s="42" t="str">
        <f>+IFERROR(VLOOKUP(E1279,'DANH MỤC'!$C:$H,4,0),"")</f>
        <v/>
      </c>
      <c r="J1279" s="42" t="str">
        <f>+IFERROR(VLOOKUP(E1279,'DANH MỤC'!$C:$H,5,0),"")</f>
        <v/>
      </c>
      <c r="K1279" s="53"/>
      <c r="L1279" s="58"/>
      <c r="M1279" s="55"/>
      <c r="N1279" s="55"/>
    </row>
    <row r="1280" ht="15.75" customHeight="1">
      <c r="A1280" s="53">
        <f t="shared" si="7"/>
        <v>1275</v>
      </c>
      <c r="B1280" s="55"/>
      <c r="C1280" s="41"/>
      <c r="D1280" s="42"/>
      <c r="E1280" s="42"/>
      <c r="F1280" s="42" t="str">
        <f>+IFERROR(VLOOKUP(E1280,'DANH MỤC'!$C:$H,2,0),"")</f>
        <v/>
      </c>
      <c r="G1280" s="42" t="str">
        <f>+IFERROR(VLOOKUP(E1280,'DANH MỤC'!$C:$H,6,0),"")</f>
        <v/>
      </c>
      <c r="H1280" s="42" t="str">
        <f>+IFERROR(VLOOKUP(E1280,'DANH MỤC'!$C:$H,3,0),"")</f>
        <v/>
      </c>
      <c r="I1280" s="42" t="str">
        <f>+IFERROR(VLOOKUP(E1280,'DANH MỤC'!$C:$H,4,0),"")</f>
        <v/>
      </c>
      <c r="J1280" s="42" t="str">
        <f>+IFERROR(VLOOKUP(E1280,'DANH MỤC'!$C:$H,5,0),"")</f>
        <v/>
      </c>
      <c r="K1280" s="53"/>
      <c r="L1280" s="58"/>
      <c r="M1280" s="55"/>
      <c r="N1280" s="55"/>
    </row>
    <row r="1281" ht="15.75" customHeight="1">
      <c r="A1281" s="53">
        <f t="shared" si="7"/>
        <v>1276</v>
      </c>
      <c r="B1281" s="55"/>
      <c r="C1281" s="41"/>
      <c r="D1281" s="42"/>
      <c r="E1281" s="42"/>
      <c r="F1281" s="42" t="str">
        <f>+IFERROR(VLOOKUP(E1281,'DANH MỤC'!$C:$H,2,0),"")</f>
        <v/>
      </c>
      <c r="G1281" s="42" t="str">
        <f>+IFERROR(VLOOKUP(E1281,'DANH MỤC'!$C:$H,6,0),"")</f>
        <v/>
      </c>
      <c r="H1281" s="42" t="str">
        <f>+IFERROR(VLOOKUP(E1281,'DANH MỤC'!$C:$H,3,0),"")</f>
        <v/>
      </c>
      <c r="I1281" s="42" t="str">
        <f>+IFERROR(VLOOKUP(E1281,'DANH MỤC'!$C:$H,4,0),"")</f>
        <v/>
      </c>
      <c r="J1281" s="42" t="str">
        <f>+IFERROR(VLOOKUP(E1281,'DANH MỤC'!$C:$H,5,0),"")</f>
        <v/>
      </c>
      <c r="K1281" s="53"/>
      <c r="L1281" s="58"/>
      <c r="M1281" s="55"/>
      <c r="N1281" s="55"/>
    </row>
    <row r="1282" ht="15.75" customHeight="1">
      <c r="A1282" s="53">
        <f t="shared" si="7"/>
        <v>1277</v>
      </c>
      <c r="B1282" s="55"/>
      <c r="C1282" s="41"/>
      <c r="D1282" s="42"/>
      <c r="E1282" s="42"/>
      <c r="F1282" s="42" t="str">
        <f>+IFERROR(VLOOKUP(E1282,'DANH MỤC'!$C:$H,2,0),"")</f>
        <v/>
      </c>
      <c r="G1282" s="42" t="str">
        <f>+IFERROR(VLOOKUP(E1282,'DANH MỤC'!$C:$H,6,0),"")</f>
        <v/>
      </c>
      <c r="H1282" s="42" t="str">
        <f>+IFERROR(VLOOKUP(E1282,'DANH MỤC'!$C:$H,3,0),"")</f>
        <v/>
      </c>
      <c r="I1282" s="42" t="str">
        <f>+IFERROR(VLOOKUP(E1282,'DANH MỤC'!$C:$H,4,0),"")</f>
        <v/>
      </c>
      <c r="J1282" s="42" t="str">
        <f>+IFERROR(VLOOKUP(E1282,'DANH MỤC'!$C:$H,5,0),"")</f>
        <v/>
      </c>
      <c r="K1282" s="53"/>
      <c r="L1282" s="58"/>
      <c r="M1282" s="55"/>
      <c r="N1282" s="55"/>
    </row>
    <row r="1283" ht="15.75" customHeight="1">
      <c r="A1283" s="53">
        <f t="shared" si="7"/>
        <v>1278</v>
      </c>
      <c r="B1283" s="55"/>
      <c r="C1283" s="41"/>
      <c r="D1283" s="42"/>
      <c r="E1283" s="42"/>
      <c r="F1283" s="42" t="str">
        <f>+IFERROR(VLOOKUP(E1283,'DANH MỤC'!$C:$H,2,0),"")</f>
        <v/>
      </c>
      <c r="G1283" s="42" t="str">
        <f>+IFERROR(VLOOKUP(E1283,'DANH MỤC'!$C:$H,6,0),"")</f>
        <v/>
      </c>
      <c r="H1283" s="42" t="str">
        <f>+IFERROR(VLOOKUP(E1283,'DANH MỤC'!$C:$H,3,0),"")</f>
        <v/>
      </c>
      <c r="I1283" s="42" t="str">
        <f>+IFERROR(VLOOKUP(E1283,'DANH MỤC'!$C:$H,4,0),"")</f>
        <v/>
      </c>
      <c r="J1283" s="42" t="str">
        <f>+IFERROR(VLOOKUP(E1283,'DANH MỤC'!$C:$H,5,0),"")</f>
        <v/>
      </c>
      <c r="K1283" s="53"/>
      <c r="L1283" s="58"/>
      <c r="M1283" s="55"/>
      <c r="N1283" s="55"/>
    </row>
    <row r="1284" ht="15.75" customHeight="1">
      <c r="A1284" s="53">
        <f t="shared" si="7"/>
        <v>1279</v>
      </c>
      <c r="B1284" s="55"/>
      <c r="C1284" s="41"/>
      <c r="D1284" s="42"/>
      <c r="E1284" s="42"/>
      <c r="F1284" s="42" t="str">
        <f>+IFERROR(VLOOKUP(E1284,'DANH MỤC'!$C:$H,2,0),"")</f>
        <v/>
      </c>
      <c r="G1284" s="42" t="str">
        <f>+IFERROR(VLOOKUP(E1284,'DANH MỤC'!$C:$H,6,0),"")</f>
        <v/>
      </c>
      <c r="H1284" s="42" t="str">
        <f>+IFERROR(VLOOKUP(E1284,'DANH MỤC'!$C:$H,3,0),"")</f>
        <v/>
      </c>
      <c r="I1284" s="42" t="str">
        <f>+IFERROR(VLOOKUP(E1284,'DANH MỤC'!$C:$H,4,0),"")</f>
        <v/>
      </c>
      <c r="J1284" s="42" t="str">
        <f>+IFERROR(VLOOKUP(E1284,'DANH MỤC'!$C:$H,5,0),"")</f>
        <v/>
      </c>
      <c r="K1284" s="53"/>
      <c r="L1284" s="58"/>
      <c r="M1284" s="55"/>
      <c r="N1284" s="55"/>
    </row>
    <row r="1285" ht="15.75" customHeight="1">
      <c r="A1285" s="53">
        <f t="shared" si="7"/>
        <v>1280</v>
      </c>
      <c r="B1285" s="55"/>
      <c r="C1285" s="41"/>
      <c r="D1285" s="42"/>
      <c r="E1285" s="42"/>
      <c r="F1285" s="42" t="str">
        <f>+IFERROR(VLOOKUP(E1285,'DANH MỤC'!$C:$H,2,0),"")</f>
        <v/>
      </c>
      <c r="G1285" s="42" t="str">
        <f>+IFERROR(VLOOKUP(E1285,'DANH MỤC'!$C:$H,6,0),"")</f>
        <v/>
      </c>
      <c r="H1285" s="42" t="str">
        <f>+IFERROR(VLOOKUP(E1285,'DANH MỤC'!$C:$H,3,0),"")</f>
        <v/>
      </c>
      <c r="I1285" s="42" t="str">
        <f>+IFERROR(VLOOKUP(E1285,'DANH MỤC'!$C:$H,4,0),"")</f>
        <v/>
      </c>
      <c r="J1285" s="42" t="str">
        <f>+IFERROR(VLOOKUP(E1285,'DANH MỤC'!$C:$H,5,0),"")</f>
        <v/>
      </c>
      <c r="K1285" s="53"/>
      <c r="L1285" s="58"/>
      <c r="M1285" s="55"/>
      <c r="N1285" s="55"/>
    </row>
    <row r="1286" ht="15.75" customHeight="1">
      <c r="A1286" s="53">
        <f t="shared" si="7"/>
        <v>1281</v>
      </c>
      <c r="B1286" s="55"/>
      <c r="C1286" s="41"/>
      <c r="D1286" s="42"/>
      <c r="E1286" s="42"/>
      <c r="F1286" s="42" t="str">
        <f>+IFERROR(VLOOKUP(E1286,'DANH MỤC'!$C:$H,2,0),"")</f>
        <v/>
      </c>
      <c r="G1286" s="42" t="str">
        <f>+IFERROR(VLOOKUP(E1286,'DANH MỤC'!$C:$H,6,0),"")</f>
        <v/>
      </c>
      <c r="H1286" s="42" t="str">
        <f>+IFERROR(VLOOKUP(E1286,'DANH MỤC'!$C:$H,3,0),"")</f>
        <v/>
      </c>
      <c r="I1286" s="42" t="str">
        <f>+IFERROR(VLOOKUP(E1286,'DANH MỤC'!$C:$H,4,0),"")</f>
        <v/>
      </c>
      <c r="J1286" s="42" t="str">
        <f>+IFERROR(VLOOKUP(E1286,'DANH MỤC'!$C:$H,5,0),"")</f>
        <v/>
      </c>
      <c r="K1286" s="53"/>
      <c r="L1286" s="58"/>
      <c r="M1286" s="55"/>
      <c r="N1286" s="55"/>
    </row>
    <row r="1287" ht="15.75" customHeight="1">
      <c r="A1287" s="53">
        <f t="shared" si="7"/>
        <v>1282</v>
      </c>
      <c r="B1287" s="55"/>
      <c r="C1287" s="41"/>
      <c r="D1287" s="42"/>
      <c r="E1287" s="42"/>
      <c r="F1287" s="42" t="str">
        <f>+IFERROR(VLOOKUP(E1287,'DANH MỤC'!$C:$H,2,0),"")</f>
        <v/>
      </c>
      <c r="G1287" s="42" t="str">
        <f>+IFERROR(VLOOKUP(E1287,'DANH MỤC'!$C:$H,6,0),"")</f>
        <v/>
      </c>
      <c r="H1287" s="42" t="str">
        <f>+IFERROR(VLOOKUP(E1287,'DANH MỤC'!$C:$H,3,0),"")</f>
        <v/>
      </c>
      <c r="I1287" s="42" t="str">
        <f>+IFERROR(VLOOKUP(E1287,'DANH MỤC'!$C:$H,4,0),"")</f>
        <v/>
      </c>
      <c r="J1287" s="42" t="str">
        <f>+IFERROR(VLOOKUP(E1287,'DANH MỤC'!$C:$H,5,0),"")</f>
        <v/>
      </c>
      <c r="K1287" s="53"/>
      <c r="L1287" s="58"/>
      <c r="M1287" s="55"/>
      <c r="N1287" s="55"/>
    </row>
    <row r="1288" ht="15.75" customHeight="1">
      <c r="A1288" s="53">
        <f t="shared" si="7"/>
        <v>1283</v>
      </c>
      <c r="B1288" s="55"/>
      <c r="C1288" s="41"/>
      <c r="D1288" s="42"/>
      <c r="E1288" s="42"/>
      <c r="F1288" s="42" t="str">
        <f>+IFERROR(VLOOKUP(E1288,'DANH MỤC'!$C:$H,2,0),"")</f>
        <v/>
      </c>
      <c r="G1288" s="42" t="str">
        <f>+IFERROR(VLOOKUP(E1288,'DANH MỤC'!$C:$H,6,0),"")</f>
        <v/>
      </c>
      <c r="H1288" s="42" t="str">
        <f>+IFERROR(VLOOKUP(E1288,'DANH MỤC'!$C:$H,3,0),"")</f>
        <v/>
      </c>
      <c r="I1288" s="42" t="str">
        <f>+IFERROR(VLOOKUP(E1288,'DANH MỤC'!$C:$H,4,0),"")</f>
        <v/>
      </c>
      <c r="J1288" s="42" t="str">
        <f>+IFERROR(VLOOKUP(E1288,'DANH MỤC'!$C:$H,5,0),"")</f>
        <v/>
      </c>
      <c r="K1288" s="53"/>
      <c r="L1288" s="58"/>
      <c r="M1288" s="55"/>
      <c r="N1288" s="55"/>
    </row>
    <row r="1289" ht="15.75" customHeight="1">
      <c r="A1289" s="53">
        <f t="shared" si="7"/>
        <v>1284</v>
      </c>
      <c r="B1289" s="55"/>
      <c r="C1289" s="41"/>
      <c r="D1289" s="42"/>
      <c r="E1289" s="42"/>
      <c r="F1289" s="42" t="str">
        <f>+IFERROR(VLOOKUP(E1289,'DANH MỤC'!$C:$H,2,0),"")</f>
        <v/>
      </c>
      <c r="G1289" s="42" t="str">
        <f>+IFERROR(VLOOKUP(E1289,'DANH MỤC'!$C:$H,6,0),"")</f>
        <v/>
      </c>
      <c r="H1289" s="42" t="str">
        <f>+IFERROR(VLOOKUP(E1289,'DANH MỤC'!$C:$H,3,0),"")</f>
        <v/>
      </c>
      <c r="I1289" s="42" t="str">
        <f>+IFERROR(VLOOKUP(E1289,'DANH MỤC'!$C:$H,4,0),"")</f>
        <v/>
      </c>
      <c r="J1289" s="42" t="str">
        <f>+IFERROR(VLOOKUP(E1289,'DANH MỤC'!$C:$H,5,0),"")</f>
        <v/>
      </c>
      <c r="K1289" s="53"/>
      <c r="L1289" s="58"/>
      <c r="M1289" s="55"/>
      <c r="N1289" s="55"/>
    </row>
    <row r="1290" ht="15.75" customHeight="1">
      <c r="A1290" s="53">
        <f t="shared" si="7"/>
        <v>1285</v>
      </c>
      <c r="B1290" s="55"/>
      <c r="C1290" s="41"/>
      <c r="D1290" s="42"/>
      <c r="E1290" s="42"/>
      <c r="F1290" s="42" t="str">
        <f>+IFERROR(VLOOKUP(E1290,'DANH MỤC'!$C:$H,2,0),"")</f>
        <v/>
      </c>
      <c r="G1290" s="42" t="str">
        <f>+IFERROR(VLOOKUP(E1290,'DANH MỤC'!$C:$H,6,0),"")</f>
        <v/>
      </c>
      <c r="H1290" s="42" t="str">
        <f>+IFERROR(VLOOKUP(E1290,'DANH MỤC'!$C:$H,3,0),"")</f>
        <v/>
      </c>
      <c r="I1290" s="42" t="str">
        <f>+IFERROR(VLOOKUP(E1290,'DANH MỤC'!$C:$H,4,0),"")</f>
        <v/>
      </c>
      <c r="J1290" s="42" t="str">
        <f>+IFERROR(VLOOKUP(E1290,'DANH MỤC'!$C:$H,5,0),"")</f>
        <v/>
      </c>
      <c r="K1290" s="53"/>
      <c r="L1290" s="58"/>
      <c r="M1290" s="55"/>
      <c r="N1290" s="55"/>
    </row>
    <row r="1291" ht="15.75" customHeight="1">
      <c r="A1291" s="53">
        <f t="shared" si="7"/>
        <v>1286</v>
      </c>
      <c r="B1291" s="55"/>
      <c r="C1291" s="41"/>
      <c r="D1291" s="42"/>
      <c r="E1291" s="42"/>
      <c r="F1291" s="42" t="str">
        <f>+IFERROR(VLOOKUP(E1291,'DANH MỤC'!$C:$H,2,0),"")</f>
        <v/>
      </c>
      <c r="G1291" s="42" t="str">
        <f>+IFERROR(VLOOKUP(E1291,'DANH MỤC'!$C:$H,6,0),"")</f>
        <v/>
      </c>
      <c r="H1291" s="42" t="str">
        <f>+IFERROR(VLOOKUP(E1291,'DANH MỤC'!$C:$H,3,0),"")</f>
        <v/>
      </c>
      <c r="I1291" s="42" t="str">
        <f>+IFERROR(VLOOKUP(E1291,'DANH MỤC'!$C:$H,4,0),"")</f>
        <v/>
      </c>
      <c r="J1291" s="42" t="str">
        <f>+IFERROR(VLOOKUP(E1291,'DANH MỤC'!$C:$H,5,0),"")</f>
        <v/>
      </c>
      <c r="K1291" s="53"/>
      <c r="L1291" s="58"/>
      <c r="M1291" s="55"/>
      <c r="N1291" s="55"/>
    </row>
    <row r="1292" ht="15.75" customHeight="1">
      <c r="A1292" s="53">
        <f t="shared" si="7"/>
        <v>1287</v>
      </c>
      <c r="B1292" s="55"/>
      <c r="C1292" s="41"/>
      <c r="D1292" s="42"/>
      <c r="E1292" s="42"/>
      <c r="F1292" s="42" t="str">
        <f>+IFERROR(VLOOKUP(E1292,'DANH MỤC'!$C:$H,2,0),"")</f>
        <v/>
      </c>
      <c r="G1292" s="42" t="str">
        <f>+IFERROR(VLOOKUP(E1292,'DANH MỤC'!$C:$H,6,0),"")</f>
        <v/>
      </c>
      <c r="H1292" s="42" t="str">
        <f>+IFERROR(VLOOKUP(E1292,'DANH MỤC'!$C:$H,3,0),"")</f>
        <v/>
      </c>
      <c r="I1292" s="42" t="str">
        <f>+IFERROR(VLOOKUP(E1292,'DANH MỤC'!$C:$H,4,0),"")</f>
        <v/>
      </c>
      <c r="J1292" s="42" t="str">
        <f>+IFERROR(VLOOKUP(E1292,'DANH MỤC'!$C:$H,5,0),"")</f>
        <v/>
      </c>
      <c r="K1292" s="53"/>
      <c r="L1292" s="58"/>
      <c r="M1292" s="55"/>
      <c r="N1292" s="55"/>
    </row>
    <row r="1293" ht="15.75" customHeight="1">
      <c r="A1293" s="53">
        <f t="shared" si="7"/>
        <v>1288</v>
      </c>
      <c r="B1293" s="55"/>
      <c r="C1293" s="41"/>
      <c r="D1293" s="42"/>
      <c r="E1293" s="42"/>
      <c r="F1293" s="42" t="str">
        <f>+IFERROR(VLOOKUP(E1293,'DANH MỤC'!$C:$H,2,0),"")</f>
        <v/>
      </c>
      <c r="G1293" s="42" t="str">
        <f>+IFERROR(VLOOKUP(E1293,'DANH MỤC'!$C:$H,6,0),"")</f>
        <v/>
      </c>
      <c r="H1293" s="42" t="str">
        <f>+IFERROR(VLOOKUP(E1293,'DANH MỤC'!$C:$H,3,0),"")</f>
        <v/>
      </c>
      <c r="I1293" s="42" t="str">
        <f>+IFERROR(VLOOKUP(E1293,'DANH MỤC'!$C:$H,4,0),"")</f>
        <v/>
      </c>
      <c r="J1293" s="42" t="str">
        <f>+IFERROR(VLOOKUP(E1293,'DANH MỤC'!$C:$H,5,0),"")</f>
        <v/>
      </c>
      <c r="K1293" s="53"/>
      <c r="L1293" s="58"/>
      <c r="M1293" s="55"/>
      <c r="N1293" s="55"/>
    </row>
    <row r="1294" ht="15.75" customHeight="1">
      <c r="A1294" s="53">
        <f t="shared" si="7"/>
        <v>1289</v>
      </c>
      <c r="B1294" s="55"/>
      <c r="C1294" s="41"/>
      <c r="D1294" s="42"/>
      <c r="E1294" s="42"/>
      <c r="F1294" s="42" t="str">
        <f>+IFERROR(VLOOKUP(E1294,'DANH MỤC'!$C:$H,2,0),"")</f>
        <v/>
      </c>
      <c r="G1294" s="42" t="str">
        <f>+IFERROR(VLOOKUP(E1294,'DANH MỤC'!$C:$H,6,0),"")</f>
        <v/>
      </c>
      <c r="H1294" s="42" t="str">
        <f>+IFERROR(VLOOKUP(E1294,'DANH MỤC'!$C:$H,3,0),"")</f>
        <v/>
      </c>
      <c r="I1294" s="42" t="str">
        <f>+IFERROR(VLOOKUP(E1294,'DANH MỤC'!$C:$H,4,0),"")</f>
        <v/>
      </c>
      <c r="J1294" s="42" t="str">
        <f>+IFERROR(VLOOKUP(E1294,'DANH MỤC'!$C:$H,5,0),"")</f>
        <v/>
      </c>
      <c r="K1294" s="53"/>
      <c r="L1294" s="58"/>
      <c r="M1294" s="55"/>
      <c r="N1294" s="55"/>
    </row>
    <row r="1295" ht="15.75" customHeight="1">
      <c r="A1295" s="53">
        <f t="shared" si="7"/>
        <v>1290</v>
      </c>
      <c r="B1295" s="55"/>
      <c r="C1295" s="41"/>
      <c r="D1295" s="42"/>
      <c r="E1295" s="42"/>
      <c r="F1295" s="42" t="str">
        <f>+IFERROR(VLOOKUP(E1295,'DANH MỤC'!$C:$H,2,0),"")</f>
        <v/>
      </c>
      <c r="G1295" s="42" t="str">
        <f>+IFERROR(VLOOKUP(E1295,'DANH MỤC'!$C:$H,6,0),"")</f>
        <v/>
      </c>
      <c r="H1295" s="42" t="str">
        <f>+IFERROR(VLOOKUP(E1295,'DANH MỤC'!$C:$H,3,0),"")</f>
        <v/>
      </c>
      <c r="I1295" s="42" t="str">
        <f>+IFERROR(VLOOKUP(E1295,'DANH MỤC'!$C:$H,4,0),"")</f>
        <v/>
      </c>
      <c r="J1295" s="42" t="str">
        <f>+IFERROR(VLOOKUP(E1295,'DANH MỤC'!$C:$H,5,0),"")</f>
        <v/>
      </c>
      <c r="K1295" s="53"/>
      <c r="L1295" s="58"/>
      <c r="M1295" s="55"/>
      <c r="N1295" s="55"/>
    </row>
    <row r="1296" ht="15.75" customHeight="1">
      <c r="A1296" s="53">
        <f t="shared" si="7"/>
        <v>1291</v>
      </c>
      <c r="B1296" s="55"/>
      <c r="C1296" s="41"/>
      <c r="D1296" s="42"/>
      <c r="E1296" s="42"/>
      <c r="F1296" s="42" t="str">
        <f>+IFERROR(VLOOKUP(E1296,'DANH MỤC'!$C:$H,2,0),"")</f>
        <v/>
      </c>
      <c r="G1296" s="42" t="str">
        <f>+IFERROR(VLOOKUP(E1296,'DANH MỤC'!$C:$H,6,0),"")</f>
        <v/>
      </c>
      <c r="H1296" s="42" t="str">
        <f>+IFERROR(VLOOKUP(E1296,'DANH MỤC'!$C:$H,3,0),"")</f>
        <v/>
      </c>
      <c r="I1296" s="42" t="str">
        <f>+IFERROR(VLOOKUP(E1296,'DANH MỤC'!$C:$H,4,0),"")</f>
        <v/>
      </c>
      <c r="J1296" s="42" t="str">
        <f>+IFERROR(VLOOKUP(E1296,'DANH MỤC'!$C:$H,5,0),"")</f>
        <v/>
      </c>
      <c r="K1296" s="53"/>
      <c r="L1296" s="58"/>
      <c r="M1296" s="55"/>
      <c r="N1296" s="55"/>
    </row>
    <row r="1297" ht="15.75" customHeight="1">
      <c r="A1297" s="53">
        <f t="shared" si="7"/>
        <v>1292</v>
      </c>
      <c r="B1297" s="55"/>
      <c r="C1297" s="41"/>
      <c r="D1297" s="42"/>
      <c r="E1297" s="42"/>
      <c r="F1297" s="42" t="str">
        <f>+IFERROR(VLOOKUP(E1297,'DANH MỤC'!$C:$H,2,0),"")</f>
        <v/>
      </c>
      <c r="G1297" s="42" t="str">
        <f>+IFERROR(VLOOKUP(E1297,'DANH MỤC'!$C:$H,6,0),"")</f>
        <v/>
      </c>
      <c r="H1297" s="42" t="str">
        <f>+IFERROR(VLOOKUP(E1297,'DANH MỤC'!$C:$H,3,0),"")</f>
        <v/>
      </c>
      <c r="I1297" s="42" t="str">
        <f>+IFERROR(VLOOKUP(E1297,'DANH MỤC'!$C:$H,4,0),"")</f>
        <v/>
      </c>
      <c r="J1297" s="42" t="str">
        <f>+IFERROR(VLOOKUP(E1297,'DANH MỤC'!$C:$H,5,0),"")</f>
        <v/>
      </c>
      <c r="K1297" s="53"/>
      <c r="L1297" s="58"/>
      <c r="M1297" s="55"/>
      <c r="N1297" s="55"/>
    </row>
    <row r="1298" ht="15.75" customHeight="1">
      <c r="A1298" s="53">
        <f t="shared" si="7"/>
        <v>1293</v>
      </c>
      <c r="B1298" s="55"/>
      <c r="C1298" s="41"/>
      <c r="D1298" s="42"/>
      <c r="E1298" s="42"/>
      <c r="F1298" s="42" t="str">
        <f>+IFERROR(VLOOKUP(E1298,'DANH MỤC'!$C:$H,2,0),"")</f>
        <v/>
      </c>
      <c r="G1298" s="42" t="str">
        <f>+IFERROR(VLOOKUP(E1298,'DANH MỤC'!$C:$H,6,0),"")</f>
        <v/>
      </c>
      <c r="H1298" s="42" t="str">
        <f>+IFERROR(VLOOKUP(E1298,'DANH MỤC'!$C:$H,3,0),"")</f>
        <v/>
      </c>
      <c r="I1298" s="42" t="str">
        <f>+IFERROR(VLOOKUP(E1298,'DANH MỤC'!$C:$H,4,0),"")</f>
        <v/>
      </c>
      <c r="J1298" s="42" t="str">
        <f>+IFERROR(VLOOKUP(E1298,'DANH MỤC'!$C:$H,5,0),"")</f>
        <v/>
      </c>
      <c r="K1298" s="53"/>
      <c r="L1298" s="58"/>
      <c r="M1298" s="55"/>
      <c r="N1298" s="55"/>
    </row>
    <row r="1299" ht="15.75" customHeight="1">
      <c r="A1299" s="53">
        <f t="shared" si="7"/>
        <v>1294</v>
      </c>
      <c r="B1299" s="55"/>
      <c r="C1299" s="41"/>
      <c r="D1299" s="42"/>
      <c r="E1299" s="42"/>
      <c r="F1299" s="42" t="str">
        <f>+IFERROR(VLOOKUP(E1299,'DANH MỤC'!$C:$H,2,0),"")</f>
        <v/>
      </c>
      <c r="G1299" s="42" t="str">
        <f>+IFERROR(VLOOKUP(E1299,'DANH MỤC'!$C:$H,6,0),"")</f>
        <v/>
      </c>
      <c r="H1299" s="42" t="str">
        <f>+IFERROR(VLOOKUP(E1299,'DANH MỤC'!$C:$H,3,0),"")</f>
        <v/>
      </c>
      <c r="I1299" s="42" t="str">
        <f>+IFERROR(VLOOKUP(E1299,'DANH MỤC'!$C:$H,4,0),"")</f>
        <v/>
      </c>
      <c r="J1299" s="42" t="str">
        <f>+IFERROR(VLOOKUP(E1299,'DANH MỤC'!$C:$H,5,0),"")</f>
        <v/>
      </c>
      <c r="K1299" s="53"/>
      <c r="L1299" s="58"/>
      <c r="M1299" s="55"/>
      <c r="N1299" s="55"/>
    </row>
    <row r="1300" ht="15.75" customHeight="1">
      <c r="A1300" s="53">
        <f t="shared" si="7"/>
        <v>1295</v>
      </c>
      <c r="B1300" s="55"/>
      <c r="C1300" s="41"/>
      <c r="D1300" s="42"/>
      <c r="E1300" s="42"/>
      <c r="F1300" s="42" t="str">
        <f>+IFERROR(VLOOKUP(E1300,'DANH MỤC'!$C:$H,2,0),"")</f>
        <v/>
      </c>
      <c r="G1300" s="42" t="str">
        <f>+IFERROR(VLOOKUP(E1300,'DANH MỤC'!$C:$H,6,0),"")</f>
        <v/>
      </c>
      <c r="H1300" s="42" t="str">
        <f>+IFERROR(VLOOKUP(E1300,'DANH MỤC'!$C:$H,3,0),"")</f>
        <v/>
      </c>
      <c r="I1300" s="42" t="str">
        <f>+IFERROR(VLOOKUP(E1300,'DANH MỤC'!$C:$H,4,0),"")</f>
        <v/>
      </c>
      <c r="J1300" s="42" t="str">
        <f>+IFERROR(VLOOKUP(E1300,'DANH MỤC'!$C:$H,5,0),"")</f>
        <v/>
      </c>
      <c r="K1300" s="53"/>
      <c r="L1300" s="58"/>
      <c r="M1300" s="55"/>
      <c r="N1300" s="55"/>
    </row>
    <row r="1301" ht="15.75" customHeight="1">
      <c r="A1301" s="53">
        <f t="shared" si="7"/>
        <v>1296</v>
      </c>
      <c r="B1301" s="55"/>
      <c r="C1301" s="41"/>
      <c r="D1301" s="42"/>
      <c r="E1301" s="42"/>
      <c r="F1301" s="42" t="str">
        <f>+IFERROR(VLOOKUP(E1301,'DANH MỤC'!$C:$H,2,0),"")</f>
        <v/>
      </c>
      <c r="G1301" s="42" t="str">
        <f>+IFERROR(VLOOKUP(E1301,'DANH MỤC'!$C:$H,6,0),"")</f>
        <v/>
      </c>
      <c r="H1301" s="42" t="str">
        <f>+IFERROR(VLOOKUP(E1301,'DANH MỤC'!$C:$H,3,0),"")</f>
        <v/>
      </c>
      <c r="I1301" s="42" t="str">
        <f>+IFERROR(VLOOKUP(E1301,'DANH MỤC'!$C:$H,4,0),"")</f>
        <v/>
      </c>
      <c r="J1301" s="42" t="str">
        <f>+IFERROR(VLOOKUP(E1301,'DANH MỤC'!$C:$H,5,0),"")</f>
        <v/>
      </c>
      <c r="K1301" s="53"/>
      <c r="L1301" s="58"/>
      <c r="M1301" s="55"/>
      <c r="N1301" s="55"/>
    </row>
    <row r="1302" ht="15.75" customHeight="1">
      <c r="A1302" s="53">
        <f t="shared" si="7"/>
        <v>1297</v>
      </c>
      <c r="B1302" s="55"/>
      <c r="C1302" s="41"/>
      <c r="D1302" s="42"/>
      <c r="E1302" s="42"/>
      <c r="F1302" s="42" t="str">
        <f>+IFERROR(VLOOKUP(E1302,'DANH MỤC'!$C:$H,2,0),"")</f>
        <v/>
      </c>
      <c r="G1302" s="42" t="str">
        <f>+IFERROR(VLOOKUP(E1302,'DANH MỤC'!$C:$H,6,0),"")</f>
        <v/>
      </c>
      <c r="H1302" s="42" t="str">
        <f>+IFERROR(VLOOKUP(E1302,'DANH MỤC'!$C:$H,3,0),"")</f>
        <v/>
      </c>
      <c r="I1302" s="42" t="str">
        <f>+IFERROR(VLOOKUP(E1302,'DANH MỤC'!$C:$H,4,0),"")</f>
        <v/>
      </c>
      <c r="J1302" s="42" t="str">
        <f>+IFERROR(VLOOKUP(E1302,'DANH MỤC'!$C:$H,5,0),"")</f>
        <v/>
      </c>
      <c r="K1302" s="53"/>
      <c r="L1302" s="58"/>
      <c r="M1302" s="55"/>
      <c r="N1302" s="55"/>
    </row>
    <row r="1303" ht="15.75" customHeight="1">
      <c r="A1303" s="53">
        <f t="shared" si="7"/>
        <v>1298</v>
      </c>
      <c r="B1303" s="55"/>
      <c r="C1303" s="41"/>
      <c r="D1303" s="42"/>
      <c r="E1303" s="42"/>
      <c r="F1303" s="42" t="str">
        <f>+IFERROR(VLOOKUP(E1303,'DANH MỤC'!$C:$H,2,0),"")</f>
        <v/>
      </c>
      <c r="G1303" s="42" t="str">
        <f>+IFERROR(VLOOKUP(E1303,'DANH MỤC'!$C:$H,6,0),"")</f>
        <v/>
      </c>
      <c r="H1303" s="42" t="str">
        <f>+IFERROR(VLOOKUP(E1303,'DANH MỤC'!$C:$H,3,0),"")</f>
        <v/>
      </c>
      <c r="I1303" s="42" t="str">
        <f>+IFERROR(VLOOKUP(E1303,'DANH MỤC'!$C:$H,4,0),"")</f>
        <v/>
      </c>
      <c r="J1303" s="42" t="str">
        <f>+IFERROR(VLOOKUP(E1303,'DANH MỤC'!$C:$H,5,0),"")</f>
        <v/>
      </c>
      <c r="K1303" s="53"/>
      <c r="L1303" s="58"/>
      <c r="M1303" s="55"/>
      <c r="N1303" s="55"/>
    </row>
    <row r="1304" ht="15.75" customHeight="1">
      <c r="A1304" s="53">
        <f t="shared" si="7"/>
        <v>1299</v>
      </c>
      <c r="B1304" s="55"/>
      <c r="C1304" s="41"/>
      <c r="D1304" s="42"/>
      <c r="E1304" s="42"/>
      <c r="F1304" s="42" t="str">
        <f>+IFERROR(VLOOKUP(E1304,'DANH MỤC'!$C:$H,2,0),"")</f>
        <v/>
      </c>
      <c r="G1304" s="42" t="str">
        <f>+IFERROR(VLOOKUP(E1304,'DANH MỤC'!$C:$H,6,0),"")</f>
        <v/>
      </c>
      <c r="H1304" s="42" t="str">
        <f>+IFERROR(VLOOKUP(E1304,'DANH MỤC'!$C:$H,3,0),"")</f>
        <v/>
      </c>
      <c r="I1304" s="42" t="str">
        <f>+IFERROR(VLOOKUP(E1304,'DANH MỤC'!$C:$H,4,0),"")</f>
        <v/>
      </c>
      <c r="J1304" s="42" t="str">
        <f>+IFERROR(VLOOKUP(E1304,'DANH MỤC'!$C:$H,5,0),"")</f>
        <v/>
      </c>
      <c r="K1304" s="53"/>
      <c r="L1304" s="58"/>
      <c r="M1304" s="55"/>
      <c r="N1304" s="55"/>
    </row>
    <row r="1305" ht="15.75" customHeight="1">
      <c r="A1305" s="53">
        <f t="shared" si="7"/>
        <v>1300</v>
      </c>
      <c r="B1305" s="55"/>
      <c r="C1305" s="41"/>
      <c r="D1305" s="42"/>
      <c r="E1305" s="42"/>
      <c r="F1305" s="42" t="str">
        <f>+IFERROR(VLOOKUP(E1305,'DANH MỤC'!$C:$H,2,0),"")</f>
        <v/>
      </c>
      <c r="G1305" s="42" t="str">
        <f>+IFERROR(VLOOKUP(E1305,'DANH MỤC'!$C:$H,6,0),"")</f>
        <v/>
      </c>
      <c r="H1305" s="42" t="str">
        <f>+IFERROR(VLOOKUP(E1305,'DANH MỤC'!$C:$H,3,0),"")</f>
        <v/>
      </c>
      <c r="I1305" s="42" t="str">
        <f>+IFERROR(VLOOKUP(E1305,'DANH MỤC'!$C:$H,4,0),"")</f>
        <v/>
      </c>
      <c r="J1305" s="42" t="str">
        <f>+IFERROR(VLOOKUP(E1305,'DANH MỤC'!$C:$H,5,0),"")</f>
        <v/>
      </c>
      <c r="K1305" s="53"/>
      <c r="L1305" s="58"/>
      <c r="M1305" s="55"/>
      <c r="N1305" s="55"/>
    </row>
    <row r="1306" ht="15.75" customHeight="1">
      <c r="A1306" s="53">
        <f t="shared" si="7"/>
        <v>1301</v>
      </c>
      <c r="B1306" s="55"/>
      <c r="C1306" s="41"/>
      <c r="D1306" s="42"/>
      <c r="E1306" s="42"/>
      <c r="F1306" s="42" t="str">
        <f>+IFERROR(VLOOKUP(E1306,'DANH MỤC'!$C:$H,2,0),"")</f>
        <v/>
      </c>
      <c r="G1306" s="42" t="str">
        <f>+IFERROR(VLOOKUP(E1306,'DANH MỤC'!$C:$H,6,0),"")</f>
        <v/>
      </c>
      <c r="H1306" s="42" t="str">
        <f>+IFERROR(VLOOKUP(E1306,'DANH MỤC'!$C:$H,3,0),"")</f>
        <v/>
      </c>
      <c r="I1306" s="42" t="str">
        <f>+IFERROR(VLOOKUP(E1306,'DANH MỤC'!$C:$H,4,0),"")</f>
        <v/>
      </c>
      <c r="J1306" s="42" t="str">
        <f>+IFERROR(VLOOKUP(E1306,'DANH MỤC'!$C:$H,5,0),"")</f>
        <v/>
      </c>
      <c r="K1306" s="53"/>
      <c r="L1306" s="58"/>
      <c r="M1306" s="55"/>
      <c r="N1306" s="55"/>
    </row>
    <row r="1307" ht="15.75" customHeight="1">
      <c r="A1307" s="53">
        <f t="shared" si="7"/>
        <v>1302</v>
      </c>
      <c r="B1307" s="55"/>
      <c r="C1307" s="41"/>
      <c r="D1307" s="42"/>
      <c r="E1307" s="42"/>
      <c r="F1307" s="42" t="str">
        <f>+IFERROR(VLOOKUP(E1307,'DANH MỤC'!$C:$H,2,0),"")</f>
        <v/>
      </c>
      <c r="G1307" s="42" t="str">
        <f>+IFERROR(VLOOKUP(E1307,'DANH MỤC'!$C:$H,6,0),"")</f>
        <v/>
      </c>
      <c r="H1307" s="42" t="str">
        <f>+IFERROR(VLOOKUP(E1307,'DANH MỤC'!$C:$H,3,0),"")</f>
        <v/>
      </c>
      <c r="I1307" s="42" t="str">
        <f>+IFERROR(VLOOKUP(E1307,'DANH MỤC'!$C:$H,4,0),"")</f>
        <v/>
      </c>
      <c r="J1307" s="42" t="str">
        <f>+IFERROR(VLOOKUP(E1307,'DANH MỤC'!$C:$H,5,0),"")</f>
        <v/>
      </c>
      <c r="K1307" s="53"/>
      <c r="L1307" s="58"/>
      <c r="M1307" s="55"/>
      <c r="N1307" s="55"/>
    </row>
    <row r="1308" ht="15.75" customHeight="1">
      <c r="A1308" s="53">
        <f t="shared" si="7"/>
        <v>1303</v>
      </c>
      <c r="B1308" s="55"/>
      <c r="C1308" s="41"/>
      <c r="D1308" s="42"/>
      <c r="E1308" s="42"/>
      <c r="F1308" s="42" t="str">
        <f>+IFERROR(VLOOKUP(E1308,'DANH MỤC'!$C:$H,2,0),"")</f>
        <v/>
      </c>
      <c r="G1308" s="42" t="str">
        <f>+IFERROR(VLOOKUP(E1308,'DANH MỤC'!$C:$H,6,0),"")</f>
        <v/>
      </c>
      <c r="H1308" s="42" t="str">
        <f>+IFERROR(VLOOKUP(E1308,'DANH MỤC'!$C:$H,3,0),"")</f>
        <v/>
      </c>
      <c r="I1308" s="42" t="str">
        <f>+IFERROR(VLOOKUP(E1308,'DANH MỤC'!$C:$H,4,0),"")</f>
        <v/>
      </c>
      <c r="J1308" s="42" t="str">
        <f>+IFERROR(VLOOKUP(E1308,'DANH MỤC'!$C:$H,5,0),"")</f>
        <v/>
      </c>
      <c r="K1308" s="53"/>
      <c r="L1308" s="58"/>
      <c r="M1308" s="55"/>
      <c r="N1308" s="55"/>
    </row>
    <row r="1309" ht="15.75" customHeight="1">
      <c r="A1309" s="53">
        <f t="shared" si="7"/>
        <v>1304</v>
      </c>
      <c r="B1309" s="55"/>
      <c r="C1309" s="41"/>
      <c r="D1309" s="42"/>
      <c r="E1309" s="42"/>
      <c r="F1309" s="42" t="str">
        <f>+IFERROR(VLOOKUP(E1309,'DANH MỤC'!$C:$H,2,0),"")</f>
        <v/>
      </c>
      <c r="G1309" s="42" t="str">
        <f>+IFERROR(VLOOKUP(E1309,'DANH MỤC'!$C:$H,6,0),"")</f>
        <v/>
      </c>
      <c r="H1309" s="42" t="str">
        <f>+IFERROR(VLOOKUP(E1309,'DANH MỤC'!$C:$H,3,0),"")</f>
        <v/>
      </c>
      <c r="I1309" s="42" t="str">
        <f>+IFERROR(VLOOKUP(E1309,'DANH MỤC'!$C:$H,4,0),"")</f>
        <v/>
      </c>
      <c r="J1309" s="42" t="str">
        <f>+IFERROR(VLOOKUP(E1309,'DANH MỤC'!$C:$H,5,0),"")</f>
        <v/>
      </c>
      <c r="K1309" s="53"/>
      <c r="L1309" s="58"/>
      <c r="M1309" s="55"/>
      <c r="N1309" s="55"/>
    </row>
    <row r="1310" ht="15.75" customHeight="1">
      <c r="A1310" s="53">
        <f t="shared" si="7"/>
        <v>1305</v>
      </c>
      <c r="B1310" s="55"/>
      <c r="C1310" s="41"/>
      <c r="D1310" s="42"/>
      <c r="E1310" s="42"/>
      <c r="F1310" s="42" t="str">
        <f>+IFERROR(VLOOKUP(E1310,'DANH MỤC'!$C:$H,2,0),"")</f>
        <v/>
      </c>
      <c r="G1310" s="42" t="str">
        <f>+IFERROR(VLOOKUP(E1310,'DANH MỤC'!$C:$H,6,0),"")</f>
        <v/>
      </c>
      <c r="H1310" s="42" t="str">
        <f>+IFERROR(VLOOKUP(E1310,'DANH MỤC'!$C:$H,3,0),"")</f>
        <v/>
      </c>
      <c r="I1310" s="42" t="str">
        <f>+IFERROR(VLOOKUP(E1310,'DANH MỤC'!$C:$H,4,0),"")</f>
        <v/>
      </c>
      <c r="J1310" s="42" t="str">
        <f>+IFERROR(VLOOKUP(E1310,'DANH MỤC'!$C:$H,5,0),"")</f>
        <v/>
      </c>
      <c r="K1310" s="53"/>
      <c r="L1310" s="58"/>
      <c r="M1310" s="55"/>
      <c r="N1310" s="55"/>
    </row>
    <row r="1311" ht="15.75" customHeight="1">
      <c r="A1311" s="53">
        <f t="shared" si="7"/>
        <v>1306</v>
      </c>
      <c r="B1311" s="55"/>
      <c r="C1311" s="41"/>
      <c r="D1311" s="42"/>
      <c r="E1311" s="42"/>
      <c r="F1311" s="42" t="str">
        <f>+IFERROR(VLOOKUP(E1311,'DANH MỤC'!$C:$H,2,0),"")</f>
        <v/>
      </c>
      <c r="G1311" s="42" t="str">
        <f>+IFERROR(VLOOKUP(E1311,'DANH MỤC'!$C:$H,6,0),"")</f>
        <v/>
      </c>
      <c r="H1311" s="42" t="str">
        <f>+IFERROR(VLOOKUP(E1311,'DANH MỤC'!$C:$H,3,0),"")</f>
        <v/>
      </c>
      <c r="I1311" s="42" t="str">
        <f>+IFERROR(VLOOKUP(E1311,'DANH MỤC'!$C:$H,4,0),"")</f>
        <v/>
      </c>
      <c r="J1311" s="42" t="str">
        <f>+IFERROR(VLOOKUP(E1311,'DANH MỤC'!$C:$H,5,0),"")</f>
        <v/>
      </c>
      <c r="K1311" s="53"/>
      <c r="L1311" s="58"/>
      <c r="M1311" s="55"/>
      <c r="N1311" s="55"/>
    </row>
    <row r="1312" ht="15.75" customHeight="1">
      <c r="A1312" s="53">
        <f t="shared" si="7"/>
        <v>1307</v>
      </c>
      <c r="B1312" s="55"/>
      <c r="C1312" s="41"/>
      <c r="D1312" s="42"/>
      <c r="E1312" s="42"/>
      <c r="F1312" s="42" t="str">
        <f>+IFERROR(VLOOKUP(E1312,'DANH MỤC'!$C:$H,2,0),"")</f>
        <v/>
      </c>
      <c r="G1312" s="42" t="str">
        <f>+IFERROR(VLOOKUP(E1312,'DANH MỤC'!$C:$H,6,0),"")</f>
        <v/>
      </c>
      <c r="H1312" s="42" t="str">
        <f>+IFERROR(VLOOKUP(E1312,'DANH MỤC'!$C:$H,3,0),"")</f>
        <v/>
      </c>
      <c r="I1312" s="42" t="str">
        <f>+IFERROR(VLOOKUP(E1312,'DANH MỤC'!$C:$H,4,0),"")</f>
        <v/>
      </c>
      <c r="J1312" s="42" t="str">
        <f>+IFERROR(VLOOKUP(E1312,'DANH MỤC'!$C:$H,5,0),"")</f>
        <v/>
      </c>
      <c r="K1312" s="53"/>
      <c r="L1312" s="58"/>
      <c r="M1312" s="55"/>
      <c r="N1312" s="55"/>
    </row>
    <row r="1313" ht="15.75" customHeight="1">
      <c r="A1313" s="53">
        <f t="shared" si="7"/>
        <v>1308</v>
      </c>
      <c r="B1313" s="55"/>
      <c r="C1313" s="41"/>
      <c r="D1313" s="42"/>
      <c r="E1313" s="42"/>
      <c r="F1313" s="42" t="str">
        <f>+IFERROR(VLOOKUP(E1313,'DANH MỤC'!$C:$H,2,0),"")</f>
        <v/>
      </c>
      <c r="G1313" s="42" t="str">
        <f>+IFERROR(VLOOKUP(E1313,'DANH MỤC'!$C:$H,6,0),"")</f>
        <v/>
      </c>
      <c r="H1313" s="42" t="str">
        <f>+IFERROR(VLOOKUP(E1313,'DANH MỤC'!$C:$H,3,0),"")</f>
        <v/>
      </c>
      <c r="I1313" s="42" t="str">
        <f>+IFERROR(VLOOKUP(E1313,'DANH MỤC'!$C:$H,4,0),"")</f>
        <v/>
      </c>
      <c r="J1313" s="42" t="str">
        <f>+IFERROR(VLOOKUP(E1313,'DANH MỤC'!$C:$H,5,0),"")</f>
        <v/>
      </c>
      <c r="K1313" s="53"/>
      <c r="L1313" s="58"/>
      <c r="M1313" s="55"/>
      <c r="N1313" s="55"/>
    </row>
    <row r="1314" ht="15.75" customHeight="1">
      <c r="A1314" s="53">
        <f t="shared" si="7"/>
        <v>1309</v>
      </c>
      <c r="B1314" s="55"/>
      <c r="C1314" s="41"/>
      <c r="D1314" s="42"/>
      <c r="E1314" s="42"/>
      <c r="F1314" s="42" t="str">
        <f>+IFERROR(VLOOKUP(E1314,'DANH MỤC'!$C:$H,2,0),"")</f>
        <v/>
      </c>
      <c r="G1314" s="42" t="str">
        <f>+IFERROR(VLOOKUP(E1314,'DANH MỤC'!$C:$H,6,0),"")</f>
        <v/>
      </c>
      <c r="H1314" s="42" t="str">
        <f>+IFERROR(VLOOKUP(E1314,'DANH MỤC'!$C:$H,3,0),"")</f>
        <v/>
      </c>
      <c r="I1314" s="42" t="str">
        <f>+IFERROR(VLOOKUP(E1314,'DANH MỤC'!$C:$H,4,0),"")</f>
        <v/>
      </c>
      <c r="J1314" s="42" t="str">
        <f>+IFERROR(VLOOKUP(E1314,'DANH MỤC'!$C:$H,5,0),"")</f>
        <v/>
      </c>
      <c r="K1314" s="53"/>
      <c r="L1314" s="58"/>
      <c r="M1314" s="55"/>
      <c r="N1314" s="55"/>
    </row>
    <row r="1315" ht="15.75" customHeight="1">
      <c r="A1315" s="53">
        <f t="shared" si="7"/>
        <v>1310</v>
      </c>
      <c r="B1315" s="55"/>
      <c r="C1315" s="41"/>
      <c r="D1315" s="42"/>
      <c r="E1315" s="42"/>
      <c r="F1315" s="42" t="str">
        <f>+IFERROR(VLOOKUP(E1315,'DANH MỤC'!$C:$H,2,0),"")</f>
        <v/>
      </c>
      <c r="G1315" s="42" t="str">
        <f>+IFERROR(VLOOKUP(E1315,'DANH MỤC'!$C:$H,6,0),"")</f>
        <v/>
      </c>
      <c r="H1315" s="42" t="str">
        <f>+IFERROR(VLOOKUP(E1315,'DANH MỤC'!$C:$H,3,0),"")</f>
        <v/>
      </c>
      <c r="I1315" s="42" t="str">
        <f>+IFERROR(VLOOKUP(E1315,'DANH MỤC'!$C:$H,4,0),"")</f>
        <v/>
      </c>
      <c r="J1315" s="42" t="str">
        <f>+IFERROR(VLOOKUP(E1315,'DANH MỤC'!$C:$H,5,0),"")</f>
        <v/>
      </c>
      <c r="K1315" s="53"/>
      <c r="L1315" s="58"/>
      <c r="M1315" s="55"/>
      <c r="N1315" s="55"/>
    </row>
    <row r="1316" ht="15.75" customHeight="1">
      <c r="A1316" s="53">
        <f t="shared" si="7"/>
        <v>1311</v>
      </c>
      <c r="B1316" s="55"/>
      <c r="C1316" s="41"/>
      <c r="D1316" s="42"/>
      <c r="E1316" s="42"/>
      <c r="F1316" s="42" t="str">
        <f>+IFERROR(VLOOKUP(E1316,'DANH MỤC'!$C:$H,2,0),"")</f>
        <v/>
      </c>
      <c r="G1316" s="42" t="str">
        <f>+IFERROR(VLOOKUP(E1316,'DANH MỤC'!$C:$H,6,0),"")</f>
        <v/>
      </c>
      <c r="H1316" s="42" t="str">
        <f>+IFERROR(VLOOKUP(E1316,'DANH MỤC'!$C:$H,3,0),"")</f>
        <v/>
      </c>
      <c r="I1316" s="42" t="str">
        <f>+IFERROR(VLOOKUP(E1316,'DANH MỤC'!$C:$H,4,0),"")</f>
        <v/>
      </c>
      <c r="J1316" s="42" t="str">
        <f>+IFERROR(VLOOKUP(E1316,'DANH MỤC'!$C:$H,5,0),"")</f>
        <v/>
      </c>
      <c r="K1316" s="53"/>
      <c r="L1316" s="58"/>
      <c r="M1316" s="55"/>
      <c r="N1316" s="55"/>
    </row>
    <row r="1317" ht="15.75" customHeight="1">
      <c r="A1317" s="53">
        <f t="shared" si="7"/>
        <v>1312</v>
      </c>
      <c r="B1317" s="55"/>
      <c r="C1317" s="41"/>
      <c r="D1317" s="42"/>
      <c r="E1317" s="42"/>
      <c r="F1317" s="42" t="str">
        <f>+IFERROR(VLOOKUP(E1317,'DANH MỤC'!$C:$H,2,0),"")</f>
        <v/>
      </c>
      <c r="G1317" s="42" t="str">
        <f>+IFERROR(VLOOKUP(E1317,'DANH MỤC'!$C:$H,6,0),"")</f>
        <v/>
      </c>
      <c r="H1317" s="42" t="str">
        <f>+IFERROR(VLOOKUP(E1317,'DANH MỤC'!$C:$H,3,0),"")</f>
        <v/>
      </c>
      <c r="I1317" s="42" t="str">
        <f>+IFERROR(VLOOKUP(E1317,'DANH MỤC'!$C:$H,4,0),"")</f>
        <v/>
      </c>
      <c r="J1317" s="42" t="str">
        <f>+IFERROR(VLOOKUP(E1317,'DANH MỤC'!$C:$H,5,0),"")</f>
        <v/>
      </c>
      <c r="K1317" s="53"/>
      <c r="L1317" s="58"/>
      <c r="M1317" s="55"/>
      <c r="N1317" s="55"/>
    </row>
    <row r="1318" ht="15.75" customHeight="1">
      <c r="A1318" s="53">
        <f t="shared" si="7"/>
        <v>1313</v>
      </c>
      <c r="B1318" s="55"/>
      <c r="C1318" s="41"/>
      <c r="D1318" s="42"/>
      <c r="E1318" s="42"/>
      <c r="F1318" s="42" t="str">
        <f>+IFERROR(VLOOKUP(E1318,'DANH MỤC'!$C:$H,2,0),"")</f>
        <v/>
      </c>
      <c r="G1318" s="42" t="str">
        <f>+IFERROR(VLOOKUP(E1318,'DANH MỤC'!$C:$H,6,0),"")</f>
        <v/>
      </c>
      <c r="H1318" s="42" t="str">
        <f>+IFERROR(VLOOKUP(E1318,'DANH MỤC'!$C:$H,3,0),"")</f>
        <v/>
      </c>
      <c r="I1318" s="42" t="str">
        <f>+IFERROR(VLOOKUP(E1318,'DANH MỤC'!$C:$H,4,0),"")</f>
        <v/>
      </c>
      <c r="J1318" s="42" t="str">
        <f>+IFERROR(VLOOKUP(E1318,'DANH MỤC'!$C:$H,5,0),"")</f>
        <v/>
      </c>
      <c r="K1318" s="53"/>
      <c r="L1318" s="58"/>
      <c r="M1318" s="55"/>
      <c r="N1318" s="55"/>
    </row>
    <row r="1319" ht="15.75" customHeight="1">
      <c r="A1319" s="53">
        <f t="shared" si="7"/>
        <v>1314</v>
      </c>
      <c r="B1319" s="55"/>
      <c r="C1319" s="41"/>
      <c r="D1319" s="42"/>
      <c r="E1319" s="42"/>
      <c r="F1319" s="42" t="str">
        <f>+IFERROR(VLOOKUP(E1319,'DANH MỤC'!$C:$H,2,0),"")</f>
        <v/>
      </c>
      <c r="G1319" s="42" t="str">
        <f>+IFERROR(VLOOKUP(E1319,'DANH MỤC'!$C:$H,6,0),"")</f>
        <v/>
      </c>
      <c r="H1319" s="42" t="str">
        <f>+IFERROR(VLOOKUP(E1319,'DANH MỤC'!$C:$H,3,0),"")</f>
        <v/>
      </c>
      <c r="I1319" s="42" t="str">
        <f>+IFERROR(VLOOKUP(E1319,'DANH MỤC'!$C:$H,4,0),"")</f>
        <v/>
      </c>
      <c r="J1319" s="42" t="str">
        <f>+IFERROR(VLOOKUP(E1319,'DANH MỤC'!$C:$H,5,0),"")</f>
        <v/>
      </c>
      <c r="K1319" s="53"/>
      <c r="L1319" s="58"/>
      <c r="M1319" s="55"/>
      <c r="N1319" s="55"/>
    </row>
    <row r="1320" ht="15.75" customHeight="1">
      <c r="A1320" s="53">
        <f t="shared" si="7"/>
        <v>1315</v>
      </c>
      <c r="B1320" s="55"/>
      <c r="C1320" s="41"/>
      <c r="D1320" s="42"/>
      <c r="E1320" s="42"/>
      <c r="F1320" s="42" t="str">
        <f>+IFERROR(VLOOKUP(E1320,'DANH MỤC'!$C:$H,2,0),"")</f>
        <v/>
      </c>
      <c r="G1320" s="42" t="str">
        <f>+IFERROR(VLOOKUP(E1320,'DANH MỤC'!$C:$H,6,0),"")</f>
        <v/>
      </c>
      <c r="H1320" s="42" t="str">
        <f>+IFERROR(VLOOKUP(E1320,'DANH MỤC'!$C:$H,3,0),"")</f>
        <v/>
      </c>
      <c r="I1320" s="42" t="str">
        <f>+IFERROR(VLOOKUP(E1320,'DANH MỤC'!$C:$H,4,0),"")</f>
        <v/>
      </c>
      <c r="J1320" s="42" t="str">
        <f>+IFERROR(VLOOKUP(E1320,'DANH MỤC'!$C:$H,5,0),"")</f>
        <v/>
      </c>
      <c r="K1320" s="53"/>
      <c r="L1320" s="58"/>
      <c r="M1320" s="55"/>
      <c r="N1320" s="55"/>
    </row>
    <row r="1321" ht="15.75" customHeight="1">
      <c r="A1321" s="53">
        <f t="shared" si="7"/>
        <v>1316</v>
      </c>
      <c r="B1321" s="55"/>
      <c r="C1321" s="41"/>
      <c r="D1321" s="42"/>
      <c r="E1321" s="42"/>
      <c r="F1321" s="42" t="str">
        <f>+IFERROR(VLOOKUP(E1321,'DANH MỤC'!$C:$H,2,0),"")</f>
        <v/>
      </c>
      <c r="G1321" s="42" t="str">
        <f>+IFERROR(VLOOKUP(E1321,'DANH MỤC'!$C:$H,6,0),"")</f>
        <v/>
      </c>
      <c r="H1321" s="42" t="str">
        <f>+IFERROR(VLOOKUP(E1321,'DANH MỤC'!$C:$H,3,0),"")</f>
        <v/>
      </c>
      <c r="I1321" s="42" t="str">
        <f>+IFERROR(VLOOKUP(E1321,'DANH MỤC'!$C:$H,4,0),"")</f>
        <v/>
      </c>
      <c r="J1321" s="42" t="str">
        <f>+IFERROR(VLOOKUP(E1321,'DANH MỤC'!$C:$H,5,0),"")</f>
        <v/>
      </c>
      <c r="K1321" s="53"/>
      <c r="L1321" s="58"/>
      <c r="M1321" s="55"/>
      <c r="N1321" s="55"/>
    </row>
    <row r="1322" ht="15.75" customHeight="1">
      <c r="A1322" s="53">
        <f t="shared" si="7"/>
        <v>1317</v>
      </c>
      <c r="B1322" s="55"/>
      <c r="C1322" s="41"/>
      <c r="D1322" s="42"/>
      <c r="E1322" s="42"/>
      <c r="F1322" s="42" t="str">
        <f>+IFERROR(VLOOKUP(E1322,'DANH MỤC'!$C:$H,2,0),"")</f>
        <v/>
      </c>
      <c r="G1322" s="42" t="str">
        <f>+IFERROR(VLOOKUP(E1322,'DANH MỤC'!$C:$H,6,0),"")</f>
        <v/>
      </c>
      <c r="H1322" s="42" t="str">
        <f>+IFERROR(VLOOKUP(E1322,'DANH MỤC'!$C:$H,3,0),"")</f>
        <v/>
      </c>
      <c r="I1322" s="42" t="str">
        <f>+IFERROR(VLOOKUP(E1322,'DANH MỤC'!$C:$H,4,0),"")</f>
        <v/>
      </c>
      <c r="J1322" s="42" t="str">
        <f>+IFERROR(VLOOKUP(E1322,'DANH MỤC'!$C:$H,5,0),"")</f>
        <v/>
      </c>
      <c r="K1322" s="53"/>
      <c r="L1322" s="58"/>
      <c r="M1322" s="55"/>
      <c r="N1322" s="55"/>
    </row>
    <row r="1323" ht="15.75" customHeight="1">
      <c r="A1323" s="53">
        <f t="shared" si="7"/>
        <v>1318</v>
      </c>
      <c r="B1323" s="55"/>
      <c r="C1323" s="41"/>
      <c r="D1323" s="42"/>
      <c r="E1323" s="42"/>
      <c r="F1323" s="42" t="str">
        <f>+IFERROR(VLOOKUP(E1323,'DANH MỤC'!$C:$H,2,0),"")</f>
        <v/>
      </c>
      <c r="G1323" s="42" t="str">
        <f>+IFERROR(VLOOKUP(E1323,'DANH MỤC'!$C:$H,6,0),"")</f>
        <v/>
      </c>
      <c r="H1323" s="42" t="str">
        <f>+IFERROR(VLOOKUP(E1323,'DANH MỤC'!$C:$H,3,0),"")</f>
        <v/>
      </c>
      <c r="I1323" s="42" t="str">
        <f>+IFERROR(VLOOKUP(E1323,'DANH MỤC'!$C:$H,4,0),"")</f>
        <v/>
      </c>
      <c r="J1323" s="42" t="str">
        <f>+IFERROR(VLOOKUP(E1323,'DANH MỤC'!$C:$H,5,0),"")</f>
        <v/>
      </c>
      <c r="K1323" s="53"/>
      <c r="L1323" s="58"/>
      <c r="M1323" s="55"/>
      <c r="N1323" s="55"/>
    </row>
    <row r="1324" ht="15.75" customHeight="1">
      <c r="A1324" s="53">
        <f t="shared" si="7"/>
        <v>1319</v>
      </c>
      <c r="B1324" s="55"/>
      <c r="C1324" s="41"/>
      <c r="D1324" s="42"/>
      <c r="E1324" s="42"/>
      <c r="F1324" s="42" t="str">
        <f>+IFERROR(VLOOKUP(E1324,'DANH MỤC'!$C:$H,2,0),"")</f>
        <v/>
      </c>
      <c r="G1324" s="42" t="str">
        <f>+IFERROR(VLOOKUP(E1324,'DANH MỤC'!$C:$H,6,0),"")</f>
        <v/>
      </c>
      <c r="H1324" s="42" t="str">
        <f>+IFERROR(VLOOKUP(E1324,'DANH MỤC'!$C:$H,3,0),"")</f>
        <v/>
      </c>
      <c r="I1324" s="42" t="str">
        <f>+IFERROR(VLOOKUP(E1324,'DANH MỤC'!$C:$H,4,0),"")</f>
        <v/>
      </c>
      <c r="J1324" s="42" t="str">
        <f>+IFERROR(VLOOKUP(E1324,'DANH MỤC'!$C:$H,5,0),"")</f>
        <v/>
      </c>
      <c r="K1324" s="53"/>
      <c r="L1324" s="58"/>
      <c r="M1324" s="55"/>
      <c r="N1324" s="55"/>
    </row>
    <row r="1325" ht="15.75" customHeight="1">
      <c r="A1325" s="53">
        <f t="shared" si="7"/>
        <v>1320</v>
      </c>
      <c r="B1325" s="55"/>
      <c r="C1325" s="41"/>
      <c r="D1325" s="42"/>
      <c r="E1325" s="42"/>
      <c r="F1325" s="42" t="str">
        <f>+IFERROR(VLOOKUP(E1325,'DANH MỤC'!$C:$H,2,0),"")</f>
        <v/>
      </c>
      <c r="G1325" s="42" t="str">
        <f>+IFERROR(VLOOKUP(E1325,'DANH MỤC'!$C:$H,6,0),"")</f>
        <v/>
      </c>
      <c r="H1325" s="42" t="str">
        <f>+IFERROR(VLOOKUP(E1325,'DANH MỤC'!$C:$H,3,0),"")</f>
        <v/>
      </c>
      <c r="I1325" s="42" t="str">
        <f>+IFERROR(VLOOKUP(E1325,'DANH MỤC'!$C:$H,4,0),"")</f>
        <v/>
      </c>
      <c r="J1325" s="42" t="str">
        <f>+IFERROR(VLOOKUP(E1325,'DANH MỤC'!$C:$H,5,0),"")</f>
        <v/>
      </c>
      <c r="K1325" s="53"/>
      <c r="L1325" s="58"/>
      <c r="M1325" s="55"/>
      <c r="N1325" s="55"/>
    </row>
    <row r="1326" ht="15.75" customHeight="1">
      <c r="A1326" s="53">
        <f t="shared" si="7"/>
        <v>1321</v>
      </c>
      <c r="B1326" s="55"/>
      <c r="C1326" s="41"/>
      <c r="D1326" s="42"/>
      <c r="E1326" s="42"/>
      <c r="F1326" s="42" t="str">
        <f>+IFERROR(VLOOKUP(E1326,'DANH MỤC'!$C:$H,2,0),"")</f>
        <v/>
      </c>
      <c r="G1326" s="42" t="str">
        <f>+IFERROR(VLOOKUP(E1326,'DANH MỤC'!$C:$H,6,0),"")</f>
        <v/>
      </c>
      <c r="H1326" s="42" t="str">
        <f>+IFERROR(VLOOKUP(E1326,'DANH MỤC'!$C:$H,3,0),"")</f>
        <v/>
      </c>
      <c r="I1326" s="42" t="str">
        <f>+IFERROR(VLOOKUP(E1326,'DANH MỤC'!$C:$H,4,0),"")</f>
        <v/>
      </c>
      <c r="J1326" s="42" t="str">
        <f>+IFERROR(VLOOKUP(E1326,'DANH MỤC'!$C:$H,5,0),"")</f>
        <v/>
      </c>
      <c r="K1326" s="53"/>
      <c r="L1326" s="58"/>
      <c r="M1326" s="55"/>
      <c r="N1326" s="55"/>
    </row>
    <row r="1327" ht="15.75" customHeight="1">
      <c r="A1327" s="53">
        <f t="shared" si="7"/>
        <v>1322</v>
      </c>
      <c r="B1327" s="55"/>
      <c r="C1327" s="41"/>
      <c r="D1327" s="42"/>
      <c r="E1327" s="42"/>
      <c r="F1327" s="42" t="str">
        <f>+IFERROR(VLOOKUP(E1327,'DANH MỤC'!$C:$H,2,0),"")</f>
        <v/>
      </c>
      <c r="G1327" s="42" t="str">
        <f>+IFERROR(VLOOKUP(E1327,'DANH MỤC'!$C:$H,6,0),"")</f>
        <v/>
      </c>
      <c r="H1327" s="42" t="str">
        <f>+IFERROR(VLOOKUP(E1327,'DANH MỤC'!$C:$H,3,0),"")</f>
        <v/>
      </c>
      <c r="I1327" s="42" t="str">
        <f>+IFERROR(VLOOKUP(E1327,'DANH MỤC'!$C:$H,4,0),"")</f>
        <v/>
      </c>
      <c r="J1327" s="42" t="str">
        <f>+IFERROR(VLOOKUP(E1327,'DANH MỤC'!$C:$H,5,0),"")</f>
        <v/>
      </c>
      <c r="K1327" s="53"/>
      <c r="L1327" s="58"/>
      <c r="M1327" s="55"/>
      <c r="N1327" s="55"/>
    </row>
    <row r="1328" ht="15.75" customHeight="1">
      <c r="A1328" s="53">
        <f t="shared" si="7"/>
        <v>1323</v>
      </c>
      <c r="B1328" s="55"/>
      <c r="C1328" s="41"/>
      <c r="D1328" s="42"/>
      <c r="E1328" s="42"/>
      <c r="F1328" s="42" t="str">
        <f>+IFERROR(VLOOKUP(E1328,'DANH MỤC'!$C:$H,2,0),"")</f>
        <v/>
      </c>
      <c r="G1328" s="42" t="str">
        <f>+IFERROR(VLOOKUP(E1328,'DANH MỤC'!$C:$H,6,0),"")</f>
        <v/>
      </c>
      <c r="H1328" s="42" t="str">
        <f>+IFERROR(VLOOKUP(E1328,'DANH MỤC'!$C:$H,3,0),"")</f>
        <v/>
      </c>
      <c r="I1328" s="42" t="str">
        <f>+IFERROR(VLOOKUP(E1328,'DANH MỤC'!$C:$H,4,0),"")</f>
        <v/>
      </c>
      <c r="J1328" s="42" t="str">
        <f>+IFERROR(VLOOKUP(E1328,'DANH MỤC'!$C:$H,5,0),"")</f>
        <v/>
      </c>
      <c r="K1328" s="53"/>
      <c r="L1328" s="58"/>
      <c r="M1328" s="55"/>
      <c r="N1328" s="55"/>
    </row>
    <row r="1329" ht="15.75" customHeight="1">
      <c r="A1329" s="53">
        <f t="shared" si="7"/>
        <v>1324</v>
      </c>
      <c r="B1329" s="55"/>
      <c r="C1329" s="41"/>
      <c r="D1329" s="42"/>
      <c r="E1329" s="42"/>
      <c r="F1329" s="42" t="str">
        <f>+IFERROR(VLOOKUP(E1329,'DANH MỤC'!$C:$H,2,0),"")</f>
        <v/>
      </c>
      <c r="G1329" s="42" t="str">
        <f>+IFERROR(VLOOKUP(E1329,'DANH MỤC'!$C:$H,6,0),"")</f>
        <v/>
      </c>
      <c r="H1329" s="42" t="str">
        <f>+IFERROR(VLOOKUP(E1329,'DANH MỤC'!$C:$H,3,0),"")</f>
        <v/>
      </c>
      <c r="I1329" s="42" t="str">
        <f>+IFERROR(VLOOKUP(E1329,'DANH MỤC'!$C:$H,4,0),"")</f>
        <v/>
      </c>
      <c r="J1329" s="42" t="str">
        <f>+IFERROR(VLOOKUP(E1329,'DANH MỤC'!$C:$H,5,0),"")</f>
        <v/>
      </c>
      <c r="K1329" s="53"/>
      <c r="L1329" s="58"/>
      <c r="M1329" s="55"/>
      <c r="N1329" s="55"/>
    </row>
    <row r="1330" ht="15.75" customHeight="1">
      <c r="A1330" s="53">
        <f t="shared" si="7"/>
        <v>1325</v>
      </c>
      <c r="B1330" s="55"/>
      <c r="C1330" s="41"/>
      <c r="D1330" s="42"/>
      <c r="E1330" s="42"/>
      <c r="F1330" s="42" t="str">
        <f>+IFERROR(VLOOKUP(E1330,'DANH MỤC'!$C:$H,2,0),"")</f>
        <v/>
      </c>
      <c r="G1330" s="42" t="str">
        <f>+IFERROR(VLOOKUP(E1330,'DANH MỤC'!$C:$H,6,0),"")</f>
        <v/>
      </c>
      <c r="H1330" s="42" t="str">
        <f>+IFERROR(VLOOKUP(E1330,'DANH MỤC'!$C:$H,3,0),"")</f>
        <v/>
      </c>
      <c r="I1330" s="42" t="str">
        <f>+IFERROR(VLOOKUP(E1330,'DANH MỤC'!$C:$H,4,0),"")</f>
        <v/>
      </c>
      <c r="J1330" s="42" t="str">
        <f>+IFERROR(VLOOKUP(E1330,'DANH MỤC'!$C:$H,5,0),"")</f>
        <v/>
      </c>
      <c r="K1330" s="53"/>
      <c r="L1330" s="58"/>
      <c r="M1330" s="55"/>
      <c r="N1330" s="55"/>
    </row>
    <row r="1331" ht="15.75" customHeight="1">
      <c r="A1331" s="53">
        <f t="shared" si="7"/>
        <v>1326</v>
      </c>
      <c r="B1331" s="55"/>
      <c r="C1331" s="41"/>
      <c r="D1331" s="42"/>
      <c r="E1331" s="42"/>
      <c r="F1331" s="42" t="str">
        <f>+IFERROR(VLOOKUP(E1331,'DANH MỤC'!$C:$H,2,0),"")</f>
        <v/>
      </c>
      <c r="G1331" s="42" t="str">
        <f>+IFERROR(VLOOKUP(E1331,'DANH MỤC'!$C:$H,6,0),"")</f>
        <v/>
      </c>
      <c r="H1331" s="42" t="str">
        <f>+IFERROR(VLOOKUP(E1331,'DANH MỤC'!$C:$H,3,0),"")</f>
        <v/>
      </c>
      <c r="I1331" s="42" t="str">
        <f>+IFERROR(VLOOKUP(E1331,'DANH MỤC'!$C:$H,4,0),"")</f>
        <v/>
      </c>
      <c r="J1331" s="42" t="str">
        <f>+IFERROR(VLOOKUP(E1331,'DANH MỤC'!$C:$H,5,0),"")</f>
        <v/>
      </c>
      <c r="K1331" s="53"/>
      <c r="L1331" s="58"/>
      <c r="M1331" s="55"/>
      <c r="N1331" s="55"/>
    </row>
    <row r="1332" ht="15.75" customHeight="1">
      <c r="A1332" s="53">
        <f t="shared" si="7"/>
        <v>1327</v>
      </c>
      <c r="B1332" s="55"/>
      <c r="C1332" s="41"/>
      <c r="D1332" s="42"/>
      <c r="E1332" s="42"/>
      <c r="F1332" s="42" t="str">
        <f>+IFERROR(VLOOKUP(E1332,'DANH MỤC'!$C:$H,2,0),"")</f>
        <v/>
      </c>
      <c r="G1332" s="42" t="str">
        <f>+IFERROR(VLOOKUP(E1332,'DANH MỤC'!$C:$H,6,0),"")</f>
        <v/>
      </c>
      <c r="H1332" s="42" t="str">
        <f>+IFERROR(VLOOKUP(E1332,'DANH MỤC'!$C:$H,3,0),"")</f>
        <v/>
      </c>
      <c r="I1332" s="42" t="str">
        <f>+IFERROR(VLOOKUP(E1332,'DANH MỤC'!$C:$H,4,0),"")</f>
        <v/>
      </c>
      <c r="J1332" s="42" t="str">
        <f>+IFERROR(VLOOKUP(E1332,'DANH MỤC'!$C:$H,5,0),"")</f>
        <v/>
      </c>
      <c r="K1332" s="53"/>
      <c r="L1332" s="58"/>
      <c r="M1332" s="55"/>
      <c r="N1332" s="55"/>
    </row>
    <row r="1333" ht="15.75" customHeight="1">
      <c r="A1333" s="53">
        <f t="shared" si="7"/>
        <v>1328</v>
      </c>
      <c r="B1333" s="55"/>
      <c r="C1333" s="41"/>
      <c r="D1333" s="42"/>
      <c r="E1333" s="42"/>
      <c r="F1333" s="42" t="str">
        <f>+IFERROR(VLOOKUP(E1333,'DANH MỤC'!$C:$H,2,0),"")</f>
        <v/>
      </c>
      <c r="G1333" s="42" t="str">
        <f>+IFERROR(VLOOKUP(E1333,'DANH MỤC'!$C:$H,6,0),"")</f>
        <v/>
      </c>
      <c r="H1333" s="42" t="str">
        <f>+IFERROR(VLOOKUP(E1333,'DANH MỤC'!$C:$H,3,0),"")</f>
        <v/>
      </c>
      <c r="I1333" s="42" t="str">
        <f>+IFERROR(VLOOKUP(E1333,'DANH MỤC'!$C:$H,4,0),"")</f>
        <v/>
      </c>
      <c r="J1333" s="42" t="str">
        <f>+IFERROR(VLOOKUP(E1333,'DANH MỤC'!$C:$H,5,0),"")</f>
        <v/>
      </c>
      <c r="K1333" s="53"/>
      <c r="L1333" s="58"/>
      <c r="M1333" s="55"/>
      <c r="N1333" s="55"/>
    </row>
    <row r="1334" ht="15.75" customHeight="1">
      <c r="A1334" s="53">
        <f t="shared" si="7"/>
        <v>1329</v>
      </c>
      <c r="B1334" s="55"/>
      <c r="C1334" s="41"/>
      <c r="D1334" s="42"/>
      <c r="E1334" s="42"/>
      <c r="F1334" s="42" t="str">
        <f>+IFERROR(VLOOKUP(E1334,'DANH MỤC'!$C:$H,2,0),"")</f>
        <v/>
      </c>
      <c r="G1334" s="42" t="str">
        <f>+IFERROR(VLOOKUP(E1334,'DANH MỤC'!$C:$H,6,0),"")</f>
        <v/>
      </c>
      <c r="H1334" s="42" t="str">
        <f>+IFERROR(VLOOKUP(E1334,'DANH MỤC'!$C:$H,3,0),"")</f>
        <v/>
      </c>
      <c r="I1334" s="42" t="str">
        <f>+IFERROR(VLOOKUP(E1334,'DANH MỤC'!$C:$H,4,0),"")</f>
        <v/>
      </c>
      <c r="J1334" s="42" t="str">
        <f>+IFERROR(VLOOKUP(E1334,'DANH MỤC'!$C:$H,5,0),"")</f>
        <v/>
      </c>
      <c r="K1334" s="53"/>
      <c r="L1334" s="58"/>
      <c r="M1334" s="55"/>
      <c r="N1334" s="55"/>
    </row>
    <row r="1335" ht="15.75" customHeight="1">
      <c r="A1335" s="53">
        <f t="shared" si="7"/>
        <v>1330</v>
      </c>
      <c r="B1335" s="55"/>
      <c r="C1335" s="41"/>
      <c r="D1335" s="42"/>
      <c r="E1335" s="42"/>
      <c r="F1335" s="42" t="str">
        <f>+IFERROR(VLOOKUP(E1335,'DANH MỤC'!$C:$H,2,0),"")</f>
        <v/>
      </c>
      <c r="G1335" s="42" t="str">
        <f>+IFERROR(VLOOKUP(E1335,'DANH MỤC'!$C:$H,6,0),"")</f>
        <v/>
      </c>
      <c r="H1335" s="42" t="str">
        <f>+IFERROR(VLOOKUP(E1335,'DANH MỤC'!$C:$H,3,0),"")</f>
        <v/>
      </c>
      <c r="I1335" s="42" t="str">
        <f>+IFERROR(VLOOKUP(E1335,'DANH MỤC'!$C:$H,4,0),"")</f>
        <v/>
      </c>
      <c r="J1335" s="42" t="str">
        <f>+IFERROR(VLOOKUP(E1335,'DANH MỤC'!$C:$H,5,0),"")</f>
        <v/>
      </c>
      <c r="K1335" s="53"/>
      <c r="L1335" s="58"/>
      <c r="M1335" s="55"/>
      <c r="N1335" s="55"/>
    </row>
    <row r="1336" ht="15.75" customHeight="1">
      <c r="A1336" s="53">
        <f t="shared" si="7"/>
        <v>1331</v>
      </c>
      <c r="B1336" s="55"/>
      <c r="C1336" s="41"/>
      <c r="D1336" s="42"/>
      <c r="E1336" s="42"/>
      <c r="F1336" s="42" t="str">
        <f>+IFERROR(VLOOKUP(E1336,'DANH MỤC'!$C:$H,2,0),"")</f>
        <v/>
      </c>
      <c r="G1336" s="42" t="str">
        <f>+IFERROR(VLOOKUP(E1336,'DANH MỤC'!$C:$H,6,0),"")</f>
        <v/>
      </c>
      <c r="H1336" s="42" t="str">
        <f>+IFERROR(VLOOKUP(E1336,'DANH MỤC'!$C:$H,3,0),"")</f>
        <v/>
      </c>
      <c r="I1336" s="42" t="str">
        <f>+IFERROR(VLOOKUP(E1336,'DANH MỤC'!$C:$H,4,0),"")</f>
        <v/>
      </c>
      <c r="J1336" s="42" t="str">
        <f>+IFERROR(VLOOKUP(E1336,'DANH MỤC'!$C:$H,5,0),"")</f>
        <v/>
      </c>
      <c r="K1336" s="53"/>
      <c r="L1336" s="58"/>
      <c r="M1336" s="55"/>
      <c r="N1336" s="55"/>
    </row>
    <row r="1337" ht="15.75" customHeight="1">
      <c r="A1337" s="53">
        <f t="shared" si="7"/>
        <v>1332</v>
      </c>
      <c r="B1337" s="55"/>
      <c r="C1337" s="41"/>
      <c r="D1337" s="42"/>
      <c r="E1337" s="42"/>
      <c r="F1337" s="42" t="str">
        <f>+IFERROR(VLOOKUP(E1337,'DANH MỤC'!$C:$H,2,0),"")</f>
        <v/>
      </c>
      <c r="G1337" s="42" t="str">
        <f>+IFERROR(VLOOKUP(E1337,'DANH MỤC'!$C:$H,6,0),"")</f>
        <v/>
      </c>
      <c r="H1337" s="42" t="str">
        <f>+IFERROR(VLOOKUP(E1337,'DANH MỤC'!$C:$H,3,0),"")</f>
        <v/>
      </c>
      <c r="I1337" s="42" t="str">
        <f>+IFERROR(VLOOKUP(E1337,'DANH MỤC'!$C:$H,4,0),"")</f>
        <v/>
      </c>
      <c r="J1337" s="42" t="str">
        <f>+IFERROR(VLOOKUP(E1337,'DANH MỤC'!$C:$H,5,0),"")</f>
        <v/>
      </c>
      <c r="K1337" s="53"/>
      <c r="L1337" s="58"/>
      <c r="M1337" s="55"/>
      <c r="N1337" s="55"/>
    </row>
    <row r="1338" ht="15.75" customHeight="1">
      <c r="A1338" s="53">
        <f t="shared" si="7"/>
        <v>1333</v>
      </c>
      <c r="B1338" s="55"/>
      <c r="C1338" s="41"/>
      <c r="D1338" s="42"/>
      <c r="E1338" s="42"/>
      <c r="F1338" s="42" t="str">
        <f>+IFERROR(VLOOKUP(E1338,'DANH MỤC'!$C:$H,2,0),"")</f>
        <v/>
      </c>
      <c r="G1338" s="42" t="str">
        <f>+IFERROR(VLOOKUP(E1338,'DANH MỤC'!$C:$H,6,0),"")</f>
        <v/>
      </c>
      <c r="H1338" s="42" t="str">
        <f>+IFERROR(VLOOKUP(E1338,'DANH MỤC'!$C:$H,3,0),"")</f>
        <v/>
      </c>
      <c r="I1338" s="42" t="str">
        <f>+IFERROR(VLOOKUP(E1338,'DANH MỤC'!$C:$H,4,0),"")</f>
        <v/>
      </c>
      <c r="J1338" s="42" t="str">
        <f>+IFERROR(VLOOKUP(E1338,'DANH MỤC'!$C:$H,5,0),"")</f>
        <v/>
      </c>
      <c r="K1338" s="53"/>
      <c r="L1338" s="58"/>
      <c r="M1338" s="55"/>
      <c r="N1338" s="55"/>
    </row>
    <row r="1339" ht="15.75" customHeight="1">
      <c r="A1339" s="53">
        <f t="shared" si="7"/>
        <v>1334</v>
      </c>
      <c r="B1339" s="55"/>
      <c r="C1339" s="41"/>
      <c r="D1339" s="42"/>
      <c r="E1339" s="42"/>
      <c r="F1339" s="42" t="str">
        <f>+IFERROR(VLOOKUP(E1339,'DANH MỤC'!$C:$H,2,0),"")</f>
        <v/>
      </c>
      <c r="G1339" s="42" t="str">
        <f>+IFERROR(VLOOKUP(E1339,'DANH MỤC'!$C:$H,6,0),"")</f>
        <v/>
      </c>
      <c r="H1339" s="42" t="str">
        <f>+IFERROR(VLOOKUP(E1339,'DANH MỤC'!$C:$H,3,0),"")</f>
        <v/>
      </c>
      <c r="I1339" s="42" t="str">
        <f>+IFERROR(VLOOKUP(E1339,'DANH MỤC'!$C:$H,4,0),"")</f>
        <v/>
      </c>
      <c r="J1339" s="42" t="str">
        <f>+IFERROR(VLOOKUP(E1339,'DANH MỤC'!$C:$H,5,0),"")</f>
        <v/>
      </c>
      <c r="K1339" s="53"/>
      <c r="L1339" s="58"/>
      <c r="M1339" s="55"/>
      <c r="N1339" s="55"/>
    </row>
    <row r="1340" ht="15.75" customHeight="1">
      <c r="A1340" s="53">
        <f t="shared" si="7"/>
        <v>1335</v>
      </c>
      <c r="B1340" s="55"/>
      <c r="C1340" s="41"/>
      <c r="D1340" s="42"/>
      <c r="E1340" s="42"/>
      <c r="F1340" s="42" t="str">
        <f>+IFERROR(VLOOKUP(E1340,'DANH MỤC'!$C:$H,2,0),"")</f>
        <v/>
      </c>
      <c r="G1340" s="42" t="str">
        <f>+IFERROR(VLOOKUP(E1340,'DANH MỤC'!$C:$H,6,0),"")</f>
        <v/>
      </c>
      <c r="H1340" s="42" t="str">
        <f>+IFERROR(VLOOKUP(E1340,'DANH MỤC'!$C:$H,3,0),"")</f>
        <v/>
      </c>
      <c r="I1340" s="42" t="str">
        <f>+IFERROR(VLOOKUP(E1340,'DANH MỤC'!$C:$H,4,0),"")</f>
        <v/>
      </c>
      <c r="J1340" s="42" t="str">
        <f>+IFERROR(VLOOKUP(E1340,'DANH MỤC'!$C:$H,5,0),"")</f>
        <v/>
      </c>
      <c r="K1340" s="53"/>
      <c r="L1340" s="58"/>
      <c r="M1340" s="55"/>
      <c r="N1340" s="55"/>
    </row>
    <row r="1341" ht="15.75" customHeight="1">
      <c r="A1341" s="53">
        <f t="shared" si="7"/>
        <v>1336</v>
      </c>
      <c r="B1341" s="55"/>
      <c r="C1341" s="41"/>
      <c r="D1341" s="42"/>
      <c r="E1341" s="42"/>
      <c r="F1341" s="42" t="str">
        <f>+IFERROR(VLOOKUP(E1341,'DANH MỤC'!$C:$H,2,0),"")</f>
        <v/>
      </c>
      <c r="G1341" s="42" t="str">
        <f>+IFERROR(VLOOKUP(E1341,'DANH MỤC'!$C:$H,6,0),"")</f>
        <v/>
      </c>
      <c r="H1341" s="42" t="str">
        <f>+IFERROR(VLOOKUP(E1341,'DANH MỤC'!$C:$H,3,0),"")</f>
        <v/>
      </c>
      <c r="I1341" s="42" t="str">
        <f>+IFERROR(VLOOKUP(E1341,'DANH MỤC'!$C:$H,4,0),"")</f>
        <v/>
      </c>
      <c r="J1341" s="42" t="str">
        <f>+IFERROR(VLOOKUP(E1341,'DANH MỤC'!$C:$H,5,0),"")</f>
        <v/>
      </c>
      <c r="K1341" s="53"/>
      <c r="L1341" s="58"/>
      <c r="M1341" s="55"/>
      <c r="N1341" s="55"/>
    </row>
    <row r="1342" ht="15.75" customHeight="1">
      <c r="A1342" s="53">
        <f t="shared" si="7"/>
        <v>1337</v>
      </c>
      <c r="B1342" s="55"/>
      <c r="C1342" s="41"/>
      <c r="D1342" s="42"/>
      <c r="E1342" s="42"/>
      <c r="F1342" s="42" t="str">
        <f>+IFERROR(VLOOKUP(E1342,'DANH MỤC'!$C:$H,2,0),"")</f>
        <v/>
      </c>
      <c r="G1342" s="42" t="str">
        <f>+IFERROR(VLOOKUP(E1342,'DANH MỤC'!$C:$H,6,0),"")</f>
        <v/>
      </c>
      <c r="H1342" s="42" t="str">
        <f>+IFERROR(VLOOKUP(E1342,'DANH MỤC'!$C:$H,3,0),"")</f>
        <v/>
      </c>
      <c r="I1342" s="42" t="str">
        <f>+IFERROR(VLOOKUP(E1342,'DANH MỤC'!$C:$H,4,0),"")</f>
        <v/>
      </c>
      <c r="J1342" s="42" t="str">
        <f>+IFERROR(VLOOKUP(E1342,'DANH MỤC'!$C:$H,5,0),"")</f>
        <v/>
      </c>
      <c r="K1342" s="53"/>
      <c r="L1342" s="58"/>
      <c r="M1342" s="55"/>
      <c r="N1342" s="55"/>
    </row>
    <row r="1343" ht="15.75" customHeight="1">
      <c r="A1343" s="53">
        <f t="shared" si="7"/>
        <v>1338</v>
      </c>
      <c r="B1343" s="55"/>
      <c r="C1343" s="41"/>
      <c r="D1343" s="42"/>
      <c r="E1343" s="42"/>
      <c r="F1343" s="42" t="str">
        <f>+IFERROR(VLOOKUP(E1343,'DANH MỤC'!$C:$H,2,0),"")</f>
        <v/>
      </c>
      <c r="G1343" s="42" t="str">
        <f>+IFERROR(VLOOKUP(E1343,'DANH MỤC'!$C:$H,6,0),"")</f>
        <v/>
      </c>
      <c r="H1343" s="42" t="str">
        <f>+IFERROR(VLOOKUP(E1343,'DANH MỤC'!$C:$H,3,0),"")</f>
        <v/>
      </c>
      <c r="I1343" s="42" t="str">
        <f>+IFERROR(VLOOKUP(E1343,'DANH MỤC'!$C:$H,4,0),"")</f>
        <v/>
      </c>
      <c r="J1343" s="42" t="str">
        <f>+IFERROR(VLOOKUP(E1343,'DANH MỤC'!$C:$H,5,0),"")</f>
        <v/>
      </c>
      <c r="K1343" s="53"/>
      <c r="L1343" s="58"/>
      <c r="M1343" s="55"/>
      <c r="N1343" s="55"/>
    </row>
    <row r="1344" ht="15.75" customHeight="1">
      <c r="A1344" s="53">
        <f t="shared" si="7"/>
        <v>1339</v>
      </c>
      <c r="B1344" s="55"/>
      <c r="C1344" s="41"/>
      <c r="D1344" s="42"/>
      <c r="E1344" s="42"/>
      <c r="F1344" s="42" t="str">
        <f>+IFERROR(VLOOKUP(E1344,'DANH MỤC'!$C:$H,2,0),"")</f>
        <v/>
      </c>
      <c r="G1344" s="42" t="str">
        <f>+IFERROR(VLOOKUP(E1344,'DANH MỤC'!$C:$H,6,0),"")</f>
        <v/>
      </c>
      <c r="H1344" s="42" t="str">
        <f>+IFERROR(VLOOKUP(E1344,'DANH MỤC'!$C:$H,3,0),"")</f>
        <v/>
      </c>
      <c r="I1344" s="42" t="str">
        <f>+IFERROR(VLOOKUP(E1344,'DANH MỤC'!$C:$H,4,0),"")</f>
        <v/>
      </c>
      <c r="J1344" s="42" t="str">
        <f>+IFERROR(VLOOKUP(E1344,'DANH MỤC'!$C:$H,5,0),"")</f>
        <v/>
      </c>
      <c r="K1344" s="53"/>
      <c r="L1344" s="58"/>
      <c r="M1344" s="55"/>
      <c r="N1344" s="55"/>
    </row>
    <row r="1345" ht="15.75" customHeight="1">
      <c r="A1345" s="53">
        <f t="shared" si="7"/>
        <v>1340</v>
      </c>
      <c r="B1345" s="55"/>
      <c r="C1345" s="41"/>
      <c r="D1345" s="42"/>
      <c r="E1345" s="42"/>
      <c r="F1345" s="42" t="str">
        <f>+IFERROR(VLOOKUP(E1345,'DANH MỤC'!$C:$H,2,0),"")</f>
        <v/>
      </c>
      <c r="G1345" s="42" t="str">
        <f>+IFERROR(VLOOKUP(E1345,'DANH MỤC'!$C:$H,6,0),"")</f>
        <v/>
      </c>
      <c r="H1345" s="42" t="str">
        <f>+IFERROR(VLOOKUP(E1345,'DANH MỤC'!$C:$H,3,0),"")</f>
        <v/>
      </c>
      <c r="I1345" s="42" t="str">
        <f>+IFERROR(VLOOKUP(E1345,'DANH MỤC'!$C:$H,4,0),"")</f>
        <v/>
      </c>
      <c r="J1345" s="42" t="str">
        <f>+IFERROR(VLOOKUP(E1345,'DANH MỤC'!$C:$H,5,0),"")</f>
        <v/>
      </c>
      <c r="K1345" s="53"/>
      <c r="L1345" s="58"/>
      <c r="M1345" s="55"/>
      <c r="N1345" s="55"/>
    </row>
    <row r="1346" ht="15.75" customHeight="1">
      <c r="A1346" s="53">
        <f t="shared" si="7"/>
        <v>1341</v>
      </c>
      <c r="B1346" s="55"/>
      <c r="C1346" s="41"/>
      <c r="D1346" s="42"/>
      <c r="E1346" s="42"/>
      <c r="F1346" s="42" t="str">
        <f>+IFERROR(VLOOKUP(E1346,'DANH MỤC'!$C:$H,2,0),"")</f>
        <v/>
      </c>
      <c r="G1346" s="42" t="str">
        <f>+IFERROR(VLOOKUP(E1346,'DANH MỤC'!$C:$H,6,0),"")</f>
        <v/>
      </c>
      <c r="H1346" s="42" t="str">
        <f>+IFERROR(VLOOKUP(E1346,'DANH MỤC'!$C:$H,3,0),"")</f>
        <v/>
      </c>
      <c r="I1346" s="42" t="str">
        <f>+IFERROR(VLOOKUP(E1346,'DANH MỤC'!$C:$H,4,0),"")</f>
        <v/>
      </c>
      <c r="J1346" s="42" t="str">
        <f>+IFERROR(VLOOKUP(E1346,'DANH MỤC'!$C:$H,5,0),"")</f>
        <v/>
      </c>
      <c r="K1346" s="53"/>
      <c r="L1346" s="58"/>
      <c r="M1346" s="55"/>
      <c r="N1346" s="55"/>
    </row>
    <row r="1347" ht="15.75" customHeight="1">
      <c r="A1347" s="53">
        <f t="shared" si="7"/>
        <v>1342</v>
      </c>
      <c r="B1347" s="55"/>
      <c r="C1347" s="41"/>
      <c r="D1347" s="42"/>
      <c r="E1347" s="42"/>
      <c r="F1347" s="42" t="str">
        <f>+IFERROR(VLOOKUP(E1347,'DANH MỤC'!$C:$H,2,0),"")</f>
        <v/>
      </c>
      <c r="G1347" s="42" t="str">
        <f>+IFERROR(VLOOKUP(E1347,'DANH MỤC'!$C:$H,6,0),"")</f>
        <v/>
      </c>
      <c r="H1347" s="42" t="str">
        <f>+IFERROR(VLOOKUP(E1347,'DANH MỤC'!$C:$H,3,0),"")</f>
        <v/>
      </c>
      <c r="I1347" s="42" t="str">
        <f>+IFERROR(VLOOKUP(E1347,'DANH MỤC'!$C:$H,4,0),"")</f>
        <v/>
      </c>
      <c r="J1347" s="42" t="str">
        <f>+IFERROR(VLOOKUP(E1347,'DANH MỤC'!$C:$H,5,0),"")</f>
        <v/>
      </c>
      <c r="K1347" s="53"/>
      <c r="L1347" s="58"/>
      <c r="M1347" s="55"/>
      <c r="N1347" s="55"/>
    </row>
    <row r="1348" ht="15.75" customHeight="1">
      <c r="A1348" s="53">
        <f t="shared" si="7"/>
        <v>1343</v>
      </c>
      <c r="B1348" s="55"/>
      <c r="C1348" s="41"/>
      <c r="D1348" s="42"/>
      <c r="E1348" s="42"/>
      <c r="F1348" s="42" t="str">
        <f>+IFERROR(VLOOKUP(E1348,'DANH MỤC'!$C:$H,2,0),"")</f>
        <v/>
      </c>
      <c r="G1348" s="42" t="str">
        <f>+IFERROR(VLOOKUP(E1348,'DANH MỤC'!$C:$H,6,0),"")</f>
        <v/>
      </c>
      <c r="H1348" s="42" t="str">
        <f>+IFERROR(VLOOKUP(E1348,'DANH MỤC'!$C:$H,3,0),"")</f>
        <v/>
      </c>
      <c r="I1348" s="42" t="str">
        <f>+IFERROR(VLOOKUP(E1348,'DANH MỤC'!$C:$H,4,0),"")</f>
        <v/>
      </c>
      <c r="J1348" s="42" t="str">
        <f>+IFERROR(VLOOKUP(E1348,'DANH MỤC'!$C:$H,5,0),"")</f>
        <v/>
      </c>
      <c r="K1348" s="53"/>
      <c r="L1348" s="58"/>
      <c r="M1348" s="55"/>
      <c r="N1348" s="55"/>
    </row>
    <row r="1349" ht="15.75" customHeight="1">
      <c r="A1349" s="53">
        <f t="shared" si="7"/>
        <v>1344</v>
      </c>
      <c r="B1349" s="55"/>
      <c r="C1349" s="41"/>
      <c r="D1349" s="42"/>
      <c r="E1349" s="42"/>
      <c r="F1349" s="42" t="str">
        <f>+IFERROR(VLOOKUP(E1349,'DANH MỤC'!$C:$H,2,0),"")</f>
        <v/>
      </c>
      <c r="G1349" s="42" t="str">
        <f>+IFERROR(VLOOKUP(E1349,'DANH MỤC'!$C:$H,6,0),"")</f>
        <v/>
      </c>
      <c r="H1349" s="42" t="str">
        <f>+IFERROR(VLOOKUP(E1349,'DANH MỤC'!$C:$H,3,0),"")</f>
        <v/>
      </c>
      <c r="I1349" s="42" t="str">
        <f>+IFERROR(VLOOKUP(E1349,'DANH MỤC'!$C:$H,4,0),"")</f>
        <v/>
      </c>
      <c r="J1349" s="42" t="str">
        <f>+IFERROR(VLOOKUP(E1349,'DANH MỤC'!$C:$H,5,0),"")</f>
        <v/>
      </c>
      <c r="K1349" s="53"/>
      <c r="L1349" s="58"/>
      <c r="M1349" s="55"/>
      <c r="N1349" s="55"/>
    </row>
    <row r="1350" ht="15.75" customHeight="1">
      <c r="A1350" s="53">
        <f t="shared" si="7"/>
        <v>1345</v>
      </c>
      <c r="B1350" s="55"/>
      <c r="C1350" s="41"/>
      <c r="D1350" s="42"/>
      <c r="E1350" s="42"/>
      <c r="F1350" s="42" t="str">
        <f>+IFERROR(VLOOKUP(E1350,'DANH MỤC'!$C:$H,2,0),"")</f>
        <v/>
      </c>
      <c r="G1350" s="42" t="str">
        <f>+IFERROR(VLOOKUP(E1350,'DANH MỤC'!$C:$H,6,0),"")</f>
        <v/>
      </c>
      <c r="H1350" s="42" t="str">
        <f>+IFERROR(VLOOKUP(E1350,'DANH MỤC'!$C:$H,3,0),"")</f>
        <v/>
      </c>
      <c r="I1350" s="42" t="str">
        <f>+IFERROR(VLOOKUP(E1350,'DANH MỤC'!$C:$H,4,0),"")</f>
        <v/>
      </c>
      <c r="J1350" s="42" t="str">
        <f>+IFERROR(VLOOKUP(E1350,'DANH MỤC'!$C:$H,5,0),"")</f>
        <v/>
      </c>
      <c r="K1350" s="53"/>
      <c r="L1350" s="58"/>
      <c r="M1350" s="55"/>
      <c r="N1350" s="55"/>
    </row>
    <row r="1351" ht="15.75" customHeight="1">
      <c r="A1351" s="53">
        <f t="shared" si="7"/>
        <v>1346</v>
      </c>
      <c r="B1351" s="55"/>
      <c r="C1351" s="41"/>
      <c r="D1351" s="42"/>
      <c r="E1351" s="42"/>
      <c r="F1351" s="42" t="str">
        <f>+IFERROR(VLOOKUP(E1351,'DANH MỤC'!$C:$H,2,0),"")</f>
        <v/>
      </c>
      <c r="G1351" s="42" t="str">
        <f>+IFERROR(VLOOKUP(E1351,'DANH MỤC'!$C:$H,6,0),"")</f>
        <v/>
      </c>
      <c r="H1351" s="42" t="str">
        <f>+IFERROR(VLOOKUP(E1351,'DANH MỤC'!$C:$H,3,0),"")</f>
        <v/>
      </c>
      <c r="I1351" s="42" t="str">
        <f>+IFERROR(VLOOKUP(E1351,'DANH MỤC'!$C:$H,4,0),"")</f>
        <v/>
      </c>
      <c r="J1351" s="42" t="str">
        <f>+IFERROR(VLOOKUP(E1351,'DANH MỤC'!$C:$H,5,0),"")</f>
        <v/>
      </c>
      <c r="K1351" s="53"/>
      <c r="L1351" s="58"/>
      <c r="M1351" s="55"/>
      <c r="N1351" s="55"/>
    </row>
    <row r="1352" ht="15.75" customHeight="1">
      <c r="A1352" s="53">
        <f t="shared" si="7"/>
        <v>1347</v>
      </c>
      <c r="B1352" s="55"/>
      <c r="C1352" s="41"/>
      <c r="D1352" s="42"/>
      <c r="E1352" s="42"/>
      <c r="F1352" s="42" t="str">
        <f>+IFERROR(VLOOKUP(E1352,'DANH MỤC'!$C:$H,2,0),"")</f>
        <v/>
      </c>
      <c r="G1352" s="42" t="str">
        <f>+IFERROR(VLOOKUP(E1352,'DANH MỤC'!$C:$H,6,0),"")</f>
        <v/>
      </c>
      <c r="H1352" s="42" t="str">
        <f>+IFERROR(VLOOKUP(E1352,'DANH MỤC'!$C:$H,3,0),"")</f>
        <v/>
      </c>
      <c r="I1352" s="42" t="str">
        <f>+IFERROR(VLOOKUP(E1352,'DANH MỤC'!$C:$H,4,0),"")</f>
        <v/>
      </c>
      <c r="J1352" s="42" t="str">
        <f>+IFERROR(VLOOKUP(E1352,'DANH MỤC'!$C:$H,5,0),"")</f>
        <v/>
      </c>
      <c r="K1352" s="53"/>
      <c r="L1352" s="58"/>
      <c r="M1352" s="55"/>
      <c r="N1352" s="55"/>
    </row>
    <row r="1353" ht="15.75" customHeight="1">
      <c r="A1353" s="53">
        <f t="shared" si="7"/>
        <v>1348</v>
      </c>
      <c r="B1353" s="55"/>
      <c r="C1353" s="41"/>
      <c r="D1353" s="42"/>
      <c r="E1353" s="42"/>
      <c r="F1353" s="42" t="str">
        <f>+IFERROR(VLOOKUP(E1353,'DANH MỤC'!$C:$H,2,0),"")</f>
        <v/>
      </c>
      <c r="G1353" s="42" t="str">
        <f>+IFERROR(VLOOKUP(E1353,'DANH MỤC'!$C:$H,6,0),"")</f>
        <v/>
      </c>
      <c r="H1353" s="42" t="str">
        <f>+IFERROR(VLOOKUP(E1353,'DANH MỤC'!$C:$H,3,0),"")</f>
        <v/>
      </c>
      <c r="I1353" s="42" t="str">
        <f>+IFERROR(VLOOKUP(E1353,'DANH MỤC'!$C:$H,4,0),"")</f>
        <v/>
      </c>
      <c r="J1353" s="42" t="str">
        <f>+IFERROR(VLOOKUP(E1353,'DANH MỤC'!$C:$H,5,0),"")</f>
        <v/>
      </c>
      <c r="K1353" s="53"/>
      <c r="L1353" s="58"/>
      <c r="M1353" s="55"/>
      <c r="N1353" s="55"/>
    </row>
    <row r="1354" ht="15.75" customHeight="1">
      <c r="A1354" s="53">
        <f t="shared" si="7"/>
        <v>1349</v>
      </c>
      <c r="B1354" s="55"/>
      <c r="C1354" s="41"/>
      <c r="D1354" s="42"/>
      <c r="E1354" s="42"/>
      <c r="F1354" s="42" t="str">
        <f>+IFERROR(VLOOKUP(E1354,'DANH MỤC'!$C:$H,2,0),"")</f>
        <v/>
      </c>
      <c r="G1354" s="42" t="str">
        <f>+IFERROR(VLOOKUP(E1354,'DANH MỤC'!$C:$H,6,0),"")</f>
        <v/>
      </c>
      <c r="H1354" s="42" t="str">
        <f>+IFERROR(VLOOKUP(E1354,'DANH MỤC'!$C:$H,3,0),"")</f>
        <v/>
      </c>
      <c r="I1354" s="42" t="str">
        <f>+IFERROR(VLOOKUP(E1354,'DANH MỤC'!$C:$H,4,0),"")</f>
        <v/>
      </c>
      <c r="J1354" s="42" t="str">
        <f>+IFERROR(VLOOKUP(E1354,'DANH MỤC'!$C:$H,5,0),"")</f>
        <v/>
      </c>
      <c r="K1354" s="53"/>
      <c r="L1354" s="58"/>
      <c r="M1354" s="55"/>
      <c r="N1354" s="55"/>
    </row>
    <row r="1355" ht="15.75" customHeight="1">
      <c r="A1355" s="53">
        <f t="shared" si="7"/>
        <v>1350</v>
      </c>
      <c r="B1355" s="55"/>
      <c r="C1355" s="41"/>
      <c r="D1355" s="42"/>
      <c r="E1355" s="42"/>
      <c r="F1355" s="42" t="str">
        <f>+IFERROR(VLOOKUP(E1355,'DANH MỤC'!$C:$H,2,0),"")</f>
        <v/>
      </c>
      <c r="G1355" s="42" t="str">
        <f>+IFERROR(VLOOKUP(E1355,'DANH MỤC'!$C:$H,6,0),"")</f>
        <v/>
      </c>
      <c r="H1355" s="42" t="str">
        <f>+IFERROR(VLOOKUP(E1355,'DANH MỤC'!$C:$H,3,0),"")</f>
        <v/>
      </c>
      <c r="I1355" s="42" t="str">
        <f>+IFERROR(VLOOKUP(E1355,'DANH MỤC'!$C:$H,4,0),"")</f>
        <v/>
      </c>
      <c r="J1355" s="42" t="str">
        <f>+IFERROR(VLOOKUP(E1355,'DANH MỤC'!$C:$H,5,0),"")</f>
        <v/>
      </c>
      <c r="K1355" s="53"/>
      <c r="L1355" s="58"/>
      <c r="M1355" s="55"/>
      <c r="N1355" s="55"/>
    </row>
    <row r="1356" ht="15.75" customHeight="1">
      <c r="A1356" s="53">
        <f t="shared" si="7"/>
        <v>1351</v>
      </c>
      <c r="B1356" s="55"/>
      <c r="C1356" s="41"/>
      <c r="D1356" s="42"/>
      <c r="E1356" s="42"/>
      <c r="F1356" s="42" t="str">
        <f>+IFERROR(VLOOKUP(E1356,'DANH MỤC'!$C:$H,2,0),"")</f>
        <v/>
      </c>
      <c r="G1356" s="42" t="str">
        <f>+IFERROR(VLOOKUP(E1356,'DANH MỤC'!$C:$H,6,0),"")</f>
        <v/>
      </c>
      <c r="H1356" s="42" t="str">
        <f>+IFERROR(VLOOKUP(E1356,'DANH MỤC'!$C:$H,3,0),"")</f>
        <v/>
      </c>
      <c r="I1356" s="42" t="str">
        <f>+IFERROR(VLOOKUP(E1356,'DANH MỤC'!$C:$H,4,0),"")</f>
        <v/>
      </c>
      <c r="J1356" s="42" t="str">
        <f>+IFERROR(VLOOKUP(E1356,'DANH MỤC'!$C:$H,5,0),"")</f>
        <v/>
      </c>
      <c r="K1356" s="53"/>
      <c r="L1356" s="58"/>
      <c r="M1356" s="55"/>
      <c r="N1356" s="55"/>
    </row>
    <row r="1357" ht="15.75" customHeight="1">
      <c r="A1357" s="53">
        <f t="shared" si="7"/>
        <v>1352</v>
      </c>
      <c r="B1357" s="55"/>
      <c r="C1357" s="41"/>
      <c r="D1357" s="42"/>
      <c r="E1357" s="42"/>
      <c r="F1357" s="42" t="str">
        <f>+IFERROR(VLOOKUP(E1357,'DANH MỤC'!$C:$H,2,0),"")</f>
        <v/>
      </c>
      <c r="G1357" s="42" t="str">
        <f>+IFERROR(VLOOKUP(E1357,'DANH MỤC'!$C:$H,6,0),"")</f>
        <v/>
      </c>
      <c r="H1357" s="42" t="str">
        <f>+IFERROR(VLOOKUP(E1357,'DANH MỤC'!$C:$H,3,0),"")</f>
        <v/>
      </c>
      <c r="I1357" s="42" t="str">
        <f>+IFERROR(VLOOKUP(E1357,'DANH MỤC'!$C:$H,4,0),"")</f>
        <v/>
      </c>
      <c r="J1357" s="42" t="str">
        <f>+IFERROR(VLOOKUP(E1357,'DANH MỤC'!$C:$H,5,0),"")</f>
        <v/>
      </c>
      <c r="K1357" s="53"/>
      <c r="L1357" s="58"/>
      <c r="M1357" s="55"/>
      <c r="N1357" s="55"/>
    </row>
    <row r="1358" ht="15.75" customHeight="1">
      <c r="A1358" s="53">
        <f t="shared" si="7"/>
        <v>1353</v>
      </c>
      <c r="B1358" s="55"/>
      <c r="C1358" s="41"/>
      <c r="D1358" s="42"/>
      <c r="E1358" s="42"/>
      <c r="F1358" s="42" t="str">
        <f>+IFERROR(VLOOKUP(E1358,'DANH MỤC'!$C:$H,2,0),"")</f>
        <v/>
      </c>
      <c r="G1358" s="42" t="str">
        <f>+IFERROR(VLOOKUP(E1358,'DANH MỤC'!$C:$H,6,0),"")</f>
        <v/>
      </c>
      <c r="H1358" s="42" t="str">
        <f>+IFERROR(VLOOKUP(E1358,'DANH MỤC'!$C:$H,3,0),"")</f>
        <v/>
      </c>
      <c r="I1358" s="42" t="str">
        <f>+IFERROR(VLOOKUP(E1358,'DANH MỤC'!$C:$H,4,0),"")</f>
        <v/>
      </c>
      <c r="J1358" s="42" t="str">
        <f>+IFERROR(VLOOKUP(E1358,'DANH MỤC'!$C:$H,5,0),"")</f>
        <v/>
      </c>
      <c r="K1358" s="53"/>
      <c r="L1358" s="58"/>
      <c r="M1358" s="55"/>
      <c r="N1358" s="55"/>
    </row>
    <row r="1359" ht="15.75" customHeight="1">
      <c r="A1359" s="53">
        <f t="shared" si="7"/>
        <v>1354</v>
      </c>
      <c r="B1359" s="55"/>
      <c r="C1359" s="41"/>
      <c r="D1359" s="42"/>
      <c r="E1359" s="42"/>
      <c r="F1359" s="42" t="str">
        <f>+IFERROR(VLOOKUP(E1359,'DANH MỤC'!$C:$H,2,0),"")</f>
        <v/>
      </c>
      <c r="G1359" s="42" t="str">
        <f>+IFERROR(VLOOKUP(E1359,'DANH MỤC'!$C:$H,6,0),"")</f>
        <v/>
      </c>
      <c r="H1359" s="42" t="str">
        <f>+IFERROR(VLOOKUP(E1359,'DANH MỤC'!$C:$H,3,0),"")</f>
        <v/>
      </c>
      <c r="I1359" s="42" t="str">
        <f>+IFERROR(VLOOKUP(E1359,'DANH MỤC'!$C:$H,4,0),"")</f>
        <v/>
      </c>
      <c r="J1359" s="42" t="str">
        <f>+IFERROR(VLOOKUP(E1359,'DANH MỤC'!$C:$H,5,0),"")</f>
        <v/>
      </c>
      <c r="K1359" s="53"/>
      <c r="L1359" s="58"/>
      <c r="M1359" s="55"/>
      <c r="N1359" s="55"/>
    </row>
    <row r="1360" ht="15.75" customHeight="1">
      <c r="A1360" s="53">
        <f t="shared" si="7"/>
        <v>1355</v>
      </c>
      <c r="B1360" s="55"/>
      <c r="C1360" s="41"/>
      <c r="D1360" s="42"/>
      <c r="E1360" s="42"/>
      <c r="F1360" s="42" t="str">
        <f>+IFERROR(VLOOKUP(E1360,'DANH MỤC'!$C:$H,2,0),"")</f>
        <v/>
      </c>
      <c r="G1360" s="42" t="str">
        <f>+IFERROR(VLOOKUP(E1360,'DANH MỤC'!$C:$H,6,0),"")</f>
        <v/>
      </c>
      <c r="H1360" s="42" t="str">
        <f>+IFERROR(VLOOKUP(E1360,'DANH MỤC'!$C:$H,3,0),"")</f>
        <v/>
      </c>
      <c r="I1360" s="42" t="str">
        <f>+IFERROR(VLOOKUP(E1360,'DANH MỤC'!$C:$H,4,0),"")</f>
        <v/>
      </c>
      <c r="J1360" s="42" t="str">
        <f>+IFERROR(VLOOKUP(E1360,'DANH MỤC'!$C:$H,5,0),"")</f>
        <v/>
      </c>
      <c r="K1360" s="53"/>
      <c r="L1360" s="58"/>
      <c r="M1360" s="55"/>
      <c r="N1360" s="55"/>
    </row>
    <row r="1361" ht="15.75" customHeight="1">
      <c r="A1361" s="53">
        <f t="shared" si="7"/>
        <v>1356</v>
      </c>
      <c r="B1361" s="55"/>
      <c r="C1361" s="41"/>
      <c r="D1361" s="42"/>
      <c r="E1361" s="42"/>
      <c r="F1361" s="42" t="str">
        <f>+IFERROR(VLOOKUP(E1361,'DANH MỤC'!$C:$H,2,0),"")</f>
        <v/>
      </c>
      <c r="G1361" s="42" t="str">
        <f>+IFERROR(VLOOKUP(E1361,'DANH MỤC'!$C:$H,6,0),"")</f>
        <v/>
      </c>
      <c r="H1361" s="42" t="str">
        <f>+IFERROR(VLOOKUP(E1361,'DANH MỤC'!$C:$H,3,0),"")</f>
        <v/>
      </c>
      <c r="I1361" s="42" t="str">
        <f>+IFERROR(VLOOKUP(E1361,'DANH MỤC'!$C:$H,4,0),"")</f>
        <v/>
      </c>
      <c r="J1361" s="42" t="str">
        <f>+IFERROR(VLOOKUP(E1361,'DANH MỤC'!$C:$H,5,0),"")</f>
        <v/>
      </c>
      <c r="K1361" s="53"/>
      <c r="L1361" s="58"/>
      <c r="M1361" s="55"/>
      <c r="N1361" s="55"/>
    </row>
    <row r="1362" ht="15.75" customHeight="1">
      <c r="A1362" s="53">
        <f t="shared" si="7"/>
        <v>1357</v>
      </c>
      <c r="B1362" s="55"/>
      <c r="C1362" s="41"/>
      <c r="D1362" s="42"/>
      <c r="E1362" s="42"/>
      <c r="F1362" s="42" t="str">
        <f>+IFERROR(VLOOKUP(E1362,'DANH MỤC'!$C:$H,2,0),"")</f>
        <v/>
      </c>
      <c r="G1362" s="42" t="str">
        <f>+IFERROR(VLOOKUP(E1362,'DANH MỤC'!$C:$H,6,0),"")</f>
        <v/>
      </c>
      <c r="H1362" s="42" t="str">
        <f>+IFERROR(VLOOKUP(E1362,'DANH MỤC'!$C:$H,3,0),"")</f>
        <v/>
      </c>
      <c r="I1362" s="42" t="str">
        <f>+IFERROR(VLOOKUP(E1362,'DANH MỤC'!$C:$H,4,0),"")</f>
        <v/>
      </c>
      <c r="J1362" s="42" t="str">
        <f>+IFERROR(VLOOKUP(E1362,'DANH MỤC'!$C:$H,5,0),"")</f>
        <v/>
      </c>
      <c r="K1362" s="53"/>
      <c r="L1362" s="58"/>
      <c r="M1362" s="55"/>
      <c r="N1362" s="55"/>
    </row>
    <row r="1363" ht="15.75" customHeight="1">
      <c r="A1363" s="53">
        <f t="shared" si="7"/>
        <v>1358</v>
      </c>
      <c r="B1363" s="55"/>
      <c r="C1363" s="41"/>
      <c r="D1363" s="42"/>
      <c r="E1363" s="42"/>
      <c r="F1363" s="42" t="str">
        <f>+IFERROR(VLOOKUP(E1363,'DANH MỤC'!$C:$H,2,0),"")</f>
        <v/>
      </c>
      <c r="G1363" s="42" t="str">
        <f>+IFERROR(VLOOKUP(E1363,'DANH MỤC'!$C:$H,6,0),"")</f>
        <v/>
      </c>
      <c r="H1363" s="42" t="str">
        <f>+IFERROR(VLOOKUP(E1363,'DANH MỤC'!$C:$H,3,0),"")</f>
        <v/>
      </c>
      <c r="I1363" s="42" t="str">
        <f>+IFERROR(VLOOKUP(E1363,'DANH MỤC'!$C:$H,4,0),"")</f>
        <v/>
      </c>
      <c r="J1363" s="42" t="str">
        <f>+IFERROR(VLOOKUP(E1363,'DANH MỤC'!$C:$H,5,0),"")</f>
        <v/>
      </c>
      <c r="K1363" s="53"/>
      <c r="L1363" s="58"/>
      <c r="M1363" s="55"/>
      <c r="N1363" s="55"/>
    </row>
    <row r="1364" ht="15.75" customHeight="1">
      <c r="A1364" s="53">
        <f t="shared" si="7"/>
        <v>1359</v>
      </c>
      <c r="B1364" s="55"/>
      <c r="C1364" s="41"/>
      <c r="D1364" s="42"/>
      <c r="E1364" s="42"/>
      <c r="F1364" s="42" t="str">
        <f>+IFERROR(VLOOKUP(E1364,'DANH MỤC'!$C:$H,2,0),"")</f>
        <v/>
      </c>
      <c r="G1364" s="42" t="str">
        <f>+IFERROR(VLOOKUP(E1364,'DANH MỤC'!$C:$H,6,0),"")</f>
        <v/>
      </c>
      <c r="H1364" s="42" t="str">
        <f>+IFERROR(VLOOKUP(E1364,'DANH MỤC'!$C:$H,3,0),"")</f>
        <v/>
      </c>
      <c r="I1364" s="42" t="str">
        <f>+IFERROR(VLOOKUP(E1364,'DANH MỤC'!$C:$H,4,0),"")</f>
        <v/>
      </c>
      <c r="J1364" s="42" t="str">
        <f>+IFERROR(VLOOKUP(E1364,'DANH MỤC'!$C:$H,5,0),"")</f>
        <v/>
      </c>
      <c r="K1364" s="53"/>
      <c r="L1364" s="58"/>
      <c r="M1364" s="55"/>
      <c r="N1364" s="55"/>
    </row>
    <row r="1365" ht="15.75" customHeight="1">
      <c r="A1365" s="53">
        <f t="shared" si="7"/>
        <v>1360</v>
      </c>
      <c r="B1365" s="55"/>
      <c r="C1365" s="41"/>
      <c r="D1365" s="42"/>
      <c r="E1365" s="42"/>
      <c r="F1365" s="42" t="str">
        <f>+IFERROR(VLOOKUP(E1365,'DANH MỤC'!$C:$H,2,0),"")</f>
        <v/>
      </c>
      <c r="G1365" s="42" t="str">
        <f>+IFERROR(VLOOKUP(E1365,'DANH MỤC'!$C:$H,6,0),"")</f>
        <v/>
      </c>
      <c r="H1365" s="42" t="str">
        <f>+IFERROR(VLOOKUP(E1365,'DANH MỤC'!$C:$H,3,0),"")</f>
        <v/>
      </c>
      <c r="I1365" s="42" t="str">
        <f>+IFERROR(VLOOKUP(E1365,'DANH MỤC'!$C:$H,4,0),"")</f>
        <v/>
      </c>
      <c r="J1365" s="42" t="str">
        <f>+IFERROR(VLOOKUP(E1365,'DANH MỤC'!$C:$H,5,0),"")</f>
        <v/>
      </c>
      <c r="K1365" s="53"/>
      <c r="L1365" s="58"/>
      <c r="M1365" s="55"/>
      <c r="N1365" s="55"/>
    </row>
    <row r="1366" ht="15.75" customHeight="1">
      <c r="A1366" s="53">
        <f t="shared" si="7"/>
        <v>1361</v>
      </c>
      <c r="B1366" s="55"/>
      <c r="C1366" s="41"/>
      <c r="D1366" s="42"/>
      <c r="E1366" s="42"/>
      <c r="F1366" s="42" t="str">
        <f>+IFERROR(VLOOKUP(E1366,'DANH MỤC'!$C:$H,2,0),"")</f>
        <v/>
      </c>
      <c r="G1366" s="42" t="str">
        <f>+IFERROR(VLOOKUP(E1366,'DANH MỤC'!$C:$H,6,0),"")</f>
        <v/>
      </c>
      <c r="H1366" s="42" t="str">
        <f>+IFERROR(VLOOKUP(E1366,'DANH MỤC'!$C:$H,3,0),"")</f>
        <v/>
      </c>
      <c r="I1366" s="42" t="str">
        <f>+IFERROR(VLOOKUP(E1366,'DANH MỤC'!$C:$H,4,0),"")</f>
        <v/>
      </c>
      <c r="J1366" s="42" t="str">
        <f>+IFERROR(VLOOKUP(E1366,'DANH MỤC'!$C:$H,5,0),"")</f>
        <v/>
      </c>
      <c r="K1366" s="53"/>
      <c r="L1366" s="58"/>
      <c r="M1366" s="55"/>
      <c r="N1366" s="55"/>
    </row>
    <row r="1367" ht="15.75" customHeight="1">
      <c r="A1367" s="53">
        <f t="shared" si="7"/>
        <v>1362</v>
      </c>
      <c r="B1367" s="55"/>
      <c r="C1367" s="41"/>
      <c r="D1367" s="42"/>
      <c r="E1367" s="42"/>
      <c r="F1367" s="42" t="str">
        <f>+IFERROR(VLOOKUP(E1367,'DANH MỤC'!$C:$H,2,0),"")</f>
        <v/>
      </c>
      <c r="G1367" s="42" t="str">
        <f>+IFERROR(VLOOKUP(E1367,'DANH MỤC'!$C:$H,6,0),"")</f>
        <v/>
      </c>
      <c r="H1367" s="42" t="str">
        <f>+IFERROR(VLOOKUP(E1367,'DANH MỤC'!$C:$H,3,0),"")</f>
        <v/>
      </c>
      <c r="I1367" s="42" t="str">
        <f>+IFERROR(VLOOKUP(E1367,'DANH MỤC'!$C:$H,4,0),"")</f>
        <v/>
      </c>
      <c r="J1367" s="42" t="str">
        <f>+IFERROR(VLOOKUP(E1367,'DANH MỤC'!$C:$H,5,0),"")</f>
        <v/>
      </c>
      <c r="K1367" s="53"/>
      <c r="L1367" s="58"/>
      <c r="M1367" s="55"/>
      <c r="N1367" s="55"/>
    </row>
    <row r="1368" ht="15.75" customHeight="1">
      <c r="A1368" s="53">
        <f t="shared" si="7"/>
        <v>1363</v>
      </c>
      <c r="B1368" s="55"/>
      <c r="C1368" s="41"/>
      <c r="D1368" s="42"/>
      <c r="E1368" s="42"/>
      <c r="F1368" s="42" t="str">
        <f>+IFERROR(VLOOKUP(E1368,'DANH MỤC'!$C:$H,2,0),"")</f>
        <v/>
      </c>
      <c r="G1368" s="42" t="str">
        <f>+IFERROR(VLOOKUP(E1368,'DANH MỤC'!$C:$H,6,0),"")</f>
        <v/>
      </c>
      <c r="H1368" s="42" t="str">
        <f>+IFERROR(VLOOKUP(E1368,'DANH MỤC'!$C:$H,3,0),"")</f>
        <v/>
      </c>
      <c r="I1368" s="42" t="str">
        <f>+IFERROR(VLOOKUP(E1368,'DANH MỤC'!$C:$H,4,0),"")</f>
        <v/>
      </c>
      <c r="J1368" s="42" t="str">
        <f>+IFERROR(VLOOKUP(E1368,'DANH MỤC'!$C:$H,5,0),"")</f>
        <v/>
      </c>
      <c r="K1368" s="53"/>
      <c r="L1368" s="58"/>
      <c r="M1368" s="55"/>
      <c r="N1368" s="55"/>
    </row>
    <row r="1369" ht="15.75" customHeight="1">
      <c r="A1369" s="53">
        <f t="shared" si="7"/>
        <v>1364</v>
      </c>
      <c r="B1369" s="55"/>
      <c r="C1369" s="41"/>
      <c r="D1369" s="42"/>
      <c r="E1369" s="42"/>
      <c r="F1369" s="42" t="str">
        <f>+IFERROR(VLOOKUP(E1369,'DANH MỤC'!$C:$H,2,0),"")</f>
        <v/>
      </c>
      <c r="G1369" s="42" t="str">
        <f>+IFERROR(VLOOKUP(E1369,'DANH MỤC'!$C:$H,6,0),"")</f>
        <v/>
      </c>
      <c r="H1369" s="42" t="str">
        <f>+IFERROR(VLOOKUP(E1369,'DANH MỤC'!$C:$H,3,0),"")</f>
        <v/>
      </c>
      <c r="I1369" s="42" t="str">
        <f>+IFERROR(VLOOKUP(E1369,'DANH MỤC'!$C:$H,4,0),"")</f>
        <v/>
      </c>
      <c r="J1369" s="42" t="str">
        <f>+IFERROR(VLOOKUP(E1369,'DANH MỤC'!$C:$H,5,0),"")</f>
        <v/>
      </c>
      <c r="K1369" s="53"/>
      <c r="L1369" s="58"/>
      <c r="M1369" s="55"/>
      <c r="N1369" s="55"/>
    </row>
    <row r="1370" ht="15.75" customHeight="1">
      <c r="A1370" s="53">
        <f t="shared" si="7"/>
        <v>1365</v>
      </c>
      <c r="B1370" s="55"/>
      <c r="C1370" s="41"/>
      <c r="D1370" s="42"/>
      <c r="E1370" s="42"/>
      <c r="F1370" s="42" t="str">
        <f>+IFERROR(VLOOKUP(E1370,'DANH MỤC'!$C:$H,2,0),"")</f>
        <v/>
      </c>
      <c r="G1370" s="42" t="str">
        <f>+IFERROR(VLOOKUP(E1370,'DANH MỤC'!$C:$H,6,0),"")</f>
        <v/>
      </c>
      <c r="H1370" s="42" t="str">
        <f>+IFERROR(VLOOKUP(E1370,'DANH MỤC'!$C:$H,3,0),"")</f>
        <v/>
      </c>
      <c r="I1370" s="42" t="str">
        <f>+IFERROR(VLOOKUP(E1370,'DANH MỤC'!$C:$H,4,0),"")</f>
        <v/>
      </c>
      <c r="J1370" s="42" t="str">
        <f>+IFERROR(VLOOKUP(E1370,'DANH MỤC'!$C:$H,5,0),"")</f>
        <v/>
      </c>
      <c r="K1370" s="53"/>
      <c r="L1370" s="58"/>
      <c r="M1370" s="55"/>
      <c r="N1370" s="55"/>
    </row>
    <row r="1371" ht="15.75" customHeight="1">
      <c r="A1371" s="53">
        <f t="shared" si="7"/>
        <v>1366</v>
      </c>
      <c r="B1371" s="55"/>
      <c r="C1371" s="41"/>
      <c r="D1371" s="42"/>
      <c r="E1371" s="42"/>
      <c r="F1371" s="42" t="str">
        <f>+IFERROR(VLOOKUP(E1371,'DANH MỤC'!$C:$H,2,0),"")</f>
        <v/>
      </c>
      <c r="G1371" s="42" t="str">
        <f>+IFERROR(VLOOKUP(E1371,'DANH MỤC'!$C:$H,6,0),"")</f>
        <v/>
      </c>
      <c r="H1371" s="42" t="str">
        <f>+IFERROR(VLOOKUP(E1371,'DANH MỤC'!$C:$H,3,0),"")</f>
        <v/>
      </c>
      <c r="I1371" s="42" t="str">
        <f>+IFERROR(VLOOKUP(E1371,'DANH MỤC'!$C:$H,4,0),"")</f>
        <v/>
      </c>
      <c r="J1371" s="42" t="str">
        <f>+IFERROR(VLOOKUP(E1371,'DANH MỤC'!$C:$H,5,0),"")</f>
        <v/>
      </c>
      <c r="K1371" s="53"/>
      <c r="L1371" s="58"/>
      <c r="M1371" s="55"/>
      <c r="N1371" s="55"/>
    </row>
    <row r="1372" ht="15.75" customHeight="1">
      <c r="A1372" s="53">
        <f t="shared" si="7"/>
        <v>1367</v>
      </c>
      <c r="B1372" s="55"/>
      <c r="C1372" s="41"/>
      <c r="D1372" s="42"/>
      <c r="E1372" s="42"/>
      <c r="F1372" s="42" t="str">
        <f>+IFERROR(VLOOKUP(E1372,'DANH MỤC'!$C:$H,2,0),"")</f>
        <v/>
      </c>
      <c r="G1372" s="42" t="str">
        <f>+IFERROR(VLOOKUP(E1372,'DANH MỤC'!$C:$H,6,0),"")</f>
        <v/>
      </c>
      <c r="H1372" s="42" t="str">
        <f>+IFERROR(VLOOKUP(E1372,'DANH MỤC'!$C:$H,3,0),"")</f>
        <v/>
      </c>
      <c r="I1372" s="42" t="str">
        <f>+IFERROR(VLOOKUP(E1372,'DANH MỤC'!$C:$H,4,0),"")</f>
        <v/>
      </c>
      <c r="J1372" s="42" t="str">
        <f>+IFERROR(VLOOKUP(E1372,'DANH MỤC'!$C:$H,5,0),"")</f>
        <v/>
      </c>
      <c r="K1372" s="53"/>
      <c r="L1372" s="58"/>
      <c r="M1372" s="55"/>
      <c r="N1372" s="55"/>
    </row>
    <row r="1373" ht="15.75" customHeight="1">
      <c r="A1373" s="53">
        <f t="shared" si="7"/>
        <v>1368</v>
      </c>
      <c r="B1373" s="55"/>
      <c r="C1373" s="41"/>
      <c r="D1373" s="42"/>
      <c r="E1373" s="42"/>
      <c r="F1373" s="42" t="str">
        <f>+IFERROR(VLOOKUP(E1373,'DANH MỤC'!$C:$H,2,0),"")</f>
        <v/>
      </c>
      <c r="G1373" s="42" t="str">
        <f>+IFERROR(VLOOKUP(E1373,'DANH MỤC'!$C:$H,6,0),"")</f>
        <v/>
      </c>
      <c r="H1373" s="42" t="str">
        <f>+IFERROR(VLOOKUP(E1373,'DANH MỤC'!$C:$H,3,0),"")</f>
        <v/>
      </c>
      <c r="I1373" s="42" t="str">
        <f>+IFERROR(VLOOKUP(E1373,'DANH MỤC'!$C:$H,4,0),"")</f>
        <v/>
      </c>
      <c r="J1373" s="42" t="str">
        <f>+IFERROR(VLOOKUP(E1373,'DANH MỤC'!$C:$H,5,0),"")</f>
        <v/>
      </c>
      <c r="K1373" s="53"/>
      <c r="L1373" s="58"/>
      <c r="M1373" s="55"/>
      <c r="N1373" s="55"/>
    </row>
    <row r="1374" ht="15.75" customHeight="1">
      <c r="A1374" s="53">
        <f t="shared" si="7"/>
        <v>1369</v>
      </c>
      <c r="B1374" s="55"/>
      <c r="C1374" s="41"/>
      <c r="D1374" s="42"/>
      <c r="E1374" s="42"/>
      <c r="F1374" s="42" t="str">
        <f>+IFERROR(VLOOKUP(E1374,'DANH MỤC'!$C:$H,2,0),"")</f>
        <v/>
      </c>
      <c r="G1374" s="42" t="str">
        <f>+IFERROR(VLOOKUP(E1374,'DANH MỤC'!$C:$H,6,0),"")</f>
        <v/>
      </c>
      <c r="H1374" s="42" t="str">
        <f>+IFERROR(VLOOKUP(E1374,'DANH MỤC'!$C:$H,3,0),"")</f>
        <v/>
      </c>
      <c r="I1374" s="42" t="str">
        <f>+IFERROR(VLOOKUP(E1374,'DANH MỤC'!$C:$H,4,0),"")</f>
        <v/>
      </c>
      <c r="J1374" s="42" t="str">
        <f>+IFERROR(VLOOKUP(E1374,'DANH MỤC'!$C:$H,5,0),"")</f>
        <v/>
      </c>
      <c r="K1374" s="53"/>
      <c r="L1374" s="58"/>
      <c r="M1374" s="55"/>
      <c r="N1374" s="55"/>
    </row>
    <row r="1375" ht="15.75" customHeight="1">
      <c r="A1375" s="53">
        <f t="shared" si="7"/>
        <v>1370</v>
      </c>
      <c r="B1375" s="55"/>
      <c r="C1375" s="41"/>
      <c r="D1375" s="42"/>
      <c r="E1375" s="42"/>
      <c r="F1375" s="42" t="str">
        <f>+IFERROR(VLOOKUP(E1375,'DANH MỤC'!$C:$H,2,0),"")</f>
        <v/>
      </c>
      <c r="G1375" s="42" t="str">
        <f>+IFERROR(VLOOKUP(E1375,'DANH MỤC'!$C:$H,6,0),"")</f>
        <v/>
      </c>
      <c r="H1375" s="42" t="str">
        <f>+IFERROR(VLOOKUP(E1375,'DANH MỤC'!$C:$H,3,0),"")</f>
        <v/>
      </c>
      <c r="I1375" s="42" t="str">
        <f>+IFERROR(VLOOKUP(E1375,'DANH MỤC'!$C:$H,4,0),"")</f>
        <v/>
      </c>
      <c r="J1375" s="42" t="str">
        <f>+IFERROR(VLOOKUP(E1375,'DANH MỤC'!$C:$H,5,0),"")</f>
        <v/>
      </c>
      <c r="K1375" s="53"/>
      <c r="L1375" s="58"/>
      <c r="M1375" s="55"/>
      <c r="N1375" s="55"/>
    </row>
    <row r="1376" ht="15.75" customHeight="1">
      <c r="A1376" s="53">
        <f t="shared" si="7"/>
        <v>1371</v>
      </c>
      <c r="B1376" s="55"/>
      <c r="C1376" s="41"/>
      <c r="D1376" s="42"/>
      <c r="E1376" s="42"/>
      <c r="F1376" s="42" t="str">
        <f>+IFERROR(VLOOKUP(E1376,'DANH MỤC'!$C:$H,2,0),"")</f>
        <v/>
      </c>
      <c r="G1376" s="42" t="str">
        <f>+IFERROR(VLOOKUP(E1376,'DANH MỤC'!$C:$H,6,0),"")</f>
        <v/>
      </c>
      <c r="H1376" s="42" t="str">
        <f>+IFERROR(VLOOKUP(E1376,'DANH MỤC'!$C:$H,3,0),"")</f>
        <v/>
      </c>
      <c r="I1376" s="42" t="str">
        <f>+IFERROR(VLOOKUP(E1376,'DANH MỤC'!$C:$H,4,0),"")</f>
        <v/>
      </c>
      <c r="J1376" s="42" t="str">
        <f>+IFERROR(VLOOKUP(E1376,'DANH MỤC'!$C:$H,5,0),"")</f>
        <v/>
      </c>
      <c r="K1376" s="53"/>
      <c r="L1376" s="58"/>
      <c r="M1376" s="55"/>
      <c r="N1376" s="55"/>
    </row>
    <row r="1377" ht="15.75" customHeight="1">
      <c r="A1377" s="53">
        <f t="shared" si="7"/>
        <v>1372</v>
      </c>
      <c r="B1377" s="55"/>
      <c r="C1377" s="41"/>
      <c r="D1377" s="42"/>
      <c r="E1377" s="42"/>
      <c r="F1377" s="42" t="str">
        <f>+IFERROR(VLOOKUP(E1377,'DANH MỤC'!$C:$H,2,0),"")</f>
        <v/>
      </c>
      <c r="G1377" s="42" t="str">
        <f>+IFERROR(VLOOKUP(E1377,'DANH MỤC'!$C:$H,6,0),"")</f>
        <v/>
      </c>
      <c r="H1377" s="42" t="str">
        <f>+IFERROR(VLOOKUP(E1377,'DANH MỤC'!$C:$H,3,0),"")</f>
        <v/>
      </c>
      <c r="I1377" s="42" t="str">
        <f>+IFERROR(VLOOKUP(E1377,'DANH MỤC'!$C:$H,4,0),"")</f>
        <v/>
      </c>
      <c r="J1377" s="42" t="str">
        <f>+IFERROR(VLOOKUP(E1377,'DANH MỤC'!$C:$H,5,0),"")</f>
        <v/>
      </c>
      <c r="K1377" s="53"/>
      <c r="L1377" s="58"/>
      <c r="M1377" s="55"/>
      <c r="N1377" s="55"/>
    </row>
    <row r="1378" ht="15.75" customHeight="1">
      <c r="A1378" s="53">
        <f t="shared" si="7"/>
        <v>1373</v>
      </c>
      <c r="B1378" s="55"/>
      <c r="C1378" s="41"/>
      <c r="D1378" s="42"/>
      <c r="E1378" s="42"/>
      <c r="F1378" s="42" t="str">
        <f>+IFERROR(VLOOKUP(E1378,'DANH MỤC'!$C:$H,2,0),"")</f>
        <v/>
      </c>
      <c r="G1378" s="42" t="str">
        <f>+IFERROR(VLOOKUP(E1378,'DANH MỤC'!$C:$H,6,0),"")</f>
        <v/>
      </c>
      <c r="H1378" s="42" t="str">
        <f>+IFERROR(VLOOKUP(E1378,'DANH MỤC'!$C:$H,3,0),"")</f>
        <v/>
      </c>
      <c r="I1378" s="42" t="str">
        <f>+IFERROR(VLOOKUP(E1378,'DANH MỤC'!$C:$H,4,0),"")</f>
        <v/>
      </c>
      <c r="J1378" s="42" t="str">
        <f>+IFERROR(VLOOKUP(E1378,'DANH MỤC'!$C:$H,5,0),"")</f>
        <v/>
      </c>
      <c r="K1378" s="53"/>
      <c r="L1378" s="58"/>
      <c r="M1378" s="55"/>
      <c r="N1378" s="55"/>
    </row>
    <row r="1379" ht="15.75" customHeight="1">
      <c r="A1379" s="53">
        <f t="shared" si="7"/>
        <v>1374</v>
      </c>
      <c r="B1379" s="55"/>
      <c r="C1379" s="41"/>
      <c r="D1379" s="42"/>
      <c r="E1379" s="42"/>
      <c r="F1379" s="42" t="str">
        <f>+IFERROR(VLOOKUP(E1379,'DANH MỤC'!$C:$H,2,0),"")</f>
        <v/>
      </c>
      <c r="G1379" s="42" t="str">
        <f>+IFERROR(VLOOKUP(E1379,'DANH MỤC'!$C:$H,6,0),"")</f>
        <v/>
      </c>
      <c r="H1379" s="42" t="str">
        <f>+IFERROR(VLOOKUP(E1379,'DANH MỤC'!$C:$H,3,0),"")</f>
        <v/>
      </c>
      <c r="I1379" s="42" t="str">
        <f>+IFERROR(VLOOKUP(E1379,'DANH MỤC'!$C:$H,4,0),"")</f>
        <v/>
      </c>
      <c r="J1379" s="42" t="str">
        <f>+IFERROR(VLOOKUP(E1379,'DANH MỤC'!$C:$H,5,0),"")</f>
        <v/>
      </c>
      <c r="K1379" s="53"/>
      <c r="L1379" s="58"/>
      <c r="M1379" s="55"/>
      <c r="N1379" s="55"/>
    </row>
    <row r="1380" ht="15.75" customHeight="1">
      <c r="A1380" s="53">
        <f t="shared" si="7"/>
        <v>1375</v>
      </c>
      <c r="B1380" s="55"/>
      <c r="C1380" s="41"/>
      <c r="D1380" s="42"/>
      <c r="E1380" s="42"/>
      <c r="F1380" s="42" t="str">
        <f>+IFERROR(VLOOKUP(E1380,'DANH MỤC'!$C:$H,2,0),"")</f>
        <v/>
      </c>
      <c r="G1380" s="42" t="str">
        <f>+IFERROR(VLOOKUP(E1380,'DANH MỤC'!$C:$H,6,0),"")</f>
        <v/>
      </c>
      <c r="H1380" s="42" t="str">
        <f>+IFERROR(VLOOKUP(E1380,'DANH MỤC'!$C:$H,3,0),"")</f>
        <v/>
      </c>
      <c r="I1380" s="42" t="str">
        <f>+IFERROR(VLOOKUP(E1380,'DANH MỤC'!$C:$H,4,0),"")</f>
        <v/>
      </c>
      <c r="J1380" s="42" t="str">
        <f>+IFERROR(VLOOKUP(E1380,'DANH MỤC'!$C:$H,5,0),"")</f>
        <v/>
      </c>
      <c r="K1380" s="53"/>
      <c r="L1380" s="58"/>
      <c r="M1380" s="55"/>
      <c r="N1380" s="55"/>
    </row>
    <row r="1381" ht="15.75" customHeight="1">
      <c r="A1381" s="53">
        <f t="shared" si="7"/>
        <v>1376</v>
      </c>
      <c r="B1381" s="55"/>
      <c r="C1381" s="41"/>
      <c r="D1381" s="42"/>
      <c r="E1381" s="42"/>
      <c r="F1381" s="42" t="str">
        <f>+IFERROR(VLOOKUP(E1381,'DANH MỤC'!$C:$H,2,0),"")</f>
        <v/>
      </c>
      <c r="G1381" s="42" t="str">
        <f>+IFERROR(VLOOKUP(E1381,'DANH MỤC'!$C:$H,6,0),"")</f>
        <v/>
      </c>
      <c r="H1381" s="42" t="str">
        <f>+IFERROR(VLOOKUP(E1381,'DANH MỤC'!$C:$H,3,0),"")</f>
        <v/>
      </c>
      <c r="I1381" s="42" t="str">
        <f>+IFERROR(VLOOKUP(E1381,'DANH MỤC'!$C:$H,4,0),"")</f>
        <v/>
      </c>
      <c r="J1381" s="42" t="str">
        <f>+IFERROR(VLOOKUP(E1381,'DANH MỤC'!$C:$H,5,0),"")</f>
        <v/>
      </c>
      <c r="K1381" s="53"/>
      <c r="L1381" s="58"/>
      <c r="M1381" s="55"/>
      <c r="N1381" s="55"/>
    </row>
    <row r="1382" ht="15.75" customHeight="1">
      <c r="A1382" s="53">
        <f t="shared" si="7"/>
        <v>1377</v>
      </c>
      <c r="B1382" s="55"/>
      <c r="C1382" s="41"/>
      <c r="D1382" s="42"/>
      <c r="E1382" s="42"/>
      <c r="F1382" s="42" t="str">
        <f>+IFERROR(VLOOKUP(E1382,'DANH MỤC'!$C:$H,2,0),"")</f>
        <v/>
      </c>
      <c r="G1382" s="42" t="str">
        <f>+IFERROR(VLOOKUP(E1382,'DANH MỤC'!$C:$H,6,0),"")</f>
        <v/>
      </c>
      <c r="H1382" s="42" t="str">
        <f>+IFERROR(VLOOKUP(E1382,'DANH MỤC'!$C:$H,3,0),"")</f>
        <v/>
      </c>
      <c r="I1382" s="42" t="str">
        <f>+IFERROR(VLOOKUP(E1382,'DANH MỤC'!$C:$H,4,0),"")</f>
        <v/>
      </c>
      <c r="J1382" s="42" t="str">
        <f>+IFERROR(VLOOKUP(E1382,'DANH MỤC'!$C:$H,5,0),"")</f>
        <v/>
      </c>
      <c r="K1382" s="53"/>
      <c r="L1382" s="58"/>
      <c r="M1382" s="55"/>
      <c r="N1382" s="55"/>
    </row>
    <row r="1383" ht="15.75" customHeight="1">
      <c r="A1383" s="53">
        <f t="shared" si="7"/>
        <v>1378</v>
      </c>
      <c r="B1383" s="55"/>
      <c r="C1383" s="41"/>
      <c r="D1383" s="42"/>
      <c r="E1383" s="42"/>
      <c r="F1383" s="42" t="str">
        <f>+IFERROR(VLOOKUP(E1383,'DANH MỤC'!$C:$H,2,0),"")</f>
        <v/>
      </c>
      <c r="G1383" s="42" t="str">
        <f>+IFERROR(VLOOKUP(E1383,'DANH MỤC'!$C:$H,6,0),"")</f>
        <v/>
      </c>
      <c r="H1383" s="42" t="str">
        <f>+IFERROR(VLOOKUP(E1383,'DANH MỤC'!$C:$H,3,0),"")</f>
        <v/>
      </c>
      <c r="I1383" s="42" t="str">
        <f>+IFERROR(VLOOKUP(E1383,'DANH MỤC'!$C:$H,4,0),"")</f>
        <v/>
      </c>
      <c r="J1383" s="42" t="str">
        <f>+IFERROR(VLOOKUP(E1383,'DANH MỤC'!$C:$H,5,0),"")</f>
        <v/>
      </c>
      <c r="K1383" s="53"/>
      <c r="L1383" s="58"/>
      <c r="M1383" s="55"/>
      <c r="N1383" s="55"/>
    </row>
    <row r="1384" ht="15.75" customHeight="1">
      <c r="A1384" s="53">
        <f t="shared" si="7"/>
        <v>1379</v>
      </c>
      <c r="B1384" s="55"/>
      <c r="C1384" s="41"/>
      <c r="D1384" s="42"/>
      <c r="E1384" s="42"/>
      <c r="F1384" s="42" t="str">
        <f>+IFERROR(VLOOKUP(E1384,'DANH MỤC'!$C:$H,2,0),"")</f>
        <v/>
      </c>
      <c r="G1384" s="42" t="str">
        <f>+IFERROR(VLOOKUP(E1384,'DANH MỤC'!$C:$H,6,0),"")</f>
        <v/>
      </c>
      <c r="H1384" s="42" t="str">
        <f>+IFERROR(VLOOKUP(E1384,'DANH MỤC'!$C:$H,3,0),"")</f>
        <v/>
      </c>
      <c r="I1384" s="42" t="str">
        <f>+IFERROR(VLOOKUP(E1384,'DANH MỤC'!$C:$H,4,0),"")</f>
        <v/>
      </c>
      <c r="J1384" s="42" t="str">
        <f>+IFERROR(VLOOKUP(E1384,'DANH MỤC'!$C:$H,5,0),"")</f>
        <v/>
      </c>
      <c r="K1384" s="53"/>
      <c r="L1384" s="58"/>
      <c r="M1384" s="55"/>
      <c r="N1384" s="55"/>
    </row>
    <row r="1385" ht="15.75" customHeight="1">
      <c r="A1385" s="53">
        <f t="shared" si="7"/>
        <v>1380</v>
      </c>
      <c r="B1385" s="55"/>
      <c r="C1385" s="41"/>
      <c r="D1385" s="42"/>
      <c r="E1385" s="42"/>
      <c r="F1385" s="42" t="str">
        <f>+IFERROR(VLOOKUP(E1385,'DANH MỤC'!$C:$H,2,0),"")</f>
        <v/>
      </c>
      <c r="G1385" s="42" t="str">
        <f>+IFERROR(VLOOKUP(E1385,'DANH MỤC'!$C:$H,6,0),"")</f>
        <v/>
      </c>
      <c r="H1385" s="42" t="str">
        <f>+IFERROR(VLOOKUP(E1385,'DANH MỤC'!$C:$H,3,0),"")</f>
        <v/>
      </c>
      <c r="I1385" s="42" t="str">
        <f>+IFERROR(VLOOKUP(E1385,'DANH MỤC'!$C:$H,4,0),"")</f>
        <v/>
      </c>
      <c r="J1385" s="42" t="str">
        <f>+IFERROR(VLOOKUP(E1385,'DANH MỤC'!$C:$H,5,0),"")</f>
        <v/>
      </c>
      <c r="K1385" s="53"/>
      <c r="L1385" s="58"/>
      <c r="M1385" s="55"/>
      <c r="N1385" s="55"/>
    </row>
    <row r="1386" ht="15.75" customHeight="1">
      <c r="A1386" s="53">
        <f t="shared" si="7"/>
        <v>1381</v>
      </c>
      <c r="B1386" s="55"/>
      <c r="C1386" s="41"/>
      <c r="D1386" s="42"/>
      <c r="E1386" s="42"/>
      <c r="F1386" s="42" t="str">
        <f>+IFERROR(VLOOKUP(E1386,'DANH MỤC'!$C:$H,2,0),"")</f>
        <v/>
      </c>
      <c r="G1386" s="42" t="str">
        <f>+IFERROR(VLOOKUP(E1386,'DANH MỤC'!$C:$H,6,0),"")</f>
        <v/>
      </c>
      <c r="H1386" s="42" t="str">
        <f>+IFERROR(VLOOKUP(E1386,'DANH MỤC'!$C:$H,3,0),"")</f>
        <v/>
      </c>
      <c r="I1386" s="42" t="str">
        <f>+IFERROR(VLOOKUP(E1386,'DANH MỤC'!$C:$H,4,0),"")</f>
        <v/>
      </c>
      <c r="J1386" s="42" t="str">
        <f>+IFERROR(VLOOKUP(E1386,'DANH MỤC'!$C:$H,5,0),"")</f>
        <v/>
      </c>
      <c r="K1386" s="53"/>
      <c r="L1386" s="58"/>
      <c r="M1386" s="55"/>
      <c r="N1386" s="55"/>
    </row>
    <row r="1387" ht="15.75" customHeight="1">
      <c r="A1387" s="53">
        <f t="shared" si="7"/>
        <v>1382</v>
      </c>
      <c r="B1387" s="55"/>
      <c r="C1387" s="41"/>
      <c r="D1387" s="42"/>
      <c r="E1387" s="42"/>
      <c r="F1387" s="42" t="str">
        <f>+IFERROR(VLOOKUP(E1387,'DANH MỤC'!$C:$H,2,0),"")</f>
        <v/>
      </c>
      <c r="G1387" s="42" t="str">
        <f>+IFERROR(VLOOKUP(E1387,'DANH MỤC'!$C:$H,6,0),"")</f>
        <v/>
      </c>
      <c r="H1387" s="42" t="str">
        <f>+IFERROR(VLOOKUP(E1387,'DANH MỤC'!$C:$H,3,0),"")</f>
        <v/>
      </c>
      <c r="I1387" s="42" t="str">
        <f>+IFERROR(VLOOKUP(E1387,'DANH MỤC'!$C:$H,4,0),"")</f>
        <v/>
      </c>
      <c r="J1387" s="42" t="str">
        <f>+IFERROR(VLOOKUP(E1387,'DANH MỤC'!$C:$H,5,0),"")</f>
        <v/>
      </c>
      <c r="K1387" s="53"/>
      <c r="L1387" s="58"/>
      <c r="M1387" s="55"/>
      <c r="N1387" s="55"/>
    </row>
    <row r="1388" ht="15.75" customHeight="1">
      <c r="A1388" s="53">
        <f t="shared" si="7"/>
        <v>1383</v>
      </c>
      <c r="B1388" s="55"/>
      <c r="C1388" s="41"/>
      <c r="D1388" s="42"/>
      <c r="E1388" s="42"/>
      <c r="F1388" s="42" t="str">
        <f>+IFERROR(VLOOKUP(E1388,'DANH MỤC'!$C:$H,2,0),"")</f>
        <v/>
      </c>
      <c r="G1388" s="42" t="str">
        <f>+IFERROR(VLOOKUP(E1388,'DANH MỤC'!$C:$H,6,0),"")</f>
        <v/>
      </c>
      <c r="H1388" s="42" t="str">
        <f>+IFERROR(VLOOKUP(E1388,'DANH MỤC'!$C:$H,3,0),"")</f>
        <v/>
      </c>
      <c r="I1388" s="42" t="str">
        <f>+IFERROR(VLOOKUP(E1388,'DANH MỤC'!$C:$H,4,0),"")</f>
        <v/>
      </c>
      <c r="J1388" s="42" t="str">
        <f>+IFERROR(VLOOKUP(E1388,'DANH MỤC'!$C:$H,5,0),"")</f>
        <v/>
      </c>
      <c r="K1388" s="53"/>
      <c r="L1388" s="58"/>
      <c r="M1388" s="55"/>
      <c r="N1388" s="55"/>
    </row>
    <row r="1389" ht="15.75" customHeight="1">
      <c r="A1389" s="53">
        <f t="shared" si="7"/>
        <v>1384</v>
      </c>
      <c r="B1389" s="55"/>
      <c r="C1389" s="41"/>
      <c r="D1389" s="42"/>
      <c r="E1389" s="42"/>
      <c r="F1389" s="42" t="str">
        <f>+IFERROR(VLOOKUP(E1389,'DANH MỤC'!$C:$H,2,0),"")</f>
        <v/>
      </c>
      <c r="G1389" s="42" t="str">
        <f>+IFERROR(VLOOKUP(E1389,'DANH MỤC'!$C:$H,6,0),"")</f>
        <v/>
      </c>
      <c r="H1389" s="42" t="str">
        <f>+IFERROR(VLOOKUP(E1389,'DANH MỤC'!$C:$H,3,0),"")</f>
        <v/>
      </c>
      <c r="I1389" s="42" t="str">
        <f>+IFERROR(VLOOKUP(E1389,'DANH MỤC'!$C:$H,4,0),"")</f>
        <v/>
      </c>
      <c r="J1389" s="42" t="str">
        <f>+IFERROR(VLOOKUP(E1389,'DANH MỤC'!$C:$H,5,0),"")</f>
        <v/>
      </c>
      <c r="K1389" s="53"/>
      <c r="L1389" s="58"/>
      <c r="M1389" s="55"/>
      <c r="N1389" s="55"/>
    </row>
    <row r="1390" ht="15.75" customHeight="1">
      <c r="A1390" s="53">
        <f t="shared" si="7"/>
        <v>1385</v>
      </c>
      <c r="B1390" s="55"/>
      <c r="C1390" s="41"/>
      <c r="D1390" s="42"/>
      <c r="E1390" s="42"/>
      <c r="F1390" s="42" t="str">
        <f>+IFERROR(VLOOKUP(E1390,'DANH MỤC'!$C:$H,2,0),"")</f>
        <v/>
      </c>
      <c r="G1390" s="42" t="str">
        <f>+IFERROR(VLOOKUP(E1390,'DANH MỤC'!$C:$H,6,0),"")</f>
        <v/>
      </c>
      <c r="H1390" s="42" t="str">
        <f>+IFERROR(VLOOKUP(E1390,'DANH MỤC'!$C:$H,3,0),"")</f>
        <v/>
      </c>
      <c r="I1390" s="42" t="str">
        <f>+IFERROR(VLOOKUP(E1390,'DANH MỤC'!$C:$H,4,0),"")</f>
        <v/>
      </c>
      <c r="J1390" s="42" t="str">
        <f>+IFERROR(VLOOKUP(E1390,'DANH MỤC'!$C:$H,5,0),"")</f>
        <v/>
      </c>
      <c r="K1390" s="53"/>
      <c r="L1390" s="58"/>
      <c r="M1390" s="55"/>
      <c r="N1390" s="55"/>
    </row>
    <row r="1391" ht="15.75" customHeight="1">
      <c r="A1391" s="53">
        <f t="shared" si="7"/>
        <v>1386</v>
      </c>
      <c r="B1391" s="55"/>
      <c r="C1391" s="41"/>
      <c r="D1391" s="42"/>
      <c r="E1391" s="42"/>
      <c r="F1391" s="42" t="str">
        <f>+IFERROR(VLOOKUP(E1391,'DANH MỤC'!$C:$H,2,0),"")</f>
        <v/>
      </c>
      <c r="G1391" s="42" t="str">
        <f>+IFERROR(VLOOKUP(E1391,'DANH MỤC'!$C:$H,6,0),"")</f>
        <v/>
      </c>
      <c r="H1391" s="42" t="str">
        <f>+IFERROR(VLOOKUP(E1391,'DANH MỤC'!$C:$H,3,0),"")</f>
        <v/>
      </c>
      <c r="I1391" s="42" t="str">
        <f>+IFERROR(VLOOKUP(E1391,'DANH MỤC'!$C:$H,4,0),"")</f>
        <v/>
      </c>
      <c r="J1391" s="42" t="str">
        <f>+IFERROR(VLOOKUP(E1391,'DANH MỤC'!$C:$H,5,0),"")</f>
        <v/>
      </c>
      <c r="K1391" s="53"/>
      <c r="L1391" s="58"/>
      <c r="M1391" s="55"/>
      <c r="N1391" s="55"/>
    </row>
    <row r="1392" ht="15.75" customHeight="1">
      <c r="A1392" s="53">
        <f t="shared" si="7"/>
        <v>1387</v>
      </c>
      <c r="B1392" s="55"/>
      <c r="C1392" s="41"/>
      <c r="D1392" s="42"/>
      <c r="E1392" s="42"/>
      <c r="F1392" s="42" t="str">
        <f>+IFERROR(VLOOKUP(E1392,'DANH MỤC'!$C:$H,2,0),"")</f>
        <v/>
      </c>
      <c r="G1392" s="42" t="str">
        <f>+IFERROR(VLOOKUP(E1392,'DANH MỤC'!$C:$H,6,0),"")</f>
        <v/>
      </c>
      <c r="H1392" s="42" t="str">
        <f>+IFERROR(VLOOKUP(E1392,'DANH MỤC'!$C:$H,3,0),"")</f>
        <v/>
      </c>
      <c r="I1392" s="42" t="str">
        <f>+IFERROR(VLOOKUP(E1392,'DANH MỤC'!$C:$H,4,0),"")</f>
        <v/>
      </c>
      <c r="J1392" s="42" t="str">
        <f>+IFERROR(VLOOKUP(E1392,'DANH MỤC'!$C:$H,5,0),"")</f>
        <v/>
      </c>
      <c r="K1392" s="53"/>
      <c r="L1392" s="58"/>
      <c r="M1392" s="55"/>
      <c r="N1392" s="55"/>
    </row>
    <row r="1393" ht="15.75" customHeight="1">
      <c r="A1393" s="53">
        <f t="shared" si="7"/>
        <v>1388</v>
      </c>
      <c r="B1393" s="55"/>
      <c r="C1393" s="41"/>
      <c r="D1393" s="42"/>
      <c r="E1393" s="42"/>
      <c r="F1393" s="42" t="str">
        <f>+IFERROR(VLOOKUP(E1393,'DANH MỤC'!$C:$H,2,0),"")</f>
        <v/>
      </c>
      <c r="G1393" s="42" t="str">
        <f>+IFERROR(VLOOKUP(E1393,'DANH MỤC'!$C:$H,6,0),"")</f>
        <v/>
      </c>
      <c r="H1393" s="42" t="str">
        <f>+IFERROR(VLOOKUP(E1393,'DANH MỤC'!$C:$H,3,0),"")</f>
        <v/>
      </c>
      <c r="I1393" s="42" t="str">
        <f>+IFERROR(VLOOKUP(E1393,'DANH MỤC'!$C:$H,4,0),"")</f>
        <v/>
      </c>
      <c r="J1393" s="42" t="str">
        <f>+IFERROR(VLOOKUP(E1393,'DANH MỤC'!$C:$H,5,0),"")</f>
        <v/>
      </c>
      <c r="K1393" s="53"/>
      <c r="L1393" s="58"/>
      <c r="M1393" s="55"/>
      <c r="N1393" s="55"/>
    </row>
    <row r="1394" ht="15.75" customHeight="1">
      <c r="A1394" s="53">
        <f t="shared" si="7"/>
        <v>1389</v>
      </c>
      <c r="B1394" s="55"/>
      <c r="C1394" s="41"/>
      <c r="D1394" s="42"/>
      <c r="E1394" s="42"/>
      <c r="F1394" s="42" t="str">
        <f>+IFERROR(VLOOKUP(E1394,'DANH MỤC'!$C:$H,2,0),"")</f>
        <v/>
      </c>
      <c r="G1394" s="42" t="str">
        <f>+IFERROR(VLOOKUP(E1394,'DANH MỤC'!$C:$H,6,0),"")</f>
        <v/>
      </c>
      <c r="H1394" s="42" t="str">
        <f>+IFERROR(VLOOKUP(E1394,'DANH MỤC'!$C:$H,3,0),"")</f>
        <v/>
      </c>
      <c r="I1394" s="42" t="str">
        <f>+IFERROR(VLOOKUP(E1394,'DANH MỤC'!$C:$H,4,0),"")</f>
        <v/>
      </c>
      <c r="J1394" s="42" t="str">
        <f>+IFERROR(VLOOKUP(E1394,'DANH MỤC'!$C:$H,5,0),"")</f>
        <v/>
      </c>
      <c r="K1394" s="53"/>
      <c r="L1394" s="58"/>
      <c r="M1394" s="55"/>
      <c r="N1394" s="55"/>
    </row>
    <row r="1395" ht="15.75" customHeight="1">
      <c r="A1395" s="53">
        <f t="shared" si="7"/>
        <v>1390</v>
      </c>
      <c r="B1395" s="55"/>
      <c r="C1395" s="41"/>
      <c r="D1395" s="42"/>
      <c r="E1395" s="42"/>
      <c r="F1395" s="42" t="str">
        <f>+IFERROR(VLOOKUP(E1395,'DANH MỤC'!$C:$H,2,0),"")</f>
        <v/>
      </c>
      <c r="G1395" s="42" t="str">
        <f>+IFERROR(VLOOKUP(E1395,'DANH MỤC'!$C:$H,6,0),"")</f>
        <v/>
      </c>
      <c r="H1395" s="42" t="str">
        <f>+IFERROR(VLOOKUP(E1395,'DANH MỤC'!$C:$H,3,0),"")</f>
        <v/>
      </c>
      <c r="I1395" s="42" t="str">
        <f>+IFERROR(VLOOKUP(E1395,'DANH MỤC'!$C:$H,4,0),"")</f>
        <v/>
      </c>
      <c r="J1395" s="42" t="str">
        <f>+IFERROR(VLOOKUP(E1395,'DANH MỤC'!$C:$H,5,0),"")</f>
        <v/>
      </c>
      <c r="K1395" s="53"/>
      <c r="L1395" s="58"/>
      <c r="M1395" s="55"/>
      <c r="N1395" s="55"/>
    </row>
    <row r="1396" ht="15.75" customHeight="1">
      <c r="A1396" s="53">
        <f t="shared" si="7"/>
        <v>1391</v>
      </c>
      <c r="B1396" s="55"/>
      <c r="C1396" s="41"/>
      <c r="D1396" s="42"/>
      <c r="E1396" s="42"/>
      <c r="F1396" s="42" t="str">
        <f>+IFERROR(VLOOKUP(E1396,'DANH MỤC'!$C:$H,2,0),"")</f>
        <v/>
      </c>
      <c r="G1396" s="42" t="str">
        <f>+IFERROR(VLOOKUP(E1396,'DANH MỤC'!$C:$H,6,0),"")</f>
        <v/>
      </c>
      <c r="H1396" s="42" t="str">
        <f>+IFERROR(VLOOKUP(E1396,'DANH MỤC'!$C:$H,3,0),"")</f>
        <v/>
      </c>
      <c r="I1396" s="42" t="str">
        <f>+IFERROR(VLOOKUP(E1396,'DANH MỤC'!$C:$H,4,0),"")</f>
        <v/>
      </c>
      <c r="J1396" s="42" t="str">
        <f>+IFERROR(VLOOKUP(E1396,'DANH MỤC'!$C:$H,5,0),"")</f>
        <v/>
      </c>
      <c r="K1396" s="53"/>
      <c r="L1396" s="58"/>
      <c r="M1396" s="55"/>
      <c r="N1396" s="55"/>
    </row>
    <row r="1397" ht="15.75" customHeight="1">
      <c r="A1397" s="53">
        <f t="shared" si="7"/>
        <v>1392</v>
      </c>
      <c r="B1397" s="55"/>
      <c r="C1397" s="41"/>
      <c r="D1397" s="42"/>
      <c r="E1397" s="42"/>
      <c r="F1397" s="42" t="str">
        <f>+IFERROR(VLOOKUP(E1397,'DANH MỤC'!$C:$H,2,0),"")</f>
        <v/>
      </c>
      <c r="G1397" s="42" t="str">
        <f>+IFERROR(VLOOKUP(E1397,'DANH MỤC'!$C:$H,6,0),"")</f>
        <v/>
      </c>
      <c r="H1397" s="42" t="str">
        <f>+IFERROR(VLOOKUP(E1397,'DANH MỤC'!$C:$H,3,0),"")</f>
        <v/>
      </c>
      <c r="I1397" s="42" t="str">
        <f>+IFERROR(VLOOKUP(E1397,'DANH MỤC'!$C:$H,4,0),"")</f>
        <v/>
      </c>
      <c r="J1397" s="42" t="str">
        <f>+IFERROR(VLOOKUP(E1397,'DANH MỤC'!$C:$H,5,0),"")</f>
        <v/>
      </c>
      <c r="K1397" s="53"/>
      <c r="L1397" s="58"/>
      <c r="M1397" s="55"/>
      <c r="N1397" s="55"/>
    </row>
    <row r="1398" ht="15.75" customHeight="1">
      <c r="A1398" s="53">
        <f t="shared" si="7"/>
        <v>1393</v>
      </c>
      <c r="B1398" s="55"/>
      <c r="C1398" s="41"/>
      <c r="D1398" s="42"/>
      <c r="E1398" s="42"/>
      <c r="F1398" s="42" t="str">
        <f>+IFERROR(VLOOKUP(E1398,'DANH MỤC'!$C:$H,2,0),"")</f>
        <v/>
      </c>
      <c r="G1398" s="42" t="str">
        <f>+IFERROR(VLOOKUP(E1398,'DANH MỤC'!$C:$H,6,0),"")</f>
        <v/>
      </c>
      <c r="H1398" s="42" t="str">
        <f>+IFERROR(VLOOKUP(E1398,'DANH MỤC'!$C:$H,3,0),"")</f>
        <v/>
      </c>
      <c r="I1398" s="42" t="str">
        <f>+IFERROR(VLOOKUP(E1398,'DANH MỤC'!$C:$H,4,0),"")</f>
        <v/>
      </c>
      <c r="J1398" s="42" t="str">
        <f>+IFERROR(VLOOKUP(E1398,'DANH MỤC'!$C:$H,5,0),"")</f>
        <v/>
      </c>
      <c r="K1398" s="53"/>
      <c r="L1398" s="58"/>
      <c r="M1398" s="55"/>
      <c r="N1398" s="55"/>
    </row>
    <row r="1399" ht="15.75" customHeight="1">
      <c r="A1399" s="53">
        <f t="shared" si="7"/>
        <v>1394</v>
      </c>
      <c r="B1399" s="55"/>
      <c r="C1399" s="41"/>
      <c r="D1399" s="42"/>
      <c r="E1399" s="42"/>
      <c r="F1399" s="42" t="str">
        <f>+IFERROR(VLOOKUP(E1399,'DANH MỤC'!$C:$H,2,0),"")</f>
        <v/>
      </c>
      <c r="G1399" s="42" t="str">
        <f>+IFERROR(VLOOKUP(E1399,'DANH MỤC'!$C:$H,6,0),"")</f>
        <v/>
      </c>
      <c r="H1399" s="42" t="str">
        <f>+IFERROR(VLOOKUP(E1399,'DANH MỤC'!$C:$H,3,0),"")</f>
        <v/>
      </c>
      <c r="I1399" s="42" t="str">
        <f>+IFERROR(VLOOKUP(E1399,'DANH MỤC'!$C:$H,4,0),"")</f>
        <v/>
      </c>
      <c r="J1399" s="42" t="str">
        <f>+IFERROR(VLOOKUP(E1399,'DANH MỤC'!$C:$H,5,0),"")</f>
        <v/>
      </c>
      <c r="K1399" s="53"/>
      <c r="L1399" s="58"/>
      <c r="M1399" s="55"/>
      <c r="N1399" s="55"/>
    </row>
    <row r="1400" ht="15.75" customHeight="1">
      <c r="A1400" s="53">
        <f t="shared" si="7"/>
        <v>1395</v>
      </c>
      <c r="B1400" s="55"/>
      <c r="C1400" s="41"/>
      <c r="D1400" s="42"/>
      <c r="E1400" s="42"/>
      <c r="F1400" s="42" t="str">
        <f>+IFERROR(VLOOKUP(E1400,'DANH MỤC'!$C:$H,2,0),"")</f>
        <v/>
      </c>
      <c r="G1400" s="42" t="str">
        <f>+IFERROR(VLOOKUP(E1400,'DANH MỤC'!$C:$H,6,0),"")</f>
        <v/>
      </c>
      <c r="H1400" s="42" t="str">
        <f>+IFERROR(VLOOKUP(E1400,'DANH MỤC'!$C:$H,3,0),"")</f>
        <v/>
      </c>
      <c r="I1400" s="42" t="str">
        <f>+IFERROR(VLOOKUP(E1400,'DANH MỤC'!$C:$H,4,0),"")</f>
        <v/>
      </c>
      <c r="J1400" s="42" t="str">
        <f>+IFERROR(VLOOKUP(E1400,'DANH MỤC'!$C:$H,5,0),"")</f>
        <v/>
      </c>
      <c r="K1400" s="53"/>
      <c r="L1400" s="58"/>
      <c r="M1400" s="55"/>
      <c r="N1400" s="55"/>
    </row>
    <row r="1401" ht="15.75" customHeight="1">
      <c r="A1401" s="53">
        <f t="shared" si="7"/>
        <v>1396</v>
      </c>
      <c r="B1401" s="55"/>
      <c r="C1401" s="41"/>
      <c r="D1401" s="42"/>
      <c r="E1401" s="42"/>
      <c r="F1401" s="42" t="str">
        <f>+IFERROR(VLOOKUP(E1401,'DANH MỤC'!$C:$H,2,0),"")</f>
        <v/>
      </c>
      <c r="G1401" s="42" t="str">
        <f>+IFERROR(VLOOKUP(E1401,'DANH MỤC'!$C:$H,6,0),"")</f>
        <v/>
      </c>
      <c r="H1401" s="42" t="str">
        <f>+IFERROR(VLOOKUP(E1401,'DANH MỤC'!$C:$H,3,0),"")</f>
        <v/>
      </c>
      <c r="I1401" s="42" t="str">
        <f>+IFERROR(VLOOKUP(E1401,'DANH MỤC'!$C:$H,4,0),"")</f>
        <v/>
      </c>
      <c r="J1401" s="42" t="str">
        <f>+IFERROR(VLOOKUP(E1401,'DANH MỤC'!$C:$H,5,0),"")</f>
        <v/>
      </c>
      <c r="K1401" s="53"/>
      <c r="L1401" s="58"/>
      <c r="M1401" s="55"/>
      <c r="N1401" s="55"/>
    </row>
    <row r="1402" ht="15.75" customHeight="1">
      <c r="A1402" s="53">
        <f t="shared" si="7"/>
        <v>1397</v>
      </c>
      <c r="B1402" s="55"/>
      <c r="C1402" s="41"/>
      <c r="D1402" s="42"/>
      <c r="E1402" s="42"/>
      <c r="F1402" s="42" t="str">
        <f>+IFERROR(VLOOKUP(E1402,'DANH MỤC'!$C:$H,2,0),"")</f>
        <v/>
      </c>
      <c r="G1402" s="42" t="str">
        <f>+IFERROR(VLOOKUP(E1402,'DANH MỤC'!$C:$H,6,0),"")</f>
        <v/>
      </c>
      <c r="H1402" s="42" t="str">
        <f>+IFERROR(VLOOKUP(E1402,'DANH MỤC'!$C:$H,3,0),"")</f>
        <v/>
      </c>
      <c r="I1402" s="42" t="str">
        <f>+IFERROR(VLOOKUP(E1402,'DANH MỤC'!$C:$H,4,0),"")</f>
        <v/>
      </c>
      <c r="J1402" s="42" t="str">
        <f>+IFERROR(VLOOKUP(E1402,'DANH MỤC'!$C:$H,5,0),"")</f>
        <v/>
      </c>
      <c r="K1402" s="53"/>
      <c r="L1402" s="58"/>
      <c r="M1402" s="55"/>
      <c r="N1402" s="55"/>
    </row>
    <row r="1403" ht="15.75" customHeight="1">
      <c r="A1403" s="53">
        <f t="shared" si="7"/>
        <v>1398</v>
      </c>
      <c r="B1403" s="55"/>
      <c r="C1403" s="41"/>
      <c r="D1403" s="42"/>
      <c r="E1403" s="42"/>
      <c r="F1403" s="42" t="str">
        <f>+IFERROR(VLOOKUP(E1403,'DANH MỤC'!$C:$H,2,0),"")</f>
        <v/>
      </c>
      <c r="G1403" s="42" t="str">
        <f>+IFERROR(VLOOKUP(E1403,'DANH MỤC'!$C:$H,6,0),"")</f>
        <v/>
      </c>
      <c r="H1403" s="42" t="str">
        <f>+IFERROR(VLOOKUP(E1403,'DANH MỤC'!$C:$H,3,0),"")</f>
        <v/>
      </c>
      <c r="I1403" s="42" t="str">
        <f>+IFERROR(VLOOKUP(E1403,'DANH MỤC'!$C:$H,4,0),"")</f>
        <v/>
      </c>
      <c r="J1403" s="42" t="str">
        <f>+IFERROR(VLOOKUP(E1403,'DANH MỤC'!$C:$H,5,0),"")</f>
        <v/>
      </c>
      <c r="K1403" s="53"/>
      <c r="L1403" s="58"/>
      <c r="M1403" s="55"/>
      <c r="N1403" s="55"/>
    </row>
    <row r="1404" ht="15.75" customHeight="1">
      <c r="A1404" s="53">
        <f t="shared" si="7"/>
        <v>1399</v>
      </c>
      <c r="B1404" s="55"/>
      <c r="C1404" s="41"/>
      <c r="D1404" s="42"/>
      <c r="E1404" s="42"/>
      <c r="F1404" s="42" t="str">
        <f>+IFERROR(VLOOKUP(E1404,'DANH MỤC'!$C:$H,2,0),"")</f>
        <v/>
      </c>
      <c r="G1404" s="42" t="str">
        <f>+IFERROR(VLOOKUP(E1404,'DANH MỤC'!$C:$H,6,0),"")</f>
        <v/>
      </c>
      <c r="H1404" s="42" t="str">
        <f>+IFERROR(VLOOKUP(E1404,'DANH MỤC'!$C:$H,3,0),"")</f>
        <v/>
      </c>
      <c r="I1404" s="42" t="str">
        <f>+IFERROR(VLOOKUP(E1404,'DANH MỤC'!$C:$H,4,0),"")</f>
        <v/>
      </c>
      <c r="J1404" s="42" t="str">
        <f>+IFERROR(VLOOKUP(E1404,'DANH MỤC'!$C:$H,5,0),"")</f>
        <v/>
      </c>
      <c r="K1404" s="53"/>
      <c r="L1404" s="58"/>
      <c r="M1404" s="55"/>
      <c r="N1404" s="55"/>
    </row>
    <row r="1405" ht="15.75" customHeight="1">
      <c r="A1405" s="53">
        <f t="shared" si="7"/>
        <v>1400</v>
      </c>
      <c r="B1405" s="55"/>
      <c r="C1405" s="41"/>
      <c r="D1405" s="42"/>
      <c r="E1405" s="42"/>
      <c r="F1405" s="42" t="str">
        <f>+IFERROR(VLOOKUP(E1405,'DANH MỤC'!$C:$H,2,0),"")</f>
        <v/>
      </c>
      <c r="G1405" s="42" t="str">
        <f>+IFERROR(VLOOKUP(E1405,'DANH MỤC'!$C:$H,6,0),"")</f>
        <v/>
      </c>
      <c r="H1405" s="42" t="str">
        <f>+IFERROR(VLOOKUP(E1405,'DANH MỤC'!$C:$H,3,0),"")</f>
        <v/>
      </c>
      <c r="I1405" s="42" t="str">
        <f>+IFERROR(VLOOKUP(E1405,'DANH MỤC'!$C:$H,4,0),"")</f>
        <v/>
      </c>
      <c r="J1405" s="42" t="str">
        <f>+IFERROR(VLOOKUP(E1405,'DANH MỤC'!$C:$H,5,0),"")</f>
        <v/>
      </c>
      <c r="K1405" s="53"/>
      <c r="L1405" s="58"/>
      <c r="M1405" s="55"/>
      <c r="N1405" s="55"/>
    </row>
    <row r="1406" ht="15.75" customHeight="1">
      <c r="A1406" s="53">
        <f t="shared" si="7"/>
        <v>1401</v>
      </c>
      <c r="B1406" s="55"/>
      <c r="C1406" s="41"/>
      <c r="D1406" s="42"/>
      <c r="E1406" s="42"/>
      <c r="F1406" s="42" t="str">
        <f>+IFERROR(VLOOKUP(E1406,'DANH MỤC'!$C:$H,2,0),"")</f>
        <v/>
      </c>
      <c r="G1406" s="42" t="str">
        <f>+IFERROR(VLOOKUP(E1406,'DANH MỤC'!$C:$H,6,0),"")</f>
        <v/>
      </c>
      <c r="H1406" s="42" t="str">
        <f>+IFERROR(VLOOKUP(E1406,'DANH MỤC'!$C:$H,3,0),"")</f>
        <v/>
      </c>
      <c r="I1406" s="42" t="str">
        <f>+IFERROR(VLOOKUP(E1406,'DANH MỤC'!$C:$H,4,0),"")</f>
        <v/>
      </c>
      <c r="J1406" s="42" t="str">
        <f>+IFERROR(VLOOKUP(E1406,'DANH MỤC'!$C:$H,5,0),"")</f>
        <v/>
      </c>
      <c r="K1406" s="53"/>
      <c r="L1406" s="58"/>
      <c r="M1406" s="55"/>
      <c r="N1406" s="55"/>
    </row>
    <row r="1407" ht="15.75" customHeight="1">
      <c r="A1407" s="53">
        <f t="shared" si="7"/>
        <v>1402</v>
      </c>
      <c r="B1407" s="55"/>
      <c r="C1407" s="41"/>
      <c r="D1407" s="42"/>
      <c r="E1407" s="42"/>
      <c r="F1407" s="42" t="str">
        <f>+IFERROR(VLOOKUP(E1407,'DANH MỤC'!$C:$H,2,0),"")</f>
        <v/>
      </c>
      <c r="G1407" s="42" t="str">
        <f>+IFERROR(VLOOKUP(E1407,'DANH MỤC'!$C:$H,6,0),"")</f>
        <v/>
      </c>
      <c r="H1407" s="42" t="str">
        <f>+IFERROR(VLOOKUP(E1407,'DANH MỤC'!$C:$H,3,0),"")</f>
        <v/>
      </c>
      <c r="I1407" s="42" t="str">
        <f>+IFERROR(VLOOKUP(E1407,'DANH MỤC'!$C:$H,4,0),"")</f>
        <v/>
      </c>
      <c r="J1407" s="42" t="str">
        <f>+IFERROR(VLOOKUP(E1407,'DANH MỤC'!$C:$H,5,0),"")</f>
        <v/>
      </c>
      <c r="K1407" s="53"/>
      <c r="L1407" s="58"/>
      <c r="M1407" s="55"/>
      <c r="N1407" s="55"/>
    </row>
    <row r="1408" ht="15.75" customHeight="1">
      <c r="A1408" s="53">
        <f t="shared" si="7"/>
        <v>1403</v>
      </c>
      <c r="B1408" s="55"/>
      <c r="C1408" s="41"/>
      <c r="D1408" s="42"/>
      <c r="E1408" s="42"/>
      <c r="F1408" s="42" t="str">
        <f>+IFERROR(VLOOKUP(E1408,'DANH MỤC'!$C:$H,2,0),"")</f>
        <v/>
      </c>
      <c r="G1408" s="42" t="str">
        <f>+IFERROR(VLOOKUP(E1408,'DANH MỤC'!$C:$H,6,0),"")</f>
        <v/>
      </c>
      <c r="H1408" s="42" t="str">
        <f>+IFERROR(VLOOKUP(E1408,'DANH MỤC'!$C:$H,3,0),"")</f>
        <v/>
      </c>
      <c r="I1408" s="42" t="str">
        <f>+IFERROR(VLOOKUP(E1408,'DANH MỤC'!$C:$H,4,0),"")</f>
        <v/>
      </c>
      <c r="J1408" s="42" t="str">
        <f>+IFERROR(VLOOKUP(E1408,'DANH MỤC'!$C:$H,5,0),"")</f>
        <v/>
      </c>
      <c r="K1408" s="53"/>
      <c r="L1408" s="58"/>
      <c r="M1408" s="55"/>
      <c r="N1408" s="55"/>
    </row>
    <row r="1409" ht="15.75" customHeight="1">
      <c r="A1409" s="53">
        <f t="shared" si="7"/>
        <v>1404</v>
      </c>
      <c r="B1409" s="55"/>
      <c r="C1409" s="41"/>
      <c r="D1409" s="42"/>
      <c r="E1409" s="42"/>
      <c r="F1409" s="42" t="str">
        <f>+IFERROR(VLOOKUP(E1409,'DANH MỤC'!$C:$H,2,0),"")</f>
        <v/>
      </c>
      <c r="G1409" s="42" t="str">
        <f>+IFERROR(VLOOKUP(E1409,'DANH MỤC'!$C:$H,6,0),"")</f>
        <v/>
      </c>
      <c r="H1409" s="42" t="str">
        <f>+IFERROR(VLOOKUP(E1409,'DANH MỤC'!$C:$H,3,0),"")</f>
        <v/>
      </c>
      <c r="I1409" s="42" t="str">
        <f>+IFERROR(VLOOKUP(E1409,'DANH MỤC'!$C:$H,4,0),"")</f>
        <v/>
      </c>
      <c r="J1409" s="42" t="str">
        <f>+IFERROR(VLOOKUP(E1409,'DANH MỤC'!$C:$H,5,0),"")</f>
        <v/>
      </c>
      <c r="K1409" s="53"/>
      <c r="L1409" s="58"/>
      <c r="M1409" s="55"/>
      <c r="N1409" s="55"/>
    </row>
    <row r="1410" ht="15.75" customHeight="1">
      <c r="A1410" s="53">
        <f t="shared" si="7"/>
        <v>1405</v>
      </c>
      <c r="B1410" s="55"/>
      <c r="C1410" s="41"/>
      <c r="D1410" s="42"/>
      <c r="E1410" s="42"/>
      <c r="F1410" s="42" t="str">
        <f>+IFERROR(VLOOKUP(E1410,'DANH MỤC'!$C:$H,2,0),"")</f>
        <v/>
      </c>
      <c r="G1410" s="42" t="str">
        <f>+IFERROR(VLOOKUP(E1410,'DANH MỤC'!$C:$H,6,0),"")</f>
        <v/>
      </c>
      <c r="H1410" s="42" t="str">
        <f>+IFERROR(VLOOKUP(E1410,'DANH MỤC'!$C:$H,3,0),"")</f>
        <v/>
      </c>
      <c r="I1410" s="42" t="str">
        <f>+IFERROR(VLOOKUP(E1410,'DANH MỤC'!$C:$H,4,0),"")</f>
        <v/>
      </c>
      <c r="J1410" s="42" t="str">
        <f>+IFERROR(VLOOKUP(E1410,'DANH MỤC'!$C:$H,5,0),"")</f>
        <v/>
      </c>
      <c r="K1410" s="53"/>
      <c r="L1410" s="58"/>
      <c r="M1410" s="55"/>
      <c r="N1410" s="55"/>
    </row>
    <row r="1411" ht="15.75" customHeight="1">
      <c r="A1411" s="53">
        <f t="shared" si="7"/>
        <v>1406</v>
      </c>
      <c r="B1411" s="55"/>
      <c r="C1411" s="41"/>
      <c r="D1411" s="42"/>
      <c r="E1411" s="42"/>
      <c r="F1411" s="42" t="str">
        <f>+IFERROR(VLOOKUP(E1411,'DANH MỤC'!$C:$H,2,0),"")</f>
        <v/>
      </c>
      <c r="G1411" s="42" t="str">
        <f>+IFERROR(VLOOKUP(E1411,'DANH MỤC'!$C:$H,6,0),"")</f>
        <v/>
      </c>
      <c r="H1411" s="42" t="str">
        <f>+IFERROR(VLOOKUP(E1411,'DANH MỤC'!$C:$H,3,0),"")</f>
        <v/>
      </c>
      <c r="I1411" s="42" t="str">
        <f>+IFERROR(VLOOKUP(E1411,'DANH MỤC'!$C:$H,4,0),"")</f>
        <v/>
      </c>
      <c r="J1411" s="42" t="str">
        <f>+IFERROR(VLOOKUP(E1411,'DANH MỤC'!$C:$H,5,0),"")</f>
        <v/>
      </c>
      <c r="K1411" s="53"/>
      <c r="L1411" s="58"/>
      <c r="M1411" s="55"/>
      <c r="N1411" s="55"/>
    </row>
    <row r="1412" ht="15.75" customHeight="1">
      <c r="A1412" s="53">
        <f t="shared" si="7"/>
        <v>1407</v>
      </c>
      <c r="B1412" s="55"/>
      <c r="C1412" s="41"/>
      <c r="D1412" s="42"/>
      <c r="E1412" s="42"/>
      <c r="F1412" s="42" t="str">
        <f>+IFERROR(VLOOKUP(E1412,'DANH MỤC'!$C:$H,2,0),"")</f>
        <v/>
      </c>
      <c r="G1412" s="42" t="str">
        <f>+IFERROR(VLOOKUP(E1412,'DANH MỤC'!$C:$H,6,0),"")</f>
        <v/>
      </c>
      <c r="H1412" s="42" t="str">
        <f>+IFERROR(VLOOKUP(E1412,'DANH MỤC'!$C:$H,3,0),"")</f>
        <v/>
      </c>
      <c r="I1412" s="42" t="str">
        <f>+IFERROR(VLOOKUP(E1412,'DANH MỤC'!$C:$H,4,0),"")</f>
        <v/>
      </c>
      <c r="J1412" s="42" t="str">
        <f>+IFERROR(VLOOKUP(E1412,'DANH MỤC'!$C:$H,5,0),"")</f>
        <v/>
      </c>
      <c r="K1412" s="53"/>
      <c r="L1412" s="58"/>
      <c r="M1412" s="55"/>
      <c r="N1412" s="55"/>
    </row>
    <row r="1413" ht="15.75" customHeight="1">
      <c r="A1413" s="53">
        <f t="shared" si="7"/>
        <v>1408</v>
      </c>
      <c r="B1413" s="55"/>
      <c r="C1413" s="41"/>
      <c r="D1413" s="42"/>
      <c r="E1413" s="42"/>
      <c r="F1413" s="42" t="str">
        <f>+IFERROR(VLOOKUP(E1413,'DANH MỤC'!$C:$H,2,0),"")</f>
        <v/>
      </c>
      <c r="G1413" s="42" t="str">
        <f>+IFERROR(VLOOKUP(E1413,'DANH MỤC'!$C:$H,6,0),"")</f>
        <v/>
      </c>
      <c r="H1413" s="42" t="str">
        <f>+IFERROR(VLOOKUP(E1413,'DANH MỤC'!$C:$H,3,0),"")</f>
        <v/>
      </c>
      <c r="I1413" s="42" t="str">
        <f>+IFERROR(VLOOKUP(E1413,'DANH MỤC'!$C:$H,4,0),"")</f>
        <v/>
      </c>
      <c r="J1413" s="42" t="str">
        <f>+IFERROR(VLOOKUP(E1413,'DANH MỤC'!$C:$H,5,0),"")</f>
        <v/>
      </c>
      <c r="K1413" s="53"/>
      <c r="L1413" s="58"/>
      <c r="M1413" s="55"/>
      <c r="N1413" s="55"/>
    </row>
    <row r="1414" ht="15.75" customHeight="1">
      <c r="A1414" s="53">
        <f t="shared" si="7"/>
        <v>1409</v>
      </c>
      <c r="B1414" s="55"/>
      <c r="C1414" s="41"/>
      <c r="D1414" s="42"/>
      <c r="E1414" s="42"/>
      <c r="F1414" s="42" t="str">
        <f>+IFERROR(VLOOKUP(E1414,'DANH MỤC'!$C:$H,2,0),"")</f>
        <v/>
      </c>
      <c r="G1414" s="42" t="str">
        <f>+IFERROR(VLOOKUP(E1414,'DANH MỤC'!$C:$H,6,0),"")</f>
        <v/>
      </c>
      <c r="H1414" s="42" t="str">
        <f>+IFERROR(VLOOKUP(E1414,'DANH MỤC'!$C:$H,3,0),"")</f>
        <v/>
      </c>
      <c r="I1414" s="42" t="str">
        <f>+IFERROR(VLOOKUP(E1414,'DANH MỤC'!$C:$H,4,0),"")</f>
        <v/>
      </c>
      <c r="J1414" s="42" t="str">
        <f>+IFERROR(VLOOKUP(E1414,'DANH MỤC'!$C:$H,5,0),"")</f>
        <v/>
      </c>
      <c r="K1414" s="53"/>
      <c r="L1414" s="58"/>
      <c r="M1414" s="55"/>
      <c r="N1414" s="55"/>
    </row>
    <row r="1415" ht="15.75" customHeight="1">
      <c r="A1415" s="53">
        <f t="shared" si="7"/>
        <v>1410</v>
      </c>
      <c r="B1415" s="55"/>
      <c r="C1415" s="41"/>
      <c r="D1415" s="42"/>
      <c r="E1415" s="42"/>
      <c r="F1415" s="42" t="str">
        <f>+IFERROR(VLOOKUP(E1415,'DANH MỤC'!$C:$H,2,0),"")</f>
        <v/>
      </c>
      <c r="G1415" s="42" t="str">
        <f>+IFERROR(VLOOKUP(E1415,'DANH MỤC'!$C:$H,6,0),"")</f>
        <v/>
      </c>
      <c r="H1415" s="42" t="str">
        <f>+IFERROR(VLOOKUP(E1415,'DANH MỤC'!$C:$H,3,0),"")</f>
        <v/>
      </c>
      <c r="I1415" s="42" t="str">
        <f>+IFERROR(VLOOKUP(E1415,'DANH MỤC'!$C:$H,4,0),"")</f>
        <v/>
      </c>
      <c r="J1415" s="42" t="str">
        <f>+IFERROR(VLOOKUP(E1415,'DANH MỤC'!$C:$H,5,0),"")</f>
        <v/>
      </c>
      <c r="K1415" s="53"/>
      <c r="L1415" s="58"/>
      <c r="M1415" s="55"/>
      <c r="N1415" s="55"/>
    </row>
    <row r="1416" ht="15.75" customHeight="1">
      <c r="A1416" s="53">
        <f t="shared" si="7"/>
        <v>1411</v>
      </c>
      <c r="B1416" s="55"/>
      <c r="C1416" s="41"/>
      <c r="D1416" s="42"/>
      <c r="E1416" s="42"/>
      <c r="F1416" s="42" t="str">
        <f>+IFERROR(VLOOKUP(E1416,'DANH MỤC'!$C:$H,2,0),"")</f>
        <v/>
      </c>
      <c r="G1416" s="42" t="str">
        <f>+IFERROR(VLOOKUP(E1416,'DANH MỤC'!$C:$H,6,0),"")</f>
        <v/>
      </c>
      <c r="H1416" s="42" t="str">
        <f>+IFERROR(VLOOKUP(E1416,'DANH MỤC'!$C:$H,3,0),"")</f>
        <v/>
      </c>
      <c r="I1416" s="42" t="str">
        <f>+IFERROR(VLOOKUP(E1416,'DANH MỤC'!$C:$H,4,0),"")</f>
        <v/>
      </c>
      <c r="J1416" s="42" t="str">
        <f>+IFERROR(VLOOKUP(E1416,'DANH MỤC'!$C:$H,5,0),"")</f>
        <v/>
      </c>
      <c r="K1416" s="53"/>
      <c r="L1416" s="58"/>
      <c r="M1416" s="55"/>
      <c r="N1416" s="55"/>
    </row>
    <row r="1417" ht="15.75" customHeight="1">
      <c r="A1417" s="53">
        <f t="shared" si="7"/>
        <v>1412</v>
      </c>
      <c r="B1417" s="55"/>
      <c r="C1417" s="41"/>
      <c r="D1417" s="42"/>
      <c r="E1417" s="42"/>
      <c r="F1417" s="42" t="str">
        <f>+IFERROR(VLOOKUP(E1417,'DANH MỤC'!$C:$H,2,0),"")</f>
        <v/>
      </c>
      <c r="G1417" s="42" t="str">
        <f>+IFERROR(VLOOKUP(E1417,'DANH MỤC'!$C:$H,6,0),"")</f>
        <v/>
      </c>
      <c r="H1417" s="42" t="str">
        <f>+IFERROR(VLOOKUP(E1417,'DANH MỤC'!$C:$H,3,0),"")</f>
        <v/>
      </c>
      <c r="I1417" s="42" t="str">
        <f>+IFERROR(VLOOKUP(E1417,'DANH MỤC'!$C:$H,4,0),"")</f>
        <v/>
      </c>
      <c r="J1417" s="42" t="str">
        <f>+IFERROR(VLOOKUP(E1417,'DANH MỤC'!$C:$H,5,0),"")</f>
        <v/>
      </c>
      <c r="K1417" s="53"/>
      <c r="L1417" s="58"/>
      <c r="M1417" s="55"/>
      <c r="N1417" s="55"/>
    </row>
    <row r="1418" ht="15.75" customHeight="1">
      <c r="A1418" s="53">
        <f t="shared" si="7"/>
        <v>1413</v>
      </c>
      <c r="B1418" s="55"/>
      <c r="C1418" s="41"/>
      <c r="D1418" s="42"/>
      <c r="E1418" s="42"/>
      <c r="F1418" s="42" t="str">
        <f>+IFERROR(VLOOKUP(E1418,'DANH MỤC'!$C:$H,2,0),"")</f>
        <v/>
      </c>
      <c r="G1418" s="42" t="str">
        <f>+IFERROR(VLOOKUP(E1418,'DANH MỤC'!$C:$H,6,0),"")</f>
        <v/>
      </c>
      <c r="H1418" s="42" t="str">
        <f>+IFERROR(VLOOKUP(E1418,'DANH MỤC'!$C:$H,3,0),"")</f>
        <v/>
      </c>
      <c r="I1418" s="42" t="str">
        <f>+IFERROR(VLOOKUP(E1418,'DANH MỤC'!$C:$H,4,0),"")</f>
        <v/>
      </c>
      <c r="J1418" s="42" t="str">
        <f>+IFERROR(VLOOKUP(E1418,'DANH MỤC'!$C:$H,5,0),"")</f>
        <v/>
      </c>
      <c r="K1418" s="53"/>
      <c r="L1418" s="58"/>
      <c r="M1418" s="55"/>
      <c r="N1418" s="55"/>
    </row>
    <row r="1419" ht="15.75" customHeight="1">
      <c r="A1419" s="53">
        <f t="shared" si="7"/>
        <v>1414</v>
      </c>
      <c r="B1419" s="55"/>
      <c r="C1419" s="41"/>
      <c r="D1419" s="42"/>
      <c r="E1419" s="42"/>
      <c r="F1419" s="42" t="str">
        <f>+IFERROR(VLOOKUP(E1419,'DANH MỤC'!$C:$H,2,0),"")</f>
        <v/>
      </c>
      <c r="G1419" s="42" t="str">
        <f>+IFERROR(VLOOKUP(E1419,'DANH MỤC'!$C:$H,6,0),"")</f>
        <v/>
      </c>
      <c r="H1419" s="42" t="str">
        <f>+IFERROR(VLOOKUP(E1419,'DANH MỤC'!$C:$H,3,0),"")</f>
        <v/>
      </c>
      <c r="I1419" s="42" t="str">
        <f>+IFERROR(VLOOKUP(E1419,'DANH MỤC'!$C:$H,4,0),"")</f>
        <v/>
      </c>
      <c r="J1419" s="42" t="str">
        <f>+IFERROR(VLOOKUP(E1419,'DANH MỤC'!$C:$H,5,0),"")</f>
        <v/>
      </c>
      <c r="K1419" s="53"/>
      <c r="L1419" s="58"/>
      <c r="M1419" s="55"/>
      <c r="N1419" s="55"/>
    </row>
    <row r="1420" ht="15.75" customHeight="1">
      <c r="A1420" s="53">
        <f t="shared" si="7"/>
        <v>1415</v>
      </c>
      <c r="B1420" s="55"/>
      <c r="C1420" s="41"/>
      <c r="D1420" s="42"/>
      <c r="E1420" s="42"/>
      <c r="F1420" s="42" t="str">
        <f>+IFERROR(VLOOKUP(E1420,'DANH MỤC'!$C:$H,2,0),"")</f>
        <v/>
      </c>
      <c r="G1420" s="42" t="str">
        <f>+IFERROR(VLOOKUP(E1420,'DANH MỤC'!$C:$H,6,0),"")</f>
        <v/>
      </c>
      <c r="H1420" s="42" t="str">
        <f>+IFERROR(VLOOKUP(E1420,'DANH MỤC'!$C:$H,3,0),"")</f>
        <v/>
      </c>
      <c r="I1420" s="42" t="str">
        <f>+IFERROR(VLOOKUP(E1420,'DANH MỤC'!$C:$H,4,0),"")</f>
        <v/>
      </c>
      <c r="J1420" s="42" t="str">
        <f>+IFERROR(VLOOKUP(E1420,'DANH MỤC'!$C:$H,5,0),"")</f>
        <v/>
      </c>
      <c r="K1420" s="53"/>
      <c r="L1420" s="58"/>
      <c r="M1420" s="55"/>
      <c r="N1420" s="55"/>
    </row>
    <row r="1421" ht="15.75" customHeight="1">
      <c r="A1421" s="53">
        <f t="shared" si="7"/>
        <v>1416</v>
      </c>
      <c r="B1421" s="55"/>
      <c r="C1421" s="41"/>
      <c r="D1421" s="42"/>
      <c r="E1421" s="42"/>
      <c r="F1421" s="42" t="str">
        <f>+IFERROR(VLOOKUP(E1421,'DANH MỤC'!$C:$H,2,0),"")</f>
        <v/>
      </c>
      <c r="G1421" s="42" t="str">
        <f>+IFERROR(VLOOKUP(E1421,'DANH MỤC'!$C:$H,6,0),"")</f>
        <v/>
      </c>
      <c r="H1421" s="42" t="str">
        <f>+IFERROR(VLOOKUP(E1421,'DANH MỤC'!$C:$H,3,0),"")</f>
        <v/>
      </c>
      <c r="I1421" s="42" t="str">
        <f>+IFERROR(VLOOKUP(E1421,'DANH MỤC'!$C:$H,4,0),"")</f>
        <v/>
      </c>
      <c r="J1421" s="42" t="str">
        <f>+IFERROR(VLOOKUP(E1421,'DANH MỤC'!$C:$H,5,0),"")</f>
        <v/>
      </c>
      <c r="K1421" s="53"/>
      <c r="L1421" s="58"/>
      <c r="M1421" s="55"/>
      <c r="N1421" s="55"/>
    </row>
    <row r="1422" ht="15.75" customHeight="1">
      <c r="A1422" s="53">
        <f t="shared" si="7"/>
        <v>1417</v>
      </c>
      <c r="B1422" s="55"/>
      <c r="C1422" s="41"/>
      <c r="D1422" s="42"/>
      <c r="E1422" s="42"/>
      <c r="F1422" s="42" t="str">
        <f>+IFERROR(VLOOKUP(E1422,'DANH MỤC'!$C:$H,2,0),"")</f>
        <v/>
      </c>
      <c r="G1422" s="42" t="str">
        <f>+IFERROR(VLOOKUP(E1422,'DANH MỤC'!$C:$H,6,0),"")</f>
        <v/>
      </c>
      <c r="H1422" s="42" t="str">
        <f>+IFERROR(VLOOKUP(E1422,'DANH MỤC'!$C:$H,3,0),"")</f>
        <v/>
      </c>
      <c r="I1422" s="42" t="str">
        <f>+IFERROR(VLOOKUP(E1422,'DANH MỤC'!$C:$H,4,0),"")</f>
        <v/>
      </c>
      <c r="J1422" s="42" t="str">
        <f>+IFERROR(VLOOKUP(E1422,'DANH MỤC'!$C:$H,5,0),"")</f>
        <v/>
      </c>
      <c r="K1422" s="53"/>
      <c r="L1422" s="58"/>
      <c r="M1422" s="55"/>
      <c r="N1422" s="55"/>
    </row>
    <row r="1423" ht="15.75" customHeight="1">
      <c r="A1423" s="53">
        <f t="shared" si="7"/>
        <v>1418</v>
      </c>
      <c r="B1423" s="55"/>
      <c r="C1423" s="41"/>
      <c r="D1423" s="42"/>
      <c r="E1423" s="42"/>
      <c r="F1423" s="42" t="str">
        <f>+IFERROR(VLOOKUP(E1423,'DANH MỤC'!$C:$H,2,0),"")</f>
        <v/>
      </c>
      <c r="G1423" s="42" t="str">
        <f>+IFERROR(VLOOKUP(E1423,'DANH MỤC'!$C:$H,6,0),"")</f>
        <v/>
      </c>
      <c r="H1423" s="42" t="str">
        <f>+IFERROR(VLOOKUP(E1423,'DANH MỤC'!$C:$H,3,0),"")</f>
        <v/>
      </c>
      <c r="I1423" s="42" t="str">
        <f>+IFERROR(VLOOKUP(E1423,'DANH MỤC'!$C:$H,4,0),"")</f>
        <v/>
      </c>
      <c r="J1423" s="42" t="str">
        <f>+IFERROR(VLOOKUP(E1423,'DANH MỤC'!$C:$H,5,0),"")</f>
        <v/>
      </c>
      <c r="K1423" s="53"/>
      <c r="L1423" s="58"/>
      <c r="M1423" s="55"/>
      <c r="N1423" s="55"/>
    </row>
    <row r="1424" ht="15.75" customHeight="1">
      <c r="A1424" s="53">
        <f t="shared" si="7"/>
        <v>1419</v>
      </c>
      <c r="B1424" s="55"/>
      <c r="C1424" s="41"/>
      <c r="D1424" s="42"/>
      <c r="E1424" s="42"/>
      <c r="F1424" s="42" t="str">
        <f>+IFERROR(VLOOKUP(E1424,'DANH MỤC'!$C:$H,2,0),"")</f>
        <v/>
      </c>
      <c r="G1424" s="42" t="str">
        <f>+IFERROR(VLOOKUP(E1424,'DANH MỤC'!$C:$H,6,0),"")</f>
        <v/>
      </c>
      <c r="H1424" s="42" t="str">
        <f>+IFERROR(VLOOKUP(E1424,'DANH MỤC'!$C:$H,3,0),"")</f>
        <v/>
      </c>
      <c r="I1424" s="42" t="str">
        <f>+IFERROR(VLOOKUP(E1424,'DANH MỤC'!$C:$H,4,0),"")</f>
        <v/>
      </c>
      <c r="J1424" s="42" t="str">
        <f>+IFERROR(VLOOKUP(E1424,'DANH MỤC'!$C:$H,5,0),"")</f>
        <v/>
      </c>
      <c r="K1424" s="53"/>
      <c r="L1424" s="58"/>
      <c r="M1424" s="55"/>
      <c r="N1424" s="55"/>
    </row>
    <row r="1425" ht="15.75" customHeight="1">
      <c r="A1425" s="53">
        <f t="shared" si="7"/>
        <v>1420</v>
      </c>
      <c r="B1425" s="55"/>
      <c r="C1425" s="41"/>
      <c r="D1425" s="42"/>
      <c r="E1425" s="42"/>
      <c r="F1425" s="42" t="str">
        <f>+IFERROR(VLOOKUP(E1425,'DANH MỤC'!$C:$H,2,0),"")</f>
        <v/>
      </c>
      <c r="G1425" s="42" t="str">
        <f>+IFERROR(VLOOKUP(E1425,'DANH MỤC'!$C:$H,6,0),"")</f>
        <v/>
      </c>
      <c r="H1425" s="42" t="str">
        <f>+IFERROR(VLOOKUP(E1425,'DANH MỤC'!$C:$H,3,0),"")</f>
        <v/>
      </c>
      <c r="I1425" s="42" t="str">
        <f>+IFERROR(VLOOKUP(E1425,'DANH MỤC'!$C:$H,4,0),"")</f>
        <v/>
      </c>
      <c r="J1425" s="42" t="str">
        <f>+IFERROR(VLOOKUP(E1425,'DANH MỤC'!$C:$H,5,0),"")</f>
        <v/>
      </c>
      <c r="K1425" s="53"/>
      <c r="L1425" s="58"/>
      <c r="M1425" s="55"/>
      <c r="N1425" s="55"/>
    </row>
    <row r="1426" ht="15.75" customHeight="1">
      <c r="A1426" s="53">
        <f t="shared" si="7"/>
        <v>1421</v>
      </c>
      <c r="B1426" s="55"/>
      <c r="C1426" s="41"/>
      <c r="D1426" s="42"/>
      <c r="E1426" s="42"/>
      <c r="F1426" s="42" t="str">
        <f>+IFERROR(VLOOKUP(E1426,'DANH MỤC'!$C:$H,2,0),"")</f>
        <v/>
      </c>
      <c r="G1426" s="42" t="str">
        <f>+IFERROR(VLOOKUP(E1426,'DANH MỤC'!$C:$H,6,0),"")</f>
        <v/>
      </c>
      <c r="H1426" s="42" t="str">
        <f>+IFERROR(VLOOKUP(E1426,'DANH MỤC'!$C:$H,3,0),"")</f>
        <v/>
      </c>
      <c r="I1426" s="42" t="str">
        <f>+IFERROR(VLOOKUP(E1426,'DANH MỤC'!$C:$H,4,0),"")</f>
        <v/>
      </c>
      <c r="J1426" s="42" t="str">
        <f>+IFERROR(VLOOKUP(E1426,'DANH MỤC'!$C:$H,5,0),"")</f>
        <v/>
      </c>
      <c r="K1426" s="53"/>
      <c r="L1426" s="58"/>
      <c r="M1426" s="55"/>
      <c r="N1426" s="55"/>
    </row>
    <row r="1427" ht="15.75" customHeight="1">
      <c r="A1427" s="53">
        <f t="shared" si="7"/>
        <v>1422</v>
      </c>
      <c r="B1427" s="55"/>
      <c r="C1427" s="41"/>
      <c r="D1427" s="42"/>
      <c r="E1427" s="42"/>
      <c r="F1427" s="42" t="str">
        <f>+IFERROR(VLOOKUP(E1427,'DANH MỤC'!$C:$H,2,0),"")</f>
        <v/>
      </c>
      <c r="G1427" s="42" t="str">
        <f>+IFERROR(VLOOKUP(E1427,'DANH MỤC'!$C:$H,6,0),"")</f>
        <v/>
      </c>
      <c r="H1427" s="42" t="str">
        <f>+IFERROR(VLOOKUP(E1427,'DANH MỤC'!$C:$H,3,0),"")</f>
        <v/>
      </c>
      <c r="I1427" s="42" t="str">
        <f>+IFERROR(VLOOKUP(E1427,'DANH MỤC'!$C:$H,4,0),"")</f>
        <v/>
      </c>
      <c r="J1427" s="42" t="str">
        <f>+IFERROR(VLOOKUP(E1427,'DANH MỤC'!$C:$H,5,0),"")</f>
        <v/>
      </c>
      <c r="K1427" s="53"/>
      <c r="L1427" s="58"/>
      <c r="M1427" s="55"/>
      <c r="N1427" s="55"/>
    </row>
    <row r="1428" ht="15.75" customHeight="1">
      <c r="A1428" s="53">
        <f t="shared" si="7"/>
        <v>1423</v>
      </c>
      <c r="B1428" s="55"/>
      <c r="C1428" s="41"/>
      <c r="D1428" s="42"/>
      <c r="E1428" s="42"/>
      <c r="F1428" s="42" t="str">
        <f>+IFERROR(VLOOKUP(E1428,'DANH MỤC'!$C:$H,2,0),"")</f>
        <v/>
      </c>
      <c r="G1428" s="42" t="str">
        <f>+IFERROR(VLOOKUP(E1428,'DANH MỤC'!$C:$H,6,0),"")</f>
        <v/>
      </c>
      <c r="H1428" s="42" t="str">
        <f>+IFERROR(VLOOKUP(E1428,'DANH MỤC'!$C:$H,3,0),"")</f>
        <v/>
      </c>
      <c r="I1428" s="42" t="str">
        <f>+IFERROR(VLOOKUP(E1428,'DANH MỤC'!$C:$H,4,0),"")</f>
        <v/>
      </c>
      <c r="J1428" s="42" t="str">
        <f>+IFERROR(VLOOKUP(E1428,'DANH MỤC'!$C:$H,5,0),"")</f>
        <v/>
      </c>
      <c r="K1428" s="53"/>
      <c r="L1428" s="58"/>
      <c r="M1428" s="55"/>
      <c r="N1428" s="55"/>
    </row>
    <row r="1429" ht="15.75" customHeight="1">
      <c r="A1429" s="53">
        <f t="shared" si="7"/>
        <v>1424</v>
      </c>
      <c r="B1429" s="55"/>
      <c r="C1429" s="41"/>
      <c r="D1429" s="42"/>
      <c r="E1429" s="42"/>
      <c r="F1429" s="42" t="str">
        <f>+IFERROR(VLOOKUP(E1429,'DANH MỤC'!$C:$H,2,0),"")</f>
        <v/>
      </c>
      <c r="G1429" s="42" t="str">
        <f>+IFERROR(VLOOKUP(E1429,'DANH MỤC'!$C:$H,6,0),"")</f>
        <v/>
      </c>
      <c r="H1429" s="42" t="str">
        <f>+IFERROR(VLOOKUP(E1429,'DANH MỤC'!$C:$H,3,0),"")</f>
        <v/>
      </c>
      <c r="I1429" s="42" t="str">
        <f>+IFERROR(VLOOKUP(E1429,'DANH MỤC'!$C:$H,4,0),"")</f>
        <v/>
      </c>
      <c r="J1429" s="42" t="str">
        <f>+IFERROR(VLOOKUP(E1429,'DANH MỤC'!$C:$H,5,0),"")</f>
        <v/>
      </c>
      <c r="K1429" s="53"/>
      <c r="L1429" s="58"/>
      <c r="M1429" s="55"/>
      <c r="N1429" s="55"/>
    </row>
    <row r="1430" ht="15.75" customHeight="1">
      <c r="A1430" s="53">
        <f t="shared" si="7"/>
        <v>1425</v>
      </c>
      <c r="B1430" s="55"/>
      <c r="C1430" s="41"/>
      <c r="D1430" s="42"/>
      <c r="E1430" s="42"/>
      <c r="F1430" s="42" t="str">
        <f>+IFERROR(VLOOKUP(E1430,'DANH MỤC'!$C:$H,2,0),"")</f>
        <v/>
      </c>
      <c r="G1430" s="42" t="str">
        <f>+IFERROR(VLOOKUP(E1430,'DANH MỤC'!$C:$H,6,0),"")</f>
        <v/>
      </c>
      <c r="H1430" s="42" t="str">
        <f>+IFERROR(VLOOKUP(E1430,'DANH MỤC'!$C:$H,3,0),"")</f>
        <v/>
      </c>
      <c r="I1430" s="42" t="str">
        <f>+IFERROR(VLOOKUP(E1430,'DANH MỤC'!$C:$H,4,0),"")</f>
        <v/>
      </c>
      <c r="J1430" s="42" t="str">
        <f>+IFERROR(VLOOKUP(E1430,'DANH MỤC'!$C:$H,5,0),"")</f>
        <v/>
      </c>
      <c r="K1430" s="53"/>
      <c r="L1430" s="58"/>
      <c r="M1430" s="55"/>
      <c r="N1430" s="55"/>
    </row>
    <row r="1431" ht="15.75" customHeight="1">
      <c r="A1431" s="53">
        <f t="shared" si="7"/>
        <v>1426</v>
      </c>
      <c r="B1431" s="55"/>
      <c r="C1431" s="41"/>
      <c r="D1431" s="42"/>
      <c r="E1431" s="42"/>
      <c r="F1431" s="42" t="str">
        <f>+IFERROR(VLOOKUP(E1431,'DANH MỤC'!$C:$H,2,0),"")</f>
        <v/>
      </c>
      <c r="G1431" s="42" t="str">
        <f>+IFERROR(VLOOKUP(E1431,'DANH MỤC'!$C:$H,6,0),"")</f>
        <v/>
      </c>
      <c r="H1431" s="42" t="str">
        <f>+IFERROR(VLOOKUP(E1431,'DANH MỤC'!$C:$H,3,0),"")</f>
        <v/>
      </c>
      <c r="I1431" s="42" t="str">
        <f>+IFERROR(VLOOKUP(E1431,'DANH MỤC'!$C:$H,4,0),"")</f>
        <v/>
      </c>
      <c r="J1431" s="42" t="str">
        <f>+IFERROR(VLOOKUP(E1431,'DANH MỤC'!$C:$H,5,0),"")</f>
        <v/>
      </c>
      <c r="K1431" s="53"/>
      <c r="L1431" s="58"/>
      <c r="M1431" s="55"/>
      <c r="N1431" s="55"/>
    </row>
    <row r="1432" ht="15.75" customHeight="1">
      <c r="A1432" s="53">
        <f t="shared" si="7"/>
        <v>1427</v>
      </c>
      <c r="B1432" s="55"/>
      <c r="C1432" s="41"/>
      <c r="D1432" s="42"/>
      <c r="E1432" s="42"/>
      <c r="F1432" s="42" t="str">
        <f>+IFERROR(VLOOKUP(E1432,'DANH MỤC'!$C:$H,2,0),"")</f>
        <v/>
      </c>
      <c r="G1432" s="42" t="str">
        <f>+IFERROR(VLOOKUP(E1432,'DANH MỤC'!$C:$H,6,0),"")</f>
        <v/>
      </c>
      <c r="H1432" s="42" t="str">
        <f>+IFERROR(VLOOKUP(E1432,'DANH MỤC'!$C:$H,3,0),"")</f>
        <v/>
      </c>
      <c r="I1432" s="42" t="str">
        <f>+IFERROR(VLOOKUP(E1432,'DANH MỤC'!$C:$H,4,0),"")</f>
        <v/>
      </c>
      <c r="J1432" s="42" t="str">
        <f>+IFERROR(VLOOKUP(E1432,'DANH MỤC'!$C:$H,5,0),"")</f>
        <v/>
      </c>
      <c r="K1432" s="53"/>
      <c r="L1432" s="58"/>
      <c r="M1432" s="55"/>
      <c r="N1432" s="55"/>
    </row>
    <row r="1433" ht="15.75" customHeight="1">
      <c r="A1433" s="53">
        <f t="shared" si="7"/>
        <v>1428</v>
      </c>
      <c r="B1433" s="55"/>
      <c r="C1433" s="41"/>
      <c r="D1433" s="42"/>
      <c r="E1433" s="42"/>
      <c r="F1433" s="42" t="str">
        <f>+IFERROR(VLOOKUP(E1433,'DANH MỤC'!$C:$H,2,0),"")</f>
        <v/>
      </c>
      <c r="G1433" s="42" t="str">
        <f>+IFERROR(VLOOKUP(E1433,'DANH MỤC'!$C:$H,6,0),"")</f>
        <v/>
      </c>
      <c r="H1433" s="42" t="str">
        <f>+IFERROR(VLOOKUP(E1433,'DANH MỤC'!$C:$H,3,0),"")</f>
        <v/>
      </c>
      <c r="I1433" s="42" t="str">
        <f>+IFERROR(VLOOKUP(E1433,'DANH MỤC'!$C:$H,4,0),"")</f>
        <v/>
      </c>
      <c r="J1433" s="42" t="str">
        <f>+IFERROR(VLOOKUP(E1433,'DANH MỤC'!$C:$H,5,0),"")</f>
        <v/>
      </c>
      <c r="K1433" s="53"/>
      <c r="L1433" s="58"/>
      <c r="M1433" s="55"/>
      <c r="N1433" s="55"/>
    </row>
    <row r="1434" ht="15.75" customHeight="1">
      <c r="A1434" s="53">
        <f t="shared" si="7"/>
        <v>1429</v>
      </c>
      <c r="B1434" s="55"/>
      <c r="C1434" s="41"/>
      <c r="D1434" s="42"/>
      <c r="E1434" s="42"/>
      <c r="F1434" s="42" t="str">
        <f>+IFERROR(VLOOKUP(E1434,'DANH MỤC'!$C:$H,2,0),"")</f>
        <v/>
      </c>
      <c r="G1434" s="42" t="str">
        <f>+IFERROR(VLOOKUP(E1434,'DANH MỤC'!$C:$H,6,0),"")</f>
        <v/>
      </c>
      <c r="H1434" s="42" t="str">
        <f>+IFERROR(VLOOKUP(E1434,'DANH MỤC'!$C:$H,3,0),"")</f>
        <v/>
      </c>
      <c r="I1434" s="42" t="str">
        <f>+IFERROR(VLOOKUP(E1434,'DANH MỤC'!$C:$H,4,0),"")</f>
        <v/>
      </c>
      <c r="J1434" s="42" t="str">
        <f>+IFERROR(VLOOKUP(E1434,'DANH MỤC'!$C:$H,5,0),"")</f>
        <v/>
      </c>
      <c r="K1434" s="53"/>
      <c r="L1434" s="58"/>
      <c r="M1434" s="55"/>
      <c r="N1434" s="55"/>
    </row>
    <row r="1435" ht="15.75" customHeight="1">
      <c r="A1435" s="53">
        <f t="shared" si="7"/>
        <v>1430</v>
      </c>
      <c r="B1435" s="55"/>
      <c r="C1435" s="41"/>
      <c r="D1435" s="42"/>
      <c r="E1435" s="42"/>
      <c r="F1435" s="42" t="str">
        <f>+IFERROR(VLOOKUP(E1435,'DANH MỤC'!$C:$H,2,0),"")</f>
        <v/>
      </c>
      <c r="G1435" s="42" t="str">
        <f>+IFERROR(VLOOKUP(E1435,'DANH MỤC'!$C:$H,6,0),"")</f>
        <v/>
      </c>
      <c r="H1435" s="42" t="str">
        <f>+IFERROR(VLOOKUP(E1435,'DANH MỤC'!$C:$H,3,0),"")</f>
        <v/>
      </c>
      <c r="I1435" s="42" t="str">
        <f>+IFERROR(VLOOKUP(E1435,'DANH MỤC'!$C:$H,4,0),"")</f>
        <v/>
      </c>
      <c r="J1435" s="42" t="str">
        <f>+IFERROR(VLOOKUP(E1435,'DANH MỤC'!$C:$H,5,0),"")</f>
        <v/>
      </c>
      <c r="K1435" s="53"/>
      <c r="L1435" s="58"/>
      <c r="M1435" s="55"/>
      <c r="N1435" s="55"/>
    </row>
    <row r="1436" ht="15.75" customHeight="1">
      <c r="A1436" s="53">
        <f t="shared" si="7"/>
        <v>1431</v>
      </c>
      <c r="B1436" s="55"/>
      <c r="C1436" s="41"/>
      <c r="D1436" s="42"/>
      <c r="E1436" s="42"/>
      <c r="F1436" s="42" t="str">
        <f>+IFERROR(VLOOKUP(E1436,'DANH MỤC'!$C:$H,2,0),"")</f>
        <v/>
      </c>
      <c r="G1436" s="42" t="str">
        <f>+IFERROR(VLOOKUP(E1436,'DANH MỤC'!$C:$H,6,0),"")</f>
        <v/>
      </c>
      <c r="H1436" s="42" t="str">
        <f>+IFERROR(VLOOKUP(E1436,'DANH MỤC'!$C:$H,3,0),"")</f>
        <v/>
      </c>
      <c r="I1436" s="42" t="str">
        <f>+IFERROR(VLOOKUP(E1436,'DANH MỤC'!$C:$H,4,0),"")</f>
        <v/>
      </c>
      <c r="J1436" s="42" t="str">
        <f>+IFERROR(VLOOKUP(E1436,'DANH MỤC'!$C:$H,5,0),"")</f>
        <v/>
      </c>
      <c r="K1436" s="53"/>
      <c r="L1436" s="58"/>
      <c r="M1436" s="55"/>
      <c r="N1436" s="55"/>
    </row>
    <row r="1437" ht="15.75" customHeight="1">
      <c r="A1437" s="53">
        <f t="shared" si="7"/>
        <v>1432</v>
      </c>
      <c r="B1437" s="55"/>
      <c r="C1437" s="41"/>
      <c r="D1437" s="42"/>
      <c r="E1437" s="42"/>
      <c r="F1437" s="42" t="str">
        <f>+IFERROR(VLOOKUP(E1437,'DANH MỤC'!$C:$H,2,0),"")</f>
        <v/>
      </c>
      <c r="G1437" s="42" t="str">
        <f>+IFERROR(VLOOKUP(E1437,'DANH MỤC'!$C:$H,6,0),"")</f>
        <v/>
      </c>
      <c r="H1437" s="42" t="str">
        <f>+IFERROR(VLOOKUP(E1437,'DANH MỤC'!$C:$H,3,0),"")</f>
        <v/>
      </c>
      <c r="I1437" s="42" t="str">
        <f>+IFERROR(VLOOKUP(E1437,'DANH MỤC'!$C:$H,4,0),"")</f>
        <v/>
      </c>
      <c r="J1437" s="42" t="str">
        <f>+IFERROR(VLOOKUP(E1437,'DANH MỤC'!$C:$H,5,0),"")</f>
        <v/>
      </c>
      <c r="K1437" s="53"/>
      <c r="L1437" s="58"/>
      <c r="M1437" s="55"/>
      <c r="N1437" s="55"/>
    </row>
    <row r="1438" ht="15.75" customHeight="1">
      <c r="A1438" s="53">
        <f t="shared" si="7"/>
        <v>1433</v>
      </c>
      <c r="B1438" s="55"/>
      <c r="C1438" s="41"/>
      <c r="D1438" s="42"/>
      <c r="E1438" s="42"/>
      <c r="F1438" s="42" t="str">
        <f>+IFERROR(VLOOKUP(E1438,'DANH MỤC'!$C:$H,2,0),"")</f>
        <v/>
      </c>
      <c r="G1438" s="42" t="str">
        <f>+IFERROR(VLOOKUP(E1438,'DANH MỤC'!$C:$H,6,0),"")</f>
        <v/>
      </c>
      <c r="H1438" s="42" t="str">
        <f>+IFERROR(VLOOKUP(E1438,'DANH MỤC'!$C:$H,3,0),"")</f>
        <v/>
      </c>
      <c r="I1438" s="42" t="str">
        <f>+IFERROR(VLOOKUP(E1438,'DANH MỤC'!$C:$H,4,0),"")</f>
        <v/>
      </c>
      <c r="J1438" s="42" t="str">
        <f>+IFERROR(VLOOKUP(E1438,'DANH MỤC'!$C:$H,5,0),"")</f>
        <v/>
      </c>
      <c r="K1438" s="53"/>
      <c r="L1438" s="58"/>
      <c r="M1438" s="55"/>
      <c r="N1438" s="55"/>
    </row>
    <row r="1439" ht="15.75" customHeight="1">
      <c r="A1439" s="53">
        <f t="shared" si="7"/>
        <v>1434</v>
      </c>
      <c r="B1439" s="55"/>
      <c r="C1439" s="41"/>
      <c r="D1439" s="42"/>
      <c r="E1439" s="42"/>
      <c r="F1439" s="42" t="str">
        <f>+IFERROR(VLOOKUP(E1439,'DANH MỤC'!$C:$H,2,0),"")</f>
        <v/>
      </c>
      <c r="G1439" s="42" t="str">
        <f>+IFERROR(VLOOKUP(E1439,'DANH MỤC'!$C:$H,6,0),"")</f>
        <v/>
      </c>
      <c r="H1439" s="42" t="str">
        <f>+IFERROR(VLOOKUP(E1439,'DANH MỤC'!$C:$H,3,0),"")</f>
        <v/>
      </c>
      <c r="I1439" s="42" t="str">
        <f>+IFERROR(VLOOKUP(E1439,'DANH MỤC'!$C:$H,4,0),"")</f>
        <v/>
      </c>
      <c r="J1439" s="42" t="str">
        <f>+IFERROR(VLOOKUP(E1439,'DANH MỤC'!$C:$H,5,0),"")</f>
        <v/>
      </c>
      <c r="K1439" s="53"/>
      <c r="L1439" s="58"/>
      <c r="M1439" s="55"/>
      <c r="N1439" s="55"/>
    </row>
    <row r="1440" ht="15.75" customHeight="1">
      <c r="A1440" s="53">
        <f t="shared" si="7"/>
        <v>1435</v>
      </c>
      <c r="B1440" s="55"/>
      <c r="C1440" s="41"/>
      <c r="D1440" s="42"/>
      <c r="E1440" s="42"/>
      <c r="F1440" s="42" t="str">
        <f>+IFERROR(VLOOKUP(E1440,'DANH MỤC'!$C:$H,2,0),"")</f>
        <v/>
      </c>
      <c r="G1440" s="42" t="str">
        <f>+IFERROR(VLOOKUP(E1440,'DANH MỤC'!$C:$H,6,0),"")</f>
        <v/>
      </c>
      <c r="H1440" s="42" t="str">
        <f>+IFERROR(VLOOKUP(E1440,'DANH MỤC'!$C:$H,3,0),"")</f>
        <v/>
      </c>
      <c r="I1440" s="42" t="str">
        <f>+IFERROR(VLOOKUP(E1440,'DANH MỤC'!$C:$H,4,0),"")</f>
        <v/>
      </c>
      <c r="J1440" s="42" t="str">
        <f>+IFERROR(VLOOKUP(E1440,'DANH MỤC'!$C:$H,5,0),"")</f>
        <v/>
      </c>
      <c r="K1440" s="53"/>
      <c r="L1440" s="58"/>
      <c r="M1440" s="55"/>
      <c r="N1440" s="55"/>
    </row>
    <row r="1441" ht="15.75" customHeight="1">
      <c r="A1441" s="53">
        <f t="shared" si="7"/>
        <v>1436</v>
      </c>
      <c r="B1441" s="55"/>
      <c r="C1441" s="41"/>
      <c r="D1441" s="42"/>
      <c r="E1441" s="42"/>
      <c r="F1441" s="42" t="str">
        <f>+IFERROR(VLOOKUP(E1441,'DANH MỤC'!$C:$H,2,0),"")</f>
        <v/>
      </c>
      <c r="G1441" s="42" t="str">
        <f>+IFERROR(VLOOKUP(E1441,'DANH MỤC'!$C:$H,6,0),"")</f>
        <v/>
      </c>
      <c r="H1441" s="42" t="str">
        <f>+IFERROR(VLOOKUP(E1441,'DANH MỤC'!$C:$H,3,0),"")</f>
        <v/>
      </c>
      <c r="I1441" s="42" t="str">
        <f>+IFERROR(VLOOKUP(E1441,'DANH MỤC'!$C:$H,4,0),"")</f>
        <v/>
      </c>
      <c r="J1441" s="42" t="str">
        <f>+IFERROR(VLOOKUP(E1441,'DANH MỤC'!$C:$H,5,0),"")</f>
        <v/>
      </c>
      <c r="K1441" s="53"/>
      <c r="L1441" s="58"/>
      <c r="M1441" s="55"/>
      <c r="N1441" s="55"/>
    </row>
    <row r="1442" ht="15.75" customHeight="1">
      <c r="A1442" s="53">
        <f t="shared" si="7"/>
        <v>1437</v>
      </c>
      <c r="B1442" s="55"/>
      <c r="C1442" s="41"/>
      <c r="D1442" s="42"/>
      <c r="E1442" s="42"/>
      <c r="F1442" s="42" t="str">
        <f>+IFERROR(VLOOKUP(E1442,'DANH MỤC'!$C:$H,2,0),"")</f>
        <v/>
      </c>
      <c r="G1442" s="42" t="str">
        <f>+IFERROR(VLOOKUP(E1442,'DANH MỤC'!$C:$H,6,0),"")</f>
        <v/>
      </c>
      <c r="H1442" s="42" t="str">
        <f>+IFERROR(VLOOKUP(E1442,'DANH MỤC'!$C:$H,3,0),"")</f>
        <v/>
      </c>
      <c r="I1442" s="42" t="str">
        <f>+IFERROR(VLOOKUP(E1442,'DANH MỤC'!$C:$H,4,0),"")</f>
        <v/>
      </c>
      <c r="J1442" s="42" t="str">
        <f>+IFERROR(VLOOKUP(E1442,'DANH MỤC'!$C:$H,5,0),"")</f>
        <v/>
      </c>
      <c r="K1442" s="53"/>
      <c r="L1442" s="58"/>
      <c r="M1442" s="55"/>
      <c r="N1442" s="55"/>
    </row>
    <row r="1443" ht="15.75" customHeight="1">
      <c r="A1443" s="53">
        <f t="shared" si="7"/>
        <v>1438</v>
      </c>
      <c r="B1443" s="55"/>
      <c r="C1443" s="41"/>
      <c r="D1443" s="42"/>
      <c r="E1443" s="42"/>
      <c r="F1443" s="42" t="str">
        <f>+IFERROR(VLOOKUP(E1443,'DANH MỤC'!$C:$H,2,0),"")</f>
        <v/>
      </c>
      <c r="G1443" s="42" t="str">
        <f>+IFERROR(VLOOKUP(E1443,'DANH MỤC'!$C:$H,6,0),"")</f>
        <v/>
      </c>
      <c r="H1443" s="42" t="str">
        <f>+IFERROR(VLOOKUP(E1443,'DANH MỤC'!$C:$H,3,0),"")</f>
        <v/>
      </c>
      <c r="I1443" s="42" t="str">
        <f>+IFERROR(VLOOKUP(E1443,'DANH MỤC'!$C:$H,4,0),"")</f>
        <v/>
      </c>
      <c r="J1443" s="42" t="str">
        <f>+IFERROR(VLOOKUP(E1443,'DANH MỤC'!$C:$H,5,0),"")</f>
        <v/>
      </c>
      <c r="K1443" s="53"/>
      <c r="L1443" s="58"/>
      <c r="M1443" s="55"/>
      <c r="N1443" s="55"/>
    </row>
    <row r="1444" ht="15.75" customHeight="1">
      <c r="A1444" s="53">
        <f t="shared" si="7"/>
        <v>1439</v>
      </c>
      <c r="B1444" s="55"/>
      <c r="C1444" s="41"/>
      <c r="D1444" s="42"/>
      <c r="E1444" s="42"/>
      <c r="F1444" s="42" t="str">
        <f>+IFERROR(VLOOKUP(E1444,'DANH MỤC'!$C:$H,2,0),"")</f>
        <v/>
      </c>
      <c r="G1444" s="42" t="str">
        <f>+IFERROR(VLOOKUP(E1444,'DANH MỤC'!$C:$H,6,0),"")</f>
        <v/>
      </c>
      <c r="H1444" s="42" t="str">
        <f>+IFERROR(VLOOKUP(E1444,'DANH MỤC'!$C:$H,3,0),"")</f>
        <v/>
      </c>
      <c r="I1444" s="42" t="str">
        <f>+IFERROR(VLOOKUP(E1444,'DANH MỤC'!$C:$H,4,0),"")</f>
        <v/>
      </c>
      <c r="J1444" s="42" t="str">
        <f>+IFERROR(VLOOKUP(E1444,'DANH MỤC'!$C:$H,5,0),"")</f>
        <v/>
      </c>
      <c r="K1444" s="53"/>
      <c r="L1444" s="58"/>
      <c r="M1444" s="55"/>
      <c r="N1444" s="55"/>
    </row>
    <row r="1445" ht="15.75" customHeight="1">
      <c r="A1445" s="53">
        <f t="shared" si="7"/>
        <v>1440</v>
      </c>
      <c r="B1445" s="55"/>
      <c r="C1445" s="41"/>
      <c r="D1445" s="42"/>
      <c r="E1445" s="42"/>
      <c r="F1445" s="42" t="str">
        <f>+IFERROR(VLOOKUP(E1445,'DANH MỤC'!$C:$H,2,0),"")</f>
        <v/>
      </c>
      <c r="G1445" s="42" t="str">
        <f>+IFERROR(VLOOKUP(E1445,'DANH MỤC'!$C:$H,6,0),"")</f>
        <v/>
      </c>
      <c r="H1445" s="42" t="str">
        <f>+IFERROR(VLOOKUP(E1445,'DANH MỤC'!$C:$H,3,0),"")</f>
        <v/>
      </c>
      <c r="I1445" s="42" t="str">
        <f>+IFERROR(VLOOKUP(E1445,'DANH MỤC'!$C:$H,4,0),"")</f>
        <v/>
      </c>
      <c r="J1445" s="42" t="str">
        <f>+IFERROR(VLOOKUP(E1445,'DANH MỤC'!$C:$H,5,0),"")</f>
        <v/>
      </c>
      <c r="K1445" s="53"/>
      <c r="L1445" s="58"/>
      <c r="M1445" s="55"/>
      <c r="N1445" s="55"/>
    </row>
    <row r="1446" ht="15.75" customHeight="1">
      <c r="A1446" s="53">
        <f t="shared" si="7"/>
        <v>1441</v>
      </c>
      <c r="B1446" s="55"/>
      <c r="C1446" s="41"/>
      <c r="D1446" s="42"/>
      <c r="E1446" s="42"/>
      <c r="F1446" s="42" t="str">
        <f>+IFERROR(VLOOKUP(E1446,'DANH MỤC'!$C:$H,2,0),"")</f>
        <v/>
      </c>
      <c r="G1446" s="42" t="str">
        <f>+IFERROR(VLOOKUP(E1446,'DANH MỤC'!$C:$H,6,0),"")</f>
        <v/>
      </c>
      <c r="H1446" s="42" t="str">
        <f>+IFERROR(VLOOKUP(E1446,'DANH MỤC'!$C:$H,3,0),"")</f>
        <v/>
      </c>
      <c r="I1446" s="42" t="str">
        <f>+IFERROR(VLOOKUP(E1446,'DANH MỤC'!$C:$H,4,0),"")</f>
        <v/>
      </c>
      <c r="J1446" s="42" t="str">
        <f>+IFERROR(VLOOKUP(E1446,'DANH MỤC'!$C:$H,5,0),"")</f>
        <v/>
      </c>
      <c r="K1446" s="53"/>
      <c r="L1446" s="58"/>
      <c r="M1446" s="55"/>
      <c r="N1446" s="55"/>
    </row>
    <row r="1447" ht="15.75" customHeight="1">
      <c r="A1447" s="53">
        <f t="shared" si="7"/>
        <v>1442</v>
      </c>
      <c r="B1447" s="55"/>
      <c r="C1447" s="41"/>
      <c r="D1447" s="42"/>
      <c r="E1447" s="42"/>
      <c r="F1447" s="42" t="str">
        <f>+IFERROR(VLOOKUP(E1447,'DANH MỤC'!$C:$H,2,0),"")</f>
        <v/>
      </c>
      <c r="G1447" s="42" t="str">
        <f>+IFERROR(VLOOKUP(E1447,'DANH MỤC'!$C:$H,6,0),"")</f>
        <v/>
      </c>
      <c r="H1447" s="42" t="str">
        <f>+IFERROR(VLOOKUP(E1447,'DANH MỤC'!$C:$H,3,0),"")</f>
        <v/>
      </c>
      <c r="I1447" s="42" t="str">
        <f>+IFERROR(VLOOKUP(E1447,'DANH MỤC'!$C:$H,4,0),"")</f>
        <v/>
      </c>
      <c r="J1447" s="42" t="str">
        <f>+IFERROR(VLOOKUP(E1447,'DANH MỤC'!$C:$H,5,0),"")</f>
        <v/>
      </c>
      <c r="K1447" s="53"/>
      <c r="L1447" s="58"/>
      <c r="M1447" s="55"/>
      <c r="N1447" s="55"/>
    </row>
    <row r="1448" ht="15.75" customHeight="1">
      <c r="A1448" s="53">
        <f t="shared" si="7"/>
        <v>1443</v>
      </c>
      <c r="B1448" s="55"/>
      <c r="C1448" s="41"/>
      <c r="D1448" s="42"/>
      <c r="E1448" s="42"/>
      <c r="F1448" s="42" t="str">
        <f>+IFERROR(VLOOKUP(E1448,'DANH MỤC'!$C:$H,2,0),"")</f>
        <v/>
      </c>
      <c r="G1448" s="42" t="str">
        <f>+IFERROR(VLOOKUP(E1448,'DANH MỤC'!$C:$H,6,0),"")</f>
        <v/>
      </c>
      <c r="H1448" s="42" t="str">
        <f>+IFERROR(VLOOKUP(E1448,'DANH MỤC'!$C:$H,3,0),"")</f>
        <v/>
      </c>
      <c r="I1448" s="42" t="str">
        <f>+IFERROR(VLOOKUP(E1448,'DANH MỤC'!$C:$H,4,0),"")</f>
        <v/>
      </c>
      <c r="J1448" s="42" t="str">
        <f>+IFERROR(VLOOKUP(E1448,'DANH MỤC'!$C:$H,5,0),"")</f>
        <v/>
      </c>
      <c r="K1448" s="53"/>
      <c r="L1448" s="58"/>
      <c r="M1448" s="55"/>
      <c r="N1448" s="55"/>
    </row>
    <row r="1449" ht="15.75" customHeight="1">
      <c r="A1449" s="53">
        <f t="shared" si="7"/>
        <v>1444</v>
      </c>
      <c r="B1449" s="55"/>
      <c r="C1449" s="41"/>
      <c r="D1449" s="42"/>
      <c r="E1449" s="42"/>
      <c r="F1449" s="42" t="str">
        <f>+IFERROR(VLOOKUP(E1449,'DANH MỤC'!$C:$H,2,0),"")</f>
        <v/>
      </c>
      <c r="G1449" s="42" t="str">
        <f>+IFERROR(VLOOKUP(E1449,'DANH MỤC'!$C:$H,6,0),"")</f>
        <v/>
      </c>
      <c r="H1449" s="42" t="str">
        <f>+IFERROR(VLOOKUP(E1449,'DANH MỤC'!$C:$H,3,0),"")</f>
        <v/>
      </c>
      <c r="I1449" s="42" t="str">
        <f>+IFERROR(VLOOKUP(E1449,'DANH MỤC'!$C:$H,4,0),"")</f>
        <v/>
      </c>
      <c r="J1449" s="42" t="str">
        <f>+IFERROR(VLOOKUP(E1449,'DANH MỤC'!$C:$H,5,0),"")</f>
        <v/>
      </c>
      <c r="K1449" s="53"/>
      <c r="L1449" s="58"/>
      <c r="M1449" s="55"/>
      <c r="N1449" s="55"/>
    </row>
    <row r="1450" ht="15.75" customHeight="1">
      <c r="A1450" s="53">
        <f t="shared" si="7"/>
        <v>1445</v>
      </c>
      <c r="B1450" s="55"/>
      <c r="C1450" s="41"/>
      <c r="D1450" s="42"/>
      <c r="E1450" s="42"/>
      <c r="F1450" s="42" t="str">
        <f>+IFERROR(VLOOKUP(E1450,'DANH MỤC'!$C:$H,2,0),"")</f>
        <v/>
      </c>
      <c r="G1450" s="42" t="str">
        <f>+IFERROR(VLOOKUP(E1450,'DANH MỤC'!$C:$H,6,0),"")</f>
        <v/>
      </c>
      <c r="H1450" s="42" t="str">
        <f>+IFERROR(VLOOKUP(E1450,'DANH MỤC'!$C:$H,3,0),"")</f>
        <v/>
      </c>
      <c r="I1450" s="42" t="str">
        <f>+IFERROR(VLOOKUP(E1450,'DANH MỤC'!$C:$H,4,0),"")</f>
        <v/>
      </c>
      <c r="J1450" s="42" t="str">
        <f>+IFERROR(VLOOKUP(E1450,'DANH MỤC'!$C:$H,5,0),"")</f>
        <v/>
      </c>
      <c r="K1450" s="53"/>
      <c r="L1450" s="58"/>
      <c r="M1450" s="55"/>
      <c r="N1450" s="55"/>
    </row>
    <row r="1451" ht="15.75" customHeight="1">
      <c r="A1451" s="53">
        <f t="shared" si="7"/>
        <v>1446</v>
      </c>
      <c r="B1451" s="55"/>
      <c r="C1451" s="41"/>
      <c r="D1451" s="42"/>
      <c r="E1451" s="42"/>
      <c r="F1451" s="42" t="str">
        <f>+IFERROR(VLOOKUP(E1451,'DANH MỤC'!$C:$H,2,0),"")</f>
        <v/>
      </c>
      <c r="G1451" s="42" t="str">
        <f>+IFERROR(VLOOKUP(E1451,'DANH MỤC'!$C:$H,6,0),"")</f>
        <v/>
      </c>
      <c r="H1451" s="42" t="str">
        <f>+IFERROR(VLOOKUP(E1451,'DANH MỤC'!$C:$H,3,0),"")</f>
        <v/>
      </c>
      <c r="I1451" s="42" t="str">
        <f>+IFERROR(VLOOKUP(E1451,'DANH MỤC'!$C:$H,4,0),"")</f>
        <v/>
      </c>
      <c r="J1451" s="42" t="str">
        <f>+IFERROR(VLOOKUP(E1451,'DANH MỤC'!$C:$H,5,0),"")</f>
        <v/>
      </c>
      <c r="K1451" s="53"/>
      <c r="L1451" s="58"/>
      <c r="M1451" s="55"/>
      <c r="N1451" s="55"/>
    </row>
    <row r="1452" ht="15.75" customHeight="1">
      <c r="A1452" s="53">
        <f t="shared" si="7"/>
        <v>1447</v>
      </c>
      <c r="B1452" s="55"/>
      <c r="C1452" s="41"/>
      <c r="D1452" s="42"/>
      <c r="E1452" s="42"/>
      <c r="F1452" s="42" t="str">
        <f>+IFERROR(VLOOKUP(E1452,'DANH MỤC'!$C:$H,2,0),"")</f>
        <v/>
      </c>
      <c r="G1452" s="42" t="str">
        <f>+IFERROR(VLOOKUP(E1452,'DANH MỤC'!$C:$H,6,0),"")</f>
        <v/>
      </c>
      <c r="H1452" s="42" t="str">
        <f>+IFERROR(VLOOKUP(E1452,'DANH MỤC'!$C:$H,3,0),"")</f>
        <v/>
      </c>
      <c r="I1452" s="42" t="str">
        <f>+IFERROR(VLOOKUP(E1452,'DANH MỤC'!$C:$H,4,0),"")</f>
        <v/>
      </c>
      <c r="J1452" s="42" t="str">
        <f>+IFERROR(VLOOKUP(E1452,'DANH MỤC'!$C:$H,5,0),"")</f>
        <v/>
      </c>
      <c r="K1452" s="53"/>
      <c r="L1452" s="58"/>
      <c r="M1452" s="55"/>
      <c r="N1452" s="55"/>
    </row>
    <row r="1453" ht="15.75" customHeight="1">
      <c r="A1453" s="53">
        <f t="shared" si="7"/>
        <v>1448</v>
      </c>
      <c r="B1453" s="55"/>
      <c r="C1453" s="41"/>
      <c r="D1453" s="42"/>
      <c r="E1453" s="42"/>
      <c r="F1453" s="42" t="str">
        <f>+IFERROR(VLOOKUP(E1453,'DANH MỤC'!$C:$H,2,0),"")</f>
        <v/>
      </c>
      <c r="G1453" s="42" t="str">
        <f>+IFERROR(VLOOKUP(E1453,'DANH MỤC'!$C:$H,6,0),"")</f>
        <v/>
      </c>
      <c r="H1453" s="42" t="str">
        <f>+IFERROR(VLOOKUP(E1453,'DANH MỤC'!$C:$H,3,0),"")</f>
        <v/>
      </c>
      <c r="I1453" s="42" t="str">
        <f>+IFERROR(VLOOKUP(E1453,'DANH MỤC'!$C:$H,4,0),"")</f>
        <v/>
      </c>
      <c r="J1453" s="42" t="str">
        <f>+IFERROR(VLOOKUP(E1453,'DANH MỤC'!$C:$H,5,0),"")</f>
        <v/>
      </c>
      <c r="K1453" s="53"/>
      <c r="L1453" s="58"/>
      <c r="M1453" s="55"/>
      <c r="N1453" s="55"/>
    </row>
    <row r="1454" ht="15.75" customHeight="1">
      <c r="A1454" s="53">
        <f t="shared" si="7"/>
        <v>1449</v>
      </c>
      <c r="B1454" s="55"/>
      <c r="C1454" s="41"/>
      <c r="D1454" s="42"/>
      <c r="E1454" s="42"/>
      <c r="F1454" s="42" t="str">
        <f>+IFERROR(VLOOKUP(E1454,'DANH MỤC'!$C:$H,2,0),"")</f>
        <v/>
      </c>
      <c r="G1454" s="42" t="str">
        <f>+IFERROR(VLOOKUP(E1454,'DANH MỤC'!$C:$H,6,0),"")</f>
        <v/>
      </c>
      <c r="H1454" s="42" t="str">
        <f>+IFERROR(VLOOKUP(E1454,'DANH MỤC'!$C:$H,3,0),"")</f>
        <v/>
      </c>
      <c r="I1454" s="42" t="str">
        <f>+IFERROR(VLOOKUP(E1454,'DANH MỤC'!$C:$H,4,0),"")</f>
        <v/>
      </c>
      <c r="J1454" s="42" t="str">
        <f>+IFERROR(VLOOKUP(E1454,'DANH MỤC'!$C:$H,5,0),"")</f>
        <v/>
      </c>
      <c r="K1454" s="53"/>
      <c r="L1454" s="58"/>
      <c r="M1454" s="55"/>
      <c r="N1454" s="55"/>
    </row>
    <row r="1455" ht="15.75" customHeight="1">
      <c r="A1455" s="53">
        <f t="shared" si="7"/>
        <v>1450</v>
      </c>
      <c r="B1455" s="55"/>
      <c r="C1455" s="41"/>
      <c r="D1455" s="42"/>
      <c r="E1455" s="42"/>
      <c r="F1455" s="42" t="str">
        <f>+IFERROR(VLOOKUP(E1455,'DANH MỤC'!$C:$H,2,0),"")</f>
        <v/>
      </c>
      <c r="G1455" s="42" t="str">
        <f>+IFERROR(VLOOKUP(E1455,'DANH MỤC'!$C:$H,6,0),"")</f>
        <v/>
      </c>
      <c r="H1455" s="42" t="str">
        <f>+IFERROR(VLOOKUP(E1455,'DANH MỤC'!$C:$H,3,0),"")</f>
        <v/>
      </c>
      <c r="I1455" s="42" t="str">
        <f>+IFERROR(VLOOKUP(E1455,'DANH MỤC'!$C:$H,4,0),"")</f>
        <v/>
      </c>
      <c r="J1455" s="42" t="str">
        <f>+IFERROR(VLOOKUP(E1455,'DANH MỤC'!$C:$H,5,0),"")</f>
        <v/>
      </c>
      <c r="K1455" s="53"/>
      <c r="L1455" s="58"/>
      <c r="M1455" s="55"/>
      <c r="N1455" s="55"/>
    </row>
    <row r="1456" ht="15.75" customHeight="1">
      <c r="A1456" s="53">
        <f t="shared" si="7"/>
        <v>1451</v>
      </c>
      <c r="B1456" s="55"/>
      <c r="C1456" s="41"/>
      <c r="D1456" s="42"/>
      <c r="E1456" s="42"/>
      <c r="F1456" s="42" t="str">
        <f>+IFERROR(VLOOKUP(E1456,'DANH MỤC'!$C:$H,2,0),"")</f>
        <v/>
      </c>
      <c r="G1456" s="42" t="str">
        <f>+IFERROR(VLOOKUP(E1456,'DANH MỤC'!$C:$H,6,0),"")</f>
        <v/>
      </c>
      <c r="H1456" s="42" t="str">
        <f>+IFERROR(VLOOKUP(E1456,'DANH MỤC'!$C:$H,3,0),"")</f>
        <v/>
      </c>
      <c r="I1456" s="42" t="str">
        <f>+IFERROR(VLOOKUP(E1456,'DANH MỤC'!$C:$H,4,0),"")</f>
        <v/>
      </c>
      <c r="J1456" s="42" t="str">
        <f>+IFERROR(VLOOKUP(E1456,'DANH MỤC'!$C:$H,5,0),"")</f>
        <v/>
      </c>
      <c r="K1456" s="53"/>
      <c r="L1456" s="58"/>
      <c r="M1456" s="55"/>
      <c r="N1456" s="55"/>
    </row>
    <row r="1457" ht="15.75" customHeight="1">
      <c r="A1457" s="53">
        <f t="shared" si="7"/>
        <v>1452</v>
      </c>
      <c r="B1457" s="55"/>
      <c r="C1457" s="41"/>
      <c r="D1457" s="42"/>
      <c r="E1457" s="42"/>
      <c r="F1457" s="42" t="str">
        <f>+IFERROR(VLOOKUP(E1457,'DANH MỤC'!$C:$H,2,0),"")</f>
        <v/>
      </c>
      <c r="G1457" s="42" t="str">
        <f>+IFERROR(VLOOKUP(E1457,'DANH MỤC'!$C:$H,6,0),"")</f>
        <v/>
      </c>
      <c r="H1457" s="42" t="str">
        <f>+IFERROR(VLOOKUP(E1457,'DANH MỤC'!$C:$H,3,0),"")</f>
        <v/>
      </c>
      <c r="I1457" s="42" t="str">
        <f>+IFERROR(VLOOKUP(E1457,'DANH MỤC'!$C:$H,4,0),"")</f>
        <v/>
      </c>
      <c r="J1457" s="42" t="str">
        <f>+IFERROR(VLOOKUP(E1457,'DANH MỤC'!$C:$H,5,0),"")</f>
        <v/>
      </c>
      <c r="K1457" s="53"/>
      <c r="L1457" s="58"/>
      <c r="M1457" s="55"/>
      <c r="N1457" s="55"/>
    </row>
    <row r="1458" ht="15.75" customHeight="1">
      <c r="A1458" s="53">
        <f t="shared" si="7"/>
        <v>1453</v>
      </c>
      <c r="B1458" s="55"/>
      <c r="C1458" s="41"/>
      <c r="D1458" s="42"/>
      <c r="E1458" s="42"/>
      <c r="F1458" s="42" t="str">
        <f>+IFERROR(VLOOKUP(E1458,'DANH MỤC'!$C:$H,2,0),"")</f>
        <v/>
      </c>
      <c r="G1458" s="42" t="str">
        <f>+IFERROR(VLOOKUP(E1458,'DANH MỤC'!$C:$H,6,0),"")</f>
        <v/>
      </c>
      <c r="H1458" s="42" t="str">
        <f>+IFERROR(VLOOKUP(E1458,'DANH MỤC'!$C:$H,3,0),"")</f>
        <v/>
      </c>
      <c r="I1458" s="42" t="str">
        <f>+IFERROR(VLOOKUP(E1458,'DANH MỤC'!$C:$H,4,0),"")</f>
        <v/>
      </c>
      <c r="J1458" s="42" t="str">
        <f>+IFERROR(VLOOKUP(E1458,'DANH MỤC'!$C:$H,5,0),"")</f>
        <v/>
      </c>
      <c r="K1458" s="53"/>
      <c r="L1458" s="58"/>
      <c r="M1458" s="55"/>
      <c r="N1458" s="55"/>
    </row>
    <row r="1459" ht="15.75" customHeight="1">
      <c r="A1459" s="53">
        <f t="shared" si="7"/>
        <v>1454</v>
      </c>
      <c r="B1459" s="55"/>
      <c r="C1459" s="41"/>
      <c r="D1459" s="42"/>
      <c r="E1459" s="42"/>
      <c r="F1459" s="42" t="str">
        <f>+IFERROR(VLOOKUP(E1459,'DANH MỤC'!$C:$H,2,0),"")</f>
        <v/>
      </c>
      <c r="G1459" s="42" t="str">
        <f>+IFERROR(VLOOKUP(E1459,'DANH MỤC'!$C:$H,6,0),"")</f>
        <v/>
      </c>
      <c r="H1459" s="42" t="str">
        <f>+IFERROR(VLOOKUP(E1459,'DANH MỤC'!$C:$H,3,0),"")</f>
        <v/>
      </c>
      <c r="I1459" s="42" t="str">
        <f>+IFERROR(VLOOKUP(E1459,'DANH MỤC'!$C:$H,4,0),"")</f>
        <v/>
      </c>
      <c r="J1459" s="42" t="str">
        <f>+IFERROR(VLOOKUP(E1459,'DANH MỤC'!$C:$H,5,0),"")</f>
        <v/>
      </c>
      <c r="K1459" s="53"/>
      <c r="L1459" s="58"/>
      <c r="M1459" s="55"/>
      <c r="N1459" s="55"/>
    </row>
    <row r="1460" ht="15.75" customHeight="1">
      <c r="A1460" s="53">
        <f t="shared" si="7"/>
        <v>1455</v>
      </c>
      <c r="B1460" s="55"/>
      <c r="C1460" s="41"/>
      <c r="D1460" s="42"/>
      <c r="E1460" s="42"/>
      <c r="F1460" s="42" t="str">
        <f>+IFERROR(VLOOKUP(E1460,'DANH MỤC'!$C:$H,2,0),"")</f>
        <v/>
      </c>
      <c r="G1460" s="42" t="str">
        <f>+IFERROR(VLOOKUP(E1460,'DANH MỤC'!$C:$H,6,0),"")</f>
        <v/>
      </c>
      <c r="H1460" s="42" t="str">
        <f>+IFERROR(VLOOKUP(E1460,'DANH MỤC'!$C:$H,3,0),"")</f>
        <v/>
      </c>
      <c r="I1460" s="42" t="str">
        <f>+IFERROR(VLOOKUP(E1460,'DANH MỤC'!$C:$H,4,0),"")</f>
        <v/>
      </c>
      <c r="J1460" s="42" t="str">
        <f>+IFERROR(VLOOKUP(E1460,'DANH MỤC'!$C:$H,5,0),"")</f>
        <v/>
      </c>
      <c r="K1460" s="53"/>
      <c r="L1460" s="58"/>
      <c r="M1460" s="55"/>
      <c r="N1460" s="55"/>
    </row>
    <row r="1461" ht="15.75" customHeight="1">
      <c r="A1461" s="53">
        <f t="shared" si="7"/>
        <v>1456</v>
      </c>
      <c r="B1461" s="55"/>
      <c r="C1461" s="41"/>
      <c r="D1461" s="42"/>
      <c r="E1461" s="42"/>
      <c r="F1461" s="42" t="str">
        <f>+IFERROR(VLOOKUP(E1461,'DANH MỤC'!$C:$H,2,0),"")</f>
        <v/>
      </c>
      <c r="G1461" s="42" t="str">
        <f>+IFERROR(VLOOKUP(E1461,'DANH MỤC'!$C:$H,6,0),"")</f>
        <v/>
      </c>
      <c r="H1461" s="42" t="str">
        <f>+IFERROR(VLOOKUP(E1461,'DANH MỤC'!$C:$H,3,0),"")</f>
        <v/>
      </c>
      <c r="I1461" s="42" t="str">
        <f>+IFERROR(VLOOKUP(E1461,'DANH MỤC'!$C:$H,4,0),"")</f>
        <v/>
      </c>
      <c r="J1461" s="42" t="str">
        <f>+IFERROR(VLOOKUP(E1461,'DANH MỤC'!$C:$H,5,0),"")</f>
        <v/>
      </c>
      <c r="K1461" s="53"/>
      <c r="L1461" s="58"/>
      <c r="M1461" s="55"/>
      <c r="N1461" s="55"/>
    </row>
    <row r="1462" ht="15.75" customHeight="1">
      <c r="A1462" s="53">
        <f t="shared" si="7"/>
        <v>1457</v>
      </c>
      <c r="B1462" s="55"/>
      <c r="C1462" s="41"/>
      <c r="D1462" s="42"/>
      <c r="E1462" s="42"/>
      <c r="F1462" s="42" t="str">
        <f>+IFERROR(VLOOKUP(E1462,'DANH MỤC'!$C:$H,2,0),"")</f>
        <v/>
      </c>
      <c r="G1462" s="42" t="str">
        <f>+IFERROR(VLOOKUP(E1462,'DANH MỤC'!$C:$H,6,0),"")</f>
        <v/>
      </c>
      <c r="H1462" s="42" t="str">
        <f>+IFERROR(VLOOKUP(E1462,'DANH MỤC'!$C:$H,3,0),"")</f>
        <v/>
      </c>
      <c r="I1462" s="42" t="str">
        <f>+IFERROR(VLOOKUP(E1462,'DANH MỤC'!$C:$H,4,0),"")</f>
        <v/>
      </c>
      <c r="J1462" s="42" t="str">
        <f>+IFERROR(VLOOKUP(E1462,'DANH MỤC'!$C:$H,5,0),"")</f>
        <v/>
      </c>
      <c r="K1462" s="53"/>
      <c r="L1462" s="58"/>
      <c r="M1462" s="55"/>
      <c r="N1462" s="55"/>
    </row>
    <row r="1463" ht="15.75" customHeight="1">
      <c r="A1463" s="53">
        <f t="shared" si="7"/>
        <v>1458</v>
      </c>
      <c r="B1463" s="55"/>
      <c r="C1463" s="41"/>
      <c r="D1463" s="42"/>
      <c r="E1463" s="42"/>
      <c r="F1463" s="42" t="str">
        <f>+IFERROR(VLOOKUP(E1463,'DANH MỤC'!$C:$H,2,0),"")</f>
        <v/>
      </c>
      <c r="G1463" s="42" t="str">
        <f>+IFERROR(VLOOKUP(E1463,'DANH MỤC'!$C:$H,6,0),"")</f>
        <v/>
      </c>
      <c r="H1463" s="42" t="str">
        <f>+IFERROR(VLOOKUP(E1463,'DANH MỤC'!$C:$H,3,0),"")</f>
        <v/>
      </c>
      <c r="I1463" s="42" t="str">
        <f>+IFERROR(VLOOKUP(E1463,'DANH MỤC'!$C:$H,4,0),"")</f>
        <v/>
      </c>
      <c r="J1463" s="42" t="str">
        <f>+IFERROR(VLOOKUP(E1463,'DANH MỤC'!$C:$H,5,0),"")</f>
        <v/>
      </c>
      <c r="K1463" s="53"/>
      <c r="L1463" s="58"/>
      <c r="M1463" s="55"/>
      <c r="N1463" s="55"/>
    </row>
    <row r="1464" ht="15.75" customHeight="1">
      <c r="A1464" s="53">
        <f t="shared" si="7"/>
        <v>1459</v>
      </c>
      <c r="B1464" s="55"/>
      <c r="C1464" s="41"/>
      <c r="D1464" s="42"/>
      <c r="E1464" s="42"/>
      <c r="F1464" s="42" t="str">
        <f>+IFERROR(VLOOKUP(E1464,'DANH MỤC'!$C:$H,2,0),"")</f>
        <v/>
      </c>
      <c r="G1464" s="42" t="str">
        <f>+IFERROR(VLOOKUP(E1464,'DANH MỤC'!$C:$H,6,0),"")</f>
        <v/>
      </c>
      <c r="H1464" s="42" t="str">
        <f>+IFERROR(VLOOKUP(E1464,'DANH MỤC'!$C:$H,3,0),"")</f>
        <v/>
      </c>
      <c r="I1464" s="42" t="str">
        <f>+IFERROR(VLOOKUP(E1464,'DANH MỤC'!$C:$H,4,0),"")</f>
        <v/>
      </c>
      <c r="J1464" s="42" t="str">
        <f>+IFERROR(VLOOKUP(E1464,'DANH MỤC'!$C:$H,5,0),"")</f>
        <v/>
      </c>
      <c r="K1464" s="53"/>
      <c r="L1464" s="58"/>
      <c r="M1464" s="55"/>
      <c r="N1464" s="55"/>
    </row>
    <row r="1465" ht="15.75" customHeight="1">
      <c r="A1465" s="53">
        <f t="shared" si="7"/>
        <v>1460</v>
      </c>
      <c r="B1465" s="55"/>
      <c r="C1465" s="41"/>
      <c r="D1465" s="42"/>
      <c r="E1465" s="42"/>
      <c r="F1465" s="42" t="str">
        <f>+IFERROR(VLOOKUP(E1465,'DANH MỤC'!$C:$H,2,0),"")</f>
        <v/>
      </c>
      <c r="G1465" s="42" t="str">
        <f>+IFERROR(VLOOKUP(E1465,'DANH MỤC'!$C:$H,6,0),"")</f>
        <v/>
      </c>
      <c r="H1465" s="42" t="str">
        <f>+IFERROR(VLOOKUP(E1465,'DANH MỤC'!$C:$H,3,0),"")</f>
        <v/>
      </c>
      <c r="I1465" s="42" t="str">
        <f>+IFERROR(VLOOKUP(E1465,'DANH MỤC'!$C:$H,4,0),"")</f>
        <v/>
      </c>
      <c r="J1465" s="42" t="str">
        <f>+IFERROR(VLOOKUP(E1465,'DANH MỤC'!$C:$H,5,0),"")</f>
        <v/>
      </c>
      <c r="K1465" s="53"/>
      <c r="L1465" s="58"/>
      <c r="M1465" s="55"/>
      <c r="N1465" s="55"/>
    </row>
    <row r="1466" ht="15.75" customHeight="1">
      <c r="A1466" s="53">
        <f t="shared" si="7"/>
        <v>1461</v>
      </c>
      <c r="B1466" s="55"/>
      <c r="C1466" s="41"/>
      <c r="D1466" s="42"/>
      <c r="E1466" s="42"/>
      <c r="F1466" s="42" t="str">
        <f>+IFERROR(VLOOKUP(E1466,'DANH MỤC'!$C:$H,2,0),"")</f>
        <v/>
      </c>
      <c r="G1466" s="42" t="str">
        <f>+IFERROR(VLOOKUP(E1466,'DANH MỤC'!$C:$H,6,0),"")</f>
        <v/>
      </c>
      <c r="H1466" s="42" t="str">
        <f>+IFERROR(VLOOKUP(E1466,'DANH MỤC'!$C:$H,3,0),"")</f>
        <v/>
      </c>
      <c r="I1466" s="42" t="str">
        <f>+IFERROR(VLOOKUP(E1466,'DANH MỤC'!$C:$H,4,0),"")</f>
        <v/>
      </c>
      <c r="J1466" s="42" t="str">
        <f>+IFERROR(VLOOKUP(E1466,'DANH MỤC'!$C:$H,5,0),"")</f>
        <v/>
      </c>
      <c r="K1466" s="53"/>
      <c r="L1466" s="58"/>
      <c r="M1466" s="55"/>
      <c r="N1466" s="55"/>
    </row>
    <row r="1467" ht="15.75" customHeight="1">
      <c r="A1467" s="53">
        <f t="shared" si="7"/>
        <v>1462</v>
      </c>
      <c r="B1467" s="55"/>
      <c r="C1467" s="41"/>
      <c r="D1467" s="42"/>
      <c r="E1467" s="42"/>
      <c r="F1467" s="42" t="str">
        <f>+IFERROR(VLOOKUP(E1467,'DANH MỤC'!$C:$H,2,0),"")</f>
        <v/>
      </c>
      <c r="G1467" s="42" t="str">
        <f>+IFERROR(VLOOKUP(E1467,'DANH MỤC'!$C:$H,6,0),"")</f>
        <v/>
      </c>
      <c r="H1467" s="42" t="str">
        <f>+IFERROR(VLOOKUP(E1467,'DANH MỤC'!$C:$H,3,0),"")</f>
        <v/>
      </c>
      <c r="I1467" s="42" t="str">
        <f>+IFERROR(VLOOKUP(E1467,'DANH MỤC'!$C:$H,4,0),"")</f>
        <v/>
      </c>
      <c r="J1467" s="42" t="str">
        <f>+IFERROR(VLOOKUP(E1467,'DANH MỤC'!$C:$H,5,0),"")</f>
        <v/>
      </c>
      <c r="K1467" s="53"/>
      <c r="L1467" s="58"/>
      <c r="M1467" s="55"/>
      <c r="N1467" s="55"/>
    </row>
    <row r="1468" ht="15.75" customHeight="1">
      <c r="A1468" s="53">
        <f t="shared" si="7"/>
        <v>1463</v>
      </c>
      <c r="B1468" s="55"/>
      <c r="C1468" s="41"/>
      <c r="D1468" s="42"/>
      <c r="E1468" s="42"/>
      <c r="F1468" s="42" t="str">
        <f>+IFERROR(VLOOKUP(E1468,'DANH MỤC'!$C:$H,2,0),"")</f>
        <v/>
      </c>
      <c r="G1468" s="42" t="str">
        <f>+IFERROR(VLOOKUP(E1468,'DANH MỤC'!$C:$H,6,0),"")</f>
        <v/>
      </c>
      <c r="H1468" s="42" t="str">
        <f>+IFERROR(VLOOKUP(E1468,'DANH MỤC'!$C:$H,3,0),"")</f>
        <v/>
      </c>
      <c r="I1468" s="42" t="str">
        <f>+IFERROR(VLOOKUP(E1468,'DANH MỤC'!$C:$H,4,0),"")</f>
        <v/>
      </c>
      <c r="J1468" s="42" t="str">
        <f>+IFERROR(VLOOKUP(E1468,'DANH MỤC'!$C:$H,5,0),"")</f>
        <v/>
      </c>
      <c r="K1468" s="53"/>
      <c r="L1468" s="58"/>
      <c r="M1468" s="55"/>
      <c r="N1468" s="55"/>
    </row>
    <row r="1469" ht="15.75" customHeight="1">
      <c r="A1469" s="53">
        <f t="shared" si="7"/>
        <v>1464</v>
      </c>
      <c r="B1469" s="55"/>
      <c r="C1469" s="41"/>
      <c r="D1469" s="42"/>
      <c r="E1469" s="42"/>
      <c r="F1469" s="42" t="str">
        <f>+IFERROR(VLOOKUP(E1469,'DANH MỤC'!$C:$H,2,0),"")</f>
        <v/>
      </c>
      <c r="G1469" s="42" t="str">
        <f>+IFERROR(VLOOKUP(E1469,'DANH MỤC'!$C:$H,6,0),"")</f>
        <v/>
      </c>
      <c r="H1469" s="42" t="str">
        <f>+IFERROR(VLOOKUP(E1469,'DANH MỤC'!$C:$H,3,0),"")</f>
        <v/>
      </c>
      <c r="I1469" s="42" t="str">
        <f>+IFERROR(VLOOKUP(E1469,'DANH MỤC'!$C:$H,4,0),"")</f>
        <v/>
      </c>
      <c r="J1469" s="42" t="str">
        <f>+IFERROR(VLOOKUP(E1469,'DANH MỤC'!$C:$H,5,0),"")</f>
        <v/>
      </c>
      <c r="K1469" s="53"/>
      <c r="L1469" s="58"/>
      <c r="M1469" s="55"/>
      <c r="N1469" s="55"/>
    </row>
    <row r="1470" ht="15.75" customHeight="1">
      <c r="A1470" s="53">
        <f t="shared" si="7"/>
        <v>1465</v>
      </c>
      <c r="B1470" s="55"/>
      <c r="C1470" s="41"/>
      <c r="D1470" s="42"/>
      <c r="E1470" s="42"/>
      <c r="F1470" s="42" t="str">
        <f>+IFERROR(VLOOKUP(E1470,'DANH MỤC'!$C:$H,2,0),"")</f>
        <v/>
      </c>
      <c r="G1470" s="42" t="str">
        <f>+IFERROR(VLOOKUP(E1470,'DANH MỤC'!$C:$H,6,0),"")</f>
        <v/>
      </c>
      <c r="H1470" s="42" t="str">
        <f>+IFERROR(VLOOKUP(E1470,'DANH MỤC'!$C:$H,3,0),"")</f>
        <v/>
      </c>
      <c r="I1470" s="42" t="str">
        <f>+IFERROR(VLOOKUP(E1470,'DANH MỤC'!$C:$H,4,0),"")</f>
        <v/>
      </c>
      <c r="J1470" s="42" t="str">
        <f>+IFERROR(VLOOKUP(E1470,'DANH MỤC'!$C:$H,5,0),"")</f>
        <v/>
      </c>
      <c r="K1470" s="53"/>
      <c r="L1470" s="58"/>
      <c r="M1470" s="55"/>
      <c r="N1470" s="55"/>
    </row>
    <row r="1471" ht="15.75" customHeight="1">
      <c r="A1471" s="53">
        <f t="shared" si="7"/>
        <v>1466</v>
      </c>
      <c r="B1471" s="55"/>
      <c r="C1471" s="41"/>
      <c r="D1471" s="42"/>
      <c r="E1471" s="42"/>
      <c r="F1471" s="42" t="str">
        <f>+IFERROR(VLOOKUP(E1471,'DANH MỤC'!$C:$H,2,0),"")</f>
        <v/>
      </c>
      <c r="G1471" s="42" t="str">
        <f>+IFERROR(VLOOKUP(E1471,'DANH MỤC'!$C:$H,6,0),"")</f>
        <v/>
      </c>
      <c r="H1471" s="42" t="str">
        <f>+IFERROR(VLOOKUP(E1471,'DANH MỤC'!$C:$H,3,0),"")</f>
        <v/>
      </c>
      <c r="I1471" s="42" t="str">
        <f>+IFERROR(VLOOKUP(E1471,'DANH MỤC'!$C:$H,4,0),"")</f>
        <v/>
      </c>
      <c r="J1471" s="42" t="str">
        <f>+IFERROR(VLOOKUP(E1471,'DANH MỤC'!$C:$H,5,0),"")</f>
        <v/>
      </c>
      <c r="K1471" s="53"/>
      <c r="L1471" s="58"/>
      <c r="M1471" s="55"/>
      <c r="N1471" s="55"/>
    </row>
    <row r="1472" ht="15.75" customHeight="1">
      <c r="A1472" s="53">
        <f t="shared" si="7"/>
        <v>1467</v>
      </c>
      <c r="B1472" s="55"/>
      <c r="C1472" s="41"/>
      <c r="D1472" s="42"/>
      <c r="E1472" s="42"/>
      <c r="F1472" s="42" t="str">
        <f>+IFERROR(VLOOKUP(E1472,'DANH MỤC'!$C:$H,2,0),"")</f>
        <v/>
      </c>
      <c r="G1472" s="42" t="str">
        <f>+IFERROR(VLOOKUP(E1472,'DANH MỤC'!$C:$H,6,0),"")</f>
        <v/>
      </c>
      <c r="H1472" s="42" t="str">
        <f>+IFERROR(VLOOKUP(E1472,'DANH MỤC'!$C:$H,3,0),"")</f>
        <v/>
      </c>
      <c r="I1472" s="42" t="str">
        <f>+IFERROR(VLOOKUP(E1472,'DANH MỤC'!$C:$H,4,0),"")</f>
        <v/>
      </c>
      <c r="J1472" s="42" t="str">
        <f>+IFERROR(VLOOKUP(E1472,'DANH MỤC'!$C:$H,5,0),"")</f>
        <v/>
      </c>
      <c r="K1472" s="53"/>
      <c r="L1472" s="58"/>
      <c r="M1472" s="55"/>
      <c r="N1472" s="55"/>
    </row>
    <row r="1473" ht="15.75" customHeight="1">
      <c r="A1473" s="53">
        <f t="shared" si="7"/>
        <v>1468</v>
      </c>
      <c r="B1473" s="55"/>
      <c r="C1473" s="41"/>
      <c r="D1473" s="42"/>
      <c r="E1473" s="42"/>
      <c r="F1473" s="42" t="str">
        <f>+IFERROR(VLOOKUP(E1473,'DANH MỤC'!$C:$H,2,0),"")</f>
        <v/>
      </c>
      <c r="G1473" s="42" t="str">
        <f>+IFERROR(VLOOKUP(E1473,'DANH MỤC'!$C:$H,6,0),"")</f>
        <v/>
      </c>
      <c r="H1473" s="42" t="str">
        <f>+IFERROR(VLOOKUP(E1473,'DANH MỤC'!$C:$H,3,0),"")</f>
        <v/>
      </c>
      <c r="I1473" s="42" t="str">
        <f>+IFERROR(VLOOKUP(E1473,'DANH MỤC'!$C:$H,4,0),"")</f>
        <v/>
      </c>
      <c r="J1473" s="42" t="str">
        <f>+IFERROR(VLOOKUP(E1473,'DANH MỤC'!$C:$H,5,0),"")</f>
        <v/>
      </c>
      <c r="K1473" s="53"/>
      <c r="L1473" s="58"/>
      <c r="M1473" s="55"/>
      <c r="N1473" s="55"/>
    </row>
    <row r="1474" ht="15.75" customHeight="1">
      <c r="A1474" s="53">
        <f t="shared" si="7"/>
        <v>1469</v>
      </c>
      <c r="B1474" s="55"/>
      <c r="C1474" s="41"/>
      <c r="D1474" s="42"/>
      <c r="E1474" s="42"/>
      <c r="F1474" s="42" t="str">
        <f>+IFERROR(VLOOKUP(E1474,'DANH MỤC'!$C:$H,2,0),"")</f>
        <v/>
      </c>
      <c r="G1474" s="42" t="str">
        <f>+IFERROR(VLOOKUP(E1474,'DANH MỤC'!$C:$H,6,0),"")</f>
        <v/>
      </c>
      <c r="H1474" s="42" t="str">
        <f>+IFERROR(VLOOKUP(E1474,'DANH MỤC'!$C:$H,3,0),"")</f>
        <v/>
      </c>
      <c r="I1474" s="42" t="str">
        <f>+IFERROR(VLOOKUP(E1474,'DANH MỤC'!$C:$H,4,0),"")</f>
        <v/>
      </c>
      <c r="J1474" s="42" t="str">
        <f>+IFERROR(VLOOKUP(E1474,'DANH MỤC'!$C:$H,5,0),"")</f>
        <v/>
      </c>
      <c r="K1474" s="53"/>
      <c r="L1474" s="58"/>
      <c r="M1474" s="55"/>
      <c r="N1474" s="55"/>
    </row>
    <row r="1475" ht="15.75" customHeight="1">
      <c r="A1475" s="53">
        <f t="shared" si="7"/>
        <v>1470</v>
      </c>
      <c r="B1475" s="55"/>
      <c r="C1475" s="41"/>
      <c r="D1475" s="42"/>
      <c r="E1475" s="42"/>
      <c r="F1475" s="42" t="str">
        <f>+IFERROR(VLOOKUP(E1475,'DANH MỤC'!$C:$H,2,0),"")</f>
        <v/>
      </c>
      <c r="G1475" s="42" t="str">
        <f>+IFERROR(VLOOKUP(E1475,'DANH MỤC'!$C:$H,6,0),"")</f>
        <v/>
      </c>
      <c r="H1475" s="42" t="str">
        <f>+IFERROR(VLOOKUP(E1475,'DANH MỤC'!$C:$H,3,0),"")</f>
        <v/>
      </c>
      <c r="I1475" s="42" t="str">
        <f>+IFERROR(VLOOKUP(E1475,'DANH MỤC'!$C:$H,4,0),"")</f>
        <v/>
      </c>
      <c r="J1475" s="42" t="str">
        <f>+IFERROR(VLOOKUP(E1475,'DANH MỤC'!$C:$H,5,0),"")</f>
        <v/>
      </c>
      <c r="K1475" s="53"/>
      <c r="L1475" s="58"/>
      <c r="M1475" s="55"/>
      <c r="N1475" s="55"/>
    </row>
    <row r="1476" ht="15.75" customHeight="1">
      <c r="A1476" s="53">
        <f t="shared" si="7"/>
        <v>1471</v>
      </c>
      <c r="B1476" s="55"/>
      <c r="C1476" s="41"/>
      <c r="D1476" s="42"/>
      <c r="E1476" s="42"/>
      <c r="F1476" s="42" t="str">
        <f>+IFERROR(VLOOKUP(E1476,'DANH MỤC'!$C:$H,2,0),"")</f>
        <v/>
      </c>
      <c r="G1476" s="42" t="str">
        <f>+IFERROR(VLOOKUP(E1476,'DANH MỤC'!$C:$H,6,0),"")</f>
        <v/>
      </c>
      <c r="H1476" s="42" t="str">
        <f>+IFERROR(VLOOKUP(E1476,'DANH MỤC'!$C:$H,3,0),"")</f>
        <v/>
      </c>
      <c r="I1476" s="42" t="str">
        <f>+IFERROR(VLOOKUP(E1476,'DANH MỤC'!$C:$H,4,0),"")</f>
        <v/>
      </c>
      <c r="J1476" s="42" t="str">
        <f>+IFERROR(VLOOKUP(E1476,'DANH MỤC'!$C:$H,5,0),"")</f>
        <v/>
      </c>
      <c r="K1476" s="53"/>
      <c r="L1476" s="58"/>
      <c r="M1476" s="55"/>
      <c r="N1476" s="55"/>
    </row>
    <row r="1477" ht="15.75" customHeight="1">
      <c r="A1477" s="53">
        <f t="shared" si="7"/>
        <v>1472</v>
      </c>
      <c r="B1477" s="55"/>
      <c r="C1477" s="41"/>
      <c r="D1477" s="42"/>
      <c r="E1477" s="42"/>
      <c r="F1477" s="42" t="str">
        <f>+IFERROR(VLOOKUP(E1477,'DANH MỤC'!$C:$H,2,0),"")</f>
        <v/>
      </c>
      <c r="G1477" s="42" t="str">
        <f>+IFERROR(VLOOKUP(E1477,'DANH MỤC'!$C:$H,6,0),"")</f>
        <v/>
      </c>
      <c r="H1477" s="42" t="str">
        <f>+IFERROR(VLOOKUP(E1477,'DANH MỤC'!$C:$H,3,0),"")</f>
        <v/>
      </c>
      <c r="I1477" s="42" t="str">
        <f>+IFERROR(VLOOKUP(E1477,'DANH MỤC'!$C:$H,4,0),"")</f>
        <v/>
      </c>
      <c r="J1477" s="42" t="str">
        <f>+IFERROR(VLOOKUP(E1477,'DANH MỤC'!$C:$H,5,0),"")</f>
        <v/>
      </c>
      <c r="K1477" s="53"/>
      <c r="L1477" s="58"/>
      <c r="M1477" s="55"/>
      <c r="N1477" s="55"/>
    </row>
    <row r="1478" ht="15.75" customHeight="1">
      <c r="A1478" s="53">
        <f t="shared" si="7"/>
        <v>1473</v>
      </c>
      <c r="B1478" s="55"/>
      <c r="C1478" s="41"/>
      <c r="D1478" s="42"/>
      <c r="E1478" s="42"/>
      <c r="F1478" s="42" t="str">
        <f>+IFERROR(VLOOKUP(E1478,'DANH MỤC'!$C:$H,2,0),"")</f>
        <v/>
      </c>
      <c r="G1478" s="42" t="str">
        <f>+IFERROR(VLOOKUP(E1478,'DANH MỤC'!$C:$H,6,0),"")</f>
        <v/>
      </c>
      <c r="H1478" s="42" t="str">
        <f>+IFERROR(VLOOKUP(E1478,'DANH MỤC'!$C:$H,3,0),"")</f>
        <v/>
      </c>
      <c r="I1478" s="42" t="str">
        <f>+IFERROR(VLOOKUP(E1478,'DANH MỤC'!$C:$H,4,0),"")</f>
        <v/>
      </c>
      <c r="J1478" s="42" t="str">
        <f>+IFERROR(VLOOKUP(E1478,'DANH MỤC'!$C:$H,5,0),"")</f>
        <v/>
      </c>
      <c r="K1478" s="53"/>
      <c r="L1478" s="58"/>
      <c r="M1478" s="55"/>
      <c r="N1478" s="55"/>
    </row>
    <row r="1479" ht="15.75" customHeight="1">
      <c r="A1479" s="53">
        <f t="shared" si="7"/>
        <v>1474</v>
      </c>
      <c r="B1479" s="55"/>
      <c r="C1479" s="41"/>
      <c r="D1479" s="42"/>
      <c r="E1479" s="42"/>
      <c r="F1479" s="42" t="str">
        <f>+IFERROR(VLOOKUP(E1479,'DANH MỤC'!$C:$H,2,0),"")</f>
        <v/>
      </c>
      <c r="G1479" s="42" t="str">
        <f>+IFERROR(VLOOKUP(E1479,'DANH MỤC'!$C:$H,6,0),"")</f>
        <v/>
      </c>
      <c r="H1479" s="42" t="str">
        <f>+IFERROR(VLOOKUP(E1479,'DANH MỤC'!$C:$H,3,0),"")</f>
        <v/>
      </c>
      <c r="I1479" s="42" t="str">
        <f>+IFERROR(VLOOKUP(E1479,'DANH MỤC'!$C:$H,4,0),"")</f>
        <v/>
      </c>
      <c r="J1479" s="42" t="str">
        <f>+IFERROR(VLOOKUP(E1479,'DANH MỤC'!$C:$H,5,0),"")</f>
        <v/>
      </c>
      <c r="K1479" s="53"/>
      <c r="L1479" s="58"/>
      <c r="M1479" s="55"/>
      <c r="N1479" s="55"/>
    </row>
    <row r="1480" ht="15.75" customHeight="1">
      <c r="A1480" s="53">
        <f t="shared" si="7"/>
        <v>1475</v>
      </c>
      <c r="B1480" s="55"/>
      <c r="C1480" s="41"/>
      <c r="D1480" s="42"/>
      <c r="E1480" s="42"/>
      <c r="F1480" s="42" t="str">
        <f>+IFERROR(VLOOKUP(E1480,'DANH MỤC'!$C:$H,2,0),"")</f>
        <v/>
      </c>
      <c r="G1480" s="42" t="str">
        <f>+IFERROR(VLOOKUP(E1480,'DANH MỤC'!$C:$H,6,0),"")</f>
        <v/>
      </c>
      <c r="H1480" s="42" t="str">
        <f>+IFERROR(VLOOKUP(E1480,'DANH MỤC'!$C:$H,3,0),"")</f>
        <v/>
      </c>
      <c r="I1480" s="42" t="str">
        <f>+IFERROR(VLOOKUP(E1480,'DANH MỤC'!$C:$H,4,0),"")</f>
        <v/>
      </c>
      <c r="J1480" s="42" t="str">
        <f>+IFERROR(VLOOKUP(E1480,'DANH MỤC'!$C:$H,5,0),"")</f>
        <v/>
      </c>
      <c r="K1480" s="53"/>
      <c r="L1480" s="58"/>
      <c r="M1480" s="55"/>
      <c r="N1480" s="55"/>
    </row>
    <row r="1481" ht="15.75" customHeight="1">
      <c r="A1481" s="53">
        <f t="shared" si="7"/>
        <v>1476</v>
      </c>
      <c r="B1481" s="55"/>
      <c r="C1481" s="41"/>
      <c r="D1481" s="42"/>
      <c r="E1481" s="42"/>
      <c r="F1481" s="42" t="str">
        <f>+IFERROR(VLOOKUP(E1481,'DANH MỤC'!$C:$H,2,0),"")</f>
        <v/>
      </c>
      <c r="G1481" s="42" t="str">
        <f>+IFERROR(VLOOKUP(E1481,'DANH MỤC'!$C:$H,6,0),"")</f>
        <v/>
      </c>
      <c r="H1481" s="42" t="str">
        <f>+IFERROR(VLOOKUP(E1481,'DANH MỤC'!$C:$H,3,0),"")</f>
        <v/>
      </c>
      <c r="I1481" s="42" t="str">
        <f>+IFERROR(VLOOKUP(E1481,'DANH MỤC'!$C:$H,4,0),"")</f>
        <v/>
      </c>
      <c r="J1481" s="42" t="str">
        <f>+IFERROR(VLOOKUP(E1481,'DANH MỤC'!$C:$H,5,0),"")</f>
        <v/>
      </c>
      <c r="K1481" s="53"/>
      <c r="L1481" s="58"/>
      <c r="M1481" s="55"/>
      <c r="N1481" s="55"/>
    </row>
    <row r="1482" ht="15.75" customHeight="1">
      <c r="A1482" s="53">
        <f t="shared" si="7"/>
        <v>1477</v>
      </c>
      <c r="B1482" s="55"/>
      <c r="C1482" s="41"/>
      <c r="D1482" s="42"/>
      <c r="E1482" s="42"/>
      <c r="F1482" s="42" t="str">
        <f>+IFERROR(VLOOKUP(E1482,'DANH MỤC'!$C:$H,2,0),"")</f>
        <v/>
      </c>
      <c r="G1482" s="42" t="str">
        <f>+IFERROR(VLOOKUP(E1482,'DANH MỤC'!$C:$H,6,0),"")</f>
        <v/>
      </c>
      <c r="H1482" s="42" t="str">
        <f>+IFERROR(VLOOKUP(E1482,'DANH MỤC'!$C:$H,3,0),"")</f>
        <v/>
      </c>
      <c r="I1482" s="42" t="str">
        <f>+IFERROR(VLOOKUP(E1482,'DANH MỤC'!$C:$H,4,0),"")</f>
        <v/>
      </c>
      <c r="J1482" s="42" t="str">
        <f>+IFERROR(VLOOKUP(E1482,'DANH MỤC'!$C:$H,5,0),"")</f>
        <v/>
      </c>
      <c r="K1482" s="53"/>
      <c r="L1482" s="58"/>
      <c r="M1482" s="55"/>
      <c r="N1482" s="55"/>
    </row>
    <row r="1483" ht="15.75" customHeight="1">
      <c r="A1483" s="53">
        <f t="shared" si="7"/>
        <v>1478</v>
      </c>
      <c r="B1483" s="55"/>
      <c r="C1483" s="41"/>
      <c r="D1483" s="42"/>
      <c r="E1483" s="42"/>
      <c r="F1483" s="42" t="str">
        <f>+IFERROR(VLOOKUP(E1483,'DANH MỤC'!$C:$H,2,0),"")</f>
        <v/>
      </c>
      <c r="G1483" s="42" t="str">
        <f>+IFERROR(VLOOKUP(E1483,'DANH MỤC'!$C:$H,6,0),"")</f>
        <v/>
      </c>
      <c r="H1483" s="42" t="str">
        <f>+IFERROR(VLOOKUP(E1483,'DANH MỤC'!$C:$H,3,0),"")</f>
        <v/>
      </c>
      <c r="I1483" s="42" t="str">
        <f>+IFERROR(VLOOKUP(E1483,'DANH MỤC'!$C:$H,4,0),"")</f>
        <v/>
      </c>
      <c r="J1483" s="42" t="str">
        <f>+IFERROR(VLOOKUP(E1483,'DANH MỤC'!$C:$H,5,0),"")</f>
        <v/>
      </c>
      <c r="K1483" s="53"/>
      <c r="L1483" s="58"/>
      <c r="M1483" s="55"/>
      <c r="N1483" s="55"/>
    </row>
    <row r="1484" ht="15.75" customHeight="1">
      <c r="A1484" s="53">
        <f t="shared" si="7"/>
        <v>1479</v>
      </c>
      <c r="B1484" s="55"/>
      <c r="C1484" s="41"/>
      <c r="D1484" s="42"/>
      <c r="E1484" s="42"/>
      <c r="F1484" s="42" t="str">
        <f>+IFERROR(VLOOKUP(E1484,'DANH MỤC'!$C:$H,2,0),"")</f>
        <v/>
      </c>
      <c r="G1484" s="42" t="str">
        <f>+IFERROR(VLOOKUP(E1484,'DANH MỤC'!$C:$H,6,0),"")</f>
        <v/>
      </c>
      <c r="H1484" s="42" t="str">
        <f>+IFERROR(VLOOKUP(E1484,'DANH MỤC'!$C:$H,3,0),"")</f>
        <v/>
      </c>
      <c r="I1484" s="42" t="str">
        <f>+IFERROR(VLOOKUP(E1484,'DANH MỤC'!$C:$H,4,0),"")</f>
        <v/>
      </c>
      <c r="J1484" s="42" t="str">
        <f>+IFERROR(VLOOKUP(E1484,'DANH MỤC'!$C:$H,5,0),"")</f>
        <v/>
      </c>
      <c r="K1484" s="53"/>
      <c r="L1484" s="58"/>
      <c r="M1484" s="55"/>
      <c r="N1484" s="55"/>
    </row>
    <row r="1485" ht="15.75" customHeight="1">
      <c r="A1485" s="53">
        <f t="shared" si="7"/>
        <v>1480</v>
      </c>
      <c r="B1485" s="55"/>
      <c r="C1485" s="41"/>
      <c r="D1485" s="42"/>
      <c r="E1485" s="42"/>
      <c r="F1485" s="42" t="str">
        <f>+IFERROR(VLOOKUP(E1485,'DANH MỤC'!$C:$H,2,0),"")</f>
        <v/>
      </c>
      <c r="G1485" s="42" t="str">
        <f>+IFERROR(VLOOKUP(E1485,'DANH MỤC'!$C:$H,6,0),"")</f>
        <v/>
      </c>
      <c r="H1485" s="42" t="str">
        <f>+IFERROR(VLOOKUP(E1485,'DANH MỤC'!$C:$H,3,0),"")</f>
        <v/>
      </c>
      <c r="I1485" s="42" t="str">
        <f>+IFERROR(VLOOKUP(E1485,'DANH MỤC'!$C:$H,4,0),"")</f>
        <v/>
      </c>
      <c r="J1485" s="42" t="str">
        <f>+IFERROR(VLOOKUP(E1485,'DANH MỤC'!$C:$H,5,0),"")</f>
        <v/>
      </c>
      <c r="K1485" s="53"/>
      <c r="L1485" s="58"/>
      <c r="M1485" s="55"/>
      <c r="N1485" s="55"/>
    </row>
    <row r="1486" ht="15.75" customHeight="1">
      <c r="A1486" s="53">
        <f t="shared" si="7"/>
        <v>1481</v>
      </c>
      <c r="B1486" s="55"/>
      <c r="C1486" s="41"/>
      <c r="D1486" s="42"/>
      <c r="E1486" s="42"/>
      <c r="F1486" s="42" t="str">
        <f>+IFERROR(VLOOKUP(E1486,'DANH MỤC'!$C:$H,2,0),"")</f>
        <v/>
      </c>
      <c r="G1486" s="42" t="str">
        <f>+IFERROR(VLOOKUP(E1486,'DANH MỤC'!$C:$H,6,0),"")</f>
        <v/>
      </c>
      <c r="H1486" s="42" t="str">
        <f>+IFERROR(VLOOKUP(E1486,'DANH MỤC'!$C:$H,3,0),"")</f>
        <v/>
      </c>
      <c r="I1486" s="42" t="str">
        <f>+IFERROR(VLOOKUP(E1486,'DANH MỤC'!$C:$H,4,0),"")</f>
        <v/>
      </c>
      <c r="J1486" s="42" t="str">
        <f>+IFERROR(VLOOKUP(E1486,'DANH MỤC'!$C:$H,5,0),"")</f>
        <v/>
      </c>
      <c r="K1486" s="53"/>
      <c r="L1486" s="58"/>
      <c r="M1486" s="55"/>
      <c r="N1486" s="55"/>
    </row>
    <row r="1487" ht="15.75" customHeight="1">
      <c r="A1487" s="53">
        <f t="shared" si="7"/>
        <v>1482</v>
      </c>
      <c r="B1487" s="55"/>
      <c r="C1487" s="41"/>
      <c r="D1487" s="42"/>
      <c r="E1487" s="42"/>
      <c r="F1487" s="42" t="str">
        <f>+IFERROR(VLOOKUP(E1487,'DANH MỤC'!$C:$H,2,0),"")</f>
        <v/>
      </c>
      <c r="G1487" s="42" t="str">
        <f>+IFERROR(VLOOKUP(E1487,'DANH MỤC'!$C:$H,6,0),"")</f>
        <v/>
      </c>
      <c r="H1487" s="42" t="str">
        <f>+IFERROR(VLOOKUP(E1487,'DANH MỤC'!$C:$H,3,0),"")</f>
        <v/>
      </c>
      <c r="I1487" s="42" t="str">
        <f>+IFERROR(VLOOKUP(E1487,'DANH MỤC'!$C:$H,4,0),"")</f>
        <v/>
      </c>
      <c r="J1487" s="42" t="str">
        <f>+IFERROR(VLOOKUP(E1487,'DANH MỤC'!$C:$H,5,0),"")</f>
        <v/>
      </c>
      <c r="K1487" s="53"/>
      <c r="L1487" s="58"/>
      <c r="M1487" s="55"/>
      <c r="N1487" s="55"/>
    </row>
    <row r="1488" ht="15.75" customHeight="1">
      <c r="A1488" s="53">
        <f t="shared" si="7"/>
        <v>1483</v>
      </c>
      <c r="B1488" s="55"/>
      <c r="C1488" s="41"/>
      <c r="D1488" s="42"/>
      <c r="E1488" s="42"/>
      <c r="F1488" s="42" t="str">
        <f>+IFERROR(VLOOKUP(E1488,'DANH MỤC'!$C:$H,2,0),"")</f>
        <v/>
      </c>
      <c r="G1488" s="42" t="str">
        <f>+IFERROR(VLOOKUP(E1488,'DANH MỤC'!$C:$H,6,0),"")</f>
        <v/>
      </c>
      <c r="H1488" s="42" t="str">
        <f>+IFERROR(VLOOKUP(E1488,'DANH MỤC'!$C:$H,3,0),"")</f>
        <v/>
      </c>
      <c r="I1488" s="42" t="str">
        <f>+IFERROR(VLOOKUP(E1488,'DANH MỤC'!$C:$H,4,0),"")</f>
        <v/>
      </c>
      <c r="J1488" s="42" t="str">
        <f>+IFERROR(VLOOKUP(E1488,'DANH MỤC'!$C:$H,5,0),"")</f>
        <v/>
      </c>
      <c r="K1488" s="53"/>
      <c r="L1488" s="58"/>
      <c r="M1488" s="55"/>
      <c r="N1488" s="55"/>
    </row>
    <row r="1489" ht="15.75" customHeight="1">
      <c r="A1489" s="53">
        <f t="shared" si="7"/>
        <v>1484</v>
      </c>
      <c r="B1489" s="55"/>
      <c r="C1489" s="41"/>
      <c r="D1489" s="42"/>
      <c r="E1489" s="42"/>
      <c r="F1489" s="42" t="str">
        <f>+IFERROR(VLOOKUP(E1489,'DANH MỤC'!$C:$H,2,0),"")</f>
        <v/>
      </c>
      <c r="G1489" s="42" t="str">
        <f>+IFERROR(VLOOKUP(E1489,'DANH MỤC'!$C:$H,6,0),"")</f>
        <v/>
      </c>
      <c r="H1489" s="42" t="str">
        <f>+IFERROR(VLOOKUP(E1489,'DANH MỤC'!$C:$H,3,0),"")</f>
        <v/>
      </c>
      <c r="I1489" s="42" t="str">
        <f>+IFERROR(VLOOKUP(E1489,'DANH MỤC'!$C:$H,4,0),"")</f>
        <v/>
      </c>
      <c r="J1489" s="42" t="str">
        <f>+IFERROR(VLOOKUP(E1489,'DANH MỤC'!$C:$H,5,0),"")</f>
        <v/>
      </c>
      <c r="K1489" s="53"/>
      <c r="L1489" s="58"/>
      <c r="M1489" s="55"/>
      <c r="N1489" s="55"/>
    </row>
    <row r="1490" ht="15.75" customHeight="1">
      <c r="A1490" s="53">
        <f t="shared" si="7"/>
        <v>1485</v>
      </c>
      <c r="B1490" s="55"/>
      <c r="C1490" s="41"/>
      <c r="D1490" s="42"/>
      <c r="E1490" s="42"/>
      <c r="F1490" s="42" t="str">
        <f>+IFERROR(VLOOKUP(E1490,'DANH MỤC'!$C:$H,2,0),"")</f>
        <v/>
      </c>
      <c r="G1490" s="42" t="str">
        <f>+IFERROR(VLOOKUP(E1490,'DANH MỤC'!$C:$H,6,0),"")</f>
        <v/>
      </c>
      <c r="H1490" s="42" t="str">
        <f>+IFERROR(VLOOKUP(E1490,'DANH MỤC'!$C:$H,3,0),"")</f>
        <v/>
      </c>
      <c r="I1490" s="42" t="str">
        <f>+IFERROR(VLOOKUP(E1490,'DANH MỤC'!$C:$H,4,0),"")</f>
        <v/>
      </c>
      <c r="J1490" s="42" t="str">
        <f>+IFERROR(VLOOKUP(E1490,'DANH MỤC'!$C:$H,5,0),"")</f>
        <v/>
      </c>
      <c r="K1490" s="53"/>
      <c r="L1490" s="58"/>
      <c r="M1490" s="55"/>
      <c r="N1490" s="55"/>
    </row>
    <row r="1491" ht="15.75" customHeight="1">
      <c r="A1491" s="53">
        <f t="shared" si="7"/>
        <v>1486</v>
      </c>
      <c r="B1491" s="55"/>
      <c r="C1491" s="41"/>
      <c r="D1491" s="42"/>
      <c r="E1491" s="42"/>
      <c r="F1491" s="42" t="str">
        <f>+IFERROR(VLOOKUP(E1491,'DANH MỤC'!$C:$H,2,0),"")</f>
        <v/>
      </c>
      <c r="G1491" s="42" t="str">
        <f>+IFERROR(VLOOKUP(E1491,'DANH MỤC'!$C:$H,6,0),"")</f>
        <v/>
      </c>
      <c r="H1491" s="42" t="str">
        <f>+IFERROR(VLOOKUP(E1491,'DANH MỤC'!$C:$H,3,0),"")</f>
        <v/>
      </c>
      <c r="I1491" s="42" t="str">
        <f>+IFERROR(VLOOKUP(E1491,'DANH MỤC'!$C:$H,4,0),"")</f>
        <v/>
      </c>
      <c r="J1491" s="42" t="str">
        <f>+IFERROR(VLOOKUP(E1491,'DANH MỤC'!$C:$H,5,0),"")</f>
        <v/>
      </c>
      <c r="K1491" s="53"/>
      <c r="L1491" s="58"/>
      <c r="M1491" s="55"/>
      <c r="N1491" s="55"/>
    </row>
    <row r="1492" ht="15.75" customHeight="1">
      <c r="A1492" s="53">
        <f t="shared" si="7"/>
        <v>1487</v>
      </c>
      <c r="B1492" s="55"/>
      <c r="C1492" s="41"/>
      <c r="D1492" s="42"/>
      <c r="E1492" s="42"/>
      <c r="F1492" s="42" t="str">
        <f>+IFERROR(VLOOKUP(E1492,'DANH MỤC'!$C:$H,2,0),"")</f>
        <v/>
      </c>
      <c r="G1492" s="42" t="str">
        <f>+IFERROR(VLOOKUP(E1492,'DANH MỤC'!$C:$H,6,0),"")</f>
        <v/>
      </c>
      <c r="H1492" s="42" t="str">
        <f>+IFERROR(VLOOKUP(E1492,'DANH MỤC'!$C:$H,3,0),"")</f>
        <v/>
      </c>
      <c r="I1492" s="42" t="str">
        <f>+IFERROR(VLOOKUP(E1492,'DANH MỤC'!$C:$H,4,0),"")</f>
        <v/>
      </c>
      <c r="J1492" s="42" t="str">
        <f>+IFERROR(VLOOKUP(E1492,'DANH MỤC'!$C:$H,5,0),"")</f>
        <v/>
      </c>
      <c r="K1492" s="53"/>
      <c r="L1492" s="58"/>
      <c r="M1492" s="55"/>
      <c r="N1492" s="55"/>
    </row>
    <row r="1493" ht="15.75" customHeight="1">
      <c r="A1493" s="53">
        <f t="shared" si="7"/>
        <v>1488</v>
      </c>
      <c r="B1493" s="55"/>
      <c r="C1493" s="41"/>
      <c r="D1493" s="42"/>
      <c r="E1493" s="42"/>
      <c r="F1493" s="42" t="str">
        <f>+IFERROR(VLOOKUP(E1493,'DANH MỤC'!$C:$H,2,0),"")</f>
        <v/>
      </c>
      <c r="G1493" s="42" t="str">
        <f>+IFERROR(VLOOKUP(E1493,'DANH MỤC'!$C:$H,6,0),"")</f>
        <v/>
      </c>
      <c r="H1493" s="42" t="str">
        <f>+IFERROR(VLOOKUP(E1493,'DANH MỤC'!$C:$H,3,0),"")</f>
        <v/>
      </c>
      <c r="I1493" s="42" t="str">
        <f>+IFERROR(VLOOKUP(E1493,'DANH MỤC'!$C:$H,4,0),"")</f>
        <v/>
      </c>
      <c r="J1493" s="42" t="str">
        <f>+IFERROR(VLOOKUP(E1493,'DANH MỤC'!$C:$H,5,0),"")</f>
        <v/>
      </c>
      <c r="K1493" s="53"/>
      <c r="L1493" s="58"/>
      <c r="M1493" s="55"/>
      <c r="N1493" s="55"/>
    </row>
    <row r="1494" ht="15.75" customHeight="1">
      <c r="A1494" s="53">
        <f t="shared" si="7"/>
        <v>1489</v>
      </c>
      <c r="B1494" s="55"/>
      <c r="C1494" s="41"/>
      <c r="D1494" s="42"/>
      <c r="E1494" s="42"/>
      <c r="F1494" s="42" t="str">
        <f>+IFERROR(VLOOKUP(E1494,'DANH MỤC'!$C:$H,2,0),"")</f>
        <v/>
      </c>
      <c r="G1494" s="42" t="str">
        <f>+IFERROR(VLOOKUP(E1494,'DANH MỤC'!$C:$H,6,0),"")</f>
        <v/>
      </c>
      <c r="H1494" s="42" t="str">
        <f>+IFERROR(VLOOKUP(E1494,'DANH MỤC'!$C:$H,3,0),"")</f>
        <v/>
      </c>
      <c r="I1494" s="42" t="str">
        <f>+IFERROR(VLOOKUP(E1494,'DANH MỤC'!$C:$H,4,0),"")</f>
        <v/>
      </c>
      <c r="J1494" s="42" t="str">
        <f>+IFERROR(VLOOKUP(E1494,'DANH MỤC'!$C:$H,5,0),"")</f>
        <v/>
      </c>
      <c r="K1494" s="53"/>
      <c r="L1494" s="58"/>
      <c r="M1494" s="55"/>
      <c r="N1494" s="55"/>
    </row>
    <row r="1495" ht="15.75" customHeight="1">
      <c r="A1495" s="53">
        <f t="shared" si="7"/>
        <v>1490</v>
      </c>
      <c r="B1495" s="55"/>
      <c r="C1495" s="41"/>
      <c r="D1495" s="42"/>
      <c r="E1495" s="42"/>
      <c r="F1495" s="42" t="str">
        <f>+IFERROR(VLOOKUP(E1495,'DANH MỤC'!$C:$H,2,0),"")</f>
        <v/>
      </c>
      <c r="G1495" s="42" t="str">
        <f>+IFERROR(VLOOKUP(E1495,'DANH MỤC'!$C:$H,6,0),"")</f>
        <v/>
      </c>
      <c r="H1495" s="42" t="str">
        <f>+IFERROR(VLOOKUP(E1495,'DANH MỤC'!$C:$H,3,0),"")</f>
        <v/>
      </c>
      <c r="I1495" s="42" t="str">
        <f>+IFERROR(VLOOKUP(E1495,'DANH MỤC'!$C:$H,4,0),"")</f>
        <v/>
      </c>
      <c r="J1495" s="42" t="str">
        <f>+IFERROR(VLOOKUP(E1495,'DANH MỤC'!$C:$H,5,0),"")</f>
        <v/>
      </c>
      <c r="K1495" s="53"/>
      <c r="L1495" s="58"/>
      <c r="M1495" s="55"/>
      <c r="N1495" s="55"/>
    </row>
    <row r="1496" ht="15.75" customHeight="1">
      <c r="A1496" s="53">
        <f t="shared" si="7"/>
        <v>1491</v>
      </c>
      <c r="B1496" s="55"/>
      <c r="C1496" s="41"/>
      <c r="D1496" s="42"/>
      <c r="E1496" s="42"/>
      <c r="F1496" s="42" t="str">
        <f>+IFERROR(VLOOKUP(E1496,'DANH MỤC'!$C:$H,2,0),"")</f>
        <v/>
      </c>
      <c r="G1496" s="42" t="str">
        <f>+IFERROR(VLOOKUP(E1496,'DANH MỤC'!$C:$H,6,0),"")</f>
        <v/>
      </c>
      <c r="H1496" s="42" t="str">
        <f>+IFERROR(VLOOKUP(E1496,'DANH MỤC'!$C:$H,3,0),"")</f>
        <v/>
      </c>
      <c r="I1496" s="42" t="str">
        <f>+IFERROR(VLOOKUP(E1496,'DANH MỤC'!$C:$H,4,0),"")</f>
        <v/>
      </c>
      <c r="J1496" s="42" t="str">
        <f>+IFERROR(VLOOKUP(E1496,'DANH MỤC'!$C:$H,5,0),"")</f>
        <v/>
      </c>
      <c r="K1496" s="53"/>
      <c r="L1496" s="58"/>
      <c r="M1496" s="55"/>
      <c r="N1496" s="55"/>
    </row>
    <row r="1497" ht="15.75" customHeight="1">
      <c r="A1497" s="53">
        <f t="shared" si="7"/>
        <v>1492</v>
      </c>
      <c r="B1497" s="55"/>
      <c r="C1497" s="41"/>
      <c r="D1497" s="42"/>
      <c r="E1497" s="42"/>
      <c r="F1497" s="42" t="str">
        <f>+IFERROR(VLOOKUP(E1497,'DANH MỤC'!$C:$H,2,0),"")</f>
        <v/>
      </c>
      <c r="G1497" s="42" t="str">
        <f>+IFERROR(VLOOKUP(E1497,'DANH MỤC'!$C:$H,6,0),"")</f>
        <v/>
      </c>
      <c r="H1497" s="42" t="str">
        <f>+IFERROR(VLOOKUP(E1497,'DANH MỤC'!$C:$H,3,0),"")</f>
        <v/>
      </c>
      <c r="I1497" s="42" t="str">
        <f>+IFERROR(VLOOKUP(E1497,'DANH MỤC'!$C:$H,4,0),"")</f>
        <v/>
      </c>
      <c r="J1497" s="42" t="str">
        <f>+IFERROR(VLOOKUP(E1497,'DANH MỤC'!$C:$H,5,0),"")</f>
        <v/>
      </c>
      <c r="K1497" s="53"/>
      <c r="L1497" s="58"/>
      <c r="M1497" s="55"/>
      <c r="N1497" s="55"/>
    </row>
    <row r="1498" ht="15.75" customHeight="1">
      <c r="A1498" s="53">
        <f t="shared" si="7"/>
        <v>1493</v>
      </c>
      <c r="B1498" s="55"/>
      <c r="C1498" s="41"/>
      <c r="D1498" s="42"/>
      <c r="E1498" s="42"/>
      <c r="F1498" s="42" t="str">
        <f>+IFERROR(VLOOKUP(E1498,'DANH MỤC'!$C:$H,2,0),"")</f>
        <v/>
      </c>
      <c r="G1498" s="42" t="str">
        <f>+IFERROR(VLOOKUP(E1498,'DANH MỤC'!$C:$H,6,0),"")</f>
        <v/>
      </c>
      <c r="H1498" s="42" t="str">
        <f>+IFERROR(VLOOKUP(E1498,'DANH MỤC'!$C:$H,3,0),"")</f>
        <v/>
      </c>
      <c r="I1498" s="42" t="str">
        <f>+IFERROR(VLOOKUP(E1498,'DANH MỤC'!$C:$H,4,0),"")</f>
        <v/>
      </c>
      <c r="J1498" s="42" t="str">
        <f>+IFERROR(VLOOKUP(E1498,'DANH MỤC'!$C:$H,5,0),"")</f>
        <v/>
      </c>
      <c r="K1498" s="53"/>
      <c r="L1498" s="58"/>
      <c r="M1498" s="55"/>
      <c r="N1498" s="55"/>
    </row>
    <row r="1499" ht="15.75" customHeight="1">
      <c r="A1499" s="53">
        <f t="shared" si="7"/>
        <v>1494</v>
      </c>
      <c r="B1499" s="55"/>
      <c r="C1499" s="41"/>
      <c r="D1499" s="42"/>
      <c r="E1499" s="42"/>
      <c r="F1499" s="42" t="str">
        <f>+IFERROR(VLOOKUP(E1499,'DANH MỤC'!$C:$H,2,0),"")</f>
        <v/>
      </c>
      <c r="G1499" s="42" t="str">
        <f>+IFERROR(VLOOKUP(E1499,'DANH MỤC'!$C:$H,6,0),"")</f>
        <v/>
      </c>
      <c r="H1499" s="42" t="str">
        <f>+IFERROR(VLOOKUP(E1499,'DANH MỤC'!$C:$H,3,0),"")</f>
        <v/>
      </c>
      <c r="I1499" s="42" t="str">
        <f>+IFERROR(VLOOKUP(E1499,'DANH MỤC'!$C:$H,4,0),"")</f>
        <v/>
      </c>
      <c r="J1499" s="42" t="str">
        <f>+IFERROR(VLOOKUP(E1499,'DANH MỤC'!$C:$H,5,0),"")</f>
        <v/>
      </c>
      <c r="K1499" s="53"/>
      <c r="L1499" s="58"/>
      <c r="M1499" s="55"/>
      <c r="N1499" s="55"/>
    </row>
    <row r="1500" ht="15.75" customHeight="1">
      <c r="A1500" s="53">
        <f t="shared" si="7"/>
        <v>1495</v>
      </c>
      <c r="B1500" s="55"/>
      <c r="C1500" s="41"/>
      <c r="D1500" s="42"/>
      <c r="E1500" s="42"/>
      <c r="F1500" s="42" t="str">
        <f>+IFERROR(VLOOKUP(E1500,'DANH MỤC'!$C:$H,2,0),"")</f>
        <v/>
      </c>
      <c r="G1500" s="42" t="str">
        <f>+IFERROR(VLOOKUP(E1500,'DANH MỤC'!$C:$H,6,0),"")</f>
        <v/>
      </c>
      <c r="H1500" s="42" t="str">
        <f>+IFERROR(VLOOKUP(E1500,'DANH MỤC'!$C:$H,3,0),"")</f>
        <v/>
      </c>
      <c r="I1500" s="42" t="str">
        <f>+IFERROR(VLOOKUP(E1500,'DANH MỤC'!$C:$H,4,0),"")</f>
        <v/>
      </c>
      <c r="J1500" s="42" t="str">
        <f>+IFERROR(VLOOKUP(E1500,'DANH MỤC'!$C:$H,5,0),"")</f>
        <v/>
      </c>
      <c r="K1500" s="53"/>
      <c r="L1500" s="58"/>
      <c r="M1500" s="55"/>
      <c r="N1500" s="55"/>
    </row>
    <row r="1501" ht="15.75" customHeight="1">
      <c r="A1501" s="53">
        <f t="shared" si="7"/>
        <v>1496</v>
      </c>
      <c r="B1501" s="55"/>
      <c r="C1501" s="41"/>
      <c r="D1501" s="42"/>
      <c r="E1501" s="42"/>
      <c r="F1501" s="42" t="str">
        <f>+IFERROR(VLOOKUP(E1501,'DANH MỤC'!$C:$H,2,0),"")</f>
        <v/>
      </c>
      <c r="G1501" s="42" t="str">
        <f>+IFERROR(VLOOKUP(E1501,'DANH MỤC'!$C:$H,6,0),"")</f>
        <v/>
      </c>
      <c r="H1501" s="42" t="str">
        <f>+IFERROR(VLOOKUP(E1501,'DANH MỤC'!$C:$H,3,0),"")</f>
        <v/>
      </c>
      <c r="I1501" s="42" t="str">
        <f>+IFERROR(VLOOKUP(E1501,'DANH MỤC'!$C:$H,4,0),"")</f>
        <v/>
      </c>
      <c r="J1501" s="42" t="str">
        <f>+IFERROR(VLOOKUP(E1501,'DANH MỤC'!$C:$H,5,0),"")</f>
        <v/>
      </c>
      <c r="K1501" s="53"/>
      <c r="L1501" s="58"/>
      <c r="M1501" s="55"/>
      <c r="N1501" s="55"/>
    </row>
    <row r="1502" ht="15.75" customHeight="1">
      <c r="A1502" s="53">
        <f t="shared" si="7"/>
        <v>1497</v>
      </c>
      <c r="B1502" s="55"/>
      <c r="C1502" s="41"/>
      <c r="D1502" s="42"/>
      <c r="E1502" s="42"/>
      <c r="F1502" s="42" t="str">
        <f>+IFERROR(VLOOKUP(E1502,'DANH MỤC'!$C:$H,2,0),"")</f>
        <v/>
      </c>
      <c r="G1502" s="42" t="str">
        <f>+IFERROR(VLOOKUP(E1502,'DANH MỤC'!$C:$H,6,0),"")</f>
        <v/>
      </c>
      <c r="H1502" s="42" t="str">
        <f>+IFERROR(VLOOKUP(E1502,'DANH MỤC'!$C:$H,3,0),"")</f>
        <v/>
      </c>
      <c r="I1502" s="42" t="str">
        <f>+IFERROR(VLOOKUP(E1502,'DANH MỤC'!$C:$H,4,0),"")</f>
        <v/>
      </c>
      <c r="J1502" s="42" t="str">
        <f>+IFERROR(VLOOKUP(E1502,'DANH MỤC'!$C:$H,5,0),"")</f>
        <v/>
      </c>
      <c r="K1502" s="53"/>
      <c r="L1502" s="58"/>
      <c r="M1502" s="55"/>
      <c r="N1502" s="55"/>
    </row>
    <row r="1503" ht="15.75" customHeight="1">
      <c r="A1503" s="53">
        <f t="shared" si="7"/>
        <v>1498</v>
      </c>
      <c r="B1503" s="55"/>
      <c r="C1503" s="41"/>
      <c r="D1503" s="42"/>
      <c r="E1503" s="42"/>
      <c r="F1503" s="42" t="str">
        <f>+IFERROR(VLOOKUP(E1503,'DANH MỤC'!$C:$H,2,0),"")</f>
        <v/>
      </c>
      <c r="G1503" s="42" t="str">
        <f>+IFERROR(VLOOKUP(E1503,'DANH MỤC'!$C:$H,6,0),"")</f>
        <v/>
      </c>
      <c r="H1503" s="42" t="str">
        <f>+IFERROR(VLOOKUP(E1503,'DANH MỤC'!$C:$H,3,0),"")</f>
        <v/>
      </c>
      <c r="I1503" s="42" t="str">
        <f>+IFERROR(VLOOKUP(E1503,'DANH MỤC'!$C:$H,4,0),"")</f>
        <v/>
      </c>
      <c r="J1503" s="42" t="str">
        <f>+IFERROR(VLOOKUP(E1503,'DANH MỤC'!$C:$H,5,0),"")</f>
        <v/>
      </c>
      <c r="K1503" s="53"/>
      <c r="L1503" s="58"/>
      <c r="M1503" s="55"/>
      <c r="N1503" s="55"/>
    </row>
    <row r="1504" ht="15.75" customHeight="1">
      <c r="A1504" s="53">
        <f t="shared" si="7"/>
        <v>1499</v>
      </c>
      <c r="B1504" s="55"/>
      <c r="C1504" s="41"/>
      <c r="D1504" s="42"/>
      <c r="E1504" s="42"/>
      <c r="F1504" s="42" t="str">
        <f>+IFERROR(VLOOKUP(E1504,'DANH MỤC'!$C:$H,2,0),"")</f>
        <v/>
      </c>
      <c r="G1504" s="42" t="str">
        <f>+IFERROR(VLOOKUP(E1504,'DANH MỤC'!$C:$H,6,0),"")</f>
        <v/>
      </c>
      <c r="H1504" s="42" t="str">
        <f>+IFERROR(VLOOKUP(E1504,'DANH MỤC'!$C:$H,3,0),"")</f>
        <v/>
      </c>
      <c r="I1504" s="42" t="str">
        <f>+IFERROR(VLOOKUP(E1504,'DANH MỤC'!$C:$H,4,0),"")</f>
        <v/>
      </c>
      <c r="J1504" s="42" t="str">
        <f>+IFERROR(VLOOKUP(E1504,'DANH MỤC'!$C:$H,5,0),"")</f>
        <v/>
      </c>
      <c r="K1504" s="53"/>
      <c r="L1504" s="58"/>
      <c r="M1504" s="55"/>
      <c r="N1504" s="55"/>
    </row>
    <row r="1505" ht="15.75" customHeight="1">
      <c r="A1505" s="53">
        <f t="shared" si="7"/>
        <v>1500</v>
      </c>
      <c r="B1505" s="55"/>
      <c r="C1505" s="41"/>
      <c r="D1505" s="42"/>
      <c r="E1505" s="42"/>
      <c r="F1505" s="42" t="str">
        <f>+IFERROR(VLOOKUP(E1505,'DANH MỤC'!$C:$H,2,0),"")</f>
        <v/>
      </c>
      <c r="G1505" s="42" t="str">
        <f>+IFERROR(VLOOKUP(E1505,'DANH MỤC'!$C:$H,6,0),"")</f>
        <v/>
      </c>
      <c r="H1505" s="42" t="str">
        <f>+IFERROR(VLOOKUP(E1505,'DANH MỤC'!$C:$H,3,0),"")</f>
        <v/>
      </c>
      <c r="I1505" s="42" t="str">
        <f>+IFERROR(VLOOKUP(E1505,'DANH MỤC'!$C:$H,4,0),"")</f>
        <v/>
      </c>
      <c r="J1505" s="42" t="str">
        <f>+IFERROR(VLOOKUP(E1505,'DANH MỤC'!$C:$H,5,0),"")</f>
        <v/>
      </c>
      <c r="K1505" s="53"/>
      <c r="L1505" s="58"/>
      <c r="M1505" s="55"/>
      <c r="N1505" s="55"/>
    </row>
    <row r="1506" ht="15.75" customHeight="1">
      <c r="A1506" s="53">
        <f t="shared" si="7"/>
        <v>1501</v>
      </c>
      <c r="B1506" s="55"/>
      <c r="C1506" s="41"/>
      <c r="D1506" s="42"/>
      <c r="E1506" s="42"/>
      <c r="F1506" s="42" t="str">
        <f>+IFERROR(VLOOKUP(E1506,'DANH MỤC'!$C:$H,2,0),"")</f>
        <v/>
      </c>
      <c r="G1506" s="42" t="str">
        <f>+IFERROR(VLOOKUP(E1506,'DANH MỤC'!$C:$H,6,0),"")</f>
        <v/>
      </c>
      <c r="H1506" s="42" t="str">
        <f>+IFERROR(VLOOKUP(E1506,'DANH MỤC'!$C:$H,3,0),"")</f>
        <v/>
      </c>
      <c r="I1506" s="42" t="str">
        <f>+IFERROR(VLOOKUP(E1506,'DANH MỤC'!$C:$H,4,0),"")</f>
        <v/>
      </c>
      <c r="J1506" s="42" t="str">
        <f>+IFERROR(VLOOKUP(E1506,'DANH MỤC'!$C:$H,5,0),"")</f>
        <v/>
      </c>
      <c r="K1506" s="53"/>
      <c r="L1506" s="58"/>
      <c r="M1506" s="55"/>
      <c r="N1506" s="55"/>
    </row>
    <row r="1507" ht="15.75" customHeight="1">
      <c r="A1507" s="53">
        <f t="shared" si="7"/>
        <v>1502</v>
      </c>
      <c r="B1507" s="55"/>
      <c r="C1507" s="41"/>
      <c r="D1507" s="42"/>
      <c r="E1507" s="42"/>
      <c r="F1507" s="42" t="str">
        <f>+IFERROR(VLOOKUP(E1507,'DANH MỤC'!$C:$H,2,0),"")</f>
        <v/>
      </c>
      <c r="G1507" s="42" t="str">
        <f>+IFERROR(VLOOKUP(E1507,'DANH MỤC'!$C:$H,6,0),"")</f>
        <v/>
      </c>
      <c r="H1507" s="42" t="str">
        <f>+IFERROR(VLOOKUP(E1507,'DANH MỤC'!$C:$H,3,0),"")</f>
        <v/>
      </c>
      <c r="I1507" s="42" t="str">
        <f>+IFERROR(VLOOKUP(E1507,'DANH MỤC'!$C:$H,4,0),"")</f>
        <v/>
      </c>
      <c r="J1507" s="42" t="str">
        <f>+IFERROR(VLOOKUP(E1507,'DANH MỤC'!$C:$H,5,0),"")</f>
        <v/>
      </c>
      <c r="K1507" s="53"/>
      <c r="L1507" s="58"/>
      <c r="M1507" s="55"/>
      <c r="N1507" s="55"/>
    </row>
    <row r="1508" ht="15.75" customHeight="1">
      <c r="A1508" s="53">
        <f t="shared" si="7"/>
        <v>1503</v>
      </c>
      <c r="B1508" s="55"/>
      <c r="C1508" s="41"/>
      <c r="D1508" s="42"/>
      <c r="E1508" s="42"/>
      <c r="F1508" s="42" t="str">
        <f>+IFERROR(VLOOKUP(E1508,'DANH MỤC'!$C:$H,2,0),"")</f>
        <v/>
      </c>
      <c r="G1508" s="42" t="str">
        <f>+IFERROR(VLOOKUP(E1508,'DANH MỤC'!$C:$H,6,0),"")</f>
        <v/>
      </c>
      <c r="H1508" s="42" t="str">
        <f>+IFERROR(VLOOKUP(E1508,'DANH MỤC'!$C:$H,3,0),"")</f>
        <v/>
      </c>
      <c r="I1508" s="42" t="str">
        <f>+IFERROR(VLOOKUP(E1508,'DANH MỤC'!$C:$H,4,0),"")</f>
        <v/>
      </c>
      <c r="J1508" s="42" t="str">
        <f>+IFERROR(VLOOKUP(E1508,'DANH MỤC'!$C:$H,5,0),"")</f>
        <v/>
      </c>
      <c r="K1508" s="53"/>
      <c r="L1508" s="58"/>
      <c r="M1508" s="55"/>
      <c r="N1508" s="55"/>
    </row>
    <row r="1509" ht="15.75" customHeight="1">
      <c r="A1509" s="53">
        <f t="shared" si="7"/>
        <v>1504</v>
      </c>
      <c r="B1509" s="55"/>
      <c r="C1509" s="41"/>
      <c r="D1509" s="42"/>
      <c r="E1509" s="42"/>
      <c r="F1509" s="42" t="str">
        <f>+IFERROR(VLOOKUP(E1509,'DANH MỤC'!$C:$H,2,0),"")</f>
        <v/>
      </c>
      <c r="G1509" s="42" t="str">
        <f>+IFERROR(VLOOKUP(E1509,'DANH MỤC'!$C:$H,6,0),"")</f>
        <v/>
      </c>
      <c r="H1509" s="42" t="str">
        <f>+IFERROR(VLOOKUP(E1509,'DANH MỤC'!$C:$H,3,0),"")</f>
        <v/>
      </c>
      <c r="I1509" s="42" t="str">
        <f>+IFERROR(VLOOKUP(E1509,'DANH MỤC'!$C:$H,4,0),"")</f>
        <v/>
      </c>
      <c r="J1509" s="42" t="str">
        <f>+IFERROR(VLOOKUP(E1509,'DANH MỤC'!$C:$H,5,0),"")</f>
        <v/>
      </c>
      <c r="K1509" s="53"/>
      <c r="L1509" s="58"/>
      <c r="M1509" s="55"/>
      <c r="N1509" s="55"/>
    </row>
    <row r="1510" ht="15.75" customHeight="1">
      <c r="A1510" s="53">
        <f t="shared" si="7"/>
        <v>1505</v>
      </c>
      <c r="B1510" s="55"/>
      <c r="C1510" s="41"/>
      <c r="D1510" s="42"/>
      <c r="E1510" s="42"/>
      <c r="F1510" s="42" t="str">
        <f>+IFERROR(VLOOKUP(E1510,'DANH MỤC'!$C:$H,2,0),"")</f>
        <v/>
      </c>
      <c r="G1510" s="42" t="str">
        <f>+IFERROR(VLOOKUP(E1510,'DANH MỤC'!$C:$H,6,0),"")</f>
        <v/>
      </c>
      <c r="H1510" s="42" t="str">
        <f>+IFERROR(VLOOKUP(E1510,'DANH MỤC'!$C:$H,3,0),"")</f>
        <v/>
      </c>
      <c r="I1510" s="42" t="str">
        <f>+IFERROR(VLOOKUP(E1510,'DANH MỤC'!$C:$H,4,0),"")</f>
        <v/>
      </c>
      <c r="J1510" s="42" t="str">
        <f>+IFERROR(VLOOKUP(E1510,'DANH MỤC'!$C:$H,5,0),"")</f>
        <v/>
      </c>
      <c r="K1510" s="53"/>
      <c r="L1510" s="58"/>
      <c r="M1510" s="55"/>
      <c r="N1510" s="55"/>
    </row>
    <row r="1511" ht="15.75" customHeight="1">
      <c r="A1511" s="53">
        <f t="shared" si="7"/>
        <v>1506</v>
      </c>
      <c r="B1511" s="55"/>
      <c r="C1511" s="41"/>
      <c r="D1511" s="42"/>
      <c r="E1511" s="42"/>
      <c r="F1511" s="42" t="str">
        <f>+IFERROR(VLOOKUP(E1511,'DANH MỤC'!$C:$H,2,0),"")</f>
        <v/>
      </c>
      <c r="G1511" s="42" t="str">
        <f>+IFERROR(VLOOKUP(E1511,'DANH MỤC'!$C:$H,6,0),"")</f>
        <v/>
      </c>
      <c r="H1511" s="42" t="str">
        <f>+IFERROR(VLOOKUP(E1511,'DANH MỤC'!$C:$H,3,0),"")</f>
        <v/>
      </c>
      <c r="I1511" s="42" t="str">
        <f>+IFERROR(VLOOKUP(E1511,'DANH MỤC'!$C:$H,4,0),"")</f>
        <v/>
      </c>
      <c r="J1511" s="42" t="str">
        <f>+IFERROR(VLOOKUP(E1511,'DANH MỤC'!$C:$H,5,0),"")</f>
        <v/>
      </c>
      <c r="K1511" s="53"/>
      <c r="L1511" s="58"/>
      <c r="M1511" s="55"/>
      <c r="N1511" s="55"/>
    </row>
    <row r="1512" ht="15.75" customHeight="1">
      <c r="A1512" s="53">
        <f t="shared" si="7"/>
        <v>1507</v>
      </c>
      <c r="B1512" s="55"/>
      <c r="C1512" s="41"/>
      <c r="D1512" s="42"/>
      <c r="E1512" s="42"/>
      <c r="F1512" s="42" t="str">
        <f>+IFERROR(VLOOKUP(E1512,'DANH MỤC'!$C:$H,2,0),"")</f>
        <v/>
      </c>
      <c r="G1512" s="42" t="str">
        <f>+IFERROR(VLOOKUP(E1512,'DANH MỤC'!$C:$H,6,0),"")</f>
        <v/>
      </c>
      <c r="H1512" s="42" t="str">
        <f>+IFERROR(VLOOKUP(E1512,'DANH MỤC'!$C:$H,3,0),"")</f>
        <v/>
      </c>
      <c r="I1512" s="42" t="str">
        <f>+IFERROR(VLOOKUP(E1512,'DANH MỤC'!$C:$H,4,0),"")</f>
        <v/>
      </c>
      <c r="J1512" s="42" t="str">
        <f>+IFERROR(VLOOKUP(E1512,'DANH MỤC'!$C:$H,5,0),"")</f>
        <v/>
      </c>
      <c r="K1512" s="53"/>
      <c r="L1512" s="58"/>
      <c r="M1512" s="55"/>
      <c r="N1512" s="55"/>
    </row>
    <row r="1513" ht="15.75" customHeight="1">
      <c r="A1513" s="53">
        <f t="shared" si="7"/>
        <v>1508</v>
      </c>
      <c r="B1513" s="55"/>
      <c r="C1513" s="41"/>
      <c r="D1513" s="42"/>
      <c r="E1513" s="42"/>
      <c r="F1513" s="42" t="str">
        <f>+IFERROR(VLOOKUP(E1513,'DANH MỤC'!$C:$H,2,0),"")</f>
        <v/>
      </c>
      <c r="G1513" s="42" t="str">
        <f>+IFERROR(VLOOKUP(E1513,'DANH MỤC'!$C:$H,6,0),"")</f>
        <v/>
      </c>
      <c r="H1513" s="42" t="str">
        <f>+IFERROR(VLOOKUP(E1513,'DANH MỤC'!$C:$H,3,0),"")</f>
        <v/>
      </c>
      <c r="I1513" s="42" t="str">
        <f>+IFERROR(VLOOKUP(E1513,'DANH MỤC'!$C:$H,4,0),"")</f>
        <v/>
      </c>
      <c r="J1513" s="42" t="str">
        <f>+IFERROR(VLOOKUP(E1513,'DANH MỤC'!$C:$H,5,0),"")</f>
        <v/>
      </c>
      <c r="K1513" s="53"/>
      <c r="L1513" s="58"/>
      <c r="M1513" s="55"/>
      <c r="N1513" s="55"/>
    </row>
    <row r="1514" ht="15.75" customHeight="1">
      <c r="A1514" s="53">
        <f t="shared" si="7"/>
        <v>1509</v>
      </c>
      <c r="B1514" s="55"/>
      <c r="C1514" s="41"/>
      <c r="D1514" s="42"/>
      <c r="E1514" s="42"/>
      <c r="F1514" s="42" t="str">
        <f>+IFERROR(VLOOKUP(E1514,'DANH MỤC'!$C:$H,2,0),"")</f>
        <v/>
      </c>
      <c r="G1514" s="42" t="str">
        <f>+IFERROR(VLOOKUP(E1514,'DANH MỤC'!$C:$H,6,0),"")</f>
        <v/>
      </c>
      <c r="H1514" s="42" t="str">
        <f>+IFERROR(VLOOKUP(E1514,'DANH MỤC'!$C:$H,3,0),"")</f>
        <v/>
      </c>
      <c r="I1514" s="42" t="str">
        <f>+IFERROR(VLOOKUP(E1514,'DANH MỤC'!$C:$H,4,0),"")</f>
        <v/>
      </c>
      <c r="J1514" s="42" t="str">
        <f>+IFERROR(VLOOKUP(E1514,'DANH MỤC'!$C:$H,5,0),"")</f>
        <v/>
      </c>
      <c r="K1514" s="53"/>
      <c r="L1514" s="58"/>
      <c r="M1514" s="55"/>
      <c r="N1514" s="55"/>
    </row>
    <row r="1515" ht="15.75" customHeight="1">
      <c r="A1515" s="53">
        <f t="shared" si="7"/>
        <v>1510</v>
      </c>
      <c r="B1515" s="55"/>
      <c r="C1515" s="41"/>
      <c r="D1515" s="42"/>
      <c r="E1515" s="42"/>
      <c r="F1515" s="42" t="str">
        <f>+IFERROR(VLOOKUP(E1515,'DANH MỤC'!$C:$H,2,0),"")</f>
        <v/>
      </c>
      <c r="G1515" s="42" t="str">
        <f>+IFERROR(VLOOKUP(E1515,'DANH MỤC'!$C:$H,6,0),"")</f>
        <v/>
      </c>
      <c r="H1515" s="42" t="str">
        <f>+IFERROR(VLOOKUP(E1515,'DANH MỤC'!$C:$H,3,0),"")</f>
        <v/>
      </c>
      <c r="I1515" s="42" t="str">
        <f>+IFERROR(VLOOKUP(E1515,'DANH MỤC'!$C:$H,4,0),"")</f>
        <v/>
      </c>
      <c r="J1515" s="42" t="str">
        <f>+IFERROR(VLOOKUP(E1515,'DANH MỤC'!$C:$H,5,0),"")</f>
        <v/>
      </c>
      <c r="K1515" s="53"/>
      <c r="L1515" s="58"/>
      <c r="M1515" s="55"/>
      <c r="N1515" s="55"/>
    </row>
    <row r="1516" ht="15.75" customHeight="1">
      <c r="A1516" s="53">
        <f t="shared" si="7"/>
        <v>1511</v>
      </c>
      <c r="B1516" s="55"/>
      <c r="C1516" s="41"/>
      <c r="D1516" s="42"/>
      <c r="E1516" s="42"/>
      <c r="F1516" s="42" t="str">
        <f>+IFERROR(VLOOKUP(E1516,'DANH MỤC'!$C:$H,2,0),"")</f>
        <v/>
      </c>
      <c r="G1516" s="42" t="str">
        <f>+IFERROR(VLOOKUP(E1516,'DANH MỤC'!$C:$H,6,0),"")</f>
        <v/>
      </c>
      <c r="H1516" s="42" t="str">
        <f>+IFERROR(VLOOKUP(E1516,'DANH MỤC'!$C:$H,3,0),"")</f>
        <v/>
      </c>
      <c r="I1516" s="42" t="str">
        <f>+IFERROR(VLOOKUP(E1516,'DANH MỤC'!$C:$H,4,0),"")</f>
        <v/>
      </c>
      <c r="J1516" s="42" t="str">
        <f>+IFERROR(VLOOKUP(E1516,'DANH MỤC'!$C:$H,5,0),"")</f>
        <v/>
      </c>
      <c r="K1516" s="53"/>
      <c r="L1516" s="58"/>
      <c r="M1516" s="55"/>
      <c r="N1516" s="55"/>
    </row>
    <row r="1517" ht="15.75" customHeight="1">
      <c r="A1517" s="53">
        <f t="shared" si="7"/>
        <v>1512</v>
      </c>
      <c r="B1517" s="55"/>
      <c r="C1517" s="41"/>
      <c r="D1517" s="42"/>
      <c r="E1517" s="42"/>
      <c r="F1517" s="42" t="str">
        <f>+IFERROR(VLOOKUP(E1517,'DANH MỤC'!$C:$H,2,0),"")</f>
        <v/>
      </c>
      <c r="G1517" s="42" t="str">
        <f>+IFERROR(VLOOKUP(E1517,'DANH MỤC'!$C:$H,6,0),"")</f>
        <v/>
      </c>
      <c r="H1517" s="42" t="str">
        <f>+IFERROR(VLOOKUP(E1517,'DANH MỤC'!$C:$H,3,0),"")</f>
        <v/>
      </c>
      <c r="I1517" s="42" t="str">
        <f>+IFERROR(VLOOKUP(E1517,'DANH MỤC'!$C:$H,4,0),"")</f>
        <v/>
      </c>
      <c r="J1517" s="42" t="str">
        <f>+IFERROR(VLOOKUP(E1517,'DANH MỤC'!$C:$H,5,0),"")</f>
        <v/>
      </c>
      <c r="K1517" s="53"/>
      <c r="L1517" s="58"/>
      <c r="M1517" s="55"/>
      <c r="N1517" s="55"/>
    </row>
    <row r="1518" ht="15.75" customHeight="1">
      <c r="A1518" s="53">
        <f t="shared" si="7"/>
        <v>1513</v>
      </c>
      <c r="B1518" s="55"/>
      <c r="C1518" s="41"/>
      <c r="D1518" s="42"/>
      <c r="E1518" s="42"/>
      <c r="F1518" s="42" t="str">
        <f>+IFERROR(VLOOKUP(E1518,'DANH MỤC'!$C:$H,2,0),"")</f>
        <v/>
      </c>
      <c r="G1518" s="42" t="str">
        <f>+IFERROR(VLOOKUP(E1518,'DANH MỤC'!$C:$H,6,0),"")</f>
        <v/>
      </c>
      <c r="H1518" s="42" t="str">
        <f>+IFERROR(VLOOKUP(E1518,'DANH MỤC'!$C:$H,3,0),"")</f>
        <v/>
      </c>
      <c r="I1518" s="42" t="str">
        <f>+IFERROR(VLOOKUP(E1518,'DANH MỤC'!$C:$H,4,0),"")</f>
        <v/>
      </c>
      <c r="J1518" s="42" t="str">
        <f>+IFERROR(VLOOKUP(E1518,'DANH MỤC'!$C:$H,5,0),"")</f>
        <v/>
      </c>
      <c r="K1518" s="53"/>
      <c r="L1518" s="58"/>
      <c r="M1518" s="55"/>
      <c r="N1518" s="55"/>
    </row>
    <row r="1519" ht="15.75" customHeight="1">
      <c r="A1519" s="53">
        <f t="shared" si="7"/>
        <v>1514</v>
      </c>
      <c r="B1519" s="55"/>
      <c r="C1519" s="41"/>
      <c r="D1519" s="42"/>
      <c r="E1519" s="42"/>
      <c r="F1519" s="42" t="str">
        <f>+IFERROR(VLOOKUP(E1519,'DANH MỤC'!$C:$H,2,0),"")</f>
        <v/>
      </c>
      <c r="G1519" s="42" t="str">
        <f>+IFERROR(VLOOKUP(E1519,'DANH MỤC'!$C:$H,6,0),"")</f>
        <v/>
      </c>
      <c r="H1519" s="42" t="str">
        <f>+IFERROR(VLOOKUP(E1519,'DANH MỤC'!$C:$H,3,0),"")</f>
        <v/>
      </c>
      <c r="I1519" s="42" t="str">
        <f>+IFERROR(VLOOKUP(E1519,'DANH MỤC'!$C:$H,4,0),"")</f>
        <v/>
      </c>
      <c r="J1519" s="42" t="str">
        <f>+IFERROR(VLOOKUP(E1519,'DANH MỤC'!$C:$H,5,0),"")</f>
        <v/>
      </c>
      <c r="K1519" s="53"/>
      <c r="L1519" s="58"/>
      <c r="M1519" s="55"/>
      <c r="N1519" s="55"/>
    </row>
    <row r="1520" ht="15.75" customHeight="1">
      <c r="A1520" s="53">
        <f t="shared" si="7"/>
        <v>1515</v>
      </c>
      <c r="B1520" s="55"/>
      <c r="C1520" s="41"/>
      <c r="D1520" s="42"/>
      <c r="E1520" s="42"/>
      <c r="F1520" s="42" t="str">
        <f>+IFERROR(VLOOKUP(E1520,'DANH MỤC'!$C:$H,2,0),"")</f>
        <v/>
      </c>
      <c r="G1520" s="42" t="str">
        <f>+IFERROR(VLOOKUP(E1520,'DANH MỤC'!$C:$H,6,0),"")</f>
        <v/>
      </c>
      <c r="H1520" s="42" t="str">
        <f>+IFERROR(VLOOKUP(E1520,'DANH MỤC'!$C:$H,3,0),"")</f>
        <v/>
      </c>
      <c r="I1520" s="42" t="str">
        <f>+IFERROR(VLOOKUP(E1520,'DANH MỤC'!$C:$H,4,0),"")</f>
        <v/>
      </c>
      <c r="J1520" s="42" t="str">
        <f>+IFERROR(VLOOKUP(E1520,'DANH MỤC'!$C:$H,5,0),"")</f>
        <v/>
      </c>
      <c r="K1520" s="53"/>
      <c r="L1520" s="58"/>
      <c r="M1520" s="55"/>
      <c r="N1520" s="55"/>
    </row>
    <row r="1521" ht="15.75" customHeight="1">
      <c r="A1521" s="53">
        <f t="shared" si="7"/>
        <v>1516</v>
      </c>
      <c r="B1521" s="55"/>
      <c r="C1521" s="41"/>
      <c r="D1521" s="42"/>
      <c r="E1521" s="42"/>
      <c r="F1521" s="42" t="str">
        <f>+IFERROR(VLOOKUP(E1521,'DANH MỤC'!$C:$H,2,0),"")</f>
        <v/>
      </c>
      <c r="G1521" s="42" t="str">
        <f>+IFERROR(VLOOKUP(E1521,'DANH MỤC'!$C:$H,6,0),"")</f>
        <v/>
      </c>
      <c r="H1521" s="42" t="str">
        <f>+IFERROR(VLOOKUP(E1521,'DANH MỤC'!$C:$H,3,0),"")</f>
        <v/>
      </c>
      <c r="I1521" s="42" t="str">
        <f>+IFERROR(VLOOKUP(E1521,'DANH MỤC'!$C:$H,4,0),"")</f>
        <v/>
      </c>
      <c r="J1521" s="42" t="str">
        <f>+IFERROR(VLOOKUP(E1521,'DANH MỤC'!$C:$H,5,0),"")</f>
        <v/>
      </c>
      <c r="K1521" s="53"/>
      <c r="L1521" s="58"/>
      <c r="M1521" s="55"/>
      <c r="N1521" s="55"/>
    </row>
    <row r="1522" ht="15.75" customHeight="1">
      <c r="A1522" s="53">
        <f t="shared" si="7"/>
        <v>1517</v>
      </c>
      <c r="B1522" s="55"/>
      <c r="C1522" s="41"/>
      <c r="D1522" s="42"/>
      <c r="E1522" s="42"/>
      <c r="F1522" s="42" t="str">
        <f>+IFERROR(VLOOKUP(E1522,'DANH MỤC'!$C:$H,2,0),"")</f>
        <v/>
      </c>
      <c r="G1522" s="42" t="str">
        <f>+IFERROR(VLOOKUP(E1522,'DANH MỤC'!$C:$H,6,0),"")</f>
        <v/>
      </c>
      <c r="H1522" s="42" t="str">
        <f>+IFERROR(VLOOKUP(E1522,'DANH MỤC'!$C:$H,3,0),"")</f>
        <v/>
      </c>
      <c r="I1522" s="42" t="str">
        <f>+IFERROR(VLOOKUP(E1522,'DANH MỤC'!$C:$H,4,0),"")</f>
        <v/>
      </c>
      <c r="J1522" s="42" t="str">
        <f>+IFERROR(VLOOKUP(E1522,'DANH MỤC'!$C:$H,5,0),"")</f>
        <v/>
      </c>
      <c r="K1522" s="53"/>
      <c r="L1522" s="58"/>
      <c r="M1522" s="55"/>
      <c r="N1522" s="55"/>
    </row>
    <row r="1523" ht="15.75" customHeight="1">
      <c r="A1523" s="53">
        <f t="shared" si="7"/>
        <v>1518</v>
      </c>
      <c r="B1523" s="55"/>
      <c r="C1523" s="41"/>
      <c r="D1523" s="42"/>
      <c r="E1523" s="42"/>
      <c r="F1523" s="42" t="str">
        <f>+IFERROR(VLOOKUP(E1523,'DANH MỤC'!$C:$H,2,0),"")</f>
        <v/>
      </c>
      <c r="G1523" s="42" t="str">
        <f>+IFERROR(VLOOKUP(E1523,'DANH MỤC'!$C:$H,6,0),"")</f>
        <v/>
      </c>
      <c r="H1523" s="42" t="str">
        <f>+IFERROR(VLOOKUP(E1523,'DANH MỤC'!$C:$H,3,0),"")</f>
        <v/>
      </c>
      <c r="I1523" s="42" t="str">
        <f>+IFERROR(VLOOKUP(E1523,'DANH MỤC'!$C:$H,4,0),"")</f>
        <v/>
      </c>
      <c r="J1523" s="42" t="str">
        <f>+IFERROR(VLOOKUP(E1523,'DANH MỤC'!$C:$H,5,0),"")</f>
        <v/>
      </c>
      <c r="K1523" s="53"/>
      <c r="L1523" s="58"/>
      <c r="M1523" s="55"/>
      <c r="N1523" s="55"/>
    </row>
    <row r="1524" ht="15.75" customHeight="1">
      <c r="A1524" s="53">
        <f t="shared" si="7"/>
        <v>1519</v>
      </c>
      <c r="B1524" s="55"/>
      <c r="C1524" s="41"/>
      <c r="D1524" s="42"/>
      <c r="E1524" s="42"/>
      <c r="F1524" s="42" t="str">
        <f>+IFERROR(VLOOKUP(E1524,'DANH MỤC'!$C:$H,2,0),"")</f>
        <v/>
      </c>
      <c r="G1524" s="42" t="str">
        <f>+IFERROR(VLOOKUP(E1524,'DANH MỤC'!$C:$H,6,0),"")</f>
        <v/>
      </c>
      <c r="H1524" s="42" t="str">
        <f>+IFERROR(VLOOKUP(E1524,'DANH MỤC'!$C:$H,3,0),"")</f>
        <v/>
      </c>
      <c r="I1524" s="42" t="str">
        <f>+IFERROR(VLOOKUP(E1524,'DANH MỤC'!$C:$H,4,0),"")</f>
        <v/>
      </c>
      <c r="J1524" s="42" t="str">
        <f>+IFERROR(VLOOKUP(E1524,'DANH MỤC'!$C:$H,5,0),"")</f>
        <v/>
      </c>
      <c r="K1524" s="53"/>
      <c r="L1524" s="58"/>
      <c r="M1524" s="55"/>
      <c r="N1524" s="55"/>
    </row>
    <row r="1525" ht="15.75" customHeight="1">
      <c r="A1525" s="53">
        <f t="shared" si="7"/>
        <v>1520</v>
      </c>
      <c r="B1525" s="55"/>
      <c r="C1525" s="41"/>
      <c r="D1525" s="42"/>
      <c r="E1525" s="42"/>
      <c r="F1525" s="42" t="str">
        <f>+IFERROR(VLOOKUP(E1525,'DANH MỤC'!$C:$H,2,0),"")</f>
        <v/>
      </c>
      <c r="G1525" s="42" t="str">
        <f>+IFERROR(VLOOKUP(E1525,'DANH MỤC'!$C:$H,6,0),"")</f>
        <v/>
      </c>
      <c r="H1525" s="42" t="str">
        <f>+IFERROR(VLOOKUP(E1525,'DANH MỤC'!$C:$H,3,0),"")</f>
        <v/>
      </c>
      <c r="I1525" s="42" t="str">
        <f>+IFERROR(VLOOKUP(E1525,'DANH MỤC'!$C:$H,4,0),"")</f>
        <v/>
      </c>
      <c r="J1525" s="42" t="str">
        <f>+IFERROR(VLOOKUP(E1525,'DANH MỤC'!$C:$H,5,0),"")</f>
        <v/>
      </c>
      <c r="K1525" s="53"/>
      <c r="L1525" s="58"/>
      <c r="M1525" s="55"/>
      <c r="N1525" s="55"/>
    </row>
    <row r="1526" ht="15.75" customHeight="1">
      <c r="A1526" s="53">
        <f t="shared" si="7"/>
        <v>1521</v>
      </c>
      <c r="B1526" s="55"/>
      <c r="C1526" s="41"/>
      <c r="D1526" s="42"/>
      <c r="E1526" s="42"/>
      <c r="F1526" s="42" t="str">
        <f>+IFERROR(VLOOKUP(E1526,'DANH MỤC'!$C:$H,2,0),"")</f>
        <v/>
      </c>
      <c r="G1526" s="42" t="str">
        <f>+IFERROR(VLOOKUP(E1526,'DANH MỤC'!$C:$H,6,0),"")</f>
        <v/>
      </c>
      <c r="H1526" s="42" t="str">
        <f>+IFERROR(VLOOKUP(E1526,'DANH MỤC'!$C:$H,3,0),"")</f>
        <v/>
      </c>
      <c r="I1526" s="42" t="str">
        <f>+IFERROR(VLOOKUP(E1526,'DANH MỤC'!$C:$H,4,0),"")</f>
        <v/>
      </c>
      <c r="J1526" s="42" t="str">
        <f>+IFERROR(VLOOKUP(E1526,'DANH MỤC'!$C:$H,5,0),"")</f>
        <v/>
      </c>
      <c r="K1526" s="53"/>
      <c r="L1526" s="58"/>
      <c r="M1526" s="55"/>
      <c r="N1526" s="55"/>
    </row>
    <row r="1527" ht="15.75" customHeight="1">
      <c r="A1527" s="53">
        <f t="shared" si="7"/>
        <v>1522</v>
      </c>
      <c r="B1527" s="55"/>
      <c r="C1527" s="41"/>
      <c r="D1527" s="42"/>
      <c r="E1527" s="42"/>
      <c r="F1527" s="42" t="str">
        <f>+IFERROR(VLOOKUP(E1527,'DANH MỤC'!$C:$H,2,0),"")</f>
        <v/>
      </c>
      <c r="G1527" s="42" t="str">
        <f>+IFERROR(VLOOKUP(E1527,'DANH MỤC'!$C:$H,6,0),"")</f>
        <v/>
      </c>
      <c r="H1527" s="42" t="str">
        <f>+IFERROR(VLOOKUP(E1527,'DANH MỤC'!$C:$H,3,0),"")</f>
        <v/>
      </c>
      <c r="I1527" s="42" t="str">
        <f>+IFERROR(VLOOKUP(E1527,'DANH MỤC'!$C:$H,4,0),"")</f>
        <v/>
      </c>
      <c r="J1527" s="42" t="str">
        <f>+IFERROR(VLOOKUP(E1527,'DANH MỤC'!$C:$H,5,0),"")</f>
        <v/>
      </c>
      <c r="K1527" s="53"/>
      <c r="L1527" s="58"/>
      <c r="M1527" s="55"/>
      <c r="N1527" s="55"/>
    </row>
    <row r="1528" ht="15.75" customHeight="1">
      <c r="A1528" s="53">
        <f t="shared" si="7"/>
        <v>1523</v>
      </c>
      <c r="B1528" s="55"/>
      <c r="C1528" s="41"/>
      <c r="D1528" s="42"/>
      <c r="E1528" s="42"/>
      <c r="F1528" s="42" t="str">
        <f>+IFERROR(VLOOKUP(E1528,'DANH MỤC'!$C:$H,2,0),"")</f>
        <v/>
      </c>
      <c r="G1528" s="42" t="str">
        <f>+IFERROR(VLOOKUP(E1528,'DANH MỤC'!$C:$H,6,0),"")</f>
        <v/>
      </c>
      <c r="H1528" s="42" t="str">
        <f>+IFERROR(VLOOKUP(E1528,'DANH MỤC'!$C:$H,3,0),"")</f>
        <v/>
      </c>
      <c r="I1528" s="42" t="str">
        <f>+IFERROR(VLOOKUP(E1528,'DANH MỤC'!$C:$H,4,0),"")</f>
        <v/>
      </c>
      <c r="J1528" s="42" t="str">
        <f>+IFERROR(VLOOKUP(E1528,'DANH MỤC'!$C:$H,5,0),"")</f>
        <v/>
      </c>
      <c r="K1528" s="53"/>
      <c r="L1528" s="58"/>
      <c r="M1528" s="55"/>
      <c r="N1528" s="55"/>
    </row>
    <row r="1529" ht="15.75" customHeight="1">
      <c r="A1529" s="53">
        <f t="shared" si="7"/>
        <v>1524</v>
      </c>
      <c r="B1529" s="55"/>
      <c r="C1529" s="41"/>
      <c r="D1529" s="42"/>
      <c r="E1529" s="42"/>
      <c r="F1529" s="42" t="str">
        <f>+IFERROR(VLOOKUP(E1529,'DANH MỤC'!$C:$H,2,0),"")</f>
        <v/>
      </c>
      <c r="G1529" s="42" t="str">
        <f>+IFERROR(VLOOKUP(E1529,'DANH MỤC'!$C:$H,6,0),"")</f>
        <v/>
      </c>
      <c r="H1529" s="42" t="str">
        <f>+IFERROR(VLOOKUP(E1529,'DANH MỤC'!$C:$H,3,0),"")</f>
        <v/>
      </c>
      <c r="I1529" s="42" t="str">
        <f>+IFERROR(VLOOKUP(E1529,'DANH MỤC'!$C:$H,4,0),"")</f>
        <v/>
      </c>
      <c r="J1529" s="42" t="str">
        <f>+IFERROR(VLOOKUP(E1529,'DANH MỤC'!$C:$H,5,0),"")</f>
        <v/>
      </c>
      <c r="K1529" s="53"/>
      <c r="L1529" s="58"/>
      <c r="M1529" s="55"/>
      <c r="N1529" s="55"/>
    </row>
    <row r="1530" ht="15.75" customHeight="1">
      <c r="A1530" s="53">
        <f t="shared" si="7"/>
        <v>1525</v>
      </c>
      <c r="B1530" s="55"/>
      <c r="C1530" s="41"/>
      <c r="D1530" s="42"/>
      <c r="E1530" s="42"/>
      <c r="F1530" s="42" t="str">
        <f>+IFERROR(VLOOKUP(E1530,'DANH MỤC'!$C:$H,2,0),"")</f>
        <v/>
      </c>
      <c r="G1530" s="42" t="str">
        <f>+IFERROR(VLOOKUP(E1530,'DANH MỤC'!$C:$H,6,0),"")</f>
        <v/>
      </c>
      <c r="H1530" s="42" t="str">
        <f>+IFERROR(VLOOKUP(E1530,'DANH MỤC'!$C:$H,3,0),"")</f>
        <v/>
      </c>
      <c r="I1530" s="42" t="str">
        <f>+IFERROR(VLOOKUP(E1530,'DANH MỤC'!$C:$H,4,0),"")</f>
        <v/>
      </c>
      <c r="J1530" s="42" t="str">
        <f>+IFERROR(VLOOKUP(E1530,'DANH MỤC'!$C:$H,5,0),"")</f>
        <v/>
      </c>
      <c r="K1530" s="53"/>
      <c r="L1530" s="58"/>
      <c r="M1530" s="55"/>
      <c r="N1530" s="55"/>
    </row>
    <row r="1531" ht="15.75" customHeight="1">
      <c r="A1531" s="53">
        <f t="shared" si="7"/>
        <v>1526</v>
      </c>
      <c r="B1531" s="55"/>
      <c r="C1531" s="41"/>
      <c r="D1531" s="42"/>
      <c r="E1531" s="42"/>
      <c r="F1531" s="42" t="str">
        <f>+IFERROR(VLOOKUP(E1531,'DANH MỤC'!$C:$H,2,0),"")</f>
        <v/>
      </c>
      <c r="G1531" s="42" t="str">
        <f>+IFERROR(VLOOKUP(E1531,'DANH MỤC'!$C:$H,6,0),"")</f>
        <v/>
      </c>
      <c r="H1531" s="42" t="str">
        <f>+IFERROR(VLOOKUP(E1531,'DANH MỤC'!$C:$H,3,0),"")</f>
        <v/>
      </c>
      <c r="I1531" s="42" t="str">
        <f>+IFERROR(VLOOKUP(E1531,'DANH MỤC'!$C:$H,4,0),"")</f>
        <v/>
      </c>
      <c r="J1531" s="42" t="str">
        <f>+IFERROR(VLOOKUP(E1531,'DANH MỤC'!$C:$H,5,0),"")</f>
        <v/>
      </c>
      <c r="K1531" s="53"/>
      <c r="L1531" s="58"/>
      <c r="M1531" s="55"/>
      <c r="N1531" s="55"/>
    </row>
    <row r="1532" ht="15.75" customHeight="1">
      <c r="A1532" s="53">
        <f t="shared" si="7"/>
        <v>1527</v>
      </c>
      <c r="B1532" s="55"/>
      <c r="C1532" s="41"/>
      <c r="D1532" s="42"/>
      <c r="E1532" s="42"/>
      <c r="F1532" s="42" t="str">
        <f>+IFERROR(VLOOKUP(E1532,'DANH MỤC'!$C:$H,2,0),"")</f>
        <v/>
      </c>
      <c r="G1532" s="42" t="str">
        <f>+IFERROR(VLOOKUP(E1532,'DANH MỤC'!$C:$H,6,0),"")</f>
        <v/>
      </c>
      <c r="H1532" s="42" t="str">
        <f>+IFERROR(VLOOKUP(E1532,'DANH MỤC'!$C:$H,3,0),"")</f>
        <v/>
      </c>
      <c r="I1532" s="42" t="str">
        <f>+IFERROR(VLOOKUP(E1532,'DANH MỤC'!$C:$H,4,0),"")</f>
        <v/>
      </c>
      <c r="J1532" s="42" t="str">
        <f>+IFERROR(VLOOKUP(E1532,'DANH MỤC'!$C:$H,5,0),"")</f>
        <v/>
      </c>
      <c r="K1532" s="53"/>
      <c r="L1532" s="58"/>
      <c r="M1532" s="55"/>
      <c r="N1532" s="55"/>
    </row>
    <row r="1533" ht="15.75" customHeight="1">
      <c r="A1533" s="53">
        <f t="shared" si="7"/>
        <v>1528</v>
      </c>
      <c r="B1533" s="55"/>
      <c r="C1533" s="41"/>
      <c r="D1533" s="42"/>
      <c r="E1533" s="42"/>
      <c r="F1533" s="42" t="str">
        <f>+IFERROR(VLOOKUP(E1533,'DANH MỤC'!$C:$H,2,0),"")</f>
        <v/>
      </c>
      <c r="G1533" s="42" t="str">
        <f>+IFERROR(VLOOKUP(E1533,'DANH MỤC'!$C:$H,6,0),"")</f>
        <v/>
      </c>
      <c r="H1533" s="42" t="str">
        <f>+IFERROR(VLOOKUP(E1533,'DANH MỤC'!$C:$H,3,0),"")</f>
        <v/>
      </c>
      <c r="I1533" s="42" t="str">
        <f>+IFERROR(VLOOKUP(E1533,'DANH MỤC'!$C:$H,4,0),"")</f>
        <v/>
      </c>
      <c r="J1533" s="42" t="str">
        <f>+IFERROR(VLOOKUP(E1533,'DANH MỤC'!$C:$H,5,0),"")</f>
        <v/>
      </c>
      <c r="K1533" s="53"/>
      <c r="L1533" s="58"/>
      <c r="M1533" s="55"/>
      <c r="N1533" s="55"/>
    </row>
    <row r="1534" ht="15.75" customHeight="1">
      <c r="A1534" s="53">
        <f t="shared" si="7"/>
        <v>1529</v>
      </c>
      <c r="B1534" s="55"/>
      <c r="C1534" s="41"/>
      <c r="D1534" s="42"/>
      <c r="E1534" s="42"/>
      <c r="F1534" s="42" t="str">
        <f>+IFERROR(VLOOKUP(E1534,'DANH MỤC'!$C:$H,2,0),"")</f>
        <v/>
      </c>
      <c r="G1534" s="42" t="str">
        <f>+IFERROR(VLOOKUP(E1534,'DANH MỤC'!$C:$H,6,0),"")</f>
        <v/>
      </c>
      <c r="H1534" s="42" t="str">
        <f>+IFERROR(VLOOKUP(E1534,'DANH MỤC'!$C:$H,3,0),"")</f>
        <v/>
      </c>
      <c r="I1534" s="42" t="str">
        <f>+IFERROR(VLOOKUP(E1534,'DANH MỤC'!$C:$H,4,0),"")</f>
        <v/>
      </c>
      <c r="J1534" s="42" t="str">
        <f>+IFERROR(VLOOKUP(E1534,'DANH MỤC'!$C:$H,5,0),"")</f>
        <v/>
      </c>
      <c r="K1534" s="53"/>
      <c r="L1534" s="58"/>
      <c r="M1534" s="55"/>
      <c r="N1534" s="55"/>
    </row>
    <row r="1535" ht="15.75" customHeight="1">
      <c r="A1535" s="53">
        <f t="shared" si="7"/>
        <v>1530</v>
      </c>
      <c r="B1535" s="55"/>
      <c r="C1535" s="41"/>
      <c r="D1535" s="42"/>
      <c r="E1535" s="42"/>
      <c r="F1535" s="42" t="str">
        <f>+IFERROR(VLOOKUP(E1535,'DANH MỤC'!$C:$H,2,0),"")</f>
        <v/>
      </c>
      <c r="G1535" s="42" t="str">
        <f>+IFERROR(VLOOKUP(E1535,'DANH MỤC'!$C:$H,6,0),"")</f>
        <v/>
      </c>
      <c r="H1535" s="42" t="str">
        <f>+IFERROR(VLOOKUP(E1535,'DANH MỤC'!$C:$H,3,0),"")</f>
        <v/>
      </c>
      <c r="I1535" s="42" t="str">
        <f>+IFERROR(VLOOKUP(E1535,'DANH MỤC'!$C:$H,4,0),"")</f>
        <v/>
      </c>
      <c r="J1535" s="42" t="str">
        <f>+IFERROR(VLOOKUP(E1535,'DANH MỤC'!$C:$H,5,0),"")</f>
        <v/>
      </c>
      <c r="K1535" s="53"/>
      <c r="L1535" s="58"/>
      <c r="M1535" s="55"/>
      <c r="N1535" s="55"/>
    </row>
    <row r="1536" ht="15.75" customHeight="1">
      <c r="A1536" s="53">
        <f t="shared" si="7"/>
        <v>1531</v>
      </c>
      <c r="B1536" s="55"/>
      <c r="C1536" s="41"/>
      <c r="D1536" s="42"/>
      <c r="E1536" s="42"/>
      <c r="F1536" s="42" t="str">
        <f>+IFERROR(VLOOKUP(E1536,'DANH MỤC'!$C:$H,2,0),"")</f>
        <v/>
      </c>
      <c r="G1536" s="42" t="str">
        <f>+IFERROR(VLOOKUP(E1536,'DANH MỤC'!$C:$H,6,0),"")</f>
        <v/>
      </c>
      <c r="H1536" s="42" t="str">
        <f>+IFERROR(VLOOKUP(E1536,'DANH MỤC'!$C:$H,3,0),"")</f>
        <v/>
      </c>
      <c r="I1536" s="42" t="str">
        <f>+IFERROR(VLOOKUP(E1536,'DANH MỤC'!$C:$H,4,0),"")</f>
        <v/>
      </c>
      <c r="J1536" s="42" t="str">
        <f>+IFERROR(VLOOKUP(E1536,'DANH MỤC'!$C:$H,5,0),"")</f>
        <v/>
      </c>
      <c r="K1536" s="53"/>
      <c r="L1536" s="58"/>
      <c r="M1536" s="55"/>
      <c r="N1536" s="55"/>
    </row>
    <row r="1537" ht="15.75" customHeight="1">
      <c r="A1537" s="53">
        <f t="shared" si="7"/>
        <v>1532</v>
      </c>
      <c r="B1537" s="55"/>
      <c r="C1537" s="41"/>
      <c r="D1537" s="42"/>
      <c r="E1537" s="42"/>
      <c r="F1537" s="42" t="str">
        <f>+IFERROR(VLOOKUP(E1537,'DANH MỤC'!$C:$H,2,0),"")</f>
        <v/>
      </c>
      <c r="G1537" s="42" t="str">
        <f>+IFERROR(VLOOKUP(E1537,'DANH MỤC'!$C:$H,6,0),"")</f>
        <v/>
      </c>
      <c r="H1537" s="42" t="str">
        <f>+IFERROR(VLOOKUP(E1537,'DANH MỤC'!$C:$H,3,0),"")</f>
        <v/>
      </c>
      <c r="I1537" s="42" t="str">
        <f>+IFERROR(VLOOKUP(E1537,'DANH MỤC'!$C:$H,4,0),"")</f>
        <v/>
      </c>
      <c r="J1537" s="42" t="str">
        <f>+IFERROR(VLOOKUP(E1537,'DANH MỤC'!$C:$H,5,0),"")</f>
        <v/>
      </c>
      <c r="K1537" s="53"/>
      <c r="L1537" s="58"/>
      <c r="M1537" s="55"/>
      <c r="N1537" s="55"/>
    </row>
    <row r="1538" ht="15.75" customHeight="1">
      <c r="A1538" s="53">
        <f t="shared" si="7"/>
        <v>1533</v>
      </c>
      <c r="B1538" s="55"/>
      <c r="C1538" s="41"/>
      <c r="D1538" s="42"/>
      <c r="E1538" s="42"/>
      <c r="F1538" s="42" t="str">
        <f>+IFERROR(VLOOKUP(E1538,'DANH MỤC'!$C:$H,2,0),"")</f>
        <v/>
      </c>
      <c r="G1538" s="42" t="str">
        <f>+IFERROR(VLOOKUP(E1538,'DANH MỤC'!$C:$H,6,0),"")</f>
        <v/>
      </c>
      <c r="H1538" s="42" t="str">
        <f>+IFERROR(VLOOKUP(E1538,'DANH MỤC'!$C:$H,3,0),"")</f>
        <v/>
      </c>
      <c r="I1538" s="42" t="str">
        <f>+IFERROR(VLOOKUP(E1538,'DANH MỤC'!$C:$H,4,0),"")</f>
        <v/>
      </c>
      <c r="J1538" s="42" t="str">
        <f>+IFERROR(VLOOKUP(E1538,'DANH MỤC'!$C:$H,5,0),"")</f>
        <v/>
      </c>
      <c r="K1538" s="53"/>
      <c r="L1538" s="58"/>
      <c r="M1538" s="55"/>
      <c r="N1538" s="55"/>
    </row>
    <row r="1539" ht="15.75" customHeight="1">
      <c r="A1539" s="53">
        <f t="shared" si="7"/>
        <v>1534</v>
      </c>
      <c r="B1539" s="55"/>
      <c r="C1539" s="41"/>
      <c r="D1539" s="42"/>
      <c r="E1539" s="42"/>
      <c r="F1539" s="42" t="str">
        <f>+IFERROR(VLOOKUP(E1539,'DANH MỤC'!$C:$H,2,0),"")</f>
        <v/>
      </c>
      <c r="G1539" s="42" t="str">
        <f>+IFERROR(VLOOKUP(E1539,'DANH MỤC'!$C:$H,6,0),"")</f>
        <v/>
      </c>
      <c r="H1539" s="42" t="str">
        <f>+IFERROR(VLOOKUP(E1539,'DANH MỤC'!$C:$H,3,0),"")</f>
        <v/>
      </c>
      <c r="I1539" s="42" t="str">
        <f>+IFERROR(VLOOKUP(E1539,'DANH MỤC'!$C:$H,4,0),"")</f>
        <v/>
      </c>
      <c r="J1539" s="42" t="str">
        <f>+IFERROR(VLOOKUP(E1539,'DANH MỤC'!$C:$H,5,0),"")</f>
        <v/>
      </c>
      <c r="K1539" s="53"/>
      <c r="L1539" s="58"/>
      <c r="M1539" s="55"/>
      <c r="N1539" s="55"/>
    </row>
    <row r="1540" ht="15.75" customHeight="1">
      <c r="A1540" s="53">
        <f t="shared" si="7"/>
        <v>1535</v>
      </c>
      <c r="B1540" s="55"/>
      <c r="C1540" s="41"/>
      <c r="D1540" s="42"/>
      <c r="E1540" s="42"/>
      <c r="F1540" s="42" t="str">
        <f>+IFERROR(VLOOKUP(E1540,'DANH MỤC'!$C:$H,2,0),"")</f>
        <v/>
      </c>
      <c r="G1540" s="42" t="str">
        <f>+IFERROR(VLOOKUP(E1540,'DANH MỤC'!$C:$H,6,0),"")</f>
        <v/>
      </c>
      <c r="H1540" s="42" t="str">
        <f>+IFERROR(VLOOKUP(E1540,'DANH MỤC'!$C:$H,3,0),"")</f>
        <v/>
      </c>
      <c r="I1540" s="42" t="str">
        <f>+IFERROR(VLOOKUP(E1540,'DANH MỤC'!$C:$H,4,0),"")</f>
        <v/>
      </c>
      <c r="J1540" s="42" t="str">
        <f>+IFERROR(VLOOKUP(E1540,'DANH MỤC'!$C:$H,5,0),"")</f>
        <v/>
      </c>
      <c r="K1540" s="53"/>
      <c r="L1540" s="58"/>
      <c r="M1540" s="55"/>
      <c r="N1540" s="55"/>
    </row>
    <row r="1541" ht="15.75" customHeight="1">
      <c r="A1541" s="53">
        <f t="shared" si="7"/>
        <v>1536</v>
      </c>
      <c r="B1541" s="55"/>
      <c r="C1541" s="41"/>
      <c r="D1541" s="42"/>
      <c r="E1541" s="42"/>
      <c r="F1541" s="42" t="str">
        <f>+IFERROR(VLOOKUP(E1541,'DANH MỤC'!$C:$H,2,0),"")</f>
        <v/>
      </c>
      <c r="G1541" s="42" t="str">
        <f>+IFERROR(VLOOKUP(E1541,'DANH MỤC'!$C:$H,6,0),"")</f>
        <v/>
      </c>
      <c r="H1541" s="42" t="str">
        <f>+IFERROR(VLOOKUP(E1541,'DANH MỤC'!$C:$H,3,0),"")</f>
        <v/>
      </c>
      <c r="I1541" s="42" t="str">
        <f>+IFERROR(VLOOKUP(E1541,'DANH MỤC'!$C:$H,4,0),"")</f>
        <v/>
      </c>
      <c r="J1541" s="42" t="str">
        <f>+IFERROR(VLOOKUP(E1541,'DANH MỤC'!$C:$H,5,0),"")</f>
        <v/>
      </c>
      <c r="K1541" s="53"/>
      <c r="L1541" s="58"/>
      <c r="M1541" s="55"/>
      <c r="N1541" s="55"/>
    </row>
    <row r="1542" ht="15.75" customHeight="1">
      <c r="A1542" s="53">
        <f t="shared" si="7"/>
        <v>1537</v>
      </c>
      <c r="B1542" s="55"/>
      <c r="C1542" s="41"/>
      <c r="D1542" s="42"/>
      <c r="E1542" s="42"/>
      <c r="F1542" s="42" t="str">
        <f>+IFERROR(VLOOKUP(E1542,'DANH MỤC'!$C:$H,2,0),"")</f>
        <v/>
      </c>
      <c r="G1542" s="42" t="str">
        <f>+IFERROR(VLOOKUP(E1542,'DANH MỤC'!$C:$H,6,0),"")</f>
        <v/>
      </c>
      <c r="H1542" s="42" t="str">
        <f>+IFERROR(VLOOKUP(E1542,'DANH MỤC'!$C:$H,3,0),"")</f>
        <v/>
      </c>
      <c r="I1542" s="42" t="str">
        <f>+IFERROR(VLOOKUP(E1542,'DANH MỤC'!$C:$H,4,0),"")</f>
        <v/>
      </c>
      <c r="J1542" s="42" t="str">
        <f>+IFERROR(VLOOKUP(E1542,'DANH MỤC'!$C:$H,5,0),"")</f>
        <v/>
      </c>
      <c r="K1542" s="53"/>
      <c r="L1542" s="58"/>
      <c r="M1542" s="55"/>
      <c r="N1542" s="55"/>
    </row>
    <row r="1543" ht="15.75" customHeight="1">
      <c r="A1543" s="53">
        <f t="shared" si="7"/>
        <v>1538</v>
      </c>
      <c r="B1543" s="55"/>
      <c r="C1543" s="41"/>
      <c r="D1543" s="42"/>
      <c r="E1543" s="42"/>
      <c r="F1543" s="42" t="str">
        <f>+IFERROR(VLOOKUP(E1543,'DANH MỤC'!$C:$H,2,0),"")</f>
        <v/>
      </c>
      <c r="G1543" s="42" t="str">
        <f>+IFERROR(VLOOKUP(E1543,'DANH MỤC'!$C:$H,6,0),"")</f>
        <v/>
      </c>
      <c r="H1543" s="42" t="str">
        <f>+IFERROR(VLOOKUP(E1543,'DANH MỤC'!$C:$H,3,0),"")</f>
        <v/>
      </c>
      <c r="I1543" s="42" t="str">
        <f>+IFERROR(VLOOKUP(E1543,'DANH MỤC'!$C:$H,4,0),"")</f>
        <v/>
      </c>
      <c r="J1543" s="42" t="str">
        <f>+IFERROR(VLOOKUP(E1543,'DANH MỤC'!$C:$H,5,0),"")</f>
        <v/>
      </c>
      <c r="K1543" s="53"/>
      <c r="L1543" s="58"/>
      <c r="M1543" s="55"/>
      <c r="N1543" s="55"/>
    </row>
    <row r="1544" ht="15.75" customHeight="1">
      <c r="A1544" s="53">
        <f t="shared" si="7"/>
        <v>1539</v>
      </c>
      <c r="B1544" s="55"/>
      <c r="C1544" s="41"/>
      <c r="D1544" s="42"/>
      <c r="E1544" s="42"/>
      <c r="F1544" s="42" t="str">
        <f>+IFERROR(VLOOKUP(E1544,'DANH MỤC'!$C:$H,2,0),"")</f>
        <v/>
      </c>
      <c r="G1544" s="42" t="str">
        <f>+IFERROR(VLOOKUP(E1544,'DANH MỤC'!$C:$H,6,0),"")</f>
        <v/>
      </c>
      <c r="H1544" s="42" t="str">
        <f>+IFERROR(VLOOKUP(E1544,'DANH MỤC'!$C:$H,3,0),"")</f>
        <v/>
      </c>
      <c r="I1544" s="42" t="str">
        <f>+IFERROR(VLOOKUP(E1544,'DANH MỤC'!$C:$H,4,0),"")</f>
        <v/>
      </c>
      <c r="J1544" s="42" t="str">
        <f>+IFERROR(VLOOKUP(E1544,'DANH MỤC'!$C:$H,5,0),"")</f>
        <v/>
      </c>
      <c r="K1544" s="53"/>
      <c r="L1544" s="58"/>
      <c r="M1544" s="55"/>
      <c r="N1544" s="55"/>
    </row>
    <row r="1545" ht="15.75" customHeight="1">
      <c r="A1545" s="53">
        <f t="shared" si="7"/>
        <v>1540</v>
      </c>
      <c r="B1545" s="55"/>
      <c r="C1545" s="41"/>
      <c r="D1545" s="42"/>
      <c r="E1545" s="42"/>
      <c r="F1545" s="42" t="str">
        <f>+IFERROR(VLOOKUP(E1545,'DANH MỤC'!$C:$H,2,0),"")</f>
        <v/>
      </c>
      <c r="G1545" s="42" t="str">
        <f>+IFERROR(VLOOKUP(E1545,'DANH MỤC'!$C:$H,6,0),"")</f>
        <v/>
      </c>
      <c r="H1545" s="42" t="str">
        <f>+IFERROR(VLOOKUP(E1545,'DANH MỤC'!$C:$H,3,0),"")</f>
        <v/>
      </c>
      <c r="I1545" s="42" t="str">
        <f>+IFERROR(VLOOKUP(E1545,'DANH MỤC'!$C:$H,4,0),"")</f>
        <v/>
      </c>
      <c r="J1545" s="42" t="str">
        <f>+IFERROR(VLOOKUP(E1545,'DANH MỤC'!$C:$H,5,0),"")</f>
        <v/>
      </c>
      <c r="K1545" s="53"/>
      <c r="L1545" s="58"/>
      <c r="M1545" s="55"/>
      <c r="N1545" s="55"/>
    </row>
    <row r="1546" ht="15.75" customHeight="1">
      <c r="A1546" s="53">
        <f t="shared" si="7"/>
        <v>1541</v>
      </c>
      <c r="B1546" s="55"/>
      <c r="C1546" s="41"/>
      <c r="D1546" s="42"/>
      <c r="E1546" s="42"/>
      <c r="F1546" s="42" t="str">
        <f>+IFERROR(VLOOKUP(E1546,'DANH MỤC'!$C:$H,2,0),"")</f>
        <v/>
      </c>
      <c r="G1546" s="42" t="str">
        <f>+IFERROR(VLOOKUP(E1546,'DANH MỤC'!$C:$H,6,0),"")</f>
        <v/>
      </c>
      <c r="H1546" s="42" t="str">
        <f>+IFERROR(VLOOKUP(E1546,'DANH MỤC'!$C:$H,3,0),"")</f>
        <v/>
      </c>
      <c r="I1546" s="42" t="str">
        <f>+IFERROR(VLOOKUP(E1546,'DANH MỤC'!$C:$H,4,0),"")</f>
        <v/>
      </c>
      <c r="J1546" s="42" t="str">
        <f>+IFERROR(VLOOKUP(E1546,'DANH MỤC'!$C:$H,5,0),"")</f>
        <v/>
      </c>
      <c r="K1546" s="53"/>
      <c r="L1546" s="58"/>
      <c r="M1546" s="55"/>
      <c r="N1546" s="55"/>
    </row>
    <row r="1547" ht="15.75" customHeight="1">
      <c r="A1547" s="53">
        <f t="shared" si="7"/>
        <v>1542</v>
      </c>
      <c r="B1547" s="55"/>
      <c r="C1547" s="41"/>
      <c r="D1547" s="42"/>
      <c r="E1547" s="42"/>
      <c r="F1547" s="42" t="str">
        <f>+IFERROR(VLOOKUP(E1547,'DANH MỤC'!$C:$H,2,0),"")</f>
        <v/>
      </c>
      <c r="G1547" s="42" t="str">
        <f>+IFERROR(VLOOKUP(E1547,'DANH MỤC'!$C:$H,6,0),"")</f>
        <v/>
      </c>
      <c r="H1547" s="42" t="str">
        <f>+IFERROR(VLOOKUP(E1547,'DANH MỤC'!$C:$H,3,0),"")</f>
        <v/>
      </c>
      <c r="I1547" s="42" t="str">
        <f>+IFERROR(VLOOKUP(E1547,'DANH MỤC'!$C:$H,4,0),"")</f>
        <v/>
      </c>
      <c r="J1547" s="42" t="str">
        <f>+IFERROR(VLOOKUP(E1547,'DANH MỤC'!$C:$H,5,0),"")</f>
        <v/>
      </c>
      <c r="K1547" s="53"/>
      <c r="L1547" s="58"/>
      <c r="M1547" s="55"/>
      <c r="N1547" s="55"/>
    </row>
    <row r="1548" ht="15.75" customHeight="1">
      <c r="A1548" s="53">
        <f t="shared" si="7"/>
        <v>1543</v>
      </c>
      <c r="B1548" s="55"/>
      <c r="C1548" s="41"/>
      <c r="D1548" s="42"/>
      <c r="E1548" s="42"/>
      <c r="F1548" s="42" t="str">
        <f>+IFERROR(VLOOKUP(E1548,'DANH MỤC'!$C:$H,2,0),"")</f>
        <v/>
      </c>
      <c r="G1548" s="42" t="str">
        <f>+IFERROR(VLOOKUP(E1548,'DANH MỤC'!$C:$H,6,0),"")</f>
        <v/>
      </c>
      <c r="H1548" s="42" t="str">
        <f>+IFERROR(VLOOKUP(E1548,'DANH MỤC'!$C:$H,3,0),"")</f>
        <v/>
      </c>
      <c r="I1548" s="42" t="str">
        <f>+IFERROR(VLOOKUP(E1548,'DANH MỤC'!$C:$H,4,0),"")</f>
        <v/>
      </c>
      <c r="J1548" s="42" t="str">
        <f>+IFERROR(VLOOKUP(E1548,'DANH MỤC'!$C:$H,5,0),"")</f>
        <v/>
      </c>
      <c r="K1548" s="53"/>
      <c r="L1548" s="58"/>
      <c r="M1548" s="55"/>
      <c r="N1548" s="55"/>
    </row>
    <row r="1549" ht="15.75" customHeight="1">
      <c r="A1549" s="53">
        <f t="shared" si="7"/>
        <v>1544</v>
      </c>
      <c r="B1549" s="55"/>
      <c r="C1549" s="41"/>
      <c r="D1549" s="42"/>
      <c r="E1549" s="42"/>
      <c r="F1549" s="42" t="str">
        <f>+IFERROR(VLOOKUP(E1549,'DANH MỤC'!$C:$H,2,0),"")</f>
        <v/>
      </c>
      <c r="G1549" s="42" t="str">
        <f>+IFERROR(VLOOKUP(E1549,'DANH MỤC'!$C:$H,6,0),"")</f>
        <v/>
      </c>
      <c r="H1549" s="42" t="str">
        <f>+IFERROR(VLOOKUP(E1549,'DANH MỤC'!$C:$H,3,0),"")</f>
        <v/>
      </c>
      <c r="I1549" s="42" t="str">
        <f>+IFERROR(VLOOKUP(E1549,'DANH MỤC'!$C:$H,4,0),"")</f>
        <v/>
      </c>
      <c r="J1549" s="42" t="str">
        <f>+IFERROR(VLOOKUP(E1549,'DANH MỤC'!$C:$H,5,0),"")</f>
        <v/>
      </c>
      <c r="K1549" s="53"/>
      <c r="L1549" s="58"/>
      <c r="M1549" s="55"/>
      <c r="N1549" s="55"/>
    </row>
    <row r="1550" ht="15.75" customHeight="1">
      <c r="A1550" s="53">
        <f t="shared" si="7"/>
        <v>1545</v>
      </c>
      <c r="B1550" s="55"/>
      <c r="C1550" s="41"/>
      <c r="D1550" s="42"/>
      <c r="E1550" s="42"/>
      <c r="F1550" s="42" t="str">
        <f>+IFERROR(VLOOKUP(E1550,'DANH MỤC'!$C:$H,2,0),"")</f>
        <v/>
      </c>
      <c r="G1550" s="42" t="str">
        <f>+IFERROR(VLOOKUP(E1550,'DANH MỤC'!$C:$H,6,0),"")</f>
        <v/>
      </c>
      <c r="H1550" s="42" t="str">
        <f>+IFERROR(VLOOKUP(E1550,'DANH MỤC'!$C:$H,3,0),"")</f>
        <v/>
      </c>
      <c r="I1550" s="42" t="str">
        <f>+IFERROR(VLOOKUP(E1550,'DANH MỤC'!$C:$H,4,0),"")</f>
        <v/>
      </c>
      <c r="J1550" s="42" t="str">
        <f>+IFERROR(VLOOKUP(E1550,'DANH MỤC'!$C:$H,5,0),"")</f>
        <v/>
      </c>
      <c r="K1550" s="53"/>
      <c r="L1550" s="58"/>
      <c r="M1550" s="55"/>
      <c r="N1550" s="55"/>
    </row>
    <row r="1551" ht="15.75" customHeight="1">
      <c r="A1551" s="53">
        <f t="shared" si="7"/>
        <v>1546</v>
      </c>
      <c r="B1551" s="55"/>
      <c r="C1551" s="41"/>
      <c r="D1551" s="42"/>
      <c r="E1551" s="42"/>
      <c r="F1551" s="42" t="str">
        <f>+IFERROR(VLOOKUP(E1551,'DANH MỤC'!$C:$H,2,0),"")</f>
        <v/>
      </c>
      <c r="G1551" s="42" t="str">
        <f>+IFERROR(VLOOKUP(E1551,'DANH MỤC'!$C:$H,6,0),"")</f>
        <v/>
      </c>
      <c r="H1551" s="42" t="str">
        <f>+IFERROR(VLOOKUP(E1551,'DANH MỤC'!$C:$H,3,0),"")</f>
        <v/>
      </c>
      <c r="I1551" s="42" t="str">
        <f>+IFERROR(VLOOKUP(E1551,'DANH MỤC'!$C:$H,4,0),"")</f>
        <v/>
      </c>
      <c r="J1551" s="42" t="str">
        <f>+IFERROR(VLOOKUP(E1551,'DANH MỤC'!$C:$H,5,0),"")</f>
        <v/>
      </c>
      <c r="K1551" s="53"/>
      <c r="L1551" s="58"/>
      <c r="M1551" s="55"/>
      <c r="N1551" s="55"/>
    </row>
    <row r="1552" ht="15.75" customHeight="1">
      <c r="A1552" s="53">
        <f t="shared" si="7"/>
        <v>1547</v>
      </c>
      <c r="B1552" s="55"/>
      <c r="C1552" s="41"/>
      <c r="D1552" s="42"/>
      <c r="E1552" s="42"/>
      <c r="F1552" s="42" t="str">
        <f>+IFERROR(VLOOKUP(E1552,'DANH MỤC'!$C:$H,2,0),"")</f>
        <v/>
      </c>
      <c r="G1552" s="42" t="str">
        <f>+IFERROR(VLOOKUP(E1552,'DANH MỤC'!$C:$H,6,0),"")</f>
        <v/>
      </c>
      <c r="H1552" s="42" t="str">
        <f>+IFERROR(VLOOKUP(E1552,'DANH MỤC'!$C:$H,3,0),"")</f>
        <v/>
      </c>
      <c r="I1552" s="42" t="str">
        <f>+IFERROR(VLOOKUP(E1552,'DANH MỤC'!$C:$H,4,0),"")</f>
        <v/>
      </c>
      <c r="J1552" s="42" t="str">
        <f>+IFERROR(VLOOKUP(E1552,'DANH MỤC'!$C:$H,5,0),"")</f>
        <v/>
      </c>
      <c r="K1552" s="53"/>
      <c r="L1552" s="58"/>
      <c r="M1552" s="55"/>
      <c r="N1552" s="55"/>
    </row>
    <row r="1553" ht="15.75" customHeight="1">
      <c r="A1553" s="53">
        <f t="shared" si="7"/>
        <v>1548</v>
      </c>
      <c r="B1553" s="55"/>
      <c r="C1553" s="41"/>
      <c r="D1553" s="42"/>
      <c r="E1553" s="42"/>
      <c r="F1553" s="42" t="str">
        <f>+IFERROR(VLOOKUP(E1553,'DANH MỤC'!$C:$H,2,0),"")</f>
        <v/>
      </c>
      <c r="G1553" s="42" t="str">
        <f>+IFERROR(VLOOKUP(E1553,'DANH MỤC'!$C:$H,6,0),"")</f>
        <v/>
      </c>
      <c r="H1553" s="42" t="str">
        <f>+IFERROR(VLOOKUP(E1553,'DANH MỤC'!$C:$H,3,0),"")</f>
        <v/>
      </c>
      <c r="I1553" s="42" t="str">
        <f>+IFERROR(VLOOKUP(E1553,'DANH MỤC'!$C:$H,4,0),"")</f>
        <v/>
      </c>
      <c r="J1553" s="42" t="str">
        <f>+IFERROR(VLOOKUP(E1553,'DANH MỤC'!$C:$H,5,0),"")</f>
        <v/>
      </c>
      <c r="K1553" s="53"/>
      <c r="L1553" s="58"/>
      <c r="M1553" s="55"/>
      <c r="N1553" s="55"/>
    </row>
    <row r="1554" ht="15.75" customHeight="1">
      <c r="A1554" s="53">
        <f t="shared" si="7"/>
        <v>1549</v>
      </c>
      <c r="B1554" s="55"/>
      <c r="C1554" s="41"/>
      <c r="D1554" s="42"/>
      <c r="E1554" s="42"/>
      <c r="F1554" s="42" t="str">
        <f>+IFERROR(VLOOKUP(E1554,'DANH MỤC'!$C:$H,2,0),"")</f>
        <v/>
      </c>
      <c r="G1554" s="42" t="str">
        <f>+IFERROR(VLOOKUP(E1554,'DANH MỤC'!$C:$H,6,0),"")</f>
        <v/>
      </c>
      <c r="H1554" s="42" t="str">
        <f>+IFERROR(VLOOKUP(E1554,'DANH MỤC'!$C:$H,3,0),"")</f>
        <v/>
      </c>
      <c r="I1554" s="42" t="str">
        <f>+IFERROR(VLOOKUP(E1554,'DANH MỤC'!$C:$H,4,0),"")</f>
        <v/>
      </c>
      <c r="J1554" s="42" t="str">
        <f>+IFERROR(VLOOKUP(E1554,'DANH MỤC'!$C:$H,5,0),"")</f>
        <v/>
      </c>
      <c r="K1554" s="53"/>
      <c r="L1554" s="58"/>
      <c r="M1554" s="55"/>
      <c r="N1554" s="55"/>
    </row>
    <row r="1555" ht="15.75" customHeight="1">
      <c r="A1555" s="53">
        <f t="shared" si="7"/>
        <v>1550</v>
      </c>
      <c r="B1555" s="55"/>
      <c r="C1555" s="41"/>
      <c r="D1555" s="42"/>
      <c r="E1555" s="42"/>
      <c r="F1555" s="42" t="str">
        <f>+IFERROR(VLOOKUP(E1555,'DANH MỤC'!$C:$H,2,0),"")</f>
        <v/>
      </c>
      <c r="G1555" s="42" t="str">
        <f>+IFERROR(VLOOKUP(E1555,'DANH MỤC'!$C:$H,6,0),"")</f>
        <v/>
      </c>
      <c r="H1555" s="42" t="str">
        <f>+IFERROR(VLOOKUP(E1555,'DANH MỤC'!$C:$H,3,0),"")</f>
        <v/>
      </c>
      <c r="I1555" s="42" t="str">
        <f>+IFERROR(VLOOKUP(E1555,'DANH MỤC'!$C:$H,4,0),"")</f>
        <v/>
      </c>
      <c r="J1555" s="42" t="str">
        <f>+IFERROR(VLOOKUP(E1555,'DANH MỤC'!$C:$H,5,0),"")</f>
        <v/>
      </c>
      <c r="K1555" s="53"/>
      <c r="L1555" s="58"/>
      <c r="M1555" s="55"/>
      <c r="N1555" s="55"/>
    </row>
    <row r="1556" ht="15.75" customHeight="1">
      <c r="A1556" s="53">
        <f t="shared" si="7"/>
        <v>1551</v>
      </c>
      <c r="B1556" s="55"/>
      <c r="C1556" s="41"/>
      <c r="D1556" s="42"/>
      <c r="E1556" s="42"/>
      <c r="F1556" s="42" t="str">
        <f>+IFERROR(VLOOKUP(E1556,'DANH MỤC'!$C:$H,2,0),"")</f>
        <v/>
      </c>
      <c r="G1556" s="42" t="str">
        <f>+IFERROR(VLOOKUP(E1556,'DANH MỤC'!$C:$H,6,0),"")</f>
        <v/>
      </c>
      <c r="H1556" s="42" t="str">
        <f>+IFERROR(VLOOKUP(E1556,'DANH MỤC'!$C:$H,3,0),"")</f>
        <v/>
      </c>
      <c r="I1556" s="42" t="str">
        <f>+IFERROR(VLOOKUP(E1556,'DANH MỤC'!$C:$H,4,0),"")</f>
        <v/>
      </c>
      <c r="J1556" s="42" t="str">
        <f>+IFERROR(VLOOKUP(E1556,'DANH MỤC'!$C:$H,5,0),"")</f>
        <v/>
      </c>
      <c r="K1556" s="53"/>
      <c r="L1556" s="58"/>
      <c r="M1556" s="55"/>
      <c r="N1556" s="55"/>
    </row>
    <row r="1557" ht="15.75" customHeight="1">
      <c r="A1557" s="53">
        <f t="shared" si="7"/>
        <v>1552</v>
      </c>
      <c r="B1557" s="55"/>
      <c r="C1557" s="41"/>
      <c r="D1557" s="42"/>
      <c r="E1557" s="42"/>
      <c r="F1557" s="42" t="str">
        <f>+IFERROR(VLOOKUP(E1557,'DANH MỤC'!$C:$H,2,0),"")</f>
        <v/>
      </c>
      <c r="G1557" s="42" t="str">
        <f>+IFERROR(VLOOKUP(E1557,'DANH MỤC'!$C:$H,6,0),"")</f>
        <v/>
      </c>
      <c r="H1557" s="42" t="str">
        <f>+IFERROR(VLOOKUP(E1557,'DANH MỤC'!$C:$H,3,0),"")</f>
        <v/>
      </c>
      <c r="I1557" s="42" t="str">
        <f>+IFERROR(VLOOKUP(E1557,'DANH MỤC'!$C:$H,4,0),"")</f>
        <v/>
      </c>
      <c r="J1557" s="42" t="str">
        <f>+IFERROR(VLOOKUP(E1557,'DANH MỤC'!$C:$H,5,0),"")</f>
        <v/>
      </c>
      <c r="K1557" s="53"/>
      <c r="L1557" s="58"/>
      <c r="M1557" s="55"/>
      <c r="N1557" s="55"/>
    </row>
    <row r="1558" ht="15.75" customHeight="1">
      <c r="A1558" s="53">
        <f t="shared" si="7"/>
        <v>1553</v>
      </c>
      <c r="B1558" s="55"/>
      <c r="C1558" s="41"/>
      <c r="D1558" s="42"/>
      <c r="E1558" s="42"/>
      <c r="F1558" s="42" t="str">
        <f>+IFERROR(VLOOKUP(E1558,'DANH MỤC'!$C:$H,2,0),"")</f>
        <v/>
      </c>
      <c r="G1558" s="42" t="str">
        <f>+IFERROR(VLOOKUP(E1558,'DANH MỤC'!$C:$H,6,0),"")</f>
        <v/>
      </c>
      <c r="H1558" s="42" t="str">
        <f>+IFERROR(VLOOKUP(E1558,'DANH MỤC'!$C:$H,3,0),"")</f>
        <v/>
      </c>
      <c r="I1558" s="42" t="str">
        <f>+IFERROR(VLOOKUP(E1558,'DANH MỤC'!$C:$H,4,0),"")</f>
        <v/>
      </c>
      <c r="J1558" s="42" t="str">
        <f>+IFERROR(VLOOKUP(E1558,'DANH MỤC'!$C:$H,5,0),"")</f>
        <v/>
      </c>
      <c r="K1558" s="53"/>
      <c r="L1558" s="58"/>
      <c r="M1558" s="55"/>
      <c r="N1558" s="55"/>
    </row>
    <row r="1559" ht="15.75" customHeight="1">
      <c r="A1559" s="53">
        <f t="shared" si="7"/>
        <v>1554</v>
      </c>
      <c r="B1559" s="55"/>
      <c r="C1559" s="41"/>
      <c r="D1559" s="42"/>
      <c r="E1559" s="42"/>
      <c r="F1559" s="42" t="str">
        <f>+IFERROR(VLOOKUP(E1559,'DANH MỤC'!$C:$H,2,0),"")</f>
        <v/>
      </c>
      <c r="G1559" s="42" t="str">
        <f>+IFERROR(VLOOKUP(E1559,'DANH MỤC'!$C:$H,6,0),"")</f>
        <v/>
      </c>
      <c r="H1559" s="42" t="str">
        <f>+IFERROR(VLOOKUP(E1559,'DANH MỤC'!$C:$H,3,0),"")</f>
        <v/>
      </c>
      <c r="I1559" s="42" t="str">
        <f>+IFERROR(VLOOKUP(E1559,'DANH MỤC'!$C:$H,4,0),"")</f>
        <v/>
      </c>
      <c r="J1559" s="42" t="str">
        <f>+IFERROR(VLOOKUP(E1559,'DANH MỤC'!$C:$H,5,0),"")</f>
        <v/>
      </c>
      <c r="K1559" s="53"/>
      <c r="L1559" s="58"/>
      <c r="M1559" s="55"/>
      <c r="N1559" s="55"/>
    </row>
    <row r="1560" ht="15.75" customHeight="1">
      <c r="A1560" s="53">
        <f t="shared" si="7"/>
        <v>1555</v>
      </c>
      <c r="B1560" s="55"/>
      <c r="C1560" s="41"/>
      <c r="D1560" s="42"/>
      <c r="E1560" s="42"/>
      <c r="F1560" s="42" t="str">
        <f>+IFERROR(VLOOKUP(E1560,'DANH MỤC'!$C:$H,2,0),"")</f>
        <v/>
      </c>
      <c r="G1560" s="42" t="str">
        <f>+IFERROR(VLOOKUP(E1560,'DANH MỤC'!$C:$H,6,0),"")</f>
        <v/>
      </c>
      <c r="H1560" s="42" t="str">
        <f>+IFERROR(VLOOKUP(E1560,'DANH MỤC'!$C:$H,3,0),"")</f>
        <v/>
      </c>
      <c r="I1560" s="42" t="str">
        <f>+IFERROR(VLOOKUP(E1560,'DANH MỤC'!$C:$H,4,0),"")</f>
        <v/>
      </c>
      <c r="J1560" s="42" t="str">
        <f>+IFERROR(VLOOKUP(E1560,'DANH MỤC'!$C:$H,5,0),"")</f>
        <v/>
      </c>
      <c r="K1560" s="53"/>
      <c r="L1560" s="58"/>
      <c r="M1560" s="55"/>
      <c r="N1560" s="55"/>
    </row>
    <row r="1561" ht="15.75" customHeight="1">
      <c r="A1561" s="53">
        <f t="shared" si="7"/>
        <v>1556</v>
      </c>
      <c r="B1561" s="55"/>
      <c r="C1561" s="41"/>
      <c r="D1561" s="42"/>
      <c r="E1561" s="42"/>
      <c r="F1561" s="42" t="str">
        <f>+IFERROR(VLOOKUP(E1561,'DANH MỤC'!$C:$H,2,0),"")</f>
        <v/>
      </c>
      <c r="G1561" s="42" t="str">
        <f>+IFERROR(VLOOKUP(E1561,'DANH MỤC'!$C:$H,6,0),"")</f>
        <v/>
      </c>
      <c r="H1561" s="42" t="str">
        <f>+IFERROR(VLOOKUP(E1561,'DANH MỤC'!$C:$H,3,0),"")</f>
        <v/>
      </c>
      <c r="I1561" s="42" t="str">
        <f>+IFERROR(VLOOKUP(E1561,'DANH MỤC'!$C:$H,4,0),"")</f>
        <v/>
      </c>
      <c r="J1561" s="42" t="str">
        <f>+IFERROR(VLOOKUP(E1561,'DANH MỤC'!$C:$H,5,0),"")</f>
        <v/>
      </c>
      <c r="K1561" s="53"/>
      <c r="L1561" s="58"/>
      <c r="M1561" s="55"/>
      <c r="N1561" s="55"/>
    </row>
    <row r="1562" ht="15.75" customHeight="1">
      <c r="A1562" s="53">
        <f t="shared" si="7"/>
        <v>1557</v>
      </c>
      <c r="B1562" s="55"/>
      <c r="C1562" s="41"/>
      <c r="D1562" s="42"/>
      <c r="E1562" s="42"/>
      <c r="F1562" s="42" t="str">
        <f>+IFERROR(VLOOKUP(E1562,'DANH MỤC'!$C:$H,2,0),"")</f>
        <v/>
      </c>
      <c r="G1562" s="42" t="str">
        <f>+IFERROR(VLOOKUP(E1562,'DANH MỤC'!$C:$H,6,0),"")</f>
        <v/>
      </c>
      <c r="H1562" s="42" t="str">
        <f>+IFERROR(VLOOKUP(E1562,'DANH MỤC'!$C:$H,3,0),"")</f>
        <v/>
      </c>
      <c r="I1562" s="42" t="str">
        <f>+IFERROR(VLOOKUP(E1562,'DANH MỤC'!$C:$H,4,0),"")</f>
        <v/>
      </c>
      <c r="J1562" s="42" t="str">
        <f>+IFERROR(VLOOKUP(E1562,'DANH MỤC'!$C:$H,5,0),"")</f>
        <v/>
      </c>
      <c r="K1562" s="53"/>
      <c r="L1562" s="58"/>
      <c r="M1562" s="55"/>
      <c r="N1562" s="55"/>
    </row>
    <row r="1563" ht="15.75" customHeight="1">
      <c r="A1563" s="53">
        <f t="shared" si="7"/>
        <v>1558</v>
      </c>
      <c r="B1563" s="55"/>
      <c r="C1563" s="41"/>
      <c r="D1563" s="42"/>
      <c r="E1563" s="42"/>
      <c r="F1563" s="42" t="str">
        <f>+IFERROR(VLOOKUP(E1563,'DANH MỤC'!$C:$H,2,0),"")</f>
        <v/>
      </c>
      <c r="G1563" s="42" t="str">
        <f>+IFERROR(VLOOKUP(E1563,'DANH MỤC'!$C:$H,6,0),"")</f>
        <v/>
      </c>
      <c r="H1563" s="42" t="str">
        <f>+IFERROR(VLOOKUP(E1563,'DANH MỤC'!$C:$H,3,0),"")</f>
        <v/>
      </c>
      <c r="I1563" s="42" t="str">
        <f>+IFERROR(VLOOKUP(E1563,'DANH MỤC'!$C:$H,4,0),"")</f>
        <v/>
      </c>
      <c r="J1563" s="42" t="str">
        <f>+IFERROR(VLOOKUP(E1563,'DANH MỤC'!$C:$H,5,0),"")</f>
        <v/>
      </c>
      <c r="K1563" s="53"/>
      <c r="L1563" s="58"/>
      <c r="M1563" s="55"/>
      <c r="N1563" s="55"/>
    </row>
    <row r="1564" ht="15.75" customHeight="1">
      <c r="A1564" s="53">
        <f t="shared" si="7"/>
        <v>1559</v>
      </c>
      <c r="B1564" s="55"/>
      <c r="C1564" s="41"/>
      <c r="D1564" s="42"/>
      <c r="E1564" s="42"/>
      <c r="F1564" s="42" t="str">
        <f>+IFERROR(VLOOKUP(E1564,'DANH MỤC'!$C:$H,2,0),"")</f>
        <v/>
      </c>
      <c r="G1564" s="42" t="str">
        <f>+IFERROR(VLOOKUP(E1564,'DANH MỤC'!$C:$H,6,0),"")</f>
        <v/>
      </c>
      <c r="H1564" s="42" t="str">
        <f>+IFERROR(VLOOKUP(E1564,'DANH MỤC'!$C:$H,3,0),"")</f>
        <v/>
      </c>
      <c r="I1564" s="42" t="str">
        <f>+IFERROR(VLOOKUP(E1564,'DANH MỤC'!$C:$H,4,0),"")</f>
        <v/>
      </c>
      <c r="J1564" s="42" t="str">
        <f>+IFERROR(VLOOKUP(E1564,'DANH MỤC'!$C:$H,5,0),"")</f>
        <v/>
      </c>
      <c r="K1564" s="53"/>
      <c r="L1564" s="58"/>
      <c r="M1564" s="55"/>
      <c r="N1564" s="55"/>
    </row>
    <row r="1565" ht="15.75" customHeight="1">
      <c r="A1565" s="53">
        <f t="shared" si="7"/>
        <v>1560</v>
      </c>
      <c r="B1565" s="55"/>
      <c r="C1565" s="41"/>
      <c r="D1565" s="42"/>
      <c r="E1565" s="42"/>
      <c r="F1565" s="42" t="str">
        <f>+IFERROR(VLOOKUP(E1565,'DANH MỤC'!$C:$H,2,0),"")</f>
        <v/>
      </c>
      <c r="G1565" s="42" t="str">
        <f>+IFERROR(VLOOKUP(E1565,'DANH MỤC'!$C:$H,6,0),"")</f>
        <v/>
      </c>
      <c r="H1565" s="42" t="str">
        <f>+IFERROR(VLOOKUP(E1565,'DANH MỤC'!$C:$H,3,0),"")</f>
        <v/>
      </c>
      <c r="I1565" s="42" t="str">
        <f>+IFERROR(VLOOKUP(E1565,'DANH MỤC'!$C:$H,4,0),"")</f>
        <v/>
      </c>
      <c r="J1565" s="42" t="str">
        <f>+IFERROR(VLOOKUP(E1565,'DANH MỤC'!$C:$H,5,0),"")</f>
        <v/>
      </c>
      <c r="K1565" s="53"/>
      <c r="L1565" s="58"/>
      <c r="M1565" s="55"/>
      <c r="N1565" s="55"/>
    </row>
    <row r="1566" ht="15.75" customHeight="1">
      <c r="A1566" s="53">
        <f t="shared" si="7"/>
        <v>1561</v>
      </c>
      <c r="B1566" s="55"/>
      <c r="C1566" s="41"/>
      <c r="D1566" s="42"/>
      <c r="E1566" s="42"/>
      <c r="F1566" s="42" t="str">
        <f>+IFERROR(VLOOKUP(E1566,'DANH MỤC'!$C:$H,2,0),"")</f>
        <v/>
      </c>
      <c r="G1566" s="42" t="str">
        <f>+IFERROR(VLOOKUP(E1566,'DANH MỤC'!$C:$H,6,0),"")</f>
        <v/>
      </c>
      <c r="H1566" s="42" t="str">
        <f>+IFERROR(VLOOKUP(E1566,'DANH MỤC'!$C:$H,3,0),"")</f>
        <v/>
      </c>
      <c r="I1566" s="42" t="str">
        <f>+IFERROR(VLOOKUP(E1566,'DANH MỤC'!$C:$H,4,0),"")</f>
        <v/>
      </c>
      <c r="J1566" s="42" t="str">
        <f>+IFERROR(VLOOKUP(E1566,'DANH MỤC'!$C:$H,5,0),"")</f>
        <v/>
      </c>
      <c r="K1566" s="53"/>
      <c r="L1566" s="58"/>
      <c r="M1566" s="55"/>
      <c r="N1566" s="55"/>
    </row>
    <row r="1567" ht="15.75" customHeight="1">
      <c r="A1567" s="53">
        <f t="shared" si="7"/>
        <v>1562</v>
      </c>
      <c r="B1567" s="55"/>
      <c r="C1567" s="41"/>
      <c r="D1567" s="42"/>
      <c r="E1567" s="42"/>
      <c r="F1567" s="42" t="str">
        <f>+IFERROR(VLOOKUP(E1567,'DANH MỤC'!$C:$H,2,0),"")</f>
        <v/>
      </c>
      <c r="G1567" s="42" t="str">
        <f>+IFERROR(VLOOKUP(E1567,'DANH MỤC'!$C:$H,6,0),"")</f>
        <v/>
      </c>
      <c r="H1567" s="42" t="str">
        <f>+IFERROR(VLOOKUP(E1567,'DANH MỤC'!$C:$H,3,0),"")</f>
        <v/>
      </c>
      <c r="I1567" s="42" t="str">
        <f>+IFERROR(VLOOKUP(E1567,'DANH MỤC'!$C:$H,4,0),"")</f>
        <v/>
      </c>
      <c r="J1567" s="42" t="str">
        <f>+IFERROR(VLOOKUP(E1567,'DANH MỤC'!$C:$H,5,0),"")</f>
        <v/>
      </c>
      <c r="K1567" s="53"/>
      <c r="L1567" s="58"/>
      <c r="M1567" s="55"/>
      <c r="N1567" s="55"/>
    </row>
    <row r="1568" ht="15.75" customHeight="1">
      <c r="A1568" s="53">
        <f t="shared" si="7"/>
        <v>1563</v>
      </c>
      <c r="B1568" s="55"/>
      <c r="C1568" s="41"/>
      <c r="D1568" s="42"/>
      <c r="E1568" s="42"/>
      <c r="F1568" s="42" t="str">
        <f>+IFERROR(VLOOKUP(E1568,'DANH MỤC'!$C:$H,2,0),"")</f>
        <v/>
      </c>
      <c r="G1568" s="42" t="str">
        <f>+IFERROR(VLOOKUP(E1568,'DANH MỤC'!$C:$H,6,0),"")</f>
        <v/>
      </c>
      <c r="H1568" s="42" t="str">
        <f>+IFERROR(VLOOKUP(E1568,'DANH MỤC'!$C:$H,3,0),"")</f>
        <v/>
      </c>
      <c r="I1568" s="42" t="str">
        <f>+IFERROR(VLOOKUP(E1568,'DANH MỤC'!$C:$H,4,0),"")</f>
        <v/>
      </c>
      <c r="J1568" s="42" t="str">
        <f>+IFERROR(VLOOKUP(E1568,'DANH MỤC'!$C:$H,5,0),"")</f>
        <v/>
      </c>
      <c r="K1568" s="53"/>
      <c r="L1568" s="58"/>
      <c r="M1568" s="55"/>
      <c r="N1568" s="55"/>
    </row>
    <row r="1569" ht="15.75" customHeight="1">
      <c r="A1569" s="53">
        <f t="shared" si="7"/>
        <v>1564</v>
      </c>
      <c r="B1569" s="55"/>
      <c r="C1569" s="41"/>
      <c r="D1569" s="42"/>
      <c r="E1569" s="42"/>
      <c r="F1569" s="42" t="str">
        <f>+IFERROR(VLOOKUP(E1569,'DANH MỤC'!$C:$H,2,0),"")</f>
        <v/>
      </c>
      <c r="G1569" s="42" t="str">
        <f>+IFERROR(VLOOKUP(E1569,'DANH MỤC'!$C:$H,6,0),"")</f>
        <v/>
      </c>
      <c r="H1569" s="42" t="str">
        <f>+IFERROR(VLOOKUP(E1569,'DANH MỤC'!$C:$H,3,0),"")</f>
        <v/>
      </c>
      <c r="I1569" s="42" t="str">
        <f>+IFERROR(VLOOKUP(E1569,'DANH MỤC'!$C:$H,4,0),"")</f>
        <v/>
      </c>
      <c r="J1569" s="42" t="str">
        <f>+IFERROR(VLOOKUP(E1569,'DANH MỤC'!$C:$H,5,0),"")</f>
        <v/>
      </c>
      <c r="K1569" s="53"/>
      <c r="L1569" s="58"/>
      <c r="M1569" s="55"/>
      <c r="N1569" s="55"/>
    </row>
    <row r="1570" ht="15.75" customHeight="1">
      <c r="A1570" s="53">
        <f t="shared" si="7"/>
        <v>1565</v>
      </c>
      <c r="B1570" s="55"/>
      <c r="C1570" s="41"/>
      <c r="D1570" s="42"/>
      <c r="E1570" s="42"/>
      <c r="F1570" s="42" t="str">
        <f>+IFERROR(VLOOKUP(E1570,'DANH MỤC'!$C:$H,2,0),"")</f>
        <v/>
      </c>
      <c r="G1570" s="42" t="str">
        <f>+IFERROR(VLOOKUP(E1570,'DANH MỤC'!$C:$H,6,0),"")</f>
        <v/>
      </c>
      <c r="H1570" s="42" t="str">
        <f>+IFERROR(VLOOKUP(E1570,'DANH MỤC'!$C:$H,3,0),"")</f>
        <v/>
      </c>
      <c r="I1570" s="42" t="str">
        <f>+IFERROR(VLOOKUP(E1570,'DANH MỤC'!$C:$H,4,0),"")</f>
        <v/>
      </c>
      <c r="J1570" s="42" t="str">
        <f>+IFERROR(VLOOKUP(E1570,'DANH MỤC'!$C:$H,5,0),"")</f>
        <v/>
      </c>
      <c r="K1570" s="53"/>
      <c r="L1570" s="58"/>
      <c r="M1570" s="55"/>
      <c r="N1570" s="55"/>
    </row>
    <row r="1571" ht="15.75" customHeight="1">
      <c r="A1571" s="53">
        <f t="shared" si="7"/>
        <v>1566</v>
      </c>
      <c r="B1571" s="55"/>
      <c r="C1571" s="41"/>
      <c r="D1571" s="42"/>
      <c r="E1571" s="42"/>
      <c r="F1571" s="42" t="str">
        <f>+IFERROR(VLOOKUP(E1571,'DANH MỤC'!$C:$H,2,0),"")</f>
        <v/>
      </c>
      <c r="G1571" s="42" t="str">
        <f>+IFERROR(VLOOKUP(E1571,'DANH MỤC'!$C:$H,6,0),"")</f>
        <v/>
      </c>
      <c r="H1571" s="42" t="str">
        <f>+IFERROR(VLOOKUP(E1571,'DANH MỤC'!$C:$H,3,0),"")</f>
        <v/>
      </c>
      <c r="I1571" s="42" t="str">
        <f>+IFERROR(VLOOKUP(E1571,'DANH MỤC'!$C:$H,4,0),"")</f>
        <v/>
      </c>
      <c r="J1571" s="42" t="str">
        <f>+IFERROR(VLOOKUP(E1571,'DANH MỤC'!$C:$H,5,0),"")</f>
        <v/>
      </c>
      <c r="K1571" s="53"/>
      <c r="L1571" s="58"/>
      <c r="M1571" s="55"/>
      <c r="N1571" s="55"/>
    </row>
    <row r="1572" ht="15.75" customHeight="1">
      <c r="A1572" s="53">
        <f t="shared" si="7"/>
        <v>1567</v>
      </c>
      <c r="B1572" s="55"/>
      <c r="C1572" s="41"/>
      <c r="D1572" s="42"/>
      <c r="E1572" s="42"/>
      <c r="F1572" s="42" t="str">
        <f>+IFERROR(VLOOKUP(E1572,'DANH MỤC'!$C:$H,2,0),"")</f>
        <v/>
      </c>
      <c r="G1572" s="42" t="str">
        <f>+IFERROR(VLOOKUP(E1572,'DANH MỤC'!$C:$H,6,0),"")</f>
        <v/>
      </c>
      <c r="H1572" s="42" t="str">
        <f>+IFERROR(VLOOKUP(E1572,'DANH MỤC'!$C:$H,3,0),"")</f>
        <v/>
      </c>
      <c r="I1572" s="42" t="str">
        <f>+IFERROR(VLOOKUP(E1572,'DANH MỤC'!$C:$H,4,0),"")</f>
        <v/>
      </c>
      <c r="J1572" s="42" t="str">
        <f>+IFERROR(VLOOKUP(E1572,'DANH MỤC'!$C:$H,5,0),"")</f>
        <v/>
      </c>
      <c r="K1572" s="53"/>
      <c r="L1572" s="58"/>
      <c r="M1572" s="55"/>
      <c r="N1572" s="55"/>
    </row>
    <row r="1573" ht="15.75" customHeight="1">
      <c r="A1573" s="53">
        <f t="shared" si="7"/>
        <v>1568</v>
      </c>
      <c r="B1573" s="55"/>
      <c r="C1573" s="41"/>
      <c r="D1573" s="42"/>
      <c r="E1573" s="42"/>
      <c r="F1573" s="42" t="str">
        <f>+IFERROR(VLOOKUP(E1573,'DANH MỤC'!$C:$H,2,0),"")</f>
        <v/>
      </c>
      <c r="G1573" s="42" t="str">
        <f>+IFERROR(VLOOKUP(E1573,'DANH MỤC'!$C:$H,6,0),"")</f>
        <v/>
      </c>
      <c r="H1573" s="42" t="str">
        <f>+IFERROR(VLOOKUP(E1573,'DANH MỤC'!$C:$H,3,0),"")</f>
        <v/>
      </c>
      <c r="I1573" s="42" t="str">
        <f>+IFERROR(VLOOKUP(E1573,'DANH MỤC'!$C:$H,4,0),"")</f>
        <v/>
      </c>
      <c r="J1573" s="42" t="str">
        <f>+IFERROR(VLOOKUP(E1573,'DANH MỤC'!$C:$H,5,0),"")</f>
        <v/>
      </c>
      <c r="K1573" s="53"/>
      <c r="L1573" s="58"/>
      <c r="M1573" s="55"/>
      <c r="N1573" s="55"/>
    </row>
    <row r="1574" ht="15.75" customHeight="1">
      <c r="A1574" s="53">
        <f t="shared" si="7"/>
        <v>1569</v>
      </c>
      <c r="B1574" s="55"/>
      <c r="C1574" s="41"/>
      <c r="D1574" s="42"/>
      <c r="E1574" s="42"/>
      <c r="F1574" s="42" t="str">
        <f>+IFERROR(VLOOKUP(E1574,'DANH MỤC'!$C:$H,2,0),"")</f>
        <v/>
      </c>
      <c r="G1574" s="42" t="str">
        <f>+IFERROR(VLOOKUP(E1574,'DANH MỤC'!$C:$H,6,0),"")</f>
        <v/>
      </c>
      <c r="H1574" s="42" t="str">
        <f>+IFERROR(VLOOKUP(E1574,'DANH MỤC'!$C:$H,3,0),"")</f>
        <v/>
      </c>
      <c r="I1574" s="42" t="str">
        <f>+IFERROR(VLOOKUP(E1574,'DANH MỤC'!$C:$H,4,0),"")</f>
        <v/>
      </c>
      <c r="J1574" s="42" t="str">
        <f>+IFERROR(VLOOKUP(E1574,'DANH MỤC'!$C:$H,5,0),"")</f>
        <v/>
      </c>
      <c r="K1574" s="53"/>
      <c r="L1574" s="58"/>
      <c r="M1574" s="55"/>
      <c r="N1574" s="55"/>
    </row>
    <row r="1575" ht="15.75" customHeight="1">
      <c r="A1575" s="53">
        <f t="shared" si="7"/>
        <v>1570</v>
      </c>
      <c r="B1575" s="55"/>
      <c r="C1575" s="41"/>
      <c r="D1575" s="42"/>
      <c r="E1575" s="42"/>
      <c r="F1575" s="42" t="str">
        <f>+IFERROR(VLOOKUP(E1575,'DANH MỤC'!$C:$H,2,0),"")</f>
        <v/>
      </c>
      <c r="G1575" s="42" t="str">
        <f>+IFERROR(VLOOKUP(E1575,'DANH MỤC'!$C:$H,6,0),"")</f>
        <v/>
      </c>
      <c r="H1575" s="42" t="str">
        <f>+IFERROR(VLOOKUP(E1575,'DANH MỤC'!$C:$H,3,0),"")</f>
        <v/>
      </c>
      <c r="I1575" s="42" t="str">
        <f>+IFERROR(VLOOKUP(E1575,'DANH MỤC'!$C:$H,4,0),"")</f>
        <v/>
      </c>
      <c r="J1575" s="42" t="str">
        <f>+IFERROR(VLOOKUP(E1575,'DANH MỤC'!$C:$H,5,0),"")</f>
        <v/>
      </c>
      <c r="K1575" s="53"/>
      <c r="L1575" s="58"/>
      <c r="M1575" s="55"/>
      <c r="N1575" s="55"/>
    </row>
    <row r="1576" ht="15.75" customHeight="1">
      <c r="A1576" s="53">
        <f t="shared" si="7"/>
        <v>1571</v>
      </c>
      <c r="B1576" s="55"/>
      <c r="C1576" s="41"/>
      <c r="D1576" s="42"/>
      <c r="E1576" s="42"/>
      <c r="F1576" s="42" t="str">
        <f>+IFERROR(VLOOKUP(E1576,'DANH MỤC'!$C:$H,2,0),"")</f>
        <v/>
      </c>
      <c r="G1576" s="42" t="str">
        <f>+IFERROR(VLOOKUP(E1576,'DANH MỤC'!$C:$H,6,0),"")</f>
        <v/>
      </c>
      <c r="H1576" s="42" t="str">
        <f>+IFERROR(VLOOKUP(E1576,'DANH MỤC'!$C:$H,3,0),"")</f>
        <v/>
      </c>
      <c r="I1576" s="42" t="str">
        <f>+IFERROR(VLOOKUP(E1576,'DANH MỤC'!$C:$H,4,0),"")</f>
        <v/>
      </c>
      <c r="J1576" s="42" t="str">
        <f>+IFERROR(VLOOKUP(E1576,'DANH MỤC'!$C:$H,5,0),"")</f>
        <v/>
      </c>
      <c r="K1576" s="53"/>
      <c r="L1576" s="58"/>
      <c r="M1576" s="55"/>
      <c r="N1576" s="55"/>
    </row>
    <row r="1577" ht="15.75" customHeight="1">
      <c r="A1577" s="53">
        <f t="shared" si="7"/>
        <v>1572</v>
      </c>
      <c r="B1577" s="55"/>
      <c r="C1577" s="41"/>
      <c r="D1577" s="42"/>
      <c r="E1577" s="42"/>
      <c r="F1577" s="42" t="str">
        <f>+IFERROR(VLOOKUP(E1577,'DANH MỤC'!$C:$H,2,0),"")</f>
        <v/>
      </c>
      <c r="G1577" s="42" t="str">
        <f>+IFERROR(VLOOKUP(E1577,'DANH MỤC'!$C:$H,6,0),"")</f>
        <v/>
      </c>
      <c r="H1577" s="42" t="str">
        <f>+IFERROR(VLOOKUP(E1577,'DANH MỤC'!$C:$H,3,0),"")</f>
        <v/>
      </c>
      <c r="I1577" s="42" t="str">
        <f>+IFERROR(VLOOKUP(E1577,'DANH MỤC'!$C:$H,4,0),"")</f>
        <v/>
      </c>
      <c r="J1577" s="42" t="str">
        <f>+IFERROR(VLOOKUP(E1577,'DANH MỤC'!$C:$H,5,0),"")</f>
        <v/>
      </c>
      <c r="K1577" s="53"/>
      <c r="L1577" s="58"/>
      <c r="M1577" s="55"/>
      <c r="N1577" s="55"/>
    </row>
    <row r="1578" ht="15.75" customHeight="1">
      <c r="A1578" s="53">
        <f t="shared" si="7"/>
        <v>1573</v>
      </c>
      <c r="B1578" s="55"/>
      <c r="C1578" s="41"/>
      <c r="D1578" s="42"/>
      <c r="E1578" s="42"/>
      <c r="F1578" s="42" t="str">
        <f>+IFERROR(VLOOKUP(E1578,'DANH MỤC'!$C:$H,2,0),"")</f>
        <v/>
      </c>
      <c r="G1578" s="42" t="str">
        <f>+IFERROR(VLOOKUP(E1578,'DANH MỤC'!$C:$H,6,0),"")</f>
        <v/>
      </c>
      <c r="H1578" s="42" t="str">
        <f>+IFERROR(VLOOKUP(E1578,'DANH MỤC'!$C:$H,3,0),"")</f>
        <v/>
      </c>
      <c r="I1578" s="42" t="str">
        <f>+IFERROR(VLOOKUP(E1578,'DANH MỤC'!$C:$H,4,0),"")</f>
        <v/>
      </c>
      <c r="J1578" s="42" t="str">
        <f>+IFERROR(VLOOKUP(E1578,'DANH MỤC'!$C:$H,5,0),"")</f>
        <v/>
      </c>
      <c r="K1578" s="53"/>
      <c r="L1578" s="58"/>
      <c r="M1578" s="55"/>
      <c r="N1578" s="55"/>
    </row>
    <row r="1579" ht="15.75" customHeight="1">
      <c r="A1579" s="53">
        <f t="shared" si="7"/>
        <v>1574</v>
      </c>
      <c r="B1579" s="55"/>
      <c r="C1579" s="41"/>
      <c r="D1579" s="42"/>
      <c r="E1579" s="42"/>
      <c r="F1579" s="42" t="str">
        <f>+IFERROR(VLOOKUP(E1579,'DANH MỤC'!$C:$H,2,0),"")</f>
        <v/>
      </c>
      <c r="G1579" s="42" t="str">
        <f>+IFERROR(VLOOKUP(E1579,'DANH MỤC'!$C:$H,6,0),"")</f>
        <v/>
      </c>
      <c r="H1579" s="42" t="str">
        <f>+IFERROR(VLOOKUP(E1579,'DANH MỤC'!$C:$H,3,0),"")</f>
        <v/>
      </c>
      <c r="I1579" s="42" t="str">
        <f>+IFERROR(VLOOKUP(E1579,'DANH MỤC'!$C:$H,4,0),"")</f>
        <v/>
      </c>
      <c r="J1579" s="42" t="str">
        <f>+IFERROR(VLOOKUP(E1579,'DANH MỤC'!$C:$H,5,0),"")</f>
        <v/>
      </c>
      <c r="K1579" s="53"/>
      <c r="L1579" s="58"/>
      <c r="M1579" s="55"/>
      <c r="N1579" s="55"/>
    </row>
    <row r="1580" ht="15.75" customHeight="1">
      <c r="A1580" s="53">
        <f t="shared" si="7"/>
        <v>1575</v>
      </c>
      <c r="B1580" s="55"/>
      <c r="C1580" s="41"/>
      <c r="D1580" s="42"/>
      <c r="E1580" s="42"/>
      <c r="F1580" s="42" t="str">
        <f>+IFERROR(VLOOKUP(E1580,'DANH MỤC'!$C:$H,2,0),"")</f>
        <v/>
      </c>
      <c r="G1580" s="42" t="str">
        <f>+IFERROR(VLOOKUP(E1580,'DANH MỤC'!$C:$H,6,0),"")</f>
        <v/>
      </c>
      <c r="H1580" s="42" t="str">
        <f>+IFERROR(VLOOKUP(E1580,'DANH MỤC'!$C:$H,3,0),"")</f>
        <v/>
      </c>
      <c r="I1580" s="42" t="str">
        <f>+IFERROR(VLOOKUP(E1580,'DANH MỤC'!$C:$H,4,0),"")</f>
        <v/>
      </c>
      <c r="J1580" s="42" t="str">
        <f>+IFERROR(VLOOKUP(E1580,'DANH MỤC'!$C:$H,5,0),"")</f>
        <v/>
      </c>
      <c r="K1580" s="53"/>
      <c r="L1580" s="58"/>
      <c r="M1580" s="55"/>
      <c r="N1580" s="55"/>
    </row>
    <row r="1581" ht="15.75" customHeight="1">
      <c r="A1581" s="53">
        <f t="shared" si="7"/>
        <v>1576</v>
      </c>
      <c r="B1581" s="55"/>
      <c r="C1581" s="41"/>
      <c r="D1581" s="42"/>
      <c r="E1581" s="42"/>
      <c r="F1581" s="42" t="str">
        <f>+IFERROR(VLOOKUP(E1581,'DANH MỤC'!$C:$H,2,0),"")</f>
        <v/>
      </c>
      <c r="G1581" s="42" t="str">
        <f>+IFERROR(VLOOKUP(E1581,'DANH MỤC'!$C:$H,6,0),"")</f>
        <v/>
      </c>
      <c r="H1581" s="42" t="str">
        <f>+IFERROR(VLOOKUP(E1581,'DANH MỤC'!$C:$H,3,0),"")</f>
        <v/>
      </c>
      <c r="I1581" s="42" t="str">
        <f>+IFERROR(VLOOKUP(E1581,'DANH MỤC'!$C:$H,4,0),"")</f>
        <v/>
      </c>
      <c r="J1581" s="42" t="str">
        <f>+IFERROR(VLOOKUP(E1581,'DANH MỤC'!$C:$H,5,0),"")</f>
        <v/>
      </c>
      <c r="K1581" s="53"/>
      <c r="L1581" s="58"/>
      <c r="M1581" s="55"/>
      <c r="N1581" s="55"/>
    </row>
    <row r="1582" ht="15.75" customHeight="1">
      <c r="A1582" s="53">
        <f t="shared" si="7"/>
        <v>1577</v>
      </c>
      <c r="B1582" s="55"/>
      <c r="C1582" s="41"/>
      <c r="D1582" s="42"/>
      <c r="E1582" s="42"/>
      <c r="F1582" s="42" t="str">
        <f>+IFERROR(VLOOKUP(E1582,'DANH MỤC'!$C:$H,2,0),"")</f>
        <v/>
      </c>
      <c r="G1582" s="42" t="str">
        <f>+IFERROR(VLOOKUP(E1582,'DANH MỤC'!$C:$H,6,0),"")</f>
        <v/>
      </c>
      <c r="H1582" s="42" t="str">
        <f>+IFERROR(VLOOKUP(E1582,'DANH MỤC'!$C:$H,3,0),"")</f>
        <v/>
      </c>
      <c r="I1582" s="42" t="str">
        <f>+IFERROR(VLOOKUP(E1582,'DANH MỤC'!$C:$H,4,0),"")</f>
        <v/>
      </c>
      <c r="J1582" s="42" t="str">
        <f>+IFERROR(VLOOKUP(E1582,'DANH MỤC'!$C:$H,5,0),"")</f>
        <v/>
      </c>
      <c r="K1582" s="53"/>
      <c r="L1582" s="58"/>
      <c r="M1582" s="55"/>
      <c r="N1582" s="55"/>
    </row>
    <row r="1583" ht="15.75" customHeight="1">
      <c r="A1583" s="53">
        <f t="shared" si="7"/>
        <v>1578</v>
      </c>
      <c r="B1583" s="55"/>
      <c r="C1583" s="41"/>
      <c r="D1583" s="42"/>
      <c r="E1583" s="42"/>
      <c r="F1583" s="42" t="str">
        <f>+IFERROR(VLOOKUP(E1583,'DANH MỤC'!$C:$H,2,0),"")</f>
        <v/>
      </c>
      <c r="G1583" s="42" t="str">
        <f>+IFERROR(VLOOKUP(E1583,'DANH MỤC'!$C:$H,6,0),"")</f>
        <v/>
      </c>
      <c r="H1583" s="42" t="str">
        <f>+IFERROR(VLOOKUP(E1583,'DANH MỤC'!$C:$H,3,0),"")</f>
        <v/>
      </c>
      <c r="I1583" s="42" t="str">
        <f>+IFERROR(VLOOKUP(E1583,'DANH MỤC'!$C:$H,4,0),"")</f>
        <v/>
      </c>
      <c r="J1583" s="42" t="str">
        <f>+IFERROR(VLOOKUP(E1583,'DANH MỤC'!$C:$H,5,0),"")</f>
        <v/>
      </c>
      <c r="K1583" s="53"/>
      <c r="L1583" s="58"/>
      <c r="M1583" s="55"/>
      <c r="N1583" s="55"/>
    </row>
    <row r="1584" ht="15.75" customHeight="1">
      <c r="A1584" s="53">
        <f t="shared" si="7"/>
        <v>1579</v>
      </c>
      <c r="B1584" s="55"/>
      <c r="C1584" s="41"/>
      <c r="D1584" s="42"/>
      <c r="E1584" s="42"/>
      <c r="F1584" s="42" t="str">
        <f>+IFERROR(VLOOKUP(E1584,'DANH MỤC'!$C:$H,2,0),"")</f>
        <v/>
      </c>
      <c r="G1584" s="42" t="str">
        <f>+IFERROR(VLOOKUP(E1584,'DANH MỤC'!$C:$H,6,0),"")</f>
        <v/>
      </c>
      <c r="H1584" s="42" t="str">
        <f>+IFERROR(VLOOKUP(E1584,'DANH MỤC'!$C:$H,3,0),"")</f>
        <v/>
      </c>
      <c r="I1584" s="42" t="str">
        <f>+IFERROR(VLOOKUP(E1584,'DANH MỤC'!$C:$H,4,0),"")</f>
        <v/>
      </c>
      <c r="J1584" s="42" t="str">
        <f>+IFERROR(VLOOKUP(E1584,'DANH MỤC'!$C:$H,5,0),"")</f>
        <v/>
      </c>
      <c r="K1584" s="53"/>
      <c r="L1584" s="58"/>
      <c r="M1584" s="55"/>
      <c r="N1584" s="55"/>
    </row>
    <row r="1585" ht="15.75" customHeight="1">
      <c r="A1585" s="53">
        <f t="shared" si="7"/>
        <v>1580</v>
      </c>
      <c r="B1585" s="55"/>
      <c r="C1585" s="41"/>
      <c r="D1585" s="42"/>
      <c r="E1585" s="42"/>
      <c r="F1585" s="42" t="str">
        <f>+IFERROR(VLOOKUP(E1585,'DANH MỤC'!$C:$H,2,0),"")</f>
        <v/>
      </c>
      <c r="G1585" s="42" t="str">
        <f>+IFERROR(VLOOKUP(E1585,'DANH MỤC'!$C:$H,6,0),"")</f>
        <v/>
      </c>
      <c r="H1585" s="42" t="str">
        <f>+IFERROR(VLOOKUP(E1585,'DANH MỤC'!$C:$H,3,0),"")</f>
        <v/>
      </c>
      <c r="I1585" s="42" t="str">
        <f>+IFERROR(VLOOKUP(E1585,'DANH MỤC'!$C:$H,4,0),"")</f>
        <v/>
      </c>
      <c r="J1585" s="42" t="str">
        <f>+IFERROR(VLOOKUP(E1585,'DANH MỤC'!$C:$H,5,0),"")</f>
        <v/>
      </c>
      <c r="K1585" s="53"/>
      <c r="L1585" s="58"/>
      <c r="M1585" s="55"/>
      <c r="N1585" s="55"/>
    </row>
    <row r="1586" ht="15.75" customHeight="1">
      <c r="A1586" s="53">
        <f t="shared" si="7"/>
        <v>1581</v>
      </c>
      <c r="B1586" s="55"/>
      <c r="C1586" s="41"/>
      <c r="D1586" s="42"/>
      <c r="E1586" s="42"/>
      <c r="F1586" s="42" t="str">
        <f>+IFERROR(VLOOKUP(E1586,'DANH MỤC'!$C:$H,2,0),"")</f>
        <v/>
      </c>
      <c r="G1586" s="42" t="str">
        <f>+IFERROR(VLOOKUP(E1586,'DANH MỤC'!$C:$H,6,0),"")</f>
        <v/>
      </c>
      <c r="H1586" s="42" t="str">
        <f>+IFERROR(VLOOKUP(E1586,'DANH MỤC'!$C:$H,3,0),"")</f>
        <v/>
      </c>
      <c r="I1586" s="42" t="str">
        <f>+IFERROR(VLOOKUP(E1586,'DANH MỤC'!$C:$H,4,0),"")</f>
        <v/>
      </c>
      <c r="J1586" s="42" t="str">
        <f>+IFERROR(VLOOKUP(E1586,'DANH MỤC'!$C:$H,5,0),"")</f>
        <v/>
      </c>
      <c r="K1586" s="53"/>
      <c r="L1586" s="58"/>
      <c r="M1586" s="55"/>
      <c r="N1586" s="55"/>
    </row>
    <row r="1587" ht="15.75" customHeight="1">
      <c r="A1587" s="53">
        <f t="shared" si="7"/>
        <v>1582</v>
      </c>
      <c r="B1587" s="55"/>
      <c r="C1587" s="41"/>
      <c r="D1587" s="42"/>
      <c r="E1587" s="42"/>
      <c r="F1587" s="42" t="str">
        <f>+IFERROR(VLOOKUP(E1587,'DANH MỤC'!$C:$H,2,0),"")</f>
        <v/>
      </c>
      <c r="G1587" s="42" t="str">
        <f>+IFERROR(VLOOKUP(E1587,'DANH MỤC'!$C:$H,6,0),"")</f>
        <v/>
      </c>
      <c r="H1587" s="42" t="str">
        <f>+IFERROR(VLOOKUP(E1587,'DANH MỤC'!$C:$H,3,0),"")</f>
        <v/>
      </c>
      <c r="I1587" s="42" t="str">
        <f>+IFERROR(VLOOKUP(E1587,'DANH MỤC'!$C:$H,4,0),"")</f>
        <v/>
      </c>
      <c r="J1587" s="42" t="str">
        <f>+IFERROR(VLOOKUP(E1587,'DANH MỤC'!$C:$H,5,0),"")</f>
        <v/>
      </c>
      <c r="K1587" s="53"/>
      <c r="L1587" s="58"/>
      <c r="M1587" s="55"/>
      <c r="N1587" s="55"/>
    </row>
    <row r="1588" ht="15.75" customHeight="1">
      <c r="A1588" s="53">
        <f t="shared" si="7"/>
        <v>1583</v>
      </c>
      <c r="B1588" s="55"/>
      <c r="C1588" s="41"/>
      <c r="D1588" s="42"/>
      <c r="E1588" s="42"/>
      <c r="F1588" s="42" t="str">
        <f>+IFERROR(VLOOKUP(E1588,'DANH MỤC'!$C:$H,2,0),"")</f>
        <v/>
      </c>
      <c r="G1588" s="42" t="str">
        <f>+IFERROR(VLOOKUP(E1588,'DANH MỤC'!$C:$H,6,0),"")</f>
        <v/>
      </c>
      <c r="H1588" s="42" t="str">
        <f>+IFERROR(VLOOKUP(E1588,'DANH MỤC'!$C:$H,3,0),"")</f>
        <v/>
      </c>
      <c r="I1588" s="42" t="str">
        <f>+IFERROR(VLOOKUP(E1588,'DANH MỤC'!$C:$H,4,0),"")</f>
        <v/>
      </c>
      <c r="J1588" s="42" t="str">
        <f>+IFERROR(VLOOKUP(E1588,'DANH MỤC'!$C:$H,5,0),"")</f>
        <v/>
      </c>
      <c r="K1588" s="53"/>
      <c r="L1588" s="58"/>
      <c r="M1588" s="55"/>
      <c r="N1588" s="55"/>
    </row>
    <row r="1589" ht="15.75" customHeight="1">
      <c r="A1589" s="53">
        <f t="shared" si="7"/>
        <v>1584</v>
      </c>
      <c r="B1589" s="55"/>
      <c r="C1589" s="41"/>
      <c r="D1589" s="42"/>
      <c r="E1589" s="42"/>
      <c r="F1589" s="42" t="str">
        <f>+IFERROR(VLOOKUP(E1589,'DANH MỤC'!$C:$H,2,0),"")</f>
        <v/>
      </c>
      <c r="G1589" s="42" t="str">
        <f>+IFERROR(VLOOKUP(E1589,'DANH MỤC'!$C:$H,6,0),"")</f>
        <v/>
      </c>
      <c r="H1589" s="42" t="str">
        <f>+IFERROR(VLOOKUP(E1589,'DANH MỤC'!$C:$H,3,0),"")</f>
        <v/>
      </c>
      <c r="I1589" s="42" t="str">
        <f>+IFERROR(VLOOKUP(E1589,'DANH MỤC'!$C:$H,4,0),"")</f>
        <v/>
      </c>
      <c r="J1589" s="42" t="str">
        <f>+IFERROR(VLOOKUP(E1589,'DANH MỤC'!$C:$H,5,0),"")</f>
        <v/>
      </c>
      <c r="K1589" s="53"/>
      <c r="L1589" s="58"/>
      <c r="M1589" s="55"/>
      <c r="N1589" s="55"/>
    </row>
    <row r="1590" ht="15.75" customHeight="1">
      <c r="A1590" s="53">
        <f t="shared" si="7"/>
        <v>1585</v>
      </c>
      <c r="B1590" s="55"/>
      <c r="C1590" s="41"/>
      <c r="D1590" s="42"/>
      <c r="E1590" s="42"/>
      <c r="F1590" s="42" t="str">
        <f>+IFERROR(VLOOKUP(E1590,'DANH MỤC'!$C:$H,2,0),"")</f>
        <v/>
      </c>
      <c r="G1590" s="42" t="str">
        <f>+IFERROR(VLOOKUP(E1590,'DANH MỤC'!$C:$H,6,0),"")</f>
        <v/>
      </c>
      <c r="H1590" s="42" t="str">
        <f>+IFERROR(VLOOKUP(E1590,'DANH MỤC'!$C:$H,3,0),"")</f>
        <v/>
      </c>
      <c r="I1590" s="42" t="str">
        <f>+IFERROR(VLOOKUP(E1590,'DANH MỤC'!$C:$H,4,0),"")</f>
        <v/>
      </c>
      <c r="J1590" s="42" t="str">
        <f>+IFERROR(VLOOKUP(E1590,'DANH MỤC'!$C:$H,5,0),"")</f>
        <v/>
      </c>
      <c r="K1590" s="53"/>
      <c r="L1590" s="58"/>
      <c r="M1590" s="55"/>
      <c r="N1590" s="55"/>
    </row>
    <row r="1591" ht="15.75" customHeight="1">
      <c r="A1591" s="53">
        <f t="shared" si="7"/>
        <v>1586</v>
      </c>
      <c r="B1591" s="55"/>
      <c r="C1591" s="41"/>
      <c r="D1591" s="42"/>
      <c r="E1591" s="42"/>
      <c r="F1591" s="42" t="str">
        <f>+IFERROR(VLOOKUP(E1591,'DANH MỤC'!$C:$H,2,0),"")</f>
        <v/>
      </c>
      <c r="G1591" s="42" t="str">
        <f>+IFERROR(VLOOKUP(E1591,'DANH MỤC'!$C:$H,6,0),"")</f>
        <v/>
      </c>
      <c r="H1591" s="42" t="str">
        <f>+IFERROR(VLOOKUP(E1591,'DANH MỤC'!$C:$H,3,0),"")</f>
        <v/>
      </c>
      <c r="I1591" s="42" t="str">
        <f>+IFERROR(VLOOKUP(E1591,'DANH MỤC'!$C:$H,4,0),"")</f>
        <v/>
      </c>
      <c r="J1591" s="42" t="str">
        <f>+IFERROR(VLOOKUP(E1591,'DANH MỤC'!$C:$H,5,0),"")</f>
        <v/>
      </c>
      <c r="K1591" s="53"/>
      <c r="L1591" s="58"/>
      <c r="M1591" s="55"/>
      <c r="N1591" s="55"/>
    </row>
    <row r="1592" ht="15.75" customHeight="1">
      <c r="A1592" s="53">
        <f t="shared" si="7"/>
        <v>1587</v>
      </c>
      <c r="B1592" s="55"/>
      <c r="C1592" s="41"/>
      <c r="D1592" s="42"/>
      <c r="E1592" s="42"/>
      <c r="F1592" s="42" t="str">
        <f>+IFERROR(VLOOKUP(E1592,'DANH MỤC'!$C:$H,2,0),"")</f>
        <v/>
      </c>
      <c r="G1592" s="42" t="str">
        <f>+IFERROR(VLOOKUP(E1592,'DANH MỤC'!$C:$H,6,0),"")</f>
        <v/>
      </c>
      <c r="H1592" s="42" t="str">
        <f>+IFERROR(VLOOKUP(E1592,'DANH MỤC'!$C:$H,3,0),"")</f>
        <v/>
      </c>
      <c r="I1592" s="42" t="str">
        <f>+IFERROR(VLOOKUP(E1592,'DANH MỤC'!$C:$H,4,0),"")</f>
        <v/>
      </c>
      <c r="J1592" s="42" t="str">
        <f>+IFERROR(VLOOKUP(E1592,'DANH MỤC'!$C:$H,5,0),"")</f>
        <v/>
      </c>
      <c r="K1592" s="53"/>
      <c r="L1592" s="58"/>
      <c r="M1592" s="55"/>
      <c r="N1592" s="55"/>
    </row>
    <row r="1593" ht="15.75" customHeight="1">
      <c r="A1593" s="53">
        <f t="shared" si="7"/>
        <v>1588</v>
      </c>
      <c r="B1593" s="55"/>
      <c r="C1593" s="41"/>
      <c r="D1593" s="42"/>
      <c r="E1593" s="42"/>
      <c r="F1593" s="42" t="str">
        <f>+IFERROR(VLOOKUP(E1593,'DANH MỤC'!$C:$H,2,0),"")</f>
        <v/>
      </c>
      <c r="G1593" s="42" t="str">
        <f>+IFERROR(VLOOKUP(E1593,'DANH MỤC'!$C:$H,6,0),"")</f>
        <v/>
      </c>
      <c r="H1593" s="42" t="str">
        <f>+IFERROR(VLOOKUP(E1593,'DANH MỤC'!$C:$H,3,0),"")</f>
        <v/>
      </c>
      <c r="I1593" s="42" t="str">
        <f>+IFERROR(VLOOKUP(E1593,'DANH MỤC'!$C:$H,4,0),"")</f>
        <v/>
      </c>
      <c r="J1593" s="42" t="str">
        <f>+IFERROR(VLOOKUP(E1593,'DANH MỤC'!$C:$H,5,0),"")</f>
        <v/>
      </c>
      <c r="K1593" s="53"/>
      <c r="L1593" s="58"/>
      <c r="M1593" s="55"/>
      <c r="N1593" s="55"/>
    </row>
    <row r="1594" ht="15.75" customHeight="1">
      <c r="A1594" s="53">
        <f t="shared" si="7"/>
        <v>1589</v>
      </c>
      <c r="B1594" s="55"/>
      <c r="C1594" s="41"/>
      <c r="D1594" s="42"/>
      <c r="E1594" s="42"/>
      <c r="F1594" s="42" t="str">
        <f>+IFERROR(VLOOKUP(E1594,'DANH MỤC'!$C:$H,2,0),"")</f>
        <v/>
      </c>
      <c r="G1594" s="42" t="str">
        <f>+IFERROR(VLOOKUP(E1594,'DANH MỤC'!$C:$H,6,0),"")</f>
        <v/>
      </c>
      <c r="H1594" s="42" t="str">
        <f>+IFERROR(VLOOKUP(E1594,'DANH MỤC'!$C:$H,3,0),"")</f>
        <v/>
      </c>
      <c r="I1594" s="42" t="str">
        <f>+IFERROR(VLOOKUP(E1594,'DANH MỤC'!$C:$H,4,0),"")</f>
        <v/>
      </c>
      <c r="J1594" s="42" t="str">
        <f>+IFERROR(VLOOKUP(E1594,'DANH MỤC'!$C:$H,5,0),"")</f>
        <v/>
      </c>
      <c r="K1594" s="53"/>
      <c r="L1594" s="58"/>
      <c r="M1594" s="55"/>
      <c r="N1594" s="55"/>
    </row>
    <row r="1595" ht="15.75" customHeight="1">
      <c r="A1595" s="53">
        <f t="shared" si="7"/>
        <v>1590</v>
      </c>
      <c r="B1595" s="55"/>
      <c r="C1595" s="41"/>
      <c r="D1595" s="42"/>
      <c r="E1595" s="42"/>
      <c r="F1595" s="42" t="str">
        <f>+IFERROR(VLOOKUP(E1595,'DANH MỤC'!$C:$H,2,0),"")</f>
        <v/>
      </c>
      <c r="G1595" s="42" t="str">
        <f>+IFERROR(VLOOKUP(E1595,'DANH MỤC'!$C:$H,6,0),"")</f>
        <v/>
      </c>
      <c r="H1595" s="42" t="str">
        <f>+IFERROR(VLOOKUP(E1595,'DANH MỤC'!$C:$H,3,0),"")</f>
        <v/>
      </c>
      <c r="I1595" s="42" t="str">
        <f>+IFERROR(VLOOKUP(E1595,'DANH MỤC'!$C:$H,4,0),"")</f>
        <v/>
      </c>
      <c r="J1595" s="42" t="str">
        <f>+IFERROR(VLOOKUP(E1595,'DANH MỤC'!$C:$H,5,0),"")</f>
        <v/>
      </c>
      <c r="K1595" s="53"/>
      <c r="L1595" s="58"/>
      <c r="M1595" s="55"/>
      <c r="N1595" s="55"/>
    </row>
    <row r="1596" ht="15.75" customHeight="1">
      <c r="A1596" s="53">
        <f t="shared" si="7"/>
        <v>1591</v>
      </c>
      <c r="B1596" s="55"/>
      <c r="C1596" s="41"/>
      <c r="D1596" s="42"/>
      <c r="E1596" s="42"/>
      <c r="F1596" s="42" t="str">
        <f>+IFERROR(VLOOKUP(E1596,'DANH MỤC'!$C:$H,2,0),"")</f>
        <v/>
      </c>
      <c r="G1596" s="42" t="str">
        <f>+IFERROR(VLOOKUP(E1596,'DANH MỤC'!$C:$H,6,0),"")</f>
        <v/>
      </c>
      <c r="H1596" s="42" t="str">
        <f>+IFERROR(VLOOKUP(E1596,'DANH MỤC'!$C:$H,3,0),"")</f>
        <v/>
      </c>
      <c r="I1596" s="42" t="str">
        <f>+IFERROR(VLOOKUP(E1596,'DANH MỤC'!$C:$H,4,0),"")</f>
        <v/>
      </c>
      <c r="J1596" s="42" t="str">
        <f>+IFERROR(VLOOKUP(E1596,'DANH MỤC'!$C:$H,5,0),"")</f>
        <v/>
      </c>
      <c r="K1596" s="53"/>
      <c r="L1596" s="58"/>
      <c r="M1596" s="55"/>
      <c r="N1596" s="55"/>
    </row>
    <row r="1597" ht="15.75" customHeight="1">
      <c r="A1597" s="53">
        <f t="shared" si="7"/>
        <v>1592</v>
      </c>
      <c r="B1597" s="55"/>
      <c r="C1597" s="41"/>
      <c r="D1597" s="42"/>
      <c r="E1597" s="42"/>
      <c r="F1597" s="42" t="str">
        <f>+IFERROR(VLOOKUP(E1597,'DANH MỤC'!$C:$H,2,0),"")</f>
        <v/>
      </c>
      <c r="G1597" s="42" t="str">
        <f>+IFERROR(VLOOKUP(E1597,'DANH MỤC'!$C:$H,6,0),"")</f>
        <v/>
      </c>
      <c r="H1597" s="42" t="str">
        <f>+IFERROR(VLOOKUP(E1597,'DANH MỤC'!$C:$H,3,0),"")</f>
        <v/>
      </c>
      <c r="I1597" s="42" t="str">
        <f>+IFERROR(VLOOKUP(E1597,'DANH MỤC'!$C:$H,4,0),"")</f>
        <v/>
      </c>
      <c r="J1597" s="42" t="str">
        <f>+IFERROR(VLOOKUP(E1597,'DANH MỤC'!$C:$H,5,0),"")</f>
        <v/>
      </c>
      <c r="K1597" s="53"/>
      <c r="L1597" s="58"/>
      <c r="M1597" s="55"/>
      <c r="N1597" s="55"/>
    </row>
    <row r="1598" ht="15.75" customHeight="1">
      <c r="A1598" s="53">
        <f t="shared" si="7"/>
        <v>1593</v>
      </c>
      <c r="B1598" s="55"/>
      <c r="C1598" s="41"/>
      <c r="D1598" s="42"/>
      <c r="E1598" s="42"/>
      <c r="F1598" s="42" t="str">
        <f>+IFERROR(VLOOKUP(E1598,'DANH MỤC'!$C:$H,2,0),"")</f>
        <v/>
      </c>
      <c r="G1598" s="42" t="str">
        <f>+IFERROR(VLOOKUP(E1598,'DANH MỤC'!$C:$H,6,0),"")</f>
        <v/>
      </c>
      <c r="H1598" s="42" t="str">
        <f>+IFERROR(VLOOKUP(E1598,'DANH MỤC'!$C:$H,3,0),"")</f>
        <v/>
      </c>
      <c r="I1598" s="42" t="str">
        <f>+IFERROR(VLOOKUP(E1598,'DANH MỤC'!$C:$H,4,0),"")</f>
        <v/>
      </c>
      <c r="J1598" s="42" t="str">
        <f>+IFERROR(VLOOKUP(E1598,'DANH MỤC'!$C:$H,5,0),"")</f>
        <v/>
      </c>
      <c r="K1598" s="53"/>
      <c r="L1598" s="58"/>
      <c r="M1598" s="55"/>
      <c r="N1598" s="55"/>
    </row>
    <row r="1599" ht="15.75" customHeight="1">
      <c r="A1599" s="53">
        <f t="shared" si="7"/>
        <v>1594</v>
      </c>
      <c r="B1599" s="55"/>
      <c r="C1599" s="41"/>
      <c r="D1599" s="42"/>
      <c r="E1599" s="42"/>
      <c r="F1599" s="42" t="str">
        <f>+IFERROR(VLOOKUP(E1599,'DANH MỤC'!$C:$H,2,0),"")</f>
        <v/>
      </c>
      <c r="G1599" s="42" t="str">
        <f>+IFERROR(VLOOKUP(E1599,'DANH MỤC'!$C:$H,6,0),"")</f>
        <v/>
      </c>
      <c r="H1599" s="42" t="str">
        <f>+IFERROR(VLOOKUP(E1599,'DANH MỤC'!$C:$H,3,0),"")</f>
        <v/>
      </c>
      <c r="I1599" s="42" t="str">
        <f>+IFERROR(VLOOKUP(E1599,'DANH MỤC'!$C:$H,4,0),"")</f>
        <v/>
      </c>
      <c r="J1599" s="42" t="str">
        <f>+IFERROR(VLOOKUP(E1599,'DANH MỤC'!$C:$H,5,0),"")</f>
        <v/>
      </c>
      <c r="K1599" s="53"/>
      <c r="L1599" s="58"/>
      <c r="M1599" s="55"/>
      <c r="N1599" s="55"/>
    </row>
    <row r="1600" ht="15.75" customHeight="1">
      <c r="A1600" s="53">
        <f t="shared" si="7"/>
        <v>1595</v>
      </c>
      <c r="B1600" s="55"/>
      <c r="C1600" s="41"/>
      <c r="D1600" s="42"/>
      <c r="E1600" s="42"/>
      <c r="F1600" s="42" t="str">
        <f>+IFERROR(VLOOKUP(E1600,'DANH MỤC'!$C:$H,2,0),"")</f>
        <v/>
      </c>
      <c r="G1600" s="42" t="str">
        <f>+IFERROR(VLOOKUP(E1600,'DANH MỤC'!$C:$H,6,0),"")</f>
        <v/>
      </c>
      <c r="H1600" s="42" t="str">
        <f>+IFERROR(VLOOKUP(E1600,'DANH MỤC'!$C:$H,3,0),"")</f>
        <v/>
      </c>
      <c r="I1600" s="42" t="str">
        <f>+IFERROR(VLOOKUP(E1600,'DANH MỤC'!$C:$H,4,0),"")</f>
        <v/>
      </c>
      <c r="J1600" s="42" t="str">
        <f>+IFERROR(VLOOKUP(E1600,'DANH MỤC'!$C:$H,5,0),"")</f>
        <v/>
      </c>
      <c r="K1600" s="53"/>
      <c r="L1600" s="58"/>
      <c r="M1600" s="55"/>
      <c r="N1600" s="55"/>
    </row>
    <row r="1601" ht="15.75" customHeight="1">
      <c r="A1601" s="53">
        <f t="shared" si="7"/>
        <v>1596</v>
      </c>
      <c r="B1601" s="55"/>
      <c r="C1601" s="41"/>
      <c r="D1601" s="42"/>
      <c r="E1601" s="42"/>
      <c r="F1601" s="42" t="str">
        <f>+IFERROR(VLOOKUP(E1601,'DANH MỤC'!$C:$H,2,0),"")</f>
        <v/>
      </c>
      <c r="G1601" s="42" t="str">
        <f>+IFERROR(VLOOKUP(E1601,'DANH MỤC'!$C:$H,6,0),"")</f>
        <v/>
      </c>
      <c r="H1601" s="42" t="str">
        <f>+IFERROR(VLOOKUP(E1601,'DANH MỤC'!$C:$H,3,0),"")</f>
        <v/>
      </c>
      <c r="I1601" s="42" t="str">
        <f>+IFERROR(VLOOKUP(E1601,'DANH MỤC'!$C:$H,4,0),"")</f>
        <v/>
      </c>
      <c r="J1601" s="42" t="str">
        <f>+IFERROR(VLOOKUP(E1601,'DANH MỤC'!$C:$H,5,0),"")</f>
        <v/>
      </c>
      <c r="K1601" s="53"/>
      <c r="L1601" s="58"/>
      <c r="M1601" s="55"/>
      <c r="N1601" s="55"/>
    </row>
    <row r="1602" ht="15.75" customHeight="1">
      <c r="A1602" s="53">
        <f t="shared" si="7"/>
        <v>1597</v>
      </c>
      <c r="B1602" s="55"/>
      <c r="C1602" s="41"/>
      <c r="D1602" s="42"/>
      <c r="E1602" s="42"/>
      <c r="F1602" s="42" t="str">
        <f>+IFERROR(VLOOKUP(E1602,'DANH MỤC'!$C:$H,2,0),"")</f>
        <v/>
      </c>
      <c r="G1602" s="42" t="str">
        <f>+IFERROR(VLOOKUP(E1602,'DANH MỤC'!$C:$H,6,0),"")</f>
        <v/>
      </c>
      <c r="H1602" s="42" t="str">
        <f>+IFERROR(VLOOKUP(E1602,'DANH MỤC'!$C:$H,3,0),"")</f>
        <v/>
      </c>
      <c r="I1602" s="42" t="str">
        <f>+IFERROR(VLOOKUP(E1602,'DANH MỤC'!$C:$H,4,0),"")</f>
        <v/>
      </c>
      <c r="J1602" s="42" t="str">
        <f>+IFERROR(VLOOKUP(E1602,'DANH MỤC'!$C:$H,5,0),"")</f>
        <v/>
      </c>
      <c r="K1602" s="53"/>
      <c r="L1602" s="58"/>
      <c r="M1602" s="55"/>
      <c r="N1602" s="55"/>
    </row>
    <row r="1603" ht="15.75" customHeight="1">
      <c r="A1603" s="53">
        <f t="shared" si="7"/>
        <v>1598</v>
      </c>
      <c r="B1603" s="55"/>
      <c r="C1603" s="41"/>
      <c r="D1603" s="42"/>
      <c r="E1603" s="42"/>
      <c r="F1603" s="42" t="str">
        <f>+IFERROR(VLOOKUP(E1603,'DANH MỤC'!$C:$H,2,0),"")</f>
        <v/>
      </c>
      <c r="G1603" s="42" t="str">
        <f>+IFERROR(VLOOKUP(E1603,'DANH MỤC'!$C:$H,6,0),"")</f>
        <v/>
      </c>
      <c r="H1603" s="42" t="str">
        <f>+IFERROR(VLOOKUP(E1603,'DANH MỤC'!$C:$H,3,0),"")</f>
        <v/>
      </c>
      <c r="I1603" s="42" t="str">
        <f>+IFERROR(VLOOKUP(E1603,'DANH MỤC'!$C:$H,4,0),"")</f>
        <v/>
      </c>
      <c r="J1603" s="42" t="str">
        <f>+IFERROR(VLOOKUP(E1603,'DANH MỤC'!$C:$H,5,0),"")</f>
        <v/>
      </c>
      <c r="K1603" s="53"/>
      <c r="L1603" s="58"/>
      <c r="M1603" s="55"/>
      <c r="N1603" s="55"/>
    </row>
    <row r="1604" ht="15.75" customHeight="1">
      <c r="A1604" s="53">
        <f t="shared" si="7"/>
        <v>1599</v>
      </c>
      <c r="B1604" s="55"/>
      <c r="C1604" s="41"/>
      <c r="D1604" s="42"/>
      <c r="E1604" s="42"/>
      <c r="F1604" s="42" t="str">
        <f>+IFERROR(VLOOKUP(E1604,'DANH MỤC'!$C:$H,2,0),"")</f>
        <v/>
      </c>
      <c r="G1604" s="42" t="str">
        <f>+IFERROR(VLOOKUP(E1604,'DANH MỤC'!$C:$H,6,0),"")</f>
        <v/>
      </c>
      <c r="H1604" s="42" t="str">
        <f>+IFERROR(VLOOKUP(E1604,'DANH MỤC'!$C:$H,3,0),"")</f>
        <v/>
      </c>
      <c r="I1604" s="42" t="str">
        <f>+IFERROR(VLOOKUP(E1604,'DANH MỤC'!$C:$H,4,0),"")</f>
        <v/>
      </c>
      <c r="J1604" s="42" t="str">
        <f>+IFERROR(VLOOKUP(E1604,'DANH MỤC'!$C:$H,5,0),"")</f>
        <v/>
      </c>
      <c r="K1604" s="53"/>
      <c r="L1604" s="58"/>
      <c r="M1604" s="55"/>
      <c r="N1604" s="55"/>
    </row>
    <row r="1605" ht="15.75" customHeight="1">
      <c r="A1605" s="53">
        <f t="shared" si="7"/>
        <v>1600</v>
      </c>
      <c r="B1605" s="55"/>
      <c r="C1605" s="41"/>
      <c r="D1605" s="42"/>
      <c r="E1605" s="42"/>
      <c r="F1605" s="42" t="str">
        <f>+IFERROR(VLOOKUP(E1605,'DANH MỤC'!$C:$H,2,0),"")</f>
        <v/>
      </c>
      <c r="G1605" s="42" t="str">
        <f>+IFERROR(VLOOKUP(E1605,'DANH MỤC'!$C:$H,6,0),"")</f>
        <v/>
      </c>
      <c r="H1605" s="42" t="str">
        <f>+IFERROR(VLOOKUP(E1605,'DANH MỤC'!$C:$H,3,0),"")</f>
        <v/>
      </c>
      <c r="I1605" s="42" t="str">
        <f>+IFERROR(VLOOKUP(E1605,'DANH MỤC'!$C:$H,4,0),"")</f>
        <v/>
      </c>
      <c r="J1605" s="42" t="str">
        <f>+IFERROR(VLOOKUP(E1605,'DANH MỤC'!$C:$H,5,0),"")</f>
        <v/>
      </c>
      <c r="K1605" s="53"/>
      <c r="L1605" s="58"/>
      <c r="M1605" s="55"/>
      <c r="N1605" s="55"/>
    </row>
    <row r="1606" ht="15.75" customHeight="1">
      <c r="A1606" s="53">
        <f t="shared" si="7"/>
        <v>1601</v>
      </c>
      <c r="B1606" s="55"/>
      <c r="C1606" s="41"/>
      <c r="D1606" s="42"/>
      <c r="E1606" s="42"/>
      <c r="F1606" s="42" t="str">
        <f>+IFERROR(VLOOKUP(E1606,'DANH MỤC'!$C:$H,2,0),"")</f>
        <v/>
      </c>
      <c r="G1606" s="42" t="str">
        <f>+IFERROR(VLOOKUP(E1606,'DANH MỤC'!$C:$H,6,0),"")</f>
        <v/>
      </c>
      <c r="H1606" s="42" t="str">
        <f>+IFERROR(VLOOKUP(E1606,'DANH MỤC'!$C:$H,3,0),"")</f>
        <v/>
      </c>
      <c r="I1606" s="42" t="str">
        <f>+IFERROR(VLOOKUP(E1606,'DANH MỤC'!$C:$H,4,0),"")</f>
        <v/>
      </c>
      <c r="J1606" s="42" t="str">
        <f>+IFERROR(VLOOKUP(E1606,'DANH MỤC'!$C:$H,5,0),"")</f>
        <v/>
      </c>
      <c r="K1606" s="53"/>
      <c r="L1606" s="58"/>
      <c r="M1606" s="55"/>
      <c r="N1606" s="55"/>
    </row>
    <row r="1607" ht="15.75" customHeight="1">
      <c r="A1607" s="53">
        <f t="shared" si="7"/>
        <v>1602</v>
      </c>
      <c r="B1607" s="55"/>
      <c r="C1607" s="41"/>
      <c r="D1607" s="42"/>
      <c r="E1607" s="42"/>
      <c r="F1607" s="42" t="str">
        <f>+IFERROR(VLOOKUP(E1607,'DANH MỤC'!$C:$H,2,0),"")</f>
        <v/>
      </c>
      <c r="G1607" s="42" t="str">
        <f>+IFERROR(VLOOKUP(E1607,'DANH MỤC'!$C:$H,6,0),"")</f>
        <v/>
      </c>
      <c r="H1607" s="42" t="str">
        <f>+IFERROR(VLOOKUP(E1607,'DANH MỤC'!$C:$H,3,0),"")</f>
        <v/>
      </c>
      <c r="I1607" s="42" t="str">
        <f>+IFERROR(VLOOKUP(E1607,'DANH MỤC'!$C:$H,4,0),"")</f>
        <v/>
      </c>
      <c r="J1607" s="42" t="str">
        <f>+IFERROR(VLOOKUP(E1607,'DANH MỤC'!$C:$H,5,0),"")</f>
        <v/>
      </c>
      <c r="K1607" s="53"/>
      <c r="L1607" s="58"/>
      <c r="M1607" s="55"/>
      <c r="N1607" s="55"/>
    </row>
    <row r="1608" ht="15.75" customHeight="1">
      <c r="A1608" s="53">
        <f t="shared" si="7"/>
        <v>1603</v>
      </c>
      <c r="B1608" s="55"/>
      <c r="C1608" s="41"/>
      <c r="D1608" s="42"/>
      <c r="E1608" s="42"/>
      <c r="F1608" s="42" t="str">
        <f>+IFERROR(VLOOKUP(E1608,'DANH MỤC'!$C:$H,2,0),"")</f>
        <v/>
      </c>
      <c r="G1608" s="42" t="str">
        <f>+IFERROR(VLOOKUP(E1608,'DANH MỤC'!$C:$H,6,0),"")</f>
        <v/>
      </c>
      <c r="H1608" s="42" t="str">
        <f>+IFERROR(VLOOKUP(E1608,'DANH MỤC'!$C:$H,3,0),"")</f>
        <v/>
      </c>
      <c r="I1608" s="42" t="str">
        <f>+IFERROR(VLOOKUP(E1608,'DANH MỤC'!$C:$H,4,0),"")</f>
        <v/>
      </c>
      <c r="J1608" s="42" t="str">
        <f>+IFERROR(VLOOKUP(E1608,'DANH MỤC'!$C:$H,5,0),"")</f>
        <v/>
      </c>
      <c r="K1608" s="53"/>
      <c r="L1608" s="58"/>
      <c r="M1608" s="55"/>
      <c r="N1608" s="55"/>
    </row>
    <row r="1609" ht="15.75" customHeight="1">
      <c r="A1609" s="53">
        <f t="shared" si="7"/>
        <v>1604</v>
      </c>
      <c r="B1609" s="55"/>
      <c r="C1609" s="41"/>
      <c r="D1609" s="42"/>
      <c r="E1609" s="42"/>
      <c r="F1609" s="42" t="str">
        <f>+IFERROR(VLOOKUP(E1609,'DANH MỤC'!$C:$H,2,0),"")</f>
        <v/>
      </c>
      <c r="G1609" s="42" t="str">
        <f>+IFERROR(VLOOKUP(E1609,'DANH MỤC'!$C:$H,6,0),"")</f>
        <v/>
      </c>
      <c r="H1609" s="42" t="str">
        <f>+IFERROR(VLOOKUP(E1609,'DANH MỤC'!$C:$H,3,0),"")</f>
        <v/>
      </c>
      <c r="I1609" s="42" t="str">
        <f>+IFERROR(VLOOKUP(E1609,'DANH MỤC'!$C:$H,4,0),"")</f>
        <v/>
      </c>
      <c r="J1609" s="42" t="str">
        <f>+IFERROR(VLOOKUP(E1609,'DANH MỤC'!$C:$H,5,0),"")</f>
        <v/>
      </c>
      <c r="K1609" s="53"/>
      <c r="L1609" s="58"/>
      <c r="M1609" s="55"/>
      <c r="N1609" s="55"/>
    </row>
    <row r="1610" ht="15.75" customHeight="1">
      <c r="A1610" s="53">
        <f t="shared" si="7"/>
        <v>1605</v>
      </c>
      <c r="B1610" s="55"/>
      <c r="C1610" s="41"/>
      <c r="D1610" s="42"/>
      <c r="E1610" s="42"/>
      <c r="F1610" s="42" t="str">
        <f>+IFERROR(VLOOKUP(E1610,'DANH MỤC'!$C:$H,2,0),"")</f>
        <v/>
      </c>
      <c r="G1610" s="42" t="str">
        <f>+IFERROR(VLOOKUP(E1610,'DANH MỤC'!$C:$H,6,0),"")</f>
        <v/>
      </c>
      <c r="H1610" s="42" t="str">
        <f>+IFERROR(VLOOKUP(E1610,'DANH MỤC'!$C:$H,3,0),"")</f>
        <v/>
      </c>
      <c r="I1610" s="42" t="str">
        <f>+IFERROR(VLOOKUP(E1610,'DANH MỤC'!$C:$H,4,0),"")</f>
        <v/>
      </c>
      <c r="J1610" s="42" t="str">
        <f>+IFERROR(VLOOKUP(E1610,'DANH MỤC'!$C:$H,5,0),"")</f>
        <v/>
      </c>
      <c r="K1610" s="53"/>
      <c r="L1610" s="58"/>
      <c r="M1610" s="55"/>
      <c r="N1610" s="55"/>
    </row>
    <row r="1611" ht="15.75" customHeight="1">
      <c r="A1611" s="53">
        <f t="shared" si="7"/>
        <v>1606</v>
      </c>
      <c r="B1611" s="55"/>
      <c r="C1611" s="41"/>
      <c r="D1611" s="42"/>
      <c r="E1611" s="42"/>
      <c r="F1611" s="42" t="str">
        <f>+IFERROR(VLOOKUP(E1611,'DANH MỤC'!$C:$H,2,0),"")</f>
        <v/>
      </c>
      <c r="G1611" s="42" t="str">
        <f>+IFERROR(VLOOKUP(E1611,'DANH MỤC'!$C:$H,6,0),"")</f>
        <v/>
      </c>
      <c r="H1611" s="42" t="str">
        <f>+IFERROR(VLOOKUP(E1611,'DANH MỤC'!$C:$H,3,0),"")</f>
        <v/>
      </c>
      <c r="I1611" s="42" t="str">
        <f>+IFERROR(VLOOKUP(E1611,'DANH MỤC'!$C:$H,4,0),"")</f>
        <v/>
      </c>
      <c r="J1611" s="42" t="str">
        <f>+IFERROR(VLOOKUP(E1611,'DANH MỤC'!$C:$H,5,0),"")</f>
        <v/>
      </c>
      <c r="K1611" s="53"/>
      <c r="L1611" s="58"/>
      <c r="M1611" s="55"/>
      <c r="N1611" s="55"/>
    </row>
    <row r="1612" ht="15.75" customHeight="1">
      <c r="A1612" s="53">
        <f t="shared" si="7"/>
        <v>1607</v>
      </c>
      <c r="B1612" s="55"/>
      <c r="C1612" s="41"/>
      <c r="D1612" s="42"/>
      <c r="E1612" s="42"/>
      <c r="F1612" s="42" t="str">
        <f>+IFERROR(VLOOKUP(E1612,'DANH MỤC'!$C:$H,2,0),"")</f>
        <v/>
      </c>
      <c r="G1612" s="42" t="str">
        <f>+IFERROR(VLOOKUP(E1612,'DANH MỤC'!$C:$H,6,0),"")</f>
        <v/>
      </c>
      <c r="H1612" s="42" t="str">
        <f>+IFERROR(VLOOKUP(E1612,'DANH MỤC'!$C:$H,3,0),"")</f>
        <v/>
      </c>
      <c r="I1612" s="42" t="str">
        <f>+IFERROR(VLOOKUP(E1612,'DANH MỤC'!$C:$H,4,0),"")</f>
        <v/>
      </c>
      <c r="J1612" s="42" t="str">
        <f>+IFERROR(VLOOKUP(E1612,'DANH MỤC'!$C:$H,5,0),"")</f>
        <v/>
      </c>
      <c r="K1612" s="53"/>
      <c r="L1612" s="58"/>
      <c r="M1612" s="55"/>
      <c r="N1612" s="55"/>
    </row>
    <row r="1613" ht="15.75" customHeight="1">
      <c r="A1613" s="53">
        <f t="shared" si="7"/>
        <v>1608</v>
      </c>
      <c r="B1613" s="55"/>
      <c r="C1613" s="41"/>
      <c r="D1613" s="42"/>
      <c r="E1613" s="42"/>
      <c r="F1613" s="42" t="str">
        <f>+IFERROR(VLOOKUP(E1613,'DANH MỤC'!$C:$H,2,0),"")</f>
        <v/>
      </c>
      <c r="G1613" s="42" t="str">
        <f>+IFERROR(VLOOKUP(E1613,'DANH MỤC'!$C:$H,6,0),"")</f>
        <v/>
      </c>
      <c r="H1613" s="42" t="str">
        <f>+IFERROR(VLOOKUP(E1613,'DANH MỤC'!$C:$H,3,0),"")</f>
        <v/>
      </c>
      <c r="I1613" s="42" t="str">
        <f>+IFERROR(VLOOKUP(E1613,'DANH MỤC'!$C:$H,4,0),"")</f>
        <v/>
      </c>
      <c r="J1613" s="42" t="str">
        <f>+IFERROR(VLOOKUP(E1613,'DANH MỤC'!$C:$H,5,0),"")</f>
        <v/>
      </c>
      <c r="K1613" s="53"/>
      <c r="L1613" s="58"/>
      <c r="M1613" s="55"/>
      <c r="N1613" s="55"/>
    </row>
    <row r="1614" ht="15.75" customHeight="1">
      <c r="A1614" s="53">
        <f t="shared" si="7"/>
        <v>1609</v>
      </c>
      <c r="B1614" s="55"/>
      <c r="C1614" s="41"/>
      <c r="D1614" s="42"/>
      <c r="E1614" s="42"/>
      <c r="F1614" s="42" t="str">
        <f>+IFERROR(VLOOKUP(E1614,'DANH MỤC'!$C:$H,2,0),"")</f>
        <v/>
      </c>
      <c r="G1614" s="42" t="str">
        <f>+IFERROR(VLOOKUP(E1614,'DANH MỤC'!$C:$H,6,0),"")</f>
        <v/>
      </c>
      <c r="H1614" s="42" t="str">
        <f>+IFERROR(VLOOKUP(E1614,'DANH MỤC'!$C:$H,3,0),"")</f>
        <v/>
      </c>
      <c r="I1614" s="42" t="str">
        <f>+IFERROR(VLOOKUP(E1614,'DANH MỤC'!$C:$H,4,0),"")</f>
        <v/>
      </c>
      <c r="J1614" s="42" t="str">
        <f>+IFERROR(VLOOKUP(E1614,'DANH MỤC'!$C:$H,5,0),"")</f>
        <v/>
      </c>
      <c r="K1614" s="53"/>
      <c r="L1614" s="58"/>
      <c r="M1614" s="55"/>
      <c r="N1614" s="55"/>
    </row>
    <row r="1615" ht="15.75" customHeight="1">
      <c r="A1615" s="53">
        <f t="shared" si="7"/>
        <v>1610</v>
      </c>
      <c r="B1615" s="55"/>
      <c r="C1615" s="41"/>
      <c r="D1615" s="42"/>
      <c r="E1615" s="42"/>
      <c r="F1615" s="42" t="str">
        <f>+IFERROR(VLOOKUP(E1615,'DANH MỤC'!$C:$H,2,0),"")</f>
        <v/>
      </c>
      <c r="G1615" s="42" t="str">
        <f>+IFERROR(VLOOKUP(E1615,'DANH MỤC'!$C:$H,6,0),"")</f>
        <v/>
      </c>
      <c r="H1615" s="42" t="str">
        <f>+IFERROR(VLOOKUP(E1615,'DANH MỤC'!$C:$H,3,0),"")</f>
        <v/>
      </c>
      <c r="I1615" s="42" t="str">
        <f>+IFERROR(VLOOKUP(E1615,'DANH MỤC'!$C:$H,4,0),"")</f>
        <v/>
      </c>
      <c r="J1615" s="42" t="str">
        <f>+IFERROR(VLOOKUP(E1615,'DANH MỤC'!$C:$H,5,0),"")</f>
        <v/>
      </c>
      <c r="K1615" s="53"/>
      <c r="L1615" s="58"/>
      <c r="M1615" s="55"/>
      <c r="N1615" s="55"/>
    </row>
    <row r="1616" ht="15.75" customHeight="1">
      <c r="A1616" s="53">
        <f t="shared" si="7"/>
        <v>1611</v>
      </c>
      <c r="B1616" s="55"/>
      <c r="C1616" s="41"/>
      <c r="D1616" s="42"/>
      <c r="E1616" s="42"/>
      <c r="F1616" s="42" t="str">
        <f>+IFERROR(VLOOKUP(E1616,'DANH MỤC'!$C:$H,2,0),"")</f>
        <v/>
      </c>
      <c r="G1616" s="42" t="str">
        <f>+IFERROR(VLOOKUP(E1616,'DANH MỤC'!$C:$H,6,0),"")</f>
        <v/>
      </c>
      <c r="H1616" s="42" t="str">
        <f>+IFERROR(VLOOKUP(E1616,'DANH MỤC'!$C:$H,3,0),"")</f>
        <v/>
      </c>
      <c r="I1616" s="42" t="str">
        <f>+IFERROR(VLOOKUP(E1616,'DANH MỤC'!$C:$H,4,0),"")</f>
        <v/>
      </c>
      <c r="J1616" s="42" t="str">
        <f>+IFERROR(VLOOKUP(E1616,'DANH MỤC'!$C:$H,5,0),"")</f>
        <v/>
      </c>
      <c r="K1616" s="53"/>
      <c r="L1616" s="58"/>
      <c r="M1616" s="55"/>
      <c r="N1616" s="55"/>
    </row>
    <row r="1617" ht="15.75" customHeight="1">
      <c r="A1617" s="53">
        <f t="shared" si="7"/>
        <v>1612</v>
      </c>
      <c r="B1617" s="55"/>
      <c r="C1617" s="41"/>
      <c r="D1617" s="42"/>
      <c r="E1617" s="42"/>
      <c r="F1617" s="42" t="str">
        <f>+IFERROR(VLOOKUP(E1617,'DANH MỤC'!$C:$H,2,0),"")</f>
        <v/>
      </c>
      <c r="G1617" s="42" t="str">
        <f>+IFERROR(VLOOKUP(E1617,'DANH MỤC'!$C:$H,6,0),"")</f>
        <v/>
      </c>
      <c r="H1617" s="42" t="str">
        <f>+IFERROR(VLOOKUP(E1617,'DANH MỤC'!$C:$H,3,0),"")</f>
        <v/>
      </c>
      <c r="I1617" s="42" t="str">
        <f>+IFERROR(VLOOKUP(E1617,'DANH MỤC'!$C:$H,4,0),"")</f>
        <v/>
      </c>
      <c r="J1617" s="42" t="str">
        <f>+IFERROR(VLOOKUP(E1617,'DANH MỤC'!$C:$H,5,0),"")</f>
        <v/>
      </c>
      <c r="K1617" s="53"/>
      <c r="L1617" s="58"/>
      <c r="M1617" s="55"/>
      <c r="N1617" s="55"/>
    </row>
    <row r="1618" ht="15.75" customHeight="1">
      <c r="A1618" s="53">
        <f t="shared" si="7"/>
        <v>1613</v>
      </c>
      <c r="B1618" s="55"/>
      <c r="C1618" s="41"/>
      <c r="D1618" s="42"/>
      <c r="E1618" s="42"/>
      <c r="F1618" s="42" t="str">
        <f>+IFERROR(VLOOKUP(E1618,'DANH MỤC'!$C:$H,2,0),"")</f>
        <v/>
      </c>
      <c r="G1618" s="42" t="str">
        <f>+IFERROR(VLOOKUP(E1618,'DANH MỤC'!$C:$H,6,0),"")</f>
        <v/>
      </c>
      <c r="H1618" s="42" t="str">
        <f>+IFERROR(VLOOKUP(E1618,'DANH MỤC'!$C:$H,3,0),"")</f>
        <v/>
      </c>
      <c r="I1618" s="42" t="str">
        <f>+IFERROR(VLOOKUP(E1618,'DANH MỤC'!$C:$H,4,0),"")</f>
        <v/>
      </c>
      <c r="J1618" s="42" t="str">
        <f>+IFERROR(VLOOKUP(E1618,'DANH MỤC'!$C:$H,5,0),"")</f>
        <v/>
      </c>
      <c r="K1618" s="53"/>
      <c r="L1618" s="58"/>
      <c r="M1618" s="55"/>
      <c r="N1618" s="55"/>
    </row>
    <row r="1619" ht="15.75" customHeight="1">
      <c r="A1619" s="53">
        <f t="shared" si="7"/>
        <v>1614</v>
      </c>
      <c r="B1619" s="55"/>
      <c r="C1619" s="41"/>
      <c r="D1619" s="42"/>
      <c r="E1619" s="42"/>
      <c r="F1619" s="42" t="str">
        <f>+IFERROR(VLOOKUP(E1619,'DANH MỤC'!$C:$H,2,0),"")</f>
        <v/>
      </c>
      <c r="G1619" s="42" t="str">
        <f>+IFERROR(VLOOKUP(E1619,'DANH MỤC'!$C:$H,6,0),"")</f>
        <v/>
      </c>
      <c r="H1619" s="42" t="str">
        <f>+IFERROR(VLOOKUP(E1619,'DANH MỤC'!$C:$H,3,0),"")</f>
        <v/>
      </c>
      <c r="I1619" s="42" t="str">
        <f>+IFERROR(VLOOKUP(E1619,'DANH MỤC'!$C:$H,4,0),"")</f>
        <v/>
      </c>
      <c r="J1619" s="42" t="str">
        <f>+IFERROR(VLOOKUP(E1619,'DANH MỤC'!$C:$H,5,0),"")</f>
        <v/>
      </c>
      <c r="K1619" s="53"/>
      <c r="L1619" s="58"/>
      <c r="M1619" s="55"/>
      <c r="N1619" s="55"/>
    </row>
    <row r="1620" ht="15.75" customHeight="1">
      <c r="A1620" s="53">
        <f t="shared" si="7"/>
        <v>1615</v>
      </c>
      <c r="B1620" s="55"/>
      <c r="C1620" s="41"/>
      <c r="D1620" s="42"/>
      <c r="E1620" s="42"/>
      <c r="F1620" s="42" t="str">
        <f>+IFERROR(VLOOKUP(E1620,'DANH MỤC'!$C:$H,2,0),"")</f>
        <v/>
      </c>
      <c r="G1620" s="42" t="str">
        <f>+IFERROR(VLOOKUP(E1620,'DANH MỤC'!$C:$H,6,0),"")</f>
        <v/>
      </c>
      <c r="H1620" s="42" t="str">
        <f>+IFERROR(VLOOKUP(E1620,'DANH MỤC'!$C:$H,3,0),"")</f>
        <v/>
      </c>
      <c r="I1620" s="42" t="str">
        <f>+IFERROR(VLOOKUP(E1620,'DANH MỤC'!$C:$H,4,0),"")</f>
        <v/>
      </c>
      <c r="J1620" s="42" t="str">
        <f>+IFERROR(VLOOKUP(E1620,'DANH MỤC'!$C:$H,5,0),"")</f>
        <v/>
      </c>
      <c r="K1620" s="53"/>
      <c r="L1620" s="58"/>
      <c r="M1620" s="55"/>
      <c r="N1620" s="55"/>
    </row>
    <row r="1621" ht="15.75" customHeight="1">
      <c r="A1621" s="53">
        <f t="shared" si="7"/>
        <v>1616</v>
      </c>
      <c r="B1621" s="55"/>
      <c r="C1621" s="41"/>
      <c r="D1621" s="42"/>
      <c r="E1621" s="42"/>
      <c r="F1621" s="42" t="str">
        <f>+IFERROR(VLOOKUP(E1621,'DANH MỤC'!$C:$H,2,0),"")</f>
        <v/>
      </c>
      <c r="G1621" s="42" t="str">
        <f>+IFERROR(VLOOKUP(E1621,'DANH MỤC'!$C:$H,6,0),"")</f>
        <v/>
      </c>
      <c r="H1621" s="42" t="str">
        <f>+IFERROR(VLOOKUP(E1621,'DANH MỤC'!$C:$H,3,0),"")</f>
        <v/>
      </c>
      <c r="I1621" s="42" t="str">
        <f>+IFERROR(VLOOKUP(E1621,'DANH MỤC'!$C:$H,4,0),"")</f>
        <v/>
      </c>
      <c r="J1621" s="42" t="str">
        <f>+IFERROR(VLOOKUP(E1621,'DANH MỤC'!$C:$H,5,0),"")</f>
        <v/>
      </c>
      <c r="K1621" s="53"/>
      <c r="L1621" s="58"/>
      <c r="M1621" s="55"/>
      <c r="N1621" s="55"/>
    </row>
    <row r="1622" ht="15.75" customHeight="1">
      <c r="A1622" s="53">
        <f t="shared" si="7"/>
        <v>1617</v>
      </c>
      <c r="B1622" s="55"/>
      <c r="C1622" s="41"/>
      <c r="D1622" s="42"/>
      <c r="E1622" s="42"/>
      <c r="F1622" s="42" t="str">
        <f>+IFERROR(VLOOKUP(E1622,'DANH MỤC'!$C:$H,2,0),"")</f>
        <v/>
      </c>
      <c r="G1622" s="42" t="str">
        <f>+IFERROR(VLOOKUP(E1622,'DANH MỤC'!$C:$H,6,0),"")</f>
        <v/>
      </c>
      <c r="H1622" s="42" t="str">
        <f>+IFERROR(VLOOKUP(E1622,'DANH MỤC'!$C:$H,3,0),"")</f>
        <v/>
      </c>
      <c r="I1622" s="42" t="str">
        <f>+IFERROR(VLOOKUP(E1622,'DANH MỤC'!$C:$H,4,0),"")</f>
        <v/>
      </c>
      <c r="J1622" s="42" t="str">
        <f>+IFERROR(VLOOKUP(E1622,'DANH MỤC'!$C:$H,5,0),"")</f>
        <v/>
      </c>
      <c r="K1622" s="53"/>
      <c r="L1622" s="58"/>
      <c r="M1622" s="55"/>
      <c r="N1622" s="55"/>
    </row>
    <row r="1623" ht="15.75" customHeight="1">
      <c r="A1623" s="53">
        <f t="shared" si="7"/>
        <v>1618</v>
      </c>
      <c r="B1623" s="55"/>
      <c r="C1623" s="41"/>
      <c r="D1623" s="42"/>
      <c r="E1623" s="42"/>
      <c r="F1623" s="42" t="str">
        <f>+IFERROR(VLOOKUP(E1623,'DANH MỤC'!$C:$H,2,0),"")</f>
        <v/>
      </c>
      <c r="G1623" s="42" t="str">
        <f>+IFERROR(VLOOKUP(E1623,'DANH MỤC'!$C:$H,6,0),"")</f>
        <v/>
      </c>
      <c r="H1623" s="42" t="str">
        <f>+IFERROR(VLOOKUP(E1623,'DANH MỤC'!$C:$H,3,0),"")</f>
        <v/>
      </c>
      <c r="I1623" s="42" t="str">
        <f>+IFERROR(VLOOKUP(E1623,'DANH MỤC'!$C:$H,4,0),"")</f>
        <v/>
      </c>
      <c r="J1623" s="42" t="str">
        <f>+IFERROR(VLOOKUP(E1623,'DANH MỤC'!$C:$H,5,0),"")</f>
        <v/>
      </c>
      <c r="K1623" s="53"/>
      <c r="L1623" s="58"/>
      <c r="M1623" s="55"/>
      <c r="N1623" s="55"/>
    </row>
    <row r="1624" ht="15.75" customHeight="1">
      <c r="A1624" s="53">
        <f t="shared" si="7"/>
        <v>1619</v>
      </c>
      <c r="B1624" s="55"/>
      <c r="C1624" s="41"/>
      <c r="D1624" s="42"/>
      <c r="E1624" s="42"/>
      <c r="F1624" s="42" t="str">
        <f>+IFERROR(VLOOKUP(E1624,'DANH MỤC'!$C:$H,2,0),"")</f>
        <v/>
      </c>
      <c r="G1624" s="42" t="str">
        <f>+IFERROR(VLOOKUP(E1624,'DANH MỤC'!$C:$H,6,0),"")</f>
        <v/>
      </c>
      <c r="H1624" s="42" t="str">
        <f>+IFERROR(VLOOKUP(E1624,'DANH MỤC'!$C:$H,3,0),"")</f>
        <v/>
      </c>
      <c r="I1624" s="42" t="str">
        <f>+IFERROR(VLOOKUP(E1624,'DANH MỤC'!$C:$H,4,0),"")</f>
        <v/>
      </c>
      <c r="J1624" s="42" t="str">
        <f>+IFERROR(VLOOKUP(E1624,'DANH MỤC'!$C:$H,5,0),"")</f>
        <v/>
      </c>
      <c r="K1624" s="53"/>
      <c r="L1624" s="58"/>
      <c r="M1624" s="55"/>
      <c r="N1624" s="55"/>
    </row>
    <row r="1625" ht="15.75" customHeight="1">
      <c r="A1625" s="53">
        <f t="shared" si="7"/>
        <v>1620</v>
      </c>
      <c r="B1625" s="55"/>
      <c r="C1625" s="41"/>
      <c r="D1625" s="42"/>
      <c r="E1625" s="42"/>
      <c r="F1625" s="42" t="str">
        <f>+IFERROR(VLOOKUP(E1625,'DANH MỤC'!$C:$H,2,0),"")</f>
        <v/>
      </c>
      <c r="G1625" s="42" t="str">
        <f>+IFERROR(VLOOKUP(E1625,'DANH MỤC'!$C:$H,6,0),"")</f>
        <v/>
      </c>
      <c r="H1625" s="42" t="str">
        <f>+IFERROR(VLOOKUP(E1625,'DANH MỤC'!$C:$H,3,0),"")</f>
        <v/>
      </c>
      <c r="I1625" s="42" t="str">
        <f>+IFERROR(VLOOKUP(E1625,'DANH MỤC'!$C:$H,4,0),"")</f>
        <v/>
      </c>
      <c r="J1625" s="42" t="str">
        <f>+IFERROR(VLOOKUP(E1625,'DANH MỤC'!$C:$H,5,0),"")</f>
        <v/>
      </c>
      <c r="K1625" s="53"/>
      <c r="L1625" s="58"/>
      <c r="M1625" s="55"/>
      <c r="N1625" s="55"/>
    </row>
    <row r="1626" ht="15.75" customHeight="1">
      <c r="A1626" s="53">
        <f t="shared" si="7"/>
        <v>1621</v>
      </c>
      <c r="B1626" s="55"/>
      <c r="C1626" s="41"/>
      <c r="D1626" s="42"/>
      <c r="E1626" s="42"/>
      <c r="F1626" s="42" t="str">
        <f>+IFERROR(VLOOKUP(E1626,'DANH MỤC'!$C:$H,2,0),"")</f>
        <v/>
      </c>
      <c r="G1626" s="42" t="str">
        <f>+IFERROR(VLOOKUP(E1626,'DANH MỤC'!$C:$H,6,0),"")</f>
        <v/>
      </c>
      <c r="H1626" s="42" t="str">
        <f>+IFERROR(VLOOKUP(E1626,'DANH MỤC'!$C:$H,3,0),"")</f>
        <v/>
      </c>
      <c r="I1626" s="42" t="str">
        <f>+IFERROR(VLOOKUP(E1626,'DANH MỤC'!$C:$H,4,0),"")</f>
        <v/>
      </c>
      <c r="J1626" s="42" t="str">
        <f>+IFERROR(VLOOKUP(E1626,'DANH MỤC'!$C:$H,5,0),"")</f>
        <v/>
      </c>
      <c r="K1626" s="53"/>
      <c r="L1626" s="58"/>
      <c r="M1626" s="55"/>
      <c r="N1626" s="55"/>
    </row>
    <row r="1627" ht="15.75" customHeight="1">
      <c r="A1627" s="53">
        <f t="shared" si="7"/>
        <v>1622</v>
      </c>
      <c r="B1627" s="55"/>
      <c r="C1627" s="41"/>
      <c r="D1627" s="42"/>
      <c r="E1627" s="42"/>
      <c r="F1627" s="42" t="str">
        <f>+IFERROR(VLOOKUP(E1627,'DANH MỤC'!$C:$H,2,0),"")</f>
        <v/>
      </c>
      <c r="G1627" s="42" t="str">
        <f>+IFERROR(VLOOKUP(E1627,'DANH MỤC'!$C:$H,6,0),"")</f>
        <v/>
      </c>
      <c r="H1627" s="42" t="str">
        <f>+IFERROR(VLOOKUP(E1627,'DANH MỤC'!$C:$H,3,0),"")</f>
        <v/>
      </c>
      <c r="I1627" s="42" t="str">
        <f>+IFERROR(VLOOKUP(E1627,'DANH MỤC'!$C:$H,4,0),"")</f>
        <v/>
      </c>
      <c r="J1627" s="42" t="str">
        <f>+IFERROR(VLOOKUP(E1627,'DANH MỤC'!$C:$H,5,0),"")</f>
        <v/>
      </c>
      <c r="K1627" s="53"/>
      <c r="L1627" s="58"/>
      <c r="M1627" s="55"/>
      <c r="N1627" s="55"/>
    </row>
    <row r="1628" ht="15.75" customHeight="1">
      <c r="A1628" s="53">
        <f t="shared" si="7"/>
        <v>1623</v>
      </c>
      <c r="B1628" s="55"/>
      <c r="C1628" s="41"/>
      <c r="D1628" s="42"/>
      <c r="E1628" s="42"/>
      <c r="F1628" s="42" t="str">
        <f>+IFERROR(VLOOKUP(E1628,'DANH MỤC'!$C:$H,2,0),"")</f>
        <v/>
      </c>
      <c r="G1628" s="42" t="str">
        <f>+IFERROR(VLOOKUP(E1628,'DANH MỤC'!$C:$H,6,0),"")</f>
        <v/>
      </c>
      <c r="H1628" s="42" t="str">
        <f>+IFERROR(VLOOKUP(E1628,'DANH MỤC'!$C:$H,3,0),"")</f>
        <v/>
      </c>
      <c r="I1628" s="42" t="str">
        <f>+IFERROR(VLOOKUP(E1628,'DANH MỤC'!$C:$H,4,0),"")</f>
        <v/>
      </c>
      <c r="J1628" s="42" t="str">
        <f>+IFERROR(VLOOKUP(E1628,'DANH MỤC'!$C:$H,5,0),"")</f>
        <v/>
      </c>
      <c r="K1628" s="53"/>
      <c r="L1628" s="58"/>
      <c r="M1628" s="55"/>
      <c r="N1628" s="55"/>
    </row>
    <row r="1629" ht="15.75" customHeight="1">
      <c r="A1629" s="53">
        <f t="shared" si="7"/>
        <v>1624</v>
      </c>
      <c r="B1629" s="55"/>
      <c r="C1629" s="41"/>
      <c r="D1629" s="42"/>
      <c r="E1629" s="42"/>
      <c r="F1629" s="42" t="str">
        <f>+IFERROR(VLOOKUP(E1629,'DANH MỤC'!$C:$H,2,0),"")</f>
        <v/>
      </c>
      <c r="G1629" s="42" t="str">
        <f>+IFERROR(VLOOKUP(E1629,'DANH MỤC'!$C:$H,6,0),"")</f>
        <v/>
      </c>
      <c r="H1629" s="42" t="str">
        <f>+IFERROR(VLOOKUP(E1629,'DANH MỤC'!$C:$H,3,0),"")</f>
        <v/>
      </c>
      <c r="I1629" s="42" t="str">
        <f>+IFERROR(VLOOKUP(E1629,'DANH MỤC'!$C:$H,4,0),"")</f>
        <v/>
      </c>
      <c r="J1629" s="42" t="str">
        <f>+IFERROR(VLOOKUP(E1629,'DANH MỤC'!$C:$H,5,0),"")</f>
        <v/>
      </c>
      <c r="K1629" s="53"/>
      <c r="L1629" s="58"/>
      <c r="M1629" s="55"/>
      <c r="N1629" s="55"/>
    </row>
    <row r="1630" ht="15.75" customHeight="1">
      <c r="A1630" s="53">
        <f t="shared" si="7"/>
        <v>1625</v>
      </c>
      <c r="B1630" s="55"/>
      <c r="C1630" s="41"/>
      <c r="D1630" s="42"/>
      <c r="E1630" s="42"/>
      <c r="F1630" s="42" t="str">
        <f>+IFERROR(VLOOKUP(E1630,'DANH MỤC'!$C:$H,2,0),"")</f>
        <v/>
      </c>
      <c r="G1630" s="42" t="str">
        <f>+IFERROR(VLOOKUP(E1630,'DANH MỤC'!$C:$H,6,0),"")</f>
        <v/>
      </c>
      <c r="H1630" s="42" t="str">
        <f>+IFERROR(VLOOKUP(E1630,'DANH MỤC'!$C:$H,3,0),"")</f>
        <v/>
      </c>
      <c r="I1630" s="42" t="str">
        <f>+IFERROR(VLOOKUP(E1630,'DANH MỤC'!$C:$H,4,0),"")</f>
        <v/>
      </c>
      <c r="J1630" s="42" t="str">
        <f>+IFERROR(VLOOKUP(E1630,'DANH MỤC'!$C:$H,5,0),"")</f>
        <v/>
      </c>
      <c r="K1630" s="53"/>
      <c r="L1630" s="58"/>
      <c r="M1630" s="55"/>
      <c r="N1630" s="55"/>
    </row>
    <row r="1631" ht="15.75" customHeight="1">
      <c r="A1631" s="53">
        <f t="shared" si="7"/>
        <v>1626</v>
      </c>
      <c r="B1631" s="55"/>
      <c r="C1631" s="41"/>
      <c r="D1631" s="42"/>
      <c r="E1631" s="42"/>
      <c r="F1631" s="42" t="str">
        <f>+IFERROR(VLOOKUP(E1631,'DANH MỤC'!$C:$H,2,0),"")</f>
        <v/>
      </c>
      <c r="G1631" s="42" t="str">
        <f>+IFERROR(VLOOKUP(E1631,'DANH MỤC'!$C:$H,6,0),"")</f>
        <v/>
      </c>
      <c r="H1631" s="42" t="str">
        <f>+IFERROR(VLOOKUP(E1631,'DANH MỤC'!$C:$H,3,0),"")</f>
        <v/>
      </c>
      <c r="I1631" s="42" t="str">
        <f>+IFERROR(VLOOKUP(E1631,'DANH MỤC'!$C:$H,4,0),"")</f>
        <v/>
      </c>
      <c r="J1631" s="42" t="str">
        <f>+IFERROR(VLOOKUP(E1631,'DANH MỤC'!$C:$H,5,0),"")</f>
        <v/>
      </c>
      <c r="K1631" s="53"/>
      <c r="L1631" s="58"/>
      <c r="M1631" s="55"/>
      <c r="N1631" s="55"/>
    </row>
    <row r="1632" ht="15.75" customHeight="1">
      <c r="A1632" s="53">
        <f t="shared" si="7"/>
        <v>1627</v>
      </c>
      <c r="B1632" s="55"/>
      <c r="C1632" s="41"/>
      <c r="D1632" s="42"/>
      <c r="E1632" s="42"/>
      <c r="F1632" s="42" t="str">
        <f>+IFERROR(VLOOKUP(E1632,'DANH MỤC'!$C:$H,2,0),"")</f>
        <v/>
      </c>
      <c r="G1632" s="42" t="str">
        <f>+IFERROR(VLOOKUP(E1632,'DANH MỤC'!$C:$H,6,0),"")</f>
        <v/>
      </c>
      <c r="H1632" s="42" t="str">
        <f>+IFERROR(VLOOKUP(E1632,'DANH MỤC'!$C:$H,3,0),"")</f>
        <v/>
      </c>
      <c r="I1632" s="42" t="str">
        <f>+IFERROR(VLOOKUP(E1632,'DANH MỤC'!$C:$H,4,0),"")</f>
        <v/>
      </c>
      <c r="J1632" s="42" t="str">
        <f>+IFERROR(VLOOKUP(E1632,'DANH MỤC'!$C:$H,5,0),"")</f>
        <v/>
      </c>
      <c r="K1632" s="53"/>
      <c r="L1632" s="58"/>
      <c r="M1632" s="55"/>
      <c r="N1632" s="55"/>
    </row>
    <row r="1633" ht="15.75" customHeight="1">
      <c r="A1633" s="53">
        <f t="shared" si="7"/>
        <v>1628</v>
      </c>
      <c r="B1633" s="55"/>
      <c r="C1633" s="41"/>
      <c r="D1633" s="42"/>
      <c r="E1633" s="42"/>
      <c r="F1633" s="42" t="str">
        <f>+IFERROR(VLOOKUP(E1633,'DANH MỤC'!$C:$H,2,0),"")</f>
        <v/>
      </c>
      <c r="G1633" s="42" t="str">
        <f>+IFERROR(VLOOKUP(E1633,'DANH MỤC'!$C:$H,6,0),"")</f>
        <v/>
      </c>
      <c r="H1633" s="42" t="str">
        <f>+IFERROR(VLOOKUP(E1633,'DANH MỤC'!$C:$H,3,0),"")</f>
        <v/>
      </c>
      <c r="I1633" s="42" t="str">
        <f>+IFERROR(VLOOKUP(E1633,'DANH MỤC'!$C:$H,4,0),"")</f>
        <v/>
      </c>
      <c r="J1633" s="42" t="str">
        <f>+IFERROR(VLOOKUP(E1633,'DANH MỤC'!$C:$H,5,0),"")</f>
        <v/>
      </c>
      <c r="K1633" s="53"/>
      <c r="L1633" s="58"/>
      <c r="M1633" s="55"/>
      <c r="N1633" s="55"/>
    </row>
    <row r="1634" ht="15.75" customHeight="1">
      <c r="A1634" s="53">
        <f t="shared" si="7"/>
        <v>1629</v>
      </c>
      <c r="B1634" s="55"/>
      <c r="C1634" s="41"/>
      <c r="D1634" s="42"/>
      <c r="E1634" s="42"/>
      <c r="F1634" s="42" t="str">
        <f>+IFERROR(VLOOKUP(E1634,'DANH MỤC'!$C:$H,2,0),"")</f>
        <v/>
      </c>
      <c r="G1634" s="42" t="str">
        <f>+IFERROR(VLOOKUP(E1634,'DANH MỤC'!$C:$H,6,0),"")</f>
        <v/>
      </c>
      <c r="H1634" s="42" t="str">
        <f>+IFERROR(VLOOKUP(E1634,'DANH MỤC'!$C:$H,3,0),"")</f>
        <v/>
      </c>
      <c r="I1634" s="42" t="str">
        <f>+IFERROR(VLOOKUP(E1634,'DANH MỤC'!$C:$H,4,0),"")</f>
        <v/>
      </c>
      <c r="J1634" s="42" t="str">
        <f>+IFERROR(VLOOKUP(E1634,'DANH MỤC'!$C:$H,5,0),"")</f>
        <v/>
      </c>
      <c r="K1634" s="53"/>
      <c r="L1634" s="58"/>
      <c r="M1634" s="55"/>
      <c r="N1634" s="55"/>
    </row>
    <row r="1635" ht="15.75" customHeight="1">
      <c r="A1635" s="53">
        <f t="shared" si="7"/>
        <v>1630</v>
      </c>
      <c r="B1635" s="55"/>
      <c r="C1635" s="41"/>
      <c r="D1635" s="42"/>
      <c r="E1635" s="42"/>
      <c r="F1635" s="42" t="str">
        <f>+IFERROR(VLOOKUP(E1635,'DANH MỤC'!$C:$H,2,0),"")</f>
        <v/>
      </c>
      <c r="G1635" s="42" t="str">
        <f>+IFERROR(VLOOKUP(E1635,'DANH MỤC'!$C:$H,6,0),"")</f>
        <v/>
      </c>
      <c r="H1635" s="42" t="str">
        <f>+IFERROR(VLOOKUP(E1635,'DANH MỤC'!$C:$H,3,0),"")</f>
        <v/>
      </c>
      <c r="I1635" s="42" t="str">
        <f>+IFERROR(VLOOKUP(E1635,'DANH MỤC'!$C:$H,4,0),"")</f>
        <v/>
      </c>
      <c r="J1635" s="42" t="str">
        <f>+IFERROR(VLOOKUP(E1635,'DANH MỤC'!$C:$H,5,0),"")</f>
        <v/>
      </c>
      <c r="K1635" s="53"/>
      <c r="L1635" s="58"/>
      <c r="M1635" s="55"/>
      <c r="N1635" s="55"/>
    </row>
    <row r="1636" ht="15.75" customHeight="1">
      <c r="A1636" s="53">
        <f t="shared" si="7"/>
        <v>1631</v>
      </c>
      <c r="B1636" s="55"/>
      <c r="C1636" s="41"/>
      <c r="D1636" s="42"/>
      <c r="E1636" s="42"/>
      <c r="F1636" s="42" t="str">
        <f>+IFERROR(VLOOKUP(E1636,'DANH MỤC'!$C:$H,2,0),"")</f>
        <v/>
      </c>
      <c r="G1636" s="42" t="str">
        <f>+IFERROR(VLOOKUP(E1636,'DANH MỤC'!$C:$H,6,0),"")</f>
        <v/>
      </c>
      <c r="H1636" s="42" t="str">
        <f>+IFERROR(VLOOKUP(E1636,'DANH MỤC'!$C:$H,3,0),"")</f>
        <v/>
      </c>
      <c r="I1636" s="42" t="str">
        <f>+IFERROR(VLOOKUP(E1636,'DANH MỤC'!$C:$H,4,0),"")</f>
        <v/>
      </c>
      <c r="J1636" s="42" t="str">
        <f>+IFERROR(VLOOKUP(E1636,'DANH MỤC'!$C:$H,5,0),"")</f>
        <v/>
      </c>
      <c r="K1636" s="53"/>
      <c r="L1636" s="58"/>
      <c r="M1636" s="55"/>
      <c r="N1636" s="55"/>
    </row>
    <row r="1637" ht="15.75" customHeight="1">
      <c r="A1637" s="53">
        <f t="shared" si="7"/>
        <v>1632</v>
      </c>
      <c r="B1637" s="55"/>
      <c r="C1637" s="41"/>
      <c r="D1637" s="42"/>
      <c r="E1637" s="42"/>
      <c r="F1637" s="42" t="str">
        <f>+IFERROR(VLOOKUP(E1637,'DANH MỤC'!$C:$H,2,0),"")</f>
        <v/>
      </c>
      <c r="G1637" s="42" t="str">
        <f>+IFERROR(VLOOKUP(E1637,'DANH MỤC'!$C:$H,6,0),"")</f>
        <v/>
      </c>
      <c r="H1637" s="42" t="str">
        <f>+IFERROR(VLOOKUP(E1637,'DANH MỤC'!$C:$H,3,0),"")</f>
        <v/>
      </c>
      <c r="I1637" s="42" t="str">
        <f>+IFERROR(VLOOKUP(E1637,'DANH MỤC'!$C:$H,4,0),"")</f>
        <v/>
      </c>
      <c r="J1637" s="42" t="str">
        <f>+IFERROR(VLOOKUP(E1637,'DANH MỤC'!$C:$H,5,0),"")</f>
        <v/>
      </c>
      <c r="K1637" s="53"/>
      <c r="L1637" s="58"/>
      <c r="M1637" s="55"/>
      <c r="N1637" s="55"/>
    </row>
    <row r="1638" ht="15.75" customHeight="1">
      <c r="A1638" s="53">
        <f t="shared" si="7"/>
        <v>1633</v>
      </c>
      <c r="B1638" s="55"/>
      <c r="C1638" s="41"/>
      <c r="D1638" s="42"/>
      <c r="E1638" s="42"/>
      <c r="F1638" s="42" t="str">
        <f>+IFERROR(VLOOKUP(E1638,'DANH MỤC'!$C:$H,2,0),"")</f>
        <v/>
      </c>
      <c r="G1638" s="42" t="str">
        <f>+IFERROR(VLOOKUP(E1638,'DANH MỤC'!$C:$H,6,0),"")</f>
        <v/>
      </c>
      <c r="H1638" s="42" t="str">
        <f>+IFERROR(VLOOKUP(E1638,'DANH MỤC'!$C:$H,3,0),"")</f>
        <v/>
      </c>
      <c r="I1638" s="42" t="str">
        <f>+IFERROR(VLOOKUP(E1638,'DANH MỤC'!$C:$H,4,0),"")</f>
        <v/>
      </c>
      <c r="J1638" s="42" t="str">
        <f>+IFERROR(VLOOKUP(E1638,'DANH MỤC'!$C:$H,5,0),"")</f>
        <v/>
      </c>
      <c r="K1638" s="53"/>
      <c r="L1638" s="58"/>
      <c r="M1638" s="55"/>
      <c r="N1638" s="55"/>
    </row>
    <row r="1639" ht="15.75" customHeight="1">
      <c r="A1639" s="53">
        <f t="shared" si="7"/>
        <v>1634</v>
      </c>
      <c r="B1639" s="55"/>
      <c r="C1639" s="41"/>
      <c r="D1639" s="42"/>
      <c r="E1639" s="42"/>
      <c r="F1639" s="42" t="str">
        <f>+IFERROR(VLOOKUP(E1639,'DANH MỤC'!$C:$H,2,0),"")</f>
        <v/>
      </c>
      <c r="G1639" s="42" t="str">
        <f>+IFERROR(VLOOKUP(E1639,'DANH MỤC'!$C:$H,6,0),"")</f>
        <v/>
      </c>
      <c r="H1639" s="42" t="str">
        <f>+IFERROR(VLOOKUP(E1639,'DANH MỤC'!$C:$H,3,0),"")</f>
        <v/>
      </c>
      <c r="I1639" s="42" t="str">
        <f>+IFERROR(VLOOKUP(E1639,'DANH MỤC'!$C:$H,4,0),"")</f>
        <v/>
      </c>
      <c r="J1639" s="42" t="str">
        <f>+IFERROR(VLOOKUP(E1639,'DANH MỤC'!$C:$H,5,0),"")</f>
        <v/>
      </c>
      <c r="K1639" s="53"/>
      <c r="L1639" s="58"/>
      <c r="M1639" s="55"/>
      <c r="N1639" s="55"/>
    </row>
    <row r="1640" ht="15.75" customHeight="1">
      <c r="A1640" s="53">
        <f t="shared" si="7"/>
        <v>1635</v>
      </c>
      <c r="B1640" s="55"/>
      <c r="C1640" s="41"/>
      <c r="D1640" s="42"/>
      <c r="E1640" s="42"/>
      <c r="F1640" s="42" t="str">
        <f>+IFERROR(VLOOKUP(E1640,'DANH MỤC'!$C:$H,2,0),"")</f>
        <v/>
      </c>
      <c r="G1640" s="42" t="str">
        <f>+IFERROR(VLOOKUP(E1640,'DANH MỤC'!$C:$H,6,0),"")</f>
        <v/>
      </c>
      <c r="H1640" s="42" t="str">
        <f>+IFERROR(VLOOKUP(E1640,'DANH MỤC'!$C:$H,3,0),"")</f>
        <v/>
      </c>
      <c r="I1640" s="42" t="str">
        <f>+IFERROR(VLOOKUP(E1640,'DANH MỤC'!$C:$H,4,0),"")</f>
        <v/>
      </c>
      <c r="J1640" s="42" t="str">
        <f>+IFERROR(VLOOKUP(E1640,'DANH MỤC'!$C:$H,5,0),"")</f>
        <v/>
      </c>
      <c r="K1640" s="53"/>
      <c r="L1640" s="58"/>
      <c r="M1640" s="55"/>
      <c r="N1640" s="55"/>
    </row>
    <row r="1641" ht="15.75" customHeight="1">
      <c r="A1641" s="53">
        <f t="shared" si="7"/>
        <v>1636</v>
      </c>
      <c r="B1641" s="55"/>
      <c r="C1641" s="41"/>
      <c r="D1641" s="42"/>
      <c r="E1641" s="42"/>
      <c r="F1641" s="42" t="str">
        <f>+IFERROR(VLOOKUP(E1641,'DANH MỤC'!$C:$H,2,0),"")</f>
        <v/>
      </c>
      <c r="G1641" s="42" t="str">
        <f>+IFERROR(VLOOKUP(E1641,'DANH MỤC'!$C:$H,6,0),"")</f>
        <v/>
      </c>
      <c r="H1641" s="42" t="str">
        <f>+IFERROR(VLOOKUP(E1641,'DANH MỤC'!$C:$H,3,0),"")</f>
        <v/>
      </c>
      <c r="I1641" s="42" t="str">
        <f>+IFERROR(VLOOKUP(E1641,'DANH MỤC'!$C:$H,4,0),"")</f>
        <v/>
      </c>
      <c r="J1641" s="42" t="str">
        <f>+IFERROR(VLOOKUP(E1641,'DANH MỤC'!$C:$H,5,0),"")</f>
        <v/>
      </c>
      <c r="K1641" s="53"/>
      <c r="L1641" s="58"/>
      <c r="M1641" s="55"/>
      <c r="N1641" s="55"/>
    </row>
    <row r="1642" ht="15.75" customHeight="1">
      <c r="A1642" s="53">
        <f t="shared" si="7"/>
        <v>1637</v>
      </c>
      <c r="B1642" s="55"/>
      <c r="C1642" s="41"/>
      <c r="D1642" s="42"/>
      <c r="E1642" s="42"/>
      <c r="F1642" s="42" t="str">
        <f>+IFERROR(VLOOKUP(E1642,'DANH MỤC'!$C:$H,2,0),"")</f>
        <v/>
      </c>
      <c r="G1642" s="42" t="str">
        <f>+IFERROR(VLOOKUP(E1642,'DANH MỤC'!$C:$H,6,0),"")</f>
        <v/>
      </c>
      <c r="H1642" s="42" t="str">
        <f>+IFERROR(VLOOKUP(E1642,'DANH MỤC'!$C:$H,3,0),"")</f>
        <v/>
      </c>
      <c r="I1642" s="42" t="str">
        <f>+IFERROR(VLOOKUP(E1642,'DANH MỤC'!$C:$H,4,0),"")</f>
        <v/>
      </c>
      <c r="J1642" s="42" t="str">
        <f>+IFERROR(VLOOKUP(E1642,'DANH MỤC'!$C:$H,5,0),"")</f>
        <v/>
      </c>
      <c r="K1642" s="53"/>
      <c r="L1642" s="58"/>
      <c r="M1642" s="55"/>
      <c r="N1642" s="55"/>
    </row>
    <row r="1643" ht="15.75" customHeight="1">
      <c r="A1643" s="53">
        <f t="shared" si="7"/>
        <v>1638</v>
      </c>
      <c r="B1643" s="55"/>
      <c r="C1643" s="41"/>
      <c r="D1643" s="42"/>
      <c r="E1643" s="42"/>
      <c r="F1643" s="42" t="str">
        <f>+IFERROR(VLOOKUP(E1643,'DANH MỤC'!$C:$H,2,0),"")</f>
        <v/>
      </c>
      <c r="G1643" s="42" t="str">
        <f>+IFERROR(VLOOKUP(E1643,'DANH MỤC'!$C:$H,6,0),"")</f>
        <v/>
      </c>
      <c r="H1643" s="42" t="str">
        <f>+IFERROR(VLOOKUP(E1643,'DANH MỤC'!$C:$H,3,0),"")</f>
        <v/>
      </c>
      <c r="I1643" s="42" t="str">
        <f>+IFERROR(VLOOKUP(E1643,'DANH MỤC'!$C:$H,4,0),"")</f>
        <v/>
      </c>
      <c r="J1643" s="42" t="str">
        <f>+IFERROR(VLOOKUP(E1643,'DANH MỤC'!$C:$H,5,0),"")</f>
        <v/>
      </c>
      <c r="K1643" s="53"/>
      <c r="L1643" s="58"/>
      <c r="M1643" s="55"/>
      <c r="N1643" s="55"/>
    </row>
    <row r="1644" ht="15.75" customHeight="1">
      <c r="A1644" s="53">
        <f t="shared" si="7"/>
        <v>1639</v>
      </c>
      <c r="B1644" s="55"/>
      <c r="C1644" s="41"/>
      <c r="D1644" s="42"/>
      <c r="E1644" s="42"/>
      <c r="F1644" s="42" t="str">
        <f>+IFERROR(VLOOKUP(E1644,'DANH MỤC'!$C:$H,2,0),"")</f>
        <v/>
      </c>
      <c r="G1644" s="42" t="str">
        <f>+IFERROR(VLOOKUP(E1644,'DANH MỤC'!$C:$H,6,0),"")</f>
        <v/>
      </c>
      <c r="H1644" s="42" t="str">
        <f>+IFERROR(VLOOKUP(E1644,'DANH MỤC'!$C:$H,3,0),"")</f>
        <v/>
      </c>
      <c r="I1644" s="42" t="str">
        <f>+IFERROR(VLOOKUP(E1644,'DANH MỤC'!$C:$H,4,0),"")</f>
        <v/>
      </c>
      <c r="J1644" s="42" t="str">
        <f>+IFERROR(VLOOKUP(E1644,'DANH MỤC'!$C:$H,5,0),"")</f>
        <v/>
      </c>
      <c r="K1644" s="53"/>
      <c r="L1644" s="58"/>
      <c r="M1644" s="55"/>
      <c r="N1644" s="55"/>
    </row>
    <row r="1645" ht="15.75" customHeight="1">
      <c r="A1645" s="53">
        <f t="shared" si="7"/>
        <v>1640</v>
      </c>
      <c r="B1645" s="55"/>
      <c r="C1645" s="41"/>
      <c r="D1645" s="42"/>
      <c r="E1645" s="42"/>
      <c r="F1645" s="42" t="str">
        <f>+IFERROR(VLOOKUP(E1645,'DANH MỤC'!$C:$H,2,0),"")</f>
        <v/>
      </c>
      <c r="G1645" s="42" t="str">
        <f>+IFERROR(VLOOKUP(E1645,'DANH MỤC'!$C:$H,6,0),"")</f>
        <v/>
      </c>
      <c r="H1645" s="42" t="str">
        <f>+IFERROR(VLOOKUP(E1645,'DANH MỤC'!$C:$H,3,0),"")</f>
        <v/>
      </c>
      <c r="I1645" s="42" t="str">
        <f>+IFERROR(VLOOKUP(E1645,'DANH MỤC'!$C:$H,4,0),"")</f>
        <v/>
      </c>
      <c r="J1645" s="42" t="str">
        <f>+IFERROR(VLOOKUP(E1645,'DANH MỤC'!$C:$H,5,0),"")</f>
        <v/>
      </c>
      <c r="K1645" s="53"/>
      <c r="L1645" s="58"/>
      <c r="M1645" s="55"/>
      <c r="N1645" s="55"/>
    </row>
    <row r="1646" ht="15.75" customHeight="1">
      <c r="A1646" s="53">
        <f t="shared" si="7"/>
        <v>1641</v>
      </c>
      <c r="B1646" s="55"/>
      <c r="C1646" s="41"/>
      <c r="D1646" s="42"/>
      <c r="E1646" s="42"/>
      <c r="F1646" s="42" t="str">
        <f>+IFERROR(VLOOKUP(E1646,'DANH MỤC'!$C:$H,2,0),"")</f>
        <v/>
      </c>
      <c r="G1646" s="42" t="str">
        <f>+IFERROR(VLOOKUP(E1646,'DANH MỤC'!$C:$H,6,0),"")</f>
        <v/>
      </c>
      <c r="H1646" s="42" t="str">
        <f>+IFERROR(VLOOKUP(E1646,'DANH MỤC'!$C:$H,3,0),"")</f>
        <v/>
      </c>
      <c r="I1646" s="42" t="str">
        <f>+IFERROR(VLOOKUP(E1646,'DANH MỤC'!$C:$H,4,0),"")</f>
        <v/>
      </c>
      <c r="J1646" s="42" t="str">
        <f>+IFERROR(VLOOKUP(E1646,'DANH MỤC'!$C:$H,5,0),"")</f>
        <v/>
      </c>
      <c r="K1646" s="53"/>
      <c r="L1646" s="58"/>
      <c r="M1646" s="55"/>
      <c r="N1646" s="55"/>
    </row>
    <row r="1647" ht="15.75" customHeight="1">
      <c r="A1647" s="53">
        <f t="shared" si="7"/>
        <v>1642</v>
      </c>
      <c r="B1647" s="55"/>
      <c r="C1647" s="41"/>
      <c r="D1647" s="42"/>
      <c r="E1647" s="42"/>
      <c r="F1647" s="42" t="str">
        <f>+IFERROR(VLOOKUP(E1647,'DANH MỤC'!$C:$H,2,0),"")</f>
        <v/>
      </c>
      <c r="G1647" s="42" t="str">
        <f>+IFERROR(VLOOKUP(E1647,'DANH MỤC'!$C:$H,6,0),"")</f>
        <v/>
      </c>
      <c r="H1647" s="42" t="str">
        <f>+IFERROR(VLOOKUP(E1647,'DANH MỤC'!$C:$H,3,0),"")</f>
        <v/>
      </c>
      <c r="I1647" s="42" t="str">
        <f>+IFERROR(VLOOKUP(E1647,'DANH MỤC'!$C:$H,4,0),"")</f>
        <v/>
      </c>
      <c r="J1647" s="42" t="str">
        <f>+IFERROR(VLOOKUP(E1647,'DANH MỤC'!$C:$H,5,0),"")</f>
        <v/>
      </c>
      <c r="K1647" s="53"/>
      <c r="L1647" s="58"/>
      <c r="M1647" s="55"/>
      <c r="N1647" s="55"/>
    </row>
    <row r="1648" ht="15.75" customHeight="1">
      <c r="A1648" s="53">
        <f t="shared" si="7"/>
        <v>1643</v>
      </c>
      <c r="B1648" s="55"/>
      <c r="C1648" s="41"/>
      <c r="D1648" s="42"/>
      <c r="E1648" s="42"/>
      <c r="F1648" s="42" t="str">
        <f>+IFERROR(VLOOKUP(E1648,'DANH MỤC'!$C:$H,2,0),"")</f>
        <v/>
      </c>
      <c r="G1648" s="42" t="str">
        <f>+IFERROR(VLOOKUP(E1648,'DANH MỤC'!$C:$H,6,0),"")</f>
        <v/>
      </c>
      <c r="H1648" s="42" t="str">
        <f>+IFERROR(VLOOKUP(E1648,'DANH MỤC'!$C:$H,3,0),"")</f>
        <v/>
      </c>
      <c r="I1648" s="42" t="str">
        <f>+IFERROR(VLOOKUP(E1648,'DANH MỤC'!$C:$H,4,0),"")</f>
        <v/>
      </c>
      <c r="J1648" s="42" t="str">
        <f>+IFERROR(VLOOKUP(E1648,'DANH MỤC'!$C:$H,5,0),"")</f>
        <v/>
      </c>
      <c r="K1648" s="53"/>
      <c r="L1648" s="58"/>
      <c r="M1648" s="55"/>
      <c r="N1648" s="55"/>
    </row>
    <row r="1649" ht="15.75" customHeight="1">
      <c r="A1649" s="53">
        <f t="shared" si="7"/>
        <v>1644</v>
      </c>
      <c r="B1649" s="55"/>
      <c r="C1649" s="41"/>
      <c r="D1649" s="42"/>
      <c r="E1649" s="42"/>
      <c r="F1649" s="42" t="str">
        <f>+IFERROR(VLOOKUP(E1649,'DANH MỤC'!$C:$H,2,0),"")</f>
        <v/>
      </c>
      <c r="G1649" s="42" t="str">
        <f>+IFERROR(VLOOKUP(E1649,'DANH MỤC'!$C:$H,6,0),"")</f>
        <v/>
      </c>
      <c r="H1649" s="42" t="str">
        <f>+IFERROR(VLOOKUP(E1649,'DANH MỤC'!$C:$H,3,0),"")</f>
        <v/>
      </c>
      <c r="I1649" s="42" t="str">
        <f>+IFERROR(VLOOKUP(E1649,'DANH MỤC'!$C:$H,4,0),"")</f>
        <v/>
      </c>
      <c r="J1649" s="42" t="str">
        <f>+IFERROR(VLOOKUP(E1649,'DANH MỤC'!$C:$H,5,0),"")</f>
        <v/>
      </c>
      <c r="K1649" s="53"/>
      <c r="L1649" s="58"/>
      <c r="M1649" s="55"/>
      <c r="N1649" s="55"/>
    </row>
    <row r="1650" ht="15.75" customHeight="1">
      <c r="A1650" s="53">
        <f t="shared" si="7"/>
        <v>1645</v>
      </c>
      <c r="B1650" s="55"/>
      <c r="C1650" s="41"/>
      <c r="D1650" s="42"/>
      <c r="E1650" s="42"/>
      <c r="F1650" s="42" t="str">
        <f>+IFERROR(VLOOKUP(E1650,'DANH MỤC'!$C:$H,2,0),"")</f>
        <v/>
      </c>
      <c r="G1650" s="42" t="str">
        <f>+IFERROR(VLOOKUP(E1650,'DANH MỤC'!$C:$H,6,0),"")</f>
        <v/>
      </c>
      <c r="H1650" s="42" t="str">
        <f>+IFERROR(VLOOKUP(E1650,'DANH MỤC'!$C:$H,3,0),"")</f>
        <v/>
      </c>
      <c r="I1650" s="42" t="str">
        <f>+IFERROR(VLOOKUP(E1650,'DANH MỤC'!$C:$H,4,0),"")</f>
        <v/>
      </c>
      <c r="J1650" s="42" t="str">
        <f>+IFERROR(VLOOKUP(E1650,'DANH MỤC'!$C:$H,5,0),"")</f>
        <v/>
      </c>
      <c r="K1650" s="53"/>
      <c r="L1650" s="58"/>
      <c r="M1650" s="55"/>
      <c r="N1650" s="55"/>
    </row>
    <row r="1651" ht="15.75" customHeight="1">
      <c r="A1651" s="53">
        <f t="shared" si="7"/>
        <v>1646</v>
      </c>
      <c r="B1651" s="55"/>
      <c r="C1651" s="41"/>
      <c r="D1651" s="42"/>
      <c r="E1651" s="42"/>
      <c r="F1651" s="42" t="str">
        <f>+IFERROR(VLOOKUP(E1651,'DANH MỤC'!$C:$H,2,0),"")</f>
        <v/>
      </c>
      <c r="G1651" s="42" t="str">
        <f>+IFERROR(VLOOKUP(E1651,'DANH MỤC'!$C:$H,6,0),"")</f>
        <v/>
      </c>
      <c r="H1651" s="42" t="str">
        <f>+IFERROR(VLOOKUP(E1651,'DANH MỤC'!$C:$H,3,0),"")</f>
        <v/>
      </c>
      <c r="I1651" s="42" t="str">
        <f>+IFERROR(VLOOKUP(E1651,'DANH MỤC'!$C:$H,4,0),"")</f>
        <v/>
      </c>
      <c r="J1651" s="42" t="str">
        <f>+IFERROR(VLOOKUP(E1651,'DANH MỤC'!$C:$H,5,0),"")</f>
        <v/>
      </c>
      <c r="K1651" s="53"/>
      <c r="L1651" s="58"/>
      <c r="M1651" s="55"/>
      <c r="N1651" s="55"/>
    </row>
    <row r="1652" ht="15.75" customHeight="1">
      <c r="A1652" s="53">
        <f t="shared" si="7"/>
        <v>1647</v>
      </c>
      <c r="B1652" s="55"/>
      <c r="C1652" s="41"/>
      <c r="D1652" s="42"/>
      <c r="E1652" s="42"/>
      <c r="F1652" s="42" t="str">
        <f>+IFERROR(VLOOKUP(E1652,'DANH MỤC'!$C:$H,2,0),"")</f>
        <v/>
      </c>
      <c r="G1652" s="42" t="str">
        <f>+IFERROR(VLOOKUP(E1652,'DANH MỤC'!$C:$H,6,0),"")</f>
        <v/>
      </c>
      <c r="H1652" s="42" t="str">
        <f>+IFERROR(VLOOKUP(E1652,'DANH MỤC'!$C:$H,3,0),"")</f>
        <v/>
      </c>
      <c r="I1652" s="42" t="str">
        <f>+IFERROR(VLOOKUP(E1652,'DANH MỤC'!$C:$H,4,0),"")</f>
        <v/>
      </c>
      <c r="J1652" s="42" t="str">
        <f>+IFERROR(VLOOKUP(E1652,'DANH MỤC'!$C:$H,5,0),"")</f>
        <v/>
      </c>
      <c r="K1652" s="53"/>
      <c r="L1652" s="58"/>
      <c r="M1652" s="55"/>
      <c r="N1652" s="55"/>
    </row>
    <row r="1653" ht="15.75" customHeight="1">
      <c r="A1653" s="53">
        <f t="shared" si="7"/>
        <v>1648</v>
      </c>
      <c r="B1653" s="55"/>
      <c r="C1653" s="41"/>
      <c r="D1653" s="42"/>
      <c r="E1653" s="42"/>
      <c r="F1653" s="42" t="str">
        <f>+IFERROR(VLOOKUP(E1653,'DANH MỤC'!$C:$H,2,0),"")</f>
        <v/>
      </c>
      <c r="G1653" s="42" t="str">
        <f>+IFERROR(VLOOKUP(E1653,'DANH MỤC'!$C:$H,6,0),"")</f>
        <v/>
      </c>
      <c r="H1653" s="42" t="str">
        <f>+IFERROR(VLOOKUP(E1653,'DANH MỤC'!$C:$H,3,0),"")</f>
        <v/>
      </c>
      <c r="I1653" s="42" t="str">
        <f>+IFERROR(VLOOKUP(E1653,'DANH MỤC'!$C:$H,4,0),"")</f>
        <v/>
      </c>
      <c r="J1653" s="42" t="str">
        <f>+IFERROR(VLOOKUP(E1653,'DANH MỤC'!$C:$H,5,0),"")</f>
        <v/>
      </c>
      <c r="K1653" s="53"/>
      <c r="L1653" s="58"/>
      <c r="M1653" s="55"/>
      <c r="N1653" s="55"/>
    </row>
    <row r="1654" ht="15.75" customHeight="1">
      <c r="A1654" s="53">
        <f t="shared" si="7"/>
        <v>1649</v>
      </c>
      <c r="B1654" s="55"/>
      <c r="C1654" s="41"/>
      <c r="D1654" s="42"/>
      <c r="E1654" s="42"/>
      <c r="F1654" s="42" t="str">
        <f>+IFERROR(VLOOKUP(E1654,'DANH MỤC'!$C:$H,2,0),"")</f>
        <v/>
      </c>
      <c r="G1654" s="42" t="str">
        <f>+IFERROR(VLOOKUP(E1654,'DANH MỤC'!$C:$H,6,0),"")</f>
        <v/>
      </c>
      <c r="H1654" s="42" t="str">
        <f>+IFERROR(VLOOKUP(E1654,'DANH MỤC'!$C:$H,3,0),"")</f>
        <v/>
      </c>
      <c r="I1654" s="42" t="str">
        <f>+IFERROR(VLOOKUP(E1654,'DANH MỤC'!$C:$H,4,0),"")</f>
        <v/>
      </c>
      <c r="J1654" s="42" t="str">
        <f>+IFERROR(VLOOKUP(E1654,'DANH MỤC'!$C:$H,5,0),"")</f>
        <v/>
      </c>
      <c r="K1654" s="53"/>
      <c r="L1654" s="58"/>
      <c r="M1654" s="55"/>
      <c r="N1654" s="55"/>
    </row>
    <row r="1655" ht="15.75" customHeight="1">
      <c r="A1655" s="53">
        <f t="shared" si="7"/>
        <v>1650</v>
      </c>
      <c r="B1655" s="55"/>
      <c r="C1655" s="41"/>
      <c r="D1655" s="42"/>
      <c r="E1655" s="42"/>
      <c r="F1655" s="42" t="str">
        <f>+IFERROR(VLOOKUP(E1655,'DANH MỤC'!$C:$H,2,0),"")</f>
        <v/>
      </c>
      <c r="G1655" s="42" t="str">
        <f>+IFERROR(VLOOKUP(E1655,'DANH MỤC'!$C:$H,6,0),"")</f>
        <v/>
      </c>
      <c r="H1655" s="42" t="str">
        <f>+IFERROR(VLOOKUP(E1655,'DANH MỤC'!$C:$H,3,0),"")</f>
        <v/>
      </c>
      <c r="I1655" s="42" t="str">
        <f>+IFERROR(VLOOKUP(E1655,'DANH MỤC'!$C:$H,4,0),"")</f>
        <v/>
      </c>
      <c r="J1655" s="42" t="str">
        <f>+IFERROR(VLOOKUP(E1655,'DANH MỤC'!$C:$H,5,0),"")</f>
        <v/>
      </c>
      <c r="K1655" s="53"/>
      <c r="L1655" s="58"/>
      <c r="M1655" s="55"/>
      <c r="N1655" s="55"/>
    </row>
    <row r="1656" ht="15.75" customHeight="1">
      <c r="A1656" s="53">
        <f t="shared" si="7"/>
        <v>1651</v>
      </c>
      <c r="B1656" s="55"/>
      <c r="C1656" s="41"/>
      <c r="D1656" s="42"/>
      <c r="E1656" s="42"/>
      <c r="F1656" s="42" t="str">
        <f>+IFERROR(VLOOKUP(E1656,'DANH MỤC'!$C:$H,2,0),"")</f>
        <v/>
      </c>
      <c r="G1656" s="42" t="str">
        <f>+IFERROR(VLOOKUP(E1656,'DANH MỤC'!$C:$H,6,0),"")</f>
        <v/>
      </c>
      <c r="H1656" s="42" t="str">
        <f>+IFERROR(VLOOKUP(E1656,'DANH MỤC'!$C:$H,3,0),"")</f>
        <v/>
      </c>
      <c r="I1656" s="42" t="str">
        <f>+IFERROR(VLOOKUP(E1656,'DANH MỤC'!$C:$H,4,0),"")</f>
        <v/>
      </c>
      <c r="J1656" s="42" t="str">
        <f>+IFERROR(VLOOKUP(E1656,'DANH MỤC'!$C:$H,5,0),"")</f>
        <v/>
      </c>
      <c r="K1656" s="53"/>
      <c r="L1656" s="58"/>
      <c r="M1656" s="55"/>
      <c r="N1656" s="55"/>
    </row>
    <row r="1657" ht="15.75" customHeight="1">
      <c r="A1657" s="53">
        <f t="shared" si="7"/>
        <v>1652</v>
      </c>
      <c r="B1657" s="55"/>
      <c r="C1657" s="41"/>
      <c r="D1657" s="42"/>
      <c r="E1657" s="42"/>
      <c r="F1657" s="42" t="str">
        <f>+IFERROR(VLOOKUP(E1657,'DANH MỤC'!$C:$H,2,0),"")</f>
        <v/>
      </c>
      <c r="G1657" s="42" t="str">
        <f>+IFERROR(VLOOKUP(E1657,'DANH MỤC'!$C:$H,6,0),"")</f>
        <v/>
      </c>
      <c r="H1657" s="42" t="str">
        <f>+IFERROR(VLOOKUP(E1657,'DANH MỤC'!$C:$H,3,0),"")</f>
        <v/>
      </c>
      <c r="I1657" s="42" t="str">
        <f>+IFERROR(VLOOKUP(E1657,'DANH MỤC'!$C:$H,4,0),"")</f>
        <v/>
      </c>
      <c r="J1657" s="42" t="str">
        <f>+IFERROR(VLOOKUP(E1657,'DANH MỤC'!$C:$H,5,0),"")</f>
        <v/>
      </c>
      <c r="K1657" s="53"/>
      <c r="L1657" s="58"/>
      <c r="M1657" s="55"/>
      <c r="N1657" s="55"/>
    </row>
    <row r="1658" ht="15.75" customHeight="1">
      <c r="A1658" s="53">
        <f t="shared" si="7"/>
        <v>1653</v>
      </c>
      <c r="B1658" s="55"/>
      <c r="C1658" s="41"/>
      <c r="D1658" s="42"/>
      <c r="E1658" s="42"/>
      <c r="F1658" s="42" t="str">
        <f>+IFERROR(VLOOKUP(E1658,'DANH MỤC'!$C:$H,2,0),"")</f>
        <v/>
      </c>
      <c r="G1658" s="42" t="str">
        <f>+IFERROR(VLOOKUP(E1658,'DANH MỤC'!$C:$H,6,0),"")</f>
        <v/>
      </c>
      <c r="H1658" s="42" t="str">
        <f>+IFERROR(VLOOKUP(E1658,'DANH MỤC'!$C:$H,3,0),"")</f>
        <v/>
      </c>
      <c r="I1658" s="42" t="str">
        <f>+IFERROR(VLOOKUP(E1658,'DANH MỤC'!$C:$H,4,0),"")</f>
        <v/>
      </c>
      <c r="J1658" s="42" t="str">
        <f>+IFERROR(VLOOKUP(E1658,'DANH MỤC'!$C:$H,5,0),"")</f>
        <v/>
      </c>
      <c r="K1658" s="53"/>
      <c r="L1658" s="58"/>
      <c r="M1658" s="55"/>
      <c r="N1658" s="55"/>
    </row>
    <row r="1659" ht="15.75" customHeight="1">
      <c r="A1659" s="53">
        <f t="shared" si="7"/>
        <v>1654</v>
      </c>
      <c r="B1659" s="55"/>
      <c r="C1659" s="41"/>
      <c r="D1659" s="42"/>
      <c r="E1659" s="42"/>
      <c r="F1659" s="42" t="str">
        <f>+IFERROR(VLOOKUP(E1659,'DANH MỤC'!$C:$H,2,0),"")</f>
        <v/>
      </c>
      <c r="G1659" s="42" t="str">
        <f>+IFERROR(VLOOKUP(E1659,'DANH MỤC'!$C:$H,6,0),"")</f>
        <v/>
      </c>
      <c r="H1659" s="42" t="str">
        <f>+IFERROR(VLOOKUP(E1659,'DANH MỤC'!$C:$H,3,0),"")</f>
        <v/>
      </c>
      <c r="I1659" s="42" t="str">
        <f>+IFERROR(VLOOKUP(E1659,'DANH MỤC'!$C:$H,4,0),"")</f>
        <v/>
      </c>
      <c r="J1659" s="42" t="str">
        <f>+IFERROR(VLOOKUP(E1659,'DANH MỤC'!$C:$H,5,0),"")</f>
        <v/>
      </c>
      <c r="K1659" s="53"/>
      <c r="L1659" s="58"/>
      <c r="M1659" s="55"/>
      <c r="N1659" s="55"/>
    </row>
    <row r="1660" ht="15.75" customHeight="1">
      <c r="A1660" s="53">
        <f t="shared" si="7"/>
        <v>1655</v>
      </c>
      <c r="B1660" s="55"/>
      <c r="C1660" s="41"/>
      <c r="D1660" s="42"/>
      <c r="E1660" s="42"/>
      <c r="F1660" s="42" t="str">
        <f>+IFERROR(VLOOKUP(E1660,'DANH MỤC'!$C:$H,2,0),"")</f>
        <v/>
      </c>
      <c r="G1660" s="42" t="str">
        <f>+IFERROR(VLOOKUP(E1660,'DANH MỤC'!$C:$H,6,0),"")</f>
        <v/>
      </c>
      <c r="H1660" s="42" t="str">
        <f>+IFERROR(VLOOKUP(E1660,'DANH MỤC'!$C:$H,3,0),"")</f>
        <v/>
      </c>
      <c r="I1660" s="42" t="str">
        <f>+IFERROR(VLOOKUP(E1660,'DANH MỤC'!$C:$H,4,0),"")</f>
        <v/>
      </c>
      <c r="J1660" s="42" t="str">
        <f>+IFERROR(VLOOKUP(E1660,'DANH MỤC'!$C:$H,5,0),"")</f>
        <v/>
      </c>
      <c r="K1660" s="53"/>
      <c r="L1660" s="58"/>
      <c r="M1660" s="55"/>
      <c r="N1660" s="55"/>
    </row>
    <row r="1661" ht="15.75" customHeight="1">
      <c r="A1661" s="53">
        <f t="shared" si="7"/>
        <v>1656</v>
      </c>
      <c r="B1661" s="55"/>
      <c r="C1661" s="41"/>
      <c r="D1661" s="42"/>
      <c r="E1661" s="42"/>
      <c r="F1661" s="42" t="str">
        <f>+IFERROR(VLOOKUP(E1661,'DANH MỤC'!$C:$H,2,0),"")</f>
        <v/>
      </c>
      <c r="G1661" s="42" t="str">
        <f>+IFERROR(VLOOKUP(E1661,'DANH MỤC'!$C:$H,6,0),"")</f>
        <v/>
      </c>
      <c r="H1661" s="42" t="str">
        <f>+IFERROR(VLOOKUP(E1661,'DANH MỤC'!$C:$H,3,0),"")</f>
        <v/>
      </c>
      <c r="I1661" s="42" t="str">
        <f>+IFERROR(VLOOKUP(E1661,'DANH MỤC'!$C:$H,4,0),"")</f>
        <v/>
      </c>
      <c r="J1661" s="42" t="str">
        <f>+IFERROR(VLOOKUP(E1661,'DANH MỤC'!$C:$H,5,0),"")</f>
        <v/>
      </c>
      <c r="K1661" s="53"/>
      <c r="L1661" s="58"/>
      <c r="M1661" s="55"/>
      <c r="N1661" s="55"/>
    </row>
    <row r="1662" ht="15.75" customHeight="1">
      <c r="A1662" s="53">
        <f t="shared" si="7"/>
        <v>1657</v>
      </c>
      <c r="B1662" s="55"/>
      <c r="C1662" s="41"/>
      <c r="D1662" s="42"/>
      <c r="E1662" s="42"/>
      <c r="F1662" s="42" t="str">
        <f>+IFERROR(VLOOKUP(E1662,'DANH MỤC'!$C:$H,2,0),"")</f>
        <v/>
      </c>
      <c r="G1662" s="42" t="str">
        <f>+IFERROR(VLOOKUP(E1662,'DANH MỤC'!$C:$H,6,0),"")</f>
        <v/>
      </c>
      <c r="H1662" s="42" t="str">
        <f>+IFERROR(VLOOKUP(E1662,'DANH MỤC'!$C:$H,3,0),"")</f>
        <v/>
      </c>
      <c r="I1662" s="42" t="str">
        <f>+IFERROR(VLOOKUP(E1662,'DANH MỤC'!$C:$H,4,0),"")</f>
        <v/>
      </c>
      <c r="J1662" s="42" t="str">
        <f>+IFERROR(VLOOKUP(E1662,'DANH MỤC'!$C:$H,5,0),"")</f>
        <v/>
      </c>
      <c r="K1662" s="53"/>
      <c r="L1662" s="58"/>
      <c r="M1662" s="55"/>
      <c r="N1662" s="55"/>
    </row>
    <row r="1663" ht="15.75" customHeight="1">
      <c r="A1663" s="53">
        <f t="shared" si="7"/>
        <v>1658</v>
      </c>
      <c r="B1663" s="55"/>
      <c r="C1663" s="41"/>
      <c r="D1663" s="42"/>
      <c r="E1663" s="42"/>
      <c r="F1663" s="42" t="str">
        <f>+IFERROR(VLOOKUP(E1663,'DANH MỤC'!$C:$H,2,0),"")</f>
        <v/>
      </c>
      <c r="G1663" s="42" t="str">
        <f>+IFERROR(VLOOKUP(E1663,'DANH MỤC'!$C:$H,6,0),"")</f>
        <v/>
      </c>
      <c r="H1663" s="42" t="str">
        <f>+IFERROR(VLOOKUP(E1663,'DANH MỤC'!$C:$H,3,0),"")</f>
        <v/>
      </c>
      <c r="I1663" s="42" t="str">
        <f>+IFERROR(VLOOKUP(E1663,'DANH MỤC'!$C:$H,4,0),"")</f>
        <v/>
      </c>
      <c r="J1663" s="42" t="str">
        <f>+IFERROR(VLOOKUP(E1663,'DANH MỤC'!$C:$H,5,0),"")</f>
        <v/>
      </c>
      <c r="K1663" s="53"/>
      <c r="L1663" s="58"/>
      <c r="M1663" s="55"/>
      <c r="N1663" s="55"/>
    </row>
    <row r="1664" ht="15.75" customHeight="1">
      <c r="A1664" s="53">
        <f t="shared" si="7"/>
        <v>1659</v>
      </c>
      <c r="B1664" s="55"/>
      <c r="C1664" s="41"/>
      <c r="D1664" s="42"/>
      <c r="E1664" s="42"/>
      <c r="F1664" s="42" t="str">
        <f>+IFERROR(VLOOKUP(E1664,'DANH MỤC'!$C:$H,2,0),"")</f>
        <v/>
      </c>
      <c r="G1664" s="42" t="str">
        <f>+IFERROR(VLOOKUP(E1664,'DANH MỤC'!$C:$H,6,0),"")</f>
        <v/>
      </c>
      <c r="H1664" s="42" t="str">
        <f>+IFERROR(VLOOKUP(E1664,'DANH MỤC'!$C:$H,3,0),"")</f>
        <v/>
      </c>
      <c r="I1664" s="42" t="str">
        <f>+IFERROR(VLOOKUP(E1664,'DANH MỤC'!$C:$H,4,0),"")</f>
        <v/>
      </c>
      <c r="J1664" s="42" t="str">
        <f>+IFERROR(VLOOKUP(E1664,'DANH MỤC'!$C:$H,5,0),"")</f>
        <v/>
      </c>
      <c r="K1664" s="53"/>
      <c r="L1664" s="58"/>
      <c r="M1664" s="55"/>
      <c r="N1664" s="55"/>
    </row>
    <row r="1665" ht="15.75" customHeight="1">
      <c r="A1665" s="53">
        <f t="shared" si="7"/>
        <v>1660</v>
      </c>
      <c r="B1665" s="55"/>
      <c r="C1665" s="41"/>
      <c r="D1665" s="42"/>
      <c r="E1665" s="42"/>
      <c r="F1665" s="42" t="str">
        <f>+IFERROR(VLOOKUP(E1665,'DANH MỤC'!$C:$H,2,0),"")</f>
        <v/>
      </c>
      <c r="G1665" s="42" t="str">
        <f>+IFERROR(VLOOKUP(E1665,'DANH MỤC'!$C:$H,6,0),"")</f>
        <v/>
      </c>
      <c r="H1665" s="42" t="str">
        <f>+IFERROR(VLOOKUP(E1665,'DANH MỤC'!$C:$H,3,0),"")</f>
        <v/>
      </c>
      <c r="I1665" s="42" t="str">
        <f>+IFERROR(VLOOKUP(E1665,'DANH MỤC'!$C:$H,4,0),"")</f>
        <v/>
      </c>
      <c r="J1665" s="42" t="str">
        <f>+IFERROR(VLOOKUP(E1665,'DANH MỤC'!$C:$H,5,0),"")</f>
        <v/>
      </c>
      <c r="K1665" s="53"/>
      <c r="L1665" s="58"/>
      <c r="M1665" s="55"/>
      <c r="N1665" s="55"/>
    </row>
    <row r="1666" ht="15.75" customHeight="1">
      <c r="A1666" s="53">
        <f t="shared" si="7"/>
        <v>1661</v>
      </c>
      <c r="B1666" s="55"/>
      <c r="C1666" s="41"/>
      <c r="D1666" s="42"/>
      <c r="E1666" s="42"/>
      <c r="F1666" s="42" t="str">
        <f>+IFERROR(VLOOKUP(E1666,'DANH MỤC'!$C:$H,2,0),"")</f>
        <v/>
      </c>
      <c r="G1666" s="42" t="str">
        <f>+IFERROR(VLOOKUP(E1666,'DANH MỤC'!$C:$H,6,0),"")</f>
        <v/>
      </c>
      <c r="H1666" s="42" t="str">
        <f>+IFERROR(VLOOKUP(E1666,'DANH MỤC'!$C:$H,3,0),"")</f>
        <v/>
      </c>
      <c r="I1666" s="42" t="str">
        <f>+IFERROR(VLOOKUP(E1666,'DANH MỤC'!$C:$H,4,0),"")</f>
        <v/>
      </c>
      <c r="J1666" s="42" t="str">
        <f>+IFERROR(VLOOKUP(E1666,'DANH MỤC'!$C:$H,5,0),"")</f>
        <v/>
      </c>
      <c r="K1666" s="53"/>
      <c r="L1666" s="58"/>
      <c r="M1666" s="55"/>
      <c r="N1666" s="55"/>
    </row>
    <row r="1667" ht="15.75" customHeight="1">
      <c r="A1667" s="53">
        <f t="shared" si="7"/>
        <v>1662</v>
      </c>
      <c r="B1667" s="55"/>
      <c r="C1667" s="41"/>
      <c r="D1667" s="42"/>
      <c r="E1667" s="42"/>
      <c r="F1667" s="42" t="str">
        <f>+IFERROR(VLOOKUP(E1667,'DANH MỤC'!$C:$H,2,0),"")</f>
        <v/>
      </c>
      <c r="G1667" s="42" t="str">
        <f>+IFERROR(VLOOKUP(E1667,'DANH MỤC'!$C:$H,6,0),"")</f>
        <v/>
      </c>
      <c r="H1667" s="42" t="str">
        <f>+IFERROR(VLOOKUP(E1667,'DANH MỤC'!$C:$H,3,0),"")</f>
        <v/>
      </c>
      <c r="I1667" s="42" t="str">
        <f>+IFERROR(VLOOKUP(E1667,'DANH MỤC'!$C:$H,4,0),"")</f>
        <v/>
      </c>
      <c r="J1667" s="42" t="str">
        <f>+IFERROR(VLOOKUP(E1667,'DANH MỤC'!$C:$H,5,0),"")</f>
        <v/>
      </c>
      <c r="K1667" s="53"/>
      <c r="L1667" s="58"/>
      <c r="M1667" s="55"/>
      <c r="N1667" s="55"/>
    </row>
    <row r="1668" ht="15.75" customHeight="1">
      <c r="A1668" s="53">
        <f t="shared" si="7"/>
        <v>1663</v>
      </c>
      <c r="B1668" s="55"/>
      <c r="C1668" s="41"/>
      <c r="D1668" s="42"/>
      <c r="E1668" s="42"/>
      <c r="F1668" s="42" t="str">
        <f>+IFERROR(VLOOKUP(E1668,'DANH MỤC'!$C:$H,2,0),"")</f>
        <v/>
      </c>
      <c r="G1668" s="42" t="str">
        <f>+IFERROR(VLOOKUP(E1668,'DANH MỤC'!$C:$H,6,0),"")</f>
        <v/>
      </c>
      <c r="H1668" s="42" t="str">
        <f>+IFERROR(VLOOKUP(E1668,'DANH MỤC'!$C:$H,3,0),"")</f>
        <v/>
      </c>
      <c r="I1668" s="42" t="str">
        <f>+IFERROR(VLOOKUP(E1668,'DANH MỤC'!$C:$H,4,0),"")</f>
        <v/>
      </c>
      <c r="J1668" s="42" t="str">
        <f>+IFERROR(VLOOKUP(E1668,'DANH MỤC'!$C:$H,5,0),"")</f>
        <v/>
      </c>
      <c r="K1668" s="53"/>
      <c r="L1668" s="58"/>
      <c r="M1668" s="55"/>
      <c r="N1668" s="55"/>
    </row>
    <row r="1669" ht="15.75" customHeight="1">
      <c r="A1669" s="53">
        <f t="shared" si="7"/>
        <v>1664</v>
      </c>
      <c r="B1669" s="55"/>
      <c r="C1669" s="41"/>
      <c r="D1669" s="42"/>
      <c r="E1669" s="42"/>
      <c r="F1669" s="42" t="str">
        <f>+IFERROR(VLOOKUP(E1669,'DANH MỤC'!$C:$H,2,0),"")</f>
        <v/>
      </c>
      <c r="G1669" s="42" t="str">
        <f>+IFERROR(VLOOKUP(E1669,'DANH MỤC'!$C:$H,6,0),"")</f>
        <v/>
      </c>
      <c r="H1669" s="42" t="str">
        <f>+IFERROR(VLOOKUP(E1669,'DANH MỤC'!$C:$H,3,0),"")</f>
        <v/>
      </c>
      <c r="I1669" s="42" t="str">
        <f>+IFERROR(VLOOKUP(E1669,'DANH MỤC'!$C:$H,4,0),"")</f>
        <v/>
      </c>
      <c r="J1669" s="42" t="str">
        <f>+IFERROR(VLOOKUP(E1669,'DANH MỤC'!$C:$H,5,0),"")</f>
        <v/>
      </c>
      <c r="K1669" s="53"/>
      <c r="L1669" s="58"/>
      <c r="M1669" s="55"/>
      <c r="N1669" s="55"/>
    </row>
    <row r="1670" ht="15.75" customHeight="1">
      <c r="A1670" s="53">
        <f t="shared" si="7"/>
        <v>1665</v>
      </c>
      <c r="B1670" s="55"/>
      <c r="C1670" s="41"/>
      <c r="D1670" s="42"/>
      <c r="E1670" s="42"/>
      <c r="F1670" s="42" t="str">
        <f>+IFERROR(VLOOKUP(E1670,'DANH MỤC'!$C:$H,2,0),"")</f>
        <v/>
      </c>
      <c r="G1670" s="42" t="str">
        <f>+IFERROR(VLOOKUP(E1670,'DANH MỤC'!$C:$H,6,0),"")</f>
        <v/>
      </c>
      <c r="H1670" s="42" t="str">
        <f>+IFERROR(VLOOKUP(E1670,'DANH MỤC'!$C:$H,3,0),"")</f>
        <v/>
      </c>
      <c r="I1670" s="42" t="str">
        <f>+IFERROR(VLOOKUP(E1670,'DANH MỤC'!$C:$H,4,0),"")</f>
        <v/>
      </c>
      <c r="J1670" s="42" t="str">
        <f>+IFERROR(VLOOKUP(E1670,'DANH MỤC'!$C:$H,5,0),"")</f>
        <v/>
      </c>
      <c r="K1670" s="53"/>
      <c r="L1670" s="58"/>
      <c r="M1670" s="55"/>
      <c r="N1670" s="55"/>
    </row>
    <row r="1671" ht="15.75" customHeight="1">
      <c r="A1671" s="53">
        <f t="shared" si="7"/>
        <v>1666</v>
      </c>
      <c r="B1671" s="55"/>
      <c r="C1671" s="41"/>
      <c r="D1671" s="42"/>
      <c r="E1671" s="42"/>
      <c r="F1671" s="42" t="str">
        <f>+IFERROR(VLOOKUP(E1671,'DANH MỤC'!$C:$H,2,0),"")</f>
        <v/>
      </c>
      <c r="G1671" s="42" t="str">
        <f>+IFERROR(VLOOKUP(E1671,'DANH MỤC'!$C:$H,6,0),"")</f>
        <v/>
      </c>
      <c r="H1671" s="42" t="str">
        <f>+IFERROR(VLOOKUP(E1671,'DANH MỤC'!$C:$H,3,0),"")</f>
        <v/>
      </c>
      <c r="I1671" s="42" t="str">
        <f>+IFERROR(VLOOKUP(E1671,'DANH MỤC'!$C:$H,4,0),"")</f>
        <v/>
      </c>
      <c r="J1671" s="42" t="str">
        <f>+IFERROR(VLOOKUP(E1671,'DANH MỤC'!$C:$H,5,0),"")</f>
        <v/>
      </c>
      <c r="K1671" s="53"/>
      <c r="L1671" s="58"/>
      <c r="M1671" s="55"/>
      <c r="N1671" s="55"/>
    </row>
    <row r="1672" ht="15.75" customHeight="1">
      <c r="A1672" s="53">
        <f t="shared" si="7"/>
        <v>1667</v>
      </c>
      <c r="B1672" s="55"/>
      <c r="C1672" s="41"/>
      <c r="D1672" s="42"/>
      <c r="E1672" s="42"/>
      <c r="F1672" s="42" t="str">
        <f>+IFERROR(VLOOKUP(E1672,'DANH MỤC'!$C:$H,2,0),"")</f>
        <v/>
      </c>
      <c r="G1672" s="42" t="str">
        <f>+IFERROR(VLOOKUP(E1672,'DANH MỤC'!$C:$H,6,0),"")</f>
        <v/>
      </c>
      <c r="H1672" s="42" t="str">
        <f>+IFERROR(VLOOKUP(E1672,'DANH MỤC'!$C:$H,3,0),"")</f>
        <v/>
      </c>
      <c r="I1672" s="42" t="str">
        <f>+IFERROR(VLOOKUP(E1672,'DANH MỤC'!$C:$H,4,0),"")</f>
        <v/>
      </c>
      <c r="J1672" s="42" t="str">
        <f>+IFERROR(VLOOKUP(E1672,'DANH MỤC'!$C:$H,5,0),"")</f>
        <v/>
      </c>
      <c r="K1672" s="53"/>
      <c r="L1672" s="58"/>
      <c r="M1672" s="55"/>
      <c r="N1672" s="55"/>
    </row>
    <row r="1673" ht="15.75" customHeight="1">
      <c r="A1673" s="53">
        <f t="shared" si="7"/>
        <v>1668</v>
      </c>
      <c r="B1673" s="55"/>
      <c r="C1673" s="41"/>
      <c r="D1673" s="42"/>
      <c r="E1673" s="42"/>
      <c r="F1673" s="42" t="str">
        <f>+IFERROR(VLOOKUP(E1673,'DANH MỤC'!$C:$H,2,0),"")</f>
        <v/>
      </c>
      <c r="G1673" s="42" t="str">
        <f>+IFERROR(VLOOKUP(E1673,'DANH MỤC'!$C:$H,6,0),"")</f>
        <v/>
      </c>
      <c r="H1673" s="42" t="str">
        <f>+IFERROR(VLOOKUP(E1673,'DANH MỤC'!$C:$H,3,0),"")</f>
        <v/>
      </c>
      <c r="I1673" s="42" t="str">
        <f>+IFERROR(VLOOKUP(E1673,'DANH MỤC'!$C:$H,4,0),"")</f>
        <v/>
      </c>
      <c r="J1673" s="42" t="str">
        <f>+IFERROR(VLOOKUP(E1673,'DANH MỤC'!$C:$H,5,0),"")</f>
        <v/>
      </c>
      <c r="K1673" s="53"/>
      <c r="L1673" s="58"/>
      <c r="M1673" s="55"/>
      <c r="N1673" s="55"/>
    </row>
    <row r="1674" ht="15.75" customHeight="1">
      <c r="A1674" s="53">
        <f t="shared" si="7"/>
        <v>1669</v>
      </c>
      <c r="B1674" s="55"/>
      <c r="C1674" s="41"/>
      <c r="D1674" s="42"/>
      <c r="E1674" s="42"/>
      <c r="F1674" s="42" t="str">
        <f>+IFERROR(VLOOKUP(E1674,'DANH MỤC'!$C:$H,2,0),"")</f>
        <v/>
      </c>
      <c r="G1674" s="42" t="str">
        <f>+IFERROR(VLOOKUP(E1674,'DANH MỤC'!$C:$H,6,0),"")</f>
        <v/>
      </c>
      <c r="H1674" s="42" t="str">
        <f>+IFERROR(VLOOKUP(E1674,'DANH MỤC'!$C:$H,3,0),"")</f>
        <v/>
      </c>
      <c r="I1674" s="42" t="str">
        <f>+IFERROR(VLOOKUP(E1674,'DANH MỤC'!$C:$H,4,0),"")</f>
        <v/>
      </c>
      <c r="J1674" s="42" t="str">
        <f>+IFERROR(VLOOKUP(E1674,'DANH MỤC'!$C:$H,5,0),"")</f>
        <v/>
      </c>
      <c r="K1674" s="53"/>
      <c r="L1674" s="58"/>
      <c r="M1674" s="55"/>
      <c r="N1674" s="55"/>
    </row>
    <row r="1675" ht="15.75" customHeight="1">
      <c r="A1675" s="53">
        <f t="shared" si="7"/>
        <v>1670</v>
      </c>
      <c r="B1675" s="55"/>
      <c r="C1675" s="41"/>
      <c r="D1675" s="42"/>
      <c r="E1675" s="42"/>
      <c r="F1675" s="42" t="str">
        <f>+IFERROR(VLOOKUP(E1675,'DANH MỤC'!$C:$H,2,0),"")</f>
        <v/>
      </c>
      <c r="G1675" s="42" t="str">
        <f>+IFERROR(VLOOKUP(E1675,'DANH MỤC'!$C:$H,6,0),"")</f>
        <v/>
      </c>
      <c r="H1675" s="42" t="str">
        <f>+IFERROR(VLOOKUP(E1675,'DANH MỤC'!$C:$H,3,0),"")</f>
        <v/>
      </c>
      <c r="I1675" s="42" t="str">
        <f>+IFERROR(VLOOKUP(E1675,'DANH MỤC'!$C:$H,4,0),"")</f>
        <v/>
      </c>
      <c r="J1675" s="42" t="str">
        <f>+IFERROR(VLOOKUP(E1675,'DANH MỤC'!$C:$H,5,0),"")</f>
        <v/>
      </c>
      <c r="K1675" s="53"/>
      <c r="L1675" s="58"/>
      <c r="M1675" s="55"/>
      <c r="N1675" s="55"/>
    </row>
    <row r="1676" ht="15.75" customHeight="1">
      <c r="A1676" s="53">
        <f t="shared" si="7"/>
        <v>1671</v>
      </c>
      <c r="B1676" s="55"/>
      <c r="C1676" s="41"/>
      <c r="D1676" s="42"/>
      <c r="E1676" s="42"/>
      <c r="F1676" s="42" t="str">
        <f>+IFERROR(VLOOKUP(E1676,'DANH MỤC'!$C:$H,2,0),"")</f>
        <v/>
      </c>
      <c r="G1676" s="42" t="str">
        <f>+IFERROR(VLOOKUP(E1676,'DANH MỤC'!$C:$H,6,0),"")</f>
        <v/>
      </c>
      <c r="H1676" s="42" t="str">
        <f>+IFERROR(VLOOKUP(E1676,'DANH MỤC'!$C:$H,3,0),"")</f>
        <v/>
      </c>
      <c r="I1676" s="42" t="str">
        <f>+IFERROR(VLOOKUP(E1676,'DANH MỤC'!$C:$H,4,0),"")</f>
        <v/>
      </c>
      <c r="J1676" s="42" t="str">
        <f>+IFERROR(VLOOKUP(E1676,'DANH MỤC'!$C:$H,5,0),"")</f>
        <v/>
      </c>
      <c r="K1676" s="53"/>
      <c r="L1676" s="58"/>
      <c r="M1676" s="55"/>
      <c r="N1676" s="55"/>
    </row>
    <row r="1677" ht="15.75" customHeight="1">
      <c r="A1677" s="53">
        <f t="shared" si="7"/>
        <v>1672</v>
      </c>
      <c r="B1677" s="55"/>
      <c r="C1677" s="41"/>
      <c r="D1677" s="42"/>
      <c r="E1677" s="42"/>
      <c r="F1677" s="42" t="str">
        <f>+IFERROR(VLOOKUP(E1677,'DANH MỤC'!$C:$H,2,0),"")</f>
        <v/>
      </c>
      <c r="G1677" s="42" t="str">
        <f>+IFERROR(VLOOKUP(E1677,'DANH MỤC'!$C:$H,6,0),"")</f>
        <v/>
      </c>
      <c r="H1677" s="42" t="str">
        <f>+IFERROR(VLOOKUP(E1677,'DANH MỤC'!$C:$H,3,0),"")</f>
        <v/>
      </c>
      <c r="I1677" s="42" t="str">
        <f>+IFERROR(VLOOKUP(E1677,'DANH MỤC'!$C:$H,4,0),"")</f>
        <v/>
      </c>
      <c r="J1677" s="42" t="str">
        <f>+IFERROR(VLOOKUP(E1677,'DANH MỤC'!$C:$H,5,0),"")</f>
        <v/>
      </c>
      <c r="K1677" s="53"/>
      <c r="L1677" s="58"/>
      <c r="M1677" s="55"/>
      <c r="N1677" s="55"/>
    </row>
    <row r="1678" ht="15.75" customHeight="1">
      <c r="A1678" s="53">
        <f t="shared" si="7"/>
        <v>1673</v>
      </c>
      <c r="B1678" s="55"/>
      <c r="C1678" s="41"/>
      <c r="D1678" s="42"/>
      <c r="E1678" s="42"/>
      <c r="F1678" s="42" t="str">
        <f>+IFERROR(VLOOKUP(E1678,'DANH MỤC'!$C:$H,2,0),"")</f>
        <v/>
      </c>
      <c r="G1678" s="42" t="str">
        <f>+IFERROR(VLOOKUP(E1678,'DANH MỤC'!$C:$H,6,0),"")</f>
        <v/>
      </c>
      <c r="H1678" s="42" t="str">
        <f>+IFERROR(VLOOKUP(E1678,'DANH MỤC'!$C:$H,3,0),"")</f>
        <v/>
      </c>
      <c r="I1678" s="42" t="str">
        <f>+IFERROR(VLOOKUP(E1678,'DANH MỤC'!$C:$H,4,0),"")</f>
        <v/>
      </c>
      <c r="J1678" s="42" t="str">
        <f>+IFERROR(VLOOKUP(E1678,'DANH MỤC'!$C:$H,5,0),"")</f>
        <v/>
      </c>
      <c r="K1678" s="53"/>
      <c r="L1678" s="58"/>
      <c r="M1678" s="55"/>
      <c r="N1678" s="55"/>
    </row>
    <row r="1679" ht="15.75" customHeight="1">
      <c r="A1679" s="53">
        <f t="shared" si="7"/>
        <v>1674</v>
      </c>
      <c r="B1679" s="55"/>
      <c r="C1679" s="41"/>
      <c r="D1679" s="42"/>
      <c r="E1679" s="42"/>
      <c r="F1679" s="42" t="str">
        <f>+IFERROR(VLOOKUP(E1679,'DANH MỤC'!$C:$H,2,0),"")</f>
        <v/>
      </c>
      <c r="G1679" s="42" t="str">
        <f>+IFERROR(VLOOKUP(E1679,'DANH MỤC'!$C:$H,6,0),"")</f>
        <v/>
      </c>
      <c r="H1679" s="42" t="str">
        <f>+IFERROR(VLOOKUP(E1679,'DANH MỤC'!$C:$H,3,0),"")</f>
        <v/>
      </c>
      <c r="I1679" s="42" t="str">
        <f>+IFERROR(VLOOKUP(E1679,'DANH MỤC'!$C:$H,4,0),"")</f>
        <v/>
      </c>
      <c r="J1679" s="42" t="str">
        <f>+IFERROR(VLOOKUP(E1679,'DANH MỤC'!$C:$H,5,0),"")</f>
        <v/>
      </c>
      <c r="K1679" s="53"/>
      <c r="L1679" s="58"/>
      <c r="M1679" s="55"/>
      <c r="N1679" s="55"/>
    </row>
    <row r="1680" ht="15.75" customHeight="1">
      <c r="A1680" s="53">
        <f t="shared" si="7"/>
        <v>1675</v>
      </c>
      <c r="B1680" s="55"/>
      <c r="C1680" s="41"/>
      <c r="D1680" s="42"/>
      <c r="E1680" s="42"/>
      <c r="F1680" s="42" t="str">
        <f>+IFERROR(VLOOKUP(E1680,'DANH MỤC'!$C:$H,2,0),"")</f>
        <v/>
      </c>
      <c r="G1680" s="42" t="str">
        <f>+IFERROR(VLOOKUP(E1680,'DANH MỤC'!$C:$H,6,0),"")</f>
        <v/>
      </c>
      <c r="H1680" s="42" t="str">
        <f>+IFERROR(VLOOKUP(E1680,'DANH MỤC'!$C:$H,3,0),"")</f>
        <v/>
      </c>
      <c r="I1680" s="42" t="str">
        <f>+IFERROR(VLOOKUP(E1680,'DANH MỤC'!$C:$H,4,0),"")</f>
        <v/>
      </c>
      <c r="J1680" s="42" t="str">
        <f>+IFERROR(VLOOKUP(E1680,'DANH MỤC'!$C:$H,5,0),"")</f>
        <v/>
      </c>
      <c r="K1680" s="53"/>
      <c r="L1680" s="58"/>
      <c r="M1680" s="55"/>
      <c r="N1680" s="55"/>
    </row>
    <row r="1681" ht="15.75" customHeight="1">
      <c r="A1681" s="53">
        <f t="shared" si="7"/>
        <v>1676</v>
      </c>
      <c r="B1681" s="55"/>
      <c r="C1681" s="41"/>
      <c r="D1681" s="42"/>
      <c r="E1681" s="42"/>
      <c r="F1681" s="42" t="str">
        <f>+IFERROR(VLOOKUP(E1681,'DANH MỤC'!$C:$H,2,0),"")</f>
        <v/>
      </c>
      <c r="G1681" s="42" t="str">
        <f>+IFERROR(VLOOKUP(E1681,'DANH MỤC'!$C:$H,6,0),"")</f>
        <v/>
      </c>
      <c r="H1681" s="42" t="str">
        <f>+IFERROR(VLOOKUP(E1681,'DANH MỤC'!$C:$H,3,0),"")</f>
        <v/>
      </c>
      <c r="I1681" s="42" t="str">
        <f>+IFERROR(VLOOKUP(E1681,'DANH MỤC'!$C:$H,4,0),"")</f>
        <v/>
      </c>
      <c r="J1681" s="42" t="str">
        <f>+IFERROR(VLOOKUP(E1681,'DANH MỤC'!$C:$H,5,0),"")</f>
        <v/>
      </c>
      <c r="K1681" s="53"/>
      <c r="L1681" s="58"/>
      <c r="M1681" s="55"/>
      <c r="N1681" s="55"/>
    </row>
    <row r="1682" ht="15.75" customHeight="1">
      <c r="A1682" s="53">
        <f t="shared" si="7"/>
        <v>1677</v>
      </c>
      <c r="B1682" s="55"/>
      <c r="C1682" s="41"/>
      <c r="D1682" s="42"/>
      <c r="E1682" s="42"/>
      <c r="F1682" s="42" t="str">
        <f>+IFERROR(VLOOKUP(E1682,'DANH MỤC'!$C:$H,2,0),"")</f>
        <v/>
      </c>
      <c r="G1682" s="42" t="str">
        <f>+IFERROR(VLOOKUP(E1682,'DANH MỤC'!$C:$H,6,0),"")</f>
        <v/>
      </c>
      <c r="H1682" s="42" t="str">
        <f>+IFERROR(VLOOKUP(E1682,'DANH MỤC'!$C:$H,3,0),"")</f>
        <v/>
      </c>
      <c r="I1682" s="42" t="str">
        <f>+IFERROR(VLOOKUP(E1682,'DANH MỤC'!$C:$H,4,0),"")</f>
        <v/>
      </c>
      <c r="J1682" s="42" t="str">
        <f>+IFERROR(VLOOKUP(E1682,'DANH MỤC'!$C:$H,5,0),"")</f>
        <v/>
      </c>
      <c r="K1682" s="53"/>
      <c r="L1682" s="58"/>
      <c r="M1682" s="55"/>
      <c r="N1682" s="55"/>
    </row>
    <row r="1683" ht="15.75" customHeight="1">
      <c r="A1683" s="53">
        <f t="shared" si="7"/>
        <v>1678</v>
      </c>
      <c r="B1683" s="55"/>
      <c r="C1683" s="41"/>
      <c r="D1683" s="42"/>
      <c r="E1683" s="42"/>
      <c r="F1683" s="42" t="str">
        <f>+IFERROR(VLOOKUP(E1683,'DANH MỤC'!$C:$H,2,0),"")</f>
        <v/>
      </c>
      <c r="G1683" s="42" t="str">
        <f>+IFERROR(VLOOKUP(E1683,'DANH MỤC'!$C:$H,6,0),"")</f>
        <v/>
      </c>
      <c r="H1683" s="42" t="str">
        <f>+IFERROR(VLOOKUP(E1683,'DANH MỤC'!$C:$H,3,0),"")</f>
        <v/>
      </c>
      <c r="I1683" s="42" t="str">
        <f>+IFERROR(VLOOKUP(E1683,'DANH MỤC'!$C:$H,4,0),"")</f>
        <v/>
      </c>
      <c r="J1683" s="42" t="str">
        <f>+IFERROR(VLOOKUP(E1683,'DANH MỤC'!$C:$H,5,0),"")</f>
        <v/>
      </c>
      <c r="K1683" s="53"/>
      <c r="L1683" s="58"/>
      <c r="M1683" s="55"/>
      <c r="N1683" s="55"/>
    </row>
    <row r="1684" ht="15.75" customHeight="1">
      <c r="A1684" s="53">
        <f t="shared" si="7"/>
        <v>1679</v>
      </c>
      <c r="B1684" s="55"/>
      <c r="C1684" s="41"/>
      <c r="D1684" s="42"/>
      <c r="E1684" s="42"/>
      <c r="F1684" s="42" t="str">
        <f>+IFERROR(VLOOKUP(E1684,'DANH MỤC'!$C:$H,2,0),"")</f>
        <v/>
      </c>
      <c r="G1684" s="42" t="str">
        <f>+IFERROR(VLOOKUP(E1684,'DANH MỤC'!$C:$H,6,0),"")</f>
        <v/>
      </c>
      <c r="H1684" s="42" t="str">
        <f>+IFERROR(VLOOKUP(E1684,'DANH MỤC'!$C:$H,3,0),"")</f>
        <v/>
      </c>
      <c r="I1684" s="42" t="str">
        <f>+IFERROR(VLOOKUP(E1684,'DANH MỤC'!$C:$H,4,0),"")</f>
        <v/>
      </c>
      <c r="J1684" s="42" t="str">
        <f>+IFERROR(VLOOKUP(E1684,'DANH MỤC'!$C:$H,5,0),"")</f>
        <v/>
      </c>
      <c r="K1684" s="53"/>
      <c r="L1684" s="58"/>
      <c r="M1684" s="55"/>
      <c r="N1684" s="55"/>
    </row>
    <row r="1685" ht="15.75" customHeight="1">
      <c r="A1685" s="53">
        <f t="shared" si="7"/>
        <v>1680</v>
      </c>
      <c r="B1685" s="55"/>
      <c r="C1685" s="41"/>
      <c r="D1685" s="42"/>
      <c r="E1685" s="42"/>
      <c r="F1685" s="42" t="str">
        <f>+IFERROR(VLOOKUP(E1685,'DANH MỤC'!$C:$H,2,0),"")</f>
        <v/>
      </c>
      <c r="G1685" s="42" t="str">
        <f>+IFERROR(VLOOKUP(E1685,'DANH MỤC'!$C:$H,6,0),"")</f>
        <v/>
      </c>
      <c r="H1685" s="42" t="str">
        <f>+IFERROR(VLOOKUP(E1685,'DANH MỤC'!$C:$H,3,0),"")</f>
        <v/>
      </c>
      <c r="I1685" s="42" t="str">
        <f>+IFERROR(VLOOKUP(E1685,'DANH MỤC'!$C:$H,4,0),"")</f>
        <v/>
      </c>
      <c r="J1685" s="42" t="str">
        <f>+IFERROR(VLOOKUP(E1685,'DANH MỤC'!$C:$H,5,0),"")</f>
        <v/>
      </c>
      <c r="K1685" s="53"/>
      <c r="L1685" s="58"/>
      <c r="M1685" s="55"/>
      <c r="N1685" s="55"/>
    </row>
    <row r="1686" ht="15.75" customHeight="1">
      <c r="A1686" s="53">
        <f t="shared" si="7"/>
        <v>1681</v>
      </c>
      <c r="B1686" s="55"/>
      <c r="C1686" s="41"/>
      <c r="D1686" s="42"/>
      <c r="E1686" s="42"/>
      <c r="F1686" s="42" t="str">
        <f>+IFERROR(VLOOKUP(E1686,'DANH MỤC'!$C:$H,2,0),"")</f>
        <v/>
      </c>
      <c r="G1686" s="42" t="str">
        <f>+IFERROR(VLOOKUP(E1686,'DANH MỤC'!$C:$H,6,0),"")</f>
        <v/>
      </c>
      <c r="H1686" s="42" t="str">
        <f>+IFERROR(VLOOKUP(E1686,'DANH MỤC'!$C:$H,3,0),"")</f>
        <v/>
      </c>
      <c r="I1686" s="42" t="str">
        <f>+IFERROR(VLOOKUP(E1686,'DANH MỤC'!$C:$H,4,0),"")</f>
        <v/>
      </c>
      <c r="J1686" s="42" t="str">
        <f>+IFERROR(VLOOKUP(E1686,'DANH MỤC'!$C:$H,5,0),"")</f>
        <v/>
      </c>
      <c r="K1686" s="53"/>
      <c r="L1686" s="58"/>
      <c r="M1686" s="55"/>
      <c r="N1686" s="55"/>
    </row>
    <row r="1687" ht="15.75" customHeight="1">
      <c r="A1687" s="53">
        <f t="shared" si="7"/>
        <v>1682</v>
      </c>
      <c r="B1687" s="55"/>
      <c r="C1687" s="41"/>
      <c r="D1687" s="42"/>
      <c r="E1687" s="42"/>
      <c r="F1687" s="42" t="str">
        <f>+IFERROR(VLOOKUP(E1687,'DANH MỤC'!$C:$H,2,0),"")</f>
        <v/>
      </c>
      <c r="G1687" s="42" t="str">
        <f>+IFERROR(VLOOKUP(E1687,'DANH MỤC'!$C:$H,6,0),"")</f>
        <v/>
      </c>
      <c r="H1687" s="42" t="str">
        <f>+IFERROR(VLOOKUP(E1687,'DANH MỤC'!$C:$H,3,0),"")</f>
        <v/>
      </c>
      <c r="I1687" s="42" t="str">
        <f>+IFERROR(VLOOKUP(E1687,'DANH MỤC'!$C:$H,4,0),"")</f>
        <v/>
      </c>
      <c r="J1687" s="42" t="str">
        <f>+IFERROR(VLOOKUP(E1687,'DANH MỤC'!$C:$H,5,0),"")</f>
        <v/>
      </c>
      <c r="K1687" s="53"/>
      <c r="L1687" s="58"/>
      <c r="M1687" s="55"/>
      <c r="N1687" s="55"/>
    </row>
    <row r="1688" ht="15.75" customHeight="1">
      <c r="A1688" s="53">
        <f t="shared" si="7"/>
        <v>1683</v>
      </c>
      <c r="B1688" s="55"/>
      <c r="C1688" s="41"/>
      <c r="D1688" s="42"/>
      <c r="E1688" s="42"/>
      <c r="F1688" s="42" t="str">
        <f>+IFERROR(VLOOKUP(E1688,'DANH MỤC'!$C:$H,2,0),"")</f>
        <v/>
      </c>
      <c r="G1688" s="42" t="str">
        <f>+IFERROR(VLOOKUP(E1688,'DANH MỤC'!$C:$H,6,0),"")</f>
        <v/>
      </c>
      <c r="H1688" s="42" t="str">
        <f>+IFERROR(VLOOKUP(E1688,'DANH MỤC'!$C:$H,3,0),"")</f>
        <v/>
      </c>
      <c r="I1688" s="42" t="str">
        <f>+IFERROR(VLOOKUP(E1688,'DANH MỤC'!$C:$H,4,0),"")</f>
        <v/>
      </c>
      <c r="J1688" s="42" t="str">
        <f>+IFERROR(VLOOKUP(E1688,'DANH MỤC'!$C:$H,5,0),"")</f>
        <v/>
      </c>
      <c r="K1688" s="53"/>
      <c r="L1688" s="58"/>
      <c r="M1688" s="55"/>
      <c r="N1688" s="55"/>
    </row>
    <row r="1689" ht="15.75" customHeight="1">
      <c r="A1689" s="53">
        <f t="shared" si="7"/>
        <v>1684</v>
      </c>
      <c r="B1689" s="55"/>
      <c r="C1689" s="41"/>
      <c r="D1689" s="42"/>
      <c r="E1689" s="42"/>
      <c r="F1689" s="42" t="str">
        <f>+IFERROR(VLOOKUP(E1689,'DANH MỤC'!$C:$H,2,0),"")</f>
        <v/>
      </c>
      <c r="G1689" s="42" t="str">
        <f>+IFERROR(VLOOKUP(E1689,'DANH MỤC'!$C:$H,6,0),"")</f>
        <v/>
      </c>
      <c r="H1689" s="42" t="str">
        <f>+IFERROR(VLOOKUP(E1689,'DANH MỤC'!$C:$H,3,0),"")</f>
        <v/>
      </c>
      <c r="I1689" s="42" t="str">
        <f>+IFERROR(VLOOKUP(E1689,'DANH MỤC'!$C:$H,4,0),"")</f>
        <v/>
      </c>
      <c r="J1689" s="42" t="str">
        <f>+IFERROR(VLOOKUP(E1689,'DANH MỤC'!$C:$H,5,0),"")</f>
        <v/>
      </c>
      <c r="K1689" s="53"/>
      <c r="L1689" s="58"/>
      <c r="M1689" s="55"/>
      <c r="N1689" s="55"/>
    </row>
    <row r="1690" ht="15.75" customHeight="1">
      <c r="A1690" s="53">
        <f t="shared" si="7"/>
        <v>1685</v>
      </c>
      <c r="B1690" s="55"/>
      <c r="C1690" s="41"/>
      <c r="D1690" s="42"/>
      <c r="E1690" s="42"/>
      <c r="F1690" s="42" t="str">
        <f>+IFERROR(VLOOKUP(E1690,'DANH MỤC'!$C:$H,2,0),"")</f>
        <v/>
      </c>
      <c r="G1690" s="42" t="str">
        <f>+IFERROR(VLOOKUP(E1690,'DANH MỤC'!$C:$H,6,0),"")</f>
        <v/>
      </c>
      <c r="H1690" s="42" t="str">
        <f>+IFERROR(VLOOKUP(E1690,'DANH MỤC'!$C:$H,3,0),"")</f>
        <v/>
      </c>
      <c r="I1690" s="42" t="str">
        <f>+IFERROR(VLOOKUP(E1690,'DANH MỤC'!$C:$H,4,0),"")</f>
        <v/>
      </c>
      <c r="J1690" s="42" t="str">
        <f>+IFERROR(VLOOKUP(E1690,'DANH MỤC'!$C:$H,5,0),"")</f>
        <v/>
      </c>
      <c r="K1690" s="53"/>
      <c r="L1690" s="58"/>
      <c r="M1690" s="55"/>
      <c r="N1690" s="55"/>
    </row>
    <row r="1691" ht="15.75" customHeight="1">
      <c r="A1691" s="53">
        <f t="shared" si="7"/>
        <v>1686</v>
      </c>
      <c r="B1691" s="55"/>
      <c r="C1691" s="41"/>
      <c r="D1691" s="42"/>
      <c r="E1691" s="42"/>
      <c r="F1691" s="42" t="str">
        <f>+IFERROR(VLOOKUP(E1691,'DANH MỤC'!$C:$H,2,0),"")</f>
        <v/>
      </c>
      <c r="G1691" s="42" t="str">
        <f>+IFERROR(VLOOKUP(E1691,'DANH MỤC'!$C:$H,6,0),"")</f>
        <v/>
      </c>
      <c r="H1691" s="42" t="str">
        <f>+IFERROR(VLOOKUP(E1691,'DANH MỤC'!$C:$H,3,0),"")</f>
        <v/>
      </c>
      <c r="I1691" s="42" t="str">
        <f>+IFERROR(VLOOKUP(E1691,'DANH MỤC'!$C:$H,4,0),"")</f>
        <v/>
      </c>
      <c r="J1691" s="42" t="str">
        <f>+IFERROR(VLOOKUP(E1691,'DANH MỤC'!$C:$H,5,0),"")</f>
        <v/>
      </c>
      <c r="K1691" s="53"/>
      <c r="L1691" s="58"/>
      <c r="M1691" s="55"/>
      <c r="N1691" s="55"/>
    </row>
    <row r="1692" ht="15.75" customHeight="1">
      <c r="A1692" s="53">
        <f t="shared" si="7"/>
        <v>1687</v>
      </c>
      <c r="B1692" s="55"/>
      <c r="C1692" s="41"/>
      <c r="D1692" s="42"/>
      <c r="E1692" s="42"/>
      <c r="F1692" s="42" t="str">
        <f>+IFERROR(VLOOKUP(E1692,'DANH MỤC'!$C:$H,2,0),"")</f>
        <v/>
      </c>
      <c r="G1692" s="42" t="str">
        <f>+IFERROR(VLOOKUP(E1692,'DANH MỤC'!$C:$H,6,0),"")</f>
        <v/>
      </c>
      <c r="H1692" s="42" t="str">
        <f>+IFERROR(VLOOKUP(E1692,'DANH MỤC'!$C:$H,3,0),"")</f>
        <v/>
      </c>
      <c r="I1692" s="42" t="str">
        <f>+IFERROR(VLOOKUP(E1692,'DANH MỤC'!$C:$H,4,0),"")</f>
        <v/>
      </c>
      <c r="J1692" s="42" t="str">
        <f>+IFERROR(VLOOKUP(E1692,'DANH MỤC'!$C:$H,5,0),"")</f>
        <v/>
      </c>
      <c r="K1692" s="53"/>
      <c r="L1692" s="58"/>
      <c r="M1692" s="55"/>
      <c r="N1692" s="55"/>
    </row>
    <row r="1693" ht="15.75" customHeight="1">
      <c r="A1693" s="53">
        <f t="shared" si="7"/>
        <v>1688</v>
      </c>
      <c r="B1693" s="55"/>
      <c r="C1693" s="41"/>
      <c r="D1693" s="42"/>
      <c r="E1693" s="42"/>
      <c r="F1693" s="42" t="str">
        <f>+IFERROR(VLOOKUP(E1693,'DANH MỤC'!$C:$H,2,0),"")</f>
        <v/>
      </c>
      <c r="G1693" s="42" t="str">
        <f>+IFERROR(VLOOKUP(E1693,'DANH MỤC'!$C:$H,6,0),"")</f>
        <v/>
      </c>
      <c r="H1693" s="42" t="str">
        <f>+IFERROR(VLOOKUP(E1693,'DANH MỤC'!$C:$H,3,0),"")</f>
        <v/>
      </c>
      <c r="I1693" s="42" t="str">
        <f>+IFERROR(VLOOKUP(E1693,'DANH MỤC'!$C:$H,4,0),"")</f>
        <v/>
      </c>
      <c r="J1693" s="42" t="str">
        <f>+IFERROR(VLOOKUP(E1693,'DANH MỤC'!$C:$H,5,0),"")</f>
        <v/>
      </c>
      <c r="K1693" s="53"/>
      <c r="L1693" s="58"/>
      <c r="M1693" s="55"/>
      <c r="N1693" s="55"/>
    </row>
    <row r="1694" ht="15.75" customHeight="1">
      <c r="A1694" s="53">
        <f t="shared" si="7"/>
        <v>1689</v>
      </c>
      <c r="B1694" s="55"/>
      <c r="C1694" s="41"/>
      <c r="D1694" s="42"/>
      <c r="E1694" s="42"/>
      <c r="F1694" s="42" t="str">
        <f>+IFERROR(VLOOKUP(E1694,'DANH MỤC'!$C:$H,2,0),"")</f>
        <v/>
      </c>
      <c r="G1694" s="42" t="str">
        <f>+IFERROR(VLOOKUP(E1694,'DANH MỤC'!$C:$H,6,0),"")</f>
        <v/>
      </c>
      <c r="H1694" s="42" t="str">
        <f>+IFERROR(VLOOKUP(E1694,'DANH MỤC'!$C:$H,3,0),"")</f>
        <v/>
      </c>
      <c r="I1694" s="42" t="str">
        <f>+IFERROR(VLOOKUP(E1694,'DANH MỤC'!$C:$H,4,0),"")</f>
        <v/>
      </c>
      <c r="J1694" s="42" t="str">
        <f>+IFERROR(VLOOKUP(E1694,'DANH MỤC'!$C:$H,5,0),"")</f>
        <v/>
      </c>
      <c r="K1694" s="53"/>
      <c r="L1694" s="58"/>
      <c r="M1694" s="55"/>
      <c r="N1694" s="55"/>
    </row>
    <row r="1695" ht="15.75" customHeight="1">
      <c r="A1695" s="53">
        <f t="shared" si="7"/>
        <v>1690</v>
      </c>
      <c r="B1695" s="55"/>
      <c r="C1695" s="41"/>
      <c r="D1695" s="42"/>
      <c r="E1695" s="42"/>
      <c r="F1695" s="42" t="str">
        <f>+IFERROR(VLOOKUP(E1695,'DANH MỤC'!$C:$H,2,0),"")</f>
        <v/>
      </c>
      <c r="G1695" s="42" t="str">
        <f>+IFERROR(VLOOKUP(E1695,'DANH MỤC'!$C:$H,6,0),"")</f>
        <v/>
      </c>
      <c r="H1695" s="42" t="str">
        <f>+IFERROR(VLOOKUP(E1695,'DANH MỤC'!$C:$H,3,0),"")</f>
        <v/>
      </c>
      <c r="I1695" s="42" t="str">
        <f>+IFERROR(VLOOKUP(E1695,'DANH MỤC'!$C:$H,4,0),"")</f>
        <v/>
      </c>
      <c r="J1695" s="42" t="str">
        <f>+IFERROR(VLOOKUP(E1695,'DANH MỤC'!$C:$H,5,0),"")</f>
        <v/>
      </c>
      <c r="K1695" s="53"/>
      <c r="L1695" s="58"/>
      <c r="M1695" s="55"/>
      <c r="N1695" s="55"/>
    </row>
    <row r="1696" ht="15.75" customHeight="1">
      <c r="A1696" s="53">
        <f t="shared" si="7"/>
        <v>1691</v>
      </c>
      <c r="B1696" s="55"/>
      <c r="C1696" s="41"/>
      <c r="D1696" s="42"/>
      <c r="E1696" s="42"/>
      <c r="F1696" s="42" t="str">
        <f>+IFERROR(VLOOKUP(E1696,'DANH MỤC'!$C:$H,2,0),"")</f>
        <v/>
      </c>
      <c r="G1696" s="42" t="str">
        <f>+IFERROR(VLOOKUP(E1696,'DANH MỤC'!$C:$H,6,0),"")</f>
        <v/>
      </c>
      <c r="H1696" s="42" t="str">
        <f>+IFERROR(VLOOKUP(E1696,'DANH MỤC'!$C:$H,3,0),"")</f>
        <v/>
      </c>
      <c r="I1696" s="42" t="str">
        <f>+IFERROR(VLOOKUP(E1696,'DANH MỤC'!$C:$H,4,0),"")</f>
        <v/>
      </c>
      <c r="J1696" s="42" t="str">
        <f>+IFERROR(VLOOKUP(E1696,'DANH MỤC'!$C:$H,5,0),"")</f>
        <v/>
      </c>
      <c r="K1696" s="53"/>
      <c r="L1696" s="58"/>
      <c r="M1696" s="55"/>
      <c r="N1696" s="55"/>
    </row>
    <row r="1697" ht="15.75" customHeight="1">
      <c r="A1697" s="53">
        <f t="shared" si="7"/>
        <v>1692</v>
      </c>
      <c r="B1697" s="55"/>
      <c r="C1697" s="41"/>
      <c r="D1697" s="42"/>
      <c r="E1697" s="42"/>
      <c r="F1697" s="42" t="str">
        <f>+IFERROR(VLOOKUP(E1697,'DANH MỤC'!$C:$H,2,0),"")</f>
        <v/>
      </c>
      <c r="G1697" s="42" t="str">
        <f>+IFERROR(VLOOKUP(E1697,'DANH MỤC'!$C:$H,6,0),"")</f>
        <v/>
      </c>
      <c r="H1697" s="42" t="str">
        <f>+IFERROR(VLOOKUP(E1697,'DANH MỤC'!$C:$H,3,0),"")</f>
        <v/>
      </c>
      <c r="I1697" s="42" t="str">
        <f>+IFERROR(VLOOKUP(E1697,'DANH MỤC'!$C:$H,4,0),"")</f>
        <v/>
      </c>
      <c r="J1697" s="42" t="str">
        <f>+IFERROR(VLOOKUP(E1697,'DANH MỤC'!$C:$H,5,0),"")</f>
        <v/>
      </c>
      <c r="K1697" s="53"/>
      <c r="L1697" s="58"/>
      <c r="M1697" s="55"/>
      <c r="N1697" s="55"/>
    </row>
    <row r="1698" ht="15.75" customHeight="1">
      <c r="A1698" s="53">
        <f t="shared" si="7"/>
        <v>1693</v>
      </c>
      <c r="B1698" s="55"/>
      <c r="C1698" s="41"/>
      <c r="D1698" s="42"/>
      <c r="E1698" s="42"/>
      <c r="F1698" s="42" t="str">
        <f>+IFERROR(VLOOKUP(E1698,'DANH MỤC'!$C:$H,2,0),"")</f>
        <v/>
      </c>
      <c r="G1698" s="42" t="str">
        <f>+IFERROR(VLOOKUP(E1698,'DANH MỤC'!$C:$H,6,0),"")</f>
        <v/>
      </c>
      <c r="H1698" s="42" t="str">
        <f>+IFERROR(VLOOKUP(E1698,'DANH MỤC'!$C:$H,3,0),"")</f>
        <v/>
      </c>
      <c r="I1698" s="42" t="str">
        <f>+IFERROR(VLOOKUP(E1698,'DANH MỤC'!$C:$H,4,0),"")</f>
        <v/>
      </c>
      <c r="J1698" s="42" t="str">
        <f>+IFERROR(VLOOKUP(E1698,'DANH MỤC'!$C:$H,5,0),"")</f>
        <v/>
      </c>
      <c r="K1698" s="53"/>
      <c r="L1698" s="58"/>
      <c r="M1698" s="55"/>
      <c r="N1698" s="55"/>
    </row>
    <row r="1699" ht="15.75" customHeight="1">
      <c r="A1699" s="53">
        <f t="shared" si="7"/>
        <v>1694</v>
      </c>
      <c r="B1699" s="55"/>
      <c r="C1699" s="41"/>
      <c r="D1699" s="42"/>
      <c r="E1699" s="42"/>
      <c r="F1699" s="42" t="str">
        <f>+IFERROR(VLOOKUP(E1699,'DANH MỤC'!$C:$H,2,0),"")</f>
        <v/>
      </c>
      <c r="G1699" s="42" t="str">
        <f>+IFERROR(VLOOKUP(E1699,'DANH MỤC'!$C:$H,6,0),"")</f>
        <v/>
      </c>
      <c r="H1699" s="42" t="str">
        <f>+IFERROR(VLOOKUP(E1699,'DANH MỤC'!$C:$H,3,0),"")</f>
        <v/>
      </c>
      <c r="I1699" s="42" t="str">
        <f>+IFERROR(VLOOKUP(E1699,'DANH MỤC'!$C:$H,4,0),"")</f>
        <v/>
      </c>
      <c r="J1699" s="42" t="str">
        <f>+IFERROR(VLOOKUP(E1699,'DANH MỤC'!$C:$H,5,0),"")</f>
        <v/>
      </c>
      <c r="K1699" s="53"/>
      <c r="L1699" s="58"/>
      <c r="M1699" s="55"/>
      <c r="N1699" s="55"/>
    </row>
    <row r="1700" ht="15.75" customHeight="1">
      <c r="A1700" s="53">
        <f t="shared" si="7"/>
        <v>1695</v>
      </c>
      <c r="B1700" s="55"/>
      <c r="C1700" s="41"/>
      <c r="D1700" s="42"/>
      <c r="E1700" s="42"/>
      <c r="F1700" s="42" t="str">
        <f>+IFERROR(VLOOKUP(E1700,'DANH MỤC'!$C:$H,2,0),"")</f>
        <v/>
      </c>
      <c r="G1700" s="42" t="str">
        <f>+IFERROR(VLOOKUP(E1700,'DANH MỤC'!$C:$H,6,0),"")</f>
        <v/>
      </c>
      <c r="H1700" s="42" t="str">
        <f>+IFERROR(VLOOKUP(E1700,'DANH MỤC'!$C:$H,3,0),"")</f>
        <v/>
      </c>
      <c r="I1700" s="42" t="str">
        <f>+IFERROR(VLOOKUP(E1700,'DANH MỤC'!$C:$H,4,0),"")</f>
        <v/>
      </c>
      <c r="J1700" s="42" t="str">
        <f>+IFERROR(VLOOKUP(E1700,'DANH MỤC'!$C:$H,5,0),"")</f>
        <v/>
      </c>
      <c r="K1700" s="53"/>
      <c r="L1700" s="58"/>
      <c r="M1700" s="55"/>
      <c r="N1700" s="55"/>
    </row>
    <row r="1701" ht="15.75" customHeight="1">
      <c r="A1701" s="53">
        <f t="shared" si="7"/>
        <v>1696</v>
      </c>
      <c r="B1701" s="55"/>
      <c r="C1701" s="41"/>
      <c r="D1701" s="42"/>
      <c r="E1701" s="42"/>
      <c r="F1701" s="42" t="str">
        <f>+IFERROR(VLOOKUP(E1701,'DANH MỤC'!$C:$H,2,0),"")</f>
        <v/>
      </c>
      <c r="G1701" s="42" t="str">
        <f>+IFERROR(VLOOKUP(E1701,'DANH MỤC'!$C:$H,6,0),"")</f>
        <v/>
      </c>
      <c r="H1701" s="42" t="str">
        <f>+IFERROR(VLOOKUP(E1701,'DANH MỤC'!$C:$H,3,0),"")</f>
        <v/>
      </c>
      <c r="I1701" s="42" t="str">
        <f>+IFERROR(VLOOKUP(E1701,'DANH MỤC'!$C:$H,4,0),"")</f>
        <v/>
      </c>
      <c r="J1701" s="42" t="str">
        <f>+IFERROR(VLOOKUP(E1701,'DANH MỤC'!$C:$H,5,0),"")</f>
        <v/>
      </c>
      <c r="K1701" s="53"/>
      <c r="L1701" s="58"/>
      <c r="M1701" s="55"/>
      <c r="N1701" s="55"/>
    </row>
    <row r="1702" ht="15.75" customHeight="1">
      <c r="A1702" s="53">
        <f t="shared" si="7"/>
        <v>1697</v>
      </c>
      <c r="B1702" s="55"/>
      <c r="C1702" s="41"/>
      <c r="D1702" s="42"/>
      <c r="E1702" s="42"/>
      <c r="F1702" s="42" t="str">
        <f>+IFERROR(VLOOKUP(E1702,'DANH MỤC'!$C:$H,2,0),"")</f>
        <v/>
      </c>
      <c r="G1702" s="42" t="str">
        <f>+IFERROR(VLOOKUP(E1702,'DANH MỤC'!$C:$H,6,0),"")</f>
        <v/>
      </c>
      <c r="H1702" s="42" t="str">
        <f>+IFERROR(VLOOKUP(E1702,'DANH MỤC'!$C:$H,3,0),"")</f>
        <v/>
      </c>
      <c r="I1702" s="42" t="str">
        <f>+IFERROR(VLOOKUP(E1702,'DANH MỤC'!$C:$H,4,0),"")</f>
        <v/>
      </c>
      <c r="J1702" s="42" t="str">
        <f>+IFERROR(VLOOKUP(E1702,'DANH MỤC'!$C:$H,5,0),"")</f>
        <v/>
      </c>
      <c r="K1702" s="53"/>
      <c r="L1702" s="58"/>
      <c r="M1702" s="55"/>
      <c r="N1702" s="55"/>
    </row>
    <row r="1703" ht="15.75" customHeight="1">
      <c r="A1703" s="53">
        <f t="shared" si="7"/>
        <v>1698</v>
      </c>
      <c r="B1703" s="55"/>
      <c r="C1703" s="41"/>
      <c r="D1703" s="42"/>
      <c r="E1703" s="42"/>
      <c r="F1703" s="42" t="str">
        <f>+IFERROR(VLOOKUP(E1703,'DANH MỤC'!$C:$H,2,0),"")</f>
        <v/>
      </c>
      <c r="G1703" s="42" t="str">
        <f>+IFERROR(VLOOKUP(E1703,'DANH MỤC'!$C:$H,6,0),"")</f>
        <v/>
      </c>
      <c r="H1703" s="42" t="str">
        <f>+IFERROR(VLOOKUP(E1703,'DANH MỤC'!$C:$H,3,0),"")</f>
        <v/>
      </c>
      <c r="I1703" s="42" t="str">
        <f>+IFERROR(VLOOKUP(E1703,'DANH MỤC'!$C:$H,4,0),"")</f>
        <v/>
      </c>
      <c r="J1703" s="42" t="str">
        <f>+IFERROR(VLOOKUP(E1703,'DANH MỤC'!$C:$H,5,0),"")</f>
        <v/>
      </c>
      <c r="K1703" s="53"/>
      <c r="L1703" s="58"/>
      <c r="M1703" s="55"/>
      <c r="N1703" s="55"/>
    </row>
    <row r="1704" ht="15.75" customHeight="1">
      <c r="A1704" s="53">
        <f t="shared" si="7"/>
        <v>1699</v>
      </c>
      <c r="B1704" s="55"/>
      <c r="C1704" s="41"/>
      <c r="D1704" s="42"/>
      <c r="E1704" s="42"/>
      <c r="F1704" s="42" t="str">
        <f>+IFERROR(VLOOKUP(E1704,'DANH MỤC'!$C:$H,2,0),"")</f>
        <v/>
      </c>
      <c r="G1704" s="42" t="str">
        <f>+IFERROR(VLOOKUP(E1704,'DANH MỤC'!$C:$H,6,0),"")</f>
        <v/>
      </c>
      <c r="H1704" s="42" t="str">
        <f>+IFERROR(VLOOKUP(E1704,'DANH MỤC'!$C:$H,3,0),"")</f>
        <v/>
      </c>
      <c r="I1704" s="42" t="str">
        <f>+IFERROR(VLOOKUP(E1704,'DANH MỤC'!$C:$H,4,0),"")</f>
        <v/>
      </c>
      <c r="J1704" s="42" t="str">
        <f>+IFERROR(VLOOKUP(E1704,'DANH MỤC'!$C:$H,5,0),"")</f>
        <v/>
      </c>
      <c r="K1704" s="53"/>
      <c r="L1704" s="58"/>
      <c r="M1704" s="55"/>
      <c r="N1704" s="55"/>
    </row>
    <row r="1705" ht="15.75" customHeight="1">
      <c r="A1705" s="53">
        <f t="shared" si="7"/>
        <v>1700</v>
      </c>
      <c r="B1705" s="55"/>
      <c r="C1705" s="41"/>
      <c r="D1705" s="42"/>
      <c r="E1705" s="42"/>
      <c r="F1705" s="42" t="str">
        <f>+IFERROR(VLOOKUP(E1705,'DANH MỤC'!$C:$H,2,0),"")</f>
        <v/>
      </c>
      <c r="G1705" s="42" t="str">
        <f>+IFERROR(VLOOKUP(E1705,'DANH MỤC'!$C:$H,6,0),"")</f>
        <v/>
      </c>
      <c r="H1705" s="42" t="str">
        <f>+IFERROR(VLOOKUP(E1705,'DANH MỤC'!$C:$H,3,0),"")</f>
        <v/>
      </c>
      <c r="I1705" s="42" t="str">
        <f>+IFERROR(VLOOKUP(E1705,'DANH MỤC'!$C:$H,4,0),"")</f>
        <v/>
      </c>
      <c r="J1705" s="42" t="str">
        <f>+IFERROR(VLOOKUP(E1705,'DANH MỤC'!$C:$H,5,0),"")</f>
        <v/>
      </c>
      <c r="K1705" s="53"/>
      <c r="L1705" s="58"/>
      <c r="M1705" s="55"/>
      <c r="N1705" s="55"/>
    </row>
    <row r="1706" ht="15.75" customHeight="1">
      <c r="A1706" s="53">
        <f t="shared" si="7"/>
        <v>1701</v>
      </c>
      <c r="B1706" s="55"/>
      <c r="C1706" s="41"/>
      <c r="D1706" s="42"/>
      <c r="E1706" s="42"/>
      <c r="F1706" s="42" t="str">
        <f>+IFERROR(VLOOKUP(E1706,'DANH MỤC'!$C:$H,2,0),"")</f>
        <v/>
      </c>
      <c r="G1706" s="42" t="str">
        <f>+IFERROR(VLOOKUP(E1706,'DANH MỤC'!$C:$H,6,0),"")</f>
        <v/>
      </c>
      <c r="H1706" s="42" t="str">
        <f>+IFERROR(VLOOKUP(E1706,'DANH MỤC'!$C:$H,3,0),"")</f>
        <v/>
      </c>
      <c r="I1706" s="42" t="str">
        <f>+IFERROR(VLOOKUP(E1706,'DANH MỤC'!$C:$H,4,0),"")</f>
        <v/>
      </c>
      <c r="J1706" s="42" t="str">
        <f>+IFERROR(VLOOKUP(E1706,'DANH MỤC'!$C:$H,5,0),"")</f>
        <v/>
      </c>
      <c r="K1706" s="53"/>
      <c r="L1706" s="58"/>
      <c r="M1706" s="55"/>
      <c r="N1706" s="55"/>
    </row>
    <row r="1707" ht="15.75" customHeight="1">
      <c r="A1707" s="53">
        <f t="shared" si="7"/>
        <v>1702</v>
      </c>
      <c r="B1707" s="55"/>
      <c r="C1707" s="41"/>
      <c r="D1707" s="42"/>
      <c r="E1707" s="42"/>
      <c r="F1707" s="42" t="str">
        <f>+IFERROR(VLOOKUP(E1707,'DANH MỤC'!$C:$H,2,0),"")</f>
        <v/>
      </c>
      <c r="G1707" s="42" t="str">
        <f>+IFERROR(VLOOKUP(E1707,'DANH MỤC'!$C:$H,6,0),"")</f>
        <v/>
      </c>
      <c r="H1707" s="42" t="str">
        <f>+IFERROR(VLOOKUP(E1707,'DANH MỤC'!$C:$H,3,0),"")</f>
        <v/>
      </c>
      <c r="I1707" s="42" t="str">
        <f>+IFERROR(VLOOKUP(E1707,'DANH MỤC'!$C:$H,4,0),"")</f>
        <v/>
      </c>
      <c r="J1707" s="42" t="str">
        <f>+IFERROR(VLOOKUP(E1707,'DANH MỤC'!$C:$H,5,0),"")</f>
        <v/>
      </c>
      <c r="K1707" s="53"/>
      <c r="L1707" s="58"/>
      <c r="M1707" s="55"/>
      <c r="N1707" s="55"/>
    </row>
    <row r="1708" ht="15.75" customHeight="1">
      <c r="A1708" s="53">
        <f t="shared" si="7"/>
        <v>1703</v>
      </c>
      <c r="B1708" s="55"/>
      <c r="C1708" s="41"/>
      <c r="D1708" s="42"/>
      <c r="E1708" s="42"/>
      <c r="F1708" s="42" t="str">
        <f>+IFERROR(VLOOKUP(E1708,'DANH MỤC'!$C:$H,2,0),"")</f>
        <v/>
      </c>
      <c r="G1708" s="42" t="str">
        <f>+IFERROR(VLOOKUP(E1708,'DANH MỤC'!$C:$H,6,0),"")</f>
        <v/>
      </c>
      <c r="H1708" s="42" t="str">
        <f>+IFERROR(VLOOKUP(E1708,'DANH MỤC'!$C:$H,3,0),"")</f>
        <v/>
      </c>
      <c r="I1708" s="42" t="str">
        <f>+IFERROR(VLOOKUP(E1708,'DANH MỤC'!$C:$H,4,0),"")</f>
        <v/>
      </c>
      <c r="J1708" s="42" t="str">
        <f>+IFERROR(VLOOKUP(E1708,'DANH MỤC'!$C:$H,5,0),"")</f>
        <v/>
      </c>
      <c r="K1708" s="53"/>
      <c r="L1708" s="58"/>
      <c r="M1708" s="55"/>
      <c r="N1708" s="55"/>
    </row>
    <row r="1709" ht="15.75" customHeight="1">
      <c r="A1709" s="53">
        <f t="shared" si="7"/>
        <v>1704</v>
      </c>
      <c r="B1709" s="55"/>
      <c r="C1709" s="41"/>
      <c r="D1709" s="42"/>
      <c r="E1709" s="42"/>
      <c r="F1709" s="42" t="str">
        <f>+IFERROR(VLOOKUP(E1709,'DANH MỤC'!$C:$H,2,0),"")</f>
        <v/>
      </c>
      <c r="G1709" s="42" t="str">
        <f>+IFERROR(VLOOKUP(E1709,'DANH MỤC'!$C:$H,6,0),"")</f>
        <v/>
      </c>
      <c r="H1709" s="42" t="str">
        <f>+IFERROR(VLOOKUP(E1709,'DANH MỤC'!$C:$H,3,0),"")</f>
        <v/>
      </c>
      <c r="I1709" s="42" t="str">
        <f>+IFERROR(VLOOKUP(E1709,'DANH MỤC'!$C:$H,4,0),"")</f>
        <v/>
      </c>
      <c r="J1709" s="42" t="str">
        <f>+IFERROR(VLOOKUP(E1709,'DANH MỤC'!$C:$H,5,0),"")</f>
        <v/>
      </c>
      <c r="K1709" s="53"/>
      <c r="L1709" s="58"/>
      <c r="M1709" s="55"/>
      <c r="N1709" s="55"/>
    </row>
    <row r="1710" ht="15.75" customHeight="1">
      <c r="A1710" s="53">
        <f t="shared" si="7"/>
        <v>1705</v>
      </c>
      <c r="B1710" s="55"/>
      <c r="C1710" s="41"/>
      <c r="D1710" s="42"/>
      <c r="E1710" s="42"/>
      <c r="F1710" s="42" t="str">
        <f>+IFERROR(VLOOKUP(E1710,'DANH MỤC'!$C:$H,2,0),"")</f>
        <v/>
      </c>
      <c r="G1710" s="42" t="str">
        <f>+IFERROR(VLOOKUP(E1710,'DANH MỤC'!$C:$H,6,0),"")</f>
        <v/>
      </c>
      <c r="H1710" s="42" t="str">
        <f>+IFERROR(VLOOKUP(E1710,'DANH MỤC'!$C:$H,3,0),"")</f>
        <v/>
      </c>
      <c r="I1710" s="42" t="str">
        <f>+IFERROR(VLOOKUP(E1710,'DANH MỤC'!$C:$H,4,0),"")</f>
        <v/>
      </c>
      <c r="J1710" s="42" t="str">
        <f>+IFERROR(VLOOKUP(E1710,'DANH MỤC'!$C:$H,5,0),"")</f>
        <v/>
      </c>
      <c r="K1710" s="53"/>
      <c r="L1710" s="58"/>
      <c r="M1710" s="55"/>
      <c r="N1710" s="55"/>
    </row>
    <row r="1711" ht="15.75" customHeight="1">
      <c r="A1711" s="53">
        <f t="shared" si="7"/>
        <v>1706</v>
      </c>
      <c r="B1711" s="55"/>
      <c r="C1711" s="41"/>
      <c r="D1711" s="42"/>
      <c r="E1711" s="42"/>
      <c r="F1711" s="42" t="str">
        <f>+IFERROR(VLOOKUP(E1711,'DANH MỤC'!$C:$H,2,0),"")</f>
        <v/>
      </c>
      <c r="G1711" s="42" t="str">
        <f>+IFERROR(VLOOKUP(E1711,'DANH MỤC'!$C:$H,6,0),"")</f>
        <v/>
      </c>
      <c r="H1711" s="42" t="str">
        <f>+IFERROR(VLOOKUP(E1711,'DANH MỤC'!$C:$H,3,0),"")</f>
        <v/>
      </c>
      <c r="I1711" s="42" t="str">
        <f>+IFERROR(VLOOKUP(E1711,'DANH MỤC'!$C:$H,4,0),"")</f>
        <v/>
      </c>
      <c r="J1711" s="42" t="str">
        <f>+IFERROR(VLOOKUP(E1711,'DANH MỤC'!$C:$H,5,0),"")</f>
        <v/>
      </c>
      <c r="K1711" s="53"/>
      <c r="L1711" s="58"/>
      <c r="M1711" s="55"/>
      <c r="N1711" s="55"/>
    </row>
    <row r="1712" ht="15.75" customHeight="1">
      <c r="A1712" s="53">
        <f t="shared" si="7"/>
        <v>1707</v>
      </c>
      <c r="B1712" s="55"/>
      <c r="C1712" s="41"/>
      <c r="D1712" s="42"/>
      <c r="E1712" s="42"/>
      <c r="F1712" s="42" t="str">
        <f>+IFERROR(VLOOKUP(E1712,'DANH MỤC'!$C:$H,2,0),"")</f>
        <v/>
      </c>
      <c r="G1712" s="42" t="str">
        <f>+IFERROR(VLOOKUP(E1712,'DANH MỤC'!$C:$H,6,0),"")</f>
        <v/>
      </c>
      <c r="H1712" s="42" t="str">
        <f>+IFERROR(VLOOKUP(E1712,'DANH MỤC'!$C:$H,3,0),"")</f>
        <v/>
      </c>
      <c r="I1712" s="42" t="str">
        <f>+IFERROR(VLOOKUP(E1712,'DANH MỤC'!$C:$H,4,0),"")</f>
        <v/>
      </c>
      <c r="J1712" s="42" t="str">
        <f>+IFERROR(VLOOKUP(E1712,'DANH MỤC'!$C:$H,5,0),"")</f>
        <v/>
      </c>
      <c r="K1712" s="53"/>
      <c r="L1712" s="58"/>
      <c r="M1712" s="55"/>
      <c r="N1712" s="55"/>
    </row>
    <row r="1713" ht="15.75" customHeight="1">
      <c r="A1713" s="53">
        <f t="shared" si="7"/>
        <v>1708</v>
      </c>
      <c r="B1713" s="55"/>
      <c r="C1713" s="41"/>
      <c r="D1713" s="42"/>
      <c r="E1713" s="42"/>
      <c r="F1713" s="42" t="str">
        <f>+IFERROR(VLOOKUP(E1713,'DANH MỤC'!$C:$H,2,0),"")</f>
        <v/>
      </c>
      <c r="G1713" s="42" t="str">
        <f>+IFERROR(VLOOKUP(E1713,'DANH MỤC'!$C:$H,6,0),"")</f>
        <v/>
      </c>
      <c r="H1713" s="42" t="str">
        <f>+IFERROR(VLOOKUP(E1713,'DANH MỤC'!$C:$H,3,0),"")</f>
        <v/>
      </c>
      <c r="I1713" s="42" t="str">
        <f>+IFERROR(VLOOKUP(E1713,'DANH MỤC'!$C:$H,4,0),"")</f>
        <v/>
      </c>
      <c r="J1713" s="42" t="str">
        <f>+IFERROR(VLOOKUP(E1713,'DANH MỤC'!$C:$H,5,0),"")</f>
        <v/>
      </c>
      <c r="K1713" s="53"/>
      <c r="L1713" s="58"/>
      <c r="M1713" s="55"/>
      <c r="N1713" s="55"/>
    </row>
    <row r="1714" ht="15.75" customHeight="1">
      <c r="A1714" s="53">
        <f t="shared" si="7"/>
        <v>1709</v>
      </c>
      <c r="B1714" s="55"/>
      <c r="C1714" s="41"/>
      <c r="D1714" s="42"/>
      <c r="E1714" s="42"/>
      <c r="F1714" s="42" t="str">
        <f>+IFERROR(VLOOKUP(E1714,'DANH MỤC'!$C:$H,2,0),"")</f>
        <v/>
      </c>
      <c r="G1714" s="42" t="str">
        <f>+IFERROR(VLOOKUP(E1714,'DANH MỤC'!$C:$H,6,0),"")</f>
        <v/>
      </c>
      <c r="H1714" s="42" t="str">
        <f>+IFERROR(VLOOKUP(E1714,'DANH MỤC'!$C:$H,3,0),"")</f>
        <v/>
      </c>
      <c r="I1714" s="42" t="str">
        <f>+IFERROR(VLOOKUP(E1714,'DANH MỤC'!$C:$H,4,0),"")</f>
        <v/>
      </c>
      <c r="J1714" s="42" t="str">
        <f>+IFERROR(VLOOKUP(E1714,'DANH MỤC'!$C:$H,5,0),"")</f>
        <v/>
      </c>
      <c r="K1714" s="53"/>
      <c r="L1714" s="58"/>
      <c r="M1714" s="55"/>
      <c r="N1714" s="55"/>
    </row>
    <row r="1715" ht="15.75" customHeight="1">
      <c r="A1715" s="53">
        <f t="shared" si="7"/>
        <v>1710</v>
      </c>
      <c r="B1715" s="55"/>
      <c r="C1715" s="41"/>
      <c r="D1715" s="42"/>
      <c r="E1715" s="42"/>
      <c r="F1715" s="42" t="str">
        <f>+IFERROR(VLOOKUP(E1715,'DANH MỤC'!$C:$H,2,0),"")</f>
        <v/>
      </c>
      <c r="G1715" s="42" t="str">
        <f>+IFERROR(VLOOKUP(E1715,'DANH MỤC'!$C:$H,6,0),"")</f>
        <v/>
      </c>
      <c r="H1715" s="42" t="str">
        <f>+IFERROR(VLOOKUP(E1715,'DANH MỤC'!$C:$H,3,0),"")</f>
        <v/>
      </c>
      <c r="I1715" s="42" t="str">
        <f>+IFERROR(VLOOKUP(E1715,'DANH MỤC'!$C:$H,4,0),"")</f>
        <v/>
      </c>
      <c r="J1715" s="42" t="str">
        <f>+IFERROR(VLOOKUP(E1715,'DANH MỤC'!$C:$H,5,0),"")</f>
        <v/>
      </c>
      <c r="K1715" s="53"/>
      <c r="L1715" s="58"/>
      <c r="M1715" s="55"/>
      <c r="N1715" s="55"/>
    </row>
    <row r="1716" ht="15.75" customHeight="1">
      <c r="A1716" s="53">
        <f t="shared" si="7"/>
        <v>1711</v>
      </c>
      <c r="B1716" s="55"/>
      <c r="C1716" s="41"/>
      <c r="D1716" s="42"/>
      <c r="E1716" s="42"/>
      <c r="F1716" s="42" t="str">
        <f>+IFERROR(VLOOKUP(E1716,'DANH MỤC'!$C:$H,2,0),"")</f>
        <v/>
      </c>
      <c r="G1716" s="42" t="str">
        <f>+IFERROR(VLOOKUP(E1716,'DANH MỤC'!$C:$H,6,0),"")</f>
        <v/>
      </c>
      <c r="H1716" s="42" t="str">
        <f>+IFERROR(VLOOKUP(E1716,'DANH MỤC'!$C:$H,3,0),"")</f>
        <v/>
      </c>
      <c r="I1716" s="42" t="str">
        <f>+IFERROR(VLOOKUP(E1716,'DANH MỤC'!$C:$H,4,0),"")</f>
        <v/>
      </c>
      <c r="J1716" s="42" t="str">
        <f>+IFERROR(VLOOKUP(E1716,'DANH MỤC'!$C:$H,5,0),"")</f>
        <v/>
      </c>
      <c r="K1716" s="53"/>
      <c r="L1716" s="58"/>
      <c r="M1716" s="55"/>
      <c r="N1716" s="55"/>
    </row>
    <row r="1717" ht="15.75" customHeight="1">
      <c r="A1717" s="53">
        <f t="shared" si="7"/>
        <v>1712</v>
      </c>
      <c r="B1717" s="55"/>
      <c r="C1717" s="41"/>
      <c r="D1717" s="42"/>
      <c r="E1717" s="42"/>
      <c r="F1717" s="42" t="str">
        <f>+IFERROR(VLOOKUP(E1717,'DANH MỤC'!$C:$H,2,0),"")</f>
        <v/>
      </c>
      <c r="G1717" s="42" t="str">
        <f>+IFERROR(VLOOKUP(E1717,'DANH MỤC'!$C:$H,6,0),"")</f>
        <v/>
      </c>
      <c r="H1717" s="42" t="str">
        <f>+IFERROR(VLOOKUP(E1717,'DANH MỤC'!$C:$H,3,0),"")</f>
        <v/>
      </c>
      <c r="I1717" s="42" t="str">
        <f>+IFERROR(VLOOKUP(E1717,'DANH MỤC'!$C:$H,4,0),"")</f>
        <v/>
      </c>
      <c r="J1717" s="42" t="str">
        <f>+IFERROR(VLOOKUP(E1717,'DANH MỤC'!$C:$H,5,0),"")</f>
        <v/>
      </c>
      <c r="K1717" s="53"/>
      <c r="L1717" s="58"/>
      <c r="M1717" s="55"/>
      <c r="N1717" s="55"/>
    </row>
    <row r="1718" ht="15.75" customHeight="1">
      <c r="A1718" s="53">
        <f t="shared" si="7"/>
        <v>1713</v>
      </c>
      <c r="B1718" s="55"/>
      <c r="C1718" s="41"/>
      <c r="D1718" s="42"/>
      <c r="E1718" s="42"/>
      <c r="F1718" s="42" t="str">
        <f>+IFERROR(VLOOKUP(E1718,'DANH MỤC'!$C:$H,2,0),"")</f>
        <v/>
      </c>
      <c r="G1718" s="42" t="str">
        <f>+IFERROR(VLOOKUP(E1718,'DANH MỤC'!$C:$H,6,0),"")</f>
        <v/>
      </c>
      <c r="H1718" s="42" t="str">
        <f>+IFERROR(VLOOKUP(E1718,'DANH MỤC'!$C:$H,3,0),"")</f>
        <v/>
      </c>
      <c r="I1718" s="42" t="str">
        <f>+IFERROR(VLOOKUP(E1718,'DANH MỤC'!$C:$H,4,0),"")</f>
        <v/>
      </c>
      <c r="J1718" s="42" t="str">
        <f>+IFERROR(VLOOKUP(E1718,'DANH MỤC'!$C:$H,5,0),"")</f>
        <v/>
      </c>
      <c r="K1718" s="53"/>
      <c r="L1718" s="58"/>
      <c r="M1718" s="55"/>
      <c r="N1718" s="55"/>
    </row>
    <row r="1719" ht="15.75" customHeight="1">
      <c r="A1719" s="53">
        <f t="shared" si="7"/>
        <v>1714</v>
      </c>
      <c r="B1719" s="55"/>
      <c r="C1719" s="41"/>
      <c r="D1719" s="42"/>
      <c r="E1719" s="42"/>
      <c r="F1719" s="42" t="str">
        <f>+IFERROR(VLOOKUP(E1719,'DANH MỤC'!$C:$H,2,0),"")</f>
        <v/>
      </c>
      <c r="G1719" s="42" t="str">
        <f>+IFERROR(VLOOKUP(E1719,'DANH MỤC'!$C:$H,6,0),"")</f>
        <v/>
      </c>
      <c r="H1719" s="42" t="str">
        <f>+IFERROR(VLOOKUP(E1719,'DANH MỤC'!$C:$H,3,0),"")</f>
        <v/>
      </c>
      <c r="I1719" s="42" t="str">
        <f>+IFERROR(VLOOKUP(E1719,'DANH MỤC'!$C:$H,4,0),"")</f>
        <v/>
      </c>
      <c r="J1719" s="42" t="str">
        <f>+IFERROR(VLOOKUP(E1719,'DANH MỤC'!$C:$H,5,0),"")</f>
        <v/>
      </c>
      <c r="K1719" s="53"/>
      <c r="L1719" s="58"/>
      <c r="M1719" s="55"/>
      <c r="N1719" s="55"/>
    </row>
    <row r="1720" ht="15.75" customHeight="1">
      <c r="A1720" s="53">
        <f t="shared" si="7"/>
        <v>1715</v>
      </c>
      <c r="B1720" s="55"/>
      <c r="C1720" s="41"/>
      <c r="D1720" s="42"/>
      <c r="E1720" s="42"/>
      <c r="F1720" s="42" t="str">
        <f>+IFERROR(VLOOKUP(E1720,'DANH MỤC'!$C:$H,2,0),"")</f>
        <v/>
      </c>
      <c r="G1720" s="42" t="str">
        <f>+IFERROR(VLOOKUP(E1720,'DANH MỤC'!$C:$H,6,0),"")</f>
        <v/>
      </c>
      <c r="H1720" s="42" t="str">
        <f>+IFERROR(VLOOKUP(E1720,'DANH MỤC'!$C:$H,3,0),"")</f>
        <v/>
      </c>
      <c r="I1720" s="42" t="str">
        <f>+IFERROR(VLOOKUP(E1720,'DANH MỤC'!$C:$H,4,0),"")</f>
        <v/>
      </c>
      <c r="J1720" s="42" t="str">
        <f>+IFERROR(VLOOKUP(E1720,'DANH MỤC'!$C:$H,5,0),"")</f>
        <v/>
      </c>
      <c r="K1720" s="53"/>
      <c r="L1720" s="58"/>
      <c r="M1720" s="55"/>
      <c r="N1720" s="55"/>
    </row>
    <row r="1721" ht="15.75" customHeight="1">
      <c r="A1721" s="53">
        <f t="shared" si="7"/>
        <v>1716</v>
      </c>
      <c r="B1721" s="55"/>
      <c r="C1721" s="41"/>
      <c r="D1721" s="42"/>
      <c r="E1721" s="42"/>
      <c r="F1721" s="42" t="str">
        <f>+IFERROR(VLOOKUP(E1721,'DANH MỤC'!$C:$H,2,0),"")</f>
        <v/>
      </c>
      <c r="G1721" s="42" t="str">
        <f>+IFERROR(VLOOKUP(E1721,'DANH MỤC'!$C:$H,6,0),"")</f>
        <v/>
      </c>
      <c r="H1721" s="42" t="str">
        <f>+IFERROR(VLOOKUP(E1721,'DANH MỤC'!$C:$H,3,0),"")</f>
        <v/>
      </c>
      <c r="I1721" s="42" t="str">
        <f>+IFERROR(VLOOKUP(E1721,'DANH MỤC'!$C:$H,4,0),"")</f>
        <v/>
      </c>
      <c r="J1721" s="42" t="str">
        <f>+IFERROR(VLOOKUP(E1721,'DANH MỤC'!$C:$H,5,0),"")</f>
        <v/>
      </c>
      <c r="K1721" s="53"/>
      <c r="L1721" s="58"/>
      <c r="M1721" s="55"/>
      <c r="N1721" s="55"/>
    </row>
    <row r="1722" ht="15.75" customHeight="1">
      <c r="A1722" s="53">
        <f t="shared" si="7"/>
        <v>1717</v>
      </c>
      <c r="B1722" s="55"/>
      <c r="C1722" s="41"/>
      <c r="D1722" s="42"/>
      <c r="E1722" s="42"/>
      <c r="F1722" s="42" t="str">
        <f>+IFERROR(VLOOKUP(E1722,'DANH MỤC'!$C:$H,2,0),"")</f>
        <v/>
      </c>
      <c r="G1722" s="42" t="str">
        <f>+IFERROR(VLOOKUP(E1722,'DANH MỤC'!$C:$H,6,0),"")</f>
        <v/>
      </c>
      <c r="H1722" s="42" t="str">
        <f>+IFERROR(VLOOKUP(E1722,'DANH MỤC'!$C:$H,3,0),"")</f>
        <v/>
      </c>
      <c r="I1722" s="42" t="str">
        <f>+IFERROR(VLOOKUP(E1722,'DANH MỤC'!$C:$H,4,0),"")</f>
        <v/>
      </c>
      <c r="J1722" s="42" t="str">
        <f>+IFERROR(VLOOKUP(E1722,'DANH MỤC'!$C:$H,5,0),"")</f>
        <v/>
      </c>
      <c r="K1722" s="53"/>
      <c r="L1722" s="58"/>
      <c r="M1722" s="55"/>
      <c r="N1722" s="55"/>
    </row>
    <row r="1723" ht="15.75" customHeight="1">
      <c r="A1723" s="53">
        <f t="shared" si="7"/>
        <v>1718</v>
      </c>
      <c r="B1723" s="55"/>
      <c r="C1723" s="41"/>
      <c r="D1723" s="42"/>
      <c r="E1723" s="42"/>
      <c r="F1723" s="42" t="str">
        <f>+IFERROR(VLOOKUP(E1723,'DANH MỤC'!$C:$H,2,0),"")</f>
        <v/>
      </c>
      <c r="G1723" s="42" t="str">
        <f>+IFERROR(VLOOKUP(E1723,'DANH MỤC'!$C:$H,6,0),"")</f>
        <v/>
      </c>
      <c r="H1723" s="42" t="str">
        <f>+IFERROR(VLOOKUP(E1723,'DANH MỤC'!$C:$H,3,0),"")</f>
        <v/>
      </c>
      <c r="I1723" s="42" t="str">
        <f>+IFERROR(VLOOKUP(E1723,'DANH MỤC'!$C:$H,4,0),"")</f>
        <v/>
      </c>
      <c r="J1723" s="42" t="str">
        <f>+IFERROR(VLOOKUP(E1723,'DANH MỤC'!$C:$H,5,0),"")</f>
        <v/>
      </c>
      <c r="K1723" s="53"/>
      <c r="L1723" s="58"/>
      <c r="M1723" s="55"/>
      <c r="N1723" s="55"/>
    </row>
    <row r="1724" ht="15.75" customHeight="1">
      <c r="A1724" s="53">
        <f t="shared" si="7"/>
        <v>1719</v>
      </c>
      <c r="B1724" s="55"/>
      <c r="C1724" s="41"/>
      <c r="D1724" s="42"/>
      <c r="E1724" s="42"/>
      <c r="F1724" s="42" t="str">
        <f>+IFERROR(VLOOKUP(E1724,'DANH MỤC'!$C:$H,2,0),"")</f>
        <v/>
      </c>
      <c r="G1724" s="42" t="str">
        <f>+IFERROR(VLOOKUP(E1724,'DANH MỤC'!$C:$H,6,0),"")</f>
        <v/>
      </c>
      <c r="H1724" s="42" t="str">
        <f>+IFERROR(VLOOKUP(E1724,'DANH MỤC'!$C:$H,3,0),"")</f>
        <v/>
      </c>
      <c r="I1724" s="42" t="str">
        <f>+IFERROR(VLOOKUP(E1724,'DANH MỤC'!$C:$H,4,0),"")</f>
        <v/>
      </c>
      <c r="J1724" s="42" t="str">
        <f>+IFERROR(VLOOKUP(E1724,'DANH MỤC'!$C:$H,5,0),"")</f>
        <v/>
      </c>
      <c r="K1724" s="53"/>
      <c r="L1724" s="58"/>
      <c r="M1724" s="55"/>
      <c r="N1724" s="55"/>
    </row>
    <row r="1725" ht="15.75" customHeight="1">
      <c r="A1725" s="53">
        <f t="shared" si="7"/>
        <v>1720</v>
      </c>
      <c r="B1725" s="55"/>
      <c r="C1725" s="41"/>
      <c r="D1725" s="42"/>
      <c r="E1725" s="42"/>
      <c r="F1725" s="42" t="str">
        <f>+IFERROR(VLOOKUP(E1725,'DANH MỤC'!$C:$H,2,0),"")</f>
        <v/>
      </c>
      <c r="G1725" s="42" t="str">
        <f>+IFERROR(VLOOKUP(E1725,'DANH MỤC'!$C:$H,6,0),"")</f>
        <v/>
      </c>
      <c r="H1725" s="42" t="str">
        <f>+IFERROR(VLOOKUP(E1725,'DANH MỤC'!$C:$H,3,0),"")</f>
        <v/>
      </c>
      <c r="I1725" s="42" t="str">
        <f>+IFERROR(VLOOKUP(E1725,'DANH MỤC'!$C:$H,4,0),"")</f>
        <v/>
      </c>
      <c r="J1725" s="42" t="str">
        <f>+IFERROR(VLOOKUP(E1725,'DANH MỤC'!$C:$H,5,0),"")</f>
        <v/>
      </c>
      <c r="K1725" s="53"/>
      <c r="L1725" s="58"/>
      <c r="M1725" s="55"/>
      <c r="N1725" s="55"/>
    </row>
    <row r="1726" ht="15.75" customHeight="1">
      <c r="A1726" s="53">
        <f t="shared" si="7"/>
        <v>1721</v>
      </c>
      <c r="B1726" s="55"/>
      <c r="C1726" s="41"/>
      <c r="D1726" s="42"/>
      <c r="E1726" s="42"/>
      <c r="F1726" s="42" t="str">
        <f>+IFERROR(VLOOKUP(E1726,'DANH MỤC'!$C:$H,2,0),"")</f>
        <v/>
      </c>
      <c r="G1726" s="42" t="str">
        <f>+IFERROR(VLOOKUP(E1726,'DANH MỤC'!$C:$H,6,0),"")</f>
        <v/>
      </c>
      <c r="H1726" s="42" t="str">
        <f>+IFERROR(VLOOKUP(E1726,'DANH MỤC'!$C:$H,3,0),"")</f>
        <v/>
      </c>
      <c r="I1726" s="42" t="str">
        <f>+IFERROR(VLOOKUP(E1726,'DANH MỤC'!$C:$H,4,0),"")</f>
        <v/>
      </c>
      <c r="J1726" s="42" t="str">
        <f>+IFERROR(VLOOKUP(E1726,'DANH MỤC'!$C:$H,5,0),"")</f>
        <v/>
      </c>
      <c r="K1726" s="53"/>
      <c r="L1726" s="58"/>
      <c r="M1726" s="55"/>
      <c r="N1726" s="55"/>
    </row>
    <row r="1727" ht="15.75" customHeight="1">
      <c r="A1727" s="53">
        <f t="shared" si="7"/>
        <v>1722</v>
      </c>
      <c r="B1727" s="55"/>
      <c r="C1727" s="41"/>
      <c r="D1727" s="42"/>
      <c r="E1727" s="42"/>
      <c r="F1727" s="42" t="str">
        <f>+IFERROR(VLOOKUP(E1727,'DANH MỤC'!$C:$H,2,0),"")</f>
        <v/>
      </c>
      <c r="G1727" s="42" t="str">
        <f>+IFERROR(VLOOKUP(E1727,'DANH MỤC'!$C:$H,6,0),"")</f>
        <v/>
      </c>
      <c r="H1727" s="42" t="str">
        <f>+IFERROR(VLOOKUP(E1727,'DANH MỤC'!$C:$H,3,0),"")</f>
        <v/>
      </c>
      <c r="I1727" s="42" t="str">
        <f>+IFERROR(VLOOKUP(E1727,'DANH MỤC'!$C:$H,4,0),"")</f>
        <v/>
      </c>
      <c r="J1727" s="42" t="str">
        <f>+IFERROR(VLOOKUP(E1727,'DANH MỤC'!$C:$H,5,0),"")</f>
        <v/>
      </c>
      <c r="K1727" s="53"/>
      <c r="L1727" s="58"/>
      <c r="M1727" s="55"/>
      <c r="N1727" s="55"/>
    </row>
    <row r="1728" ht="15.75" customHeight="1">
      <c r="A1728" s="53">
        <f t="shared" si="7"/>
        <v>1723</v>
      </c>
      <c r="B1728" s="55"/>
      <c r="C1728" s="41"/>
      <c r="D1728" s="42"/>
      <c r="E1728" s="42"/>
      <c r="F1728" s="42" t="str">
        <f>+IFERROR(VLOOKUP(E1728,'DANH MỤC'!$C:$H,2,0),"")</f>
        <v/>
      </c>
      <c r="G1728" s="42" t="str">
        <f>+IFERROR(VLOOKUP(E1728,'DANH MỤC'!$C:$H,6,0),"")</f>
        <v/>
      </c>
      <c r="H1728" s="42" t="str">
        <f>+IFERROR(VLOOKUP(E1728,'DANH MỤC'!$C:$H,3,0),"")</f>
        <v/>
      </c>
      <c r="I1728" s="42" t="str">
        <f>+IFERROR(VLOOKUP(E1728,'DANH MỤC'!$C:$H,4,0),"")</f>
        <v/>
      </c>
      <c r="J1728" s="42" t="str">
        <f>+IFERROR(VLOOKUP(E1728,'DANH MỤC'!$C:$H,5,0),"")</f>
        <v/>
      </c>
      <c r="K1728" s="53"/>
      <c r="L1728" s="58"/>
      <c r="M1728" s="55"/>
      <c r="N1728" s="55"/>
    </row>
    <row r="1729" ht="15.75" customHeight="1">
      <c r="A1729" s="53">
        <f t="shared" si="7"/>
        <v>1724</v>
      </c>
      <c r="B1729" s="55"/>
      <c r="C1729" s="41"/>
      <c r="D1729" s="42"/>
      <c r="E1729" s="42"/>
      <c r="F1729" s="42" t="str">
        <f>+IFERROR(VLOOKUP(E1729,'DANH MỤC'!$C:$H,2,0),"")</f>
        <v/>
      </c>
      <c r="G1729" s="42" t="str">
        <f>+IFERROR(VLOOKUP(E1729,'DANH MỤC'!$C:$H,6,0),"")</f>
        <v/>
      </c>
      <c r="H1729" s="42" t="str">
        <f>+IFERROR(VLOOKUP(E1729,'DANH MỤC'!$C:$H,3,0),"")</f>
        <v/>
      </c>
      <c r="I1729" s="42" t="str">
        <f>+IFERROR(VLOOKUP(E1729,'DANH MỤC'!$C:$H,4,0),"")</f>
        <v/>
      </c>
      <c r="J1729" s="42" t="str">
        <f>+IFERROR(VLOOKUP(E1729,'DANH MỤC'!$C:$H,5,0),"")</f>
        <v/>
      </c>
      <c r="K1729" s="53"/>
      <c r="L1729" s="58"/>
      <c r="M1729" s="55"/>
      <c r="N1729" s="55"/>
    </row>
    <row r="1730" ht="15.75" customHeight="1">
      <c r="A1730" s="53">
        <f t="shared" si="7"/>
        <v>1725</v>
      </c>
      <c r="B1730" s="55"/>
      <c r="C1730" s="41"/>
      <c r="D1730" s="42"/>
      <c r="E1730" s="42"/>
      <c r="F1730" s="42" t="str">
        <f>+IFERROR(VLOOKUP(E1730,'DANH MỤC'!$C:$H,2,0),"")</f>
        <v/>
      </c>
      <c r="G1730" s="42" t="str">
        <f>+IFERROR(VLOOKUP(E1730,'DANH MỤC'!$C:$H,6,0),"")</f>
        <v/>
      </c>
      <c r="H1730" s="42" t="str">
        <f>+IFERROR(VLOOKUP(E1730,'DANH MỤC'!$C:$H,3,0),"")</f>
        <v/>
      </c>
      <c r="I1730" s="42" t="str">
        <f>+IFERROR(VLOOKUP(E1730,'DANH MỤC'!$C:$H,4,0),"")</f>
        <v/>
      </c>
      <c r="J1730" s="42" t="str">
        <f>+IFERROR(VLOOKUP(E1730,'DANH MỤC'!$C:$H,5,0),"")</f>
        <v/>
      </c>
      <c r="K1730" s="53"/>
      <c r="L1730" s="58"/>
      <c r="M1730" s="55"/>
      <c r="N1730" s="55"/>
    </row>
    <row r="1731" ht="15.75" customHeight="1">
      <c r="A1731" s="53">
        <f t="shared" si="7"/>
        <v>1726</v>
      </c>
      <c r="B1731" s="55"/>
      <c r="C1731" s="41"/>
      <c r="D1731" s="42"/>
      <c r="E1731" s="42"/>
      <c r="F1731" s="42" t="str">
        <f>+IFERROR(VLOOKUP(E1731,'DANH MỤC'!$C:$H,2,0),"")</f>
        <v/>
      </c>
      <c r="G1731" s="42" t="str">
        <f>+IFERROR(VLOOKUP(E1731,'DANH MỤC'!$C:$H,6,0),"")</f>
        <v/>
      </c>
      <c r="H1731" s="42" t="str">
        <f>+IFERROR(VLOOKUP(E1731,'DANH MỤC'!$C:$H,3,0),"")</f>
        <v/>
      </c>
      <c r="I1731" s="42" t="str">
        <f>+IFERROR(VLOOKUP(E1731,'DANH MỤC'!$C:$H,4,0),"")</f>
        <v/>
      </c>
      <c r="J1731" s="42" t="str">
        <f>+IFERROR(VLOOKUP(E1731,'DANH MỤC'!$C:$H,5,0),"")</f>
        <v/>
      </c>
      <c r="K1731" s="53"/>
      <c r="L1731" s="58"/>
      <c r="M1731" s="55"/>
      <c r="N1731" s="55"/>
    </row>
    <row r="1732" ht="15.75" customHeight="1">
      <c r="A1732" s="53">
        <f t="shared" si="7"/>
        <v>1727</v>
      </c>
      <c r="B1732" s="55"/>
      <c r="C1732" s="41"/>
      <c r="D1732" s="42"/>
      <c r="E1732" s="42"/>
      <c r="F1732" s="42" t="str">
        <f>+IFERROR(VLOOKUP(E1732,'DANH MỤC'!$C:$H,2,0),"")</f>
        <v/>
      </c>
      <c r="G1732" s="42" t="str">
        <f>+IFERROR(VLOOKUP(E1732,'DANH MỤC'!$C:$H,6,0),"")</f>
        <v/>
      </c>
      <c r="H1732" s="42" t="str">
        <f>+IFERROR(VLOOKUP(E1732,'DANH MỤC'!$C:$H,3,0),"")</f>
        <v/>
      </c>
      <c r="I1732" s="42" t="str">
        <f>+IFERROR(VLOOKUP(E1732,'DANH MỤC'!$C:$H,4,0),"")</f>
        <v/>
      </c>
      <c r="J1732" s="42" t="str">
        <f>+IFERROR(VLOOKUP(E1732,'DANH MỤC'!$C:$H,5,0),"")</f>
        <v/>
      </c>
      <c r="K1732" s="53"/>
      <c r="L1732" s="58"/>
      <c r="M1732" s="55"/>
      <c r="N1732" s="55"/>
    </row>
    <row r="1733" ht="15.75" customHeight="1">
      <c r="A1733" s="53">
        <f t="shared" si="7"/>
        <v>1728</v>
      </c>
      <c r="B1733" s="55"/>
      <c r="C1733" s="41"/>
      <c r="D1733" s="42"/>
      <c r="E1733" s="42"/>
      <c r="F1733" s="42" t="str">
        <f>+IFERROR(VLOOKUP(E1733,'DANH MỤC'!$C:$H,2,0),"")</f>
        <v/>
      </c>
      <c r="G1733" s="42" t="str">
        <f>+IFERROR(VLOOKUP(E1733,'DANH MỤC'!$C:$H,6,0),"")</f>
        <v/>
      </c>
      <c r="H1733" s="42" t="str">
        <f>+IFERROR(VLOOKUP(E1733,'DANH MỤC'!$C:$H,3,0),"")</f>
        <v/>
      </c>
      <c r="I1733" s="42" t="str">
        <f>+IFERROR(VLOOKUP(E1733,'DANH MỤC'!$C:$H,4,0),"")</f>
        <v/>
      </c>
      <c r="J1733" s="42" t="str">
        <f>+IFERROR(VLOOKUP(E1733,'DANH MỤC'!$C:$H,5,0),"")</f>
        <v/>
      </c>
      <c r="K1733" s="53"/>
      <c r="L1733" s="58"/>
      <c r="M1733" s="55"/>
      <c r="N1733" s="55"/>
    </row>
    <row r="1734" ht="15.75" customHeight="1">
      <c r="A1734" s="53">
        <f t="shared" si="7"/>
        <v>1729</v>
      </c>
      <c r="B1734" s="55"/>
      <c r="C1734" s="41"/>
      <c r="D1734" s="42"/>
      <c r="E1734" s="42"/>
      <c r="F1734" s="42" t="str">
        <f>+IFERROR(VLOOKUP(E1734,'DANH MỤC'!$C:$H,2,0),"")</f>
        <v/>
      </c>
      <c r="G1734" s="42" t="str">
        <f>+IFERROR(VLOOKUP(E1734,'DANH MỤC'!$C:$H,6,0),"")</f>
        <v/>
      </c>
      <c r="H1734" s="42" t="str">
        <f>+IFERROR(VLOOKUP(E1734,'DANH MỤC'!$C:$H,3,0),"")</f>
        <v/>
      </c>
      <c r="I1734" s="42" t="str">
        <f>+IFERROR(VLOOKUP(E1734,'DANH MỤC'!$C:$H,4,0),"")</f>
        <v/>
      </c>
      <c r="J1734" s="42" t="str">
        <f>+IFERROR(VLOOKUP(E1734,'DANH MỤC'!$C:$H,5,0),"")</f>
        <v/>
      </c>
      <c r="K1734" s="53"/>
      <c r="L1734" s="58"/>
      <c r="M1734" s="55"/>
      <c r="N1734" s="55"/>
    </row>
    <row r="1735" ht="15.75" customHeight="1">
      <c r="A1735" s="53">
        <f t="shared" si="7"/>
        <v>1730</v>
      </c>
      <c r="B1735" s="55"/>
      <c r="C1735" s="41"/>
      <c r="D1735" s="42"/>
      <c r="E1735" s="42"/>
      <c r="F1735" s="42" t="str">
        <f>+IFERROR(VLOOKUP(E1735,'DANH MỤC'!$C:$H,2,0),"")</f>
        <v/>
      </c>
      <c r="G1735" s="42" t="str">
        <f>+IFERROR(VLOOKUP(E1735,'DANH MỤC'!$C:$H,6,0),"")</f>
        <v/>
      </c>
      <c r="H1735" s="42" t="str">
        <f>+IFERROR(VLOOKUP(E1735,'DANH MỤC'!$C:$H,3,0),"")</f>
        <v/>
      </c>
      <c r="I1735" s="42" t="str">
        <f>+IFERROR(VLOOKUP(E1735,'DANH MỤC'!$C:$H,4,0),"")</f>
        <v/>
      </c>
      <c r="J1735" s="42" t="str">
        <f>+IFERROR(VLOOKUP(E1735,'DANH MỤC'!$C:$H,5,0),"")</f>
        <v/>
      </c>
      <c r="K1735" s="53"/>
      <c r="L1735" s="58"/>
      <c r="M1735" s="55"/>
      <c r="N1735" s="55"/>
    </row>
    <row r="1736" ht="15.75" customHeight="1">
      <c r="A1736" s="53">
        <f t="shared" si="7"/>
        <v>1731</v>
      </c>
      <c r="B1736" s="55"/>
      <c r="C1736" s="41"/>
      <c r="D1736" s="42"/>
      <c r="E1736" s="42"/>
      <c r="F1736" s="42" t="str">
        <f>+IFERROR(VLOOKUP(E1736,'DANH MỤC'!$C:$H,2,0),"")</f>
        <v/>
      </c>
      <c r="G1736" s="42" t="str">
        <f>+IFERROR(VLOOKUP(E1736,'DANH MỤC'!$C:$H,6,0),"")</f>
        <v/>
      </c>
      <c r="H1736" s="42" t="str">
        <f>+IFERROR(VLOOKUP(E1736,'DANH MỤC'!$C:$H,3,0),"")</f>
        <v/>
      </c>
      <c r="I1736" s="42" t="str">
        <f>+IFERROR(VLOOKUP(E1736,'DANH MỤC'!$C:$H,4,0),"")</f>
        <v/>
      </c>
      <c r="J1736" s="42" t="str">
        <f>+IFERROR(VLOOKUP(E1736,'DANH MỤC'!$C:$H,5,0),"")</f>
        <v/>
      </c>
      <c r="K1736" s="53"/>
      <c r="L1736" s="58"/>
      <c r="M1736" s="55"/>
      <c r="N1736" s="55"/>
    </row>
    <row r="1737" ht="15.75" customHeight="1">
      <c r="A1737" s="53">
        <f t="shared" si="7"/>
        <v>1732</v>
      </c>
      <c r="B1737" s="55"/>
      <c r="C1737" s="41"/>
      <c r="D1737" s="42"/>
      <c r="E1737" s="42"/>
      <c r="F1737" s="42" t="str">
        <f>+IFERROR(VLOOKUP(E1737,'DANH MỤC'!$C:$H,2,0),"")</f>
        <v/>
      </c>
      <c r="G1737" s="42" t="str">
        <f>+IFERROR(VLOOKUP(E1737,'DANH MỤC'!$C:$H,6,0),"")</f>
        <v/>
      </c>
      <c r="H1737" s="42" t="str">
        <f>+IFERROR(VLOOKUP(E1737,'DANH MỤC'!$C:$H,3,0),"")</f>
        <v/>
      </c>
      <c r="I1737" s="42" t="str">
        <f>+IFERROR(VLOOKUP(E1737,'DANH MỤC'!$C:$H,4,0),"")</f>
        <v/>
      </c>
      <c r="J1737" s="42" t="str">
        <f>+IFERROR(VLOOKUP(E1737,'DANH MỤC'!$C:$H,5,0),"")</f>
        <v/>
      </c>
      <c r="K1737" s="53"/>
      <c r="L1737" s="58"/>
      <c r="M1737" s="55"/>
      <c r="N1737" s="55"/>
    </row>
    <row r="1738" ht="15.75" customHeight="1">
      <c r="A1738" s="53">
        <f t="shared" si="7"/>
        <v>1733</v>
      </c>
      <c r="B1738" s="55"/>
      <c r="C1738" s="41"/>
      <c r="D1738" s="42"/>
      <c r="E1738" s="42"/>
      <c r="F1738" s="42" t="str">
        <f>+IFERROR(VLOOKUP(E1738,'DANH MỤC'!$C:$H,2,0),"")</f>
        <v/>
      </c>
      <c r="G1738" s="42" t="str">
        <f>+IFERROR(VLOOKUP(E1738,'DANH MỤC'!$C:$H,6,0),"")</f>
        <v/>
      </c>
      <c r="H1738" s="42" t="str">
        <f>+IFERROR(VLOOKUP(E1738,'DANH MỤC'!$C:$H,3,0),"")</f>
        <v/>
      </c>
      <c r="I1738" s="42" t="str">
        <f>+IFERROR(VLOOKUP(E1738,'DANH MỤC'!$C:$H,4,0),"")</f>
        <v/>
      </c>
      <c r="J1738" s="42" t="str">
        <f>+IFERROR(VLOOKUP(E1738,'DANH MỤC'!$C:$H,5,0),"")</f>
        <v/>
      </c>
      <c r="K1738" s="53"/>
      <c r="L1738" s="58"/>
      <c r="M1738" s="55"/>
      <c r="N1738" s="55"/>
    </row>
    <row r="1739" ht="15.75" customHeight="1">
      <c r="A1739" s="53">
        <f t="shared" si="7"/>
        <v>1734</v>
      </c>
      <c r="B1739" s="55"/>
      <c r="C1739" s="41"/>
      <c r="D1739" s="42"/>
      <c r="E1739" s="42"/>
      <c r="F1739" s="42" t="str">
        <f>+IFERROR(VLOOKUP(E1739,'DANH MỤC'!$C:$H,2,0),"")</f>
        <v/>
      </c>
      <c r="G1739" s="42" t="str">
        <f>+IFERROR(VLOOKUP(E1739,'DANH MỤC'!$C:$H,6,0),"")</f>
        <v/>
      </c>
      <c r="H1739" s="42" t="str">
        <f>+IFERROR(VLOOKUP(E1739,'DANH MỤC'!$C:$H,3,0),"")</f>
        <v/>
      </c>
      <c r="I1739" s="42" t="str">
        <f>+IFERROR(VLOOKUP(E1739,'DANH MỤC'!$C:$H,4,0),"")</f>
        <v/>
      </c>
      <c r="J1739" s="42" t="str">
        <f>+IFERROR(VLOOKUP(E1739,'DANH MỤC'!$C:$H,5,0),"")</f>
        <v/>
      </c>
      <c r="K1739" s="53"/>
      <c r="L1739" s="58"/>
      <c r="M1739" s="55"/>
      <c r="N1739" s="55"/>
    </row>
    <row r="1740" ht="15.75" customHeight="1">
      <c r="A1740" s="53">
        <f t="shared" si="7"/>
        <v>1735</v>
      </c>
      <c r="B1740" s="55"/>
      <c r="C1740" s="41"/>
      <c r="D1740" s="42"/>
      <c r="E1740" s="42"/>
      <c r="F1740" s="42" t="str">
        <f>+IFERROR(VLOOKUP(E1740,'DANH MỤC'!$C:$H,2,0),"")</f>
        <v/>
      </c>
      <c r="G1740" s="42" t="str">
        <f>+IFERROR(VLOOKUP(E1740,'DANH MỤC'!$C:$H,6,0),"")</f>
        <v/>
      </c>
      <c r="H1740" s="42" t="str">
        <f>+IFERROR(VLOOKUP(E1740,'DANH MỤC'!$C:$H,3,0),"")</f>
        <v/>
      </c>
      <c r="I1740" s="42" t="str">
        <f>+IFERROR(VLOOKUP(E1740,'DANH MỤC'!$C:$H,4,0),"")</f>
        <v/>
      </c>
      <c r="J1740" s="42" t="str">
        <f>+IFERROR(VLOOKUP(E1740,'DANH MỤC'!$C:$H,5,0),"")</f>
        <v/>
      </c>
      <c r="K1740" s="53"/>
      <c r="L1740" s="58"/>
      <c r="M1740" s="55"/>
      <c r="N1740" s="55"/>
    </row>
    <row r="1741" ht="15.75" customHeight="1">
      <c r="A1741" s="53">
        <f t="shared" si="7"/>
        <v>1736</v>
      </c>
      <c r="B1741" s="55"/>
      <c r="C1741" s="41"/>
      <c r="D1741" s="42"/>
      <c r="E1741" s="42"/>
      <c r="F1741" s="42" t="str">
        <f>+IFERROR(VLOOKUP(E1741,'DANH MỤC'!$C:$H,2,0),"")</f>
        <v/>
      </c>
      <c r="G1741" s="42" t="str">
        <f>+IFERROR(VLOOKUP(E1741,'DANH MỤC'!$C:$H,6,0),"")</f>
        <v/>
      </c>
      <c r="H1741" s="42" t="str">
        <f>+IFERROR(VLOOKUP(E1741,'DANH MỤC'!$C:$H,3,0),"")</f>
        <v/>
      </c>
      <c r="I1741" s="42" t="str">
        <f>+IFERROR(VLOOKUP(E1741,'DANH MỤC'!$C:$H,4,0),"")</f>
        <v/>
      </c>
      <c r="J1741" s="42" t="str">
        <f>+IFERROR(VLOOKUP(E1741,'DANH MỤC'!$C:$H,5,0),"")</f>
        <v/>
      </c>
      <c r="K1741" s="53"/>
      <c r="L1741" s="58"/>
      <c r="M1741" s="55"/>
      <c r="N1741" s="55"/>
    </row>
    <row r="1742" ht="15.75" customHeight="1">
      <c r="A1742" s="53">
        <f t="shared" si="7"/>
        <v>1737</v>
      </c>
      <c r="B1742" s="55"/>
      <c r="C1742" s="41"/>
      <c r="D1742" s="42"/>
      <c r="E1742" s="42"/>
      <c r="F1742" s="42" t="str">
        <f>+IFERROR(VLOOKUP(E1742,'DANH MỤC'!$C:$H,2,0),"")</f>
        <v/>
      </c>
      <c r="G1742" s="42" t="str">
        <f>+IFERROR(VLOOKUP(E1742,'DANH MỤC'!$C:$H,6,0),"")</f>
        <v/>
      </c>
      <c r="H1742" s="42" t="str">
        <f>+IFERROR(VLOOKUP(E1742,'DANH MỤC'!$C:$H,3,0),"")</f>
        <v/>
      </c>
      <c r="I1742" s="42" t="str">
        <f>+IFERROR(VLOOKUP(E1742,'DANH MỤC'!$C:$H,4,0),"")</f>
        <v/>
      </c>
      <c r="J1742" s="42" t="str">
        <f>+IFERROR(VLOOKUP(E1742,'DANH MỤC'!$C:$H,5,0),"")</f>
        <v/>
      </c>
      <c r="K1742" s="53"/>
      <c r="L1742" s="58"/>
      <c r="M1742" s="55"/>
      <c r="N1742" s="55"/>
    </row>
    <row r="1743" ht="15.75" customHeight="1">
      <c r="A1743" s="53">
        <f t="shared" si="7"/>
        <v>1738</v>
      </c>
      <c r="B1743" s="55"/>
      <c r="C1743" s="41"/>
      <c r="D1743" s="42"/>
      <c r="E1743" s="42"/>
      <c r="F1743" s="42" t="str">
        <f>+IFERROR(VLOOKUP(E1743,'DANH MỤC'!$C:$H,2,0),"")</f>
        <v/>
      </c>
      <c r="G1743" s="42" t="str">
        <f>+IFERROR(VLOOKUP(E1743,'DANH MỤC'!$C:$H,6,0),"")</f>
        <v/>
      </c>
      <c r="H1743" s="42" t="str">
        <f>+IFERROR(VLOOKUP(E1743,'DANH MỤC'!$C:$H,3,0),"")</f>
        <v/>
      </c>
      <c r="I1743" s="42" t="str">
        <f>+IFERROR(VLOOKUP(E1743,'DANH MỤC'!$C:$H,4,0),"")</f>
        <v/>
      </c>
      <c r="J1743" s="42" t="str">
        <f>+IFERROR(VLOOKUP(E1743,'DANH MỤC'!$C:$H,5,0),"")</f>
        <v/>
      </c>
      <c r="K1743" s="53"/>
      <c r="L1743" s="58"/>
      <c r="M1743" s="55"/>
      <c r="N1743" s="55"/>
    </row>
    <row r="1744" ht="15.75" customHeight="1">
      <c r="A1744" s="53">
        <f t="shared" si="7"/>
        <v>1739</v>
      </c>
      <c r="B1744" s="55"/>
      <c r="C1744" s="41"/>
      <c r="D1744" s="42"/>
      <c r="E1744" s="42"/>
      <c r="F1744" s="42" t="str">
        <f>+IFERROR(VLOOKUP(E1744,'DANH MỤC'!$C:$H,2,0),"")</f>
        <v/>
      </c>
      <c r="G1744" s="42" t="str">
        <f>+IFERROR(VLOOKUP(E1744,'DANH MỤC'!$C:$H,6,0),"")</f>
        <v/>
      </c>
      <c r="H1744" s="42" t="str">
        <f>+IFERROR(VLOOKUP(E1744,'DANH MỤC'!$C:$H,3,0),"")</f>
        <v/>
      </c>
      <c r="I1744" s="42" t="str">
        <f>+IFERROR(VLOOKUP(E1744,'DANH MỤC'!$C:$H,4,0),"")</f>
        <v/>
      </c>
      <c r="J1744" s="42" t="str">
        <f>+IFERROR(VLOOKUP(E1744,'DANH MỤC'!$C:$H,5,0),"")</f>
        <v/>
      </c>
      <c r="K1744" s="53"/>
      <c r="L1744" s="58"/>
      <c r="M1744" s="55"/>
      <c r="N1744" s="55"/>
    </row>
    <row r="1745" ht="15.75" customHeight="1">
      <c r="A1745" s="53">
        <f t="shared" si="7"/>
        <v>1740</v>
      </c>
      <c r="B1745" s="55"/>
      <c r="C1745" s="41"/>
      <c r="D1745" s="42"/>
      <c r="E1745" s="42"/>
      <c r="F1745" s="42" t="str">
        <f>+IFERROR(VLOOKUP(E1745,'DANH MỤC'!$C:$H,2,0),"")</f>
        <v/>
      </c>
      <c r="G1745" s="42" t="str">
        <f>+IFERROR(VLOOKUP(E1745,'DANH MỤC'!$C:$H,6,0),"")</f>
        <v/>
      </c>
      <c r="H1745" s="42" t="str">
        <f>+IFERROR(VLOOKUP(E1745,'DANH MỤC'!$C:$H,3,0),"")</f>
        <v/>
      </c>
      <c r="I1745" s="42" t="str">
        <f>+IFERROR(VLOOKUP(E1745,'DANH MỤC'!$C:$H,4,0),"")</f>
        <v/>
      </c>
      <c r="J1745" s="42" t="str">
        <f>+IFERROR(VLOOKUP(E1745,'DANH MỤC'!$C:$H,5,0),"")</f>
        <v/>
      </c>
      <c r="K1745" s="53"/>
      <c r="L1745" s="58"/>
      <c r="M1745" s="55"/>
      <c r="N1745" s="55"/>
    </row>
    <row r="1746" ht="15.75" customHeight="1">
      <c r="A1746" s="53">
        <f t="shared" si="7"/>
        <v>1741</v>
      </c>
      <c r="B1746" s="55"/>
      <c r="C1746" s="41"/>
      <c r="D1746" s="42"/>
      <c r="E1746" s="42"/>
      <c r="F1746" s="42" t="str">
        <f>+IFERROR(VLOOKUP(E1746,'DANH MỤC'!$C:$H,2,0),"")</f>
        <v/>
      </c>
      <c r="G1746" s="42" t="str">
        <f>+IFERROR(VLOOKUP(E1746,'DANH MỤC'!$C:$H,6,0),"")</f>
        <v/>
      </c>
      <c r="H1746" s="42" t="str">
        <f>+IFERROR(VLOOKUP(E1746,'DANH MỤC'!$C:$H,3,0),"")</f>
        <v/>
      </c>
      <c r="I1746" s="42" t="str">
        <f>+IFERROR(VLOOKUP(E1746,'DANH MỤC'!$C:$H,4,0),"")</f>
        <v/>
      </c>
      <c r="J1746" s="42" t="str">
        <f>+IFERROR(VLOOKUP(E1746,'DANH MỤC'!$C:$H,5,0),"")</f>
        <v/>
      </c>
      <c r="K1746" s="53"/>
      <c r="L1746" s="58"/>
      <c r="M1746" s="55"/>
      <c r="N1746" s="55"/>
    </row>
    <row r="1747" ht="15.75" customHeight="1">
      <c r="A1747" s="53">
        <f t="shared" si="7"/>
        <v>1742</v>
      </c>
      <c r="B1747" s="55"/>
      <c r="C1747" s="41"/>
      <c r="D1747" s="42"/>
      <c r="E1747" s="42"/>
      <c r="F1747" s="42" t="str">
        <f>+IFERROR(VLOOKUP(E1747,'DANH MỤC'!$C:$H,2,0),"")</f>
        <v/>
      </c>
      <c r="G1747" s="42" t="str">
        <f>+IFERROR(VLOOKUP(E1747,'DANH MỤC'!$C:$H,6,0),"")</f>
        <v/>
      </c>
      <c r="H1747" s="42" t="str">
        <f>+IFERROR(VLOOKUP(E1747,'DANH MỤC'!$C:$H,3,0),"")</f>
        <v/>
      </c>
      <c r="I1747" s="42" t="str">
        <f>+IFERROR(VLOOKUP(E1747,'DANH MỤC'!$C:$H,4,0),"")</f>
        <v/>
      </c>
      <c r="J1747" s="42" t="str">
        <f>+IFERROR(VLOOKUP(E1747,'DANH MỤC'!$C:$H,5,0),"")</f>
        <v/>
      </c>
      <c r="K1747" s="53"/>
      <c r="L1747" s="58"/>
      <c r="M1747" s="55"/>
      <c r="N1747" s="55"/>
    </row>
    <row r="1748" ht="15.75" customHeight="1">
      <c r="A1748" s="53">
        <f t="shared" si="7"/>
        <v>1743</v>
      </c>
      <c r="B1748" s="55"/>
      <c r="C1748" s="41"/>
      <c r="D1748" s="42"/>
      <c r="E1748" s="42"/>
      <c r="F1748" s="42" t="str">
        <f>+IFERROR(VLOOKUP(E1748,'DANH MỤC'!$C:$H,2,0),"")</f>
        <v/>
      </c>
      <c r="G1748" s="42" t="str">
        <f>+IFERROR(VLOOKUP(E1748,'DANH MỤC'!$C:$H,6,0),"")</f>
        <v/>
      </c>
      <c r="H1748" s="42" t="str">
        <f>+IFERROR(VLOOKUP(E1748,'DANH MỤC'!$C:$H,3,0),"")</f>
        <v/>
      </c>
      <c r="I1748" s="42" t="str">
        <f>+IFERROR(VLOOKUP(E1748,'DANH MỤC'!$C:$H,4,0),"")</f>
        <v/>
      </c>
      <c r="J1748" s="42" t="str">
        <f>+IFERROR(VLOOKUP(E1748,'DANH MỤC'!$C:$H,5,0),"")</f>
        <v/>
      </c>
      <c r="K1748" s="53"/>
      <c r="L1748" s="58"/>
      <c r="M1748" s="55"/>
      <c r="N1748" s="55"/>
    </row>
    <row r="1749" ht="15.75" customHeight="1">
      <c r="A1749" s="53">
        <f t="shared" si="7"/>
        <v>1744</v>
      </c>
      <c r="B1749" s="55"/>
      <c r="C1749" s="41"/>
      <c r="D1749" s="42"/>
      <c r="E1749" s="42"/>
      <c r="F1749" s="42" t="str">
        <f>+IFERROR(VLOOKUP(E1749,'DANH MỤC'!$C:$H,2,0),"")</f>
        <v/>
      </c>
      <c r="G1749" s="42" t="str">
        <f>+IFERROR(VLOOKUP(E1749,'DANH MỤC'!$C:$H,6,0),"")</f>
        <v/>
      </c>
      <c r="H1749" s="42" t="str">
        <f>+IFERROR(VLOOKUP(E1749,'DANH MỤC'!$C:$H,3,0),"")</f>
        <v/>
      </c>
      <c r="I1749" s="42" t="str">
        <f>+IFERROR(VLOOKUP(E1749,'DANH MỤC'!$C:$H,4,0),"")</f>
        <v/>
      </c>
      <c r="J1749" s="42" t="str">
        <f>+IFERROR(VLOOKUP(E1749,'DANH MỤC'!$C:$H,5,0),"")</f>
        <v/>
      </c>
      <c r="K1749" s="53"/>
      <c r="L1749" s="58"/>
      <c r="M1749" s="55"/>
      <c r="N1749" s="55"/>
    </row>
    <row r="1750" ht="15.75" customHeight="1">
      <c r="A1750" s="53">
        <f t="shared" si="7"/>
        <v>1745</v>
      </c>
      <c r="B1750" s="55"/>
      <c r="C1750" s="41"/>
      <c r="D1750" s="42"/>
      <c r="E1750" s="42"/>
      <c r="F1750" s="42" t="str">
        <f>+IFERROR(VLOOKUP(E1750,'DANH MỤC'!$C:$H,2,0),"")</f>
        <v/>
      </c>
      <c r="G1750" s="42" t="str">
        <f>+IFERROR(VLOOKUP(E1750,'DANH MỤC'!$C:$H,6,0),"")</f>
        <v/>
      </c>
      <c r="H1750" s="42" t="str">
        <f>+IFERROR(VLOOKUP(E1750,'DANH MỤC'!$C:$H,3,0),"")</f>
        <v/>
      </c>
      <c r="I1750" s="42" t="str">
        <f>+IFERROR(VLOOKUP(E1750,'DANH MỤC'!$C:$H,4,0),"")</f>
        <v/>
      </c>
      <c r="J1750" s="42" t="str">
        <f>+IFERROR(VLOOKUP(E1750,'DANH MỤC'!$C:$H,5,0),"")</f>
        <v/>
      </c>
      <c r="K1750" s="53"/>
      <c r="L1750" s="58"/>
      <c r="M1750" s="55"/>
      <c r="N1750" s="55"/>
    </row>
    <row r="1751" ht="15.75" customHeight="1">
      <c r="A1751" s="53">
        <f t="shared" si="7"/>
        <v>1746</v>
      </c>
      <c r="B1751" s="55"/>
      <c r="C1751" s="41"/>
      <c r="D1751" s="42"/>
      <c r="E1751" s="42"/>
      <c r="F1751" s="42" t="str">
        <f>+IFERROR(VLOOKUP(E1751,'DANH MỤC'!$C:$H,2,0),"")</f>
        <v/>
      </c>
      <c r="G1751" s="42" t="str">
        <f>+IFERROR(VLOOKUP(E1751,'DANH MỤC'!$C:$H,6,0),"")</f>
        <v/>
      </c>
      <c r="H1751" s="42" t="str">
        <f>+IFERROR(VLOOKUP(E1751,'DANH MỤC'!$C:$H,3,0),"")</f>
        <v/>
      </c>
      <c r="I1751" s="42" t="str">
        <f>+IFERROR(VLOOKUP(E1751,'DANH MỤC'!$C:$H,4,0),"")</f>
        <v/>
      </c>
      <c r="J1751" s="42" t="str">
        <f>+IFERROR(VLOOKUP(E1751,'DANH MỤC'!$C:$H,5,0),"")</f>
        <v/>
      </c>
      <c r="K1751" s="53"/>
      <c r="L1751" s="58"/>
      <c r="M1751" s="55"/>
      <c r="N1751" s="55"/>
    </row>
    <row r="1752" ht="15.75" customHeight="1">
      <c r="A1752" s="53">
        <f t="shared" si="7"/>
        <v>1747</v>
      </c>
      <c r="B1752" s="55"/>
      <c r="C1752" s="41"/>
      <c r="D1752" s="42"/>
      <c r="E1752" s="42"/>
      <c r="F1752" s="42" t="str">
        <f>+IFERROR(VLOOKUP(E1752,'DANH MỤC'!$C:$H,2,0),"")</f>
        <v/>
      </c>
      <c r="G1752" s="42" t="str">
        <f>+IFERROR(VLOOKUP(E1752,'DANH MỤC'!$C:$H,6,0),"")</f>
        <v/>
      </c>
      <c r="H1752" s="42" t="str">
        <f>+IFERROR(VLOOKUP(E1752,'DANH MỤC'!$C:$H,3,0),"")</f>
        <v/>
      </c>
      <c r="I1752" s="42" t="str">
        <f>+IFERROR(VLOOKUP(E1752,'DANH MỤC'!$C:$H,4,0),"")</f>
        <v/>
      </c>
      <c r="J1752" s="42" t="str">
        <f>+IFERROR(VLOOKUP(E1752,'DANH MỤC'!$C:$H,5,0),"")</f>
        <v/>
      </c>
      <c r="K1752" s="53"/>
      <c r="L1752" s="58"/>
      <c r="M1752" s="55"/>
      <c r="N1752" s="55"/>
    </row>
    <row r="1753" ht="15.75" customHeight="1">
      <c r="A1753" s="53">
        <f t="shared" si="7"/>
        <v>1748</v>
      </c>
      <c r="B1753" s="55"/>
      <c r="C1753" s="41"/>
      <c r="D1753" s="42"/>
      <c r="E1753" s="42"/>
      <c r="F1753" s="42" t="str">
        <f>+IFERROR(VLOOKUP(E1753,'DANH MỤC'!$C:$H,2,0),"")</f>
        <v/>
      </c>
      <c r="G1753" s="42" t="str">
        <f>+IFERROR(VLOOKUP(E1753,'DANH MỤC'!$C:$H,6,0),"")</f>
        <v/>
      </c>
      <c r="H1753" s="42" t="str">
        <f>+IFERROR(VLOOKUP(E1753,'DANH MỤC'!$C:$H,3,0),"")</f>
        <v/>
      </c>
      <c r="I1753" s="42" t="str">
        <f>+IFERROR(VLOOKUP(E1753,'DANH MỤC'!$C:$H,4,0),"")</f>
        <v/>
      </c>
      <c r="J1753" s="42" t="str">
        <f>+IFERROR(VLOOKUP(E1753,'DANH MỤC'!$C:$H,5,0),"")</f>
        <v/>
      </c>
      <c r="K1753" s="53"/>
      <c r="L1753" s="58"/>
      <c r="M1753" s="55"/>
      <c r="N1753" s="55"/>
    </row>
    <row r="1754" ht="15.75" customHeight="1">
      <c r="A1754" s="53">
        <f t="shared" si="7"/>
        <v>1749</v>
      </c>
      <c r="B1754" s="55"/>
      <c r="C1754" s="41"/>
      <c r="D1754" s="42"/>
      <c r="E1754" s="42"/>
      <c r="F1754" s="42" t="str">
        <f>+IFERROR(VLOOKUP(E1754,'DANH MỤC'!$C:$H,2,0),"")</f>
        <v/>
      </c>
      <c r="G1754" s="42" t="str">
        <f>+IFERROR(VLOOKUP(E1754,'DANH MỤC'!$C:$H,6,0),"")</f>
        <v/>
      </c>
      <c r="H1754" s="42" t="str">
        <f>+IFERROR(VLOOKUP(E1754,'DANH MỤC'!$C:$H,3,0),"")</f>
        <v/>
      </c>
      <c r="I1754" s="42" t="str">
        <f>+IFERROR(VLOOKUP(E1754,'DANH MỤC'!$C:$H,4,0),"")</f>
        <v/>
      </c>
      <c r="J1754" s="42" t="str">
        <f>+IFERROR(VLOOKUP(E1754,'DANH MỤC'!$C:$H,5,0),"")</f>
        <v/>
      </c>
      <c r="K1754" s="53"/>
      <c r="L1754" s="58"/>
      <c r="M1754" s="55"/>
      <c r="N1754" s="55"/>
    </row>
    <row r="1755" ht="15.75" customHeight="1">
      <c r="A1755" s="53">
        <f t="shared" si="7"/>
        <v>1750</v>
      </c>
      <c r="B1755" s="55"/>
      <c r="C1755" s="41"/>
      <c r="D1755" s="42"/>
      <c r="E1755" s="42"/>
      <c r="F1755" s="42" t="str">
        <f>+IFERROR(VLOOKUP(E1755,'DANH MỤC'!$C:$H,2,0),"")</f>
        <v/>
      </c>
      <c r="G1755" s="42" t="str">
        <f>+IFERROR(VLOOKUP(E1755,'DANH MỤC'!$C:$H,6,0),"")</f>
        <v/>
      </c>
      <c r="H1755" s="42" t="str">
        <f>+IFERROR(VLOOKUP(E1755,'DANH MỤC'!$C:$H,3,0),"")</f>
        <v/>
      </c>
      <c r="I1755" s="42" t="str">
        <f>+IFERROR(VLOOKUP(E1755,'DANH MỤC'!$C:$H,4,0),"")</f>
        <v/>
      </c>
      <c r="J1755" s="42" t="str">
        <f>+IFERROR(VLOOKUP(E1755,'DANH MỤC'!$C:$H,5,0),"")</f>
        <v/>
      </c>
      <c r="K1755" s="53"/>
      <c r="L1755" s="58"/>
      <c r="M1755" s="55"/>
      <c r="N1755" s="55"/>
    </row>
    <row r="1756" ht="15.75" customHeight="1">
      <c r="A1756" s="53">
        <f t="shared" si="7"/>
        <v>1751</v>
      </c>
      <c r="B1756" s="55"/>
      <c r="C1756" s="41"/>
      <c r="D1756" s="42"/>
      <c r="E1756" s="42"/>
      <c r="F1756" s="42" t="str">
        <f>+IFERROR(VLOOKUP(E1756,'DANH MỤC'!$C:$H,2,0),"")</f>
        <v/>
      </c>
      <c r="G1756" s="42" t="str">
        <f>+IFERROR(VLOOKUP(E1756,'DANH MỤC'!$C:$H,6,0),"")</f>
        <v/>
      </c>
      <c r="H1756" s="42" t="str">
        <f>+IFERROR(VLOOKUP(E1756,'DANH MỤC'!$C:$H,3,0),"")</f>
        <v/>
      </c>
      <c r="I1756" s="42" t="str">
        <f>+IFERROR(VLOOKUP(E1756,'DANH MỤC'!$C:$H,4,0),"")</f>
        <v/>
      </c>
      <c r="J1756" s="42" t="str">
        <f>+IFERROR(VLOOKUP(E1756,'DANH MỤC'!$C:$H,5,0),"")</f>
        <v/>
      </c>
      <c r="K1756" s="53"/>
      <c r="L1756" s="58"/>
      <c r="M1756" s="55"/>
      <c r="N1756" s="55"/>
    </row>
    <row r="1757" ht="15.75" customHeight="1">
      <c r="A1757" s="53">
        <f t="shared" si="7"/>
        <v>1752</v>
      </c>
      <c r="B1757" s="55"/>
      <c r="C1757" s="41"/>
      <c r="D1757" s="42"/>
      <c r="E1757" s="42"/>
      <c r="F1757" s="42" t="str">
        <f>+IFERROR(VLOOKUP(E1757,'DANH MỤC'!$C:$H,2,0),"")</f>
        <v/>
      </c>
      <c r="G1757" s="42" t="str">
        <f>+IFERROR(VLOOKUP(E1757,'DANH MỤC'!$C:$H,6,0),"")</f>
        <v/>
      </c>
      <c r="H1757" s="42" t="str">
        <f>+IFERROR(VLOOKUP(E1757,'DANH MỤC'!$C:$H,3,0),"")</f>
        <v/>
      </c>
      <c r="I1757" s="42" t="str">
        <f>+IFERROR(VLOOKUP(E1757,'DANH MỤC'!$C:$H,4,0),"")</f>
        <v/>
      </c>
      <c r="J1757" s="42" t="str">
        <f>+IFERROR(VLOOKUP(E1757,'DANH MỤC'!$C:$H,5,0),"")</f>
        <v/>
      </c>
      <c r="K1757" s="53"/>
      <c r="L1757" s="58"/>
      <c r="M1757" s="55"/>
      <c r="N1757" s="55"/>
    </row>
    <row r="1758" ht="15.75" customHeight="1">
      <c r="A1758" s="53">
        <f t="shared" si="7"/>
        <v>1753</v>
      </c>
      <c r="B1758" s="55"/>
      <c r="C1758" s="41"/>
      <c r="D1758" s="42"/>
      <c r="E1758" s="42"/>
      <c r="F1758" s="42" t="str">
        <f>+IFERROR(VLOOKUP(E1758,'DANH MỤC'!$C:$H,2,0),"")</f>
        <v/>
      </c>
      <c r="G1758" s="42" t="str">
        <f>+IFERROR(VLOOKUP(E1758,'DANH MỤC'!$C:$H,6,0),"")</f>
        <v/>
      </c>
      <c r="H1758" s="42" t="str">
        <f>+IFERROR(VLOOKUP(E1758,'DANH MỤC'!$C:$H,3,0),"")</f>
        <v/>
      </c>
      <c r="I1758" s="42" t="str">
        <f>+IFERROR(VLOOKUP(E1758,'DANH MỤC'!$C:$H,4,0),"")</f>
        <v/>
      </c>
      <c r="J1758" s="42" t="str">
        <f>+IFERROR(VLOOKUP(E1758,'DANH MỤC'!$C:$H,5,0),"")</f>
        <v/>
      </c>
      <c r="K1758" s="53"/>
      <c r="L1758" s="58"/>
      <c r="M1758" s="55"/>
      <c r="N1758" s="55"/>
    </row>
    <row r="1759" ht="15.75" customHeight="1">
      <c r="A1759" s="53">
        <f t="shared" si="7"/>
        <v>1754</v>
      </c>
      <c r="B1759" s="55"/>
      <c r="C1759" s="41"/>
      <c r="D1759" s="42"/>
      <c r="E1759" s="42"/>
      <c r="F1759" s="42" t="str">
        <f>+IFERROR(VLOOKUP(E1759,'DANH MỤC'!$C:$H,2,0),"")</f>
        <v/>
      </c>
      <c r="G1759" s="42" t="str">
        <f>+IFERROR(VLOOKUP(E1759,'DANH MỤC'!$C:$H,6,0),"")</f>
        <v/>
      </c>
      <c r="H1759" s="42" t="str">
        <f>+IFERROR(VLOOKUP(E1759,'DANH MỤC'!$C:$H,3,0),"")</f>
        <v/>
      </c>
      <c r="I1759" s="42" t="str">
        <f>+IFERROR(VLOOKUP(E1759,'DANH MỤC'!$C:$H,4,0),"")</f>
        <v/>
      </c>
      <c r="J1759" s="42" t="str">
        <f>+IFERROR(VLOOKUP(E1759,'DANH MỤC'!$C:$H,5,0),"")</f>
        <v/>
      </c>
      <c r="K1759" s="53"/>
      <c r="L1759" s="58"/>
      <c r="M1759" s="55"/>
      <c r="N1759" s="55"/>
    </row>
    <row r="1760" ht="15.75" customHeight="1">
      <c r="A1760" s="53">
        <f t="shared" si="7"/>
        <v>1755</v>
      </c>
      <c r="B1760" s="55"/>
      <c r="C1760" s="41"/>
      <c r="D1760" s="42"/>
      <c r="E1760" s="42"/>
      <c r="F1760" s="42" t="str">
        <f>+IFERROR(VLOOKUP(E1760,'DANH MỤC'!$C:$H,2,0),"")</f>
        <v/>
      </c>
      <c r="G1760" s="42" t="str">
        <f>+IFERROR(VLOOKUP(E1760,'DANH MỤC'!$C:$H,6,0),"")</f>
        <v/>
      </c>
      <c r="H1760" s="42" t="str">
        <f>+IFERROR(VLOOKUP(E1760,'DANH MỤC'!$C:$H,3,0),"")</f>
        <v/>
      </c>
      <c r="I1760" s="42" t="str">
        <f>+IFERROR(VLOOKUP(E1760,'DANH MỤC'!$C:$H,4,0),"")</f>
        <v/>
      </c>
      <c r="J1760" s="42" t="str">
        <f>+IFERROR(VLOOKUP(E1760,'DANH MỤC'!$C:$H,5,0),"")</f>
        <v/>
      </c>
      <c r="K1760" s="53"/>
      <c r="L1760" s="58"/>
      <c r="M1760" s="55"/>
      <c r="N1760" s="55"/>
    </row>
    <row r="1761" ht="15.75" customHeight="1">
      <c r="A1761" s="53">
        <f t="shared" si="7"/>
        <v>1756</v>
      </c>
      <c r="B1761" s="55"/>
      <c r="C1761" s="41"/>
      <c r="D1761" s="42"/>
      <c r="E1761" s="42"/>
      <c r="F1761" s="42" t="str">
        <f>+IFERROR(VLOOKUP(E1761,'DANH MỤC'!$C:$H,2,0),"")</f>
        <v/>
      </c>
      <c r="G1761" s="42" t="str">
        <f>+IFERROR(VLOOKUP(E1761,'DANH MỤC'!$C:$H,6,0),"")</f>
        <v/>
      </c>
      <c r="H1761" s="42" t="str">
        <f>+IFERROR(VLOOKUP(E1761,'DANH MỤC'!$C:$H,3,0),"")</f>
        <v/>
      </c>
      <c r="I1761" s="42" t="str">
        <f>+IFERROR(VLOOKUP(E1761,'DANH MỤC'!$C:$H,4,0),"")</f>
        <v/>
      </c>
      <c r="J1761" s="42" t="str">
        <f>+IFERROR(VLOOKUP(E1761,'DANH MỤC'!$C:$H,5,0),"")</f>
        <v/>
      </c>
      <c r="K1761" s="53"/>
      <c r="L1761" s="58"/>
      <c r="M1761" s="55"/>
      <c r="N1761" s="55"/>
    </row>
    <row r="1762" ht="15.75" customHeight="1">
      <c r="A1762" s="53">
        <f t="shared" si="7"/>
        <v>1757</v>
      </c>
      <c r="B1762" s="55"/>
      <c r="C1762" s="41"/>
      <c r="D1762" s="42"/>
      <c r="E1762" s="42"/>
      <c r="F1762" s="42" t="str">
        <f>+IFERROR(VLOOKUP(E1762,'DANH MỤC'!$C:$H,2,0),"")</f>
        <v/>
      </c>
      <c r="G1762" s="42" t="str">
        <f>+IFERROR(VLOOKUP(E1762,'DANH MỤC'!$C:$H,6,0),"")</f>
        <v/>
      </c>
      <c r="H1762" s="42" t="str">
        <f>+IFERROR(VLOOKUP(E1762,'DANH MỤC'!$C:$H,3,0),"")</f>
        <v/>
      </c>
      <c r="I1762" s="42" t="str">
        <f>+IFERROR(VLOOKUP(E1762,'DANH MỤC'!$C:$H,4,0),"")</f>
        <v/>
      </c>
      <c r="J1762" s="42" t="str">
        <f>+IFERROR(VLOOKUP(E1762,'DANH MỤC'!$C:$H,5,0),"")</f>
        <v/>
      </c>
      <c r="K1762" s="53"/>
      <c r="L1762" s="58"/>
      <c r="M1762" s="55"/>
      <c r="N1762" s="55"/>
    </row>
    <row r="1763" ht="15.75" customHeight="1">
      <c r="A1763" s="53">
        <f t="shared" si="7"/>
        <v>1758</v>
      </c>
      <c r="B1763" s="55"/>
      <c r="C1763" s="41"/>
      <c r="D1763" s="42"/>
      <c r="E1763" s="42"/>
      <c r="F1763" s="42" t="str">
        <f>+IFERROR(VLOOKUP(E1763,'DANH MỤC'!$C:$H,2,0),"")</f>
        <v/>
      </c>
      <c r="G1763" s="42" t="str">
        <f>+IFERROR(VLOOKUP(E1763,'DANH MỤC'!$C:$H,6,0),"")</f>
        <v/>
      </c>
      <c r="H1763" s="42" t="str">
        <f>+IFERROR(VLOOKUP(E1763,'DANH MỤC'!$C:$H,3,0),"")</f>
        <v/>
      </c>
      <c r="I1763" s="42" t="str">
        <f>+IFERROR(VLOOKUP(E1763,'DANH MỤC'!$C:$H,4,0),"")</f>
        <v/>
      </c>
      <c r="J1763" s="42" t="str">
        <f>+IFERROR(VLOOKUP(E1763,'DANH MỤC'!$C:$H,5,0),"")</f>
        <v/>
      </c>
      <c r="K1763" s="53"/>
      <c r="L1763" s="58"/>
      <c r="M1763" s="55"/>
      <c r="N1763" s="55"/>
    </row>
    <row r="1764" ht="15.75" customHeight="1">
      <c r="A1764" s="53">
        <f t="shared" si="7"/>
        <v>1759</v>
      </c>
      <c r="B1764" s="55"/>
      <c r="C1764" s="41"/>
      <c r="D1764" s="42"/>
      <c r="E1764" s="42"/>
      <c r="F1764" s="42" t="str">
        <f>+IFERROR(VLOOKUP(E1764,'DANH MỤC'!$C:$H,2,0),"")</f>
        <v/>
      </c>
      <c r="G1764" s="42" t="str">
        <f>+IFERROR(VLOOKUP(E1764,'DANH MỤC'!$C:$H,6,0),"")</f>
        <v/>
      </c>
      <c r="H1764" s="42" t="str">
        <f>+IFERROR(VLOOKUP(E1764,'DANH MỤC'!$C:$H,3,0),"")</f>
        <v/>
      </c>
      <c r="I1764" s="42" t="str">
        <f>+IFERROR(VLOOKUP(E1764,'DANH MỤC'!$C:$H,4,0),"")</f>
        <v/>
      </c>
      <c r="J1764" s="42" t="str">
        <f>+IFERROR(VLOOKUP(E1764,'DANH MỤC'!$C:$H,5,0),"")</f>
        <v/>
      </c>
      <c r="K1764" s="53"/>
      <c r="L1764" s="58"/>
      <c r="M1764" s="55"/>
      <c r="N1764" s="55"/>
    </row>
    <row r="1765" ht="15.75" customHeight="1">
      <c r="A1765" s="53">
        <f t="shared" si="7"/>
        <v>1760</v>
      </c>
      <c r="B1765" s="55"/>
      <c r="C1765" s="41"/>
      <c r="D1765" s="42"/>
      <c r="E1765" s="42"/>
      <c r="F1765" s="42" t="str">
        <f>+IFERROR(VLOOKUP(E1765,'DANH MỤC'!$C:$H,2,0),"")</f>
        <v/>
      </c>
      <c r="G1765" s="42" t="str">
        <f>+IFERROR(VLOOKUP(E1765,'DANH MỤC'!$C:$H,6,0),"")</f>
        <v/>
      </c>
      <c r="H1765" s="42" t="str">
        <f>+IFERROR(VLOOKUP(E1765,'DANH MỤC'!$C:$H,3,0),"")</f>
        <v/>
      </c>
      <c r="I1765" s="42" t="str">
        <f>+IFERROR(VLOOKUP(E1765,'DANH MỤC'!$C:$H,4,0),"")</f>
        <v/>
      </c>
      <c r="J1765" s="42" t="str">
        <f>+IFERROR(VLOOKUP(E1765,'DANH MỤC'!$C:$H,5,0),"")</f>
        <v/>
      </c>
      <c r="K1765" s="53"/>
      <c r="L1765" s="58"/>
      <c r="M1765" s="55"/>
      <c r="N1765" s="55"/>
    </row>
    <row r="1766" ht="15.75" customHeight="1">
      <c r="A1766" s="53">
        <f t="shared" si="7"/>
        <v>1761</v>
      </c>
      <c r="B1766" s="55"/>
      <c r="C1766" s="41"/>
      <c r="D1766" s="42"/>
      <c r="E1766" s="42"/>
      <c r="F1766" s="42" t="str">
        <f>+IFERROR(VLOOKUP(E1766,'DANH MỤC'!$C:$H,2,0),"")</f>
        <v/>
      </c>
      <c r="G1766" s="42" t="str">
        <f>+IFERROR(VLOOKUP(E1766,'DANH MỤC'!$C:$H,6,0),"")</f>
        <v/>
      </c>
      <c r="H1766" s="42" t="str">
        <f>+IFERROR(VLOOKUP(E1766,'DANH MỤC'!$C:$H,3,0),"")</f>
        <v/>
      </c>
      <c r="I1766" s="42" t="str">
        <f>+IFERROR(VLOOKUP(E1766,'DANH MỤC'!$C:$H,4,0),"")</f>
        <v/>
      </c>
      <c r="J1766" s="42" t="str">
        <f>+IFERROR(VLOOKUP(E1766,'DANH MỤC'!$C:$H,5,0),"")</f>
        <v/>
      </c>
      <c r="K1766" s="53"/>
      <c r="L1766" s="58"/>
      <c r="M1766" s="55"/>
      <c r="N1766" s="55"/>
    </row>
    <row r="1767" ht="15.75" customHeight="1">
      <c r="A1767" s="53">
        <f t="shared" si="7"/>
        <v>1762</v>
      </c>
      <c r="B1767" s="55"/>
      <c r="C1767" s="41"/>
      <c r="D1767" s="42"/>
      <c r="E1767" s="42"/>
      <c r="F1767" s="42" t="str">
        <f>+IFERROR(VLOOKUP(E1767,'DANH MỤC'!$C:$H,2,0),"")</f>
        <v/>
      </c>
      <c r="G1767" s="42" t="str">
        <f>+IFERROR(VLOOKUP(E1767,'DANH MỤC'!$C:$H,6,0),"")</f>
        <v/>
      </c>
      <c r="H1767" s="42" t="str">
        <f>+IFERROR(VLOOKUP(E1767,'DANH MỤC'!$C:$H,3,0),"")</f>
        <v/>
      </c>
      <c r="I1767" s="42" t="str">
        <f>+IFERROR(VLOOKUP(E1767,'DANH MỤC'!$C:$H,4,0),"")</f>
        <v/>
      </c>
      <c r="J1767" s="42" t="str">
        <f>+IFERROR(VLOOKUP(E1767,'DANH MỤC'!$C:$H,5,0),"")</f>
        <v/>
      </c>
      <c r="K1767" s="53"/>
      <c r="L1767" s="58"/>
      <c r="M1767" s="55"/>
      <c r="N1767" s="55"/>
    </row>
    <row r="1768" ht="15.75" customHeight="1">
      <c r="A1768" s="53">
        <f t="shared" si="7"/>
        <v>1763</v>
      </c>
      <c r="B1768" s="55"/>
      <c r="C1768" s="41"/>
      <c r="D1768" s="42"/>
      <c r="E1768" s="42"/>
      <c r="F1768" s="42" t="str">
        <f>+IFERROR(VLOOKUP(E1768,'DANH MỤC'!$C:$H,2,0),"")</f>
        <v/>
      </c>
      <c r="G1768" s="42" t="str">
        <f>+IFERROR(VLOOKUP(E1768,'DANH MỤC'!$C:$H,6,0),"")</f>
        <v/>
      </c>
      <c r="H1768" s="42" t="str">
        <f>+IFERROR(VLOOKUP(E1768,'DANH MỤC'!$C:$H,3,0),"")</f>
        <v/>
      </c>
      <c r="I1768" s="42" t="str">
        <f>+IFERROR(VLOOKUP(E1768,'DANH MỤC'!$C:$H,4,0),"")</f>
        <v/>
      </c>
      <c r="J1768" s="42" t="str">
        <f>+IFERROR(VLOOKUP(E1768,'DANH MỤC'!$C:$H,5,0),"")</f>
        <v/>
      </c>
      <c r="K1768" s="53"/>
      <c r="L1768" s="58"/>
      <c r="M1768" s="55"/>
      <c r="N1768" s="55"/>
    </row>
    <row r="1769" ht="15.75" customHeight="1">
      <c r="A1769" s="53">
        <f t="shared" si="7"/>
        <v>1764</v>
      </c>
      <c r="B1769" s="55"/>
      <c r="C1769" s="41"/>
      <c r="D1769" s="42"/>
      <c r="E1769" s="42"/>
      <c r="F1769" s="42" t="str">
        <f>+IFERROR(VLOOKUP(E1769,'DANH MỤC'!$C:$H,2,0),"")</f>
        <v/>
      </c>
      <c r="G1769" s="42" t="str">
        <f>+IFERROR(VLOOKUP(E1769,'DANH MỤC'!$C:$H,6,0),"")</f>
        <v/>
      </c>
      <c r="H1769" s="42" t="str">
        <f>+IFERROR(VLOOKUP(E1769,'DANH MỤC'!$C:$H,3,0),"")</f>
        <v/>
      </c>
      <c r="I1769" s="42" t="str">
        <f>+IFERROR(VLOOKUP(E1769,'DANH MỤC'!$C:$H,4,0),"")</f>
        <v/>
      </c>
      <c r="J1769" s="42" t="str">
        <f>+IFERROR(VLOOKUP(E1769,'DANH MỤC'!$C:$H,5,0),"")</f>
        <v/>
      </c>
      <c r="K1769" s="53"/>
      <c r="L1769" s="58"/>
      <c r="M1769" s="55"/>
      <c r="N1769" s="55"/>
    </row>
    <row r="1770" ht="15.75" customHeight="1">
      <c r="A1770" s="53">
        <f t="shared" si="7"/>
        <v>1765</v>
      </c>
      <c r="B1770" s="55"/>
      <c r="C1770" s="41"/>
      <c r="D1770" s="42"/>
      <c r="E1770" s="42"/>
      <c r="F1770" s="42" t="str">
        <f>+IFERROR(VLOOKUP(E1770,'DANH MỤC'!$C:$H,2,0),"")</f>
        <v/>
      </c>
      <c r="G1770" s="42" t="str">
        <f>+IFERROR(VLOOKUP(E1770,'DANH MỤC'!$C:$H,6,0),"")</f>
        <v/>
      </c>
      <c r="H1770" s="42" t="str">
        <f>+IFERROR(VLOOKUP(E1770,'DANH MỤC'!$C:$H,3,0),"")</f>
        <v/>
      </c>
      <c r="I1770" s="42" t="str">
        <f>+IFERROR(VLOOKUP(E1770,'DANH MỤC'!$C:$H,4,0),"")</f>
        <v/>
      </c>
      <c r="J1770" s="42" t="str">
        <f>+IFERROR(VLOOKUP(E1770,'DANH MỤC'!$C:$H,5,0),"")</f>
        <v/>
      </c>
      <c r="K1770" s="53"/>
      <c r="L1770" s="58"/>
      <c r="M1770" s="55"/>
      <c r="N1770" s="55"/>
    </row>
    <row r="1771" ht="15.75" customHeight="1">
      <c r="A1771" s="53">
        <f t="shared" si="7"/>
        <v>1766</v>
      </c>
      <c r="B1771" s="55"/>
      <c r="C1771" s="41"/>
      <c r="D1771" s="42"/>
      <c r="E1771" s="42"/>
      <c r="F1771" s="42" t="str">
        <f>+IFERROR(VLOOKUP(E1771,'DANH MỤC'!$C:$H,2,0),"")</f>
        <v/>
      </c>
      <c r="G1771" s="42" t="str">
        <f>+IFERROR(VLOOKUP(E1771,'DANH MỤC'!$C:$H,6,0),"")</f>
        <v/>
      </c>
      <c r="H1771" s="42" t="str">
        <f>+IFERROR(VLOOKUP(E1771,'DANH MỤC'!$C:$H,3,0),"")</f>
        <v/>
      </c>
      <c r="I1771" s="42" t="str">
        <f>+IFERROR(VLOOKUP(E1771,'DANH MỤC'!$C:$H,4,0),"")</f>
        <v/>
      </c>
      <c r="J1771" s="42" t="str">
        <f>+IFERROR(VLOOKUP(E1771,'DANH MỤC'!$C:$H,5,0),"")</f>
        <v/>
      </c>
      <c r="K1771" s="53"/>
      <c r="L1771" s="58"/>
      <c r="M1771" s="55"/>
      <c r="N1771" s="55"/>
    </row>
    <row r="1772" ht="15.75" customHeight="1">
      <c r="A1772" s="53">
        <f t="shared" si="7"/>
        <v>1767</v>
      </c>
      <c r="B1772" s="55"/>
      <c r="C1772" s="41"/>
      <c r="D1772" s="42"/>
      <c r="E1772" s="42"/>
      <c r="F1772" s="42" t="str">
        <f>+IFERROR(VLOOKUP(E1772,'DANH MỤC'!$C:$H,2,0),"")</f>
        <v/>
      </c>
      <c r="G1772" s="42" t="str">
        <f>+IFERROR(VLOOKUP(E1772,'DANH MỤC'!$C:$H,6,0),"")</f>
        <v/>
      </c>
      <c r="H1772" s="42" t="str">
        <f>+IFERROR(VLOOKUP(E1772,'DANH MỤC'!$C:$H,3,0),"")</f>
        <v/>
      </c>
      <c r="I1772" s="42" t="str">
        <f>+IFERROR(VLOOKUP(E1772,'DANH MỤC'!$C:$H,4,0),"")</f>
        <v/>
      </c>
      <c r="J1772" s="42" t="str">
        <f>+IFERROR(VLOOKUP(E1772,'DANH MỤC'!$C:$H,5,0),"")</f>
        <v/>
      </c>
      <c r="K1772" s="53"/>
      <c r="L1772" s="58"/>
      <c r="M1772" s="55"/>
      <c r="N1772" s="55"/>
    </row>
    <row r="1773" ht="15.75" customHeight="1">
      <c r="A1773" s="53">
        <f t="shared" si="7"/>
        <v>1768</v>
      </c>
      <c r="B1773" s="55"/>
      <c r="C1773" s="41"/>
      <c r="D1773" s="42"/>
      <c r="E1773" s="42"/>
      <c r="F1773" s="42" t="str">
        <f>+IFERROR(VLOOKUP(E1773,'DANH MỤC'!$C:$H,2,0),"")</f>
        <v/>
      </c>
      <c r="G1773" s="42" t="str">
        <f>+IFERROR(VLOOKUP(E1773,'DANH MỤC'!$C:$H,6,0),"")</f>
        <v/>
      </c>
      <c r="H1773" s="42" t="str">
        <f>+IFERROR(VLOOKUP(E1773,'DANH MỤC'!$C:$H,3,0),"")</f>
        <v/>
      </c>
      <c r="I1773" s="42" t="str">
        <f>+IFERROR(VLOOKUP(E1773,'DANH MỤC'!$C:$H,4,0),"")</f>
        <v/>
      </c>
      <c r="J1773" s="42" t="str">
        <f>+IFERROR(VLOOKUP(E1773,'DANH MỤC'!$C:$H,5,0),"")</f>
        <v/>
      </c>
      <c r="K1773" s="53"/>
      <c r="L1773" s="58"/>
      <c r="M1773" s="55"/>
      <c r="N1773" s="55"/>
    </row>
    <row r="1774" ht="15.75" customHeight="1">
      <c r="A1774" s="53">
        <f t="shared" si="7"/>
        <v>1769</v>
      </c>
      <c r="B1774" s="55"/>
      <c r="C1774" s="41"/>
      <c r="D1774" s="42"/>
      <c r="E1774" s="42"/>
      <c r="F1774" s="42" t="str">
        <f>+IFERROR(VLOOKUP(E1774,'DANH MỤC'!$C:$H,2,0),"")</f>
        <v/>
      </c>
      <c r="G1774" s="42" t="str">
        <f>+IFERROR(VLOOKUP(E1774,'DANH MỤC'!$C:$H,6,0),"")</f>
        <v/>
      </c>
      <c r="H1774" s="42" t="str">
        <f>+IFERROR(VLOOKUP(E1774,'DANH MỤC'!$C:$H,3,0),"")</f>
        <v/>
      </c>
      <c r="I1774" s="42" t="str">
        <f>+IFERROR(VLOOKUP(E1774,'DANH MỤC'!$C:$H,4,0),"")</f>
        <v/>
      </c>
      <c r="J1774" s="42" t="str">
        <f>+IFERROR(VLOOKUP(E1774,'DANH MỤC'!$C:$H,5,0),"")</f>
        <v/>
      </c>
      <c r="K1774" s="53"/>
      <c r="L1774" s="58"/>
      <c r="M1774" s="55"/>
      <c r="N1774" s="55"/>
    </row>
    <row r="1775" ht="15.75" customHeight="1">
      <c r="A1775" s="53">
        <f t="shared" si="7"/>
        <v>1770</v>
      </c>
      <c r="B1775" s="55"/>
      <c r="C1775" s="41"/>
      <c r="D1775" s="42"/>
      <c r="E1775" s="42"/>
      <c r="F1775" s="42" t="str">
        <f>+IFERROR(VLOOKUP(E1775,'DANH MỤC'!$C:$H,2,0),"")</f>
        <v/>
      </c>
      <c r="G1775" s="42" t="str">
        <f>+IFERROR(VLOOKUP(E1775,'DANH MỤC'!$C:$H,6,0),"")</f>
        <v/>
      </c>
      <c r="H1775" s="42" t="str">
        <f>+IFERROR(VLOOKUP(E1775,'DANH MỤC'!$C:$H,3,0),"")</f>
        <v/>
      </c>
      <c r="I1775" s="42" t="str">
        <f>+IFERROR(VLOOKUP(E1775,'DANH MỤC'!$C:$H,4,0),"")</f>
        <v/>
      </c>
      <c r="J1775" s="42" t="str">
        <f>+IFERROR(VLOOKUP(E1775,'DANH MỤC'!$C:$H,5,0),"")</f>
        <v/>
      </c>
      <c r="K1775" s="53"/>
      <c r="L1775" s="58"/>
      <c r="M1775" s="55"/>
      <c r="N1775" s="55"/>
    </row>
    <row r="1776" ht="15.75" customHeight="1">
      <c r="A1776" s="53">
        <f t="shared" si="7"/>
        <v>1771</v>
      </c>
      <c r="B1776" s="55"/>
      <c r="C1776" s="41"/>
      <c r="D1776" s="42"/>
      <c r="E1776" s="42"/>
      <c r="F1776" s="42" t="str">
        <f>+IFERROR(VLOOKUP(E1776,'DANH MỤC'!$C:$H,2,0),"")</f>
        <v/>
      </c>
      <c r="G1776" s="42" t="str">
        <f>+IFERROR(VLOOKUP(E1776,'DANH MỤC'!$C:$H,6,0),"")</f>
        <v/>
      </c>
      <c r="H1776" s="42" t="str">
        <f>+IFERROR(VLOOKUP(E1776,'DANH MỤC'!$C:$H,3,0),"")</f>
        <v/>
      </c>
      <c r="I1776" s="42" t="str">
        <f>+IFERROR(VLOOKUP(E1776,'DANH MỤC'!$C:$H,4,0),"")</f>
        <v/>
      </c>
      <c r="J1776" s="42" t="str">
        <f>+IFERROR(VLOOKUP(E1776,'DANH MỤC'!$C:$H,5,0),"")</f>
        <v/>
      </c>
      <c r="K1776" s="53"/>
      <c r="L1776" s="58"/>
      <c r="M1776" s="55"/>
      <c r="N1776" s="55"/>
    </row>
    <row r="1777" ht="15.75" customHeight="1">
      <c r="A1777" s="53">
        <f t="shared" si="7"/>
        <v>1772</v>
      </c>
      <c r="B1777" s="55"/>
      <c r="C1777" s="41"/>
      <c r="D1777" s="42"/>
      <c r="E1777" s="42"/>
      <c r="F1777" s="42" t="str">
        <f>+IFERROR(VLOOKUP(E1777,'DANH MỤC'!$C:$H,2,0),"")</f>
        <v/>
      </c>
      <c r="G1777" s="42" t="str">
        <f>+IFERROR(VLOOKUP(E1777,'DANH MỤC'!$C:$H,6,0),"")</f>
        <v/>
      </c>
      <c r="H1777" s="42" t="str">
        <f>+IFERROR(VLOOKUP(E1777,'DANH MỤC'!$C:$H,3,0),"")</f>
        <v/>
      </c>
      <c r="I1777" s="42" t="str">
        <f>+IFERROR(VLOOKUP(E1777,'DANH MỤC'!$C:$H,4,0),"")</f>
        <v/>
      </c>
      <c r="J1777" s="42" t="str">
        <f>+IFERROR(VLOOKUP(E1777,'DANH MỤC'!$C:$H,5,0),"")</f>
        <v/>
      </c>
      <c r="K1777" s="53"/>
      <c r="L1777" s="58"/>
      <c r="M1777" s="55"/>
      <c r="N1777" s="55"/>
    </row>
    <row r="1778" ht="15.75" customHeight="1">
      <c r="A1778" s="53">
        <f t="shared" si="7"/>
        <v>1773</v>
      </c>
      <c r="B1778" s="55"/>
      <c r="C1778" s="41"/>
      <c r="D1778" s="42"/>
      <c r="E1778" s="42"/>
      <c r="F1778" s="42" t="str">
        <f>+IFERROR(VLOOKUP(E1778,'DANH MỤC'!$C:$H,2,0),"")</f>
        <v/>
      </c>
      <c r="G1778" s="42" t="str">
        <f>+IFERROR(VLOOKUP(E1778,'DANH MỤC'!$C:$H,6,0),"")</f>
        <v/>
      </c>
      <c r="H1778" s="42" t="str">
        <f>+IFERROR(VLOOKUP(E1778,'DANH MỤC'!$C:$H,3,0),"")</f>
        <v/>
      </c>
      <c r="I1778" s="42" t="str">
        <f>+IFERROR(VLOOKUP(E1778,'DANH MỤC'!$C:$H,4,0),"")</f>
        <v/>
      </c>
      <c r="J1778" s="42" t="str">
        <f>+IFERROR(VLOOKUP(E1778,'DANH MỤC'!$C:$H,5,0),"")</f>
        <v/>
      </c>
      <c r="K1778" s="53"/>
      <c r="L1778" s="58"/>
      <c r="M1778" s="55"/>
      <c r="N1778" s="55"/>
    </row>
    <row r="1779" ht="15.75" customHeight="1">
      <c r="A1779" s="53">
        <f t="shared" si="7"/>
        <v>1774</v>
      </c>
      <c r="B1779" s="55"/>
      <c r="C1779" s="41"/>
      <c r="D1779" s="42"/>
      <c r="E1779" s="42"/>
      <c r="F1779" s="42" t="str">
        <f>+IFERROR(VLOOKUP(E1779,'DANH MỤC'!$C:$H,2,0),"")</f>
        <v/>
      </c>
      <c r="G1779" s="42" t="str">
        <f>+IFERROR(VLOOKUP(E1779,'DANH MỤC'!$C:$H,6,0),"")</f>
        <v/>
      </c>
      <c r="H1779" s="42" t="str">
        <f>+IFERROR(VLOOKUP(E1779,'DANH MỤC'!$C:$H,3,0),"")</f>
        <v/>
      </c>
      <c r="I1779" s="42" t="str">
        <f>+IFERROR(VLOOKUP(E1779,'DANH MỤC'!$C:$H,4,0),"")</f>
        <v/>
      </c>
      <c r="J1779" s="42" t="str">
        <f>+IFERROR(VLOOKUP(E1779,'DANH MỤC'!$C:$H,5,0),"")</f>
        <v/>
      </c>
      <c r="K1779" s="53"/>
      <c r="L1779" s="58"/>
      <c r="M1779" s="55"/>
      <c r="N1779" s="55"/>
    </row>
    <row r="1780" ht="15.75" customHeight="1">
      <c r="A1780" s="53">
        <f t="shared" si="7"/>
        <v>1775</v>
      </c>
      <c r="B1780" s="55"/>
      <c r="C1780" s="41"/>
      <c r="D1780" s="42"/>
      <c r="E1780" s="42"/>
      <c r="F1780" s="42" t="str">
        <f>+IFERROR(VLOOKUP(E1780,'DANH MỤC'!$C:$H,2,0),"")</f>
        <v/>
      </c>
      <c r="G1780" s="42" t="str">
        <f>+IFERROR(VLOOKUP(E1780,'DANH MỤC'!$C:$H,6,0),"")</f>
        <v/>
      </c>
      <c r="H1780" s="42" t="str">
        <f>+IFERROR(VLOOKUP(E1780,'DANH MỤC'!$C:$H,3,0),"")</f>
        <v/>
      </c>
      <c r="I1780" s="42" t="str">
        <f>+IFERROR(VLOOKUP(E1780,'DANH MỤC'!$C:$H,4,0),"")</f>
        <v/>
      </c>
      <c r="J1780" s="42" t="str">
        <f>+IFERROR(VLOOKUP(E1780,'DANH MỤC'!$C:$H,5,0),"")</f>
        <v/>
      </c>
      <c r="K1780" s="53"/>
      <c r="L1780" s="58"/>
      <c r="M1780" s="55"/>
      <c r="N1780" s="55"/>
    </row>
    <row r="1781" ht="15.75" customHeight="1">
      <c r="A1781" s="53">
        <f t="shared" si="7"/>
        <v>1776</v>
      </c>
      <c r="B1781" s="55"/>
      <c r="C1781" s="41"/>
      <c r="D1781" s="42"/>
      <c r="E1781" s="42"/>
      <c r="F1781" s="42" t="str">
        <f>+IFERROR(VLOOKUP(E1781,'DANH MỤC'!$C:$H,2,0),"")</f>
        <v/>
      </c>
      <c r="G1781" s="42" t="str">
        <f>+IFERROR(VLOOKUP(E1781,'DANH MỤC'!$C:$H,6,0),"")</f>
        <v/>
      </c>
      <c r="H1781" s="42" t="str">
        <f>+IFERROR(VLOOKUP(E1781,'DANH MỤC'!$C:$H,3,0),"")</f>
        <v/>
      </c>
      <c r="I1781" s="42" t="str">
        <f>+IFERROR(VLOOKUP(E1781,'DANH MỤC'!$C:$H,4,0),"")</f>
        <v/>
      </c>
      <c r="J1781" s="42" t="str">
        <f>+IFERROR(VLOOKUP(E1781,'DANH MỤC'!$C:$H,5,0),"")</f>
        <v/>
      </c>
      <c r="K1781" s="53"/>
      <c r="L1781" s="58"/>
      <c r="M1781" s="55"/>
      <c r="N1781" s="55"/>
    </row>
    <row r="1782" ht="15.75" customHeight="1">
      <c r="A1782" s="53">
        <f t="shared" si="7"/>
        <v>1777</v>
      </c>
      <c r="B1782" s="55"/>
      <c r="C1782" s="41"/>
      <c r="D1782" s="42"/>
      <c r="E1782" s="42"/>
      <c r="F1782" s="42" t="str">
        <f>+IFERROR(VLOOKUP(E1782,'DANH MỤC'!$C:$H,2,0),"")</f>
        <v/>
      </c>
      <c r="G1782" s="42" t="str">
        <f>+IFERROR(VLOOKUP(E1782,'DANH MỤC'!$C:$H,6,0),"")</f>
        <v/>
      </c>
      <c r="H1782" s="42" t="str">
        <f>+IFERROR(VLOOKUP(E1782,'DANH MỤC'!$C:$H,3,0),"")</f>
        <v/>
      </c>
      <c r="I1782" s="42" t="str">
        <f>+IFERROR(VLOOKUP(E1782,'DANH MỤC'!$C:$H,4,0),"")</f>
        <v/>
      </c>
      <c r="J1782" s="42" t="str">
        <f>+IFERROR(VLOOKUP(E1782,'DANH MỤC'!$C:$H,5,0),"")</f>
        <v/>
      </c>
      <c r="K1782" s="53"/>
      <c r="L1782" s="58"/>
      <c r="M1782" s="55"/>
      <c r="N1782" s="55"/>
    </row>
    <row r="1783" ht="15.75" customHeight="1">
      <c r="A1783" s="53">
        <f t="shared" si="7"/>
        <v>1778</v>
      </c>
      <c r="B1783" s="55"/>
      <c r="C1783" s="41"/>
      <c r="D1783" s="42"/>
      <c r="E1783" s="42"/>
      <c r="F1783" s="42" t="str">
        <f>+IFERROR(VLOOKUP(E1783,'DANH MỤC'!$C:$H,2,0),"")</f>
        <v/>
      </c>
      <c r="G1783" s="42" t="str">
        <f>+IFERROR(VLOOKUP(E1783,'DANH MỤC'!$C:$H,6,0),"")</f>
        <v/>
      </c>
      <c r="H1783" s="42" t="str">
        <f>+IFERROR(VLOOKUP(E1783,'DANH MỤC'!$C:$H,3,0),"")</f>
        <v/>
      </c>
      <c r="I1783" s="42" t="str">
        <f>+IFERROR(VLOOKUP(E1783,'DANH MỤC'!$C:$H,4,0),"")</f>
        <v/>
      </c>
      <c r="J1783" s="42" t="str">
        <f>+IFERROR(VLOOKUP(E1783,'DANH MỤC'!$C:$H,5,0),"")</f>
        <v/>
      </c>
      <c r="K1783" s="53"/>
      <c r="L1783" s="58"/>
      <c r="M1783" s="55"/>
      <c r="N1783" s="55"/>
    </row>
    <row r="1784" ht="15.75" customHeight="1">
      <c r="A1784" s="53">
        <f t="shared" si="7"/>
        <v>1779</v>
      </c>
      <c r="B1784" s="55"/>
      <c r="C1784" s="41"/>
      <c r="D1784" s="42"/>
      <c r="E1784" s="42"/>
      <c r="F1784" s="42" t="str">
        <f>+IFERROR(VLOOKUP(E1784,'DANH MỤC'!$C:$H,2,0),"")</f>
        <v/>
      </c>
      <c r="G1784" s="42" t="str">
        <f>+IFERROR(VLOOKUP(E1784,'DANH MỤC'!$C:$H,6,0),"")</f>
        <v/>
      </c>
      <c r="H1784" s="42" t="str">
        <f>+IFERROR(VLOOKUP(E1784,'DANH MỤC'!$C:$H,3,0),"")</f>
        <v/>
      </c>
      <c r="I1784" s="42" t="str">
        <f>+IFERROR(VLOOKUP(E1784,'DANH MỤC'!$C:$H,4,0),"")</f>
        <v/>
      </c>
      <c r="J1784" s="42" t="str">
        <f>+IFERROR(VLOOKUP(E1784,'DANH MỤC'!$C:$H,5,0),"")</f>
        <v/>
      </c>
      <c r="K1784" s="53"/>
      <c r="L1784" s="58"/>
      <c r="M1784" s="55"/>
      <c r="N1784" s="55"/>
    </row>
    <row r="1785" ht="15.75" customHeight="1">
      <c r="A1785" s="53">
        <f t="shared" si="7"/>
        <v>1780</v>
      </c>
      <c r="B1785" s="55"/>
      <c r="C1785" s="41"/>
      <c r="D1785" s="42"/>
      <c r="E1785" s="42"/>
      <c r="F1785" s="42" t="str">
        <f>+IFERROR(VLOOKUP(E1785,'DANH MỤC'!$C:$H,2,0),"")</f>
        <v/>
      </c>
      <c r="G1785" s="42" t="str">
        <f>+IFERROR(VLOOKUP(E1785,'DANH MỤC'!$C:$H,6,0),"")</f>
        <v/>
      </c>
      <c r="H1785" s="42" t="str">
        <f>+IFERROR(VLOOKUP(E1785,'DANH MỤC'!$C:$H,3,0),"")</f>
        <v/>
      </c>
      <c r="I1785" s="42" t="str">
        <f>+IFERROR(VLOOKUP(E1785,'DANH MỤC'!$C:$H,4,0),"")</f>
        <v/>
      </c>
      <c r="J1785" s="42" t="str">
        <f>+IFERROR(VLOOKUP(E1785,'DANH MỤC'!$C:$H,5,0),"")</f>
        <v/>
      </c>
      <c r="K1785" s="53"/>
      <c r="L1785" s="58"/>
      <c r="M1785" s="55"/>
      <c r="N1785" s="55"/>
    </row>
    <row r="1786" ht="15.75" customHeight="1">
      <c r="A1786" s="53">
        <f t="shared" si="7"/>
        <v>1781</v>
      </c>
      <c r="B1786" s="55"/>
      <c r="C1786" s="41"/>
      <c r="D1786" s="42"/>
      <c r="E1786" s="42"/>
      <c r="F1786" s="42" t="str">
        <f>+IFERROR(VLOOKUP(E1786,'DANH MỤC'!$C:$H,2,0),"")</f>
        <v/>
      </c>
      <c r="G1786" s="42" t="str">
        <f>+IFERROR(VLOOKUP(E1786,'DANH MỤC'!$C:$H,6,0),"")</f>
        <v/>
      </c>
      <c r="H1786" s="42" t="str">
        <f>+IFERROR(VLOOKUP(E1786,'DANH MỤC'!$C:$H,3,0),"")</f>
        <v/>
      </c>
      <c r="I1786" s="42" t="str">
        <f>+IFERROR(VLOOKUP(E1786,'DANH MỤC'!$C:$H,4,0),"")</f>
        <v/>
      </c>
      <c r="J1786" s="42" t="str">
        <f>+IFERROR(VLOOKUP(E1786,'DANH MỤC'!$C:$H,5,0),"")</f>
        <v/>
      </c>
      <c r="K1786" s="53"/>
      <c r="L1786" s="58"/>
      <c r="M1786" s="55"/>
      <c r="N1786" s="55"/>
    </row>
    <row r="1787" ht="15.75" customHeight="1">
      <c r="A1787" s="53">
        <f t="shared" si="7"/>
        <v>1782</v>
      </c>
      <c r="B1787" s="55"/>
      <c r="C1787" s="41"/>
      <c r="D1787" s="42"/>
      <c r="E1787" s="42"/>
      <c r="F1787" s="42" t="str">
        <f>+IFERROR(VLOOKUP(E1787,'DANH MỤC'!$C:$H,2,0),"")</f>
        <v/>
      </c>
      <c r="G1787" s="42" t="str">
        <f>+IFERROR(VLOOKUP(E1787,'DANH MỤC'!$C:$H,6,0),"")</f>
        <v/>
      </c>
      <c r="H1787" s="42" t="str">
        <f>+IFERROR(VLOOKUP(E1787,'DANH MỤC'!$C:$H,3,0),"")</f>
        <v/>
      </c>
      <c r="I1787" s="42" t="str">
        <f>+IFERROR(VLOOKUP(E1787,'DANH MỤC'!$C:$H,4,0),"")</f>
        <v/>
      </c>
      <c r="J1787" s="42" t="str">
        <f>+IFERROR(VLOOKUP(E1787,'DANH MỤC'!$C:$H,5,0),"")</f>
        <v/>
      </c>
      <c r="K1787" s="53"/>
      <c r="L1787" s="58"/>
      <c r="M1787" s="55"/>
      <c r="N1787" s="55"/>
    </row>
    <row r="1788" ht="15.75" customHeight="1">
      <c r="A1788" s="53">
        <f t="shared" si="7"/>
        <v>1783</v>
      </c>
      <c r="B1788" s="55"/>
      <c r="C1788" s="41"/>
      <c r="D1788" s="42"/>
      <c r="E1788" s="42"/>
      <c r="F1788" s="42" t="str">
        <f>+IFERROR(VLOOKUP(E1788,'DANH MỤC'!$C:$H,2,0),"")</f>
        <v/>
      </c>
      <c r="G1788" s="42" t="str">
        <f>+IFERROR(VLOOKUP(E1788,'DANH MỤC'!$C:$H,6,0),"")</f>
        <v/>
      </c>
      <c r="H1788" s="42" t="str">
        <f>+IFERROR(VLOOKUP(E1788,'DANH MỤC'!$C:$H,3,0),"")</f>
        <v/>
      </c>
      <c r="I1788" s="42" t="str">
        <f>+IFERROR(VLOOKUP(E1788,'DANH MỤC'!$C:$H,4,0),"")</f>
        <v/>
      </c>
      <c r="J1788" s="42" t="str">
        <f>+IFERROR(VLOOKUP(E1788,'DANH MỤC'!$C:$H,5,0),"")</f>
        <v/>
      </c>
      <c r="K1788" s="53"/>
      <c r="L1788" s="58"/>
      <c r="M1788" s="55"/>
      <c r="N1788" s="55"/>
    </row>
    <row r="1789" ht="15.75" customHeight="1">
      <c r="A1789" s="53">
        <f t="shared" si="7"/>
        <v>1784</v>
      </c>
      <c r="B1789" s="55"/>
      <c r="C1789" s="41"/>
      <c r="D1789" s="42"/>
      <c r="E1789" s="42"/>
      <c r="F1789" s="42" t="str">
        <f>+IFERROR(VLOOKUP(E1789,'DANH MỤC'!$C:$H,2,0),"")</f>
        <v/>
      </c>
      <c r="G1789" s="42" t="str">
        <f>+IFERROR(VLOOKUP(E1789,'DANH MỤC'!$C:$H,6,0),"")</f>
        <v/>
      </c>
      <c r="H1789" s="42" t="str">
        <f>+IFERROR(VLOOKUP(E1789,'DANH MỤC'!$C:$H,3,0),"")</f>
        <v/>
      </c>
      <c r="I1789" s="42" t="str">
        <f>+IFERROR(VLOOKUP(E1789,'DANH MỤC'!$C:$H,4,0),"")</f>
        <v/>
      </c>
      <c r="J1789" s="42" t="str">
        <f>+IFERROR(VLOOKUP(E1789,'DANH MỤC'!$C:$H,5,0),"")</f>
        <v/>
      </c>
      <c r="K1789" s="53"/>
      <c r="L1789" s="58"/>
      <c r="M1789" s="55"/>
      <c r="N1789" s="55"/>
    </row>
    <row r="1790" ht="15.75" customHeight="1">
      <c r="A1790" s="53">
        <f t="shared" si="7"/>
        <v>1785</v>
      </c>
      <c r="B1790" s="55"/>
      <c r="C1790" s="41"/>
      <c r="D1790" s="42"/>
      <c r="E1790" s="42"/>
      <c r="F1790" s="42" t="str">
        <f>+IFERROR(VLOOKUP(E1790,'DANH MỤC'!$C:$H,2,0),"")</f>
        <v/>
      </c>
      <c r="G1790" s="42" t="str">
        <f>+IFERROR(VLOOKUP(E1790,'DANH MỤC'!$C:$H,6,0),"")</f>
        <v/>
      </c>
      <c r="H1790" s="42" t="str">
        <f>+IFERROR(VLOOKUP(E1790,'DANH MỤC'!$C:$H,3,0),"")</f>
        <v/>
      </c>
      <c r="I1790" s="42" t="str">
        <f>+IFERROR(VLOOKUP(E1790,'DANH MỤC'!$C:$H,4,0),"")</f>
        <v/>
      </c>
      <c r="J1790" s="42" t="str">
        <f>+IFERROR(VLOOKUP(E1790,'DANH MỤC'!$C:$H,5,0),"")</f>
        <v/>
      </c>
      <c r="K1790" s="53"/>
      <c r="L1790" s="58"/>
      <c r="M1790" s="55"/>
      <c r="N1790" s="55"/>
    </row>
    <row r="1791" ht="15.75" customHeight="1">
      <c r="A1791" s="53">
        <f t="shared" si="7"/>
        <v>1786</v>
      </c>
      <c r="B1791" s="55"/>
      <c r="C1791" s="41"/>
      <c r="D1791" s="42"/>
      <c r="E1791" s="42"/>
      <c r="F1791" s="42" t="str">
        <f>+IFERROR(VLOOKUP(E1791,'DANH MỤC'!$C:$H,2,0),"")</f>
        <v/>
      </c>
      <c r="G1791" s="42" t="str">
        <f>+IFERROR(VLOOKUP(E1791,'DANH MỤC'!$C:$H,6,0),"")</f>
        <v/>
      </c>
      <c r="H1791" s="42" t="str">
        <f>+IFERROR(VLOOKUP(E1791,'DANH MỤC'!$C:$H,3,0),"")</f>
        <v/>
      </c>
      <c r="I1791" s="42" t="str">
        <f>+IFERROR(VLOOKUP(E1791,'DANH MỤC'!$C:$H,4,0),"")</f>
        <v/>
      </c>
      <c r="J1791" s="42" t="str">
        <f>+IFERROR(VLOOKUP(E1791,'DANH MỤC'!$C:$H,5,0),"")</f>
        <v/>
      </c>
      <c r="K1791" s="53"/>
      <c r="L1791" s="58"/>
      <c r="M1791" s="55"/>
      <c r="N1791" s="55"/>
    </row>
    <row r="1792" ht="15.75" customHeight="1">
      <c r="A1792" s="53">
        <f t="shared" si="7"/>
        <v>1787</v>
      </c>
      <c r="B1792" s="55"/>
      <c r="C1792" s="41"/>
      <c r="D1792" s="42"/>
      <c r="E1792" s="42"/>
      <c r="F1792" s="42" t="str">
        <f>+IFERROR(VLOOKUP(E1792,'DANH MỤC'!$C:$H,2,0),"")</f>
        <v/>
      </c>
      <c r="G1792" s="42" t="str">
        <f>+IFERROR(VLOOKUP(E1792,'DANH MỤC'!$C:$H,6,0),"")</f>
        <v/>
      </c>
      <c r="H1792" s="42" t="str">
        <f>+IFERROR(VLOOKUP(E1792,'DANH MỤC'!$C:$H,3,0),"")</f>
        <v/>
      </c>
      <c r="I1792" s="42" t="str">
        <f>+IFERROR(VLOOKUP(E1792,'DANH MỤC'!$C:$H,4,0),"")</f>
        <v/>
      </c>
      <c r="J1792" s="42" t="str">
        <f>+IFERROR(VLOOKUP(E1792,'DANH MỤC'!$C:$H,5,0),"")</f>
        <v/>
      </c>
      <c r="K1792" s="53"/>
      <c r="L1792" s="58"/>
      <c r="M1792" s="55"/>
      <c r="N1792" s="55"/>
    </row>
    <row r="1793" ht="15.75" customHeight="1">
      <c r="A1793" s="53">
        <f t="shared" si="7"/>
        <v>1788</v>
      </c>
      <c r="B1793" s="55"/>
      <c r="C1793" s="41"/>
      <c r="D1793" s="42"/>
      <c r="E1793" s="42"/>
      <c r="F1793" s="42" t="str">
        <f>+IFERROR(VLOOKUP(E1793,'DANH MỤC'!$C:$H,2,0),"")</f>
        <v/>
      </c>
      <c r="G1793" s="42" t="str">
        <f>+IFERROR(VLOOKUP(E1793,'DANH MỤC'!$C:$H,6,0),"")</f>
        <v/>
      </c>
      <c r="H1793" s="42" t="str">
        <f>+IFERROR(VLOOKUP(E1793,'DANH MỤC'!$C:$H,3,0),"")</f>
        <v/>
      </c>
      <c r="I1793" s="42" t="str">
        <f>+IFERROR(VLOOKUP(E1793,'DANH MỤC'!$C:$H,4,0),"")</f>
        <v/>
      </c>
      <c r="J1793" s="42" t="str">
        <f>+IFERROR(VLOOKUP(E1793,'DANH MỤC'!$C:$H,5,0),"")</f>
        <v/>
      </c>
      <c r="K1793" s="53"/>
      <c r="L1793" s="58"/>
      <c r="M1793" s="55"/>
      <c r="N1793" s="55"/>
    </row>
    <row r="1794" ht="15.75" customHeight="1">
      <c r="A1794" s="53">
        <f t="shared" si="7"/>
        <v>1789</v>
      </c>
      <c r="B1794" s="55"/>
      <c r="C1794" s="41"/>
      <c r="D1794" s="42"/>
      <c r="E1794" s="42"/>
      <c r="F1794" s="42" t="str">
        <f>+IFERROR(VLOOKUP(E1794,'DANH MỤC'!$C:$H,2,0),"")</f>
        <v/>
      </c>
      <c r="G1794" s="42" t="str">
        <f>+IFERROR(VLOOKUP(E1794,'DANH MỤC'!$C:$H,6,0),"")</f>
        <v/>
      </c>
      <c r="H1794" s="42" t="str">
        <f>+IFERROR(VLOOKUP(E1794,'DANH MỤC'!$C:$H,3,0),"")</f>
        <v/>
      </c>
      <c r="I1794" s="42" t="str">
        <f>+IFERROR(VLOOKUP(E1794,'DANH MỤC'!$C:$H,4,0),"")</f>
        <v/>
      </c>
      <c r="J1794" s="42" t="str">
        <f>+IFERROR(VLOOKUP(E1794,'DANH MỤC'!$C:$H,5,0),"")</f>
        <v/>
      </c>
      <c r="K1794" s="53"/>
      <c r="L1794" s="58"/>
      <c r="M1794" s="55"/>
      <c r="N1794" s="55"/>
    </row>
    <row r="1795" ht="15.75" customHeight="1">
      <c r="A1795" s="53">
        <f t="shared" si="7"/>
        <v>1790</v>
      </c>
      <c r="B1795" s="55"/>
      <c r="C1795" s="41"/>
      <c r="D1795" s="42"/>
      <c r="E1795" s="42"/>
      <c r="F1795" s="42" t="str">
        <f>+IFERROR(VLOOKUP(E1795,'DANH MỤC'!$C:$H,2,0),"")</f>
        <v/>
      </c>
      <c r="G1795" s="42" t="str">
        <f>+IFERROR(VLOOKUP(E1795,'DANH MỤC'!$C:$H,6,0),"")</f>
        <v/>
      </c>
      <c r="H1795" s="42" t="str">
        <f>+IFERROR(VLOOKUP(E1795,'DANH MỤC'!$C:$H,3,0),"")</f>
        <v/>
      </c>
      <c r="I1795" s="42" t="str">
        <f>+IFERROR(VLOOKUP(E1795,'DANH MỤC'!$C:$H,4,0),"")</f>
        <v/>
      </c>
      <c r="J1795" s="42" t="str">
        <f>+IFERROR(VLOOKUP(E1795,'DANH MỤC'!$C:$H,5,0),"")</f>
        <v/>
      </c>
      <c r="K1795" s="53"/>
      <c r="L1795" s="58"/>
      <c r="M1795" s="55"/>
      <c r="N1795" s="55"/>
    </row>
    <row r="1796" ht="15.75" customHeight="1">
      <c r="A1796" s="53">
        <f t="shared" si="7"/>
        <v>1791</v>
      </c>
      <c r="B1796" s="55"/>
      <c r="C1796" s="41"/>
      <c r="D1796" s="42"/>
      <c r="E1796" s="42"/>
      <c r="F1796" s="42" t="str">
        <f>+IFERROR(VLOOKUP(E1796,'DANH MỤC'!$C:$H,2,0),"")</f>
        <v/>
      </c>
      <c r="G1796" s="42" t="str">
        <f>+IFERROR(VLOOKUP(E1796,'DANH MỤC'!$C:$H,6,0),"")</f>
        <v/>
      </c>
      <c r="H1796" s="42" t="str">
        <f>+IFERROR(VLOOKUP(E1796,'DANH MỤC'!$C:$H,3,0),"")</f>
        <v/>
      </c>
      <c r="I1796" s="42" t="str">
        <f>+IFERROR(VLOOKUP(E1796,'DANH MỤC'!$C:$H,4,0),"")</f>
        <v/>
      </c>
      <c r="J1796" s="42" t="str">
        <f>+IFERROR(VLOOKUP(E1796,'DANH MỤC'!$C:$H,5,0),"")</f>
        <v/>
      </c>
      <c r="K1796" s="53"/>
      <c r="L1796" s="58"/>
      <c r="M1796" s="55"/>
      <c r="N1796" s="55"/>
    </row>
    <row r="1797" ht="15.75" customHeight="1">
      <c r="A1797" s="53">
        <f t="shared" si="7"/>
        <v>1792</v>
      </c>
      <c r="B1797" s="55"/>
      <c r="C1797" s="41"/>
      <c r="D1797" s="42"/>
      <c r="E1797" s="42"/>
      <c r="F1797" s="42" t="str">
        <f>+IFERROR(VLOOKUP(E1797,'DANH MỤC'!$C:$H,2,0),"")</f>
        <v/>
      </c>
      <c r="G1797" s="42" t="str">
        <f>+IFERROR(VLOOKUP(E1797,'DANH MỤC'!$C:$H,6,0),"")</f>
        <v/>
      </c>
      <c r="H1797" s="42" t="str">
        <f>+IFERROR(VLOOKUP(E1797,'DANH MỤC'!$C:$H,3,0),"")</f>
        <v/>
      </c>
      <c r="I1797" s="42" t="str">
        <f>+IFERROR(VLOOKUP(E1797,'DANH MỤC'!$C:$H,4,0),"")</f>
        <v/>
      </c>
      <c r="J1797" s="42" t="str">
        <f>+IFERROR(VLOOKUP(E1797,'DANH MỤC'!$C:$H,5,0),"")</f>
        <v/>
      </c>
      <c r="K1797" s="53"/>
      <c r="L1797" s="58"/>
      <c r="M1797" s="55"/>
      <c r="N1797" s="55"/>
    </row>
    <row r="1798" ht="15.75" customHeight="1">
      <c r="A1798" s="53">
        <f t="shared" si="7"/>
        <v>1793</v>
      </c>
      <c r="B1798" s="55"/>
      <c r="C1798" s="41"/>
      <c r="D1798" s="42"/>
      <c r="E1798" s="42"/>
      <c r="F1798" s="42" t="str">
        <f>+IFERROR(VLOOKUP(E1798,'DANH MỤC'!$C:$H,2,0),"")</f>
        <v/>
      </c>
      <c r="G1798" s="42" t="str">
        <f>+IFERROR(VLOOKUP(E1798,'DANH MỤC'!$C:$H,6,0),"")</f>
        <v/>
      </c>
      <c r="H1798" s="42" t="str">
        <f>+IFERROR(VLOOKUP(E1798,'DANH MỤC'!$C:$H,3,0),"")</f>
        <v/>
      </c>
      <c r="I1798" s="42" t="str">
        <f>+IFERROR(VLOOKUP(E1798,'DANH MỤC'!$C:$H,4,0),"")</f>
        <v/>
      </c>
      <c r="J1798" s="42" t="str">
        <f>+IFERROR(VLOOKUP(E1798,'DANH MỤC'!$C:$H,5,0),"")</f>
        <v/>
      </c>
      <c r="K1798" s="53"/>
      <c r="L1798" s="58"/>
      <c r="M1798" s="55"/>
      <c r="N1798" s="55"/>
    </row>
    <row r="1799" ht="15.75" customHeight="1">
      <c r="A1799" s="53">
        <f t="shared" si="7"/>
        <v>1794</v>
      </c>
      <c r="B1799" s="55"/>
      <c r="C1799" s="41"/>
      <c r="D1799" s="42"/>
      <c r="E1799" s="42"/>
      <c r="F1799" s="42" t="str">
        <f>+IFERROR(VLOOKUP(E1799,'DANH MỤC'!$C:$H,2,0),"")</f>
        <v/>
      </c>
      <c r="G1799" s="42" t="str">
        <f>+IFERROR(VLOOKUP(E1799,'DANH MỤC'!$C:$H,6,0),"")</f>
        <v/>
      </c>
      <c r="H1799" s="42" t="str">
        <f>+IFERROR(VLOOKUP(E1799,'DANH MỤC'!$C:$H,3,0),"")</f>
        <v/>
      </c>
      <c r="I1799" s="42" t="str">
        <f>+IFERROR(VLOOKUP(E1799,'DANH MỤC'!$C:$H,4,0),"")</f>
        <v/>
      </c>
      <c r="J1799" s="42" t="str">
        <f>+IFERROR(VLOOKUP(E1799,'DANH MỤC'!$C:$H,5,0),"")</f>
        <v/>
      </c>
      <c r="K1799" s="53"/>
      <c r="L1799" s="58"/>
      <c r="M1799" s="55"/>
      <c r="N1799" s="55"/>
    </row>
    <row r="1800" ht="15.75" customHeight="1">
      <c r="A1800" s="53">
        <f t="shared" si="7"/>
        <v>1795</v>
      </c>
      <c r="B1800" s="55"/>
      <c r="C1800" s="41"/>
      <c r="D1800" s="42"/>
      <c r="E1800" s="42"/>
      <c r="F1800" s="42" t="str">
        <f>+IFERROR(VLOOKUP(E1800,'DANH MỤC'!$C:$H,2,0),"")</f>
        <v/>
      </c>
      <c r="G1800" s="42" t="str">
        <f>+IFERROR(VLOOKUP(E1800,'DANH MỤC'!$C:$H,6,0),"")</f>
        <v/>
      </c>
      <c r="H1800" s="42" t="str">
        <f>+IFERROR(VLOOKUP(E1800,'DANH MỤC'!$C:$H,3,0),"")</f>
        <v/>
      </c>
      <c r="I1800" s="42" t="str">
        <f>+IFERROR(VLOOKUP(E1800,'DANH MỤC'!$C:$H,4,0),"")</f>
        <v/>
      </c>
      <c r="J1800" s="42" t="str">
        <f>+IFERROR(VLOOKUP(E1800,'DANH MỤC'!$C:$H,5,0),"")</f>
        <v/>
      </c>
      <c r="K1800" s="53"/>
      <c r="L1800" s="58"/>
      <c r="M1800" s="55"/>
      <c r="N1800" s="55"/>
    </row>
    <row r="1801" ht="15.75" customHeight="1">
      <c r="A1801" s="53">
        <f t="shared" si="7"/>
        <v>1796</v>
      </c>
      <c r="B1801" s="55"/>
      <c r="C1801" s="41"/>
      <c r="D1801" s="42"/>
      <c r="E1801" s="42"/>
      <c r="F1801" s="42" t="str">
        <f>+IFERROR(VLOOKUP(E1801,'DANH MỤC'!$C:$H,2,0),"")</f>
        <v/>
      </c>
      <c r="G1801" s="42" t="str">
        <f>+IFERROR(VLOOKUP(E1801,'DANH MỤC'!$C:$H,6,0),"")</f>
        <v/>
      </c>
      <c r="H1801" s="42" t="str">
        <f>+IFERROR(VLOOKUP(E1801,'DANH MỤC'!$C:$H,3,0),"")</f>
        <v/>
      </c>
      <c r="I1801" s="42" t="str">
        <f>+IFERROR(VLOOKUP(E1801,'DANH MỤC'!$C:$H,4,0),"")</f>
        <v/>
      </c>
      <c r="J1801" s="42" t="str">
        <f>+IFERROR(VLOOKUP(E1801,'DANH MỤC'!$C:$H,5,0),"")</f>
        <v/>
      </c>
      <c r="K1801" s="53"/>
      <c r="L1801" s="58"/>
      <c r="M1801" s="55"/>
      <c r="N1801" s="55"/>
    </row>
    <row r="1802" ht="15.75" customHeight="1">
      <c r="A1802" s="53">
        <f t="shared" si="7"/>
        <v>1797</v>
      </c>
      <c r="B1802" s="55"/>
      <c r="C1802" s="41"/>
      <c r="D1802" s="42"/>
      <c r="E1802" s="42"/>
      <c r="F1802" s="42" t="str">
        <f>+IFERROR(VLOOKUP(E1802,'DANH MỤC'!$C:$H,2,0),"")</f>
        <v/>
      </c>
      <c r="G1802" s="42" t="str">
        <f>+IFERROR(VLOOKUP(E1802,'DANH MỤC'!$C:$H,6,0),"")</f>
        <v/>
      </c>
      <c r="H1802" s="42" t="str">
        <f>+IFERROR(VLOOKUP(E1802,'DANH MỤC'!$C:$H,3,0),"")</f>
        <v/>
      </c>
      <c r="I1802" s="42" t="str">
        <f>+IFERROR(VLOOKUP(E1802,'DANH MỤC'!$C:$H,4,0),"")</f>
        <v/>
      </c>
      <c r="J1802" s="42" t="str">
        <f>+IFERROR(VLOOKUP(E1802,'DANH MỤC'!$C:$H,5,0),"")</f>
        <v/>
      </c>
      <c r="K1802" s="53"/>
      <c r="L1802" s="58"/>
      <c r="M1802" s="55"/>
      <c r="N1802" s="55"/>
    </row>
    <row r="1803" ht="15.75" customHeight="1">
      <c r="A1803" s="53">
        <f t="shared" si="7"/>
        <v>1798</v>
      </c>
      <c r="B1803" s="55"/>
      <c r="C1803" s="41"/>
      <c r="D1803" s="42"/>
      <c r="E1803" s="42"/>
      <c r="F1803" s="42" t="str">
        <f>+IFERROR(VLOOKUP(E1803,'DANH MỤC'!$C:$H,2,0),"")</f>
        <v/>
      </c>
      <c r="G1803" s="42" t="str">
        <f>+IFERROR(VLOOKUP(E1803,'DANH MỤC'!$C:$H,6,0),"")</f>
        <v/>
      </c>
      <c r="H1803" s="42" t="str">
        <f>+IFERROR(VLOOKUP(E1803,'DANH MỤC'!$C:$H,3,0),"")</f>
        <v/>
      </c>
      <c r="I1803" s="42" t="str">
        <f>+IFERROR(VLOOKUP(E1803,'DANH MỤC'!$C:$H,4,0),"")</f>
        <v/>
      </c>
      <c r="J1803" s="42" t="str">
        <f>+IFERROR(VLOOKUP(E1803,'DANH MỤC'!$C:$H,5,0),"")</f>
        <v/>
      </c>
      <c r="K1803" s="53"/>
      <c r="L1803" s="58"/>
      <c r="M1803" s="55"/>
      <c r="N1803" s="55"/>
    </row>
    <row r="1804" ht="15.75" customHeight="1">
      <c r="A1804" s="53">
        <f t="shared" si="7"/>
        <v>1799</v>
      </c>
      <c r="B1804" s="55"/>
      <c r="C1804" s="41"/>
      <c r="D1804" s="42"/>
      <c r="E1804" s="42"/>
      <c r="F1804" s="42" t="str">
        <f>+IFERROR(VLOOKUP(E1804,'DANH MỤC'!$C:$H,2,0),"")</f>
        <v/>
      </c>
      <c r="G1804" s="42" t="str">
        <f>+IFERROR(VLOOKUP(E1804,'DANH MỤC'!$C:$H,6,0),"")</f>
        <v/>
      </c>
      <c r="H1804" s="42" t="str">
        <f>+IFERROR(VLOOKUP(E1804,'DANH MỤC'!$C:$H,3,0),"")</f>
        <v/>
      </c>
      <c r="I1804" s="42" t="str">
        <f>+IFERROR(VLOOKUP(E1804,'DANH MỤC'!$C:$H,4,0),"")</f>
        <v/>
      </c>
      <c r="J1804" s="42" t="str">
        <f>+IFERROR(VLOOKUP(E1804,'DANH MỤC'!$C:$H,5,0),"")</f>
        <v/>
      </c>
      <c r="K1804" s="53"/>
      <c r="L1804" s="58"/>
      <c r="M1804" s="55"/>
      <c r="N1804" s="55"/>
    </row>
    <row r="1805" ht="15.75" customHeight="1">
      <c r="A1805" s="53">
        <f t="shared" si="7"/>
        <v>1800</v>
      </c>
      <c r="B1805" s="55"/>
      <c r="C1805" s="41"/>
      <c r="D1805" s="42"/>
      <c r="E1805" s="42"/>
      <c r="F1805" s="42" t="str">
        <f>+IFERROR(VLOOKUP(E1805,'DANH MỤC'!$C:$H,2,0),"")</f>
        <v/>
      </c>
      <c r="G1805" s="42" t="str">
        <f>+IFERROR(VLOOKUP(E1805,'DANH MỤC'!$C:$H,6,0),"")</f>
        <v/>
      </c>
      <c r="H1805" s="42" t="str">
        <f>+IFERROR(VLOOKUP(E1805,'DANH MỤC'!$C:$H,3,0),"")</f>
        <v/>
      </c>
      <c r="I1805" s="42" t="str">
        <f>+IFERROR(VLOOKUP(E1805,'DANH MỤC'!$C:$H,4,0),"")</f>
        <v/>
      </c>
      <c r="J1805" s="42" t="str">
        <f>+IFERROR(VLOOKUP(E1805,'DANH MỤC'!$C:$H,5,0),"")</f>
        <v/>
      </c>
      <c r="K1805" s="53"/>
      <c r="L1805" s="58"/>
      <c r="M1805" s="55"/>
      <c r="N1805" s="55"/>
    </row>
    <row r="1806" ht="15.75" customHeight="1">
      <c r="A1806" s="53">
        <f t="shared" si="7"/>
        <v>1801</v>
      </c>
      <c r="B1806" s="55"/>
      <c r="C1806" s="41"/>
      <c r="D1806" s="42"/>
      <c r="E1806" s="42"/>
      <c r="F1806" s="42" t="str">
        <f>+IFERROR(VLOOKUP(E1806,'DANH MỤC'!$C:$H,2,0),"")</f>
        <v/>
      </c>
      <c r="G1806" s="42" t="str">
        <f>+IFERROR(VLOOKUP(E1806,'DANH MỤC'!$C:$H,6,0),"")</f>
        <v/>
      </c>
      <c r="H1806" s="42" t="str">
        <f>+IFERROR(VLOOKUP(E1806,'DANH MỤC'!$C:$H,3,0),"")</f>
        <v/>
      </c>
      <c r="I1806" s="42" t="str">
        <f>+IFERROR(VLOOKUP(E1806,'DANH MỤC'!$C:$H,4,0),"")</f>
        <v/>
      </c>
      <c r="J1806" s="42" t="str">
        <f>+IFERROR(VLOOKUP(E1806,'DANH MỤC'!$C:$H,5,0),"")</f>
        <v/>
      </c>
      <c r="K1806" s="53"/>
      <c r="L1806" s="58"/>
      <c r="M1806" s="55"/>
      <c r="N1806" s="55"/>
    </row>
    <row r="1807" ht="15.75" customHeight="1">
      <c r="A1807" s="53">
        <f t="shared" si="7"/>
        <v>1802</v>
      </c>
      <c r="B1807" s="55"/>
      <c r="C1807" s="41"/>
      <c r="D1807" s="42"/>
      <c r="E1807" s="42"/>
      <c r="F1807" s="42" t="str">
        <f>+IFERROR(VLOOKUP(E1807,'DANH MỤC'!$C:$H,2,0),"")</f>
        <v/>
      </c>
      <c r="G1807" s="42" t="str">
        <f>+IFERROR(VLOOKUP(E1807,'DANH MỤC'!$C:$H,6,0),"")</f>
        <v/>
      </c>
      <c r="H1807" s="42" t="str">
        <f>+IFERROR(VLOOKUP(E1807,'DANH MỤC'!$C:$H,3,0),"")</f>
        <v/>
      </c>
      <c r="I1807" s="42" t="str">
        <f>+IFERROR(VLOOKUP(E1807,'DANH MỤC'!$C:$H,4,0),"")</f>
        <v/>
      </c>
      <c r="J1807" s="42" t="str">
        <f>+IFERROR(VLOOKUP(E1807,'DANH MỤC'!$C:$H,5,0),"")</f>
        <v/>
      </c>
      <c r="K1807" s="53"/>
      <c r="L1807" s="58"/>
      <c r="M1807" s="55"/>
      <c r="N1807" s="55"/>
    </row>
    <row r="1808" ht="15.75" customHeight="1">
      <c r="A1808" s="53">
        <f t="shared" si="7"/>
        <v>1803</v>
      </c>
      <c r="B1808" s="55"/>
      <c r="C1808" s="41"/>
      <c r="D1808" s="42"/>
      <c r="E1808" s="42"/>
      <c r="F1808" s="42" t="str">
        <f>+IFERROR(VLOOKUP(E1808,'DANH MỤC'!$C:$H,2,0),"")</f>
        <v/>
      </c>
      <c r="G1808" s="42" t="str">
        <f>+IFERROR(VLOOKUP(E1808,'DANH MỤC'!$C:$H,6,0),"")</f>
        <v/>
      </c>
      <c r="H1808" s="42" t="str">
        <f>+IFERROR(VLOOKUP(E1808,'DANH MỤC'!$C:$H,3,0),"")</f>
        <v/>
      </c>
      <c r="I1808" s="42" t="str">
        <f>+IFERROR(VLOOKUP(E1808,'DANH MỤC'!$C:$H,4,0),"")</f>
        <v/>
      </c>
      <c r="J1808" s="42" t="str">
        <f>+IFERROR(VLOOKUP(E1808,'DANH MỤC'!$C:$H,5,0),"")</f>
        <v/>
      </c>
      <c r="K1808" s="53"/>
      <c r="L1808" s="58"/>
      <c r="M1808" s="55"/>
      <c r="N1808" s="55"/>
    </row>
    <row r="1809" ht="15.75" customHeight="1">
      <c r="A1809" s="53">
        <f t="shared" si="7"/>
        <v>1804</v>
      </c>
      <c r="B1809" s="55"/>
      <c r="C1809" s="41"/>
      <c r="D1809" s="42"/>
      <c r="E1809" s="42"/>
      <c r="F1809" s="42" t="str">
        <f>+IFERROR(VLOOKUP(E1809,'DANH MỤC'!$C:$H,2,0),"")</f>
        <v/>
      </c>
      <c r="G1809" s="42" t="str">
        <f>+IFERROR(VLOOKUP(E1809,'DANH MỤC'!$C:$H,6,0),"")</f>
        <v/>
      </c>
      <c r="H1809" s="42" t="str">
        <f>+IFERROR(VLOOKUP(E1809,'DANH MỤC'!$C:$H,3,0),"")</f>
        <v/>
      </c>
      <c r="I1809" s="42" t="str">
        <f>+IFERROR(VLOOKUP(E1809,'DANH MỤC'!$C:$H,4,0),"")</f>
        <v/>
      </c>
      <c r="J1809" s="42" t="str">
        <f>+IFERROR(VLOOKUP(E1809,'DANH MỤC'!$C:$H,5,0),"")</f>
        <v/>
      </c>
      <c r="K1809" s="53"/>
      <c r="L1809" s="58"/>
      <c r="M1809" s="55"/>
      <c r="N1809" s="55"/>
    </row>
    <row r="1810" ht="15.75" customHeight="1">
      <c r="A1810" s="53">
        <f t="shared" si="7"/>
        <v>1805</v>
      </c>
      <c r="B1810" s="55"/>
      <c r="C1810" s="41"/>
      <c r="D1810" s="42"/>
      <c r="E1810" s="42"/>
      <c r="F1810" s="42" t="str">
        <f>+IFERROR(VLOOKUP(E1810,'DANH MỤC'!$C:$H,2,0),"")</f>
        <v/>
      </c>
      <c r="G1810" s="42" t="str">
        <f>+IFERROR(VLOOKUP(E1810,'DANH MỤC'!$C:$H,6,0),"")</f>
        <v/>
      </c>
      <c r="H1810" s="42" t="str">
        <f>+IFERROR(VLOOKUP(E1810,'DANH MỤC'!$C:$H,3,0),"")</f>
        <v/>
      </c>
      <c r="I1810" s="42" t="str">
        <f>+IFERROR(VLOOKUP(E1810,'DANH MỤC'!$C:$H,4,0),"")</f>
        <v/>
      </c>
      <c r="J1810" s="42" t="str">
        <f>+IFERROR(VLOOKUP(E1810,'DANH MỤC'!$C:$H,5,0),"")</f>
        <v/>
      </c>
      <c r="K1810" s="53"/>
      <c r="L1810" s="58"/>
      <c r="M1810" s="55"/>
      <c r="N1810" s="55"/>
    </row>
    <row r="1811" ht="15.75" customHeight="1">
      <c r="A1811" s="53">
        <f t="shared" si="7"/>
        <v>1806</v>
      </c>
      <c r="B1811" s="55"/>
      <c r="C1811" s="41"/>
      <c r="D1811" s="42"/>
      <c r="E1811" s="42"/>
      <c r="F1811" s="42" t="str">
        <f>+IFERROR(VLOOKUP(E1811,'DANH MỤC'!$C:$H,2,0),"")</f>
        <v/>
      </c>
      <c r="G1811" s="42" t="str">
        <f>+IFERROR(VLOOKUP(E1811,'DANH MỤC'!$C:$H,6,0),"")</f>
        <v/>
      </c>
      <c r="H1811" s="42" t="str">
        <f>+IFERROR(VLOOKUP(E1811,'DANH MỤC'!$C:$H,3,0),"")</f>
        <v/>
      </c>
      <c r="I1811" s="42" t="str">
        <f>+IFERROR(VLOOKUP(E1811,'DANH MỤC'!$C:$H,4,0),"")</f>
        <v/>
      </c>
      <c r="J1811" s="42" t="str">
        <f>+IFERROR(VLOOKUP(E1811,'DANH MỤC'!$C:$H,5,0),"")</f>
        <v/>
      </c>
      <c r="K1811" s="53"/>
      <c r="L1811" s="58"/>
      <c r="M1811" s="55"/>
      <c r="N1811" s="55"/>
    </row>
    <row r="1812" ht="15.75" customHeight="1">
      <c r="A1812" s="53">
        <f t="shared" si="7"/>
        <v>1807</v>
      </c>
      <c r="B1812" s="55"/>
      <c r="C1812" s="41"/>
      <c r="D1812" s="42"/>
      <c r="E1812" s="42"/>
      <c r="F1812" s="42" t="str">
        <f>+IFERROR(VLOOKUP(E1812,'DANH MỤC'!$C:$H,2,0),"")</f>
        <v/>
      </c>
      <c r="G1812" s="42" t="str">
        <f>+IFERROR(VLOOKUP(E1812,'DANH MỤC'!$C:$H,6,0),"")</f>
        <v/>
      </c>
      <c r="H1812" s="42" t="str">
        <f>+IFERROR(VLOOKUP(E1812,'DANH MỤC'!$C:$H,3,0),"")</f>
        <v/>
      </c>
      <c r="I1812" s="42" t="str">
        <f>+IFERROR(VLOOKUP(E1812,'DANH MỤC'!$C:$H,4,0),"")</f>
        <v/>
      </c>
      <c r="J1812" s="42" t="str">
        <f>+IFERROR(VLOOKUP(E1812,'DANH MỤC'!$C:$H,5,0),"")</f>
        <v/>
      </c>
      <c r="K1812" s="53"/>
      <c r="L1812" s="58"/>
      <c r="M1812" s="55"/>
      <c r="N1812" s="55"/>
    </row>
    <row r="1813" ht="15.75" customHeight="1">
      <c r="A1813" s="53">
        <f t="shared" si="7"/>
        <v>1808</v>
      </c>
      <c r="B1813" s="55"/>
      <c r="C1813" s="41"/>
      <c r="D1813" s="42"/>
      <c r="E1813" s="42"/>
      <c r="F1813" s="42" t="str">
        <f>+IFERROR(VLOOKUP(E1813,'DANH MỤC'!$C:$H,2,0),"")</f>
        <v/>
      </c>
      <c r="G1813" s="42" t="str">
        <f>+IFERROR(VLOOKUP(E1813,'DANH MỤC'!$C:$H,6,0),"")</f>
        <v/>
      </c>
      <c r="H1813" s="42" t="str">
        <f>+IFERROR(VLOOKUP(E1813,'DANH MỤC'!$C:$H,3,0),"")</f>
        <v/>
      </c>
      <c r="I1813" s="42" t="str">
        <f>+IFERROR(VLOOKUP(E1813,'DANH MỤC'!$C:$H,4,0),"")</f>
        <v/>
      </c>
      <c r="J1813" s="42" t="str">
        <f>+IFERROR(VLOOKUP(E1813,'DANH MỤC'!$C:$H,5,0),"")</f>
        <v/>
      </c>
      <c r="K1813" s="53"/>
      <c r="L1813" s="58"/>
      <c r="M1813" s="55"/>
      <c r="N1813" s="55"/>
    </row>
    <row r="1814" ht="15.75" customHeight="1">
      <c r="A1814" s="53">
        <f t="shared" si="7"/>
        <v>1809</v>
      </c>
      <c r="B1814" s="55"/>
      <c r="C1814" s="41"/>
      <c r="D1814" s="42"/>
      <c r="E1814" s="42"/>
      <c r="F1814" s="42" t="str">
        <f>+IFERROR(VLOOKUP(E1814,'DANH MỤC'!$C:$H,2,0),"")</f>
        <v/>
      </c>
      <c r="G1814" s="42" t="str">
        <f>+IFERROR(VLOOKUP(E1814,'DANH MỤC'!$C:$H,6,0),"")</f>
        <v/>
      </c>
      <c r="H1814" s="42" t="str">
        <f>+IFERROR(VLOOKUP(E1814,'DANH MỤC'!$C:$H,3,0),"")</f>
        <v/>
      </c>
      <c r="I1814" s="42" t="str">
        <f>+IFERROR(VLOOKUP(E1814,'DANH MỤC'!$C:$H,4,0),"")</f>
        <v/>
      </c>
      <c r="J1814" s="42" t="str">
        <f>+IFERROR(VLOOKUP(E1814,'DANH MỤC'!$C:$H,5,0),"")</f>
        <v/>
      </c>
      <c r="K1814" s="53"/>
      <c r="L1814" s="58"/>
      <c r="M1814" s="55"/>
      <c r="N1814" s="55"/>
    </row>
    <row r="1815" ht="15.75" customHeight="1">
      <c r="A1815" s="53">
        <f t="shared" si="7"/>
        <v>1810</v>
      </c>
      <c r="B1815" s="55"/>
      <c r="C1815" s="41"/>
      <c r="D1815" s="42"/>
      <c r="E1815" s="42"/>
      <c r="F1815" s="42" t="str">
        <f>+IFERROR(VLOOKUP(E1815,'DANH MỤC'!$C:$H,2,0),"")</f>
        <v/>
      </c>
      <c r="G1815" s="42" t="str">
        <f>+IFERROR(VLOOKUP(E1815,'DANH MỤC'!$C:$H,6,0),"")</f>
        <v/>
      </c>
      <c r="H1815" s="42" t="str">
        <f>+IFERROR(VLOOKUP(E1815,'DANH MỤC'!$C:$H,3,0),"")</f>
        <v/>
      </c>
      <c r="I1815" s="42" t="str">
        <f>+IFERROR(VLOOKUP(E1815,'DANH MỤC'!$C:$H,4,0),"")</f>
        <v/>
      </c>
      <c r="J1815" s="42" t="str">
        <f>+IFERROR(VLOOKUP(E1815,'DANH MỤC'!$C:$H,5,0),"")</f>
        <v/>
      </c>
      <c r="K1815" s="53"/>
      <c r="L1815" s="58"/>
      <c r="M1815" s="55"/>
      <c r="N1815" s="55"/>
    </row>
    <row r="1816" ht="15.75" customHeight="1">
      <c r="A1816" s="53">
        <f t="shared" si="7"/>
        <v>1811</v>
      </c>
      <c r="B1816" s="55"/>
      <c r="C1816" s="41"/>
      <c r="D1816" s="42"/>
      <c r="E1816" s="42"/>
      <c r="F1816" s="42" t="str">
        <f>+IFERROR(VLOOKUP(E1816,'DANH MỤC'!$C:$H,2,0),"")</f>
        <v/>
      </c>
      <c r="G1816" s="42" t="str">
        <f>+IFERROR(VLOOKUP(E1816,'DANH MỤC'!$C:$H,6,0),"")</f>
        <v/>
      </c>
      <c r="H1816" s="42" t="str">
        <f>+IFERROR(VLOOKUP(E1816,'DANH MỤC'!$C:$H,3,0),"")</f>
        <v/>
      </c>
      <c r="I1816" s="42" t="str">
        <f>+IFERROR(VLOOKUP(E1816,'DANH MỤC'!$C:$H,4,0),"")</f>
        <v/>
      </c>
      <c r="J1816" s="42" t="str">
        <f>+IFERROR(VLOOKUP(E1816,'DANH MỤC'!$C:$H,5,0),"")</f>
        <v/>
      </c>
      <c r="K1816" s="53"/>
      <c r="L1816" s="58"/>
      <c r="M1816" s="55"/>
      <c r="N1816" s="55"/>
    </row>
    <row r="1817" ht="15.75" customHeight="1">
      <c r="A1817" s="53">
        <f t="shared" si="7"/>
        <v>1812</v>
      </c>
      <c r="B1817" s="55"/>
      <c r="C1817" s="41"/>
      <c r="D1817" s="42"/>
      <c r="E1817" s="42"/>
      <c r="F1817" s="42" t="str">
        <f>+IFERROR(VLOOKUP(E1817,'DANH MỤC'!$C:$H,2,0),"")</f>
        <v/>
      </c>
      <c r="G1817" s="42" t="str">
        <f>+IFERROR(VLOOKUP(E1817,'DANH MỤC'!$C:$H,6,0),"")</f>
        <v/>
      </c>
      <c r="H1817" s="42" t="str">
        <f>+IFERROR(VLOOKUP(E1817,'DANH MỤC'!$C:$H,3,0),"")</f>
        <v/>
      </c>
      <c r="I1817" s="42" t="str">
        <f>+IFERROR(VLOOKUP(E1817,'DANH MỤC'!$C:$H,4,0),"")</f>
        <v/>
      </c>
      <c r="J1817" s="42" t="str">
        <f>+IFERROR(VLOOKUP(E1817,'DANH MỤC'!$C:$H,5,0),"")</f>
        <v/>
      </c>
      <c r="K1817" s="53"/>
      <c r="L1817" s="58"/>
      <c r="M1817" s="55"/>
      <c r="N1817" s="55"/>
    </row>
    <row r="1818" ht="15.75" customHeight="1">
      <c r="A1818" s="53">
        <f t="shared" si="7"/>
        <v>1813</v>
      </c>
      <c r="B1818" s="55"/>
      <c r="C1818" s="41"/>
      <c r="D1818" s="42"/>
      <c r="E1818" s="42"/>
      <c r="F1818" s="42" t="str">
        <f>+IFERROR(VLOOKUP(E1818,'DANH MỤC'!$C:$H,2,0),"")</f>
        <v/>
      </c>
      <c r="G1818" s="42" t="str">
        <f>+IFERROR(VLOOKUP(E1818,'DANH MỤC'!$C:$H,6,0),"")</f>
        <v/>
      </c>
      <c r="H1818" s="42" t="str">
        <f>+IFERROR(VLOOKUP(E1818,'DANH MỤC'!$C:$H,3,0),"")</f>
        <v/>
      </c>
      <c r="I1818" s="42" t="str">
        <f>+IFERROR(VLOOKUP(E1818,'DANH MỤC'!$C:$H,4,0),"")</f>
        <v/>
      </c>
      <c r="J1818" s="42" t="str">
        <f>+IFERROR(VLOOKUP(E1818,'DANH MỤC'!$C:$H,5,0),"")</f>
        <v/>
      </c>
      <c r="K1818" s="53"/>
      <c r="L1818" s="58"/>
      <c r="M1818" s="55"/>
      <c r="N1818" s="55"/>
    </row>
    <row r="1819" ht="15.75" customHeight="1">
      <c r="A1819" s="53">
        <f t="shared" si="7"/>
        <v>1814</v>
      </c>
      <c r="B1819" s="55"/>
      <c r="C1819" s="41"/>
      <c r="D1819" s="42"/>
      <c r="E1819" s="42"/>
      <c r="F1819" s="42" t="str">
        <f>+IFERROR(VLOOKUP(E1819,'DANH MỤC'!$C:$H,2,0),"")</f>
        <v/>
      </c>
      <c r="G1819" s="42" t="str">
        <f>+IFERROR(VLOOKUP(E1819,'DANH MỤC'!$C:$H,6,0),"")</f>
        <v/>
      </c>
      <c r="H1819" s="42" t="str">
        <f>+IFERROR(VLOOKUP(E1819,'DANH MỤC'!$C:$H,3,0),"")</f>
        <v/>
      </c>
      <c r="I1819" s="42" t="str">
        <f>+IFERROR(VLOOKUP(E1819,'DANH MỤC'!$C:$H,4,0),"")</f>
        <v/>
      </c>
      <c r="J1819" s="42" t="str">
        <f>+IFERROR(VLOOKUP(E1819,'DANH MỤC'!$C:$H,5,0),"")</f>
        <v/>
      </c>
      <c r="K1819" s="53"/>
      <c r="L1819" s="58"/>
      <c r="M1819" s="55"/>
      <c r="N1819" s="55"/>
    </row>
    <row r="1820" ht="15.75" customHeight="1">
      <c r="A1820" s="53">
        <f t="shared" si="7"/>
        <v>1815</v>
      </c>
      <c r="B1820" s="55"/>
      <c r="C1820" s="41"/>
      <c r="D1820" s="42"/>
      <c r="E1820" s="42"/>
      <c r="F1820" s="42" t="str">
        <f>+IFERROR(VLOOKUP(E1820,'DANH MỤC'!$C:$H,2,0),"")</f>
        <v/>
      </c>
      <c r="G1820" s="42" t="str">
        <f>+IFERROR(VLOOKUP(E1820,'DANH MỤC'!$C:$H,6,0),"")</f>
        <v/>
      </c>
      <c r="H1820" s="42" t="str">
        <f>+IFERROR(VLOOKUP(E1820,'DANH MỤC'!$C:$H,3,0),"")</f>
        <v/>
      </c>
      <c r="I1820" s="42" t="str">
        <f>+IFERROR(VLOOKUP(E1820,'DANH MỤC'!$C:$H,4,0),"")</f>
        <v/>
      </c>
      <c r="J1820" s="42" t="str">
        <f>+IFERROR(VLOOKUP(E1820,'DANH MỤC'!$C:$H,5,0),"")</f>
        <v/>
      </c>
      <c r="K1820" s="53"/>
      <c r="L1820" s="58"/>
      <c r="M1820" s="55"/>
      <c r="N1820" s="55"/>
    </row>
    <row r="1821" ht="15.75" customHeight="1">
      <c r="A1821" s="53">
        <f t="shared" si="7"/>
        <v>1816</v>
      </c>
      <c r="B1821" s="55"/>
      <c r="C1821" s="41"/>
      <c r="D1821" s="42"/>
      <c r="E1821" s="42"/>
      <c r="F1821" s="42" t="str">
        <f>+IFERROR(VLOOKUP(E1821,'DANH MỤC'!$C:$H,2,0),"")</f>
        <v/>
      </c>
      <c r="G1821" s="42" t="str">
        <f>+IFERROR(VLOOKUP(E1821,'DANH MỤC'!$C:$H,6,0),"")</f>
        <v/>
      </c>
      <c r="H1821" s="42" t="str">
        <f>+IFERROR(VLOOKUP(E1821,'DANH MỤC'!$C:$H,3,0),"")</f>
        <v/>
      </c>
      <c r="I1821" s="42" t="str">
        <f>+IFERROR(VLOOKUP(E1821,'DANH MỤC'!$C:$H,4,0),"")</f>
        <v/>
      </c>
      <c r="J1821" s="42" t="str">
        <f>+IFERROR(VLOOKUP(E1821,'DANH MỤC'!$C:$H,5,0),"")</f>
        <v/>
      </c>
      <c r="K1821" s="53"/>
      <c r="L1821" s="58"/>
      <c r="M1821" s="55"/>
      <c r="N1821" s="55"/>
    </row>
    <row r="1822" ht="15.75" customHeight="1">
      <c r="A1822" s="53">
        <f t="shared" si="7"/>
        <v>1817</v>
      </c>
      <c r="B1822" s="55"/>
      <c r="C1822" s="41"/>
      <c r="D1822" s="42"/>
      <c r="E1822" s="42"/>
      <c r="F1822" s="42" t="str">
        <f>+IFERROR(VLOOKUP(E1822,'DANH MỤC'!$C:$H,2,0),"")</f>
        <v/>
      </c>
      <c r="G1822" s="42" t="str">
        <f>+IFERROR(VLOOKUP(E1822,'DANH MỤC'!$C:$H,6,0),"")</f>
        <v/>
      </c>
      <c r="H1822" s="42" t="str">
        <f>+IFERROR(VLOOKUP(E1822,'DANH MỤC'!$C:$H,3,0),"")</f>
        <v/>
      </c>
      <c r="I1822" s="42" t="str">
        <f>+IFERROR(VLOOKUP(E1822,'DANH MỤC'!$C:$H,4,0),"")</f>
        <v/>
      </c>
      <c r="J1822" s="42" t="str">
        <f>+IFERROR(VLOOKUP(E1822,'DANH MỤC'!$C:$H,5,0),"")</f>
        <v/>
      </c>
      <c r="K1822" s="53"/>
      <c r="L1822" s="58"/>
      <c r="M1822" s="55"/>
      <c r="N1822" s="55"/>
    </row>
    <row r="1823" ht="15.75" customHeight="1">
      <c r="A1823" s="53">
        <f t="shared" si="7"/>
        <v>1818</v>
      </c>
      <c r="B1823" s="55"/>
      <c r="C1823" s="41"/>
      <c r="D1823" s="42"/>
      <c r="E1823" s="42"/>
      <c r="F1823" s="42" t="str">
        <f>+IFERROR(VLOOKUP(E1823,'DANH MỤC'!$C:$H,2,0),"")</f>
        <v/>
      </c>
      <c r="G1823" s="42" t="str">
        <f>+IFERROR(VLOOKUP(E1823,'DANH MỤC'!$C:$H,6,0),"")</f>
        <v/>
      </c>
      <c r="H1823" s="42" t="str">
        <f>+IFERROR(VLOOKUP(E1823,'DANH MỤC'!$C:$H,3,0),"")</f>
        <v/>
      </c>
      <c r="I1823" s="42" t="str">
        <f>+IFERROR(VLOOKUP(E1823,'DANH MỤC'!$C:$H,4,0),"")</f>
        <v/>
      </c>
      <c r="J1823" s="42" t="str">
        <f>+IFERROR(VLOOKUP(E1823,'DANH MỤC'!$C:$H,5,0),"")</f>
        <v/>
      </c>
      <c r="K1823" s="53"/>
      <c r="L1823" s="58"/>
      <c r="M1823" s="55"/>
      <c r="N1823" s="55"/>
    </row>
    <row r="1824" ht="15.75" customHeight="1">
      <c r="A1824" s="53">
        <f t="shared" si="7"/>
        <v>1819</v>
      </c>
      <c r="B1824" s="55"/>
      <c r="C1824" s="41"/>
      <c r="D1824" s="42"/>
      <c r="E1824" s="42"/>
      <c r="F1824" s="42" t="str">
        <f>+IFERROR(VLOOKUP(E1824,'DANH MỤC'!$C:$H,2,0),"")</f>
        <v/>
      </c>
      <c r="G1824" s="42" t="str">
        <f>+IFERROR(VLOOKUP(E1824,'DANH MỤC'!$C:$H,6,0),"")</f>
        <v/>
      </c>
      <c r="H1824" s="42" t="str">
        <f>+IFERROR(VLOOKUP(E1824,'DANH MỤC'!$C:$H,3,0),"")</f>
        <v/>
      </c>
      <c r="I1824" s="42" t="str">
        <f>+IFERROR(VLOOKUP(E1824,'DANH MỤC'!$C:$H,4,0),"")</f>
        <v/>
      </c>
      <c r="J1824" s="42" t="str">
        <f>+IFERROR(VLOOKUP(E1824,'DANH MỤC'!$C:$H,5,0),"")</f>
        <v/>
      </c>
      <c r="K1824" s="53"/>
      <c r="L1824" s="58"/>
      <c r="M1824" s="55"/>
      <c r="N1824" s="55"/>
    </row>
    <row r="1825" ht="15.75" customHeight="1">
      <c r="A1825" s="53">
        <f t="shared" si="7"/>
        <v>1820</v>
      </c>
      <c r="B1825" s="55"/>
      <c r="C1825" s="41"/>
      <c r="D1825" s="42"/>
      <c r="E1825" s="42"/>
      <c r="F1825" s="42" t="str">
        <f>+IFERROR(VLOOKUP(E1825,'DANH MỤC'!$C:$H,2,0),"")</f>
        <v/>
      </c>
      <c r="G1825" s="42" t="str">
        <f>+IFERROR(VLOOKUP(E1825,'DANH MỤC'!$C:$H,6,0),"")</f>
        <v/>
      </c>
      <c r="H1825" s="42" t="str">
        <f>+IFERROR(VLOOKUP(E1825,'DANH MỤC'!$C:$H,3,0),"")</f>
        <v/>
      </c>
      <c r="I1825" s="42" t="str">
        <f>+IFERROR(VLOOKUP(E1825,'DANH MỤC'!$C:$H,4,0),"")</f>
        <v/>
      </c>
      <c r="J1825" s="42" t="str">
        <f>+IFERROR(VLOOKUP(E1825,'DANH MỤC'!$C:$H,5,0),"")</f>
        <v/>
      </c>
      <c r="K1825" s="53"/>
      <c r="L1825" s="58"/>
      <c r="M1825" s="55"/>
      <c r="N1825" s="55"/>
    </row>
    <row r="1826" ht="15.75" customHeight="1">
      <c r="A1826" s="53">
        <f t="shared" si="7"/>
        <v>1821</v>
      </c>
      <c r="B1826" s="55"/>
      <c r="C1826" s="41"/>
      <c r="D1826" s="42"/>
      <c r="E1826" s="42"/>
      <c r="F1826" s="42" t="str">
        <f>+IFERROR(VLOOKUP(E1826,'DANH MỤC'!$C:$H,2,0),"")</f>
        <v/>
      </c>
      <c r="G1826" s="42" t="str">
        <f>+IFERROR(VLOOKUP(E1826,'DANH MỤC'!$C:$H,6,0),"")</f>
        <v/>
      </c>
      <c r="H1826" s="42" t="str">
        <f>+IFERROR(VLOOKUP(E1826,'DANH MỤC'!$C:$H,3,0),"")</f>
        <v/>
      </c>
      <c r="I1826" s="42" t="str">
        <f>+IFERROR(VLOOKUP(E1826,'DANH MỤC'!$C:$H,4,0),"")</f>
        <v/>
      </c>
      <c r="J1826" s="42" t="str">
        <f>+IFERROR(VLOOKUP(E1826,'DANH MỤC'!$C:$H,5,0),"")</f>
        <v/>
      </c>
      <c r="K1826" s="53"/>
      <c r="L1826" s="58"/>
      <c r="M1826" s="55"/>
      <c r="N1826" s="55"/>
    </row>
    <row r="1827" ht="15.75" customHeight="1">
      <c r="A1827" s="53">
        <f t="shared" si="7"/>
        <v>1822</v>
      </c>
      <c r="B1827" s="55"/>
      <c r="C1827" s="41"/>
      <c r="D1827" s="42"/>
      <c r="E1827" s="42"/>
      <c r="F1827" s="42" t="str">
        <f>+IFERROR(VLOOKUP(E1827,'DANH MỤC'!$C:$H,2,0),"")</f>
        <v/>
      </c>
      <c r="G1827" s="42" t="str">
        <f>+IFERROR(VLOOKUP(E1827,'DANH MỤC'!$C:$H,6,0),"")</f>
        <v/>
      </c>
      <c r="H1827" s="42" t="str">
        <f>+IFERROR(VLOOKUP(E1827,'DANH MỤC'!$C:$H,3,0),"")</f>
        <v/>
      </c>
      <c r="I1827" s="42" t="str">
        <f>+IFERROR(VLOOKUP(E1827,'DANH MỤC'!$C:$H,4,0),"")</f>
        <v/>
      </c>
      <c r="J1827" s="42" t="str">
        <f>+IFERROR(VLOOKUP(E1827,'DANH MỤC'!$C:$H,5,0),"")</f>
        <v/>
      </c>
      <c r="K1827" s="53"/>
      <c r="L1827" s="58"/>
      <c r="M1827" s="55"/>
      <c r="N1827" s="55"/>
    </row>
    <row r="1828" ht="15.75" customHeight="1">
      <c r="A1828" s="53">
        <f t="shared" si="7"/>
        <v>1823</v>
      </c>
      <c r="B1828" s="55"/>
      <c r="C1828" s="41"/>
      <c r="D1828" s="42"/>
      <c r="E1828" s="42"/>
      <c r="F1828" s="42" t="str">
        <f>+IFERROR(VLOOKUP(E1828,'DANH MỤC'!$C:$H,2,0),"")</f>
        <v/>
      </c>
      <c r="G1828" s="42" t="str">
        <f>+IFERROR(VLOOKUP(E1828,'DANH MỤC'!$C:$H,6,0),"")</f>
        <v/>
      </c>
      <c r="H1828" s="42" t="str">
        <f>+IFERROR(VLOOKUP(E1828,'DANH MỤC'!$C:$H,3,0),"")</f>
        <v/>
      </c>
      <c r="I1828" s="42" t="str">
        <f>+IFERROR(VLOOKUP(E1828,'DANH MỤC'!$C:$H,4,0),"")</f>
        <v/>
      </c>
      <c r="J1828" s="42" t="str">
        <f>+IFERROR(VLOOKUP(E1828,'DANH MỤC'!$C:$H,5,0),"")</f>
        <v/>
      </c>
      <c r="K1828" s="53"/>
      <c r="L1828" s="58"/>
      <c r="M1828" s="55"/>
      <c r="N1828" s="55"/>
    </row>
    <row r="1829" ht="15.75" customHeight="1">
      <c r="A1829" s="53">
        <f t="shared" si="7"/>
        <v>1824</v>
      </c>
      <c r="B1829" s="55"/>
      <c r="C1829" s="41"/>
      <c r="D1829" s="42"/>
      <c r="E1829" s="42"/>
      <c r="F1829" s="42" t="str">
        <f>+IFERROR(VLOOKUP(E1829,'DANH MỤC'!$C:$H,2,0),"")</f>
        <v/>
      </c>
      <c r="G1829" s="42" t="str">
        <f>+IFERROR(VLOOKUP(E1829,'DANH MỤC'!$C:$H,6,0),"")</f>
        <v/>
      </c>
      <c r="H1829" s="42" t="str">
        <f>+IFERROR(VLOOKUP(E1829,'DANH MỤC'!$C:$H,3,0),"")</f>
        <v/>
      </c>
      <c r="I1829" s="42" t="str">
        <f>+IFERROR(VLOOKUP(E1829,'DANH MỤC'!$C:$H,4,0),"")</f>
        <v/>
      </c>
      <c r="J1829" s="42" t="str">
        <f>+IFERROR(VLOOKUP(E1829,'DANH MỤC'!$C:$H,5,0),"")</f>
        <v/>
      </c>
      <c r="K1829" s="53"/>
      <c r="L1829" s="58"/>
      <c r="M1829" s="55"/>
      <c r="N1829" s="55"/>
    </row>
    <row r="1830" ht="15.75" customHeight="1">
      <c r="A1830" s="53">
        <f t="shared" si="7"/>
        <v>1825</v>
      </c>
      <c r="B1830" s="55"/>
      <c r="C1830" s="41"/>
      <c r="D1830" s="42"/>
      <c r="E1830" s="42"/>
      <c r="F1830" s="42" t="str">
        <f>+IFERROR(VLOOKUP(E1830,'DANH MỤC'!$C:$H,2,0),"")</f>
        <v/>
      </c>
      <c r="G1830" s="42" t="str">
        <f>+IFERROR(VLOOKUP(E1830,'DANH MỤC'!$C:$H,6,0),"")</f>
        <v/>
      </c>
      <c r="H1830" s="42" t="str">
        <f>+IFERROR(VLOOKUP(E1830,'DANH MỤC'!$C:$H,3,0),"")</f>
        <v/>
      </c>
      <c r="I1830" s="42" t="str">
        <f>+IFERROR(VLOOKUP(E1830,'DANH MỤC'!$C:$H,4,0),"")</f>
        <v/>
      </c>
      <c r="J1830" s="42" t="str">
        <f>+IFERROR(VLOOKUP(E1830,'DANH MỤC'!$C:$H,5,0),"")</f>
        <v/>
      </c>
      <c r="K1830" s="53"/>
      <c r="L1830" s="58"/>
      <c r="M1830" s="55"/>
      <c r="N1830" s="55"/>
    </row>
    <row r="1831" ht="15.75" customHeight="1">
      <c r="A1831" s="53">
        <f t="shared" si="7"/>
        <v>1826</v>
      </c>
      <c r="B1831" s="55"/>
      <c r="C1831" s="41"/>
      <c r="D1831" s="42"/>
      <c r="E1831" s="42"/>
      <c r="F1831" s="42" t="str">
        <f>+IFERROR(VLOOKUP(E1831,'DANH MỤC'!$C:$H,2,0),"")</f>
        <v/>
      </c>
      <c r="G1831" s="42" t="str">
        <f>+IFERROR(VLOOKUP(E1831,'DANH MỤC'!$C:$H,6,0),"")</f>
        <v/>
      </c>
      <c r="H1831" s="42" t="str">
        <f>+IFERROR(VLOOKUP(E1831,'DANH MỤC'!$C:$H,3,0),"")</f>
        <v/>
      </c>
      <c r="I1831" s="42" t="str">
        <f>+IFERROR(VLOOKUP(E1831,'DANH MỤC'!$C:$H,4,0),"")</f>
        <v/>
      </c>
      <c r="J1831" s="42" t="str">
        <f>+IFERROR(VLOOKUP(E1831,'DANH MỤC'!$C:$H,5,0),"")</f>
        <v/>
      </c>
      <c r="K1831" s="53"/>
      <c r="L1831" s="58"/>
      <c r="M1831" s="55"/>
      <c r="N1831" s="55"/>
    </row>
    <row r="1832" ht="15.75" customHeight="1">
      <c r="A1832" s="53">
        <f t="shared" si="7"/>
        <v>1827</v>
      </c>
      <c r="B1832" s="55"/>
      <c r="C1832" s="41"/>
      <c r="D1832" s="42"/>
      <c r="E1832" s="42"/>
      <c r="F1832" s="42" t="str">
        <f>+IFERROR(VLOOKUP(E1832,'DANH MỤC'!$C:$H,2,0),"")</f>
        <v/>
      </c>
      <c r="G1832" s="42" t="str">
        <f>+IFERROR(VLOOKUP(E1832,'DANH MỤC'!$C:$H,6,0),"")</f>
        <v/>
      </c>
      <c r="H1832" s="42" t="str">
        <f>+IFERROR(VLOOKUP(E1832,'DANH MỤC'!$C:$H,3,0),"")</f>
        <v/>
      </c>
      <c r="I1832" s="42" t="str">
        <f>+IFERROR(VLOOKUP(E1832,'DANH MỤC'!$C:$H,4,0),"")</f>
        <v/>
      </c>
      <c r="J1832" s="42" t="str">
        <f>+IFERROR(VLOOKUP(E1832,'DANH MỤC'!$C:$H,5,0),"")</f>
        <v/>
      </c>
      <c r="K1832" s="53"/>
      <c r="L1832" s="58"/>
      <c r="M1832" s="55"/>
      <c r="N1832" s="55"/>
    </row>
    <row r="1833" ht="15.75" customHeight="1">
      <c r="A1833" s="53">
        <f t="shared" si="7"/>
        <v>1828</v>
      </c>
      <c r="B1833" s="55"/>
      <c r="C1833" s="41"/>
      <c r="D1833" s="42"/>
      <c r="E1833" s="42"/>
      <c r="F1833" s="42" t="str">
        <f>+IFERROR(VLOOKUP(E1833,'DANH MỤC'!$C:$H,2,0),"")</f>
        <v/>
      </c>
      <c r="G1833" s="42" t="str">
        <f>+IFERROR(VLOOKUP(E1833,'DANH MỤC'!$C:$H,6,0),"")</f>
        <v/>
      </c>
      <c r="H1833" s="42" t="str">
        <f>+IFERROR(VLOOKUP(E1833,'DANH MỤC'!$C:$H,3,0),"")</f>
        <v/>
      </c>
      <c r="I1833" s="42" t="str">
        <f>+IFERROR(VLOOKUP(E1833,'DANH MỤC'!$C:$H,4,0),"")</f>
        <v/>
      </c>
      <c r="J1833" s="42" t="str">
        <f>+IFERROR(VLOOKUP(E1833,'DANH MỤC'!$C:$H,5,0),"")</f>
        <v/>
      </c>
      <c r="K1833" s="53"/>
      <c r="L1833" s="58"/>
      <c r="M1833" s="55"/>
      <c r="N1833" s="55"/>
    </row>
    <row r="1834" ht="15.75" customHeight="1">
      <c r="A1834" s="53">
        <f t="shared" si="7"/>
        <v>1829</v>
      </c>
      <c r="B1834" s="55"/>
      <c r="C1834" s="41"/>
      <c r="D1834" s="42"/>
      <c r="E1834" s="42"/>
      <c r="F1834" s="42" t="str">
        <f>+IFERROR(VLOOKUP(E1834,'DANH MỤC'!$C:$H,2,0),"")</f>
        <v/>
      </c>
      <c r="G1834" s="42" t="str">
        <f>+IFERROR(VLOOKUP(E1834,'DANH MỤC'!$C:$H,6,0),"")</f>
        <v/>
      </c>
      <c r="H1834" s="42" t="str">
        <f>+IFERROR(VLOOKUP(E1834,'DANH MỤC'!$C:$H,3,0),"")</f>
        <v/>
      </c>
      <c r="I1834" s="42" t="str">
        <f>+IFERROR(VLOOKUP(E1834,'DANH MỤC'!$C:$H,4,0),"")</f>
        <v/>
      </c>
      <c r="J1834" s="42" t="str">
        <f>+IFERROR(VLOOKUP(E1834,'DANH MỤC'!$C:$H,5,0),"")</f>
        <v/>
      </c>
      <c r="K1834" s="53"/>
      <c r="L1834" s="58"/>
      <c r="M1834" s="55"/>
      <c r="N1834" s="55"/>
    </row>
    <row r="1835" ht="15.75" customHeight="1">
      <c r="A1835" s="53">
        <f t="shared" si="7"/>
        <v>1830</v>
      </c>
      <c r="B1835" s="55"/>
      <c r="C1835" s="41"/>
      <c r="D1835" s="42"/>
      <c r="E1835" s="42"/>
      <c r="F1835" s="42" t="str">
        <f>+IFERROR(VLOOKUP(E1835,'DANH MỤC'!$C:$H,2,0),"")</f>
        <v/>
      </c>
      <c r="G1835" s="42" t="str">
        <f>+IFERROR(VLOOKUP(E1835,'DANH MỤC'!$C:$H,6,0),"")</f>
        <v/>
      </c>
      <c r="H1835" s="42" t="str">
        <f>+IFERROR(VLOOKUP(E1835,'DANH MỤC'!$C:$H,3,0),"")</f>
        <v/>
      </c>
      <c r="I1835" s="42" t="str">
        <f>+IFERROR(VLOOKUP(E1835,'DANH MỤC'!$C:$H,4,0),"")</f>
        <v/>
      </c>
      <c r="J1835" s="42" t="str">
        <f>+IFERROR(VLOOKUP(E1835,'DANH MỤC'!$C:$H,5,0),"")</f>
        <v/>
      </c>
      <c r="K1835" s="53"/>
      <c r="L1835" s="58"/>
      <c r="M1835" s="55"/>
      <c r="N1835" s="55"/>
    </row>
    <row r="1836" ht="15.75" customHeight="1">
      <c r="A1836" s="53">
        <f t="shared" si="7"/>
        <v>1831</v>
      </c>
      <c r="B1836" s="55"/>
      <c r="C1836" s="41"/>
      <c r="D1836" s="42"/>
      <c r="E1836" s="42"/>
      <c r="F1836" s="42" t="str">
        <f>+IFERROR(VLOOKUP(E1836,'DANH MỤC'!$C:$H,2,0),"")</f>
        <v/>
      </c>
      <c r="G1836" s="42" t="str">
        <f>+IFERROR(VLOOKUP(E1836,'DANH MỤC'!$C:$H,6,0),"")</f>
        <v/>
      </c>
      <c r="H1836" s="42" t="str">
        <f>+IFERROR(VLOOKUP(E1836,'DANH MỤC'!$C:$H,3,0),"")</f>
        <v/>
      </c>
      <c r="I1836" s="42" t="str">
        <f>+IFERROR(VLOOKUP(E1836,'DANH MỤC'!$C:$H,4,0),"")</f>
        <v/>
      </c>
      <c r="J1836" s="42" t="str">
        <f>+IFERROR(VLOOKUP(E1836,'DANH MỤC'!$C:$H,5,0),"")</f>
        <v/>
      </c>
      <c r="K1836" s="53"/>
      <c r="L1836" s="58"/>
      <c r="M1836" s="55"/>
      <c r="N1836" s="55"/>
    </row>
    <row r="1837" ht="15.75" customHeight="1">
      <c r="A1837" s="53">
        <f t="shared" si="7"/>
        <v>1832</v>
      </c>
      <c r="B1837" s="55"/>
      <c r="C1837" s="41"/>
      <c r="D1837" s="42"/>
      <c r="E1837" s="42"/>
      <c r="F1837" s="42" t="str">
        <f>+IFERROR(VLOOKUP(E1837,'DANH MỤC'!$C:$H,2,0),"")</f>
        <v/>
      </c>
      <c r="G1837" s="42" t="str">
        <f>+IFERROR(VLOOKUP(E1837,'DANH MỤC'!$C:$H,6,0),"")</f>
        <v/>
      </c>
      <c r="H1837" s="42" t="str">
        <f>+IFERROR(VLOOKUP(E1837,'DANH MỤC'!$C:$H,3,0),"")</f>
        <v/>
      </c>
      <c r="I1837" s="42" t="str">
        <f>+IFERROR(VLOOKUP(E1837,'DANH MỤC'!$C:$H,4,0),"")</f>
        <v/>
      </c>
      <c r="J1837" s="42" t="str">
        <f>+IFERROR(VLOOKUP(E1837,'DANH MỤC'!$C:$H,5,0),"")</f>
        <v/>
      </c>
      <c r="K1837" s="53"/>
      <c r="L1837" s="58"/>
      <c r="M1837" s="55"/>
      <c r="N1837" s="55"/>
    </row>
    <row r="1838" ht="15.75" customHeight="1">
      <c r="A1838" s="53">
        <f t="shared" si="7"/>
        <v>1833</v>
      </c>
      <c r="B1838" s="55"/>
      <c r="C1838" s="41"/>
      <c r="D1838" s="42"/>
      <c r="E1838" s="42"/>
      <c r="F1838" s="42" t="str">
        <f>+IFERROR(VLOOKUP(E1838,'DANH MỤC'!$C:$H,2,0),"")</f>
        <v/>
      </c>
      <c r="G1838" s="42" t="str">
        <f>+IFERROR(VLOOKUP(E1838,'DANH MỤC'!$C:$H,6,0),"")</f>
        <v/>
      </c>
      <c r="H1838" s="42" t="str">
        <f>+IFERROR(VLOOKUP(E1838,'DANH MỤC'!$C:$H,3,0),"")</f>
        <v/>
      </c>
      <c r="I1838" s="42" t="str">
        <f>+IFERROR(VLOOKUP(E1838,'DANH MỤC'!$C:$H,4,0),"")</f>
        <v/>
      </c>
      <c r="J1838" s="42" t="str">
        <f>+IFERROR(VLOOKUP(E1838,'DANH MỤC'!$C:$H,5,0),"")</f>
        <v/>
      </c>
      <c r="K1838" s="53"/>
      <c r="L1838" s="58"/>
      <c r="M1838" s="55"/>
      <c r="N1838" s="55"/>
    </row>
    <row r="1839" ht="15.75" customHeight="1">
      <c r="A1839" s="53">
        <f t="shared" si="7"/>
        <v>1834</v>
      </c>
      <c r="B1839" s="55"/>
      <c r="C1839" s="41"/>
      <c r="D1839" s="42"/>
      <c r="E1839" s="42"/>
      <c r="F1839" s="42" t="str">
        <f>+IFERROR(VLOOKUP(E1839,'DANH MỤC'!$C:$H,2,0),"")</f>
        <v/>
      </c>
      <c r="G1839" s="42" t="str">
        <f>+IFERROR(VLOOKUP(E1839,'DANH MỤC'!$C:$H,6,0),"")</f>
        <v/>
      </c>
      <c r="H1839" s="42" t="str">
        <f>+IFERROR(VLOOKUP(E1839,'DANH MỤC'!$C:$H,3,0),"")</f>
        <v/>
      </c>
      <c r="I1839" s="42" t="str">
        <f>+IFERROR(VLOOKUP(E1839,'DANH MỤC'!$C:$H,4,0),"")</f>
        <v/>
      </c>
      <c r="J1839" s="42" t="str">
        <f>+IFERROR(VLOOKUP(E1839,'DANH MỤC'!$C:$H,5,0),"")</f>
        <v/>
      </c>
      <c r="K1839" s="53"/>
      <c r="L1839" s="58"/>
      <c r="M1839" s="55"/>
      <c r="N1839" s="55"/>
    </row>
    <row r="1840" ht="15.75" customHeight="1">
      <c r="A1840" s="53">
        <f t="shared" si="7"/>
        <v>1835</v>
      </c>
      <c r="B1840" s="55"/>
      <c r="C1840" s="41"/>
      <c r="D1840" s="42"/>
      <c r="E1840" s="42"/>
      <c r="F1840" s="42" t="str">
        <f>+IFERROR(VLOOKUP(E1840,'DANH MỤC'!$C:$H,2,0),"")</f>
        <v/>
      </c>
      <c r="G1840" s="42" t="str">
        <f>+IFERROR(VLOOKUP(E1840,'DANH MỤC'!$C:$H,6,0),"")</f>
        <v/>
      </c>
      <c r="H1840" s="42" t="str">
        <f>+IFERROR(VLOOKUP(E1840,'DANH MỤC'!$C:$H,3,0),"")</f>
        <v/>
      </c>
      <c r="I1840" s="42" t="str">
        <f>+IFERROR(VLOOKUP(E1840,'DANH MỤC'!$C:$H,4,0),"")</f>
        <v/>
      </c>
      <c r="J1840" s="42" t="str">
        <f>+IFERROR(VLOOKUP(E1840,'DANH MỤC'!$C:$H,5,0),"")</f>
        <v/>
      </c>
      <c r="K1840" s="53"/>
      <c r="L1840" s="58"/>
      <c r="M1840" s="55"/>
      <c r="N1840" s="55"/>
    </row>
    <row r="1841" ht="15.75" customHeight="1">
      <c r="A1841" s="53">
        <f t="shared" si="7"/>
        <v>1836</v>
      </c>
      <c r="B1841" s="55"/>
      <c r="C1841" s="41"/>
      <c r="D1841" s="42"/>
      <c r="E1841" s="42"/>
      <c r="F1841" s="42" t="str">
        <f>+IFERROR(VLOOKUP(E1841,'DANH MỤC'!$C:$H,2,0),"")</f>
        <v/>
      </c>
      <c r="G1841" s="42" t="str">
        <f>+IFERROR(VLOOKUP(E1841,'DANH MỤC'!$C:$H,6,0),"")</f>
        <v/>
      </c>
      <c r="H1841" s="42" t="str">
        <f>+IFERROR(VLOOKUP(E1841,'DANH MỤC'!$C:$H,3,0),"")</f>
        <v/>
      </c>
      <c r="I1841" s="42" t="str">
        <f>+IFERROR(VLOOKUP(E1841,'DANH MỤC'!$C:$H,4,0),"")</f>
        <v/>
      </c>
      <c r="J1841" s="42" t="str">
        <f>+IFERROR(VLOOKUP(E1841,'DANH MỤC'!$C:$H,5,0),"")</f>
        <v/>
      </c>
      <c r="K1841" s="53"/>
      <c r="L1841" s="58"/>
      <c r="M1841" s="55"/>
      <c r="N1841" s="55"/>
    </row>
    <row r="1842" ht="15.75" customHeight="1">
      <c r="A1842" s="53">
        <f t="shared" si="7"/>
        <v>1837</v>
      </c>
      <c r="B1842" s="55"/>
      <c r="C1842" s="41"/>
      <c r="D1842" s="42"/>
      <c r="E1842" s="42"/>
      <c r="F1842" s="42" t="str">
        <f>+IFERROR(VLOOKUP(E1842,'DANH MỤC'!$C:$H,2,0),"")</f>
        <v/>
      </c>
      <c r="G1842" s="42" t="str">
        <f>+IFERROR(VLOOKUP(E1842,'DANH MỤC'!$C:$H,6,0),"")</f>
        <v/>
      </c>
      <c r="H1842" s="42" t="str">
        <f>+IFERROR(VLOOKUP(E1842,'DANH MỤC'!$C:$H,3,0),"")</f>
        <v/>
      </c>
      <c r="I1842" s="42" t="str">
        <f>+IFERROR(VLOOKUP(E1842,'DANH MỤC'!$C:$H,4,0),"")</f>
        <v/>
      </c>
      <c r="J1842" s="42" t="str">
        <f>+IFERROR(VLOOKUP(E1842,'DANH MỤC'!$C:$H,5,0),"")</f>
        <v/>
      </c>
      <c r="K1842" s="53"/>
      <c r="L1842" s="58"/>
      <c r="M1842" s="55"/>
      <c r="N1842" s="55"/>
    </row>
    <row r="1843" ht="15.75" customHeight="1">
      <c r="A1843" s="53">
        <f t="shared" si="7"/>
        <v>1838</v>
      </c>
      <c r="B1843" s="55"/>
      <c r="C1843" s="41"/>
      <c r="D1843" s="42"/>
      <c r="E1843" s="42"/>
      <c r="F1843" s="42" t="str">
        <f>+IFERROR(VLOOKUP(E1843,'DANH MỤC'!$C:$H,2,0),"")</f>
        <v/>
      </c>
      <c r="G1843" s="42" t="str">
        <f>+IFERROR(VLOOKUP(E1843,'DANH MỤC'!$C:$H,6,0),"")</f>
        <v/>
      </c>
      <c r="H1843" s="42" t="str">
        <f>+IFERROR(VLOOKUP(E1843,'DANH MỤC'!$C:$H,3,0),"")</f>
        <v/>
      </c>
      <c r="I1843" s="42" t="str">
        <f>+IFERROR(VLOOKUP(E1843,'DANH MỤC'!$C:$H,4,0),"")</f>
        <v/>
      </c>
      <c r="J1843" s="42" t="str">
        <f>+IFERROR(VLOOKUP(E1843,'DANH MỤC'!$C:$H,5,0),"")</f>
        <v/>
      </c>
      <c r="K1843" s="53"/>
      <c r="L1843" s="58"/>
      <c r="M1843" s="55"/>
      <c r="N1843" s="55"/>
    </row>
    <row r="1844" ht="15.75" customHeight="1">
      <c r="A1844" s="53">
        <f t="shared" si="7"/>
        <v>1839</v>
      </c>
      <c r="B1844" s="55"/>
      <c r="C1844" s="41"/>
      <c r="D1844" s="42"/>
      <c r="E1844" s="42"/>
      <c r="F1844" s="42" t="str">
        <f>+IFERROR(VLOOKUP(E1844,'DANH MỤC'!$C:$H,2,0),"")</f>
        <v/>
      </c>
      <c r="G1844" s="42" t="str">
        <f>+IFERROR(VLOOKUP(E1844,'DANH MỤC'!$C:$H,6,0),"")</f>
        <v/>
      </c>
      <c r="H1844" s="42" t="str">
        <f>+IFERROR(VLOOKUP(E1844,'DANH MỤC'!$C:$H,3,0),"")</f>
        <v/>
      </c>
      <c r="I1844" s="42" t="str">
        <f>+IFERROR(VLOOKUP(E1844,'DANH MỤC'!$C:$H,4,0),"")</f>
        <v/>
      </c>
      <c r="J1844" s="42" t="str">
        <f>+IFERROR(VLOOKUP(E1844,'DANH MỤC'!$C:$H,5,0),"")</f>
        <v/>
      </c>
      <c r="K1844" s="53"/>
      <c r="L1844" s="58"/>
      <c r="M1844" s="55"/>
      <c r="N1844" s="55"/>
    </row>
    <row r="1845" ht="15.75" customHeight="1">
      <c r="A1845" s="53">
        <f t="shared" si="7"/>
        <v>1840</v>
      </c>
      <c r="B1845" s="55"/>
      <c r="C1845" s="41"/>
      <c r="D1845" s="42"/>
      <c r="E1845" s="42"/>
      <c r="F1845" s="42" t="str">
        <f>+IFERROR(VLOOKUP(E1845,'DANH MỤC'!$C:$H,2,0),"")</f>
        <v/>
      </c>
      <c r="G1845" s="42" t="str">
        <f>+IFERROR(VLOOKUP(E1845,'DANH MỤC'!$C:$H,6,0),"")</f>
        <v/>
      </c>
      <c r="H1845" s="42" t="str">
        <f>+IFERROR(VLOOKUP(E1845,'DANH MỤC'!$C:$H,3,0),"")</f>
        <v/>
      </c>
      <c r="I1845" s="42" t="str">
        <f>+IFERROR(VLOOKUP(E1845,'DANH MỤC'!$C:$H,4,0),"")</f>
        <v/>
      </c>
      <c r="J1845" s="42" t="str">
        <f>+IFERROR(VLOOKUP(E1845,'DANH MỤC'!$C:$H,5,0),"")</f>
        <v/>
      </c>
      <c r="K1845" s="53"/>
      <c r="L1845" s="58"/>
      <c r="M1845" s="55"/>
      <c r="N1845" s="55"/>
    </row>
    <row r="1846" ht="15.75" customHeight="1">
      <c r="A1846" s="53">
        <f t="shared" si="7"/>
        <v>1841</v>
      </c>
      <c r="B1846" s="55"/>
      <c r="C1846" s="41"/>
      <c r="D1846" s="42"/>
      <c r="E1846" s="42"/>
      <c r="F1846" s="42" t="str">
        <f>+IFERROR(VLOOKUP(E1846,'DANH MỤC'!$C:$H,2,0),"")</f>
        <v/>
      </c>
      <c r="G1846" s="42" t="str">
        <f>+IFERROR(VLOOKUP(E1846,'DANH MỤC'!$C:$H,6,0),"")</f>
        <v/>
      </c>
      <c r="H1846" s="42" t="str">
        <f>+IFERROR(VLOOKUP(E1846,'DANH MỤC'!$C:$H,3,0),"")</f>
        <v/>
      </c>
      <c r="I1846" s="42" t="str">
        <f>+IFERROR(VLOOKUP(E1846,'DANH MỤC'!$C:$H,4,0),"")</f>
        <v/>
      </c>
      <c r="J1846" s="42" t="str">
        <f>+IFERROR(VLOOKUP(E1846,'DANH MỤC'!$C:$H,5,0),"")</f>
        <v/>
      </c>
      <c r="K1846" s="53"/>
      <c r="L1846" s="58"/>
      <c r="M1846" s="55"/>
      <c r="N1846" s="55"/>
    </row>
    <row r="1847" ht="15.75" customHeight="1">
      <c r="A1847" s="53">
        <f t="shared" si="7"/>
        <v>1842</v>
      </c>
      <c r="B1847" s="55"/>
      <c r="C1847" s="41"/>
      <c r="D1847" s="42"/>
      <c r="E1847" s="42"/>
      <c r="F1847" s="42" t="str">
        <f>+IFERROR(VLOOKUP(E1847,'DANH MỤC'!$C:$H,2,0),"")</f>
        <v/>
      </c>
      <c r="G1847" s="42" t="str">
        <f>+IFERROR(VLOOKUP(E1847,'DANH MỤC'!$C:$H,6,0),"")</f>
        <v/>
      </c>
      <c r="H1847" s="42" t="str">
        <f>+IFERROR(VLOOKUP(E1847,'DANH MỤC'!$C:$H,3,0),"")</f>
        <v/>
      </c>
      <c r="I1847" s="42" t="str">
        <f>+IFERROR(VLOOKUP(E1847,'DANH MỤC'!$C:$H,4,0),"")</f>
        <v/>
      </c>
      <c r="J1847" s="42" t="str">
        <f>+IFERROR(VLOOKUP(E1847,'DANH MỤC'!$C:$H,5,0),"")</f>
        <v/>
      </c>
      <c r="K1847" s="53"/>
      <c r="L1847" s="58"/>
      <c r="M1847" s="55"/>
      <c r="N1847" s="55"/>
    </row>
    <row r="1848" ht="15.75" customHeight="1">
      <c r="A1848" s="53">
        <f t="shared" si="7"/>
        <v>1843</v>
      </c>
      <c r="B1848" s="55"/>
      <c r="C1848" s="41"/>
      <c r="D1848" s="42"/>
      <c r="E1848" s="42"/>
      <c r="F1848" s="42" t="str">
        <f>+IFERROR(VLOOKUP(E1848,'DANH MỤC'!$C:$H,2,0),"")</f>
        <v/>
      </c>
      <c r="G1848" s="42" t="str">
        <f>+IFERROR(VLOOKUP(E1848,'DANH MỤC'!$C:$H,6,0),"")</f>
        <v/>
      </c>
      <c r="H1848" s="42" t="str">
        <f>+IFERROR(VLOOKUP(E1848,'DANH MỤC'!$C:$H,3,0),"")</f>
        <v/>
      </c>
      <c r="I1848" s="42" t="str">
        <f>+IFERROR(VLOOKUP(E1848,'DANH MỤC'!$C:$H,4,0),"")</f>
        <v/>
      </c>
      <c r="J1848" s="42" t="str">
        <f>+IFERROR(VLOOKUP(E1848,'DANH MỤC'!$C:$H,5,0),"")</f>
        <v/>
      </c>
      <c r="K1848" s="53"/>
      <c r="L1848" s="58"/>
      <c r="M1848" s="55"/>
      <c r="N1848" s="55"/>
    </row>
    <row r="1849" ht="15.75" customHeight="1">
      <c r="A1849" s="53">
        <f t="shared" si="7"/>
        <v>1844</v>
      </c>
      <c r="B1849" s="55"/>
      <c r="C1849" s="41"/>
      <c r="D1849" s="42"/>
      <c r="E1849" s="42"/>
      <c r="F1849" s="42" t="str">
        <f>+IFERROR(VLOOKUP(E1849,'DANH MỤC'!$C:$H,2,0),"")</f>
        <v/>
      </c>
      <c r="G1849" s="42" t="str">
        <f>+IFERROR(VLOOKUP(E1849,'DANH MỤC'!$C:$H,6,0),"")</f>
        <v/>
      </c>
      <c r="H1849" s="42" t="str">
        <f>+IFERROR(VLOOKUP(E1849,'DANH MỤC'!$C:$H,3,0),"")</f>
        <v/>
      </c>
      <c r="I1849" s="42" t="str">
        <f>+IFERROR(VLOOKUP(E1849,'DANH MỤC'!$C:$H,4,0),"")</f>
        <v/>
      </c>
      <c r="J1849" s="42" t="str">
        <f>+IFERROR(VLOOKUP(E1849,'DANH MỤC'!$C:$H,5,0),"")</f>
        <v/>
      </c>
      <c r="K1849" s="53"/>
      <c r="L1849" s="58"/>
      <c r="M1849" s="55"/>
      <c r="N1849" s="55"/>
    </row>
    <row r="1850" ht="15.75" customHeight="1">
      <c r="A1850" s="53">
        <f t="shared" si="7"/>
        <v>1845</v>
      </c>
      <c r="B1850" s="55"/>
      <c r="C1850" s="41"/>
      <c r="D1850" s="42"/>
      <c r="E1850" s="42"/>
      <c r="F1850" s="42" t="str">
        <f>+IFERROR(VLOOKUP(E1850,'DANH MỤC'!$C:$H,2,0),"")</f>
        <v/>
      </c>
      <c r="G1850" s="42" t="str">
        <f>+IFERROR(VLOOKUP(E1850,'DANH MỤC'!$C:$H,6,0),"")</f>
        <v/>
      </c>
      <c r="H1850" s="42" t="str">
        <f>+IFERROR(VLOOKUP(E1850,'DANH MỤC'!$C:$H,3,0),"")</f>
        <v/>
      </c>
      <c r="I1850" s="42" t="str">
        <f>+IFERROR(VLOOKUP(E1850,'DANH MỤC'!$C:$H,4,0),"")</f>
        <v/>
      </c>
      <c r="J1850" s="42" t="str">
        <f>+IFERROR(VLOOKUP(E1850,'DANH MỤC'!$C:$H,5,0),"")</f>
        <v/>
      </c>
      <c r="K1850" s="53"/>
      <c r="L1850" s="58"/>
      <c r="M1850" s="55"/>
      <c r="N1850" s="55"/>
    </row>
    <row r="1851" ht="15.75" customHeight="1">
      <c r="A1851" s="53">
        <f t="shared" si="7"/>
        <v>1846</v>
      </c>
      <c r="B1851" s="55"/>
      <c r="C1851" s="41"/>
      <c r="D1851" s="42"/>
      <c r="E1851" s="42"/>
      <c r="F1851" s="42" t="str">
        <f>+IFERROR(VLOOKUP(E1851,'DANH MỤC'!$C:$H,2,0),"")</f>
        <v/>
      </c>
      <c r="G1851" s="42" t="str">
        <f>+IFERROR(VLOOKUP(E1851,'DANH MỤC'!$C:$H,6,0),"")</f>
        <v/>
      </c>
      <c r="H1851" s="42" t="str">
        <f>+IFERROR(VLOOKUP(E1851,'DANH MỤC'!$C:$H,3,0),"")</f>
        <v/>
      </c>
      <c r="I1851" s="42" t="str">
        <f>+IFERROR(VLOOKUP(E1851,'DANH MỤC'!$C:$H,4,0),"")</f>
        <v/>
      </c>
      <c r="J1851" s="42" t="str">
        <f>+IFERROR(VLOOKUP(E1851,'DANH MỤC'!$C:$H,5,0),"")</f>
        <v/>
      </c>
      <c r="K1851" s="53"/>
      <c r="L1851" s="58"/>
      <c r="M1851" s="55"/>
      <c r="N1851" s="55"/>
    </row>
    <row r="1852" ht="15.75" customHeight="1">
      <c r="A1852" s="53">
        <f t="shared" si="7"/>
        <v>1847</v>
      </c>
      <c r="B1852" s="55"/>
      <c r="C1852" s="41"/>
      <c r="D1852" s="42"/>
      <c r="E1852" s="42"/>
      <c r="F1852" s="42" t="str">
        <f>+IFERROR(VLOOKUP(E1852,'DANH MỤC'!$C:$H,2,0),"")</f>
        <v/>
      </c>
      <c r="G1852" s="42" t="str">
        <f>+IFERROR(VLOOKUP(E1852,'DANH MỤC'!$C:$H,6,0),"")</f>
        <v/>
      </c>
      <c r="H1852" s="42" t="str">
        <f>+IFERROR(VLOOKUP(E1852,'DANH MỤC'!$C:$H,3,0),"")</f>
        <v/>
      </c>
      <c r="I1852" s="42" t="str">
        <f>+IFERROR(VLOOKUP(E1852,'DANH MỤC'!$C:$H,4,0),"")</f>
        <v/>
      </c>
      <c r="J1852" s="42" t="str">
        <f>+IFERROR(VLOOKUP(E1852,'DANH MỤC'!$C:$H,5,0),"")</f>
        <v/>
      </c>
      <c r="K1852" s="53"/>
      <c r="L1852" s="58"/>
      <c r="M1852" s="55"/>
      <c r="N1852" s="55"/>
    </row>
    <row r="1853" ht="15.75" customHeight="1">
      <c r="A1853" s="53">
        <f t="shared" si="7"/>
        <v>1848</v>
      </c>
      <c r="B1853" s="55"/>
      <c r="C1853" s="41"/>
      <c r="D1853" s="42"/>
      <c r="E1853" s="42"/>
      <c r="F1853" s="42" t="str">
        <f>+IFERROR(VLOOKUP(E1853,'DANH MỤC'!$C:$H,2,0),"")</f>
        <v/>
      </c>
      <c r="G1853" s="42" t="str">
        <f>+IFERROR(VLOOKUP(E1853,'DANH MỤC'!$C:$H,6,0),"")</f>
        <v/>
      </c>
      <c r="H1853" s="42" t="str">
        <f>+IFERROR(VLOOKUP(E1853,'DANH MỤC'!$C:$H,3,0),"")</f>
        <v/>
      </c>
      <c r="I1853" s="42" t="str">
        <f>+IFERROR(VLOOKUP(E1853,'DANH MỤC'!$C:$H,4,0),"")</f>
        <v/>
      </c>
      <c r="J1853" s="42" t="str">
        <f>+IFERROR(VLOOKUP(E1853,'DANH MỤC'!$C:$H,5,0),"")</f>
        <v/>
      </c>
      <c r="K1853" s="53"/>
      <c r="L1853" s="58"/>
      <c r="M1853" s="55"/>
      <c r="N1853" s="55"/>
    </row>
    <row r="1854" ht="15.75" customHeight="1">
      <c r="A1854" s="53">
        <f t="shared" si="7"/>
        <v>1849</v>
      </c>
      <c r="B1854" s="55"/>
      <c r="C1854" s="41"/>
      <c r="D1854" s="42"/>
      <c r="E1854" s="42"/>
      <c r="F1854" s="42" t="str">
        <f>+IFERROR(VLOOKUP(E1854,'DANH MỤC'!$C:$H,2,0),"")</f>
        <v/>
      </c>
      <c r="G1854" s="42" t="str">
        <f>+IFERROR(VLOOKUP(E1854,'DANH MỤC'!$C:$H,6,0),"")</f>
        <v/>
      </c>
      <c r="H1854" s="42" t="str">
        <f>+IFERROR(VLOOKUP(E1854,'DANH MỤC'!$C:$H,3,0),"")</f>
        <v/>
      </c>
      <c r="I1854" s="42" t="str">
        <f>+IFERROR(VLOOKUP(E1854,'DANH MỤC'!$C:$H,4,0),"")</f>
        <v/>
      </c>
      <c r="J1854" s="42" t="str">
        <f>+IFERROR(VLOOKUP(E1854,'DANH MỤC'!$C:$H,5,0),"")</f>
        <v/>
      </c>
      <c r="K1854" s="53"/>
      <c r="L1854" s="58"/>
      <c r="M1854" s="55"/>
      <c r="N1854" s="55"/>
    </row>
    <row r="1855" ht="15.75" customHeight="1">
      <c r="A1855" s="53">
        <f t="shared" si="7"/>
        <v>1850</v>
      </c>
      <c r="B1855" s="55"/>
      <c r="C1855" s="41"/>
      <c r="D1855" s="42"/>
      <c r="E1855" s="42"/>
      <c r="F1855" s="42" t="str">
        <f>+IFERROR(VLOOKUP(E1855,'DANH MỤC'!$C:$H,2,0),"")</f>
        <v/>
      </c>
      <c r="G1855" s="42" t="str">
        <f>+IFERROR(VLOOKUP(E1855,'DANH MỤC'!$C:$H,6,0),"")</f>
        <v/>
      </c>
      <c r="H1855" s="42" t="str">
        <f>+IFERROR(VLOOKUP(E1855,'DANH MỤC'!$C:$H,3,0),"")</f>
        <v/>
      </c>
      <c r="I1855" s="42" t="str">
        <f>+IFERROR(VLOOKUP(E1855,'DANH MỤC'!$C:$H,4,0),"")</f>
        <v/>
      </c>
      <c r="J1855" s="42" t="str">
        <f>+IFERROR(VLOOKUP(E1855,'DANH MỤC'!$C:$H,5,0),"")</f>
        <v/>
      </c>
      <c r="K1855" s="53"/>
      <c r="L1855" s="58"/>
      <c r="M1855" s="55"/>
      <c r="N1855" s="55"/>
    </row>
    <row r="1856" ht="15.75" customHeight="1">
      <c r="A1856" s="53">
        <f t="shared" si="7"/>
        <v>1851</v>
      </c>
      <c r="B1856" s="55"/>
      <c r="C1856" s="41"/>
      <c r="D1856" s="42"/>
      <c r="E1856" s="42"/>
      <c r="F1856" s="42" t="str">
        <f>+IFERROR(VLOOKUP(E1856,'DANH MỤC'!$C:$H,2,0),"")</f>
        <v/>
      </c>
      <c r="G1856" s="42" t="str">
        <f>+IFERROR(VLOOKUP(E1856,'DANH MỤC'!$C:$H,6,0),"")</f>
        <v/>
      </c>
      <c r="H1856" s="42" t="str">
        <f>+IFERROR(VLOOKUP(E1856,'DANH MỤC'!$C:$H,3,0),"")</f>
        <v/>
      </c>
      <c r="I1856" s="42" t="str">
        <f>+IFERROR(VLOOKUP(E1856,'DANH MỤC'!$C:$H,4,0),"")</f>
        <v/>
      </c>
      <c r="J1856" s="42" t="str">
        <f>+IFERROR(VLOOKUP(E1856,'DANH MỤC'!$C:$H,5,0),"")</f>
        <v/>
      </c>
      <c r="K1856" s="53"/>
      <c r="L1856" s="58"/>
      <c r="M1856" s="55"/>
      <c r="N1856" s="55"/>
    </row>
    <row r="1857" ht="15.75" customHeight="1">
      <c r="A1857" s="53">
        <f t="shared" si="7"/>
        <v>1852</v>
      </c>
      <c r="B1857" s="55"/>
      <c r="C1857" s="41"/>
      <c r="D1857" s="42"/>
      <c r="E1857" s="42"/>
      <c r="F1857" s="42" t="str">
        <f>+IFERROR(VLOOKUP(E1857,'DANH MỤC'!$C:$H,2,0),"")</f>
        <v/>
      </c>
      <c r="G1857" s="42" t="str">
        <f>+IFERROR(VLOOKUP(E1857,'DANH MỤC'!$C:$H,6,0),"")</f>
        <v/>
      </c>
      <c r="H1857" s="42" t="str">
        <f>+IFERROR(VLOOKUP(E1857,'DANH MỤC'!$C:$H,3,0),"")</f>
        <v/>
      </c>
      <c r="I1857" s="42" t="str">
        <f>+IFERROR(VLOOKUP(E1857,'DANH MỤC'!$C:$H,4,0),"")</f>
        <v/>
      </c>
      <c r="J1857" s="42" t="str">
        <f>+IFERROR(VLOOKUP(E1857,'DANH MỤC'!$C:$H,5,0),"")</f>
        <v/>
      </c>
      <c r="K1857" s="53"/>
      <c r="L1857" s="58"/>
      <c r="M1857" s="55"/>
      <c r="N1857" s="55"/>
    </row>
    <row r="1858" ht="15.75" customHeight="1">
      <c r="A1858" s="53">
        <f t="shared" si="7"/>
        <v>1853</v>
      </c>
      <c r="B1858" s="55"/>
      <c r="C1858" s="41"/>
      <c r="D1858" s="42"/>
      <c r="E1858" s="42"/>
      <c r="F1858" s="42" t="str">
        <f>+IFERROR(VLOOKUP(E1858,'DANH MỤC'!$C:$H,2,0),"")</f>
        <v/>
      </c>
      <c r="G1858" s="42" t="str">
        <f>+IFERROR(VLOOKUP(E1858,'DANH MỤC'!$C:$H,6,0),"")</f>
        <v/>
      </c>
      <c r="H1858" s="42" t="str">
        <f>+IFERROR(VLOOKUP(E1858,'DANH MỤC'!$C:$H,3,0),"")</f>
        <v/>
      </c>
      <c r="I1858" s="42" t="str">
        <f>+IFERROR(VLOOKUP(E1858,'DANH MỤC'!$C:$H,4,0),"")</f>
        <v/>
      </c>
      <c r="J1858" s="42" t="str">
        <f>+IFERROR(VLOOKUP(E1858,'DANH MỤC'!$C:$H,5,0),"")</f>
        <v/>
      </c>
      <c r="K1858" s="53"/>
      <c r="L1858" s="58"/>
      <c r="M1858" s="55"/>
      <c r="N1858" s="55"/>
    </row>
    <row r="1859" ht="15.75" customHeight="1">
      <c r="A1859" s="53">
        <f t="shared" si="7"/>
        <v>1854</v>
      </c>
      <c r="B1859" s="55"/>
      <c r="C1859" s="41"/>
      <c r="D1859" s="42"/>
      <c r="E1859" s="42"/>
      <c r="F1859" s="42" t="str">
        <f>+IFERROR(VLOOKUP(E1859,'DANH MỤC'!$C:$H,2,0),"")</f>
        <v/>
      </c>
      <c r="G1859" s="42" t="str">
        <f>+IFERROR(VLOOKUP(E1859,'DANH MỤC'!$C:$H,6,0),"")</f>
        <v/>
      </c>
      <c r="H1859" s="42" t="str">
        <f>+IFERROR(VLOOKUP(E1859,'DANH MỤC'!$C:$H,3,0),"")</f>
        <v/>
      </c>
      <c r="I1859" s="42" t="str">
        <f>+IFERROR(VLOOKUP(E1859,'DANH MỤC'!$C:$H,4,0),"")</f>
        <v/>
      </c>
      <c r="J1859" s="42" t="str">
        <f>+IFERROR(VLOOKUP(E1859,'DANH MỤC'!$C:$H,5,0),"")</f>
        <v/>
      </c>
      <c r="K1859" s="53"/>
      <c r="L1859" s="58"/>
      <c r="M1859" s="55"/>
      <c r="N1859" s="55"/>
    </row>
    <row r="1860" ht="15.75" customHeight="1">
      <c r="A1860" s="53">
        <f t="shared" si="7"/>
        <v>1855</v>
      </c>
      <c r="B1860" s="55"/>
      <c r="C1860" s="41"/>
      <c r="D1860" s="42"/>
      <c r="E1860" s="42"/>
      <c r="F1860" s="42" t="str">
        <f>+IFERROR(VLOOKUP(E1860,'DANH MỤC'!$C:$H,2,0),"")</f>
        <v/>
      </c>
      <c r="G1860" s="42" t="str">
        <f>+IFERROR(VLOOKUP(E1860,'DANH MỤC'!$C:$H,6,0),"")</f>
        <v/>
      </c>
      <c r="H1860" s="42" t="str">
        <f>+IFERROR(VLOOKUP(E1860,'DANH MỤC'!$C:$H,3,0),"")</f>
        <v/>
      </c>
      <c r="I1860" s="42" t="str">
        <f>+IFERROR(VLOOKUP(E1860,'DANH MỤC'!$C:$H,4,0),"")</f>
        <v/>
      </c>
      <c r="J1860" s="42" t="str">
        <f>+IFERROR(VLOOKUP(E1860,'DANH MỤC'!$C:$H,5,0),"")</f>
        <v/>
      </c>
      <c r="K1860" s="53"/>
      <c r="L1860" s="58"/>
      <c r="M1860" s="55"/>
      <c r="N1860" s="55"/>
    </row>
    <row r="1861" ht="15.75" customHeight="1">
      <c r="A1861" s="53">
        <f t="shared" si="7"/>
        <v>1856</v>
      </c>
      <c r="B1861" s="55"/>
      <c r="C1861" s="41"/>
      <c r="D1861" s="42"/>
      <c r="E1861" s="42"/>
      <c r="F1861" s="42" t="str">
        <f>+IFERROR(VLOOKUP(E1861,'DANH MỤC'!$C:$H,2,0),"")</f>
        <v/>
      </c>
      <c r="G1861" s="42" t="str">
        <f>+IFERROR(VLOOKUP(E1861,'DANH MỤC'!$C:$H,6,0),"")</f>
        <v/>
      </c>
      <c r="H1861" s="42" t="str">
        <f>+IFERROR(VLOOKUP(E1861,'DANH MỤC'!$C:$H,3,0),"")</f>
        <v/>
      </c>
      <c r="I1861" s="42" t="str">
        <f>+IFERROR(VLOOKUP(E1861,'DANH MỤC'!$C:$H,4,0),"")</f>
        <v/>
      </c>
      <c r="J1861" s="42" t="str">
        <f>+IFERROR(VLOOKUP(E1861,'DANH MỤC'!$C:$H,5,0),"")</f>
        <v/>
      </c>
      <c r="K1861" s="53"/>
      <c r="L1861" s="58"/>
      <c r="M1861" s="55"/>
      <c r="N1861" s="55"/>
    </row>
    <row r="1862" ht="15.75" customHeight="1">
      <c r="A1862" s="53">
        <f t="shared" si="7"/>
        <v>1857</v>
      </c>
      <c r="B1862" s="55"/>
      <c r="C1862" s="41"/>
      <c r="D1862" s="42"/>
      <c r="E1862" s="42"/>
      <c r="F1862" s="42" t="str">
        <f>+IFERROR(VLOOKUP(E1862,'DANH MỤC'!$C:$H,2,0),"")</f>
        <v/>
      </c>
      <c r="G1862" s="42" t="str">
        <f>+IFERROR(VLOOKUP(E1862,'DANH MỤC'!$C:$H,6,0),"")</f>
        <v/>
      </c>
      <c r="H1862" s="42" t="str">
        <f>+IFERROR(VLOOKUP(E1862,'DANH MỤC'!$C:$H,3,0),"")</f>
        <v/>
      </c>
      <c r="I1862" s="42" t="str">
        <f>+IFERROR(VLOOKUP(E1862,'DANH MỤC'!$C:$H,4,0),"")</f>
        <v/>
      </c>
      <c r="J1862" s="42" t="str">
        <f>+IFERROR(VLOOKUP(E1862,'DANH MỤC'!$C:$H,5,0),"")</f>
        <v/>
      </c>
      <c r="K1862" s="53"/>
      <c r="L1862" s="58"/>
      <c r="M1862" s="55"/>
      <c r="N1862" s="55"/>
    </row>
    <row r="1863" ht="15.75" customHeight="1">
      <c r="A1863" s="53">
        <f t="shared" si="7"/>
        <v>1858</v>
      </c>
      <c r="B1863" s="55"/>
      <c r="C1863" s="41"/>
      <c r="D1863" s="42"/>
      <c r="E1863" s="42"/>
      <c r="F1863" s="42" t="str">
        <f>+IFERROR(VLOOKUP(E1863,'DANH MỤC'!$C:$H,2,0),"")</f>
        <v/>
      </c>
      <c r="G1863" s="42" t="str">
        <f>+IFERROR(VLOOKUP(E1863,'DANH MỤC'!$C:$H,6,0),"")</f>
        <v/>
      </c>
      <c r="H1863" s="42" t="str">
        <f>+IFERROR(VLOOKUP(E1863,'DANH MỤC'!$C:$H,3,0),"")</f>
        <v/>
      </c>
      <c r="I1863" s="42" t="str">
        <f>+IFERROR(VLOOKUP(E1863,'DANH MỤC'!$C:$H,4,0),"")</f>
        <v/>
      </c>
      <c r="J1863" s="42" t="str">
        <f>+IFERROR(VLOOKUP(E1863,'DANH MỤC'!$C:$H,5,0),"")</f>
        <v/>
      </c>
      <c r="K1863" s="53"/>
      <c r="L1863" s="58"/>
      <c r="M1863" s="55"/>
      <c r="N1863" s="55"/>
    </row>
    <row r="1864" ht="15.75" customHeight="1">
      <c r="A1864" s="53">
        <f t="shared" si="7"/>
        <v>1859</v>
      </c>
      <c r="B1864" s="55"/>
      <c r="C1864" s="41"/>
      <c r="D1864" s="42"/>
      <c r="E1864" s="42"/>
      <c r="F1864" s="42" t="str">
        <f>+IFERROR(VLOOKUP(E1864,'DANH MỤC'!$C:$H,2,0),"")</f>
        <v/>
      </c>
      <c r="G1864" s="42" t="str">
        <f>+IFERROR(VLOOKUP(E1864,'DANH MỤC'!$C:$H,6,0),"")</f>
        <v/>
      </c>
      <c r="H1864" s="42" t="str">
        <f>+IFERROR(VLOOKUP(E1864,'DANH MỤC'!$C:$H,3,0),"")</f>
        <v/>
      </c>
      <c r="I1864" s="42" t="str">
        <f>+IFERROR(VLOOKUP(E1864,'DANH MỤC'!$C:$H,4,0),"")</f>
        <v/>
      </c>
      <c r="J1864" s="42" t="str">
        <f>+IFERROR(VLOOKUP(E1864,'DANH MỤC'!$C:$H,5,0),"")</f>
        <v/>
      </c>
      <c r="K1864" s="53"/>
      <c r="L1864" s="58"/>
      <c r="M1864" s="55"/>
      <c r="N1864" s="55"/>
    </row>
    <row r="1865" ht="15.75" customHeight="1">
      <c r="A1865" s="53">
        <f t="shared" si="7"/>
        <v>1860</v>
      </c>
      <c r="B1865" s="55"/>
      <c r="C1865" s="41"/>
      <c r="D1865" s="42"/>
      <c r="E1865" s="42"/>
      <c r="F1865" s="42" t="str">
        <f>+IFERROR(VLOOKUP(E1865,'DANH MỤC'!$C:$H,2,0),"")</f>
        <v/>
      </c>
      <c r="G1865" s="42" t="str">
        <f>+IFERROR(VLOOKUP(E1865,'DANH MỤC'!$C:$H,6,0),"")</f>
        <v/>
      </c>
      <c r="H1865" s="42" t="str">
        <f>+IFERROR(VLOOKUP(E1865,'DANH MỤC'!$C:$H,3,0),"")</f>
        <v/>
      </c>
      <c r="I1865" s="42" t="str">
        <f>+IFERROR(VLOOKUP(E1865,'DANH MỤC'!$C:$H,4,0),"")</f>
        <v/>
      </c>
      <c r="J1865" s="42" t="str">
        <f>+IFERROR(VLOOKUP(E1865,'DANH MỤC'!$C:$H,5,0),"")</f>
        <v/>
      </c>
      <c r="K1865" s="53"/>
      <c r="L1865" s="58"/>
      <c r="M1865" s="55"/>
      <c r="N1865" s="55"/>
    </row>
    <row r="1866" ht="15.75" customHeight="1">
      <c r="A1866" s="53">
        <f t="shared" si="7"/>
        <v>1861</v>
      </c>
      <c r="B1866" s="55"/>
      <c r="C1866" s="41"/>
      <c r="D1866" s="42"/>
      <c r="E1866" s="42"/>
      <c r="F1866" s="42" t="str">
        <f>+IFERROR(VLOOKUP(E1866,'DANH MỤC'!$C:$H,2,0),"")</f>
        <v/>
      </c>
      <c r="G1866" s="42" t="str">
        <f>+IFERROR(VLOOKUP(E1866,'DANH MỤC'!$C:$H,6,0),"")</f>
        <v/>
      </c>
      <c r="H1866" s="42" t="str">
        <f>+IFERROR(VLOOKUP(E1866,'DANH MỤC'!$C:$H,3,0),"")</f>
        <v/>
      </c>
      <c r="I1866" s="42" t="str">
        <f>+IFERROR(VLOOKUP(E1866,'DANH MỤC'!$C:$H,4,0),"")</f>
        <v/>
      </c>
      <c r="J1866" s="42" t="str">
        <f>+IFERROR(VLOOKUP(E1866,'DANH MỤC'!$C:$H,5,0),"")</f>
        <v/>
      </c>
      <c r="K1866" s="53"/>
      <c r="L1866" s="58"/>
      <c r="M1866" s="55"/>
      <c r="N1866" s="55"/>
    </row>
    <row r="1867" ht="15.75" customHeight="1">
      <c r="A1867" s="53">
        <f t="shared" si="7"/>
        <v>1862</v>
      </c>
      <c r="B1867" s="55"/>
      <c r="C1867" s="41"/>
      <c r="D1867" s="42"/>
      <c r="E1867" s="42"/>
      <c r="F1867" s="42" t="str">
        <f>+IFERROR(VLOOKUP(E1867,'DANH MỤC'!$C:$H,2,0),"")</f>
        <v/>
      </c>
      <c r="G1867" s="42" t="str">
        <f>+IFERROR(VLOOKUP(E1867,'DANH MỤC'!$C:$H,6,0),"")</f>
        <v/>
      </c>
      <c r="H1867" s="42" t="str">
        <f>+IFERROR(VLOOKUP(E1867,'DANH MỤC'!$C:$H,3,0),"")</f>
        <v/>
      </c>
      <c r="I1867" s="42" t="str">
        <f>+IFERROR(VLOOKUP(E1867,'DANH MỤC'!$C:$H,4,0),"")</f>
        <v/>
      </c>
      <c r="J1867" s="42" t="str">
        <f>+IFERROR(VLOOKUP(E1867,'DANH MỤC'!$C:$H,5,0),"")</f>
        <v/>
      </c>
      <c r="K1867" s="53"/>
      <c r="L1867" s="58"/>
      <c r="M1867" s="55"/>
      <c r="N1867" s="55"/>
    </row>
    <row r="1868" ht="15.75" customHeight="1">
      <c r="A1868" s="53">
        <f t="shared" si="7"/>
        <v>1863</v>
      </c>
      <c r="B1868" s="55"/>
      <c r="C1868" s="41"/>
      <c r="D1868" s="42"/>
      <c r="E1868" s="42"/>
      <c r="F1868" s="42" t="str">
        <f>+IFERROR(VLOOKUP(E1868,'DANH MỤC'!$C:$H,2,0),"")</f>
        <v/>
      </c>
      <c r="G1868" s="42" t="str">
        <f>+IFERROR(VLOOKUP(E1868,'DANH MỤC'!$C:$H,6,0),"")</f>
        <v/>
      </c>
      <c r="H1868" s="42" t="str">
        <f>+IFERROR(VLOOKUP(E1868,'DANH MỤC'!$C:$H,3,0),"")</f>
        <v/>
      </c>
      <c r="I1868" s="42" t="str">
        <f>+IFERROR(VLOOKUP(E1868,'DANH MỤC'!$C:$H,4,0),"")</f>
        <v/>
      </c>
      <c r="J1868" s="42" t="str">
        <f>+IFERROR(VLOOKUP(E1868,'DANH MỤC'!$C:$H,5,0),"")</f>
        <v/>
      </c>
      <c r="K1868" s="53"/>
      <c r="L1868" s="58"/>
      <c r="M1868" s="55"/>
      <c r="N1868" s="55"/>
    </row>
    <row r="1869" ht="15.75" customHeight="1">
      <c r="A1869" s="53">
        <f t="shared" si="7"/>
        <v>1864</v>
      </c>
      <c r="B1869" s="55"/>
      <c r="C1869" s="41"/>
      <c r="D1869" s="42"/>
      <c r="E1869" s="42"/>
      <c r="F1869" s="42" t="str">
        <f>+IFERROR(VLOOKUP(E1869,'DANH MỤC'!$C:$H,2,0),"")</f>
        <v/>
      </c>
      <c r="G1869" s="42" t="str">
        <f>+IFERROR(VLOOKUP(E1869,'DANH MỤC'!$C:$H,6,0),"")</f>
        <v/>
      </c>
      <c r="H1869" s="42" t="str">
        <f>+IFERROR(VLOOKUP(E1869,'DANH MỤC'!$C:$H,3,0),"")</f>
        <v/>
      </c>
      <c r="I1869" s="42" t="str">
        <f>+IFERROR(VLOOKUP(E1869,'DANH MỤC'!$C:$H,4,0),"")</f>
        <v/>
      </c>
      <c r="J1869" s="42" t="str">
        <f>+IFERROR(VLOOKUP(E1869,'DANH MỤC'!$C:$H,5,0),"")</f>
        <v/>
      </c>
      <c r="K1869" s="53"/>
      <c r="L1869" s="58"/>
      <c r="M1869" s="55"/>
      <c r="N1869" s="55"/>
    </row>
    <row r="1870" ht="15.75" customHeight="1">
      <c r="A1870" s="53">
        <f t="shared" si="7"/>
        <v>1865</v>
      </c>
      <c r="B1870" s="55"/>
      <c r="C1870" s="41"/>
      <c r="D1870" s="42"/>
      <c r="E1870" s="42"/>
      <c r="F1870" s="42" t="str">
        <f>+IFERROR(VLOOKUP(E1870,'DANH MỤC'!$C:$H,2,0),"")</f>
        <v/>
      </c>
      <c r="G1870" s="42" t="str">
        <f>+IFERROR(VLOOKUP(E1870,'DANH MỤC'!$C:$H,6,0),"")</f>
        <v/>
      </c>
      <c r="H1870" s="42" t="str">
        <f>+IFERROR(VLOOKUP(E1870,'DANH MỤC'!$C:$H,3,0),"")</f>
        <v/>
      </c>
      <c r="I1870" s="42" t="str">
        <f>+IFERROR(VLOOKUP(E1870,'DANH MỤC'!$C:$H,4,0),"")</f>
        <v/>
      </c>
      <c r="J1870" s="42" t="str">
        <f>+IFERROR(VLOOKUP(E1870,'DANH MỤC'!$C:$H,5,0),"")</f>
        <v/>
      </c>
      <c r="K1870" s="53"/>
      <c r="L1870" s="58"/>
      <c r="M1870" s="55"/>
      <c r="N1870" s="55"/>
    </row>
    <row r="1871" ht="15.75" customHeight="1">
      <c r="A1871" s="53">
        <f t="shared" si="7"/>
        <v>1866</v>
      </c>
      <c r="B1871" s="55"/>
      <c r="C1871" s="41"/>
      <c r="D1871" s="42"/>
      <c r="E1871" s="42"/>
      <c r="F1871" s="42" t="str">
        <f>+IFERROR(VLOOKUP(E1871,'DANH MỤC'!$C:$H,2,0),"")</f>
        <v/>
      </c>
      <c r="G1871" s="42" t="str">
        <f>+IFERROR(VLOOKUP(E1871,'DANH MỤC'!$C:$H,6,0),"")</f>
        <v/>
      </c>
      <c r="H1871" s="42" t="str">
        <f>+IFERROR(VLOOKUP(E1871,'DANH MỤC'!$C:$H,3,0),"")</f>
        <v/>
      </c>
      <c r="I1871" s="42" t="str">
        <f>+IFERROR(VLOOKUP(E1871,'DANH MỤC'!$C:$H,4,0),"")</f>
        <v/>
      </c>
      <c r="J1871" s="42" t="str">
        <f>+IFERROR(VLOOKUP(E1871,'DANH MỤC'!$C:$H,5,0),"")</f>
        <v/>
      </c>
      <c r="K1871" s="53"/>
      <c r="L1871" s="58"/>
      <c r="M1871" s="55"/>
      <c r="N1871" s="55"/>
    </row>
  </sheetData>
  <autoFilter ref="$A$5:$N$1871"/>
  <mergeCells count="3">
    <mergeCell ref="B4:C4"/>
    <mergeCell ref="E4:G4"/>
    <mergeCell ref="K4:L4"/>
  </mergeCells>
  <dataValidations>
    <dataValidation type="list" allowBlank="1" showInputMessage="1" showErrorMessage="1" prompt="Thông tin! - Chọn tên nhà cung cấp tại đây!" sqref="M6:M1871">
      <formula1>MA_KH</formula1>
    </dataValidation>
    <dataValidation type="list" allowBlank="1" showInputMessage="1" showErrorMessage="1" prompt="Thông tin! - Chọn tên nhà cung cấp tại đây!" sqref="N6:N1871">
      <formula1>BO_PHAN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66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8.14"/>
    <col customWidth="1" min="3" max="3" width="37.71"/>
    <col customWidth="1" min="4" max="6" width="6.57"/>
    <col customWidth="1" min="7" max="7" width="6.14"/>
    <col customWidth="1" min="8" max="8" width="8.43"/>
    <col customWidth="1" min="9" max="9" width="10.71"/>
    <col customWidth="1" min="10" max="10" width="11.57"/>
    <col customWidth="1" min="11" max="11" width="9.29"/>
    <col customWidth="1" min="12" max="12" width="20.0"/>
    <col customWidth="1" min="13" max="13" width="22.0"/>
    <col customWidth="1" min="14" max="35" width="8.86"/>
  </cols>
  <sheetData>
    <row r="1" ht="14.25" customHeight="1">
      <c r="A1" s="49"/>
      <c r="B1" s="49"/>
      <c r="C1" s="51"/>
      <c r="D1" s="51"/>
      <c r="E1" s="51"/>
      <c r="F1" s="51"/>
      <c r="G1" s="51"/>
      <c r="H1" s="52"/>
      <c r="I1" s="52"/>
      <c r="J1" s="52"/>
      <c r="K1" s="52"/>
      <c r="L1" s="52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</row>
    <row r="2" ht="14.25" customHeight="1">
      <c r="A2" s="49"/>
      <c r="B2" s="49"/>
      <c r="C2" s="51"/>
      <c r="D2" s="51"/>
      <c r="E2" s="51"/>
      <c r="F2" s="51"/>
      <c r="G2" s="51"/>
      <c r="H2" s="52"/>
      <c r="I2" s="52"/>
      <c r="J2" s="52"/>
      <c r="K2" s="52"/>
      <c r="L2" s="52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</row>
    <row r="3" ht="14.25" customHeight="1">
      <c r="A3" s="49"/>
      <c r="B3" s="49"/>
      <c r="C3" s="51"/>
      <c r="D3" s="51"/>
      <c r="E3" s="51"/>
      <c r="F3" s="51"/>
      <c r="G3" s="51"/>
      <c r="H3" s="52"/>
      <c r="I3" s="52"/>
      <c r="J3" s="52"/>
      <c r="K3" s="52"/>
      <c r="L3" s="52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</row>
    <row r="4" ht="14.25" customHeight="1">
      <c r="A4" s="49"/>
      <c r="B4" s="49"/>
      <c r="C4" s="51"/>
      <c r="D4" s="51"/>
      <c r="E4" s="51"/>
      <c r="F4" s="51"/>
      <c r="G4" s="51"/>
      <c r="H4" s="52"/>
      <c r="I4" s="52"/>
      <c r="J4" s="52"/>
      <c r="K4" s="52"/>
      <c r="L4" s="52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</row>
    <row r="5" ht="14.25" customHeight="1">
      <c r="A5" s="49"/>
      <c r="B5" s="49"/>
      <c r="C5" s="51"/>
      <c r="D5" s="51"/>
      <c r="E5" s="51"/>
      <c r="F5" s="51"/>
      <c r="G5" s="51"/>
      <c r="H5" s="52"/>
      <c r="I5" s="52"/>
      <c r="J5" s="52"/>
      <c r="K5" s="52"/>
      <c r="L5" s="52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</row>
    <row r="6" ht="2.25" customHeight="1">
      <c r="A6" s="49"/>
      <c r="B6" s="49"/>
      <c r="C6" s="51"/>
      <c r="D6" s="51"/>
      <c r="E6" s="51"/>
      <c r="F6" s="51"/>
      <c r="G6" s="51"/>
      <c r="H6" s="52"/>
      <c r="I6" s="52"/>
      <c r="J6" s="52"/>
      <c r="K6" s="52"/>
      <c r="L6" s="52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</row>
    <row r="7" ht="45.0" customHeight="1">
      <c r="A7" s="63" t="s">
        <v>61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ht="44.25" customHeight="1">
      <c r="A8" s="64" t="s">
        <v>3</v>
      </c>
      <c r="B8" s="66" t="s">
        <v>64</v>
      </c>
      <c r="C8" s="66" t="s">
        <v>48</v>
      </c>
      <c r="D8" s="68" t="s">
        <v>50</v>
      </c>
      <c r="E8" s="68" t="s">
        <v>52</v>
      </c>
      <c r="F8" s="68" t="s">
        <v>53</v>
      </c>
      <c r="G8" s="68" t="s">
        <v>32</v>
      </c>
      <c r="H8" s="72" t="s">
        <v>70</v>
      </c>
      <c r="I8" s="72" t="s">
        <v>71</v>
      </c>
      <c r="J8" s="72" t="s">
        <v>72</v>
      </c>
      <c r="K8" s="76" t="s">
        <v>74</v>
      </c>
      <c r="L8" s="72" t="s">
        <v>59</v>
      </c>
      <c r="M8" s="77" t="s">
        <v>76</v>
      </c>
      <c r="N8" s="51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</row>
    <row r="9" ht="26.25" customHeight="1">
      <c r="A9" s="79">
        <f t="shared" ref="A9:A10" si="1">+ROW()-8</f>
        <v>1</v>
      </c>
      <c r="B9" s="80" t="s">
        <v>81</v>
      </c>
      <c r="C9" s="81" t="s">
        <v>82</v>
      </c>
      <c r="D9" s="81">
        <v>210.0</v>
      </c>
      <c r="E9" s="81">
        <v>71.0</v>
      </c>
      <c r="F9" s="81">
        <v>800.0</v>
      </c>
      <c r="G9" s="81" t="s">
        <v>85</v>
      </c>
      <c r="H9" s="84">
        <v>988.0</v>
      </c>
      <c r="I9" s="84">
        <f>+SUMIF('NHẬP LIỆU'!$E:$E,'THÀNH PHẨM'!$B9,'NHẬP LIỆU'!$K:$K)</f>
        <v>25004</v>
      </c>
      <c r="J9" s="84">
        <f>+SUMIF('NHẬP LIỆU'!$E:$E,'THÀNH PHẨM'!$B9,'NHẬP LIỆU'!$L:$L)</f>
        <v>25992</v>
      </c>
      <c r="K9" s="88">
        <f>+'THÀNH PHẨM'!$H9+'THÀNH PHẨM'!$I9-'THÀNH PHẨM'!$J9</f>
        <v>0</v>
      </c>
      <c r="L9" s="89"/>
      <c r="M9" s="90"/>
      <c r="N9" s="51"/>
      <c r="O9" s="52">
        <f>+('THÀNH PHẨM'!$D9*'THÀNH PHẨM'!$E9*'THÀNH PHẨM'!$F9/1000000)*'THÀNH PHẨM'!$K9</f>
        <v>0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</row>
    <row r="10" ht="26.25" customHeight="1">
      <c r="A10" s="79">
        <f t="shared" si="1"/>
        <v>2</v>
      </c>
      <c r="B10" s="80" t="s">
        <v>89</v>
      </c>
      <c r="C10" s="81" t="s">
        <v>90</v>
      </c>
      <c r="D10" s="81">
        <v>210.0</v>
      </c>
      <c r="E10" s="81">
        <v>83.0</v>
      </c>
      <c r="F10" s="81">
        <v>800.0</v>
      </c>
      <c r="G10" s="81" t="s">
        <v>85</v>
      </c>
      <c r="H10" s="84">
        <v>30.0</v>
      </c>
      <c r="I10" s="84">
        <f>+SUMIF('NHẬP LIỆU'!$E:$E,'THÀNH PHẨM'!$B10,'NHẬP LIỆU'!$K:$K)</f>
        <v>632</v>
      </c>
      <c r="J10" s="84">
        <f>+SUMIF('NHẬP LIỆU'!$E:$E,'THÀNH PHẨM'!$B10,'NHẬP LIỆU'!$L:$L)</f>
        <v>661</v>
      </c>
      <c r="K10" s="88">
        <f>+'THÀNH PHẨM'!$H10+'THÀNH PHẨM'!$I10-'THÀNH PHẨM'!$J10</f>
        <v>1</v>
      </c>
      <c r="L10" s="89">
        <v>1.0</v>
      </c>
      <c r="M10" s="90"/>
      <c r="N10" s="51"/>
      <c r="O10" s="52">
        <f>+('THÀNH PHẨM'!$D10*'THÀNH PHẨM'!$E10*'THÀNH PHẨM'!$F10/1000000)*'THÀNH PHẨM'!$K10</f>
        <v>13.944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</row>
    <row r="11" ht="26.25" customHeight="1">
      <c r="A11" s="79">
        <v>3.0</v>
      </c>
      <c r="B11" s="80" t="s">
        <v>93</v>
      </c>
      <c r="C11" s="81" t="s">
        <v>94</v>
      </c>
      <c r="D11" s="81">
        <v>210.0</v>
      </c>
      <c r="E11" s="81">
        <v>88.0</v>
      </c>
      <c r="F11" s="81">
        <v>800.0</v>
      </c>
      <c r="G11" s="81" t="s">
        <v>85</v>
      </c>
      <c r="H11" s="84">
        <v>0.0</v>
      </c>
      <c r="I11" s="84">
        <f>+SUMIF('NHẬP LIỆU'!$E:$E,'THÀNH PHẨM'!$B11,'NHẬP LIỆU'!$K:$K)</f>
        <v>260</v>
      </c>
      <c r="J11" s="84">
        <f>+SUMIF('NHẬP LIỆU'!$E:$E,'THÀNH PHẨM'!$B11,'NHẬP LIỆU'!$L:$L)</f>
        <v>260</v>
      </c>
      <c r="K11" s="88">
        <f>+'THÀNH PHẨM'!$H11+'THÀNH PHẨM'!$I11-'THÀNH PHẨM'!$J11</f>
        <v>0</v>
      </c>
      <c r="L11" s="89"/>
      <c r="M11" s="90"/>
      <c r="N11" s="51"/>
      <c r="O11" s="52">
        <f>+('THÀNH PHẨM'!$D11*'THÀNH PHẨM'!$E11*'THÀNH PHẨM'!$F11/1000000)*'THÀNH PHẨM'!$K11</f>
        <v>0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</row>
    <row r="12" ht="26.25" customHeight="1">
      <c r="A12" s="79">
        <f t="shared" ref="A12:A19" si="2">+ROW()-8</f>
        <v>4</v>
      </c>
      <c r="B12" s="80" t="s">
        <v>98</v>
      </c>
      <c r="C12" s="81" t="s">
        <v>99</v>
      </c>
      <c r="D12" s="81">
        <v>210.0</v>
      </c>
      <c r="E12" s="81">
        <v>91.0</v>
      </c>
      <c r="F12" s="81">
        <v>800.0</v>
      </c>
      <c r="G12" s="81" t="s">
        <v>85</v>
      </c>
      <c r="H12" s="84">
        <v>0.0</v>
      </c>
      <c r="I12" s="84">
        <f>+SUMIF('NHẬP LIỆU'!$E:$E,'THÀNH PHẨM'!$B12,'NHẬP LIỆU'!$K:$K)</f>
        <v>80</v>
      </c>
      <c r="J12" s="84">
        <f>+SUMIF('NHẬP LIỆU'!$E:$E,'THÀNH PHẨM'!$B12,'NHẬP LIỆU'!$L:$L)</f>
        <v>80</v>
      </c>
      <c r="K12" s="88">
        <f>+'THÀNH PHẨM'!$H12+'THÀNH PHẨM'!$I12-'THÀNH PHẨM'!$J12</f>
        <v>0</v>
      </c>
      <c r="L12" s="89"/>
      <c r="M12" s="90"/>
      <c r="N12" s="51"/>
      <c r="O12" s="52">
        <f>+('THÀNH PHẨM'!$D12*'THÀNH PHẨM'!$E12*'THÀNH PHẨM'!$F12/1000000)*'THÀNH PHẨM'!$K12</f>
        <v>0</v>
      </c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</row>
    <row r="13" ht="26.25" customHeight="1">
      <c r="A13" s="79">
        <f t="shared" si="2"/>
        <v>5</v>
      </c>
      <c r="B13" s="80" t="s">
        <v>101</v>
      </c>
      <c r="C13" s="81" t="s">
        <v>102</v>
      </c>
      <c r="D13" s="92">
        <v>210.0</v>
      </c>
      <c r="E13" s="92">
        <v>96.5</v>
      </c>
      <c r="F13" s="81">
        <v>800.0</v>
      </c>
      <c r="G13" s="81" t="s">
        <v>85</v>
      </c>
      <c r="H13" s="84">
        <v>0.0</v>
      </c>
      <c r="I13" s="84">
        <f>+SUMIF('NHẬP LIỆU'!$E:$E,'THÀNH PHẨM'!$B13,'NHẬP LIỆU'!$K:$K)</f>
        <v>22</v>
      </c>
      <c r="J13" s="84">
        <f>+SUMIF('NHẬP LIỆU'!$E:$E,'THÀNH PHẨM'!$B13,'NHẬP LIỆU'!$L:$L)</f>
        <v>22</v>
      </c>
      <c r="K13" s="88">
        <f>+'THÀNH PHẨM'!$H13+'THÀNH PHẨM'!$I13-'THÀNH PHẨM'!$J13</f>
        <v>0</v>
      </c>
      <c r="L13" s="89"/>
      <c r="M13" s="90"/>
      <c r="N13" s="51"/>
      <c r="O13" s="52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</row>
    <row r="14" ht="26.25" customHeight="1">
      <c r="A14" s="79">
        <f t="shared" si="2"/>
        <v>6</v>
      </c>
      <c r="B14" s="80" t="s">
        <v>104</v>
      </c>
      <c r="C14" s="81" t="s">
        <v>105</v>
      </c>
      <c r="D14" s="92">
        <v>210.0</v>
      </c>
      <c r="E14" s="92">
        <v>95.0</v>
      </c>
      <c r="F14" s="81">
        <v>800.0</v>
      </c>
      <c r="G14" s="81" t="s">
        <v>85</v>
      </c>
      <c r="H14" s="84">
        <v>426.0</v>
      </c>
      <c r="I14" s="84">
        <f>+SUMIF('NHẬP LIỆU'!$E:$E,'THÀNH PHẨM'!$B14,'NHẬP LIỆU'!$K:$K)</f>
        <v>9592</v>
      </c>
      <c r="J14" s="84">
        <f>+SUMIF('NHẬP LIỆU'!$E:$E,'THÀNH PHẨM'!$B14,'NHẬP LIỆU'!$L:$L)</f>
        <v>8945</v>
      </c>
      <c r="K14" s="88">
        <f>+'THÀNH PHẨM'!$H14+'THÀNH PHẨM'!$I14-'THÀNH PHẨM'!$J14</f>
        <v>1073</v>
      </c>
      <c r="L14" s="89" t="s">
        <v>106</v>
      </c>
      <c r="M14" s="90"/>
      <c r="N14" s="96"/>
      <c r="O14" s="52">
        <f>+('THÀNH PHẨM'!$D14*'THÀNH PHẨM'!$E14*'THÀNH PHẨM'!$F14/1000000)*'THÀNH PHẨM'!$K14</f>
        <v>17125.08</v>
      </c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</row>
    <row r="15" ht="26.25" customHeight="1">
      <c r="A15" s="79">
        <f t="shared" si="2"/>
        <v>7</v>
      </c>
      <c r="B15" s="80" t="s">
        <v>108</v>
      </c>
      <c r="C15" s="81" t="s">
        <v>109</v>
      </c>
      <c r="D15" s="92">
        <v>230.0</v>
      </c>
      <c r="E15" s="92">
        <v>75.0</v>
      </c>
      <c r="F15" s="81">
        <v>800.0</v>
      </c>
      <c r="G15" s="81" t="s">
        <v>85</v>
      </c>
      <c r="H15" s="84">
        <v>0.0</v>
      </c>
      <c r="I15" s="84">
        <f>+SUMIF('NHẬP LIỆU'!$E:$E,'THÀNH PHẨM'!$B15,'NHẬP LIỆU'!$K:$K)</f>
        <v>186</v>
      </c>
      <c r="J15" s="84">
        <f>+SUMIF('NHẬP LIỆU'!$E:$E,'THÀNH PHẨM'!$B15,'NHẬP LIỆU'!$L:$L)</f>
        <v>1</v>
      </c>
      <c r="K15" s="88">
        <f>+'THÀNH PHẨM'!$H15+'THÀNH PHẨM'!$I15-'THÀNH PHẨM'!$J15</f>
        <v>185</v>
      </c>
      <c r="L15" s="89" t="s">
        <v>111</v>
      </c>
      <c r="M15" s="90"/>
      <c r="N15" s="96"/>
      <c r="O15" s="52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</row>
    <row r="16" ht="26.25" customHeight="1">
      <c r="A16" s="79">
        <f t="shared" si="2"/>
        <v>8</v>
      </c>
      <c r="B16" s="80" t="s">
        <v>113</v>
      </c>
      <c r="C16" s="81" t="s">
        <v>114</v>
      </c>
      <c r="D16" s="92">
        <v>230.0</v>
      </c>
      <c r="E16" s="92">
        <v>95.0</v>
      </c>
      <c r="F16" s="81">
        <v>800.0</v>
      </c>
      <c r="G16" s="81" t="s">
        <v>85</v>
      </c>
      <c r="H16" s="84">
        <v>5.0</v>
      </c>
      <c r="I16" s="84">
        <f>+SUMIF('NHẬP LIỆU'!$E:$E,'THÀNH PHẨM'!$B16,'NHẬP LIỆU'!$K:$K)</f>
        <v>5654</v>
      </c>
      <c r="J16" s="84">
        <f>+SUMIF('NHẬP LIỆU'!$E:$E,'THÀNH PHẨM'!$B16,'NHẬP LIỆU'!$L:$L)</f>
        <v>5346</v>
      </c>
      <c r="K16" s="88">
        <f>+'THÀNH PHẨM'!$H16+'THÀNH PHẨM'!$I16-'THÀNH PHẨM'!$J16</f>
        <v>313</v>
      </c>
      <c r="L16" s="89" t="s">
        <v>116</v>
      </c>
      <c r="M16" s="90"/>
      <c r="N16" s="96"/>
      <c r="O16" s="52">
        <f>+('THÀNH PHẨM'!$D16*'THÀNH PHẨM'!$E16*'THÀNH PHẨM'!$F16/1000000)*'THÀNH PHẨM'!$K16</f>
        <v>5471.24</v>
      </c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</row>
    <row r="17" ht="26.25" customHeight="1">
      <c r="A17" s="79">
        <f t="shared" si="2"/>
        <v>9</v>
      </c>
      <c r="B17" s="80" t="s">
        <v>117</v>
      </c>
      <c r="C17" s="81" t="s">
        <v>118</v>
      </c>
      <c r="D17" s="92">
        <v>230.0</v>
      </c>
      <c r="E17" s="92">
        <v>97.0</v>
      </c>
      <c r="F17" s="81">
        <v>800.0</v>
      </c>
      <c r="G17" s="81" t="s">
        <v>85</v>
      </c>
      <c r="H17" s="84">
        <v>0.0</v>
      </c>
      <c r="I17" s="84">
        <f>+SUMIF('NHẬP LIỆU'!$E:$E,'THÀNH PHẨM'!$B17,'NHẬP LIỆU'!$K:$K)</f>
        <v>1</v>
      </c>
      <c r="J17" s="84">
        <f>+SUMIF('NHẬP LIỆU'!$E:$E,'THÀNH PHẨM'!$B17,'NHẬP LIỆU'!$L:$L)</f>
        <v>1</v>
      </c>
      <c r="K17" s="88">
        <f>+'THÀNH PHẨM'!$H17+'THÀNH PHẨM'!$I17-'THÀNH PHẨM'!$J17</f>
        <v>0</v>
      </c>
      <c r="L17" s="100"/>
      <c r="M17" s="90"/>
      <c r="N17" s="96"/>
      <c r="O17" s="52">
        <f>+('THÀNH PHẨM'!$D17*'THÀNH PHẨM'!$E17*'THÀNH PHẨM'!$F17/1000000)*'THÀNH PHẨM'!$K17</f>
        <v>0</v>
      </c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</row>
    <row r="18" ht="26.25" customHeight="1">
      <c r="A18" s="79">
        <f t="shared" si="2"/>
        <v>10</v>
      </c>
      <c r="B18" s="80" t="s">
        <v>120</v>
      </c>
      <c r="C18" s="81" t="s">
        <v>122</v>
      </c>
      <c r="D18" s="81">
        <v>230.0</v>
      </c>
      <c r="E18" s="81">
        <v>98.0</v>
      </c>
      <c r="F18" s="81">
        <v>800.0</v>
      </c>
      <c r="G18" s="81" t="s">
        <v>85</v>
      </c>
      <c r="H18" s="84">
        <v>145.0</v>
      </c>
      <c r="I18" s="84">
        <f>+SUMIF('NHẬP LIỆU'!$E:$E,'THÀNH PHẨM'!$B18,'NHẬP LIỆU'!$K:$K)</f>
        <v>3849</v>
      </c>
      <c r="J18" s="84">
        <f>+SUMIF('NHẬP LIỆU'!$E:$E,'THÀNH PHẨM'!$B18,'NHẬP LIỆU'!$L:$L)</f>
        <v>3994</v>
      </c>
      <c r="K18" s="88">
        <f>+'THÀNH PHẨM'!$H18+'THÀNH PHẨM'!$I18-'THÀNH PHẨM'!$J18</f>
        <v>0</v>
      </c>
      <c r="L18" s="100"/>
      <c r="M18" s="102"/>
      <c r="N18" s="51"/>
      <c r="O18" s="52">
        <f>+('THÀNH PHẨM'!$D18*'THÀNH PHẨM'!$E18*'THÀNH PHẨM'!$F18/1000000)*'THÀNH PHẨM'!$K18</f>
        <v>0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26.25" customHeight="1">
      <c r="A19" s="79">
        <f t="shared" si="2"/>
        <v>11</v>
      </c>
      <c r="B19" s="80" t="s">
        <v>123</v>
      </c>
      <c r="C19" s="81" t="s">
        <v>124</v>
      </c>
      <c r="D19" s="81">
        <v>250.0</v>
      </c>
      <c r="E19" s="103">
        <v>90.0</v>
      </c>
      <c r="F19" s="81">
        <v>800.0</v>
      </c>
      <c r="G19" s="81" t="s">
        <v>85</v>
      </c>
      <c r="H19" s="84">
        <v>0.0</v>
      </c>
      <c r="I19" s="84">
        <f>+SUMIF('NHẬP LIỆU'!$E:$E,'THÀNH PHẨM'!$B19,'NHẬP LIỆU'!$K:$K)</f>
        <v>15143</v>
      </c>
      <c r="J19" s="84">
        <f>+SUMIF('NHẬP LIỆU'!$E:$E,'THÀNH PHẨM'!$B19,'NHẬP LIỆU'!$L:$L)</f>
        <v>13739</v>
      </c>
      <c r="K19" s="88">
        <f>+'THÀNH PHẨM'!$H19+'THÀNH PHẨM'!$I19-'THÀNH PHẨM'!$J19</f>
        <v>1404</v>
      </c>
      <c r="L19" s="89" t="s">
        <v>126</v>
      </c>
      <c r="M19" s="90"/>
      <c r="N19" s="51"/>
      <c r="O19" s="52">
        <f>+('THÀNH PHẨM'!$D19*'THÀNH PHẨM'!$E19*'THÀNH PHẨM'!$F19/1000000)*'THÀNH PHẨM'!$K19</f>
        <v>25272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</row>
    <row r="20" ht="35.25" customHeight="1">
      <c r="A20" s="104"/>
      <c r="B20" s="105"/>
      <c r="C20" s="106" t="s">
        <v>84</v>
      </c>
      <c r="D20" s="106"/>
      <c r="E20" s="106"/>
      <c r="F20" s="106"/>
      <c r="G20" s="106"/>
      <c r="H20" s="107">
        <f t="shared" ref="H20:K20" si="3">SUM(H9:H19)</f>
        <v>1594</v>
      </c>
      <c r="I20" s="107">
        <f t="shared" si="3"/>
        <v>60423</v>
      </c>
      <c r="J20" s="107">
        <f t="shared" si="3"/>
        <v>59041</v>
      </c>
      <c r="K20" s="108">
        <f t="shared" si="3"/>
        <v>2976</v>
      </c>
      <c r="L20" s="109"/>
      <c r="M20" s="110"/>
      <c r="N20" s="51"/>
      <c r="O20" s="52">
        <f>SUM(O9:O19)</f>
        <v>47882.264</v>
      </c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</row>
    <row r="21" ht="26.25" customHeight="1">
      <c r="A21" s="104"/>
      <c r="B21" s="105"/>
      <c r="C21" s="111"/>
      <c r="D21" s="112"/>
      <c r="E21" s="112"/>
      <c r="F21" s="112"/>
      <c r="G21" s="112"/>
      <c r="H21" s="113"/>
      <c r="I21" s="109"/>
      <c r="J21" s="109"/>
      <c r="K21" s="114"/>
      <c r="L21" s="115"/>
      <c r="M21" s="116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</row>
    <row r="22" ht="26.25" customHeight="1">
      <c r="A22" s="49"/>
      <c r="B22" s="49"/>
      <c r="C22" s="51"/>
      <c r="D22" s="51"/>
      <c r="E22" s="51"/>
      <c r="F22" s="51"/>
      <c r="G22" s="51"/>
      <c r="H22" s="52"/>
      <c r="I22" s="52"/>
      <c r="J22" s="52"/>
      <c r="K22" s="52"/>
      <c r="L22" s="52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</row>
    <row r="23" ht="26.25" customHeight="1">
      <c r="A23" s="49"/>
      <c r="B23" s="49"/>
      <c r="C23" s="51"/>
      <c r="D23" s="51"/>
      <c r="E23" s="51"/>
      <c r="F23" s="51"/>
      <c r="G23" s="51"/>
      <c r="H23" s="52"/>
      <c r="I23" s="52"/>
      <c r="J23" s="52"/>
      <c r="K23" s="52"/>
      <c r="L23" s="52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</row>
    <row r="24" ht="26.25" customHeight="1">
      <c r="A24" s="49"/>
      <c r="B24" s="49"/>
      <c r="C24" s="51"/>
      <c r="D24" s="51"/>
      <c r="E24" s="51"/>
      <c r="F24" s="51"/>
      <c r="G24" s="51"/>
      <c r="H24" s="52"/>
      <c r="I24" s="52"/>
      <c r="J24" s="52"/>
      <c r="K24" s="52"/>
      <c r="L24" s="52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</row>
    <row r="25" ht="26.25" customHeight="1">
      <c r="A25" s="49"/>
      <c r="B25" s="49"/>
      <c r="C25" s="51"/>
      <c r="D25" s="51"/>
      <c r="E25" s="51"/>
      <c r="F25" s="51"/>
      <c r="G25" s="51"/>
      <c r="H25" s="52"/>
      <c r="I25" s="52"/>
      <c r="J25" s="52"/>
      <c r="K25" s="52"/>
      <c r="L25" s="52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</row>
    <row r="26" ht="26.25" customHeight="1">
      <c r="A26" s="49"/>
      <c r="B26" s="49"/>
      <c r="C26" s="51"/>
      <c r="D26" s="51"/>
      <c r="E26" s="51"/>
      <c r="F26" s="51"/>
      <c r="G26" s="51"/>
      <c r="H26" s="52"/>
      <c r="I26" s="52"/>
      <c r="J26" s="52"/>
      <c r="K26" s="52"/>
      <c r="L26" s="52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</row>
    <row r="27" ht="26.25" customHeight="1">
      <c r="A27" s="49"/>
      <c r="B27" s="49"/>
      <c r="C27" s="51"/>
      <c r="D27" s="51"/>
      <c r="E27" s="51"/>
      <c r="F27" s="51"/>
      <c r="G27" s="51"/>
      <c r="H27" s="52"/>
      <c r="I27" s="52"/>
      <c r="J27" s="52"/>
      <c r="K27" s="52"/>
      <c r="L27" s="52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</row>
    <row r="28" ht="26.25" customHeight="1">
      <c r="A28" s="49"/>
      <c r="B28" s="49"/>
      <c r="C28" s="51"/>
      <c r="D28" s="51"/>
      <c r="E28" s="51"/>
      <c r="F28" s="51"/>
      <c r="G28" s="51"/>
      <c r="H28" s="52"/>
      <c r="I28" s="52"/>
      <c r="J28" s="52"/>
      <c r="K28" s="52"/>
      <c r="L28" s="52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</row>
    <row r="29" ht="26.25" customHeight="1">
      <c r="A29" s="49"/>
      <c r="B29" s="49"/>
      <c r="C29" s="51"/>
      <c r="D29" s="51"/>
      <c r="E29" s="51"/>
      <c r="F29" s="51"/>
      <c r="G29" s="51"/>
      <c r="H29" s="52"/>
      <c r="I29" s="52"/>
      <c r="J29" s="52"/>
      <c r="K29" s="52"/>
      <c r="L29" s="52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</row>
    <row r="30" ht="26.25" customHeight="1">
      <c r="A30" s="49"/>
      <c r="B30" s="49"/>
      <c r="C30" s="51"/>
      <c r="D30" s="51"/>
      <c r="E30" s="51"/>
      <c r="F30" s="51"/>
      <c r="G30" s="51"/>
      <c r="H30" s="52"/>
      <c r="I30" s="52"/>
      <c r="J30" s="52"/>
      <c r="K30" s="52"/>
      <c r="L30" s="52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</row>
    <row r="31" ht="26.25" customHeight="1">
      <c r="A31" s="49"/>
      <c r="B31" s="49"/>
      <c r="C31" s="51"/>
      <c r="D31" s="51"/>
      <c r="E31" s="51"/>
      <c r="F31" s="51"/>
      <c r="G31" s="51"/>
      <c r="H31" s="52"/>
      <c r="I31" s="52"/>
      <c r="J31" s="52"/>
      <c r="K31" s="52"/>
      <c r="L31" s="52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</row>
    <row r="32" ht="26.25" customHeight="1">
      <c r="A32" s="49"/>
      <c r="B32" s="49"/>
      <c r="C32" s="51"/>
      <c r="D32" s="51"/>
      <c r="E32" s="51"/>
      <c r="F32" s="51"/>
      <c r="G32" s="51"/>
      <c r="H32" s="52"/>
      <c r="I32" s="52"/>
      <c r="J32" s="52"/>
      <c r="K32" s="52"/>
      <c r="L32" s="52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</row>
    <row r="33" ht="26.25" customHeight="1">
      <c r="A33" s="49"/>
      <c r="B33" s="49"/>
      <c r="C33" s="51"/>
      <c r="D33" s="51"/>
      <c r="E33" s="51"/>
      <c r="F33" s="51"/>
      <c r="G33" s="51"/>
      <c r="H33" s="52"/>
      <c r="I33" s="52"/>
      <c r="J33" s="52"/>
      <c r="K33" s="52"/>
      <c r="L33" s="52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</row>
    <row r="34" ht="26.25" customHeight="1">
      <c r="A34" s="49"/>
      <c r="B34" s="49"/>
      <c r="C34" s="51"/>
      <c r="D34" s="51"/>
      <c r="E34" s="51"/>
      <c r="F34" s="51"/>
      <c r="G34" s="51"/>
      <c r="H34" s="52"/>
      <c r="I34" s="52"/>
      <c r="J34" s="52"/>
      <c r="K34" s="52"/>
      <c r="L34" s="52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</row>
    <row r="35" ht="26.25" customHeight="1">
      <c r="A35" s="49"/>
      <c r="B35" s="49"/>
      <c r="C35" s="51"/>
      <c r="D35" s="51"/>
      <c r="E35" s="51"/>
      <c r="F35" s="51"/>
      <c r="G35" s="51"/>
      <c r="H35" s="52"/>
      <c r="I35" s="52"/>
      <c r="J35" s="52"/>
      <c r="K35" s="52"/>
      <c r="L35" s="52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</row>
    <row r="36" ht="26.25" customHeight="1">
      <c r="A36" s="49"/>
      <c r="B36" s="49"/>
      <c r="C36" s="51"/>
      <c r="D36" s="51"/>
      <c r="E36" s="51"/>
      <c r="F36" s="51"/>
      <c r="G36" s="51"/>
      <c r="H36" s="52"/>
      <c r="I36" s="52"/>
      <c r="J36" s="52"/>
      <c r="K36" s="52"/>
      <c r="L36" s="52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</row>
    <row r="37" ht="26.25" customHeight="1">
      <c r="A37" s="49"/>
      <c r="B37" s="49"/>
      <c r="C37" s="51"/>
      <c r="D37" s="51"/>
      <c r="E37" s="51"/>
      <c r="F37" s="51"/>
      <c r="G37" s="51"/>
      <c r="H37" s="52"/>
      <c r="I37" s="52"/>
      <c r="J37" s="52"/>
      <c r="K37" s="52"/>
      <c r="L37" s="52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</row>
    <row r="38" ht="26.25" customHeight="1">
      <c r="A38" s="49"/>
      <c r="B38" s="49"/>
      <c r="C38" s="51"/>
      <c r="D38" s="51"/>
      <c r="E38" s="51"/>
      <c r="F38" s="51"/>
      <c r="G38" s="51"/>
      <c r="H38" s="52"/>
      <c r="I38" s="52"/>
      <c r="J38" s="52"/>
      <c r="K38" s="52"/>
      <c r="L38" s="52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</row>
    <row r="39" ht="26.25" customHeight="1">
      <c r="A39" s="49"/>
      <c r="B39" s="49"/>
      <c r="C39" s="51"/>
      <c r="D39" s="51"/>
      <c r="E39" s="51"/>
      <c r="F39" s="51"/>
      <c r="G39" s="51"/>
      <c r="H39" s="52"/>
      <c r="I39" s="52"/>
      <c r="J39" s="52"/>
      <c r="K39" s="52"/>
      <c r="L39" s="52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</row>
    <row r="40" ht="26.25" customHeight="1">
      <c r="A40" s="49"/>
      <c r="B40" s="49"/>
      <c r="C40" s="51"/>
      <c r="D40" s="51"/>
      <c r="E40" s="51"/>
      <c r="F40" s="51"/>
      <c r="G40" s="51"/>
      <c r="H40" s="52"/>
      <c r="I40" s="52"/>
      <c r="J40" s="52"/>
      <c r="K40" s="52"/>
      <c r="L40" s="52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</row>
    <row r="41" ht="26.25" customHeight="1">
      <c r="A41" s="49"/>
      <c r="B41" s="49"/>
      <c r="C41" s="51"/>
      <c r="D41" s="51"/>
      <c r="E41" s="51"/>
      <c r="F41" s="51"/>
      <c r="G41" s="51"/>
      <c r="H41" s="52"/>
      <c r="I41" s="52"/>
      <c r="J41" s="52"/>
      <c r="K41" s="52"/>
      <c r="L41" s="52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</row>
    <row r="42" ht="26.25" customHeight="1">
      <c r="A42" s="49"/>
      <c r="B42" s="49"/>
      <c r="C42" s="51"/>
      <c r="D42" s="51"/>
      <c r="E42" s="51"/>
      <c r="F42" s="51"/>
      <c r="G42" s="51"/>
      <c r="H42" s="52"/>
      <c r="I42" s="52"/>
      <c r="J42" s="52"/>
      <c r="K42" s="52"/>
      <c r="L42" s="52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</row>
    <row r="43" ht="26.25" customHeight="1">
      <c r="A43" s="49"/>
      <c r="B43" s="49"/>
      <c r="C43" s="51"/>
      <c r="D43" s="51"/>
      <c r="E43" s="51"/>
      <c r="F43" s="51"/>
      <c r="G43" s="51"/>
      <c r="H43" s="52"/>
      <c r="I43" s="52"/>
      <c r="J43" s="52"/>
      <c r="K43" s="52"/>
      <c r="L43" s="52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</row>
    <row r="44" ht="26.25" customHeight="1">
      <c r="A44" s="49"/>
      <c r="B44" s="49"/>
      <c r="C44" s="51"/>
      <c r="D44" s="51"/>
      <c r="E44" s="51"/>
      <c r="F44" s="51"/>
      <c r="G44" s="51"/>
      <c r="H44" s="52"/>
      <c r="I44" s="52"/>
      <c r="J44" s="52"/>
      <c r="K44" s="52"/>
      <c r="L44" s="52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</row>
    <row r="45" ht="26.25" customHeight="1">
      <c r="A45" s="49"/>
      <c r="B45" s="49"/>
      <c r="C45" s="51"/>
      <c r="D45" s="51"/>
      <c r="E45" s="51"/>
      <c r="F45" s="51"/>
      <c r="G45" s="51"/>
      <c r="H45" s="52"/>
      <c r="I45" s="52"/>
      <c r="J45" s="52"/>
      <c r="K45" s="52"/>
      <c r="L45" s="52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</row>
    <row r="46" ht="26.25" customHeight="1">
      <c r="A46" s="49"/>
      <c r="B46" s="49"/>
      <c r="C46" s="51"/>
      <c r="D46" s="51"/>
      <c r="E46" s="51"/>
      <c r="F46" s="51"/>
      <c r="G46" s="51"/>
      <c r="H46" s="52"/>
      <c r="I46" s="52"/>
      <c r="J46" s="52"/>
      <c r="K46" s="52"/>
      <c r="L46" s="52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</row>
    <row r="47" ht="26.25" customHeight="1">
      <c r="A47" s="49"/>
      <c r="B47" s="49"/>
      <c r="C47" s="51"/>
      <c r="D47" s="51"/>
      <c r="E47" s="51"/>
      <c r="F47" s="51"/>
      <c r="G47" s="51"/>
      <c r="H47" s="52"/>
      <c r="I47" s="52"/>
      <c r="J47" s="52"/>
      <c r="K47" s="52"/>
      <c r="L47" s="52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</row>
    <row r="48" ht="26.25" customHeight="1">
      <c r="A48" s="49"/>
      <c r="B48" s="49"/>
      <c r="C48" s="51"/>
      <c r="D48" s="51"/>
      <c r="E48" s="51"/>
      <c r="F48" s="51"/>
      <c r="G48" s="51"/>
      <c r="H48" s="52"/>
      <c r="I48" s="52"/>
      <c r="J48" s="52"/>
      <c r="K48" s="52"/>
      <c r="L48" s="52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</row>
    <row r="49" ht="26.25" customHeight="1">
      <c r="A49" s="49"/>
      <c r="B49" s="49"/>
      <c r="C49" s="51"/>
      <c r="D49" s="51"/>
      <c r="E49" s="51"/>
      <c r="F49" s="51"/>
      <c r="G49" s="51"/>
      <c r="H49" s="52"/>
      <c r="I49" s="52"/>
      <c r="J49" s="52"/>
      <c r="K49" s="52"/>
      <c r="L49" s="52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</row>
    <row r="50" ht="26.25" customHeight="1">
      <c r="A50" s="49"/>
      <c r="B50" s="49"/>
      <c r="C50" s="51"/>
      <c r="D50" s="51"/>
      <c r="E50" s="51"/>
      <c r="F50" s="51"/>
      <c r="G50" s="51"/>
      <c r="H50" s="52"/>
      <c r="I50" s="52"/>
      <c r="J50" s="52"/>
      <c r="K50" s="52"/>
      <c r="L50" s="52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</row>
    <row r="51" ht="26.25" customHeight="1">
      <c r="A51" s="49"/>
      <c r="B51" s="49"/>
      <c r="C51" s="51"/>
      <c r="D51" s="51"/>
      <c r="E51" s="51"/>
      <c r="F51" s="51"/>
      <c r="G51" s="51"/>
      <c r="H51" s="52"/>
      <c r="I51" s="52"/>
      <c r="J51" s="52"/>
      <c r="K51" s="52"/>
      <c r="L51" s="52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</row>
    <row r="52" ht="26.25" customHeight="1">
      <c r="A52" s="49"/>
      <c r="B52" s="49"/>
      <c r="C52" s="51"/>
      <c r="D52" s="51"/>
      <c r="E52" s="51"/>
      <c r="F52" s="51"/>
      <c r="G52" s="51"/>
      <c r="H52" s="52"/>
      <c r="I52" s="52"/>
      <c r="J52" s="52"/>
      <c r="K52" s="52"/>
      <c r="L52" s="52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</row>
    <row r="53" ht="26.25" customHeight="1">
      <c r="A53" s="49"/>
      <c r="B53" s="49"/>
      <c r="C53" s="51"/>
      <c r="D53" s="51"/>
      <c r="E53" s="51"/>
      <c r="F53" s="51"/>
      <c r="G53" s="51"/>
      <c r="H53" s="52"/>
      <c r="I53" s="52"/>
      <c r="J53" s="52"/>
      <c r="K53" s="52"/>
      <c r="L53" s="52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</row>
    <row r="54" ht="26.25" customHeight="1">
      <c r="A54" s="49"/>
      <c r="B54" s="49"/>
      <c r="C54" s="51"/>
      <c r="D54" s="51"/>
      <c r="E54" s="51"/>
      <c r="F54" s="51"/>
      <c r="G54" s="51"/>
      <c r="H54" s="52"/>
      <c r="I54" s="52"/>
      <c r="J54" s="52"/>
      <c r="K54" s="52"/>
      <c r="L54" s="52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</row>
    <row r="55" ht="26.25" customHeight="1">
      <c r="A55" s="49"/>
      <c r="B55" s="49"/>
      <c r="C55" s="51"/>
      <c r="D55" s="51"/>
      <c r="E55" s="51"/>
      <c r="F55" s="51"/>
      <c r="G55" s="51"/>
      <c r="H55" s="52"/>
      <c r="I55" s="52"/>
      <c r="J55" s="52"/>
      <c r="K55" s="52"/>
      <c r="L55" s="52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</row>
    <row r="56" ht="26.25" customHeight="1">
      <c r="A56" s="49"/>
      <c r="B56" s="49"/>
      <c r="C56" s="51"/>
      <c r="D56" s="51"/>
      <c r="E56" s="51"/>
      <c r="F56" s="51"/>
      <c r="G56" s="51"/>
      <c r="H56" s="52"/>
      <c r="I56" s="52"/>
      <c r="J56" s="52"/>
      <c r="K56" s="52"/>
      <c r="L56" s="52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</row>
    <row r="57" ht="26.25" customHeight="1">
      <c r="A57" s="49"/>
      <c r="B57" s="49"/>
      <c r="C57" s="51"/>
      <c r="D57" s="51"/>
      <c r="E57" s="51"/>
      <c r="F57" s="51"/>
      <c r="G57" s="51"/>
      <c r="H57" s="52"/>
      <c r="I57" s="52"/>
      <c r="J57" s="52"/>
      <c r="K57" s="52"/>
      <c r="L57" s="52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</row>
    <row r="58" ht="26.25" customHeight="1">
      <c r="A58" s="49"/>
      <c r="B58" s="49"/>
      <c r="C58" s="51"/>
      <c r="D58" s="51"/>
      <c r="E58" s="51"/>
      <c r="F58" s="51"/>
      <c r="G58" s="51"/>
      <c r="H58" s="52"/>
      <c r="I58" s="52"/>
      <c r="J58" s="52"/>
      <c r="K58" s="52"/>
      <c r="L58" s="52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</row>
    <row r="59" ht="26.25" customHeight="1">
      <c r="A59" s="49"/>
      <c r="B59" s="49"/>
      <c r="C59" s="51"/>
      <c r="D59" s="51"/>
      <c r="E59" s="51"/>
      <c r="F59" s="51"/>
      <c r="G59" s="51"/>
      <c r="H59" s="52"/>
      <c r="I59" s="52"/>
      <c r="J59" s="52"/>
      <c r="K59" s="52"/>
      <c r="L59" s="52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</row>
    <row r="60" ht="26.25" customHeight="1">
      <c r="A60" s="49"/>
      <c r="B60" s="49"/>
      <c r="C60" s="51"/>
      <c r="D60" s="51"/>
      <c r="E60" s="51"/>
      <c r="F60" s="51"/>
      <c r="G60" s="51"/>
      <c r="H60" s="52"/>
      <c r="I60" s="52"/>
      <c r="J60" s="52"/>
      <c r="K60" s="52"/>
      <c r="L60" s="52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</row>
    <row r="61" ht="26.25" customHeight="1">
      <c r="A61" s="49"/>
      <c r="B61" s="49"/>
      <c r="C61" s="51"/>
      <c r="D61" s="51"/>
      <c r="E61" s="51"/>
      <c r="F61" s="51"/>
      <c r="G61" s="51"/>
      <c r="H61" s="52"/>
      <c r="I61" s="52"/>
      <c r="J61" s="52"/>
      <c r="K61" s="52"/>
      <c r="L61" s="52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</row>
    <row r="62" ht="26.25" customHeight="1">
      <c r="A62" s="49"/>
      <c r="B62" s="49"/>
      <c r="C62" s="51"/>
      <c r="D62" s="51"/>
      <c r="E62" s="51"/>
      <c r="F62" s="51"/>
      <c r="G62" s="51"/>
      <c r="H62" s="52"/>
      <c r="I62" s="52"/>
      <c r="J62" s="52"/>
      <c r="K62" s="52"/>
      <c r="L62" s="52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</row>
    <row r="63" ht="18.75" customHeight="1">
      <c r="A63" s="49"/>
      <c r="B63" s="49"/>
      <c r="C63" s="51"/>
      <c r="D63" s="51"/>
      <c r="E63" s="51"/>
      <c r="F63" s="51"/>
      <c r="G63" s="51"/>
      <c r="H63" s="52"/>
      <c r="I63" s="52"/>
      <c r="J63" s="52"/>
      <c r="K63" s="52"/>
      <c r="L63" s="52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</row>
    <row r="64" ht="18.75" customHeight="1">
      <c r="A64" s="49"/>
      <c r="B64" s="49"/>
      <c r="C64" s="51"/>
      <c r="D64" s="51"/>
      <c r="E64" s="51"/>
      <c r="F64" s="51"/>
      <c r="G64" s="51"/>
      <c r="H64" s="52"/>
      <c r="I64" s="52"/>
      <c r="J64" s="52"/>
      <c r="K64" s="52"/>
      <c r="L64" s="52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</row>
    <row r="65" ht="18.75" customHeight="1">
      <c r="A65" s="49"/>
      <c r="B65" s="49"/>
      <c r="C65" s="51"/>
      <c r="D65" s="51"/>
      <c r="E65" s="51"/>
      <c r="F65" s="51"/>
      <c r="G65" s="51"/>
      <c r="H65" s="52"/>
      <c r="I65" s="52"/>
      <c r="J65" s="52"/>
      <c r="K65" s="52"/>
      <c r="L65" s="52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</row>
    <row r="66" ht="18.75" customHeight="1">
      <c r="A66" s="49"/>
      <c r="B66" s="49"/>
      <c r="C66" s="51"/>
      <c r="D66" s="51"/>
      <c r="E66" s="51"/>
      <c r="F66" s="51"/>
      <c r="G66" s="51"/>
      <c r="H66" s="52"/>
      <c r="I66" s="52"/>
      <c r="J66" s="52"/>
      <c r="K66" s="52"/>
      <c r="L66" s="52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</row>
    <row r="67" ht="18.75" customHeight="1">
      <c r="A67" s="49"/>
      <c r="B67" s="49"/>
      <c r="C67" s="51"/>
      <c r="D67" s="51"/>
      <c r="E67" s="51"/>
      <c r="F67" s="51"/>
      <c r="G67" s="51"/>
      <c r="H67" s="52"/>
      <c r="I67" s="52"/>
      <c r="J67" s="52"/>
      <c r="K67" s="52"/>
      <c r="L67" s="52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</row>
    <row r="68" ht="18.75" customHeight="1">
      <c r="A68" s="49"/>
      <c r="B68" s="49"/>
      <c r="C68" s="51"/>
      <c r="D68" s="51"/>
      <c r="E68" s="51"/>
      <c r="F68" s="51"/>
      <c r="G68" s="51"/>
      <c r="H68" s="52"/>
      <c r="I68" s="52"/>
      <c r="J68" s="52"/>
      <c r="K68" s="52"/>
      <c r="L68" s="52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</row>
    <row r="69" ht="18.75" customHeight="1">
      <c r="A69" s="49"/>
      <c r="B69" s="49"/>
      <c r="C69" s="51"/>
      <c r="D69" s="51"/>
      <c r="E69" s="51"/>
      <c r="F69" s="51"/>
      <c r="G69" s="51"/>
      <c r="H69" s="52"/>
      <c r="I69" s="52"/>
      <c r="J69" s="52"/>
      <c r="K69" s="52"/>
      <c r="L69" s="52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</row>
    <row r="70" ht="18.75" customHeight="1">
      <c r="A70" s="49"/>
      <c r="B70" s="49"/>
      <c r="C70" s="51"/>
      <c r="D70" s="51"/>
      <c r="E70" s="51"/>
      <c r="F70" s="51"/>
      <c r="G70" s="51"/>
      <c r="H70" s="52"/>
      <c r="I70" s="52"/>
      <c r="J70" s="52"/>
      <c r="K70" s="52"/>
      <c r="L70" s="52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</row>
    <row r="71" ht="18.75" customHeight="1">
      <c r="A71" s="49"/>
      <c r="B71" s="49"/>
      <c r="C71" s="51"/>
      <c r="D71" s="51"/>
      <c r="E71" s="51"/>
      <c r="F71" s="51"/>
      <c r="G71" s="51"/>
      <c r="H71" s="52"/>
      <c r="I71" s="52"/>
      <c r="J71" s="52"/>
      <c r="K71" s="52"/>
      <c r="L71" s="52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</row>
    <row r="72" ht="18.75" customHeight="1">
      <c r="A72" s="49"/>
      <c r="B72" s="49"/>
      <c r="C72" s="51"/>
      <c r="D72" s="51"/>
      <c r="E72" s="51"/>
      <c r="F72" s="51"/>
      <c r="G72" s="51"/>
      <c r="H72" s="52"/>
      <c r="I72" s="52"/>
      <c r="J72" s="52"/>
      <c r="K72" s="52"/>
      <c r="L72" s="52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</row>
    <row r="73" ht="18.75" customHeight="1">
      <c r="A73" s="49"/>
      <c r="B73" s="49"/>
      <c r="C73" s="51"/>
      <c r="D73" s="51"/>
      <c r="E73" s="51"/>
      <c r="F73" s="51"/>
      <c r="G73" s="51"/>
      <c r="H73" s="52"/>
      <c r="I73" s="52"/>
      <c r="J73" s="52"/>
      <c r="K73" s="52"/>
      <c r="L73" s="52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</row>
    <row r="74" ht="18.75" customHeight="1">
      <c r="A74" s="49"/>
      <c r="B74" s="49"/>
      <c r="C74" s="51"/>
      <c r="D74" s="51"/>
      <c r="E74" s="51"/>
      <c r="F74" s="51"/>
      <c r="G74" s="51"/>
      <c r="H74" s="52"/>
      <c r="I74" s="52"/>
      <c r="J74" s="52"/>
      <c r="K74" s="52"/>
      <c r="L74" s="52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</row>
    <row r="75" ht="18.75" customHeight="1">
      <c r="A75" s="49"/>
      <c r="B75" s="49"/>
      <c r="C75" s="51"/>
      <c r="D75" s="51"/>
      <c r="E75" s="51"/>
      <c r="F75" s="51"/>
      <c r="G75" s="51"/>
      <c r="H75" s="52"/>
      <c r="I75" s="52"/>
      <c r="J75" s="52"/>
      <c r="K75" s="52"/>
      <c r="L75" s="52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</row>
    <row r="76" ht="18.75" customHeight="1">
      <c r="A76" s="49"/>
      <c r="B76" s="49"/>
      <c r="C76" s="51"/>
      <c r="D76" s="51"/>
      <c r="E76" s="51"/>
      <c r="F76" s="51"/>
      <c r="G76" s="51"/>
      <c r="H76" s="52"/>
      <c r="I76" s="52"/>
      <c r="J76" s="52"/>
      <c r="K76" s="52"/>
      <c r="L76" s="52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</row>
    <row r="77" ht="18.75" customHeight="1">
      <c r="A77" s="49"/>
      <c r="B77" s="49"/>
      <c r="C77" s="51"/>
      <c r="D77" s="51"/>
      <c r="E77" s="51"/>
      <c r="F77" s="51"/>
      <c r="G77" s="51"/>
      <c r="H77" s="52"/>
      <c r="I77" s="52"/>
      <c r="J77" s="52"/>
      <c r="K77" s="52"/>
      <c r="L77" s="52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</row>
    <row r="78" ht="18.75" customHeight="1">
      <c r="A78" s="49"/>
      <c r="B78" s="49"/>
      <c r="C78" s="51"/>
      <c r="D78" s="51"/>
      <c r="E78" s="51"/>
      <c r="F78" s="51"/>
      <c r="G78" s="51"/>
      <c r="H78" s="52"/>
      <c r="I78" s="52"/>
      <c r="J78" s="52"/>
      <c r="K78" s="52"/>
      <c r="L78" s="52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</row>
    <row r="79" ht="18.75" customHeight="1">
      <c r="A79" s="49"/>
      <c r="B79" s="49"/>
      <c r="C79" s="51"/>
      <c r="D79" s="51"/>
      <c r="E79" s="51"/>
      <c r="F79" s="51"/>
      <c r="G79" s="51"/>
      <c r="H79" s="52"/>
      <c r="I79" s="52"/>
      <c r="J79" s="52"/>
      <c r="K79" s="52"/>
      <c r="L79" s="52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</row>
    <row r="80" ht="18.75" customHeight="1">
      <c r="A80" s="49"/>
      <c r="B80" s="49"/>
      <c r="C80" s="51"/>
      <c r="D80" s="51"/>
      <c r="E80" s="51"/>
      <c r="F80" s="51"/>
      <c r="G80" s="51"/>
      <c r="H80" s="52"/>
      <c r="I80" s="52"/>
      <c r="J80" s="52"/>
      <c r="K80" s="52"/>
      <c r="L80" s="52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</row>
    <row r="81" ht="18.75" customHeight="1">
      <c r="A81" s="49"/>
      <c r="B81" s="49"/>
      <c r="C81" s="51"/>
      <c r="D81" s="51"/>
      <c r="E81" s="51"/>
      <c r="F81" s="51"/>
      <c r="G81" s="51"/>
      <c r="H81" s="52"/>
      <c r="I81" s="52"/>
      <c r="J81" s="52"/>
      <c r="K81" s="52"/>
      <c r="L81" s="52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</row>
    <row r="82" ht="18.75" customHeight="1">
      <c r="A82" s="49"/>
      <c r="B82" s="49"/>
      <c r="C82" s="51"/>
      <c r="D82" s="51"/>
      <c r="E82" s="51"/>
      <c r="F82" s="51"/>
      <c r="G82" s="51"/>
      <c r="H82" s="52"/>
      <c r="I82" s="52"/>
      <c r="J82" s="52"/>
      <c r="K82" s="52"/>
      <c r="L82" s="52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</row>
    <row r="83" ht="18.75" customHeight="1">
      <c r="A83" s="49"/>
      <c r="B83" s="49"/>
      <c r="C83" s="51"/>
      <c r="D83" s="51"/>
      <c r="E83" s="51"/>
      <c r="F83" s="51"/>
      <c r="G83" s="51"/>
      <c r="H83" s="52"/>
      <c r="I83" s="52"/>
      <c r="J83" s="52"/>
      <c r="K83" s="52"/>
      <c r="L83" s="52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</row>
    <row r="84" ht="18.75" customHeight="1">
      <c r="A84" s="49"/>
      <c r="B84" s="49"/>
      <c r="C84" s="51"/>
      <c r="D84" s="51"/>
      <c r="E84" s="51"/>
      <c r="F84" s="51"/>
      <c r="G84" s="51"/>
      <c r="H84" s="52"/>
      <c r="I84" s="52"/>
      <c r="J84" s="52"/>
      <c r="K84" s="52"/>
      <c r="L84" s="52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</row>
    <row r="85" ht="18.75" customHeight="1">
      <c r="A85" s="49"/>
      <c r="B85" s="49"/>
      <c r="C85" s="51"/>
      <c r="D85" s="51"/>
      <c r="E85" s="51"/>
      <c r="F85" s="51"/>
      <c r="G85" s="51"/>
      <c r="H85" s="52"/>
      <c r="I85" s="52"/>
      <c r="J85" s="52"/>
      <c r="K85" s="52"/>
      <c r="L85" s="52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</row>
    <row r="86" ht="18.75" customHeight="1">
      <c r="A86" s="49"/>
      <c r="B86" s="49"/>
      <c r="C86" s="51"/>
      <c r="D86" s="51"/>
      <c r="E86" s="51"/>
      <c r="F86" s="51"/>
      <c r="G86" s="51"/>
      <c r="H86" s="52"/>
      <c r="I86" s="52"/>
      <c r="J86" s="52"/>
      <c r="K86" s="52"/>
      <c r="L86" s="52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</row>
    <row r="87" ht="18.75" customHeight="1">
      <c r="A87" s="49"/>
      <c r="B87" s="49"/>
      <c r="C87" s="51"/>
      <c r="D87" s="51"/>
      <c r="E87" s="51"/>
      <c r="F87" s="51"/>
      <c r="G87" s="51"/>
      <c r="H87" s="52"/>
      <c r="I87" s="52"/>
      <c r="J87" s="52"/>
      <c r="K87" s="52"/>
      <c r="L87" s="52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</row>
    <row r="88" ht="18.75" customHeight="1">
      <c r="A88" s="49"/>
      <c r="B88" s="49"/>
      <c r="C88" s="51"/>
      <c r="D88" s="51"/>
      <c r="E88" s="51"/>
      <c r="F88" s="51"/>
      <c r="G88" s="51"/>
      <c r="H88" s="52"/>
      <c r="I88" s="52"/>
      <c r="J88" s="52"/>
      <c r="K88" s="52"/>
      <c r="L88" s="52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</row>
    <row r="89" ht="18.75" customHeight="1">
      <c r="A89" s="49"/>
      <c r="B89" s="49"/>
      <c r="C89" s="51"/>
      <c r="D89" s="51"/>
      <c r="E89" s="51"/>
      <c r="F89" s="51"/>
      <c r="G89" s="51"/>
      <c r="H89" s="52"/>
      <c r="I89" s="52"/>
      <c r="J89" s="52"/>
      <c r="K89" s="52"/>
      <c r="L89" s="52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</row>
    <row r="90" ht="18.75" customHeight="1">
      <c r="A90" s="49"/>
      <c r="B90" s="49"/>
      <c r="C90" s="51"/>
      <c r="D90" s="51"/>
      <c r="E90" s="51"/>
      <c r="F90" s="51"/>
      <c r="G90" s="51"/>
      <c r="H90" s="52"/>
      <c r="I90" s="52"/>
      <c r="J90" s="52"/>
      <c r="K90" s="52"/>
      <c r="L90" s="52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</row>
    <row r="91" ht="18.75" customHeight="1">
      <c r="A91" s="49"/>
      <c r="B91" s="49"/>
      <c r="C91" s="51"/>
      <c r="D91" s="51"/>
      <c r="E91" s="51"/>
      <c r="F91" s="51"/>
      <c r="G91" s="51"/>
      <c r="H91" s="52"/>
      <c r="I91" s="52"/>
      <c r="J91" s="52"/>
      <c r="K91" s="52"/>
      <c r="L91" s="52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</row>
    <row r="92" ht="18.75" customHeight="1">
      <c r="A92" s="49"/>
      <c r="B92" s="49"/>
      <c r="C92" s="51"/>
      <c r="D92" s="51"/>
      <c r="E92" s="51"/>
      <c r="F92" s="51"/>
      <c r="G92" s="51"/>
      <c r="H92" s="52"/>
      <c r="I92" s="52"/>
      <c r="J92" s="52"/>
      <c r="K92" s="52"/>
      <c r="L92" s="52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</row>
    <row r="93" ht="18.75" customHeight="1">
      <c r="A93" s="49"/>
      <c r="B93" s="49"/>
      <c r="C93" s="51"/>
      <c r="D93" s="51"/>
      <c r="E93" s="51"/>
      <c r="F93" s="51"/>
      <c r="G93" s="51"/>
      <c r="H93" s="52"/>
      <c r="I93" s="52"/>
      <c r="J93" s="52"/>
      <c r="K93" s="52"/>
      <c r="L93" s="52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</row>
    <row r="94" ht="18.75" customHeight="1">
      <c r="A94" s="49"/>
      <c r="B94" s="49"/>
      <c r="C94" s="51"/>
      <c r="D94" s="51"/>
      <c r="E94" s="51"/>
      <c r="F94" s="51"/>
      <c r="G94" s="51"/>
      <c r="H94" s="52"/>
      <c r="I94" s="52"/>
      <c r="J94" s="52"/>
      <c r="K94" s="52"/>
      <c r="L94" s="52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</row>
    <row r="95" ht="18.75" customHeight="1">
      <c r="A95" s="49"/>
      <c r="B95" s="49"/>
      <c r="C95" s="51"/>
      <c r="D95" s="51"/>
      <c r="E95" s="51"/>
      <c r="F95" s="51"/>
      <c r="G95" s="51"/>
      <c r="H95" s="52"/>
      <c r="I95" s="52"/>
      <c r="J95" s="52"/>
      <c r="K95" s="52"/>
      <c r="L95" s="52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</row>
    <row r="96" ht="18.75" customHeight="1">
      <c r="A96" s="49"/>
      <c r="B96" s="49"/>
      <c r="C96" s="51"/>
      <c r="D96" s="51"/>
      <c r="E96" s="51"/>
      <c r="F96" s="51"/>
      <c r="G96" s="51"/>
      <c r="H96" s="52"/>
      <c r="I96" s="52"/>
      <c r="J96" s="52"/>
      <c r="K96" s="52"/>
      <c r="L96" s="52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</row>
    <row r="97" ht="18.75" customHeight="1">
      <c r="A97" s="49"/>
      <c r="B97" s="49"/>
      <c r="C97" s="51"/>
      <c r="D97" s="51"/>
      <c r="E97" s="51"/>
      <c r="F97" s="51"/>
      <c r="G97" s="51"/>
      <c r="H97" s="52"/>
      <c r="I97" s="52"/>
      <c r="J97" s="52"/>
      <c r="K97" s="52"/>
      <c r="L97" s="52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</row>
    <row r="98" ht="18.75" customHeight="1">
      <c r="A98" s="49"/>
      <c r="B98" s="49"/>
      <c r="C98" s="51"/>
      <c r="D98" s="51"/>
      <c r="E98" s="51"/>
      <c r="F98" s="51"/>
      <c r="G98" s="51"/>
      <c r="H98" s="52"/>
      <c r="I98" s="52"/>
      <c r="J98" s="52"/>
      <c r="K98" s="52"/>
      <c r="L98" s="52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</row>
    <row r="99" ht="18.75" customHeight="1">
      <c r="A99" s="49"/>
      <c r="B99" s="49"/>
      <c r="C99" s="51"/>
      <c r="D99" s="51"/>
      <c r="E99" s="51"/>
      <c r="F99" s="51"/>
      <c r="G99" s="51"/>
      <c r="H99" s="52"/>
      <c r="I99" s="52"/>
      <c r="J99" s="52"/>
      <c r="K99" s="52"/>
      <c r="L99" s="52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</row>
    <row r="100" ht="18.75" customHeight="1">
      <c r="A100" s="49"/>
      <c r="B100" s="49"/>
      <c r="C100" s="51"/>
      <c r="D100" s="51"/>
      <c r="E100" s="51"/>
      <c r="F100" s="51"/>
      <c r="G100" s="51"/>
      <c r="H100" s="52"/>
      <c r="I100" s="52"/>
      <c r="J100" s="52"/>
      <c r="K100" s="52"/>
      <c r="L100" s="52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</row>
    <row r="101" ht="18.75" customHeight="1">
      <c r="A101" s="49"/>
      <c r="B101" s="49"/>
      <c r="C101" s="51"/>
      <c r="D101" s="51"/>
      <c r="E101" s="51"/>
      <c r="F101" s="51"/>
      <c r="G101" s="51"/>
      <c r="H101" s="52"/>
      <c r="I101" s="52"/>
      <c r="J101" s="52"/>
      <c r="K101" s="52"/>
      <c r="L101" s="52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</row>
    <row r="102" ht="18.75" customHeight="1">
      <c r="A102" s="49"/>
      <c r="B102" s="49"/>
      <c r="C102" s="51"/>
      <c r="D102" s="51"/>
      <c r="E102" s="51"/>
      <c r="F102" s="51"/>
      <c r="G102" s="51"/>
      <c r="H102" s="52"/>
      <c r="I102" s="52"/>
      <c r="J102" s="52"/>
      <c r="K102" s="52"/>
      <c r="L102" s="52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</row>
    <row r="103" ht="18.75" customHeight="1">
      <c r="A103" s="49"/>
      <c r="B103" s="49"/>
      <c r="C103" s="51"/>
      <c r="D103" s="51"/>
      <c r="E103" s="51"/>
      <c r="F103" s="51"/>
      <c r="G103" s="51"/>
      <c r="H103" s="52"/>
      <c r="I103" s="52"/>
      <c r="J103" s="52"/>
      <c r="K103" s="52"/>
      <c r="L103" s="52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</row>
    <row r="104" ht="18.75" customHeight="1">
      <c r="A104" s="49"/>
      <c r="B104" s="49"/>
      <c r="C104" s="51"/>
      <c r="D104" s="51"/>
      <c r="E104" s="51"/>
      <c r="F104" s="51"/>
      <c r="G104" s="51"/>
      <c r="H104" s="52"/>
      <c r="I104" s="52"/>
      <c r="J104" s="52"/>
      <c r="K104" s="52"/>
      <c r="L104" s="52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</row>
    <row r="105" ht="18.75" customHeight="1">
      <c r="A105" s="49"/>
      <c r="B105" s="49"/>
      <c r="C105" s="51"/>
      <c r="D105" s="51"/>
      <c r="E105" s="51"/>
      <c r="F105" s="51"/>
      <c r="G105" s="51"/>
      <c r="H105" s="52"/>
      <c r="I105" s="52"/>
      <c r="J105" s="52"/>
      <c r="K105" s="52"/>
      <c r="L105" s="52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</row>
    <row r="106" ht="18.75" customHeight="1">
      <c r="A106" s="49"/>
      <c r="B106" s="49"/>
      <c r="C106" s="51"/>
      <c r="D106" s="51"/>
      <c r="E106" s="51"/>
      <c r="F106" s="51"/>
      <c r="G106" s="51"/>
      <c r="H106" s="52"/>
      <c r="I106" s="52"/>
      <c r="J106" s="52"/>
      <c r="K106" s="52"/>
      <c r="L106" s="52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</row>
    <row r="107" ht="18.75" customHeight="1">
      <c r="A107" s="49"/>
      <c r="B107" s="49"/>
      <c r="C107" s="51"/>
      <c r="D107" s="51"/>
      <c r="E107" s="51"/>
      <c r="F107" s="51"/>
      <c r="G107" s="51"/>
      <c r="H107" s="52"/>
      <c r="I107" s="52"/>
      <c r="J107" s="52"/>
      <c r="K107" s="52"/>
      <c r="L107" s="52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</row>
    <row r="108" ht="18.75" customHeight="1">
      <c r="A108" s="49"/>
      <c r="B108" s="49"/>
      <c r="C108" s="51"/>
      <c r="D108" s="51"/>
      <c r="E108" s="51"/>
      <c r="F108" s="51"/>
      <c r="G108" s="51"/>
      <c r="H108" s="52"/>
      <c r="I108" s="52"/>
      <c r="J108" s="52"/>
      <c r="K108" s="52"/>
      <c r="L108" s="52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</row>
    <row r="109" ht="18.75" customHeight="1">
      <c r="A109" s="49"/>
      <c r="B109" s="49"/>
      <c r="C109" s="51"/>
      <c r="D109" s="51"/>
      <c r="E109" s="51"/>
      <c r="F109" s="51"/>
      <c r="G109" s="51"/>
      <c r="H109" s="52"/>
      <c r="I109" s="52"/>
      <c r="J109" s="52"/>
      <c r="K109" s="52"/>
      <c r="L109" s="52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</row>
    <row r="110" ht="18.75" customHeight="1">
      <c r="A110" s="49"/>
      <c r="B110" s="49"/>
      <c r="C110" s="51"/>
      <c r="D110" s="51"/>
      <c r="E110" s="51"/>
      <c r="F110" s="51"/>
      <c r="G110" s="51"/>
      <c r="H110" s="52"/>
      <c r="I110" s="52"/>
      <c r="J110" s="52"/>
      <c r="K110" s="52"/>
      <c r="L110" s="52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</row>
    <row r="111" ht="18.75" customHeight="1">
      <c r="A111" s="49"/>
      <c r="B111" s="49"/>
      <c r="C111" s="51"/>
      <c r="D111" s="51"/>
      <c r="E111" s="51"/>
      <c r="F111" s="51"/>
      <c r="G111" s="51"/>
      <c r="H111" s="52"/>
      <c r="I111" s="52"/>
      <c r="J111" s="52"/>
      <c r="K111" s="52"/>
      <c r="L111" s="52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</row>
    <row r="112" ht="18.75" customHeight="1">
      <c r="A112" s="49"/>
      <c r="B112" s="49"/>
      <c r="C112" s="51"/>
      <c r="D112" s="51"/>
      <c r="E112" s="51"/>
      <c r="F112" s="51"/>
      <c r="G112" s="51"/>
      <c r="H112" s="52"/>
      <c r="I112" s="52"/>
      <c r="J112" s="52"/>
      <c r="K112" s="52"/>
      <c r="L112" s="52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</row>
    <row r="113" ht="18.75" customHeight="1">
      <c r="A113" s="49"/>
      <c r="B113" s="49"/>
      <c r="C113" s="51"/>
      <c r="D113" s="51"/>
      <c r="E113" s="51"/>
      <c r="F113" s="51"/>
      <c r="G113" s="51"/>
      <c r="H113" s="52"/>
      <c r="I113" s="52"/>
      <c r="J113" s="52"/>
      <c r="K113" s="52"/>
      <c r="L113" s="52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</row>
    <row r="114" ht="18.75" customHeight="1">
      <c r="A114" s="49"/>
      <c r="B114" s="49"/>
      <c r="C114" s="51"/>
      <c r="D114" s="51"/>
      <c r="E114" s="51"/>
      <c r="F114" s="51"/>
      <c r="G114" s="51"/>
      <c r="H114" s="52"/>
      <c r="I114" s="52"/>
      <c r="J114" s="52"/>
      <c r="K114" s="52"/>
      <c r="L114" s="52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</row>
    <row r="115" ht="18.75" customHeight="1">
      <c r="A115" s="49"/>
      <c r="B115" s="49"/>
      <c r="C115" s="51"/>
      <c r="D115" s="51"/>
      <c r="E115" s="51"/>
      <c r="F115" s="51"/>
      <c r="G115" s="51"/>
      <c r="H115" s="52"/>
      <c r="I115" s="52"/>
      <c r="J115" s="52"/>
      <c r="K115" s="52"/>
      <c r="L115" s="52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</row>
    <row r="116" ht="18.75" customHeight="1">
      <c r="A116" s="49"/>
      <c r="B116" s="49"/>
      <c r="C116" s="51"/>
      <c r="D116" s="51"/>
      <c r="E116" s="51"/>
      <c r="F116" s="51"/>
      <c r="G116" s="51"/>
      <c r="H116" s="52"/>
      <c r="I116" s="52"/>
      <c r="J116" s="52"/>
      <c r="K116" s="52"/>
      <c r="L116" s="52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</row>
    <row r="117" ht="18.75" customHeight="1">
      <c r="A117" s="49"/>
      <c r="B117" s="49"/>
      <c r="C117" s="51"/>
      <c r="D117" s="51"/>
      <c r="E117" s="51"/>
      <c r="F117" s="51"/>
      <c r="G117" s="51"/>
      <c r="H117" s="52"/>
      <c r="I117" s="52"/>
      <c r="J117" s="52"/>
      <c r="K117" s="52"/>
      <c r="L117" s="52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</row>
    <row r="118" ht="18.75" customHeight="1">
      <c r="A118" s="49"/>
      <c r="B118" s="49"/>
      <c r="C118" s="51"/>
      <c r="D118" s="51"/>
      <c r="E118" s="51"/>
      <c r="F118" s="51"/>
      <c r="G118" s="51"/>
      <c r="H118" s="52"/>
      <c r="I118" s="52"/>
      <c r="J118" s="52"/>
      <c r="K118" s="52"/>
      <c r="L118" s="52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</row>
    <row r="119" ht="18.75" customHeight="1">
      <c r="A119" s="49"/>
      <c r="B119" s="49"/>
      <c r="C119" s="51"/>
      <c r="D119" s="51"/>
      <c r="E119" s="51"/>
      <c r="F119" s="51"/>
      <c r="G119" s="51"/>
      <c r="H119" s="52"/>
      <c r="I119" s="52"/>
      <c r="J119" s="52"/>
      <c r="K119" s="52"/>
      <c r="L119" s="52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</row>
    <row r="120" ht="18.75" customHeight="1">
      <c r="A120" s="49"/>
      <c r="B120" s="49"/>
      <c r="C120" s="51"/>
      <c r="D120" s="51"/>
      <c r="E120" s="51"/>
      <c r="F120" s="51"/>
      <c r="G120" s="51"/>
      <c r="H120" s="52"/>
      <c r="I120" s="52"/>
      <c r="J120" s="52"/>
      <c r="K120" s="52"/>
      <c r="L120" s="52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</row>
    <row r="121" ht="18.75" customHeight="1">
      <c r="A121" s="49"/>
      <c r="B121" s="49"/>
      <c r="C121" s="51"/>
      <c r="D121" s="51"/>
      <c r="E121" s="51"/>
      <c r="F121" s="51"/>
      <c r="G121" s="51"/>
      <c r="H121" s="52"/>
      <c r="I121" s="52"/>
      <c r="J121" s="52"/>
      <c r="K121" s="52"/>
      <c r="L121" s="52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</row>
    <row r="122" ht="18.75" customHeight="1">
      <c r="A122" s="49"/>
      <c r="B122" s="49"/>
      <c r="C122" s="51"/>
      <c r="D122" s="51"/>
      <c r="E122" s="51"/>
      <c r="F122" s="51"/>
      <c r="G122" s="51"/>
      <c r="H122" s="52"/>
      <c r="I122" s="52"/>
      <c r="J122" s="52"/>
      <c r="K122" s="52"/>
      <c r="L122" s="52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</row>
    <row r="123" ht="18.75" customHeight="1">
      <c r="A123" s="49"/>
      <c r="B123" s="49"/>
      <c r="C123" s="51"/>
      <c r="D123" s="51"/>
      <c r="E123" s="51"/>
      <c r="F123" s="51"/>
      <c r="G123" s="51"/>
      <c r="H123" s="52"/>
      <c r="I123" s="52"/>
      <c r="J123" s="52"/>
      <c r="K123" s="52"/>
      <c r="L123" s="52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</row>
    <row r="124" ht="18.75" customHeight="1">
      <c r="A124" s="49"/>
      <c r="B124" s="49"/>
      <c r="C124" s="51"/>
      <c r="D124" s="51"/>
      <c r="E124" s="51"/>
      <c r="F124" s="51"/>
      <c r="G124" s="51"/>
      <c r="H124" s="52"/>
      <c r="I124" s="52"/>
      <c r="J124" s="52"/>
      <c r="K124" s="52"/>
      <c r="L124" s="52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</row>
    <row r="125" ht="18.75" customHeight="1">
      <c r="A125" s="49"/>
      <c r="B125" s="49"/>
      <c r="C125" s="51"/>
      <c r="D125" s="51"/>
      <c r="E125" s="51"/>
      <c r="F125" s="51"/>
      <c r="G125" s="51"/>
      <c r="H125" s="52"/>
      <c r="I125" s="52"/>
      <c r="J125" s="52"/>
      <c r="K125" s="52"/>
      <c r="L125" s="52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</row>
    <row r="126" ht="18.75" customHeight="1">
      <c r="A126" s="49"/>
      <c r="B126" s="49"/>
      <c r="C126" s="51"/>
      <c r="D126" s="51"/>
      <c r="E126" s="51"/>
      <c r="F126" s="51"/>
      <c r="G126" s="51"/>
      <c r="H126" s="52"/>
      <c r="I126" s="52"/>
      <c r="J126" s="52"/>
      <c r="K126" s="52"/>
      <c r="L126" s="52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</row>
    <row r="127" ht="18.75" customHeight="1">
      <c r="A127" s="49"/>
      <c r="B127" s="49"/>
      <c r="C127" s="51"/>
      <c r="D127" s="51"/>
      <c r="E127" s="51"/>
      <c r="F127" s="51"/>
      <c r="G127" s="51"/>
      <c r="H127" s="52"/>
      <c r="I127" s="52"/>
      <c r="J127" s="52"/>
      <c r="K127" s="52"/>
      <c r="L127" s="52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</row>
    <row r="128" ht="18.75" customHeight="1">
      <c r="A128" s="49"/>
      <c r="B128" s="49"/>
      <c r="C128" s="51"/>
      <c r="D128" s="51"/>
      <c r="E128" s="51"/>
      <c r="F128" s="51"/>
      <c r="G128" s="51"/>
      <c r="H128" s="52"/>
      <c r="I128" s="52"/>
      <c r="J128" s="52"/>
      <c r="K128" s="52"/>
      <c r="L128" s="52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</row>
    <row r="129" ht="18.75" customHeight="1">
      <c r="A129" s="49"/>
      <c r="B129" s="49"/>
      <c r="C129" s="51"/>
      <c r="D129" s="51"/>
      <c r="E129" s="51"/>
      <c r="F129" s="51"/>
      <c r="G129" s="51"/>
      <c r="H129" s="52"/>
      <c r="I129" s="52"/>
      <c r="J129" s="52"/>
      <c r="K129" s="52"/>
      <c r="L129" s="52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</row>
    <row r="130" ht="18.75" customHeight="1">
      <c r="A130" s="49"/>
      <c r="B130" s="49"/>
      <c r="C130" s="51"/>
      <c r="D130" s="51"/>
      <c r="E130" s="51"/>
      <c r="F130" s="51"/>
      <c r="G130" s="51"/>
      <c r="H130" s="52"/>
      <c r="I130" s="52"/>
      <c r="J130" s="52"/>
      <c r="K130" s="52"/>
      <c r="L130" s="52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</row>
    <row r="131" ht="18.75" customHeight="1">
      <c r="A131" s="49"/>
      <c r="B131" s="49"/>
      <c r="C131" s="51"/>
      <c r="D131" s="51"/>
      <c r="E131" s="51"/>
      <c r="F131" s="51"/>
      <c r="G131" s="51"/>
      <c r="H131" s="52"/>
      <c r="I131" s="52"/>
      <c r="J131" s="52"/>
      <c r="K131" s="52"/>
      <c r="L131" s="52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</row>
    <row r="132" ht="18.75" customHeight="1">
      <c r="A132" s="49"/>
      <c r="B132" s="49"/>
      <c r="C132" s="51"/>
      <c r="D132" s="51"/>
      <c r="E132" s="51"/>
      <c r="F132" s="51"/>
      <c r="G132" s="51"/>
      <c r="H132" s="52"/>
      <c r="I132" s="52"/>
      <c r="J132" s="52"/>
      <c r="K132" s="52"/>
      <c r="L132" s="52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</row>
    <row r="133" ht="18.75" customHeight="1">
      <c r="A133" s="49"/>
      <c r="B133" s="49"/>
      <c r="C133" s="51"/>
      <c r="D133" s="51"/>
      <c r="E133" s="51"/>
      <c r="F133" s="51"/>
      <c r="G133" s="51"/>
      <c r="H133" s="52"/>
      <c r="I133" s="52"/>
      <c r="J133" s="52"/>
      <c r="K133" s="52"/>
      <c r="L133" s="52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</row>
    <row r="134" ht="18.75" customHeight="1">
      <c r="A134" s="49"/>
      <c r="B134" s="49"/>
      <c r="C134" s="51"/>
      <c r="D134" s="51"/>
      <c r="E134" s="51"/>
      <c r="F134" s="51"/>
      <c r="G134" s="51"/>
      <c r="H134" s="52"/>
      <c r="I134" s="52"/>
      <c r="J134" s="52"/>
      <c r="K134" s="52"/>
      <c r="L134" s="52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</row>
    <row r="135" ht="18.75" customHeight="1">
      <c r="A135" s="49"/>
      <c r="B135" s="49"/>
      <c r="C135" s="51"/>
      <c r="D135" s="51"/>
      <c r="E135" s="51"/>
      <c r="F135" s="51"/>
      <c r="G135" s="51"/>
      <c r="H135" s="52"/>
      <c r="I135" s="52"/>
      <c r="J135" s="52"/>
      <c r="K135" s="52"/>
      <c r="L135" s="52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</row>
    <row r="136" ht="18.75" customHeight="1">
      <c r="A136" s="49"/>
      <c r="B136" s="49"/>
      <c r="C136" s="51"/>
      <c r="D136" s="51"/>
      <c r="E136" s="51"/>
      <c r="F136" s="51"/>
      <c r="G136" s="51"/>
      <c r="H136" s="52"/>
      <c r="I136" s="52"/>
      <c r="J136" s="52"/>
      <c r="K136" s="52"/>
      <c r="L136" s="52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</row>
    <row r="137" ht="18.75" customHeight="1">
      <c r="A137" s="49"/>
      <c r="B137" s="49"/>
      <c r="C137" s="51"/>
      <c r="D137" s="51"/>
      <c r="E137" s="51"/>
      <c r="F137" s="51"/>
      <c r="G137" s="51"/>
      <c r="H137" s="52"/>
      <c r="I137" s="52"/>
      <c r="J137" s="52"/>
      <c r="K137" s="52"/>
      <c r="L137" s="52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</row>
    <row r="138" ht="18.75" customHeight="1">
      <c r="A138" s="49"/>
      <c r="B138" s="49"/>
      <c r="C138" s="51"/>
      <c r="D138" s="51"/>
      <c r="E138" s="51"/>
      <c r="F138" s="51"/>
      <c r="G138" s="51"/>
      <c r="H138" s="52"/>
      <c r="I138" s="52"/>
      <c r="J138" s="52"/>
      <c r="K138" s="52"/>
      <c r="L138" s="52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</row>
    <row r="139" ht="18.75" customHeight="1">
      <c r="A139" s="49"/>
      <c r="B139" s="49"/>
      <c r="C139" s="51"/>
      <c r="D139" s="51"/>
      <c r="E139" s="51"/>
      <c r="F139" s="51"/>
      <c r="G139" s="51"/>
      <c r="H139" s="52"/>
      <c r="I139" s="52"/>
      <c r="J139" s="52"/>
      <c r="K139" s="52"/>
      <c r="L139" s="52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</row>
    <row r="140" ht="18.75" customHeight="1">
      <c r="A140" s="49"/>
      <c r="B140" s="49"/>
      <c r="C140" s="51"/>
      <c r="D140" s="51"/>
      <c r="E140" s="51"/>
      <c r="F140" s="51"/>
      <c r="G140" s="51"/>
      <c r="H140" s="52"/>
      <c r="I140" s="52"/>
      <c r="J140" s="52"/>
      <c r="K140" s="52"/>
      <c r="L140" s="52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</row>
    <row r="141" ht="18.75" customHeight="1">
      <c r="A141" s="49"/>
      <c r="B141" s="49"/>
      <c r="C141" s="51"/>
      <c r="D141" s="51"/>
      <c r="E141" s="51"/>
      <c r="F141" s="51"/>
      <c r="G141" s="51"/>
      <c r="H141" s="52"/>
      <c r="I141" s="52"/>
      <c r="J141" s="52"/>
      <c r="K141" s="52"/>
      <c r="L141" s="52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</row>
    <row r="142" ht="18.75" customHeight="1">
      <c r="A142" s="49"/>
      <c r="B142" s="49"/>
      <c r="C142" s="51"/>
      <c r="D142" s="51"/>
      <c r="E142" s="51"/>
      <c r="F142" s="51"/>
      <c r="G142" s="51"/>
      <c r="H142" s="52"/>
      <c r="I142" s="52"/>
      <c r="J142" s="52"/>
      <c r="K142" s="52"/>
      <c r="L142" s="52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</row>
    <row r="143" ht="18.75" customHeight="1">
      <c r="A143" s="49"/>
      <c r="B143" s="49"/>
      <c r="C143" s="51"/>
      <c r="D143" s="51"/>
      <c r="E143" s="51"/>
      <c r="F143" s="51"/>
      <c r="G143" s="51"/>
      <c r="H143" s="52"/>
      <c r="I143" s="52"/>
      <c r="J143" s="52"/>
      <c r="K143" s="52"/>
      <c r="L143" s="52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</row>
    <row r="144" ht="18.75" customHeight="1">
      <c r="A144" s="49"/>
      <c r="B144" s="49"/>
      <c r="C144" s="51"/>
      <c r="D144" s="51"/>
      <c r="E144" s="51"/>
      <c r="F144" s="51"/>
      <c r="G144" s="51"/>
      <c r="H144" s="52"/>
      <c r="I144" s="52"/>
      <c r="J144" s="52"/>
      <c r="K144" s="52"/>
      <c r="L144" s="52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</row>
    <row r="145" ht="18.75" customHeight="1">
      <c r="A145" s="49"/>
      <c r="B145" s="49"/>
      <c r="C145" s="51"/>
      <c r="D145" s="51"/>
      <c r="E145" s="51"/>
      <c r="F145" s="51"/>
      <c r="G145" s="51"/>
      <c r="H145" s="52"/>
      <c r="I145" s="52"/>
      <c r="J145" s="52"/>
      <c r="K145" s="52"/>
      <c r="L145" s="52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</row>
    <row r="146" ht="18.75" customHeight="1">
      <c r="A146" s="49"/>
      <c r="B146" s="49"/>
      <c r="C146" s="51"/>
      <c r="D146" s="51"/>
      <c r="E146" s="51"/>
      <c r="F146" s="51"/>
      <c r="G146" s="51"/>
      <c r="H146" s="52"/>
      <c r="I146" s="52"/>
      <c r="J146" s="52"/>
      <c r="K146" s="52"/>
      <c r="L146" s="52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</row>
    <row r="147" ht="18.75" customHeight="1">
      <c r="A147" s="49"/>
      <c r="B147" s="49"/>
      <c r="C147" s="51"/>
      <c r="D147" s="51"/>
      <c r="E147" s="51"/>
      <c r="F147" s="51"/>
      <c r="G147" s="51"/>
      <c r="H147" s="52"/>
      <c r="I147" s="52"/>
      <c r="J147" s="52"/>
      <c r="K147" s="52"/>
      <c r="L147" s="52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</row>
    <row r="148" ht="18.75" customHeight="1">
      <c r="A148" s="49"/>
      <c r="B148" s="49"/>
      <c r="C148" s="51"/>
      <c r="D148" s="51"/>
      <c r="E148" s="51"/>
      <c r="F148" s="51"/>
      <c r="G148" s="51"/>
      <c r="H148" s="52"/>
      <c r="I148" s="52"/>
      <c r="J148" s="52"/>
      <c r="K148" s="52"/>
      <c r="L148" s="52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</row>
    <row r="149" ht="18.75" customHeight="1">
      <c r="A149" s="49"/>
      <c r="B149" s="49"/>
      <c r="C149" s="51"/>
      <c r="D149" s="51"/>
      <c r="E149" s="51"/>
      <c r="F149" s="51"/>
      <c r="G149" s="51"/>
      <c r="H149" s="52"/>
      <c r="I149" s="52"/>
      <c r="J149" s="52"/>
      <c r="K149" s="52"/>
      <c r="L149" s="52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</row>
    <row r="150" ht="18.75" customHeight="1">
      <c r="A150" s="49"/>
      <c r="B150" s="49"/>
      <c r="C150" s="51"/>
      <c r="D150" s="51"/>
      <c r="E150" s="51"/>
      <c r="F150" s="51"/>
      <c r="G150" s="51"/>
      <c r="H150" s="52"/>
      <c r="I150" s="52"/>
      <c r="J150" s="52"/>
      <c r="K150" s="52"/>
      <c r="L150" s="52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</row>
    <row r="151" ht="18.75" customHeight="1">
      <c r="A151" s="49"/>
      <c r="B151" s="49"/>
      <c r="C151" s="51"/>
      <c r="D151" s="51"/>
      <c r="E151" s="51"/>
      <c r="F151" s="51"/>
      <c r="G151" s="51"/>
      <c r="H151" s="52"/>
      <c r="I151" s="52"/>
      <c r="J151" s="52"/>
      <c r="K151" s="52"/>
      <c r="L151" s="52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</row>
    <row r="152" ht="18.75" customHeight="1">
      <c r="A152" s="49"/>
      <c r="B152" s="49"/>
      <c r="C152" s="51"/>
      <c r="D152" s="51"/>
      <c r="E152" s="51"/>
      <c r="F152" s="51"/>
      <c r="G152" s="51"/>
      <c r="H152" s="52"/>
      <c r="I152" s="52"/>
      <c r="J152" s="52"/>
      <c r="K152" s="52"/>
      <c r="L152" s="52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</row>
    <row r="153" ht="18.75" customHeight="1">
      <c r="A153" s="49"/>
      <c r="B153" s="49"/>
      <c r="C153" s="51"/>
      <c r="D153" s="51"/>
      <c r="E153" s="51"/>
      <c r="F153" s="51"/>
      <c r="G153" s="51"/>
      <c r="H153" s="52"/>
      <c r="I153" s="52"/>
      <c r="J153" s="52"/>
      <c r="K153" s="52"/>
      <c r="L153" s="52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</row>
    <row r="154" ht="18.75" customHeight="1">
      <c r="A154" s="49"/>
      <c r="B154" s="49"/>
      <c r="C154" s="51"/>
      <c r="D154" s="51"/>
      <c r="E154" s="51"/>
      <c r="F154" s="51"/>
      <c r="G154" s="51"/>
      <c r="H154" s="52"/>
      <c r="I154" s="52"/>
      <c r="J154" s="52"/>
      <c r="K154" s="52"/>
      <c r="L154" s="52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</row>
    <row r="155" ht="18.75" customHeight="1">
      <c r="A155" s="49"/>
      <c r="B155" s="49"/>
      <c r="C155" s="51"/>
      <c r="D155" s="51"/>
      <c r="E155" s="51"/>
      <c r="F155" s="51"/>
      <c r="G155" s="51"/>
      <c r="H155" s="52"/>
      <c r="I155" s="52"/>
      <c r="J155" s="52"/>
      <c r="K155" s="52"/>
      <c r="L155" s="52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</row>
    <row r="156" ht="18.75" customHeight="1">
      <c r="A156" s="49"/>
      <c r="B156" s="49"/>
      <c r="C156" s="51"/>
      <c r="D156" s="51"/>
      <c r="E156" s="51"/>
      <c r="F156" s="51"/>
      <c r="G156" s="51"/>
      <c r="H156" s="52"/>
      <c r="I156" s="52"/>
      <c r="J156" s="52"/>
      <c r="K156" s="52"/>
      <c r="L156" s="52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</row>
    <row r="157" ht="18.75" customHeight="1">
      <c r="A157" s="49"/>
      <c r="B157" s="49"/>
      <c r="C157" s="51"/>
      <c r="D157" s="51"/>
      <c r="E157" s="51"/>
      <c r="F157" s="51"/>
      <c r="G157" s="51"/>
      <c r="H157" s="52"/>
      <c r="I157" s="52"/>
      <c r="J157" s="52"/>
      <c r="K157" s="52"/>
      <c r="L157" s="52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</row>
    <row r="158" ht="18.75" customHeight="1">
      <c r="A158" s="49"/>
      <c r="B158" s="49"/>
      <c r="C158" s="51"/>
      <c r="D158" s="51"/>
      <c r="E158" s="51"/>
      <c r="F158" s="51"/>
      <c r="G158" s="51"/>
      <c r="H158" s="52"/>
      <c r="I158" s="52"/>
      <c r="J158" s="52"/>
      <c r="K158" s="52"/>
      <c r="L158" s="52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</row>
    <row r="159" ht="18.75" customHeight="1">
      <c r="A159" s="49"/>
      <c r="B159" s="49"/>
      <c r="C159" s="51"/>
      <c r="D159" s="51"/>
      <c r="E159" s="51"/>
      <c r="F159" s="51"/>
      <c r="G159" s="51"/>
      <c r="H159" s="52"/>
      <c r="I159" s="52"/>
      <c r="J159" s="52"/>
      <c r="K159" s="52"/>
      <c r="L159" s="52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</row>
    <row r="160" ht="18.75" customHeight="1">
      <c r="A160" s="49"/>
      <c r="B160" s="49"/>
      <c r="C160" s="51"/>
      <c r="D160" s="51"/>
      <c r="E160" s="51"/>
      <c r="F160" s="51"/>
      <c r="G160" s="51"/>
      <c r="H160" s="52"/>
      <c r="I160" s="52"/>
      <c r="J160" s="52"/>
      <c r="K160" s="52"/>
      <c r="L160" s="52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</row>
    <row r="161" ht="18.75" customHeight="1">
      <c r="A161" s="49"/>
      <c r="B161" s="49"/>
      <c r="C161" s="51"/>
      <c r="D161" s="51"/>
      <c r="E161" s="51"/>
      <c r="F161" s="51"/>
      <c r="G161" s="51"/>
      <c r="H161" s="52"/>
      <c r="I161" s="52"/>
      <c r="J161" s="52"/>
      <c r="K161" s="52"/>
      <c r="L161" s="52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</row>
    <row r="162" ht="18.75" customHeight="1">
      <c r="A162" s="49"/>
      <c r="B162" s="49"/>
      <c r="C162" s="51"/>
      <c r="D162" s="51"/>
      <c r="E162" s="51"/>
      <c r="F162" s="51"/>
      <c r="G162" s="51"/>
      <c r="H162" s="52"/>
      <c r="I162" s="52"/>
      <c r="J162" s="52"/>
      <c r="K162" s="52"/>
      <c r="L162" s="52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</row>
    <row r="163" ht="18.75" customHeight="1">
      <c r="A163" s="49"/>
      <c r="B163" s="49"/>
      <c r="C163" s="51"/>
      <c r="D163" s="51"/>
      <c r="E163" s="51"/>
      <c r="F163" s="51"/>
      <c r="G163" s="51"/>
      <c r="H163" s="52"/>
      <c r="I163" s="52"/>
      <c r="J163" s="52"/>
      <c r="K163" s="52"/>
      <c r="L163" s="52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</row>
    <row r="164" ht="18.75" customHeight="1">
      <c r="A164" s="49"/>
      <c r="B164" s="49"/>
      <c r="C164" s="51"/>
      <c r="D164" s="51"/>
      <c r="E164" s="51"/>
      <c r="F164" s="51"/>
      <c r="G164" s="51"/>
      <c r="H164" s="52"/>
      <c r="I164" s="52"/>
      <c r="J164" s="52"/>
      <c r="K164" s="52"/>
      <c r="L164" s="52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</row>
    <row r="165" ht="18.75" customHeight="1">
      <c r="A165" s="49"/>
      <c r="B165" s="49"/>
      <c r="C165" s="51"/>
      <c r="D165" s="51"/>
      <c r="E165" s="51"/>
      <c r="F165" s="51"/>
      <c r="G165" s="51"/>
      <c r="H165" s="52"/>
      <c r="I165" s="52"/>
      <c r="J165" s="52"/>
      <c r="K165" s="52"/>
      <c r="L165" s="52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</row>
    <row r="166" ht="18.75" customHeight="1">
      <c r="A166" s="49"/>
      <c r="B166" s="49"/>
      <c r="C166" s="51"/>
      <c r="D166" s="51"/>
      <c r="E166" s="51"/>
      <c r="F166" s="51"/>
      <c r="G166" s="51"/>
      <c r="H166" s="52"/>
      <c r="I166" s="52"/>
      <c r="J166" s="52"/>
      <c r="K166" s="52"/>
      <c r="L166" s="52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</row>
    <row r="167" ht="18.75" customHeight="1">
      <c r="A167" s="49"/>
      <c r="B167" s="49"/>
      <c r="C167" s="51"/>
      <c r="D167" s="51"/>
      <c r="E167" s="51"/>
      <c r="F167" s="51"/>
      <c r="G167" s="51"/>
      <c r="H167" s="52"/>
      <c r="I167" s="52"/>
      <c r="J167" s="52"/>
      <c r="K167" s="52"/>
      <c r="L167" s="52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</row>
    <row r="168" ht="18.75" customHeight="1">
      <c r="A168" s="49"/>
      <c r="B168" s="49"/>
      <c r="C168" s="51"/>
      <c r="D168" s="51"/>
      <c r="E168" s="51"/>
      <c r="F168" s="51"/>
      <c r="G168" s="51"/>
      <c r="H168" s="52"/>
      <c r="I168" s="52"/>
      <c r="J168" s="52"/>
      <c r="K168" s="52"/>
      <c r="L168" s="52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</row>
    <row r="169" ht="18.75" customHeight="1">
      <c r="A169" s="49"/>
      <c r="B169" s="49"/>
      <c r="C169" s="51"/>
      <c r="D169" s="51"/>
      <c r="E169" s="51"/>
      <c r="F169" s="51"/>
      <c r="G169" s="51"/>
      <c r="H169" s="52"/>
      <c r="I169" s="52"/>
      <c r="J169" s="52"/>
      <c r="K169" s="52"/>
      <c r="L169" s="52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</row>
    <row r="170" ht="18.75" customHeight="1">
      <c r="A170" s="49"/>
      <c r="B170" s="49"/>
      <c r="C170" s="51"/>
      <c r="D170" s="51"/>
      <c r="E170" s="51"/>
      <c r="F170" s="51"/>
      <c r="G170" s="51"/>
      <c r="H170" s="52"/>
      <c r="I170" s="52"/>
      <c r="J170" s="52"/>
      <c r="K170" s="52"/>
      <c r="L170" s="52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</row>
    <row r="171" ht="18.75" customHeight="1">
      <c r="A171" s="49"/>
      <c r="B171" s="49"/>
      <c r="C171" s="51"/>
      <c r="D171" s="51"/>
      <c r="E171" s="51"/>
      <c r="F171" s="51"/>
      <c r="G171" s="51"/>
      <c r="H171" s="52"/>
      <c r="I171" s="52"/>
      <c r="J171" s="52"/>
      <c r="K171" s="52"/>
      <c r="L171" s="52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</row>
    <row r="172" ht="18.75" customHeight="1">
      <c r="A172" s="49"/>
      <c r="B172" s="49"/>
      <c r="C172" s="51"/>
      <c r="D172" s="51"/>
      <c r="E172" s="51"/>
      <c r="F172" s="51"/>
      <c r="G172" s="51"/>
      <c r="H172" s="52"/>
      <c r="I172" s="52"/>
      <c r="J172" s="52"/>
      <c r="K172" s="52"/>
      <c r="L172" s="52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</row>
    <row r="173" ht="18.75" customHeight="1">
      <c r="A173" s="49"/>
      <c r="B173" s="49"/>
      <c r="C173" s="51"/>
      <c r="D173" s="51"/>
      <c r="E173" s="51"/>
      <c r="F173" s="51"/>
      <c r="G173" s="51"/>
      <c r="H173" s="52"/>
      <c r="I173" s="52"/>
      <c r="J173" s="52"/>
      <c r="K173" s="52"/>
      <c r="L173" s="52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</row>
    <row r="174" ht="18.75" customHeight="1">
      <c r="A174" s="49"/>
      <c r="B174" s="49"/>
      <c r="C174" s="51"/>
      <c r="D174" s="51"/>
      <c r="E174" s="51"/>
      <c r="F174" s="51"/>
      <c r="G174" s="51"/>
      <c r="H174" s="52"/>
      <c r="I174" s="52"/>
      <c r="J174" s="52"/>
      <c r="K174" s="52"/>
      <c r="L174" s="52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</row>
    <row r="175" ht="18.75" customHeight="1">
      <c r="A175" s="49"/>
      <c r="B175" s="49"/>
      <c r="C175" s="51"/>
      <c r="D175" s="51"/>
      <c r="E175" s="51"/>
      <c r="F175" s="51"/>
      <c r="G175" s="51"/>
      <c r="H175" s="52"/>
      <c r="I175" s="52"/>
      <c r="J175" s="52"/>
      <c r="K175" s="52"/>
      <c r="L175" s="52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</row>
    <row r="176" ht="18.75" customHeight="1">
      <c r="A176" s="49"/>
      <c r="B176" s="49"/>
      <c r="C176" s="51"/>
      <c r="D176" s="51"/>
      <c r="E176" s="51"/>
      <c r="F176" s="51"/>
      <c r="G176" s="51"/>
      <c r="H176" s="52"/>
      <c r="I176" s="52"/>
      <c r="J176" s="52"/>
      <c r="K176" s="52"/>
      <c r="L176" s="52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</row>
    <row r="177" ht="18.75" customHeight="1">
      <c r="A177" s="49"/>
      <c r="B177" s="49"/>
      <c r="C177" s="51"/>
      <c r="D177" s="51"/>
      <c r="E177" s="51"/>
      <c r="F177" s="51"/>
      <c r="G177" s="51"/>
      <c r="H177" s="52"/>
      <c r="I177" s="52"/>
      <c r="J177" s="52"/>
      <c r="K177" s="52"/>
      <c r="L177" s="52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</row>
    <row r="178" ht="18.75" customHeight="1">
      <c r="A178" s="49"/>
      <c r="B178" s="49"/>
      <c r="C178" s="51"/>
      <c r="D178" s="51"/>
      <c r="E178" s="51"/>
      <c r="F178" s="51"/>
      <c r="G178" s="51"/>
      <c r="H178" s="52"/>
      <c r="I178" s="52"/>
      <c r="J178" s="52"/>
      <c r="K178" s="52"/>
      <c r="L178" s="52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</row>
    <row r="179" ht="18.75" customHeight="1">
      <c r="A179" s="49"/>
      <c r="B179" s="49"/>
      <c r="C179" s="51"/>
      <c r="D179" s="51"/>
      <c r="E179" s="51"/>
      <c r="F179" s="51"/>
      <c r="G179" s="51"/>
      <c r="H179" s="52"/>
      <c r="I179" s="52"/>
      <c r="J179" s="52"/>
      <c r="K179" s="52"/>
      <c r="L179" s="52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</row>
    <row r="180" ht="18.75" customHeight="1">
      <c r="A180" s="49"/>
      <c r="B180" s="49"/>
      <c r="C180" s="51"/>
      <c r="D180" s="51"/>
      <c r="E180" s="51"/>
      <c r="F180" s="51"/>
      <c r="G180" s="51"/>
      <c r="H180" s="52"/>
      <c r="I180" s="52"/>
      <c r="J180" s="52"/>
      <c r="K180" s="52"/>
      <c r="L180" s="52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</row>
    <row r="181" ht="18.75" customHeight="1">
      <c r="A181" s="49"/>
      <c r="B181" s="49"/>
      <c r="C181" s="51"/>
      <c r="D181" s="51"/>
      <c r="E181" s="51"/>
      <c r="F181" s="51"/>
      <c r="G181" s="51"/>
      <c r="H181" s="52"/>
      <c r="I181" s="52"/>
      <c r="J181" s="52"/>
      <c r="K181" s="52"/>
      <c r="L181" s="52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</row>
    <row r="182" ht="18.75" customHeight="1">
      <c r="A182" s="49"/>
      <c r="B182" s="49"/>
      <c r="C182" s="51"/>
      <c r="D182" s="51"/>
      <c r="E182" s="51"/>
      <c r="F182" s="51"/>
      <c r="G182" s="51"/>
      <c r="H182" s="52"/>
      <c r="I182" s="52"/>
      <c r="J182" s="52"/>
      <c r="K182" s="52"/>
      <c r="L182" s="52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</row>
    <row r="183" ht="18.75" customHeight="1">
      <c r="A183" s="49"/>
      <c r="B183" s="49"/>
      <c r="C183" s="51"/>
      <c r="D183" s="51"/>
      <c r="E183" s="51"/>
      <c r="F183" s="51"/>
      <c r="G183" s="51"/>
      <c r="H183" s="52"/>
      <c r="I183" s="52"/>
      <c r="J183" s="52"/>
      <c r="K183" s="52"/>
      <c r="L183" s="52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</row>
    <row r="184" ht="18.75" customHeight="1">
      <c r="A184" s="49"/>
      <c r="B184" s="49"/>
      <c r="C184" s="51"/>
      <c r="D184" s="51"/>
      <c r="E184" s="51"/>
      <c r="F184" s="51"/>
      <c r="G184" s="51"/>
      <c r="H184" s="52"/>
      <c r="I184" s="52"/>
      <c r="J184" s="52"/>
      <c r="K184" s="52"/>
      <c r="L184" s="52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</row>
    <row r="185" ht="18.75" customHeight="1">
      <c r="A185" s="49"/>
      <c r="B185" s="49"/>
      <c r="C185" s="51"/>
      <c r="D185" s="51"/>
      <c r="E185" s="51"/>
      <c r="F185" s="51"/>
      <c r="G185" s="51"/>
      <c r="H185" s="52"/>
      <c r="I185" s="52"/>
      <c r="J185" s="52"/>
      <c r="K185" s="52"/>
      <c r="L185" s="52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</row>
    <row r="186" ht="18.75" customHeight="1">
      <c r="A186" s="49"/>
      <c r="B186" s="49"/>
      <c r="C186" s="51"/>
      <c r="D186" s="51"/>
      <c r="E186" s="51"/>
      <c r="F186" s="51"/>
      <c r="G186" s="51"/>
      <c r="H186" s="52"/>
      <c r="I186" s="52"/>
      <c r="J186" s="52"/>
      <c r="K186" s="52"/>
      <c r="L186" s="52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</row>
    <row r="187" ht="18.75" customHeight="1">
      <c r="A187" s="49"/>
      <c r="B187" s="49"/>
      <c r="C187" s="51"/>
      <c r="D187" s="51"/>
      <c r="E187" s="51"/>
      <c r="F187" s="51"/>
      <c r="G187" s="51"/>
      <c r="H187" s="52"/>
      <c r="I187" s="52"/>
      <c r="J187" s="52"/>
      <c r="K187" s="52"/>
      <c r="L187" s="52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</row>
    <row r="188" ht="18.75" customHeight="1">
      <c r="A188" s="49"/>
      <c r="B188" s="49"/>
      <c r="C188" s="51"/>
      <c r="D188" s="51"/>
      <c r="E188" s="51"/>
      <c r="F188" s="51"/>
      <c r="G188" s="51"/>
      <c r="H188" s="52"/>
      <c r="I188" s="52"/>
      <c r="J188" s="52"/>
      <c r="K188" s="52"/>
      <c r="L188" s="52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</row>
    <row r="189" ht="18.75" customHeight="1">
      <c r="A189" s="49"/>
      <c r="B189" s="49"/>
      <c r="C189" s="51"/>
      <c r="D189" s="51"/>
      <c r="E189" s="51"/>
      <c r="F189" s="51"/>
      <c r="G189" s="51"/>
      <c r="H189" s="52"/>
      <c r="I189" s="52"/>
      <c r="J189" s="52"/>
      <c r="K189" s="52"/>
      <c r="L189" s="52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</row>
    <row r="190" ht="18.75" customHeight="1">
      <c r="A190" s="49"/>
      <c r="B190" s="49"/>
      <c r="C190" s="51"/>
      <c r="D190" s="51"/>
      <c r="E190" s="51"/>
      <c r="F190" s="51"/>
      <c r="G190" s="51"/>
      <c r="H190" s="52"/>
      <c r="I190" s="52"/>
      <c r="J190" s="52"/>
      <c r="K190" s="52"/>
      <c r="L190" s="52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</row>
    <row r="191" ht="18.75" customHeight="1">
      <c r="A191" s="49"/>
      <c r="B191" s="49"/>
      <c r="C191" s="51"/>
      <c r="D191" s="51"/>
      <c r="E191" s="51"/>
      <c r="F191" s="51"/>
      <c r="G191" s="51"/>
      <c r="H191" s="52"/>
      <c r="I191" s="52"/>
      <c r="J191" s="52"/>
      <c r="K191" s="52"/>
      <c r="L191" s="52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</row>
    <row r="192" ht="18.75" customHeight="1">
      <c r="A192" s="49"/>
      <c r="B192" s="49"/>
      <c r="C192" s="51"/>
      <c r="D192" s="51"/>
      <c r="E192" s="51"/>
      <c r="F192" s="51"/>
      <c r="G192" s="51"/>
      <c r="H192" s="52"/>
      <c r="I192" s="52"/>
      <c r="J192" s="52"/>
      <c r="K192" s="52"/>
      <c r="L192" s="52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</row>
    <row r="193" ht="18.75" customHeight="1">
      <c r="A193" s="49"/>
      <c r="B193" s="49"/>
      <c r="C193" s="51"/>
      <c r="D193" s="51"/>
      <c r="E193" s="51"/>
      <c r="F193" s="51"/>
      <c r="G193" s="51"/>
      <c r="H193" s="52"/>
      <c r="I193" s="52"/>
      <c r="J193" s="52"/>
      <c r="K193" s="52"/>
      <c r="L193" s="52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</row>
    <row r="194" ht="18.75" customHeight="1">
      <c r="A194" s="49"/>
      <c r="B194" s="49"/>
      <c r="C194" s="51"/>
      <c r="D194" s="51"/>
      <c r="E194" s="51"/>
      <c r="F194" s="51"/>
      <c r="G194" s="51"/>
      <c r="H194" s="52"/>
      <c r="I194" s="52"/>
      <c r="J194" s="52"/>
      <c r="K194" s="52"/>
      <c r="L194" s="52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</row>
    <row r="195" ht="18.75" customHeight="1">
      <c r="A195" s="49"/>
      <c r="B195" s="49"/>
      <c r="C195" s="51"/>
      <c r="D195" s="51"/>
      <c r="E195" s="51"/>
      <c r="F195" s="51"/>
      <c r="G195" s="51"/>
      <c r="H195" s="52"/>
      <c r="I195" s="52"/>
      <c r="J195" s="52"/>
      <c r="K195" s="52"/>
      <c r="L195" s="52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</row>
    <row r="196" ht="18.75" customHeight="1">
      <c r="A196" s="49"/>
      <c r="B196" s="49"/>
      <c r="C196" s="51"/>
      <c r="D196" s="51"/>
      <c r="E196" s="51"/>
      <c r="F196" s="51"/>
      <c r="G196" s="51"/>
      <c r="H196" s="52"/>
      <c r="I196" s="52"/>
      <c r="J196" s="52"/>
      <c r="K196" s="52"/>
      <c r="L196" s="52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</row>
    <row r="197" ht="18.75" customHeight="1">
      <c r="A197" s="49"/>
      <c r="B197" s="49"/>
      <c r="C197" s="51"/>
      <c r="D197" s="51"/>
      <c r="E197" s="51"/>
      <c r="F197" s="51"/>
      <c r="G197" s="51"/>
      <c r="H197" s="52"/>
      <c r="I197" s="52"/>
      <c r="J197" s="52"/>
      <c r="K197" s="52"/>
      <c r="L197" s="52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</row>
    <row r="198" ht="18.75" customHeight="1">
      <c r="A198" s="49"/>
      <c r="B198" s="49"/>
      <c r="C198" s="51"/>
      <c r="D198" s="51"/>
      <c r="E198" s="51"/>
      <c r="F198" s="51"/>
      <c r="G198" s="51"/>
      <c r="H198" s="52"/>
      <c r="I198" s="52"/>
      <c r="J198" s="52"/>
      <c r="K198" s="52"/>
      <c r="L198" s="52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</row>
    <row r="199" ht="18.75" customHeight="1">
      <c r="A199" s="49"/>
      <c r="B199" s="49"/>
      <c r="C199" s="51"/>
      <c r="D199" s="51"/>
      <c r="E199" s="51"/>
      <c r="F199" s="51"/>
      <c r="G199" s="51"/>
      <c r="H199" s="52"/>
      <c r="I199" s="52"/>
      <c r="J199" s="52"/>
      <c r="K199" s="52"/>
      <c r="L199" s="52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</row>
    <row r="200" ht="18.75" customHeight="1">
      <c r="A200" s="49"/>
      <c r="B200" s="49"/>
      <c r="C200" s="51"/>
      <c r="D200" s="51"/>
      <c r="E200" s="51"/>
      <c r="F200" s="51"/>
      <c r="G200" s="51"/>
      <c r="H200" s="52"/>
      <c r="I200" s="52"/>
      <c r="J200" s="52"/>
      <c r="K200" s="52"/>
      <c r="L200" s="52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</row>
    <row r="201" ht="18.75" customHeight="1">
      <c r="A201" s="49"/>
      <c r="B201" s="49"/>
      <c r="C201" s="51"/>
      <c r="D201" s="51"/>
      <c r="E201" s="51"/>
      <c r="F201" s="51"/>
      <c r="G201" s="51"/>
      <c r="H201" s="52"/>
      <c r="I201" s="52"/>
      <c r="J201" s="52"/>
      <c r="K201" s="52"/>
      <c r="L201" s="52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</row>
    <row r="202" ht="18.75" customHeight="1">
      <c r="A202" s="49"/>
      <c r="B202" s="49"/>
      <c r="C202" s="51"/>
      <c r="D202" s="51"/>
      <c r="E202" s="51"/>
      <c r="F202" s="51"/>
      <c r="G202" s="51"/>
      <c r="H202" s="52"/>
      <c r="I202" s="52"/>
      <c r="J202" s="52"/>
      <c r="K202" s="52"/>
      <c r="L202" s="52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</row>
    <row r="203" ht="18.75" customHeight="1">
      <c r="A203" s="49"/>
      <c r="B203" s="49"/>
      <c r="C203" s="51"/>
      <c r="D203" s="51"/>
      <c r="E203" s="51"/>
      <c r="F203" s="51"/>
      <c r="G203" s="51"/>
      <c r="H203" s="52"/>
      <c r="I203" s="52"/>
      <c r="J203" s="52"/>
      <c r="K203" s="52"/>
      <c r="L203" s="52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</row>
    <row r="204" ht="18.75" customHeight="1">
      <c r="A204" s="49"/>
      <c r="B204" s="49"/>
      <c r="C204" s="51"/>
      <c r="D204" s="51"/>
      <c r="E204" s="51"/>
      <c r="F204" s="51"/>
      <c r="G204" s="51"/>
      <c r="H204" s="52"/>
      <c r="I204" s="52"/>
      <c r="J204" s="52"/>
      <c r="K204" s="52"/>
      <c r="L204" s="52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</row>
    <row r="205" ht="18.75" customHeight="1">
      <c r="A205" s="49"/>
      <c r="B205" s="49"/>
      <c r="C205" s="51"/>
      <c r="D205" s="51"/>
      <c r="E205" s="51"/>
      <c r="F205" s="51"/>
      <c r="G205" s="51"/>
      <c r="H205" s="52"/>
      <c r="I205" s="52"/>
      <c r="J205" s="52"/>
      <c r="K205" s="52"/>
      <c r="L205" s="52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</row>
    <row r="206" ht="18.75" customHeight="1">
      <c r="A206" s="49"/>
      <c r="B206" s="49"/>
      <c r="C206" s="51"/>
      <c r="D206" s="51"/>
      <c r="E206" s="51"/>
      <c r="F206" s="51"/>
      <c r="G206" s="51"/>
      <c r="H206" s="52"/>
      <c r="I206" s="52"/>
      <c r="J206" s="52"/>
      <c r="K206" s="52"/>
      <c r="L206" s="52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</row>
    <row r="207" ht="18.75" customHeight="1">
      <c r="A207" s="49"/>
      <c r="B207" s="49"/>
      <c r="C207" s="51"/>
      <c r="D207" s="51"/>
      <c r="E207" s="51"/>
      <c r="F207" s="51"/>
      <c r="G207" s="51"/>
      <c r="H207" s="52"/>
      <c r="I207" s="52"/>
      <c r="J207" s="52"/>
      <c r="K207" s="52"/>
      <c r="L207" s="52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</row>
    <row r="208" ht="18.75" customHeight="1">
      <c r="A208" s="49"/>
      <c r="B208" s="49"/>
      <c r="C208" s="51"/>
      <c r="D208" s="51"/>
      <c r="E208" s="51"/>
      <c r="F208" s="51"/>
      <c r="G208" s="51"/>
      <c r="H208" s="52"/>
      <c r="I208" s="52"/>
      <c r="J208" s="52"/>
      <c r="K208" s="52"/>
      <c r="L208" s="52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</row>
    <row r="209" ht="18.75" customHeight="1">
      <c r="A209" s="49"/>
      <c r="B209" s="49"/>
      <c r="C209" s="51"/>
      <c r="D209" s="51"/>
      <c r="E209" s="51"/>
      <c r="F209" s="51"/>
      <c r="G209" s="51"/>
      <c r="H209" s="52"/>
      <c r="I209" s="52"/>
      <c r="J209" s="52"/>
      <c r="K209" s="52"/>
      <c r="L209" s="52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</row>
    <row r="210" ht="18.75" customHeight="1">
      <c r="A210" s="49"/>
      <c r="B210" s="49"/>
      <c r="C210" s="51"/>
      <c r="D210" s="51"/>
      <c r="E210" s="51"/>
      <c r="F210" s="51"/>
      <c r="G210" s="51"/>
      <c r="H210" s="52"/>
      <c r="I210" s="52"/>
      <c r="J210" s="52"/>
      <c r="K210" s="52"/>
      <c r="L210" s="52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</row>
    <row r="211" ht="18.75" customHeight="1">
      <c r="A211" s="49"/>
      <c r="B211" s="49"/>
      <c r="C211" s="51"/>
      <c r="D211" s="51"/>
      <c r="E211" s="51"/>
      <c r="F211" s="51"/>
      <c r="G211" s="51"/>
      <c r="H211" s="52"/>
      <c r="I211" s="52"/>
      <c r="J211" s="52"/>
      <c r="K211" s="52"/>
      <c r="L211" s="52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</row>
    <row r="212" ht="18.75" customHeight="1">
      <c r="A212" s="49"/>
      <c r="B212" s="49"/>
      <c r="C212" s="51"/>
      <c r="D212" s="51"/>
      <c r="E212" s="51"/>
      <c r="F212" s="51"/>
      <c r="G212" s="51"/>
      <c r="H212" s="52"/>
      <c r="I212" s="52"/>
      <c r="J212" s="52"/>
      <c r="K212" s="52"/>
      <c r="L212" s="52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</row>
    <row r="213" ht="18.75" customHeight="1">
      <c r="A213" s="49"/>
      <c r="B213" s="49"/>
      <c r="C213" s="51"/>
      <c r="D213" s="51"/>
      <c r="E213" s="51"/>
      <c r="F213" s="51"/>
      <c r="G213" s="51"/>
      <c r="H213" s="52"/>
      <c r="I213" s="52"/>
      <c r="J213" s="52"/>
      <c r="K213" s="52"/>
      <c r="L213" s="52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</row>
    <row r="214" ht="18.75" customHeight="1">
      <c r="A214" s="49"/>
      <c r="B214" s="49"/>
      <c r="C214" s="51"/>
      <c r="D214" s="51"/>
      <c r="E214" s="51"/>
      <c r="F214" s="51"/>
      <c r="G214" s="51"/>
      <c r="H214" s="52"/>
      <c r="I214" s="52"/>
      <c r="J214" s="52"/>
      <c r="K214" s="52"/>
      <c r="L214" s="52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</row>
    <row r="215" ht="18.75" customHeight="1">
      <c r="A215" s="49"/>
      <c r="B215" s="49"/>
      <c r="C215" s="51"/>
      <c r="D215" s="51"/>
      <c r="E215" s="51"/>
      <c r="F215" s="51"/>
      <c r="G215" s="51"/>
      <c r="H215" s="52"/>
      <c r="I215" s="52"/>
      <c r="J215" s="52"/>
      <c r="K215" s="52"/>
      <c r="L215" s="52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</row>
    <row r="216" ht="18.75" customHeight="1">
      <c r="A216" s="49"/>
      <c r="B216" s="49"/>
      <c r="C216" s="51"/>
      <c r="D216" s="51"/>
      <c r="E216" s="51"/>
      <c r="F216" s="51"/>
      <c r="G216" s="51"/>
      <c r="H216" s="52"/>
      <c r="I216" s="52"/>
      <c r="J216" s="52"/>
      <c r="K216" s="52"/>
      <c r="L216" s="52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</row>
    <row r="217" ht="18.75" customHeight="1">
      <c r="A217" s="49"/>
      <c r="B217" s="49"/>
      <c r="C217" s="51"/>
      <c r="D217" s="51"/>
      <c r="E217" s="51"/>
      <c r="F217" s="51"/>
      <c r="G217" s="51"/>
      <c r="H217" s="52"/>
      <c r="I217" s="52"/>
      <c r="J217" s="52"/>
      <c r="K217" s="52"/>
      <c r="L217" s="52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</row>
    <row r="218" ht="18.75" customHeight="1">
      <c r="A218" s="49"/>
      <c r="B218" s="49"/>
      <c r="C218" s="51"/>
      <c r="D218" s="51"/>
      <c r="E218" s="51"/>
      <c r="F218" s="51"/>
      <c r="G218" s="51"/>
      <c r="H218" s="52"/>
      <c r="I218" s="52"/>
      <c r="J218" s="52"/>
      <c r="K218" s="52"/>
      <c r="L218" s="52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</row>
    <row r="219" ht="18.75" customHeight="1">
      <c r="A219" s="49"/>
      <c r="B219" s="49"/>
      <c r="C219" s="51"/>
      <c r="D219" s="51"/>
      <c r="E219" s="51"/>
      <c r="F219" s="51"/>
      <c r="G219" s="51"/>
      <c r="H219" s="52"/>
      <c r="I219" s="52"/>
      <c r="J219" s="52"/>
      <c r="K219" s="52"/>
      <c r="L219" s="52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</row>
    <row r="220" ht="18.75" customHeight="1">
      <c r="A220" s="49"/>
      <c r="B220" s="49"/>
      <c r="C220" s="51"/>
      <c r="D220" s="51"/>
      <c r="E220" s="51"/>
      <c r="F220" s="51"/>
      <c r="G220" s="51"/>
      <c r="H220" s="52"/>
      <c r="I220" s="52"/>
      <c r="J220" s="52"/>
      <c r="K220" s="52"/>
      <c r="L220" s="52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</row>
    <row r="221" ht="14.25" customHeight="1">
      <c r="A221" s="49"/>
      <c r="B221" s="49"/>
      <c r="C221" s="51"/>
      <c r="D221" s="51"/>
      <c r="E221" s="51"/>
      <c r="F221" s="51"/>
      <c r="G221" s="51"/>
      <c r="H221" s="52"/>
      <c r="I221" s="52"/>
      <c r="J221" s="52"/>
      <c r="K221" s="52"/>
      <c r="L221" s="52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</row>
    <row r="222" ht="14.25" customHeight="1">
      <c r="A222" s="49"/>
      <c r="B222" s="49"/>
      <c r="C222" s="51"/>
      <c r="D222" s="51"/>
      <c r="E222" s="51"/>
      <c r="F222" s="51"/>
      <c r="G222" s="51"/>
      <c r="H222" s="52"/>
      <c r="I222" s="52"/>
      <c r="J222" s="52"/>
      <c r="K222" s="52"/>
      <c r="L222" s="52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</row>
    <row r="223" ht="14.25" customHeight="1">
      <c r="A223" s="49"/>
      <c r="B223" s="49"/>
      <c r="C223" s="51"/>
      <c r="D223" s="51"/>
      <c r="E223" s="51"/>
      <c r="F223" s="51"/>
      <c r="G223" s="51"/>
      <c r="H223" s="52"/>
      <c r="I223" s="52"/>
      <c r="J223" s="52"/>
      <c r="K223" s="52"/>
      <c r="L223" s="52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</row>
    <row r="224" ht="14.25" customHeight="1">
      <c r="A224" s="49"/>
      <c r="B224" s="49"/>
      <c r="C224" s="51"/>
      <c r="D224" s="51"/>
      <c r="E224" s="51"/>
      <c r="F224" s="51"/>
      <c r="G224" s="51"/>
      <c r="H224" s="52"/>
      <c r="I224" s="52"/>
      <c r="J224" s="52"/>
      <c r="K224" s="52"/>
      <c r="L224" s="52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</row>
    <row r="225" ht="14.25" customHeight="1">
      <c r="A225" s="49"/>
      <c r="B225" s="49"/>
      <c r="C225" s="51"/>
      <c r="D225" s="51"/>
      <c r="E225" s="51"/>
      <c r="F225" s="51"/>
      <c r="G225" s="51"/>
      <c r="H225" s="52"/>
      <c r="I225" s="52"/>
      <c r="J225" s="52"/>
      <c r="K225" s="52"/>
      <c r="L225" s="52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</row>
    <row r="226" ht="14.25" customHeight="1">
      <c r="A226" s="49"/>
      <c r="B226" s="49"/>
      <c r="C226" s="51"/>
      <c r="D226" s="51"/>
      <c r="E226" s="51"/>
      <c r="F226" s="51"/>
      <c r="G226" s="51"/>
      <c r="H226" s="52"/>
      <c r="I226" s="52"/>
      <c r="J226" s="52"/>
      <c r="K226" s="52"/>
      <c r="L226" s="52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</row>
    <row r="227" ht="14.25" customHeight="1">
      <c r="A227" s="49"/>
      <c r="B227" s="49"/>
      <c r="C227" s="51"/>
      <c r="D227" s="51"/>
      <c r="E227" s="51"/>
      <c r="F227" s="51"/>
      <c r="G227" s="51"/>
      <c r="H227" s="52"/>
      <c r="I227" s="52"/>
      <c r="J227" s="52"/>
      <c r="K227" s="52"/>
      <c r="L227" s="52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</row>
    <row r="228" ht="14.25" customHeight="1">
      <c r="A228" s="49"/>
      <c r="B228" s="49"/>
      <c r="C228" s="51"/>
      <c r="D228" s="51"/>
      <c r="E228" s="51"/>
      <c r="F228" s="51"/>
      <c r="G228" s="51"/>
      <c r="H228" s="52"/>
      <c r="I228" s="52"/>
      <c r="J228" s="52"/>
      <c r="K228" s="52"/>
      <c r="L228" s="52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</row>
    <row r="229" ht="14.25" customHeight="1">
      <c r="A229" s="49"/>
      <c r="B229" s="49"/>
      <c r="C229" s="51"/>
      <c r="D229" s="51"/>
      <c r="E229" s="51"/>
      <c r="F229" s="51"/>
      <c r="G229" s="51"/>
      <c r="H229" s="52"/>
      <c r="I229" s="52"/>
      <c r="J229" s="52"/>
      <c r="K229" s="52"/>
      <c r="L229" s="52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</row>
    <row r="230" ht="14.25" customHeight="1">
      <c r="A230" s="49"/>
      <c r="B230" s="49"/>
      <c r="C230" s="51"/>
      <c r="D230" s="51"/>
      <c r="E230" s="51"/>
      <c r="F230" s="51"/>
      <c r="G230" s="51"/>
      <c r="H230" s="52"/>
      <c r="I230" s="52"/>
      <c r="J230" s="52"/>
      <c r="K230" s="52"/>
      <c r="L230" s="52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</row>
    <row r="231" ht="14.25" customHeight="1">
      <c r="A231" s="49"/>
      <c r="B231" s="49"/>
      <c r="C231" s="51"/>
      <c r="D231" s="51"/>
      <c r="E231" s="51"/>
      <c r="F231" s="51"/>
      <c r="G231" s="51"/>
      <c r="H231" s="52"/>
      <c r="I231" s="52"/>
      <c r="J231" s="52"/>
      <c r="K231" s="52"/>
      <c r="L231" s="52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</row>
    <row r="232" ht="14.25" customHeight="1">
      <c r="A232" s="49"/>
      <c r="B232" s="49"/>
      <c r="C232" s="51"/>
      <c r="D232" s="51"/>
      <c r="E232" s="51"/>
      <c r="F232" s="51"/>
      <c r="G232" s="51"/>
      <c r="H232" s="52"/>
      <c r="I232" s="52"/>
      <c r="J232" s="52"/>
      <c r="K232" s="52"/>
      <c r="L232" s="52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</row>
    <row r="233" ht="14.25" customHeight="1">
      <c r="A233" s="49"/>
      <c r="B233" s="49"/>
      <c r="C233" s="51"/>
      <c r="D233" s="51"/>
      <c r="E233" s="51"/>
      <c r="F233" s="51"/>
      <c r="G233" s="51"/>
      <c r="H233" s="52"/>
      <c r="I233" s="52"/>
      <c r="J233" s="52"/>
      <c r="K233" s="52"/>
      <c r="L233" s="52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</row>
    <row r="234" ht="14.25" customHeight="1">
      <c r="A234" s="49"/>
      <c r="B234" s="49"/>
      <c r="C234" s="51"/>
      <c r="D234" s="51"/>
      <c r="E234" s="51"/>
      <c r="F234" s="51"/>
      <c r="G234" s="51"/>
      <c r="H234" s="52"/>
      <c r="I234" s="52"/>
      <c r="J234" s="52"/>
      <c r="K234" s="52"/>
      <c r="L234" s="52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</row>
    <row r="235" ht="14.25" customHeight="1">
      <c r="A235" s="49"/>
      <c r="B235" s="49"/>
      <c r="C235" s="51"/>
      <c r="D235" s="51"/>
      <c r="E235" s="51"/>
      <c r="F235" s="51"/>
      <c r="G235" s="51"/>
      <c r="H235" s="52"/>
      <c r="I235" s="52"/>
      <c r="J235" s="52"/>
      <c r="K235" s="52"/>
      <c r="L235" s="52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</row>
    <row r="236" ht="14.25" customHeight="1">
      <c r="A236" s="49"/>
      <c r="B236" s="49"/>
      <c r="C236" s="51"/>
      <c r="D236" s="51"/>
      <c r="E236" s="51"/>
      <c r="F236" s="51"/>
      <c r="G236" s="51"/>
      <c r="H236" s="52"/>
      <c r="I236" s="52"/>
      <c r="J236" s="52"/>
      <c r="K236" s="52"/>
      <c r="L236" s="52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</row>
    <row r="237" ht="14.25" customHeight="1">
      <c r="A237" s="49"/>
      <c r="B237" s="49"/>
      <c r="C237" s="51"/>
      <c r="D237" s="51"/>
      <c r="E237" s="51"/>
      <c r="F237" s="51"/>
      <c r="G237" s="51"/>
      <c r="H237" s="52"/>
      <c r="I237" s="52"/>
      <c r="J237" s="52"/>
      <c r="K237" s="52"/>
      <c r="L237" s="52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</row>
    <row r="238" ht="14.25" customHeight="1">
      <c r="A238" s="49"/>
      <c r="B238" s="49"/>
      <c r="C238" s="51"/>
      <c r="D238" s="51"/>
      <c r="E238" s="51"/>
      <c r="F238" s="51"/>
      <c r="G238" s="51"/>
      <c r="H238" s="52"/>
      <c r="I238" s="52"/>
      <c r="J238" s="52"/>
      <c r="K238" s="52"/>
      <c r="L238" s="52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</row>
    <row r="239" ht="14.25" customHeight="1">
      <c r="A239" s="49"/>
      <c r="B239" s="49"/>
      <c r="C239" s="51"/>
      <c r="D239" s="51"/>
      <c r="E239" s="51"/>
      <c r="F239" s="51"/>
      <c r="G239" s="51"/>
      <c r="H239" s="52"/>
      <c r="I239" s="52"/>
      <c r="J239" s="52"/>
      <c r="K239" s="52"/>
      <c r="L239" s="52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</row>
    <row r="240" ht="14.25" customHeight="1">
      <c r="A240" s="49"/>
      <c r="B240" s="49"/>
      <c r="C240" s="51"/>
      <c r="D240" s="51"/>
      <c r="E240" s="51"/>
      <c r="F240" s="51"/>
      <c r="G240" s="51"/>
      <c r="H240" s="52"/>
      <c r="I240" s="52"/>
      <c r="J240" s="52"/>
      <c r="K240" s="52"/>
      <c r="L240" s="52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</row>
    <row r="241" ht="14.25" customHeight="1">
      <c r="A241" s="49"/>
      <c r="B241" s="49"/>
      <c r="C241" s="51"/>
      <c r="D241" s="51"/>
      <c r="E241" s="51"/>
      <c r="F241" s="51"/>
      <c r="G241" s="51"/>
      <c r="H241" s="52"/>
      <c r="I241" s="52"/>
      <c r="J241" s="52"/>
      <c r="K241" s="52"/>
      <c r="L241" s="52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</row>
    <row r="242" ht="14.25" customHeight="1">
      <c r="A242" s="49"/>
      <c r="B242" s="49"/>
      <c r="C242" s="51"/>
      <c r="D242" s="51"/>
      <c r="E242" s="51"/>
      <c r="F242" s="51"/>
      <c r="G242" s="51"/>
      <c r="H242" s="52"/>
      <c r="I242" s="52"/>
      <c r="J242" s="52"/>
      <c r="K242" s="52"/>
      <c r="L242" s="52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</row>
    <row r="243" ht="14.25" customHeight="1">
      <c r="A243" s="49"/>
      <c r="B243" s="49"/>
      <c r="C243" s="51"/>
      <c r="D243" s="51"/>
      <c r="E243" s="51"/>
      <c r="F243" s="51"/>
      <c r="G243" s="51"/>
      <c r="H243" s="52"/>
      <c r="I243" s="52"/>
      <c r="J243" s="52"/>
      <c r="K243" s="52"/>
      <c r="L243" s="52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</row>
    <row r="244" ht="14.25" customHeight="1">
      <c r="A244" s="49"/>
      <c r="B244" s="49"/>
      <c r="C244" s="51"/>
      <c r="D244" s="51"/>
      <c r="E244" s="51"/>
      <c r="F244" s="51"/>
      <c r="G244" s="51"/>
      <c r="H244" s="52"/>
      <c r="I244" s="52"/>
      <c r="J244" s="52"/>
      <c r="K244" s="52"/>
      <c r="L244" s="52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</row>
    <row r="245" ht="14.25" customHeight="1">
      <c r="A245" s="49"/>
      <c r="B245" s="49"/>
      <c r="C245" s="51"/>
      <c r="D245" s="51"/>
      <c r="E245" s="51"/>
      <c r="F245" s="51"/>
      <c r="G245" s="51"/>
      <c r="H245" s="52"/>
      <c r="I245" s="52"/>
      <c r="J245" s="52"/>
      <c r="K245" s="52"/>
      <c r="L245" s="52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</row>
    <row r="246" ht="14.25" customHeight="1">
      <c r="A246" s="49"/>
      <c r="B246" s="49"/>
      <c r="C246" s="51"/>
      <c r="D246" s="51"/>
      <c r="E246" s="51"/>
      <c r="F246" s="51"/>
      <c r="G246" s="51"/>
      <c r="H246" s="52"/>
      <c r="I246" s="52"/>
      <c r="J246" s="52"/>
      <c r="K246" s="52"/>
      <c r="L246" s="52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</row>
    <row r="247" ht="14.25" customHeight="1">
      <c r="A247" s="49"/>
      <c r="B247" s="49"/>
      <c r="C247" s="51"/>
      <c r="D247" s="51"/>
      <c r="E247" s="51"/>
      <c r="F247" s="51"/>
      <c r="G247" s="51"/>
      <c r="H247" s="52"/>
      <c r="I247" s="52"/>
      <c r="J247" s="52"/>
      <c r="K247" s="52"/>
      <c r="L247" s="52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</row>
    <row r="248" ht="14.25" customHeight="1">
      <c r="A248" s="49"/>
      <c r="B248" s="49"/>
      <c r="C248" s="51"/>
      <c r="D248" s="51"/>
      <c r="E248" s="51"/>
      <c r="F248" s="51"/>
      <c r="G248" s="51"/>
      <c r="H248" s="52"/>
      <c r="I248" s="52"/>
      <c r="J248" s="52"/>
      <c r="K248" s="52"/>
      <c r="L248" s="52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</row>
    <row r="249" ht="14.25" customHeight="1">
      <c r="A249" s="49"/>
      <c r="B249" s="49"/>
      <c r="C249" s="51"/>
      <c r="D249" s="51"/>
      <c r="E249" s="51"/>
      <c r="F249" s="51"/>
      <c r="G249" s="51"/>
      <c r="H249" s="52"/>
      <c r="I249" s="52"/>
      <c r="J249" s="52"/>
      <c r="K249" s="52"/>
      <c r="L249" s="52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</row>
    <row r="250" ht="14.25" customHeight="1">
      <c r="A250" s="49"/>
      <c r="B250" s="49"/>
      <c r="C250" s="51"/>
      <c r="D250" s="51"/>
      <c r="E250" s="51"/>
      <c r="F250" s="51"/>
      <c r="G250" s="51"/>
      <c r="H250" s="52"/>
      <c r="I250" s="52"/>
      <c r="J250" s="52"/>
      <c r="K250" s="52"/>
      <c r="L250" s="52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</row>
    <row r="251" ht="14.25" customHeight="1">
      <c r="A251" s="49"/>
      <c r="B251" s="49"/>
      <c r="C251" s="51"/>
      <c r="D251" s="51"/>
      <c r="E251" s="51"/>
      <c r="F251" s="51"/>
      <c r="G251" s="51"/>
      <c r="H251" s="52"/>
      <c r="I251" s="52"/>
      <c r="J251" s="52"/>
      <c r="K251" s="52"/>
      <c r="L251" s="52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</row>
    <row r="252" ht="14.25" customHeight="1">
      <c r="A252" s="49"/>
      <c r="B252" s="49"/>
      <c r="C252" s="51"/>
      <c r="D252" s="51"/>
      <c r="E252" s="51"/>
      <c r="F252" s="51"/>
      <c r="G252" s="51"/>
      <c r="H252" s="52"/>
      <c r="I252" s="52"/>
      <c r="J252" s="52"/>
      <c r="K252" s="52"/>
      <c r="L252" s="52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</row>
    <row r="253" ht="14.25" customHeight="1">
      <c r="A253" s="49"/>
      <c r="B253" s="49"/>
      <c r="C253" s="51"/>
      <c r="D253" s="51"/>
      <c r="E253" s="51"/>
      <c r="F253" s="51"/>
      <c r="G253" s="51"/>
      <c r="H253" s="52"/>
      <c r="I253" s="52"/>
      <c r="J253" s="52"/>
      <c r="K253" s="52"/>
      <c r="L253" s="52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</row>
    <row r="254" ht="14.25" customHeight="1">
      <c r="A254" s="49"/>
      <c r="B254" s="49"/>
      <c r="C254" s="51"/>
      <c r="D254" s="51"/>
      <c r="E254" s="51"/>
      <c r="F254" s="51"/>
      <c r="G254" s="51"/>
      <c r="H254" s="52"/>
      <c r="I254" s="52"/>
      <c r="J254" s="52"/>
      <c r="K254" s="52"/>
      <c r="L254" s="52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</row>
    <row r="255" ht="14.25" customHeight="1">
      <c r="A255" s="49"/>
      <c r="B255" s="49"/>
      <c r="C255" s="51"/>
      <c r="D255" s="51"/>
      <c r="E255" s="51"/>
      <c r="F255" s="51"/>
      <c r="G255" s="51"/>
      <c r="H255" s="52"/>
      <c r="I255" s="52"/>
      <c r="J255" s="52"/>
      <c r="K255" s="52"/>
      <c r="L255" s="52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</row>
    <row r="256" ht="14.25" customHeight="1">
      <c r="A256" s="49"/>
      <c r="B256" s="49"/>
      <c r="C256" s="51"/>
      <c r="D256" s="51"/>
      <c r="E256" s="51"/>
      <c r="F256" s="51"/>
      <c r="G256" s="51"/>
      <c r="H256" s="52"/>
      <c r="I256" s="52"/>
      <c r="J256" s="52"/>
      <c r="K256" s="52"/>
      <c r="L256" s="52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</row>
    <row r="257" ht="14.25" customHeight="1">
      <c r="A257" s="49"/>
      <c r="B257" s="49"/>
      <c r="C257" s="51"/>
      <c r="D257" s="51"/>
      <c r="E257" s="51"/>
      <c r="F257" s="51"/>
      <c r="G257" s="51"/>
      <c r="H257" s="52"/>
      <c r="I257" s="52"/>
      <c r="J257" s="52"/>
      <c r="K257" s="52"/>
      <c r="L257" s="52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</row>
    <row r="258" ht="14.25" customHeight="1">
      <c r="A258" s="49"/>
      <c r="B258" s="49"/>
      <c r="C258" s="51"/>
      <c r="D258" s="51"/>
      <c r="E258" s="51"/>
      <c r="F258" s="51"/>
      <c r="G258" s="51"/>
      <c r="H258" s="52"/>
      <c r="I258" s="52"/>
      <c r="J258" s="52"/>
      <c r="K258" s="52"/>
      <c r="L258" s="52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</row>
    <row r="259" ht="14.25" customHeight="1">
      <c r="A259" s="49"/>
      <c r="B259" s="49"/>
      <c r="C259" s="51"/>
      <c r="D259" s="51"/>
      <c r="E259" s="51"/>
      <c r="F259" s="51"/>
      <c r="G259" s="51"/>
      <c r="H259" s="52"/>
      <c r="I259" s="52"/>
      <c r="J259" s="52"/>
      <c r="K259" s="52"/>
      <c r="L259" s="52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</row>
    <row r="260" ht="14.25" customHeight="1">
      <c r="A260" s="49"/>
      <c r="B260" s="49"/>
      <c r="C260" s="51"/>
      <c r="D260" s="51"/>
      <c r="E260" s="51"/>
      <c r="F260" s="51"/>
      <c r="G260" s="51"/>
      <c r="H260" s="52"/>
      <c r="I260" s="52"/>
      <c r="J260" s="52"/>
      <c r="K260" s="52"/>
      <c r="L260" s="52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</row>
    <row r="261" ht="14.25" customHeight="1">
      <c r="A261" s="49"/>
      <c r="B261" s="49"/>
      <c r="C261" s="51"/>
      <c r="D261" s="51"/>
      <c r="E261" s="51"/>
      <c r="F261" s="51"/>
      <c r="G261" s="51"/>
      <c r="H261" s="52"/>
      <c r="I261" s="52"/>
      <c r="J261" s="52"/>
      <c r="K261" s="52"/>
      <c r="L261" s="52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</row>
    <row r="262" ht="14.25" customHeight="1">
      <c r="A262" s="49"/>
      <c r="B262" s="49"/>
      <c r="C262" s="51"/>
      <c r="D262" s="51"/>
      <c r="E262" s="51"/>
      <c r="F262" s="51"/>
      <c r="G262" s="51"/>
      <c r="H262" s="52"/>
      <c r="I262" s="52"/>
      <c r="J262" s="52"/>
      <c r="K262" s="52"/>
      <c r="L262" s="52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</row>
    <row r="263" ht="14.25" customHeight="1">
      <c r="A263" s="49"/>
      <c r="B263" s="49"/>
      <c r="C263" s="51"/>
      <c r="D263" s="51"/>
      <c r="E263" s="51"/>
      <c r="F263" s="51"/>
      <c r="G263" s="51"/>
      <c r="H263" s="52"/>
      <c r="I263" s="52"/>
      <c r="J263" s="52"/>
      <c r="K263" s="52"/>
      <c r="L263" s="52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</row>
    <row r="264" ht="14.25" customHeight="1">
      <c r="A264" s="49"/>
      <c r="B264" s="49"/>
      <c r="C264" s="51"/>
      <c r="D264" s="51"/>
      <c r="E264" s="51"/>
      <c r="F264" s="51"/>
      <c r="G264" s="51"/>
      <c r="H264" s="52"/>
      <c r="I264" s="52"/>
      <c r="J264" s="52"/>
      <c r="K264" s="52"/>
      <c r="L264" s="52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</row>
    <row r="265" ht="14.25" customHeight="1">
      <c r="A265" s="49"/>
      <c r="B265" s="49"/>
      <c r="C265" s="51"/>
      <c r="D265" s="51"/>
      <c r="E265" s="51"/>
      <c r="F265" s="51"/>
      <c r="G265" s="51"/>
      <c r="H265" s="52"/>
      <c r="I265" s="52"/>
      <c r="J265" s="52"/>
      <c r="K265" s="52"/>
      <c r="L265" s="52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</row>
    <row r="266" ht="14.25" customHeight="1">
      <c r="A266" s="49"/>
      <c r="B266" s="49"/>
      <c r="C266" s="51"/>
      <c r="D266" s="51"/>
      <c r="E266" s="51"/>
      <c r="F266" s="51"/>
      <c r="G266" s="51"/>
      <c r="H266" s="52"/>
      <c r="I266" s="52"/>
      <c r="J266" s="52"/>
      <c r="K266" s="52"/>
      <c r="L266" s="52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</row>
    <row r="267" ht="14.25" customHeight="1">
      <c r="A267" s="49"/>
      <c r="B267" s="49"/>
      <c r="C267" s="51"/>
      <c r="D267" s="51"/>
      <c r="E267" s="51"/>
      <c r="F267" s="51"/>
      <c r="G267" s="51"/>
      <c r="H267" s="52"/>
      <c r="I267" s="52"/>
      <c r="J267" s="52"/>
      <c r="K267" s="52"/>
      <c r="L267" s="52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</row>
    <row r="268" ht="14.25" customHeight="1">
      <c r="A268" s="49"/>
      <c r="B268" s="49"/>
      <c r="C268" s="51"/>
      <c r="D268" s="51"/>
      <c r="E268" s="51"/>
      <c r="F268" s="51"/>
      <c r="G268" s="51"/>
      <c r="H268" s="52"/>
      <c r="I268" s="52"/>
      <c r="J268" s="52"/>
      <c r="K268" s="52"/>
      <c r="L268" s="52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</row>
    <row r="269" ht="14.25" customHeight="1">
      <c r="A269" s="49"/>
      <c r="B269" s="49"/>
      <c r="C269" s="51"/>
      <c r="D269" s="51"/>
      <c r="E269" s="51"/>
      <c r="F269" s="51"/>
      <c r="G269" s="51"/>
      <c r="H269" s="52"/>
      <c r="I269" s="52"/>
      <c r="J269" s="52"/>
      <c r="K269" s="52"/>
      <c r="L269" s="52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</row>
    <row r="270" ht="14.25" customHeight="1">
      <c r="A270" s="49"/>
      <c r="B270" s="49"/>
      <c r="C270" s="51"/>
      <c r="D270" s="51"/>
      <c r="E270" s="51"/>
      <c r="F270" s="51"/>
      <c r="G270" s="51"/>
      <c r="H270" s="52"/>
      <c r="I270" s="52"/>
      <c r="J270" s="52"/>
      <c r="K270" s="52"/>
      <c r="L270" s="52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</row>
    <row r="271" ht="14.25" customHeight="1">
      <c r="A271" s="49"/>
      <c r="B271" s="49"/>
      <c r="C271" s="51"/>
      <c r="D271" s="51"/>
      <c r="E271" s="51"/>
      <c r="F271" s="51"/>
      <c r="G271" s="51"/>
      <c r="H271" s="52"/>
      <c r="I271" s="52"/>
      <c r="J271" s="52"/>
      <c r="K271" s="52"/>
      <c r="L271" s="52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</row>
    <row r="272" ht="14.25" customHeight="1">
      <c r="A272" s="49"/>
      <c r="B272" s="49"/>
      <c r="C272" s="51"/>
      <c r="D272" s="51"/>
      <c r="E272" s="51"/>
      <c r="F272" s="51"/>
      <c r="G272" s="51"/>
      <c r="H272" s="52"/>
      <c r="I272" s="52"/>
      <c r="J272" s="52"/>
      <c r="K272" s="52"/>
      <c r="L272" s="52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</row>
    <row r="273" ht="14.25" customHeight="1">
      <c r="A273" s="49"/>
      <c r="B273" s="49"/>
      <c r="C273" s="51"/>
      <c r="D273" s="51"/>
      <c r="E273" s="51"/>
      <c r="F273" s="51"/>
      <c r="G273" s="51"/>
      <c r="H273" s="52"/>
      <c r="I273" s="52"/>
      <c r="J273" s="52"/>
      <c r="K273" s="52"/>
      <c r="L273" s="52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</row>
    <row r="274" ht="14.25" customHeight="1">
      <c r="A274" s="49"/>
      <c r="B274" s="49"/>
      <c r="C274" s="51"/>
      <c r="D274" s="51"/>
      <c r="E274" s="51"/>
      <c r="F274" s="51"/>
      <c r="G274" s="51"/>
      <c r="H274" s="52"/>
      <c r="I274" s="52"/>
      <c r="J274" s="52"/>
      <c r="K274" s="52"/>
      <c r="L274" s="52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</row>
    <row r="275" ht="14.25" customHeight="1">
      <c r="A275" s="49"/>
      <c r="B275" s="49"/>
      <c r="C275" s="51"/>
      <c r="D275" s="51"/>
      <c r="E275" s="51"/>
      <c r="F275" s="51"/>
      <c r="G275" s="51"/>
      <c r="H275" s="52"/>
      <c r="I275" s="52"/>
      <c r="J275" s="52"/>
      <c r="K275" s="52"/>
      <c r="L275" s="52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</row>
    <row r="276" ht="14.25" customHeight="1">
      <c r="A276" s="49"/>
      <c r="B276" s="49"/>
      <c r="C276" s="51"/>
      <c r="D276" s="51"/>
      <c r="E276" s="51"/>
      <c r="F276" s="51"/>
      <c r="G276" s="51"/>
      <c r="H276" s="52"/>
      <c r="I276" s="52"/>
      <c r="J276" s="52"/>
      <c r="K276" s="52"/>
      <c r="L276" s="52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</row>
    <row r="277" ht="14.25" customHeight="1">
      <c r="A277" s="49"/>
      <c r="B277" s="49"/>
      <c r="C277" s="51"/>
      <c r="D277" s="51"/>
      <c r="E277" s="51"/>
      <c r="F277" s="51"/>
      <c r="G277" s="51"/>
      <c r="H277" s="52"/>
      <c r="I277" s="52"/>
      <c r="J277" s="52"/>
      <c r="K277" s="52"/>
      <c r="L277" s="52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</row>
    <row r="278" ht="14.25" customHeight="1">
      <c r="A278" s="49"/>
      <c r="B278" s="49"/>
      <c r="C278" s="51"/>
      <c r="D278" s="51"/>
      <c r="E278" s="51"/>
      <c r="F278" s="51"/>
      <c r="G278" s="51"/>
      <c r="H278" s="52"/>
      <c r="I278" s="52"/>
      <c r="J278" s="52"/>
      <c r="K278" s="52"/>
      <c r="L278" s="52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</row>
    <row r="279" ht="14.25" customHeight="1">
      <c r="A279" s="49"/>
      <c r="B279" s="49"/>
      <c r="C279" s="51"/>
      <c r="D279" s="51"/>
      <c r="E279" s="51"/>
      <c r="F279" s="51"/>
      <c r="G279" s="51"/>
      <c r="H279" s="52"/>
      <c r="I279" s="52"/>
      <c r="J279" s="52"/>
      <c r="K279" s="52"/>
      <c r="L279" s="52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</row>
    <row r="280" ht="14.25" customHeight="1">
      <c r="A280" s="49"/>
      <c r="B280" s="49"/>
      <c r="C280" s="51"/>
      <c r="D280" s="51"/>
      <c r="E280" s="51"/>
      <c r="F280" s="51"/>
      <c r="G280" s="51"/>
      <c r="H280" s="52"/>
      <c r="I280" s="52"/>
      <c r="J280" s="52"/>
      <c r="K280" s="52"/>
      <c r="L280" s="52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</row>
    <row r="281" ht="14.25" customHeight="1">
      <c r="A281" s="49"/>
      <c r="B281" s="49"/>
      <c r="C281" s="51"/>
      <c r="D281" s="51"/>
      <c r="E281" s="51"/>
      <c r="F281" s="51"/>
      <c r="G281" s="51"/>
      <c r="H281" s="52"/>
      <c r="I281" s="52"/>
      <c r="J281" s="52"/>
      <c r="K281" s="52"/>
      <c r="L281" s="52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</row>
    <row r="282" ht="14.25" customHeight="1">
      <c r="A282" s="49"/>
      <c r="B282" s="49"/>
      <c r="C282" s="51"/>
      <c r="D282" s="51"/>
      <c r="E282" s="51"/>
      <c r="F282" s="51"/>
      <c r="G282" s="51"/>
      <c r="H282" s="52"/>
      <c r="I282" s="52"/>
      <c r="J282" s="52"/>
      <c r="K282" s="52"/>
      <c r="L282" s="52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</row>
    <row r="283" ht="14.25" customHeight="1">
      <c r="A283" s="49"/>
      <c r="B283" s="49"/>
      <c r="C283" s="51"/>
      <c r="D283" s="51"/>
      <c r="E283" s="51"/>
      <c r="F283" s="51"/>
      <c r="G283" s="51"/>
      <c r="H283" s="52"/>
      <c r="I283" s="52"/>
      <c r="J283" s="52"/>
      <c r="K283" s="52"/>
      <c r="L283" s="52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</row>
    <row r="284" ht="14.25" customHeight="1">
      <c r="A284" s="49"/>
      <c r="B284" s="49"/>
      <c r="C284" s="51"/>
      <c r="D284" s="51"/>
      <c r="E284" s="51"/>
      <c r="F284" s="51"/>
      <c r="G284" s="51"/>
      <c r="H284" s="52"/>
      <c r="I284" s="52"/>
      <c r="J284" s="52"/>
      <c r="K284" s="52"/>
      <c r="L284" s="52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</row>
    <row r="285" ht="14.25" customHeight="1">
      <c r="A285" s="49"/>
      <c r="B285" s="49"/>
      <c r="C285" s="51"/>
      <c r="D285" s="51"/>
      <c r="E285" s="51"/>
      <c r="F285" s="51"/>
      <c r="G285" s="51"/>
      <c r="H285" s="52"/>
      <c r="I285" s="52"/>
      <c r="J285" s="52"/>
      <c r="K285" s="52"/>
      <c r="L285" s="52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</row>
    <row r="286" ht="14.25" customHeight="1">
      <c r="A286" s="49"/>
      <c r="B286" s="49"/>
      <c r="C286" s="51"/>
      <c r="D286" s="51"/>
      <c r="E286" s="51"/>
      <c r="F286" s="51"/>
      <c r="G286" s="51"/>
      <c r="H286" s="52"/>
      <c r="I286" s="52"/>
      <c r="J286" s="52"/>
      <c r="K286" s="52"/>
      <c r="L286" s="52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</row>
    <row r="287" ht="14.25" customHeight="1">
      <c r="A287" s="49"/>
      <c r="B287" s="49"/>
      <c r="C287" s="51"/>
      <c r="D287" s="51"/>
      <c r="E287" s="51"/>
      <c r="F287" s="51"/>
      <c r="G287" s="51"/>
      <c r="H287" s="52"/>
      <c r="I287" s="52"/>
      <c r="J287" s="52"/>
      <c r="K287" s="52"/>
      <c r="L287" s="52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</row>
    <row r="288" ht="14.25" customHeight="1">
      <c r="A288" s="49"/>
      <c r="B288" s="49"/>
      <c r="C288" s="51"/>
      <c r="D288" s="51"/>
      <c r="E288" s="51"/>
      <c r="F288" s="51"/>
      <c r="G288" s="51"/>
      <c r="H288" s="52"/>
      <c r="I288" s="52"/>
      <c r="J288" s="52"/>
      <c r="K288" s="52"/>
      <c r="L288" s="52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</row>
    <row r="289" ht="14.25" customHeight="1">
      <c r="A289" s="49"/>
      <c r="B289" s="49"/>
      <c r="C289" s="51"/>
      <c r="D289" s="51"/>
      <c r="E289" s="51"/>
      <c r="F289" s="51"/>
      <c r="G289" s="51"/>
      <c r="H289" s="52"/>
      <c r="I289" s="52"/>
      <c r="J289" s="52"/>
      <c r="K289" s="52"/>
      <c r="L289" s="52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</row>
    <row r="290" ht="14.25" customHeight="1">
      <c r="A290" s="49"/>
      <c r="B290" s="49"/>
      <c r="C290" s="51"/>
      <c r="D290" s="51"/>
      <c r="E290" s="51"/>
      <c r="F290" s="51"/>
      <c r="G290" s="51"/>
      <c r="H290" s="52"/>
      <c r="I290" s="52"/>
      <c r="J290" s="52"/>
      <c r="K290" s="52"/>
      <c r="L290" s="52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</row>
    <row r="291" ht="14.25" customHeight="1">
      <c r="A291" s="49"/>
      <c r="B291" s="49"/>
      <c r="C291" s="51"/>
      <c r="D291" s="51"/>
      <c r="E291" s="51"/>
      <c r="F291" s="51"/>
      <c r="G291" s="51"/>
      <c r="H291" s="52"/>
      <c r="I291" s="52"/>
      <c r="J291" s="52"/>
      <c r="K291" s="52"/>
      <c r="L291" s="52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</row>
    <row r="292" ht="14.25" customHeight="1">
      <c r="A292" s="49"/>
      <c r="B292" s="49"/>
      <c r="C292" s="51"/>
      <c r="D292" s="51"/>
      <c r="E292" s="51"/>
      <c r="F292" s="51"/>
      <c r="G292" s="51"/>
      <c r="H292" s="52"/>
      <c r="I292" s="52"/>
      <c r="J292" s="52"/>
      <c r="K292" s="52"/>
      <c r="L292" s="52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</row>
    <row r="293" ht="14.25" customHeight="1">
      <c r="A293" s="49"/>
      <c r="B293" s="49"/>
      <c r="C293" s="51"/>
      <c r="D293" s="51"/>
      <c r="E293" s="51"/>
      <c r="F293" s="51"/>
      <c r="G293" s="51"/>
      <c r="H293" s="52"/>
      <c r="I293" s="52"/>
      <c r="J293" s="52"/>
      <c r="K293" s="52"/>
      <c r="L293" s="52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</row>
    <row r="294" ht="14.25" customHeight="1">
      <c r="A294" s="49"/>
      <c r="B294" s="49"/>
      <c r="C294" s="51"/>
      <c r="D294" s="51"/>
      <c r="E294" s="51"/>
      <c r="F294" s="51"/>
      <c r="G294" s="51"/>
      <c r="H294" s="52"/>
      <c r="I294" s="52"/>
      <c r="J294" s="52"/>
      <c r="K294" s="52"/>
      <c r="L294" s="52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</row>
    <row r="295" ht="14.25" customHeight="1">
      <c r="A295" s="49"/>
      <c r="B295" s="49"/>
      <c r="C295" s="51"/>
      <c r="D295" s="51"/>
      <c r="E295" s="51"/>
      <c r="F295" s="51"/>
      <c r="G295" s="51"/>
      <c r="H295" s="52"/>
      <c r="I295" s="52"/>
      <c r="J295" s="52"/>
      <c r="K295" s="52"/>
      <c r="L295" s="52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</row>
    <row r="296" ht="14.25" customHeight="1">
      <c r="A296" s="49"/>
      <c r="B296" s="49"/>
      <c r="C296" s="51"/>
      <c r="D296" s="51"/>
      <c r="E296" s="51"/>
      <c r="F296" s="51"/>
      <c r="G296" s="51"/>
      <c r="H296" s="52"/>
      <c r="I296" s="52"/>
      <c r="J296" s="52"/>
      <c r="K296" s="52"/>
      <c r="L296" s="52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</row>
    <row r="297" ht="14.25" customHeight="1">
      <c r="A297" s="49"/>
      <c r="B297" s="49"/>
      <c r="C297" s="51"/>
      <c r="D297" s="51"/>
      <c r="E297" s="51"/>
      <c r="F297" s="51"/>
      <c r="G297" s="51"/>
      <c r="H297" s="52"/>
      <c r="I297" s="52"/>
      <c r="J297" s="52"/>
      <c r="K297" s="52"/>
      <c r="L297" s="52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</row>
    <row r="298" ht="14.25" customHeight="1">
      <c r="A298" s="49"/>
      <c r="B298" s="49"/>
      <c r="C298" s="51"/>
      <c r="D298" s="51"/>
      <c r="E298" s="51"/>
      <c r="F298" s="51"/>
      <c r="G298" s="51"/>
      <c r="H298" s="52"/>
      <c r="I298" s="52"/>
      <c r="J298" s="52"/>
      <c r="K298" s="52"/>
      <c r="L298" s="52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</row>
    <row r="299" ht="14.25" customHeight="1">
      <c r="A299" s="49"/>
      <c r="B299" s="49"/>
      <c r="C299" s="51"/>
      <c r="D299" s="51"/>
      <c r="E299" s="51"/>
      <c r="F299" s="51"/>
      <c r="G299" s="51"/>
      <c r="H299" s="52"/>
      <c r="I299" s="52"/>
      <c r="J299" s="52"/>
      <c r="K299" s="52"/>
      <c r="L299" s="52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</row>
    <row r="300" ht="14.25" customHeight="1">
      <c r="A300" s="49"/>
      <c r="B300" s="49"/>
      <c r="C300" s="51"/>
      <c r="D300" s="51"/>
      <c r="E300" s="51"/>
      <c r="F300" s="51"/>
      <c r="G300" s="51"/>
      <c r="H300" s="52"/>
      <c r="I300" s="52"/>
      <c r="J300" s="52"/>
      <c r="K300" s="52"/>
      <c r="L300" s="52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</row>
    <row r="301" ht="14.25" customHeight="1">
      <c r="A301" s="49"/>
      <c r="B301" s="49"/>
      <c r="C301" s="51"/>
      <c r="D301" s="51"/>
      <c r="E301" s="51"/>
      <c r="F301" s="51"/>
      <c r="G301" s="51"/>
      <c r="H301" s="52"/>
      <c r="I301" s="52"/>
      <c r="J301" s="52"/>
      <c r="K301" s="52"/>
      <c r="L301" s="52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</row>
    <row r="302" ht="14.25" customHeight="1">
      <c r="A302" s="49"/>
      <c r="B302" s="49"/>
      <c r="C302" s="51"/>
      <c r="D302" s="51"/>
      <c r="E302" s="51"/>
      <c r="F302" s="51"/>
      <c r="G302" s="51"/>
      <c r="H302" s="52"/>
      <c r="I302" s="52"/>
      <c r="J302" s="52"/>
      <c r="K302" s="52"/>
      <c r="L302" s="52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</row>
    <row r="303" ht="14.25" customHeight="1">
      <c r="A303" s="49"/>
      <c r="B303" s="49"/>
      <c r="C303" s="51"/>
      <c r="D303" s="51"/>
      <c r="E303" s="51"/>
      <c r="F303" s="51"/>
      <c r="G303" s="51"/>
      <c r="H303" s="52"/>
      <c r="I303" s="52"/>
      <c r="J303" s="52"/>
      <c r="K303" s="52"/>
      <c r="L303" s="52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</row>
    <row r="304" ht="14.25" customHeight="1">
      <c r="A304" s="49"/>
      <c r="B304" s="49"/>
      <c r="C304" s="51"/>
      <c r="D304" s="51"/>
      <c r="E304" s="51"/>
      <c r="F304" s="51"/>
      <c r="G304" s="51"/>
      <c r="H304" s="52"/>
      <c r="I304" s="52"/>
      <c r="J304" s="52"/>
      <c r="K304" s="52"/>
      <c r="L304" s="52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</row>
    <row r="305" ht="14.25" customHeight="1">
      <c r="A305" s="49"/>
      <c r="B305" s="49"/>
      <c r="C305" s="51"/>
      <c r="D305" s="51"/>
      <c r="E305" s="51"/>
      <c r="F305" s="51"/>
      <c r="G305" s="51"/>
      <c r="H305" s="52"/>
      <c r="I305" s="52"/>
      <c r="J305" s="52"/>
      <c r="K305" s="52"/>
      <c r="L305" s="52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</row>
    <row r="306" ht="14.25" customHeight="1">
      <c r="A306" s="49"/>
      <c r="B306" s="49"/>
      <c r="C306" s="51"/>
      <c r="D306" s="51"/>
      <c r="E306" s="51"/>
      <c r="F306" s="51"/>
      <c r="G306" s="51"/>
      <c r="H306" s="52"/>
      <c r="I306" s="52"/>
      <c r="J306" s="52"/>
      <c r="K306" s="52"/>
      <c r="L306" s="52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</row>
    <row r="307" ht="14.25" customHeight="1">
      <c r="A307" s="49"/>
      <c r="B307" s="49"/>
      <c r="C307" s="51"/>
      <c r="D307" s="51"/>
      <c r="E307" s="51"/>
      <c r="F307" s="51"/>
      <c r="G307" s="51"/>
      <c r="H307" s="52"/>
      <c r="I307" s="52"/>
      <c r="J307" s="52"/>
      <c r="K307" s="52"/>
      <c r="L307" s="52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</row>
    <row r="308" ht="14.25" customHeight="1">
      <c r="A308" s="49"/>
      <c r="B308" s="49"/>
      <c r="C308" s="51"/>
      <c r="D308" s="51"/>
      <c r="E308" s="51"/>
      <c r="F308" s="51"/>
      <c r="G308" s="51"/>
      <c r="H308" s="52"/>
      <c r="I308" s="52"/>
      <c r="J308" s="52"/>
      <c r="K308" s="52"/>
      <c r="L308" s="52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</row>
    <row r="309" ht="14.25" customHeight="1">
      <c r="A309" s="49"/>
      <c r="B309" s="49"/>
      <c r="C309" s="51"/>
      <c r="D309" s="51"/>
      <c r="E309" s="51"/>
      <c r="F309" s="51"/>
      <c r="G309" s="51"/>
      <c r="H309" s="52"/>
      <c r="I309" s="52"/>
      <c r="J309" s="52"/>
      <c r="K309" s="52"/>
      <c r="L309" s="52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</row>
    <row r="310" ht="14.25" customHeight="1">
      <c r="A310" s="49"/>
      <c r="B310" s="49"/>
      <c r="C310" s="51"/>
      <c r="D310" s="51"/>
      <c r="E310" s="51"/>
      <c r="F310" s="51"/>
      <c r="G310" s="51"/>
      <c r="H310" s="52"/>
      <c r="I310" s="52"/>
      <c r="J310" s="52"/>
      <c r="K310" s="52"/>
      <c r="L310" s="52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</row>
    <row r="311" ht="14.25" customHeight="1">
      <c r="A311" s="49"/>
      <c r="B311" s="49"/>
      <c r="C311" s="51"/>
      <c r="D311" s="51"/>
      <c r="E311" s="51"/>
      <c r="F311" s="51"/>
      <c r="G311" s="51"/>
      <c r="H311" s="52"/>
      <c r="I311" s="52"/>
      <c r="J311" s="52"/>
      <c r="K311" s="52"/>
      <c r="L311" s="52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</row>
    <row r="312" ht="14.25" customHeight="1">
      <c r="A312" s="49"/>
      <c r="B312" s="49"/>
      <c r="C312" s="51"/>
      <c r="D312" s="51"/>
      <c r="E312" s="51"/>
      <c r="F312" s="51"/>
      <c r="G312" s="51"/>
      <c r="H312" s="52"/>
      <c r="I312" s="52"/>
      <c r="J312" s="52"/>
      <c r="K312" s="52"/>
      <c r="L312" s="52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</row>
    <row r="313" ht="14.25" customHeight="1">
      <c r="A313" s="49"/>
      <c r="B313" s="49"/>
      <c r="C313" s="51"/>
      <c r="D313" s="51"/>
      <c r="E313" s="51"/>
      <c r="F313" s="51"/>
      <c r="G313" s="51"/>
      <c r="H313" s="52"/>
      <c r="I313" s="52"/>
      <c r="J313" s="52"/>
      <c r="K313" s="52"/>
      <c r="L313" s="52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</row>
    <row r="314" ht="14.25" customHeight="1">
      <c r="A314" s="49"/>
      <c r="B314" s="49"/>
      <c r="C314" s="51"/>
      <c r="D314" s="51"/>
      <c r="E314" s="51"/>
      <c r="F314" s="51"/>
      <c r="G314" s="51"/>
      <c r="H314" s="52"/>
      <c r="I314" s="52"/>
      <c r="J314" s="52"/>
      <c r="K314" s="52"/>
      <c r="L314" s="52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</row>
    <row r="315" ht="14.25" customHeight="1">
      <c r="A315" s="49"/>
      <c r="B315" s="49"/>
      <c r="C315" s="51"/>
      <c r="D315" s="51"/>
      <c r="E315" s="51"/>
      <c r="F315" s="51"/>
      <c r="G315" s="51"/>
      <c r="H315" s="52"/>
      <c r="I315" s="52"/>
      <c r="J315" s="52"/>
      <c r="K315" s="52"/>
      <c r="L315" s="52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</row>
    <row r="316" ht="14.25" customHeight="1">
      <c r="A316" s="49"/>
      <c r="B316" s="49"/>
      <c r="C316" s="51"/>
      <c r="D316" s="51"/>
      <c r="E316" s="51"/>
      <c r="F316" s="51"/>
      <c r="G316" s="51"/>
      <c r="H316" s="52"/>
      <c r="I316" s="52"/>
      <c r="J316" s="52"/>
      <c r="K316" s="52"/>
      <c r="L316" s="52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</row>
    <row r="317" ht="14.25" customHeight="1">
      <c r="A317" s="49"/>
      <c r="B317" s="49"/>
      <c r="C317" s="51"/>
      <c r="D317" s="51"/>
      <c r="E317" s="51"/>
      <c r="F317" s="51"/>
      <c r="G317" s="51"/>
      <c r="H317" s="52"/>
      <c r="I317" s="52"/>
      <c r="J317" s="52"/>
      <c r="K317" s="52"/>
      <c r="L317" s="52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</row>
    <row r="318" ht="14.25" customHeight="1">
      <c r="A318" s="49"/>
      <c r="B318" s="49"/>
      <c r="C318" s="51"/>
      <c r="D318" s="51"/>
      <c r="E318" s="51"/>
      <c r="F318" s="51"/>
      <c r="G318" s="51"/>
      <c r="H318" s="52"/>
      <c r="I318" s="52"/>
      <c r="J318" s="52"/>
      <c r="K318" s="52"/>
      <c r="L318" s="52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</row>
    <row r="319" ht="14.25" customHeight="1">
      <c r="A319" s="49"/>
      <c r="B319" s="49"/>
      <c r="C319" s="51"/>
      <c r="D319" s="51"/>
      <c r="E319" s="51"/>
      <c r="F319" s="51"/>
      <c r="G319" s="51"/>
      <c r="H319" s="52"/>
      <c r="I319" s="52"/>
      <c r="J319" s="52"/>
      <c r="K319" s="52"/>
      <c r="L319" s="52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</row>
    <row r="320" ht="14.25" customHeight="1">
      <c r="A320" s="49"/>
      <c r="B320" s="49"/>
      <c r="C320" s="51"/>
      <c r="D320" s="51"/>
      <c r="E320" s="51"/>
      <c r="F320" s="51"/>
      <c r="G320" s="51"/>
      <c r="H320" s="52"/>
      <c r="I320" s="52"/>
      <c r="J320" s="52"/>
      <c r="K320" s="52"/>
      <c r="L320" s="52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</row>
    <row r="321" ht="14.25" customHeight="1">
      <c r="A321" s="49"/>
      <c r="B321" s="49"/>
      <c r="C321" s="51"/>
      <c r="D321" s="51"/>
      <c r="E321" s="51"/>
      <c r="F321" s="51"/>
      <c r="G321" s="51"/>
      <c r="H321" s="52"/>
      <c r="I321" s="52"/>
      <c r="J321" s="52"/>
      <c r="K321" s="52"/>
      <c r="L321" s="52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</row>
    <row r="322" ht="14.25" customHeight="1">
      <c r="A322" s="49"/>
      <c r="B322" s="49"/>
      <c r="C322" s="51"/>
      <c r="D322" s="51"/>
      <c r="E322" s="51"/>
      <c r="F322" s="51"/>
      <c r="G322" s="51"/>
      <c r="H322" s="52"/>
      <c r="I322" s="52"/>
      <c r="J322" s="52"/>
      <c r="K322" s="52"/>
      <c r="L322" s="52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</row>
    <row r="323" ht="14.25" customHeight="1">
      <c r="A323" s="49"/>
      <c r="B323" s="49"/>
      <c r="C323" s="51"/>
      <c r="D323" s="51"/>
      <c r="E323" s="51"/>
      <c r="F323" s="51"/>
      <c r="G323" s="51"/>
      <c r="H323" s="52"/>
      <c r="I323" s="52"/>
      <c r="J323" s="52"/>
      <c r="K323" s="52"/>
      <c r="L323" s="52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</row>
    <row r="324" ht="14.25" customHeight="1">
      <c r="A324" s="49"/>
      <c r="B324" s="49"/>
      <c r="C324" s="51"/>
      <c r="D324" s="51"/>
      <c r="E324" s="51"/>
      <c r="F324" s="51"/>
      <c r="G324" s="51"/>
      <c r="H324" s="52"/>
      <c r="I324" s="52"/>
      <c r="J324" s="52"/>
      <c r="K324" s="52"/>
      <c r="L324" s="52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</row>
    <row r="325" ht="14.25" customHeight="1">
      <c r="A325" s="49"/>
      <c r="B325" s="49"/>
      <c r="C325" s="51"/>
      <c r="D325" s="51"/>
      <c r="E325" s="51"/>
      <c r="F325" s="51"/>
      <c r="G325" s="51"/>
      <c r="H325" s="52"/>
      <c r="I325" s="52"/>
      <c r="J325" s="52"/>
      <c r="K325" s="52"/>
      <c r="L325" s="52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</row>
    <row r="326" ht="14.25" customHeight="1">
      <c r="A326" s="49"/>
      <c r="B326" s="49"/>
      <c r="C326" s="51"/>
      <c r="D326" s="51"/>
      <c r="E326" s="51"/>
      <c r="F326" s="51"/>
      <c r="G326" s="51"/>
      <c r="H326" s="52"/>
      <c r="I326" s="52"/>
      <c r="J326" s="52"/>
      <c r="K326" s="52"/>
      <c r="L326" s="52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</row>
    <row r="327" ht="14.25" customHeight="1">
      <c r="A327" s="49"/>
      <c r="B327" s="49"/>
      <c r="C327" s="51"/>
      <c r="D327" s="51"/>
      <c r="E327" s="51"/>
      <c r="F327" s="51"/>
      <c r="G327" s="51"/>
      <c r="H327" s="52"/>
      <c r="I327" s="52"/>
      <c r="J327" s="52"/>
      <c r="K327" s="52"/>
      <c r="L327" s="52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</row>
    <row r="328" ht="14.25" customHeight="1">
      <c r="A328" s="49"/>
      <c r="B328" s="49"/>
      <c r="C328" s="51"/>
      <c r="D328" s="51"/>
      <c r="E328" s="51"/>
      <c r="F328" s="51"/>
      <c r="G328" s="51"/>
      <c r="H328" s="52"/>
      <c r="I328" s="52"/>
      <c r="J328" s="52"/>
      <c r="K328" s="52"/>
      <c r="L328" s="52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</row>
    <row r="329" ht="14.25" customHeight="1">
      <c r="A329" s="49"/>
      <c r="B329" s="49"/>
      <c r="C329" s="51"/>
      <c r="D329" s="51"/>
      <c r="E329" s="51"/>
      <c r="F329" s="51"/>
      <c r="G329" s="51"/>
      <c r="H329" s="52"/>
      <c r="I329" s="52"/>
      <c r="J329" s="52"/>
      <c r="K329" s="52"/>
      <c r="L329" s="52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</row>
    <row r="330" ht="14.25" customHeight="1">
      <c r="A330" s="49"/>
      <c r="B330" s="49"/>
      <c r="C330" s="51"/>
      <c r="D330" s="51"/>
      <c r="E330" s="51"/>
      <c r="F330" s="51"/>
      <c r="G330" s="51"/>
      <c r="H330" s="52"/>
      <c r="I330" s="52"/>
      <c r="J330" s="52"/>
      <c r="K330" s="52"/>
      <c r="L330" s="52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</row>
    <row r="331" ht="14.25" customHeight="1">
      <c r="A331" s="49"/>
      <c r="B331" s="49"/>
      <c r="C331" s="51"/>
      <c r="D331" s="51"/>
      <c r="E331" s="51"/>
      <c r="F331" s="51"/>
      <c r="G331" s="51"/>
      <c r="H331" s="52"/>
      <c r="I331" s="52"/>
      <c r="J331" s="52"/>
      <c r="K331" s="52"/>
      <c r="L331" s="52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</row>
    <row r="332" ht="14.25" customHeight="1">
      <c r="A332" s="49"/>
      <c r="B332" s="49"/>
      <c r="C332" s="51"/>
      <c r="D332" s="51"/>
      <c r="E332" s="51"/>
      <c r="F332" s="51"/>
      <c r="G332" s="51"/>
      <c r="H332" s="52"/>
      <c r="I332" s="52"/>
      <c r="J332" s="52"/>
      <c r="K332" s="52"/>
      <c r="L332" s="52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</row>
    <row r="333" ht="14.25" customHeight="1">
      <c r="A333" s="49"/>
      <c r="B333" s="49"/>
      <c r="C333" s="51"/>
      <c r="D333" s="51"/>
      <c r="E333" s="51"/>
      <c r="F333" s="51"/>
      <c r="G333" s="51"/>
      <c r="H333" s="52"/>
      <c r="I333" s="52"/>
      <c r="J333" s="52"/>
      <c r="K333" s="52"/>
      <c r="L333" s="52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</row>
    <row r="334" ht="14.25" customHeight="1">
      <c r="A334" s="49"/>
      <c r="B334" s="49"/>
      <c r="C334" s="51"/>
      <c r="D334" s="51"/>
      <c r="E334" s="51"/>
      <c r="F334" s="51"/>
      <c r="G334" s="51"/>
      <c r="H334" s="52"/>
      <c r="I334" s="52"/>
      <c r="J334" s="52"/>
      <c r="K334" s="52"/>
      <c r="L334" s="52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</row>
    <row r="335" ht="14.25" customHeight="1">
      <c r="A335" s="49"/>
      <c r="B335" s="49"/>
      <c r="C335" s="51"/>
      <c r="D335" s="51"/>
      <c r="E335" s="51"/>
      <c r="F335" s="51"/>
      <c r="G335" s="51"/>
      <c r="H335" s="52"/>
      <c r="I335" s="52"/>
      <c r="J335" s="52"/>
      <c r="K335" s="52"/>
      <c r="L335" s="52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</row>
    <row r="336" ht="14.25" customHeight="1">
      <c r="A336" s="49"/>
      <c r="B336" s="49"/>
      <c r="C336" s="51"/>
      <c r="D336" s="51"/>
      <c r="E336" s="51"/>
      <c r="F336" s="51"/>
      <c r="G336" s="51"/>
      <c r="H336" s="52"/>
      <c r="I336" s="52"/>
      <c r="J336" s="52"/>
      <c r="K336" s="52"/>
      <c r="L336" s="52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</row>
    <row r="337" ht="14.25" customHeight="1">
      <c r="A337" s="49"/>
      <c r="B337" s="49"/>
      <c r="C337" s="51"/>
      <c r="D337" s="51"/>
      <c r="E337" s="51"/>
      <c r="F337" s="51"/>
      <c r="G337" s="51"/>
      <c r="H337" s="52"/>
      <c r="I337" s="52"/>
      <c r="J337" s="52"/>
      <c r="K337" s="52"/>
      <c r="L337" s="52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</row>
    <row r="338" ht="14.25" customHeight="1">
      <c r="A338" s="49"/>
      <c r="B338" s="49"/>
      <c r="C338" s="51"/>
      <c r="D338" s="51"/>
      <c r="E338" s="51"/>
      <c r="F338" s="51"/>
      <c r="G338" s="51"/>
      <c r="H338" s="52"/>
      <c r="I338" s="52"/>
      <c r="J338" s="52"/>
      <c r="K338" s="52"/>
      <c r="L338" s="52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</row>
    <row r="339" ht="14.25" customHeight="1">
      <c r="A339" s="49"/>
      <c r="B339" s="49"/>
      <c r="C339" s="51"/>
      <c r="D339" s="51"/>
      <c r="E339" s="51"/>
      <c r="F339" s="51"/>
      <c r="G339" s="51"/>
      <c r="H339" s="52"/>
      <c r="I339" s="52"/>
      <c r="J339" s="52"/>
      <c r="K339" s="52"/>
      <c r="L339" s="52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</row>
    <row r="340" ht="14.25" customHeight="1">
      <c r="A340" s="49"/>
      <c r="B340" s="49"/>
      <c r="C340" s="51"/>
      <c r="D340" s="51"/>
      <c r="E340" s="51"/>
      <c r="F340" s="51"/>
      <c r="G340" s="51"/>
      <c r="H340" s="52"/>
      <c r="I340" s="52"/>
      <c r="J340" s="52"/>
      <c r="K340" s="52"/>
      <c r="L340" s="52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</row>
    <row r="341" ht="14.25" customHeight="1">
      <c r="A341" s="49"/>
      <c r="B341" s="49"/>
      <c r="C341" s="51"/>
      <c r="D341" s="51"/>
      <c r="E341" s="51"/>
      <c r="F341" s="51"/>
      <c r="G341" s="51"/>
      <c r="H341" s="52"/>
      <c r="I341" s="52"/>
      <c r="J341" s="52"/>
      <c r="K341" s="52"/>
      <c r="L341" s="52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</row>
    <row r="342" ht="14.25" customHeight="1">
      <c r="A342" s="49"/>
      <c r="B342" s="49"/>
      <c r="C342" s="51"/>
      <c r="D342" s="51"/>
      <c r="E342" s="51"/>
      <c r="F342" s="51"/>
      <c r="G342" s="51"/>
      <c r="H342" s="52"/>
      <c r="I342" s="52"/>
      <c r="J342" s="52"/>
      <c r="K342" s="52"/>
      <c r="L342" s="52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</row>
    <row r="343" ht="14.25" customHeight="1">
      <c r="A343" s="49"/>
      <c r="B343" s="49"/>
      <c r="C343" s="51"/>
      <c r="D343" s="51"/>
      <c r="E343" s="51"/>
      <c r="F343" s="51"/>
      <c r="G343" s="51"/>
      <c r="H343" s="52"/>
      <c r="I343" s="52"/>
      <c r="J343" s="52"/>
      <c r="K343" s="52"/>
      <c r="L343" s="52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</row>
    <row r="344" ht="14.25" customHeight="1">
      <c r="A344" s="49"/>
      <c r="B344" s="49"/>
      <c r="C344" s="51"/>
      <c r="D344" s="51"/>
      <c r="E344" s="51"/>
      <c r="F344" s="51"/>
      <c r="G344" s="51"/>
      <c r="H344" s="52"/>
      <c r="I344" s="52"/>
      <c r="J344" s="52"/>
      <c r="K344" s="52"/>
      <c r="L344" s="52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</row>
    <row r="345" ht="14.25" customHeight="1">
      <c r="A345" s="49"/>
      <c r="B345" s="49"/>
      <c r="C345" s="51"/>
      <c r="D345" s="51"/>
      <c r="E345" s="51"/>
      <c r="F345" s="51"/>
      <c r="G345" s="51"/>
      <c r="H345" s="52"/>
      <c r="I345" s="52"/>
      <c r="J345" s="52"/>
      <c r="K345" s="52"/>
      <c r="L345" s="52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</row>
    <row r="346" ht="14.25" customHeight="1">
      <c r="A346" s="49"/>
      <c r="B346" s="49"/>
      <c r="C346" s="51"/>
      <c r="D346" s="51"/>
      <c r="E346" s="51"/>
      <c r="F346" s="51"/>
      <c r="G346" s="51"/>
      <c r="H346" s="52"/>
      <c r="I346" s="52"/>
      <c r="J346" s="52"/>
      <c r="K346" s="52"/>
      <c r="L346" s="52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</row>
    <row r="347" ht="14.25" customHeight="1">
      <c r="A347" s="49"/>
      <c r="B347" s="49"/>
      <c r="C347" s="51"/>
      <c r="D347" s="51"/>
      <c r="E347" s="51"/>
      <c r="F347" s="51"/>
      <c r="G347" s="51"/>
      <c r="H347" s="52"/>
      <c r="I347" s="52"/>
      <c r="J347" s="52"/>
      <c r="K347" s="52"/>
      <c r="L347" s="52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</row>
    <row r="348" ht="14.25" customHeight="1">
      <c r="A348" s="49"/>
      <c r="B348" s="49"/>
      <c r="C348" s="51"/>
      <c r="D348" s="51"/>
      <c r="E348" s="51"/>
      <c r="F348" s="51"/>
      <c r="G348" s="51"/>
      <c r="H348" s="52"/>
      <c r="I348" s="52"/>
      <c r="J348" s="52"/>
      <c r="K348" s="52"/>
      <c r="L348" s="52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</row>
    <row r="349" ht="14.25" customHeight="1">
      <c r="A349" s="49"/>
      <c r="B349" s="49"/>
      <c r="C349" s="51"/>
      <c r="D349" s="51"/>
      <c r="E349" s="51"/>
      <c r="F349" s="51"/>
      <c r="G349" s="51"/>
      <c r="H349" s="52"/>
      <c r="I349" s="52"/>
      <c r="J349" s="52"/>
      <c r="K349" s="52"/>
      <c r="L349" s="52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</row>
    <row r="350" ht="14.25" customHeight="1">
      <c r="A350" s="49"/>
      <c r="B350" s="49"/>
      <c r="C350" s="51"/>
      <c r="D350" s="51"/>
      <c r="E350" s="51"/>
      <c r="F350" s="51"/>
      <c r="G350" s="51"/>
      <c r="H350" s="52"/>
      <c r="I350" s="52"/>
      <c r="J350" s="52"/>
      <c r="K350" s="52"/>
      <c r="L350" s="52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</row>
    <row r="351" ht="14.25" customHeight="1">
      <c r="A351" s="49"/>
      <c r="B351" s="49"/>
      <c r="C351" s="51"/>
      <c r="D351" s="51"/>
      <c r="E351" s="51"/>
      <c r="F351" s="51"/>
      <c r="G351" s="51"/>
      <c r="H351" s="52"/>
      <c r="I351" s="52"/>
      <c r="J351" s="52"/>
      <c r="K351" s="52"/>
      <c r="L351" s="52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</row>
    <row r="352" ht="14.25" customHeight="1">
      <c r="A352" s="49"/>
      <c r="B352" s="49"/>
      <c r="C352" s="51"/>
      <c r="D352" s="51"/>
      <c r="E352" s="51"/>
      <c r="F352" s="51"/>
      <c r="G352" s="51"/>
      <c r="H352" s="52"/>
      <c r="I352" s="52"/>
      <c r="J352" s="52"/>
      <c r="K352" s="52"/>
      <c r="L352" s="52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</row>
    <row r="353" ht="14.25" customHeight="1">
      <c r="A353" s="49"/>
      <c r="B353" s="49"/>
      <c r="C353" s="51"/>
      <c r="D353" s="51"/>
      <c r="E353" s="51"/>
      <c r="F353" s="51"/>
      <c r="G353" s="51"/>
      <c r="H353" s="52"/>
      <c r="I353" s="52"/>
      <c r="J353" s="52"/>
      <c r="K353" s="52"/>
      <c r="L353" s="52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</row>
    <row r="354" ht="14.25" customHeight="1">
      <c r="A354" s="49"/>
      <c r="B354" s="49"/>
      <c r="C354" s="51"/>
      <c r="D354" s="51"/>
      <c r="E354" s="51"/>
      <c r="F354" s="51"/>
      <c r="G354" s="51"/>
      <c r="H354" s="52"/>
      <c r="I354" s="52"/>
      <c r="J354" s="52"/>
      <c r="K354" s="52"/>
      <c r="L354" s="52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</row>
    <row r="355" ht="14.25" customHeight="1">
      <c r="A355" s="49"/>
      <c r="B355" s="49"/>
      <c r="C355" s="51"/>
      <c r="D355" s="51"/>
      <c r="E355" s="51"/>
      <c r="F355" s="51"/>
      <c r="G355" s="51"/>
      <c r="H355" s="52"/>
      <c r="I355" s="52"/>
      <c r="J355" s="52"/>
      <c r="K355" s="52"/>
      <c r="L355" s="52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</row>
    <row r="356" ht="14.25" customHeight="1">
      <c r="A356" s="49"/>
      <c r="B356" s="49"/>
      <c r="C356" s="51"/>
      <c r="D356" s="51"/>
      <c r="E356" s="51"/>
      <c r="F356" s="51"/>
      <c r="G356" s="51"/>
      <c r="H356" s="52"/>
      <c r="I356" s="52"/>
      <c r="J356" s="52"/>
      <c r="K356" s="52"/>
      <c r="L356" s="52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</row>
    <row r="357" ht="14.25" customHeight="1">
      <c r="A357" s="49"/>
      <c r="B357" s="49"/>
      <c r="C357" s="51"/>
      <c r="D357" s="51"/>
      <c r="E357" s="51"/>
      <c r="F357" s="51"/>
      <c r="G357" s="51"/>
      <c r="H357" s="52"/>
      <c r="I357" s="52"/>
      <c r="J357" s="52"/>
      <c r="K357" s="52"/>
      <c r="L357" s="52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</row>
    <row r="358" ht="14.25" customHeight="1">
      <c r="A358" s="49"/>
      <c r="B358" s="49"/>
      <c r="C358" s="51"/>
      <c r="D358" s="51"/>
      <c r="E358" s="51"/>
      <c r="F358" s="51"/>
      <c r="G358" s="51"/>
      <c r="H358" s="52"/>
      <c r="I358" s="52"/>
      <c r="J358" s="52"/>
      <c r="K358" s="52"/>
      <c r="L358" s="52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</row>
    <row r="359" ht="14.25" customHeight="1">
      <c r="A359" s="49"/>
      <c r="B359" s="49"/>
      <c r="C359" s="51"/>
      <c r="D359" s="51"/>
      <c r="E359" s="51"/>
      <c r="F359" s="51"/>
      <c r="G359" s="51"/>
      <c r="H359" s="52"/>
      <c r="I359" s="52"/>
      <c r="J359" s="52"/>
      <c r="K359" s="52"/>
      <c r="L359" s="52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</row>
    <row r="360" ht="14.25" customHeight="1">
      <c r="A360" s="49"/>
      <c r="B360" s="49"/>
      <c r="C360" s="51"/>
      <c r="D360" s="51"/>
      <c r="E360" s="51"/>
      <c r="F360" s="51"/>
      <c r="G360" s="51"/>
      <c r="H360" s="52"/>
      <c r="I360" s="52"/>
      <c r="J360" s="52"/>
      <c r="K360" s="52"/>
      <c r="L360" s="52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</row>
    <row r="361" ht="14.25" customHeight="1">
      <c r="A361" s="49"/>
      <c r="B361" s="49"/>
      <c r="C361" s="51"/>
      <c r="D361" s="51"/>
      <c r="E361" s="51"/>
      <c r="F361" s="51"/>
      <c r="G361" s="51"/>
      <c r="H361" s="52"/>
      <c r="I361" s="52"/>
      <c r="J361" s="52"/>
      <c r="K361" s="52"/>
      <c r="L361" s="52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</row>
    <row r="362" ht="14.25" customHeight="1">
      <c r="A362" s="49"/>
      <c r="B362" s="49"/>
      <c r="C362" s="51"/>
      <c r="D362" s="51"/>
      <c r="E362" s="51"/>
      <c r="F362" s="51"/>
      <c r="G362" s="51"/>
      <c r="H362" s="52"/>
      <c r="I362" s="52"/>
      <c r="J362" s="52"/>
      <c r="K362" s="52"/>
      <c r="L362" s="52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</row>
    <row r="363" ht="14.25" customHeight="1">
      <c r="A363" s="49"/>
      <c r="B363" s="49"/>
      <c r="C363" s="51"/>
      <c r="D363" s="51"/>
      <c r="E363" s="51"/>
      <c r="F363" s="51"/>
      <c r="G363" s="51"/>
      <c r="H363" s="52"/>
      <c r="I363" s="52"/>
      <c r="J363" s="52"/>
      <c r="K363" s="52"/>
      <c r="L363" s="52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</row>
    <row r="364" ht="14.25" customHeight="1">
      <c r="A364" s="49"/>
      <c r="B364" s="49"/>
      <c r="C364" s="51"/>
      <c r="D364" s="51"/>
      <c r="E364" s="51"/>
      <c r="F364" s="51"/>
      <c r="G364" s="51"/>
      <c r="H364" s="52"/>
      <c r="I364" s="52"/>
      <c r="J364" s="52"/>
      <c r="K364" s="52"/>
      <c r="L364" s="52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</row>
    <row r="365" ht="14.25" customHeight="1">
      <c r="A365" s="49"/>
      <c r="B365" s="49"/>
      <c r="C365" s="51"/>
      <c r="D365" s="51"/>
      <c r="E365" s="51"/>
      <c r="F365" s="51"/>
      <c r="G365" s="51"/>
      <c r="H365" s="52"/>
      <c r="I365" s="52"/>
      <c r="J365" s="52"/>
      <c r="K365" s="52"/>
      <c r="L365" s="52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</row>
    <row r="366" ht="14.25" customHeight="1">
      <c r="A366" s="49"/>
      <c r="B366" s="49"/>
      <c r="C366" s="51"/>
      <c r="D366" s="51"/>
      <c r="E366" s="51"/>
      <c r="F366" s="51"/>
      <c r="G366" s="51"/>
      <c r="H366" s="52"/>
      <c r="I366" s="52"/>
      <c r="J366" s="52"/>
      <c r="K366" s="52"/>
      <c r="L366" s="52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</row>
    <row r="367" ht="14.25" customHeight="1">
      <c r="A367" s="49"/>
      <c r="B367" s="49"/>
      <c r="C367" s="51"/>
      <c r="D367" s="51"/>
      <c r="E367" s="51"/>
      <c r="F367" s="51"/>
      <c r="G367" s="51"/>
      <c r="H367" s="52"/>
      <c r="I367" s="52"/>
      <c r="J367" s="52"/>
      <c r="K367" s="52"/>
      <c r="L367" s="52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</row>
    <row r="368" ht="14.25" customHeight="1">
      <c r="A368" s="49"/>
      <c r="B368" s="49"/>
      <c r="C368" s="51"/>
      <c r="D368" s="51"/>
      <c r="E368" s="51"/>
      <c r="F368" s="51"/>
      <c r="G368" s="51"/>
      <c r="H368" s="52"/>
      <c r="I368" s="52"/>
      <c r="J368" s="52"/>
      <c r="K368" s="52"/>
      <c r="L368" s="52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</row>
    <row r="369" ht="14.25" customHeight="1">
      <c r="A369" s="49"/>
      <c r="B369" s="49"/>
      <c r="C369" s="51"/>
      <c r="D369" s="51"/>
      <c r="E369" s="51"/>
      <c r="F369" s="51"/>
      <c r="G369" s="51"/>
      <c r="H369" s="52"/>
      <c r="I369" s="52"/>
      <c r="J369" s="52"/>
      <c r="K369" s="52"/>
      <c r="L369" s="52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</row>
    <row r="370" ht="14.25" customHeight="1">
      <c r="A370" s="49"/>
      <c r="B370" s="49"/>
      <c r="C370" s="51"/>
      <c r="D370" s="51"/>
      <c r="E370" s="51"/>
      <c r="F370" s="51"/>
      <c r="G370" s="51"/>
      <c r="H370" s="52"/>
      <c r="I370" s="52"/>
      <c r="J370" s="52"/>
      <c r="K370" s="52"/>
      <c r="L370" s="52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</row>
    <row r="371" ht="14.25" customHeight="1">
      <c r="A371" s="49"/>
      <c r="B371" s="49"/>
      <c r="C371" s="51"/>
      <c r="D371" s="51"/>
      <c r="E371" s="51"/>
      <c r="F371" s="51"/>
      <c r="G371" s="51"/>
      <c r="H371" s="52"/>
      <c r="I371" s="52"/>
      <c r="J371" s="52"/>
      <c r="K371" s="52"/>
      <c r="L371" s="52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</row>
    <row r="372" ht="14.25" customHeight="1">
      <c r="A372" s="49"/>
      <c r="B372" s="49"/>
      <c r="C372" s="51"/>
      <c r="D372" s="51"/>
      <c r="E372" s="51"/>
      <c r="F372" s="51"/>
      <c r="G372" s="51"/>
      <c r="H372" s="52"/>
      <c r="I372" s="52"/>
      <c r="J372" s="52"/>
      <c r="K372" s="52"/>
      <c r="L372" s="52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</row>
    <row r="373" ht="14.25" customHeight="1">
      <c r="A373" s="49"/>
      <c r="B373" s="49"/>
      <c r="C373" s="51"/>
      <c r="D373" s="51"/>
      <c r="E373" s="51"/>
      <c r="F373" s="51"/>
      <c r="G373" s="51"/>
      <c r="H373" s="52"/>
      <c r="I373" s="52"/>
      <c r="J373" s="52"/>
      <c r="K373" s="52"/>
      <c r="L373" s="52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</row>
    <row r="374" ht="14.25" customHeight="1">
      <c r="A374" s="49"/>
      <c r="B374" s="49"/>
      <c r="C374" s="51"/>
      <c r="D374" s="51"/>
      <c r="E374" s="51"/>
      <c r="F374" s="51"/>
      <c r="G374" s="51"/>
      <c r="H374" s="52"/>
      <c r="I374" s="52"/>
      <c r="J374" s="52"/>
      <c r="K374" s="52"/>
      <c r="L374" s="52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</row>
    <row r="375" ht="14.25" customHeight="1">
      <c r="A375" s="49"/>
      <c r="B375" s="49"/>
      <c r="C375" s="51"/>
      <c r="D375" s="51"/>
      <c r="E375" s="51"/>
      <c r="F375" s="51"/>
      <c r="G375" s="51"/>
      <c r="H375" s="52"/>
      <c r="I375" s="52"/>
      <c r="J375" s="52"/>
      <c r="K375" s="52"/>
      <c r="L375" s="52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</row>
    <row r="376" ht="14.25" customHeight="1">
      <c r="A376" s="49"/>
      <c r="B376" s="49"/>
      <c r="C376" s="51"/>
      <c r="D376" s="51"/>
      <c r="E376" s="51"/>
      <c r="F376" s="51"/>
      <c r="G376" s="51"/>
      <c r="H376" s="52"/>
      <c r="I376" s="52"/>
      <c r="J376" s="52"/>
      <c r="K376" s="52"/>
      <c r="L376" s="52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</row>
    <row r="377" ht="14.25" customHeight="1">
      <c r="A377" s="49"/>
      <c r="B377" s="49"/>
      <c r="C377" s="51"/>
      <c r="D377" s="51"/>
      <c r="E377" s="51"/>
      <c r="F377" s="51"/>
      <c r="G377" s="51"/>
      <c r="H377" s="52"/>
      <c r="I377" s="52"/>
      <c r="J377" s="52"/>
      <c r="K377" s="52"/>
      <c r="L377" s="52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</row>
    <row r="378" ht="14.25" customHeight="1">
      <c r="A378" s="49"/>
      <c r="B378" s="49"/>
      <c r="C378" s="51"/>
      <c r="D378" s="51"/>
      <c r="E378" s="51"/>
      <c r="F378" s="51"/>
      <c r="G378" s="51"/>
      <c r="H378" s="52"/>
      <c r="I378" s="52"/>
      <c r="J378" s="52"/>
      <c r="K378" s="52"/>
      <c r="L378" s="52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</row>
    <row r="379" ht="14.25" customHeight="1">
      <c r="A379" s="49"/>
      <c r="B379" s="49"/>
      <c r="C379" s="51"/>
      <c r="D379" s="51"/>
      <c r="E379" s="51"/>
      <c r="F379" s="51"/>
      <c r="G379" s="51"/>
      <c r="H379" s="52"/>
      <c r="I379" s="52"/>
      <c r="J379" s="52"/>
      <c r="K379" s="52"/>
      <c r="L379" s="52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</row>
    <row r="380" ht="14.25" customHeight="1">
      <c r="A380" s="49"/>
      <c r="B380" s="49"/>
      <c r="C380" s="51"/>
      <c r="D380" s="51"/>
      <c r="E380" s="51"/>
      <c r="F380" s="51"/>
      <c r="G380" s="51"/>
      <c r="H380" s="52"/>
      <c r="I380" s="52"/>
      <c r="J380" s="52"/>
      <c r="K380" s="52"/>
      <c r="L380" s="52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</row>
    <row r="381" ht="14.25" customHeight="1">
      <c r="A381" s="49"/>
      <c r="B381" s="49"/>
      <c r="C381" s="51"/>
      <c r="D381" s="51"/>
      <c r="E381" s="51"/>
      <c r="F381" s="51"/>
      <c r="G381" s="51"/>
      <c r="H381" s="52"/>
      <c r="I381" s="52"/>
      <c r="J381" s="52"/>
      <c r="K381" s="52"/>
      <c r="L381" s="52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</row>
    <row r="382" ht="14.25" customHeight="1">
      <c r="A382" s="49"/>
      <c r="B382" s="49"/>
      <c r="C382" s="51"/>
      <c r="D382" s="51"/>
      <c r="E382" s="51"/>
      <c r="F382" s="51"/>
      <c r="G382" s="51"/>
      <c r="H382" s="52"/>
      <c r="I382" s="52"/>
      <c r="J382" s="52"/>
      <c r="K382" s="52"/>
      <c r="L382" s="52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</row>
    <row r="383" ht="14.25" customHeight="1">
      <c r="A383" s="49"/>
      <c r="B383" s="49"/>
      <c r="C383" s="51"/>
      <c r="D383" s="51"/>
      <c r="E383" s="51"/>
      <c r="F383" s="51"/>
      <c r="G383" s="51"/>
      <c r="H383" s="52"/>
      <c r="I383" s="52"/>
      <c r="J383" s="52"/>
      <c r="K383" s="52"/>
      <c r="L383" s="52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</row>
    <row r="384" ht="14.25" customHeight="1">
      <c r="A384" s="49"/>
      <c r="B384" s="49"/>
      <c r="C384" s="51"/>
      <c r="D384" s="51"/>
      <c r="E384" s="51"/>
      <c r="F384" s="51"/>
      <c r="G384" s="51"/>
      <c r="H384" s="52"/>
      <c r="I384" s="52"/>
      <c r="J384" s="52"/>
      <c r="K384" s="52"/>
      <c r="L384" s="52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</row>
    <row r="385" ht="14.25" customHeight="1">
      <c r="A385" s="49"/>
      <c r="B385" s="49"/>
      <c r="C385" s="51"/>
      <c r="D385" s="51"/>
      <c r="E385" s="51"/>
      <c r="F385" s="51"/>
      <c r="G385" s="51"/>
      <c r="H385" s="52"/>
      <c r="I385" s="52"/>
      <c r="J385" s="52"/>
      <c r="K385" s="52"/>
      <c r="L385" s="52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</row>
    <row r="386" ht="14.25" customHeight="1">
      <c r="A386" s="49"/>
      <c r="B386" s="49"/>
      <c r="C386" s="51"/>
      <c r="D386" s="51"/>
      <c r="E386" s="51"/>
      <c r="F386" s="51"/>
      <c r="G386" s="51"/>
      <c r="H386" s="52"/>
      <c r="I386" s="52"/>
      <c r="J386" s="52"/>
      <c r="K386" s="52"/>
      <c r="L386" s="52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</row>
    <row r="387" ht="14.25" customHeight="1">
      <c r="A387" s="49"/>
      <c r="B387" s="49"/>
      <c r="C387" s="51"/>
      <c r="D387" s="51"/>
      <c r="E387" s="51"/>
      <c r="F387" s="51"/>
      <c r="G387" s="51"/>
      <c r="H387" s="52"/>
      <c r="I387" s="52"/>
      <c r="J387" s="52"/>
      <c r="K387" s="52"/>
      <c r="L387" s="52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</row>
    <row r="388" ht="14.25" customHeight="1">
      <c r="A388" s="49"/>
      <c r="B388" s="49"/>
      <c r="C388" s="51"/>
      <c r="D388" s="51"/>
      <c r="E388" s="51"/>
      <c r="F388" s="51"/>
      <c r="G388" s="51"/>
      <c r="H388" s="52"/>
      <c r="I388" s="52"/>
      <c r="J388" s="52"/>
      <c r="K388" s="52"/>
      <c r="L388" s="52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</row>
    <row r="389" ht="14.25" customHeight="1">
      <c r="A389" s="49"/>
      <c r="B389" s="49"/>
      <c r="C389" s="51"/>
      <c r="D389" s="51"/>
      <c r="E389" s="51"/>
      <c r="F389" s="51"/>
      <c r="G389" s="51"/>
      <c r="H389" s="52"/>
      <c r="I389" s="52"/>
      <c r="J389" s="52"/>
      <c r="K389" s="52"/>
      <c r="L389" s="52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</row>
    <row r="390" ht="14.25" customHeight="1">
      <c r="A390" s="49"/>
      <c r="B390" s="49"/>
      <c r="C390" s="51"/>
      <c r="D390" s="51"/>
      <c r="E390" s="51"/>
      <c r="F390" s="51"/>
      <c r="G390" s="51"/>
      <c r="H390" s="52"/>
      <c r="I390" s="52"/>
      <c r="J390" s="52"/>
      <c r="K390" s="52"/>
      <c r="L390" s="52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</row>
    <row r="391" ht="14.25" customHeight="1">
      <c r="A391" s="49"/>
      <c r="B391" s="49"/>
      <c r="C391" s="51"/>
      <c r="D391" s="51"/>
      <c r="E391" s="51"/>
      <c r="F391" s="51"/>
      <c r="G391" s="51"/>
      <c r="H391" s="52"/>
      <c r="I391" s="52"/>
      <c r="J391" s="52"/>
      <c r="K391" s="52"/>
      <c r="L391" s="52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</row>
    <row r="392" ht="14.25" customHeight="1">
      <c r="A392" s="49"/>
      <c r="B392" s="49"/>
      <c r="C392" s="51"/>
      <c r="D392" s="51"/>
      <c r="E392" s="51"/>
      <c r="F392" s="51"/>
      <c r="G392" s="51"/>
      <c r="H392" s="52"/>
      <c r="I392" s="52"/>
      <c r="J392" s="52"/>
      <c r="K392" s="52"/>
      <c r="L392" s="52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</row>
    <row r="393" ht="14.25" customHeight="1">
      <c r="A393" s="49"/>
      <c r="B393" s="49"/>
      <c r="C393" s="51"/>
      <c r="D393" s="51"/>
      <c r="E393" s="51"/>
      <c r="F393" s="51"/>
      <c r="G393" s="51"/>
      <c r="H393" s="52"/>
      <c r="I393" s="52"/>
      <c r="J393" s="52"/>
      <c r="K393" s="52"/>
      <c r="L393" s="52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</row>
    <row r="394" ht="14.25" customHeight="1">
      <c r="A394" s="49"/>
      <c r="B394" s="49"/>
      <c r="C394" s="51"/>
      <c r="D394" s="51"/>
      <c r="E394" s="51"/>
      <c r="F394" s="51"/>
      <c r="G394" s="51"/>
      <c r="H394" s="52"/>
      <c r="I394" s="52"/>
      <c r="J394" s="52"/>
      <c r="K394" s="52"/>
      <c r="L394" s="52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</row>
    <row r="395" ht="14.25" customHeight="1">
      <c r="A395" s="49"/>
      <c r="B395" s="49"/>
      <c r="C395" s="51"/>
      <c r="D395" s="51"/>
      <c r="E395" s="51"/>
      <c r="F395" s="51"/>
      <c r="G395" s="51"/>
      <c r="H395" s="52"/>
      <c r="I395" s="52"/>
      <c r="J395" s="52"/>
      <c r="K395" s="52"/>
      <c r="L395" s="52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</row>
    <row r="396" ht="14.25" customHeight="1">
      <c r="A396" s="49"/>
      <c r="B396" s="49"/>
      <c r="C396" s="51"/>
      <c r="D396" s="51"/>
      <c r="E396" s="51"/>
      <c r="F396" s="51"/>
      <c r="G396" s="51"/>
      <c r="H396" s="52"/>
      <c r="I396" s="52"/>
      <c r="J396" s="52"/>
      <c r="K396" s="52"/>
      <c r="L396" s="52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</row>
    <row r="397" ht="14.25" customHeight="1">
      <c r="A397" s="49"/>
      <c r="B397" s="49"/>
      <c r="C397" s="51"/>
      <c r="D397" s="51"/>
      <c r="E397" s="51"/>
      <c r="F397" s="51"/>
      <c r="G397" s="51"/>
      <c r="H397" s="52"/>
      <c r="I397" s="52"/>
      <c r="J397" s="52"/>
      <c r="K397" s="52"/>
      <c r="L397" s="52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</row>
    <row r="398" ht="14.25" customHeight="1">
      <c r="A398" s="49"/>
      <c r="B398" s="49"/>
      <c r="C398" s="51"/>
      <c r="D398" s="51"/>
      <c r="E398" s="51"/>
      <c r="F398" s="51"/>
      <c r="G398" s="51"/>
      <c r="H398" s="52"/>
      <c r="I398" s="52"/>
      <c r="J398" s="52"/>
      <c r="K398" s="52"/>
      <c r="L398" s="52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</row>
    <row r="399" ht="14.25" customHeight="1">
      <c r="A399" s="49"/>
      <c r="B399" s="49"/>
      <c r="C399" s="51"/>
      <c r="D399" s="51"/>
      <c r="E399" s="51"/>
      <c r="F399" s="51"/>
      <c r="G399" s="51"/>
      <c r="H399" s="52"/>
      <c r="I399" s="52"/>
      <c r="J399" s="52"/>
      <c r="K399" s="52"/>
      <c r="L399" s="52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</row>
    <row r="400" ht="14.25" customHeight="1">
      <c r="A400" s="49"/>
      <c r="B400" s="49"/>
      <c r="C400" s="51"/>
      <c r="D400" s="51"/>
      <c r="E400" s="51"/>
      <c r="F400" s="51"/>
      <c r="G400" s="51"/>
      <c r="H400" s="52"/>
      <c r="I400" s="52"/>
      <c r="J400" s="52"/>
      <c r="K400" s="52"/>
      <c r="L400" s="52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</row>
    <row r="401" ht="14.25" customHeight="1">
      <c r="A401" s="49"/>
      <c r="B401" s="49"/>
      <c r="C401" s="51"/>
      <c r="D401" s="51"/>
      <c r="E401" s="51"/>
      <c r="F401" s="51"/>
      <c r="G401" s="51"/>
      <c r="H401" s="52"/>
      <c r="I401" s="52"/>
      <c r="J401" s="52"/>
      <c r="K401" s="52"/>
      <c r="L401" s="52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</row>
    <row r="402" ht="14.25" customHeight="1">
      <c r="A402" s="49"/>
      <c r="B402" s="49"/>
      <c r="C402" s="51"/>
      <c r="D402" s="51"/>
      <c r="E402" s="51"/>
      <c r="F402" s="51"/>
      <c r="G402" s="51"/>
      <c r="H402" s="52"/>
      <c r="I402" s="52"/>
      <c r="J402" s="52"/>
      <c r="K402" s="52"/>
      <c r="L402" s="52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</row>
    <row r="403" ht="14.25" customHeight="1">
      <c r="A403" s="49"/>
      <c r="B403" s="49"/>
      <c r="C403" s="51"/>
      <c r="D403" s="51"/>
      <c r="E403" s="51"/>
      <c r="F403" s="51"/>
      <c r="G403" s="51"/>
      <c r="H403" s="52"/>
      <c r="I403" s="52"/>
      <c r="J403" s="52"/>
      <c r="K403" s="52"/>
      <c r="L403" s="52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</row>
    <row r="404" ht="14.25" customHeight="1">
      <c r="A404" s="49"/>
      <c r="B404" s="49"/>
      <c r="C404" s="51"/>
      <c r="D404" s="51"/>
      <c r="E404" s="51"/>
      <c r="F404" s="51"/>
      <c r="G404" s="51"/>
      <c r="H404" s="52"/>
      <c r="I404" s="52"/>
      <c r="J404" s="52"/>
      <c r="K404" s="52"/>
      <c r="L404" s="52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</row>
    <row r="405" ht="14.25" customHeight="1">
      <c r="A405" s="49"/>
      <c r="B405" s="49"/>
      <c r="C405" s="51"/>
      <c r="D405" s="51"/>
      <c r="E405" s="51"/>
      <c r="F405" s="51"/>
      <c r="G405" s="51"/>
      <c r="H405" s="52"/>
      <c r="I405" s="52"/>
      <c r="J405" s="52"/>
      <c r="K405" s="52"/>
      <c r="L405" s="52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</row>
    <row r="406" ht="14.25" customHeight="1">
      <c r="A406" s="49"/>
      <c r="B406" s="49"/>
      <c r="C406" s="51"/>
      <c r="D406" s="51"/>
      <c r="E406" s="51"/>
      <c r="F406" s="51"/>
      <c r="G406" s="51"/>
      <c r="H406" s="52"/>
      <c r="I406" s="52"/>
      <c r="J406" s="52"/>
      <c r="K406" s="52"/>
      <c r="L406" s="52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</row>
    <row r="407" ht="14.25" customHeight="1">
      <c r="A407" s="49"/>
      <c r="B407" s="49"/>
      <c r="C407" s="51"/>
      <c r="D407" s="51"/>
      <c r="E407" s="51"/>
      <c r="F407" s="51"/>
      <c r="G407" s="51"/>
      <c r="H407" s="52"/>
      <c r="I407" s="52"/>
      <c r="J407" s="52"/>
      <c r="K407" s="52"/>
      <c r="L407" s="52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</row>
    <row r="408" ht="14.25" customHeight="1">
      <c r="A408" s="49"/>
      <c r="B408" s="49"/>
      <c r="C408" s="51"/>
      <c r="D408" s="51"/>
      <c r="E408" s="51"/>
      <c r="F408" s="51"/>
      <c r="G408" s="51"/>
      <c r="H408" s="52"/>
      <c r="I408" s="52"/>
      <c r="J408" s="52"/>
      <c r="K408" s="52"/>
      <c r="L408" s="52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</row>
    <row r="409" ht="14.25" customHeight="1">
      <c r="A409" s="49"/>
      <c r="B409" s="49"/>
      <c r="C409" s="51"/>
      <c r="D409" s="51"/>
      <c r="E409" s="51"/>
      <c r="F409" s="51"/>
      <c r="G409" s="51"/>
      <c r="H409" s="52"/>
      <c r="I409" s="52"/>
      <c r="J409" s="52"/>
      <c r="K409" s="52"/>
      <c r="L409" s="52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</row>
    <row r="410" ht="14.25" customHeight="1">
      <c r="A410" s="49"/>
      <c r="B410" s="49"/>
      <c r="C410" s="51"/>
      <c r="D410" s="51"/>
      <c r="E410" s="51"/>
      <c r="F410" s="51"/>
      <c r="G410" s="51"/>
      <c r="H410" s="52"/>
      <c r="I410" s="52"/>
      <c r="J410" s="52"/>
      <c r="K410" s="52"/>
      <c r="L410" s="52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</row>
    <row r="411" ht="14.25" customHeight="1">
      <c r="A411" s="49"/>
      <c r="B411" s="49"/>
      <c r="C411" s="51"/>
      <c r="D411" s="51"/>
      <c r="E411" s="51"/>
      <c r="F411" s="51"/>
      <c r="G411" s="51"/>
      <c r="H411" s="52"/>
      <c r="I411" s="52"/>
      <c r="J411" s="52"/>
      <c r="K411" s="52"/>
      <c r="L411" s="52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</row>
    <row r="412" ht="14.25" customHeight="1">
      <c r="A412" s="49"/>
      <c r="B412" s="49"/>
      <c r="C412" s="51"/>
      <c r="D412" s="51"/>
      <c r="E412" s="51"/>
      <c r="F412" s="51"/>
      <c r="G412" s="51"/>
      <c r="H412" s="52"/>
      <c r="I412" s="52"/>
      <c r="J412" s="52"/>
      <c r="K412" s="52"/>
      <c r="L412" s="52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</row>
    <row r="413" ht="14.25" customHeight="1">
      <c r="A413" s="49"/>
      <c r="B413" s="49"/>
      <c r="C413" s="51"/>
      <c r="D413" s="51"/>
      <c r="E413" s="51"/>
      <c r="F413" s="51"/>
      <c r="G413" s="51"/>
      <c r="H413" s="52"/>
      <c r="I413" s="52"/>
      <c r="J413" s="52"/>
      <c r="K413" s="52"/>
      <c r="L413" s="52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</row>
    <row r="414" ht="14.25" customHeight="1">
      <c r="A414" s="49"/>
      <c r="B414" s="49"/>
      <c r="C414" s="51"/>
      <c r="D414" s="51"/>
      <c r="E414" s="51"/>
      <c r="F414" s="51"/>
      <c r="G414" s="51"/>
      <c r="H414" s="52"/>
      <c r="I414" s="52"/>
      <c r="J414" s="52"/>
      <c r="K414" s="52"/>
      <c r="L414" s="52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</row>
    <row r="415" ht="14.25" customHeight="1">
      <c r="A415" s="49"/>
      <c r="B415" s="49"/>
      <c r="C415" s="51"/>
      <c r="D415" s="51"/>
      <c r="E415" s="51"/>
      <c r="F415" s="51"/>
      <c r="G415" s="51"/>
      <c r="H415" s="52"/>
      <c r="I415" s="52"/>
      <c r="J415" s="52"/>
      <c r="K415" s="52"/>
      <c r="L415" s="52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</row>
    <row r="416" ht="14.25" customHeight="1">
      <c r="A416" s="49"/>
      <c r="B416" s="49"/>
      <c r="C416" s="51"/>
      <c r="D416" s="51"/>
      <c r="E416" s="51"/>
      <c r="F416" s="51"/>
      <c r="G416" s="51"/>
      <c r="H416" s="52"/>
      <c r="I416" s="52"/>
      <c r="J416" s="52"/>
      <c r="K416" s="52"/>
      <c r="L416" s="52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</row>
    <row r="417" ht="14.25" customHeight="1">
      <c r="A417" s="49"/>
      <c r="B417" s="49"/>
      <c r="C417" s="51"/>
      <c r="D417" s="51"/>
      <c r="E417" s="51"/>
      <c r="F417" s="51"/>
      <c r="G417" s="51"/>
      <c r="H417" s="52"/>
      <c r="I417" s="52"/>
      <c r="J417" s="52"/>
      <c r="K417" s="52"/>
      <c r="L417" s="52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</row>
    <row r="418" ht="14.25" customHeight="1">
      <c r="A418" s="49"/>
      <c r="B418" s="49"/>
      <c r="C418" s="51"/>
      <c r="D418" s="51"/>
      <c r="E418" s="51"/>
      <c r="F418" s="51"/>
      <c r="G418" s="51"/>
      <c r="H418" s="52"/>
      <c r="I418" s="52"/>
      <c r="J418" s="52"/>
      <c r="K418" s="52"/>
      <c r="L418" s="52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</row>
    <row r="419" ht="14.25" customHeight="1">
      <c r="A419" s="49"/>
      <c r="B419" s="49"/>
      <c r="C419" s="51"/>
      <c r="D419" s="51"/>
      <c r="E419" s="51"/>
      <c r="F419" s="51"/>
      <c r="G419" s="51"/>
      <c r="H419" s="52"/>
      <c r="I419" s="52"/>
      <c r="J419" s="52"/>
      <c r="K419" s="52"/>
      <c r="L419" s="52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</row>
    <row r="420" ht="14.25" customHeight="1">
      <c r="A420" s="49"/>
      <c r="B420" s="49"/>
      <c r="C420" s="51"/>
      <c r="D420" s="51"/>
      <c r="E420" s="51"/>
      <c r="F420" s="51"/>
      <c r="G420" s="51"/>
      <c r="H420" s="52"/>
      <c r="I420" s="52"/>
      <c r="J420" s="52"/>
      <c r="K420" s="52"/>
      <c r="L420" s="52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</row>
    <row r="421" ht="14.25" customHeight="1">
      <c r="A421" s="49"/>
      <c r="B421" s="49"/>
      <c r="C421" s="51"/>
      <c r="D421" s="51"/>
      <c r="E421" s="51"/>
      <c r="F421" s="51"/>
      <c r="G421" s="51"/>
      <c r="H421" s="52"/>
      <c r="I421" s="52"/>
      <c r="J421" s="52"/>
      <c r="K421" s="52"/>
      <c r="L421" s="52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</row>
    <row r="422" ht="14.25" customHeight="1">
      <c r="A422" s="49"/>
      <c r="B422" s="49"/>
      <c r="C422" s="51"/>
      <c r="D422" s="51"/>
      <c r="E422" s="51"/>
      <c r="F422" s="51"/>
      <c r="G422" s="51"/>
      <c r="H422" s="52"/>
      <c r="I422" s="52"/>
      <c r="J422" s="52"/>
      <c r="K422" s="52"/>
      <c r="L422" s="52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</row>
    <row r="423" ht="14.25" customHeight="1">
      <c r="A423" s="49"/>
      <c r="B423" s="49"/>
      <c r="C423" s="51"/>
      <c r="D423" s="51"/>
      <c r="E423" s="51"/>
      <c r="F423" s="51"/>
      <c r="G423" s="51"/>
      <c r="H423" s="52"/>
      <c r="I423" s="52"/>
      <c r="J423" s="52"/>
      <c r="K423" s="52"/>
      <c r="L423" s="52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</row>
    <row r="424" ht="14.25" customHeight="1">
      <c r="A424" s="49"/>
      <c r="B424" s="49"/>
      <c r="C424" s="51"/>
      <c r="D424" s="51"/>
      <c r="E424" s="51"/>
      <c r="F424" s="51"/>
      <c r="G424" s="51"/>
      <c r="H424" s="52"/>
      <c r="I424" s="52"/>
      <c r="J424" s="52"/>
      <c r="K424" s="52"/>
      <c r="L424" s="52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</row>
    <row r="425" ht="14.25" customHeight="1">
      <c r="A425" s="49"/>
      <c r="B425" s="49"/>
      <c r="C425" s="51"/>
      <c r="D425" s="51"/>
      <c r="E425" s="51"/>
      <c r="F425" s="51"/>
      <c r="G425" s="51"/>
      <c r="H425" s="52"/>
      <c r="I425" s="52"/>
      <c r="J425" s="52"/>
      <c r="K425" s="52"/>
      <c r="L425" s="52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</row>
    <row r="426" ht="14.25" customHeight="1">
      <c r="A426" s="49"/>
      <c r="B426" s="49"/>
      <c r="C426" s="51"/>
      <c r="D426" s="51"/>
      <c r="E426" s="51"/>
      <c r="F426" s="51"/>
      <c r="G426" s="51"/>
      <c r="H426" s="52"/>
      <c r="I426" s="52"/>
      <c r="J426" s="52"/>
      <c r="K426" s="52"/>
      <c r="L426" s="52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</row>
    <row r="427" ht="14.25" customHeight="1">
      <c r="A427" s="49"/>
      <c r="B427" s="49"/>
      <c r="C427" s="51"/>
      <c r="D427" s="51"/>
      <c r="E427" s="51"/>
      <c r="F427" s="51"/>
      <c r="G427" s="51"/>
      <c r="H427" s="52"/>
      <c r="I427" s="52"/>
      <c r="J427" s="52"/>
      <c r="K427" s="52"/>
      <c r="L427" s="52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</row>
    <row r="428" ht="14.25" customHeight="1">
      <c r="A428" s="49"/>
      <c r="B428" s="49"/>
      <c r="C428" s="51"/>
      <c r="D428" s="51"/>
      <c r="E428" s="51"/>
      <c r="F428" s="51"/>
      <c r="G428" s="51"/>
      <c r="H428" s="52"/>
      <c r="I428" s="52"/>
      <c r="J428" s="52"/>
      <c r="K428" s="52"/>
      <c r="L428" s="52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</row>
    <row r="429" ht="14.25" customHeight="1">
      <c r="A429" s="49"/>
      <c r="B429" s="49"/>
      <c r="C429" s="51"/>
      <c r="D429" s="51"/>
      <c r="E429" s="51"/>
      <c r="F429" s="51"/>
      <c r="G429" s="51"/>
      <c r="H429" s="52"/>
      <c r="I429" s="52"/>
      <c r="J429" s="52"/>
      <c r="K429" s="52"/>
      <c r="L429" s="52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</row>
    <row r="430" ht="14.25" customHeight="1">
      <c r="A430" s="49"/>
      <c r="B430" s="49"/>
      <c r="C430" s="51"/>
      <c r="D430" s="51"/>
      <c r="E430" s="51"/>
      <c r="F430" s="51"/>
      <c r="G430" s="51"/>
      <c r="H430" s="52"/>
      <c r="I430" s="52"/>
      <c r="J430" s="52"/>
      <c r="K430" s="52"/>
      <c r="L430" s="52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</row>
    <row r="431" ht="14.25" customHeight="1">
      <c r="A431" s="49"/>
      <c r="B431" s="49"/>
      <c r="C431" s="51"/>
      <c r="D431" s="51"/>
      <c r="E431" s="51"/>
      <c r="F431" s="51"/>
      <c r="G431" s="51"/>
      <c r="H431" s="52"/>
      <c r="I431" s="52"/>
      <c r="J431" s="52"/>
      <c r="K431" s="52"/>
      <c r="L431" s="52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</row>
    <row r="432" ht="14.25" customHeight="1">
      <c r="A432" s="49"/>
      <c r="B432" s="49"/>
      <c r="C432" s="51"/>
      <c r="D432" s="51"/>
      <c r="E432" s="51"/>
      <c r="F432" s="51"/>
      <c r="G432" s="51"/>
      <c r="H432" s="52"/>
      <c r="I432" s="52"/>
      <c r="J432" s="52"/>
      <c r="K432" s="52"/>
      <c r="L432" s="52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</row>
    <row r="433" ht="14.25" customHeight="1">
      <c r="A433" s="49"/>
      <c r="B433" s="49"/>
      <c r="C433" s="51"/>
      <c r="D433" s="51"/>
      <c r="E433" s="51"/>
      <c r="F433" s="51"/>
      <c r="G433" s="51"/>
      <c r="H433" s="52"/>
      <c r="I433" s="52"/>
      <c r="J433" s="52"/>
      <c r="K433" s="52"/>
      <c r="L433" s="52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</row>
    <row r="434" ht="14.25" customHeight="1">
      <c r="A434" s="49"/>
      <c r="B434" s="49"/>
      <c r="C434" s="51"/>
      <c r="D434" s="51"/>
      <c r="E434" s="51"/>
      <c r="F434" s="51"/>
      <c r="G434" s="51"/>
      <c r="H434" s="52"/>
      <c r="I434" s="52"/>
      <c r="J434" s="52"/>
      <c r="K434" s="52"/>
      <c r="L434" s="52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</row>
    <row r="435" ht="14.25" customHeight="1">
      <c r="A435" s="49"/>
      <c r="B435" s="49"/>
      <c r="C435" s="51"/>
      <c r="D435" s="51"/>
      <c r="E435" s="51"/>
      <c r="F435" s="51"/>
      <c r="G435" s="51"/>
      <c r="H435" s="52"/>
      <c r="I435" s="52"/>
      <c r="J435" s="52"/>
      <c r="K435" s="52"/>
      <c r="L435" s="52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</row>
    <row r="436" ht="14.25" customHeight="1">
      <c r="A436" s="49"/>
      <c r="B436" s="49"/>
      <c r="C436" s="51"/>
      <c r="D436" s="51"/>
      <c r="E436" s="51"/>
      <c r="F436" s="51"/>
      <c r="G436" s="51"/>
      <c r="H436" s="52"/>
      <c r="I436" s="52"/>
      <c r="J436" s="52"/>
      <c r="K436" s="52"/>
      <c r="L436" s="52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</row>
    <row r="437" ht="14.25" customHeight="1">
      <c r="A437" s="49"/>
      <c r="B437" s="49"/>
      <c r="C437" s="51"/>
      <c r="D437" s="51"/>
      <c r="E437" s="51"/>
      <c r="F437" s="51"/>
      <c r="G437" s="51"/>
      <c r="H437" s="52"/>
      <c r="I437" s="52"/>
      <c r="J437" s="52"/>
      <c r="K437" s="52"/>
      <c r="L437" s="52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</row>
    <row r="438" ht="14.25" customHeight="1">
      <c r="A438" s="49"/>
      <c r="B438" s="49"/>
      <c r="C438" s="51"/>
      <c r="D438" s="51"/>
      <c r="E438" s="51"/>
      <c r="F438" s="51"/>
      <c r="G438" s="51"/>
      <c r="H438" s="52"/>
      <c r="I438" s="52"/>
      <c r="J438" s="52"/>
      <c r="K438" s="52"/>
      <c r="L438" s="52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</row>
    <row r="439" ht="14.25" customHeight="1">
      <c r="A439" s="49"/>
      <c r="B439" s="49"/>
      <c r="C439" s="51"/>
      <c r="D439" s="51"/>
      <c r="E439" s="51"/>
      <c r="F439" s="51"/>
      <c r="G439" s="51"/>
      <c r="H439" s="52"/>
      <c r="I439" s="52"/>
      <c r="J439" s="52"/>
      <c r="K439" s="52"/>
      <c r="L439" s="52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</row>
    <row r="440" ht="14.25" customHeight="1">
      <c r="A440" s="49"/>
      <c r="B440" s="49"/>
      <c r="C440" s="51"/>
      <c r="D440" s="51"/>
      <c r="E440" s="51"/>
      <c r="F440" s="51"/>
      <c r="G440" s="51"/>
      <c r="H440" s="52"/>
      <c r="I440" s="52"/>
      <c r="J440" s="52"/>
      <c r="K440" s="52"/>
      <c r="L440" s="52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</row>
    <row r="441" ht="14.25" customHeight="1">
      <c r="A441" s="49"/>
      <c r="B441" s="49"/>
      <c r="C441" s="51"/>
      <c r="D441" s="51"/>
      <c r="E441" s="51"/>
      <c r="F441" s="51"/>
      <c r="G441" s="51"/>
      <c r="H441" s="52"/>
      <c r="I441" s="52"/>
      <c r="J441" s="52"/>
      <c r="K441" s="52"/>
      <c r="L441" s="52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</row>
    <row r="442" ht="14.25" customHeight="1">
      <c r="A442" s="49"/>
      <c r="B442" s="49"/>
      <c r="C442" s="51"/>
      <c r="D442" s="51"/>
      <c r="E442" s="51"/>
      <c r="F442" s="51"/>
      <c r="G442" s="51"/>
      <c r="H442" s="52"/>
      <c r="I442" s="52"/>
      <c r="J442" s="52"/>
      <c r="K442" s="52"/>
      <c r="L442" s="52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</row>
    <row r="443" ht="14.25" customHeight="1">
      <c r="A443" s="49"/>
      <c r="B443" s="49"/>
      <c r="C443" s="51"/>
      <c r="D443" s="51"/>
      <c r="E443" s="51"/>
      <c r="F443" s="51"/>
      <c r="G443" s="51"/>
      <c r="H443" s="52"/>
      <c r="I443" s="52"/>
      <c r="J443" s="52"/>
      <c r="K443" s="52"/>
      <c r="L443" s="52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</row>
    <row r="444" ht="14.25" customHeight="1">
      <c r="A444" s="49"/>
      <c r="B444" s="49"/>
      <c r="C444" s="51"/>
      <c r="D444" s="51"/>
      <c r="E444" s="51"/>
      <c r="F444" s="51"/>
      <c r="G444" s="51"/>
      <c r="H444" s="52"/>
      <c r="I444" s="52"/>
      <c r="J444" s="52"/>
      <c r="K444" s="52"/>
      <c r="L444" s="52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</row>
    <row r="445" ht="14.25" customHeight="1">
      <c r="A445" s="49"/>
      <c r="B445" s="49"/>
      <c r="C445" s="51"/>
      <c r="D445" s="51"/>
      <c r="E445" s="51"/>
      <c r="F445" s="51"/>
      <c r="G445" s="51"/>
      <c r="H445" s="52"/>
      <c r="I445" s="52"/>
      <c r="J445" s="52"/>
      <c r="K445" s="52"/>
      <c r="L445" s="52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</row>
    <row r="446" ht="14.25" customHeight="1">
      <c r="A446" s="49"/>
      <c r="B446" s="49"/>
      <c r="C446" s="51"/>
      <c r="D446" s="51"/>
      <c r="E446" s="51"/>
      <c r="F446" s="51"/>
      <c r="G446" s="51"/>
      <c r="H446" s="52"/>
      <c r="I446" s="52"/>
      <c r="J446" s="52"/>
      <c r="K446" s="52"/>
      <c r="L446" s="52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</row>
    <row r="447" ht="14.25" customHeight="1">
      <c r="A447" s="49"/>
      <c r="B447" s="49"/>
      <c r="C447" s="51"/>
      <c r="D447" s="51"/>
      <c r="E447" s="51"/>
      <c r="F447" s="51"/>
      <c r="G447" s="51"/>
      <c r="H447" s="52"/>
      <c r="I447" s="52"/>
      <c r="J447" s="52"/>
      <c r="K447" s="52"/>
      <c r="L447" s="52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</row>
    <row r="448" ht="14.25" customHeight="1">
      <c r="A448" s="49"/>
      <c r="B448" s="49"/>
      <c r="C448" s="51"/>
      <c r="D448" s="51"/>
      <c r="E448" s="51"/>
      <c r="F448" s="51"/>
      <c r="G448" s="51"/>
      <c r="H448" s="52"/>
      <c r="I448" s="52"/>
      <c r="J448" s="52"/>
      <c r="K448" s="52"/>
      <c r="L448" s="52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</row>
    <row r="449" ht="14.25" customHeight="1">
      <c r="A449" s="49"/>
      <c r="B449" s="49"/>
      <c r="C449" s="51"/>
      <c r="D449" s="51"/>
      <c r="E449" s="51"/>
      <c r="F449" s="51"/>
      <c r="G449" s="51"/>
      <c r="H449" s="52"/>
      <c r="I449" s="52"/>
      <c r="J449" s="52"/>
      <c r="K449" s="52"/>
      <c r="L449" s="52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</row>
    <row r="450" ht="14.25" customHeight="1">
      <c r="A450" s="49"/>
      <c r="B450" s="49"/>
      <c r="C450" s="51"/>
      <c r="D450" s="51"/>
      <c r="E450" s="51"/>
      <c r="F450" s="51"/>
      <c r="G450" s="51"/>
      <c r="H450" s="52"/>
      <c r="I450" s="52"/>
      <c r="J450" s="52"/>
      <c r="K450" s="52"/>
      <c r="L450" s="52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</row>
    <row r="451" ht="14.25" customHeight="1">
      <c r="A451" s="49"/>
      <c r="B451" s="49"/>
      <c r="C451" s="51"/>
      <c r="D451" s="51"/>
      <c r="E451" s="51"/>
      <c r="F451" s="51"/>
      <c r="G451" s="51"/>
      <c r="H451" s="52"/>
      <c r="I451" s="52"/>
      <c r="J451" s="52"/>
      <c r="K451" s="52"/>
      <c r="L451" s="52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</row>
    <row r="452" ht="14.25" customHeight="1">
      <c r="A452" s="49"/>
      <c r="B452" s="49"/>
      <c r="C452" s="51"/>
      <c r="D452" s="51"/>
      <c r="E452" s="51"/>
      <c r="F452" s="51"/>
      <c r="G452" s="51"/>
      <c r="H452" s="52"/>
      <c r="I452" s="52"/>
      <c r="J452" s="52"/>
      <c r="K452" s="52"/>
      <c r="L452" s="52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</row>
    <row r="453" ht="14.25" customHeight="1">
      <c r="A453" s="49"/>
      <c r="B453" s="49"/>
      <c r="C453" s="51"/>
      <c r="D453" s="51"/>
      <c r="E453" s="51"/>
      <c r="F453" s="51"/>
      <c r="G453" s="51"/>
      <c r="H453" s="52"/>
      <c r="I453" s="52"/>
      <c r="J453" s="52"/>
      <c r="K453" s="52"/>
      <c r="L453" s="52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</row>
    <row r="454" ht="14.25" customHeight="1">
      <c r="A454" s="49"/>
      <c r="B454" s="49"/>
      <c r="C454" s="51"/>
      <c r="D454" s="51"/>
      <c r="E454" s="51"/>
      <c r="F454" s="51"/>
      <c r="G454" s="51"/>
      <c r="H454" s="52"/>
      <c r="I454" s="52"/>
      <c r="J454" s="52"/>
      <c r="K454" s="52"/>
      <c r="L454" s="52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</row>
    <row r="455" ht="14.25" customHeight="1">
      <c r="A455" s="49"/>
      <c r="B455" s="49"/>
      <c r="C455" s="51"/>
      <c r="D455" s="51"/>
      <c r="E455" s="51"/>
      <c r="F455" s="51"/>
      <c r="G455" s="51"/>
      <c r="H455" s="52"/>
      <c r="I455" s="52"/>
      <c r="J455" s="52"/>
      <c r="K455" s="52"/>
      <c r="L455" s="52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</row>
    <row r="456" ht="14.25" customHeight="1">
      <c r="A456" s="49"/>
      <c r="B456" s="49"/>
      <c r="C456" s="51"/>
      <c r="D456" s="51"/>
      <c r="E456" s="51"/>
      <c r="F456" s="51"/>
      <c r="G456" s="51"/>
      <c r="H456" s="52"/>
      <c r="I456" s="52"/>
      <c r="J456" s="52"/>
      <c r="K456" s="52"/>
      <c r="L456" s="52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</row>
    <row r="457" ht="14.25" customHeight="1">
      <c r="A457" s="49"/>
      <c r="B457" s="49"/>
      <c r="C457" s="51"/>
      <c r="D457" s="51"/>
      <c r="E457" s="51"/>
      <c r="F457" s="51"/>
      <c r="G457" s="51"/>
      <c r="H457" s="52"/>
      <c r="I457" s="52"/>
      <c r="J457" s="52"/>
      <c r="K457" s="52"/>
      <c r="L457" s="52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</row>
    <row r="458" ht="14.25" customHeight="1">
      <c r="A458" s="49"/>
      <c r="B458" s="49"/>
      <c r="C458" s="51"/>
      <c r="D458" s="51"/>
      <c r="E458" s="51"/>
      <c r="F458" s="51"/>
      <c r="G458" s="51"/>
      <c r="H458" s="52"/>
      <c r="I458" s="52"/>
      <c r="J458" s="52"/>
      <c r="K458" s="52"/>
      <c r="L458" s="52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</row>
    <row r="459" ht="14.25" customHeight="1">
      <c r="A459" s="49"/>
      <c r="B459" s="49"/>
      <c r="C459" s="51"/>
      <c r="D459" s="51"/>
      <c r="E459" s="51"/>
      <c r="F459" s="51"/>
      <c r="G459" s="51"/>
      <c r="H459" s="52"/>
      <c r="I459" s="52"/>
      <c r="J459" s="52"/>
      <c r="K459" s="52"/>
      <c r="L459" s="52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</row>
    <row r="460" ht="14.25" customHeight="1">
      <c r="A460" s="49"/>
      <c r="B460" s="49"/>
      <c r="C460" s="51"/>
      <c r="D460" s="51"/>
      <c r="E460" s="51"/>
      <c r="F460" s="51"/>
      <c r="G460" s="51"/>
      <c r="H460" s="52"/>
      <c r="I460" s="52"/>
      <c r="J460" s="52"/>
      <c r="K460" s="52"/>
      <c r="L460" s="52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</row>
    <row r="461" ht="14.25" customHeight="1">
      <c r="A461" s="49"/>
      <c r="B461" s="49"/>
      <c r="C461" s="51"/>
      <c r="D461" s="51"/>
      <c r="E461" s="51"/>
      <c r="F461" s="51"/>
      <c r="G461" s="51"/>
      <c r="H461" s="52"/>
      <c r="I461" s="52"/>
      <c r="J461" s="52"/>
      <c r="K461" s="52"/>
      <c r="L461" s="52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</row>
    <row r="462" ht="14.25" customHeight="1">
      <c r="A462" s="49"/>
      <c r="B462" s="49"/>
      <c r="C462" s="51"/>
      <c r="D462" s="51"/>
      <c r="E462" s="51"/>
      <c r="F462" s="51"/>
      <c r="G462" s="51"/>
      <c r="H462" s="52"/>
      <c r="I462" s="52"/>
      <c r="J462" s="52"/>
      <c r="K462" s="52"/>
      <c r="L462" s="52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</row>
    <row r="463" ht="14.25" customHeight="1">
      <c r="A463" s="49"/>
      <c r="B463" s="49"/>
      <c r="C463" s="51"/>
      <c r="D463" s="51"/>
      <c r="E463" s="51"/>
      <c r="F463" s="51"/>
      <c r="G463" s="51"/>
      <c r="H463" s="52"/>
      <c r="I463" s="52"/>
      <c r="J463" s="52"/>
      <c r="K463" s="52"/>
      <c r="L463" s="52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</row>
    <row r="464" ht="14.25" customHeight="1">
      <c r="A464" s="49"/>
      <c r="B464" s="49"/>
      <c r="C464" s="51"/>
      <c r="D464" s="51"/>
      <c r="E464" s="51"/>
      <c r="F464" s="51"/>
      <c r="G464" s="51"/>
      <c r="H464" s="52"/>
      <c r="I464" s="52"/>
      <c r="J464" s="52"/>
      <c r="K464" s="52"/>
      <c r="L464" s="52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</row>
    <row r="465" ht="14.25" customHeight="1">
      <c r="A465" s="49"/>
      <c r="B465" s="49"/>
      <c r="C465" s="51"/>
      <c r="D465" s="51"/>
      <c r="E465" s="51"/>
      <c r="F465" s="51"/>
      <c r="G465" s="51"/>
      <c r="H465" s="52"/>
      <c r="I465" s="52"/>
      <c r="J465" s="52"/>
      <c r="K465" s="52"/>
      <c r="L465" s="52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</row>
    <row r="466" ht="14.25" customHeight="1">
      <c r="A466" s="49"/>
      <c r="B466" s="49"/>
      <c r="C466" s="51"/>
      <c r="D466" s="51"/>
      <c r="E466" s="51"/>
      <c r="F466" s="51"/>
      <c r="G466" s="51"/>
      <c r="H466" s="52"/>
      <c r="I466" s="52"/>
      <c r="J466" s="52"/>
      <c r="K466" s="52"/>
      <c r="L466" s="52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</row>
    <row r="467" ht="14.25" customHeight="1">
      <c r="A467" s="49"/>
      <c r="B467" s="49"/>
      <c r="C467" s="51"/>
      <c r="D467" s="51"/>
      <c r="E467" s="51"/>
      <c r="F467" s="51"/>
      <c r="G467" s="51"/>
      <c r="H467" s="52"/>
      <c r="I467" s="52"/>
      <c r="J467" s="52"/>
      <c r="K467" s="52"/>
      <c r="L467" s="52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</row>
    <row r="468" ht="14.25" customHeight="1">
      <c r="A468" s="49"/>
      <c r="B468" s="49"/>
      <c r="C468" s="51"/>
      <c r="D468" s="51"/>
      <c r="E468" s="51"/>
      <c r="F468" s="51"/>
      <c r="G468" s="51"/>
      <c r="H468" s="52"/>
      <c r="I468" s="52"/>
      <c r="J468" s="52"/>
      <c r="K468" s="52"/>
      <c r="L468" s="52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</row>
    <row r="469" ht="14.25" customHeight="1">
      <c r="A469" s="49"/>
      <c r="B469" s="49"/>
      <c r="C469" s="51"/>
      <c r="D469" s="51"/>
      <c r="E469" s="51"/>
      <c r="F469" s="51"/>
      <c r="G469" s="51"/>
      <c r="H469" s="52"/>
      <c r="I469" s="52"/>
      <c r="J469" s="52"/>
      <c r="K469" s="52"/>
      <c r="L469" s="52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</row>
    <row r="470" ht="14.25" customHeight="1">
      <c r="A470" s="49"/>
      <c r="B470" s="49"/>
      <c r="C470" s="51"/>
      <c r="D470" s="51"/>
      <c r="E470" s="51"/>
      <c r="F470" s="51"/>
      <c r="G470" s="51"/>
      <c r="H470" s="52"/>
      <c r="I470" s="52"/>
      <c r="J470" s="52"/>
      <c r="K470" s="52"/>
      <c r="L470" s="52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</row>
    <row r="471" ht="14.25" customHeight="1">
      <c r="A471" s="49"/>
      <c r="B471" s="49"/>
      <c r="C471" s="51"/>
      <c r="D471" s="51"/>
      <c r="E471" s="51"/>
      <c r="F471" s="51"/>
      <c r="G471" s="51"/>
      <c r="H471" s="52"/>
      <c r="I471" s="52"/>
      <c r="J471" s="52"/>
      <c r="K471" s="52"/>
      <c r="L471" s="52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</row>
    <row r="472" ht="14.25" customHeight="1">
      <c r="A472" s="49"/>
      <c r="B472" s="49"/>
      <c r="C472" s="51"/>
      <c r="D472" s="51"/>
      <c r="E472" s="51"/>
      <c r="F472" s="51"/>
      <c r="G472" s="51"/>
      <c r="H472" s="52"/>
      <c r="I472" s="52"/>
      <c r="J472" s="52"/>
      <c r="K472" s="52"/>
      <c r="L472" s="52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</row>
    <row r="473" ht="14.25" customHeight="1">
      <c r="A473" s="49"/>
      <c r="B473" s="49"/>
      <c r="C473" s="51"/>
      <c r="D473" s="51"/>
      <c r="E473" s="51"/>
      <c r="F473" s="51"/>
      <c r="G473" s="51"/>
      <c r="H473" s="52"/>
      <c r="I473" s="52"/>
      <c r="J473" s="52"/>
      <c r="K473" s="52"/>
      <c r="L473" s="52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</row>
    <row r="474" ht="14.25" customHeight="1">
      <c r="A474" s="49"/>
      <c r="B474" s="49"/>
      <c r="C474" s="51"/>
      <c r="D474" s="51"/>
      <c r="E474" s="51"/>
      <c r="F474" s="51"/>
      <c r="G474" s="51"/>
      <c r="H474" s="52"/>
      <c r="I474" s="52"/>
      <c r="J474" s="52"/>
      <c r="K474" s="52"/>
      <c r="L474" s="52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</row>
    <row r="475" ht="14.25" customHeight="1">
      <c r="A475" s="49"/>
      <c r="B475" s="49"/>
      <c r="C475" s="51"/>
      <c r="D475" s="51"/>
      <c r="E475" s="51"/>
      <c r="F475" s="51"/>
      <c r="G475" s="51"/>
      <c r="H475" s="52"/>
      <c r="I475" s="52"/>
      <c r="J475" s="52"/>
      <c r="K475" s="52"/>
      <c r="L475" s="52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</row>
    <row r="476" ht="14.25" customHeight="1">
      <c r="A476" s="49"/>
      <c r="B476" s="49"/>
      <c r="C476" s="51"/>
      <c r="D476" s="51"/>
      <c r="E476" s="51"/>
      <c r="F476" s="51"/>
      <c r="G476" s="51"/>
      <c r="H476" s="52"/>
      <c r="I476" s="52"/>
      <c r="J476" s="52"/>
      <c r="K476" s="52"/>
      <c r="L476" s="52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</row>
    <row r="477" ht="14.25" customHeight="1">
      <c r="A477" s="49"/>
      <c r="B477" s="49"/>
      <c r="C477" s="51"/>
      <c r="D477" s="51"/>
      <c r="E477" s="51"/>
      <c r="F477" s="51"/>
      <c r="G477" s="51"/>
      <c r="H477" s="52"/>
      <c r="I477" s="52"/>
      <c r="J477" s="52"/>
      <c r="K477" s="52"/>
      <c r="L477" s="52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</row>
    <row r="478" ht="14.25" customHeight="1">
      <c r="A478" s="49"/>
      <c r="B478" s="49"/>
      <c r="C478" s="51"/>
      <c r="D478" s="51"/>
      <c r="E478" s="51"/>
      <c r="F478" s="51"/>
      <c r="G478" s="51"/>
      <c r="H478" s="52"/>
      <c r="I478" s="52"/>
      <c r="J478" s="52"/>
      <c r="K478" s="52"/>
      <c r="L478" s="52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</row>
    <row r="479" ht="14.25" customHeight="1">
      <c r="A479" s="49"/>
      <c r="B479" s="49"/>
      <c r="C479" s="51"/>
      <c r="D479" s="51"/>
      <c r="E479" s="51"/>
      <c r="F479" s="51"/>
      <c r="G479" s="51"/>
      <c r="H479" s="52"/>
      <c r="I479" s="52"/>
      <c r="J479" s="52"/>
      <c r="K479" s="52"/>
      <c r="L479" s="52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</row>
    <row r="480" ht="14.25" customHeight="1">
      <c r="A480" s="49"/>
      <c r="B480" s="49"/>
      <c r="C480" s="51"/>
      <c r="D480" s="51"/>
      <c r="E480" s="51"/>
      <c r="F480" s="51"/>
      <c r="G480" s="51"/>
      <c r="H480" s="52"/>
      <c r="I480" s="52"/>
      <c r="J480" s="52"/>
      <c r="K480" s="52"/>
      <c r="L480" s="52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</row>
    <row r="481" ht="14.25" customHeight="1">
      <c r="A481" s="49"/>
      <c r="B481" s="49"/>
      <c r="C481" s="51"/>
      <c r="D481" s="51"/>
      <c r="E481" s="51"/>
      <c r="F481" s="51"/>
      <c r="G481" s="51"/>
      <c r="H481" s="52"/>
      <c r="I481" s="52"/>
      <c r="J481" s="52"/>
      <c r="K481" s="52"/>
      <c r="L481" s="52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</row>
    <row r="482" ht="14.25" customHeight="1">
      <c r="A482" s="49"/>
      <c r="B482" s="49"/>
      <c r="C482" s="51"/>
      <c r="D482" s="51"/>
      <c r="E482" s="51"/>
      <c r="F482" s="51"/>
      <c r="G482" s="51"/>
      <c r="H482" s="52"/>
      <c r="I482" s="52"/>
      <c r="J482" s="52"/>
      <c r="K482" s="52"/>
      <c r="L482" s="52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</row>
    <row r="483" ht="14.25" customHeight="1">
      <c r="A483" s="49"/>
      <c r="B483" s="49"/>
      <c r="C483" s="51"/>
      <c r="D483" s="51"/>
      <c r="E483" s="51"/>
      <c r="F483" s="51"/>
      <c r="G483" s="51"/>
      <c r="H483" s="52"/>
      <c r="I483" s="52"/>
      <c r="J483" s="52"/>
      <c r="K483" s="52"/>
      <c r="L483" s="52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</row>
    <row r="484" ht="14.25" customHeight="1">
      <c r="A484" s="49"/>
      <c r="B484" s="49"/>
      <c r="C484" s="51"/>
      <c r="D484" s="51"/>
      <c r="E484" s="51"/>
      <c r="F484" s="51"/>
      <c r="G484" s="51"/>
      <c r="H484" s="52"/>
      <c r="I484" s="52"/>
      <c r="J484" s="52"/>
      <c r="K484" s="52"/>
      <c r="L484" s="52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</row>
    <row r="485" ht="14.25" customHeight="1">
      <c r="A485" s="49"/>
      <c r="B485" s="49"/>
      <c r="C485" s="51"/>
      <c r="D485" s="51"/>
      <c r="E485" s="51"/>
      <c r="F485" s="51"/>
      <c r="G485" s="51"/>
      <c r="H485" s="52"/>
      <c r="I485" s="52"/>
      <c r="J485" s="52"/>
      <c r="K485" s="52"/>
      <c r="L485" s="52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</row>
    <row r="486" ht="14.25" customHeight="1">
      <c r="A486" s="49"/>
      <c r="B486" s="49"/>
      <c r="C486" s="51"/>
      <c r="D486" s="51"/>
      <c r="E486" s="51"/>
      <c r="F486" s="51"/>
      <c r="G486" s="51"/>
      <c r="H486" s="52"/>
      <c r="I486" s="52"/>
      <c r="J486" s="52"/>
      <c r="K486" s="52"/>
      <c r="L486" s="52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</row>
    <row r="487" ht="14.25" customHeight="1">
      <c r="A487" s="49"/>
      <c r="B487" s="49"/>
      <c r="C487" s="51"/>
      <c r="D487" s="51"/>
      <c r="E487" s="51"/>
      <c r="F487" s="51"/>
      <c r="G487" s="51"/>
      <c r="H487" s="52"/>
      <c r="I487" s="52"/>
      <c r="J487" s="52"/>
      <c r="K487" s="52"/>
      <c r="L487" s="52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</row>
    <row r="488" ht="14.25" customHeight="1">
      <c r="A488" s="49"/>
      <c r="B488" s="49"/>
      <c r="C488" s="51"/>
      <c r="D488" s="51"/>
      <c r="E488" s="51"/>
      <c r="F488" s="51"/>
      <c r="G488" s="51"/>
      <c r="H488" s="52"/>
      <c r="I488" s="52"/>
      <c r="J488" s="52"/>
      <c r="K488" s="52"/>
      <c r="L488" s="52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</row>
    <row r="489" ht="14.25" customHeight="1">
      <c r="A489" s="49"/>
      <c r="B489" s="49"/>
      <c r="C489" s="51"/>
      <c r="D489" s="51"/>
      <c r="E489" s="51"/>
      <c r="F489" s="51"/>
      <c r="G489" s="51"/>
      <c r="H489" s="52"/>
      <c r="I489" s="52"/>
      <c r="J489" s="52"/>
      <c r="K489" s="52"/>
      <c r="L489" s="52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</row>
    <row r="490" ht="14.25" customHeight="1">
      <c r="A490" s="49"/>
      <c r="B490" s="49"/>
      <c r="C490" s="51"/>
      <c r="D490" s="51"/>
      <c r="E490" s="51"/>
      <c r="F490" s="51"/>
      <c r="G490" s="51"/>
      <c r="H490" s="52"/>
      <c r="I490" s="52"/>
      <c r="J490" s="52"/>
      <c r="K490" s="52"/>
      <c r="L490" s="52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</row>
    <row r="491" ht="14.25" customHeight="1">
      <c r="A491" s="49"/>
      <c r="B491" s="49"/>
      <c r="C491" s="51"/>
      <c r="D491" s="51"/>
      <c r="E491" s="51"/>
      <c r="F491" s="51"/>
      <c r="G491" s="51"/>
      <c r="H491" s="52"/>
      <c r="I491" s="52"/>
      <c r="J491" s="52"/>
      <c r="K491" s="52"/>
      <c r="L491" s="52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</row>
    <row r="492" ht="14.25" customHeight="1">
      <c r="A492" s="49"/>
      <c r="B492" s="49"/>
      <c r="C492" s="51"/>
      <c r="D492" s="51"/>
      <c r="E492" s="51"/>
      <c r="F492" s="51"/>
      <c r="G492" s="51"/>
      <c r="H492" s="52"/>
      <c r="I492" s="52"/>
      <c r="J492" s="52"/>
      <c r="K492" s="52"/>
      <c r="L492" s="52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</row>
    <row r="493" ht="14.25" customHeight="1">
      <c r="A493" s="49"/>
      <c r="B493" s="49"/>
      <c r="C493" s="51"/>
      <c r="D493" s="51"/>
      <c r="E493" s="51"/>
      <c r="F493" s="51"/>
      <c r="G493" s="51"/>
      <c r="H493" s="52"/>
      <c r="I493" s="52"/>
      <c r="J493" s="52"/>
      <c r="K493" s="52"/>
      <c r="L493" s="52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</row>
    <row r="494" ht="14.25" customHeight="1">
      <c r="A494" s="49"/>
      <c r="B494" s="49"/>
      <c r="C494" s="51"/>
      <c r="D494" s="51"/>
      <c r="E494" s="51"/>
      <c r="F494" s="51"/>
      <c r="G494" s="51"/>
      <c r="H494" s="52"/>
      <c r="I494" s="52"/>
      <c r="J494" s="52"/>
      <c r="K494" s="52"/>
      <c r="L494" s="52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</row>
    <row r="495" ht="14.25" customHeight="1">
      <c r="A495" s="49"/>
      <c r="B495" s="49"/>
      <c r="C495" s="51"/>
      <c r="D495" s="51"/>
      <c r="E495" s="51"/>
      <c r="F495" s="51"/>
      <c r="G495" s="51"/>
      <c r="H495" s="52"/>
      <c r="I495" s="52"/>
      <c r="J495" s="52"/>
      <c r="K495" s="52"/>
      <c r="L495" s="52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</row>
    <row r="496" ht="14.25" customHeight="1">
      <c r="A496" s="49"/>
      <c r="B496" s="49"/>
      <c r="C496" s="51"/>
      <c r="D496" s="51"/>
      <c r="E496" s="51"/>
      <c r="F496" s="51"/>
      <c r="G496" s="51"/>
      <c r="H496" s="52"/>
      <c r="I496" s="52"/>
      <c r="J496" s="52"/>
      <c r="K496" s="52"/>
      <c r="L496" s="52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</row>
    <row r="497" ht="14.25" customHeight="1">
      <c r="A497" s="49"/>
      <c r="B497" s="49"/>
      <c r="C497" s="51"/>
      <c r="D497" s="51"/>
      <c r="E497" s="51"/>
      <c r="F497" s="51"/>
      <c r="G497" s="51"/>
      <c r="H497" s="52"/>
      <c r="I497" s="52"/>
      <c r="J497" s="52"/>
      <c r="K497" s="52"/>
      <c r="L497" s="52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</row>
    <row r="498" ht="14.25" customHeight="1">
      <c r="A498" s="49"/>
      <c r="B498" s="49"/>
      <c r="C498" s="51"/>
      <c r="D498" s="51"/>
      <c r="E498" s="51"/>
      <c r="F498" s="51"/>
      <c r="G498" s="51"/>
      <c r="H498" s="52"/>
      <c r="I498" s="52"/>
      <c r="J498" s="52"/>
      <c r="K498" s="52"/>
      <c r="L498" s="52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</row>
    <row r="499" ht="14.25" customHeight="1">
      <c r="A499" s="49"/>
      <c r="B499" s="49"/>
      <c r="C499" s="51"/>
      <c r="D499" s="51"/>
      <c r="E499" s="51"/>
      <c r="F499" s="51"/>
      <c r="G499" s="51"/>
      <c r="H499" s="52"/>
      <c r="I499" s="52"/>
      <c r="J499" s="52"/>
      <c r="K499" s="52"/>
      <c r="L499" s="52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</row>
    <row r="500" ht="14.25" customHeight="1">
      <c r="A500" s="49"/>
      <c r="B500" s="49"/>
      <c r="C500" s="51"/>
      <c r="D500" s="51"/>
      <c r="E500" s="51"/>
      <c r="F500" s="51"/>
      <c r="G500" s="51"/>
      <c r="H500" s="52"/>
      <c r="I500" s="52"/>
      <c r="J500" s="52"/>
      <c r="K500" s="52"/>
      <c r="L500" s="52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</row>
    <row r="501" ht="14.25" customHeight="1">
      <c r="A501" s="49"/>
      <c r="B501" s="49"/>
      <c r="C501" s="51"/>
      <c r="D501" s="51"/>
      <c r="E501" s="51"/>
      <c r="F501" s="51"/>
      <c r="G501" s="51"/>
      <c r="H501" s="52"/>
      <c r="I501" s="52"/>
      <c r="J501" s="52"/>
      <c r="K501" s="52"/>
      <c r="L501" s="52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</row>
    <row r="502" ht="14.25" customHeight="1">
      <c r="A502" s="49"/>
      <c r="B502" s="49"/>
      <c r="C502" s="51"/>
      <c r="D502" s="51"/>
      <c r="E502" s="51"/>
      <c r="F502" s="51"/>
      <c r="G502" s="51"/>
      <c r="H502" s="52"/>
      <c r="I502" s="52"/>
      <c r="J502" s="52"/>
      <c r="K502" s="52"/>
      <c r="L502" s="52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</row>
    <row r="503" ht="14.25" customHeight="1">
      <c r="A503" s="49"/>
      <c r="B503" s="49"/>
      <c r="C503" s="51"/>
      <c r="D503" s="51"/>
      <c r="E503" s="51"/>
      <c r="F503" s="51"/>
      <c r="G503" s="51"/>
      <c r="H503" s="52"/>
      <c r="I503" s="52"/>
      <c r="J503" s="52"/>
      <c r="K503" s="52"/>
      <c r="L503" s="52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</row>
    <row r="504" ht="14.25" customHeight="1">
      <c r="A504" s="49"/>
      <c r="B504" s="49"/>
      <c r="C504" s="51"/>
      <c r="D504" s="51"/>
      <c r="E504" s="51"/>
      <c r="F504" s="51"/>
      <c r="G504" s="51"/>
      <c r="H504" s="52"/>
      <c r="I504" s="52"/>
      <c r="J504" s="52"/>
      <c r="K504" s="52"/>
      <c r="L504" s="52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</row>
    <row r="505" ht="14.25" customHeight="1">
      <c r="A505" s="49"/>
      <c r="B505" s="49"/>
      <c r="C505" s="51"/>
      <c r="D505" s="51"/>
      <c r="E505" s="51"/>
      <c r="F505" s="51"/>
      <c r="G505" s="51"/>
      <c r="H505" s="52"/>
      <c r="I505" s="52"/>
      <c r="J505" s="52"/>
      <c r="K505" s="52"/>
      <c r="L505" s="52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</row>
    <row r="506" ht="14.25" customHeight="1">
      <c r="A506" s="49"/>
      <c r="B506" s="49"/>
      <c r="C506" s="51"/>
      <c r="D506" s="51"/>
      <c r="E506" s="51"/>
      <c r="F506" s="51"/>
      <c r="G506" s="51"/>
      <c r="H506" s="52"/>
      <c r="I506" s="52"/>
      <c r="J506" s="52"/>
      <c r="K506" s="52"/>
      <c r="L506" s="52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</row>
    <row r="507" ht="14.25" customHeight="1">
      <c r="A507" s="49"/>
      <c r="B507" s="49"/>
      <c r="C507" s="51"/>
      <c r="D507" s="51"/>
      <c r="E507" s="51"/>
      <c r="F507" s="51"/>
      <c r="G507" s="51"/>
      <c r="H507" s="52"/>
      <c r="I507" s="52"/>
      <c r="J507" s="52"/>
      <c r="K507" s="52"/>
      <c r="L507" s="52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</row>
    <row r="508" ht="14.25" customHeight="1">
      <c r="A508" s="49"/>
      <c r="B508" s="49"/>
      <c r="C508" s="51"/>
      <c r="D508" s="51"/>
      <c r="E508" s="51"/>
      <c r="F508" s="51"/>
      <c r="G508" s="51"/>
      <c r="H508" s="52"/>
      <c r="I508" s="52"/>
      <c r="J508" s="52"/>
      <c r="K508" s="52"/>
      <c r="L508" s="52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</row>
    <row r="509" ht="14.25" customHeight="1">
      <c r="A509" s="49"/>
      <c r="B509" s="49"/>
      <c r="C509" s="51"/>
      <c r="D509" s="51"/>
      <c r="E509" s="51"/>
      <c r="F509" s="51"/>
      <c r="G509" s="51"/>
      <c r="H509" s="52"/>
      <c r="I509" s="52"/>
      <c r="J509" s="52"/>
      <c r="K509" s="52"/>
      <c r="L509" s="52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</row>
    <row r="510" ht="14.25" customHeight="1">
      <c r="A510" s="49"/>
      <c r="B510" s="49"/>
      <c r="C510" s="51"/>
      <c r="D510" s="51"/>
      <c r="E510" s="51"/>
      <c r="F510" s="51"/>
      <c r="G510" s="51"/>
      <c r="H510" s="52"/>
      <c r="I510" s="52"/>
      <c r="J510" s="52"/>
      <c r="K510" s="52"/>
      <c r="L510" s="52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</row>
    <row r="511" ht="14.25" customHeight="1">
      <c r="A511" s="49"/>
      <c r="B511" s="49"/>
      <c r="C511" s="51"/>
      <c r="D511" s="51"/>
      <c r="E511" s="51"/>
      <c r="F511" s="51"/>
      <c r="G511" s="51"/>
      <c r="H511" s="52"/>
      <c r="I511" s="52"/>
      <c r="J511" s="52"/>
      <c r="K511" s="52"/>
      <c r="L511" s="52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</row>
    <row r="512" ht="14.25" customHeight="1">
      <c r="A512" s="49"/>
      <c r="B512" s="49"/>
      <c r="C512" s="51"/>
      <c r="D512" s="51"/>
      <c r="E512" s="51"/>
      <c r="F512" s="51"/>
      <c r="G512" s="51"/>
      <c r="H512" s="52"/>
      <c r="I512" s="52"/>
      <c r="J512" s="52"/>
      <c r="K512" s="52"/>
      <c r="L512" s="52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</row>
    <row r="513" ht="14.25" customHeight="1">
      <c r="A513" s="49"/>
      <c r="B513" s="49"/>
      <c r="C513" s="51"/>
      <c r="D513" s="51"/>
      <c r="E513" s="51"/>
      <c r="F513" s="51"/>
      <c r="G513" s="51"/>
      <c r="H513" s="52"/>
      <c r="I513" s="52"/>
      <c r="J513" s="52"/>
      <c r="K513" s="52"/>
      <c r="L513" s="52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</row>
    <row r="514" ht="14.25" customHeight="1">
      <c r="A514" s="49"/>
      <c r="B514" s="49"/>
      <c r="C514" s="51"/>
      <c r="D514" s="51"/>
      <c r="E514" s="51"/>
      <c r="F514" s="51"/>
      <c r="G514" s="51"/>
      <c r="H514" s="52"/>
      <c r="I514" s="52"/>
      <c r="J514" s="52"/>
      <c r="K514" s="52"/>
      <c r="L514" s="52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</row>
    <row r="515" ht="14.25" customHeight="1">
      <c r="A515" s="49"/>
      <c r="B515" s="49"/>
      <c r="C515" s="51"/>
      <c r="D515" s="51"/>
      <c r="E515" s="51"/>
      <c r="F515" s="51"/>
      <c r="G515" s="51"/>
      <c r="H515" s="52"/>
      <c r="I515" s="52"/>
      <c r="J515" s="52"/>
      <c r="K515" s="52"/>
      <c r="L515" s="52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</row>
    <row r="516" ht="14.25" customHeight="1">
      <c r="A516" s="49"/>
      <c r="B516" s="49"/>
      <c r="C516" s="51"/>
      <c r="D516" s="51"/>
      <c r="E516" s="51"/>
      <c r="F516" s="51"/>
      <c r="G516" s="51"/>
      <c r="H516" s="52"/>
      <c r="I516" s="52"/>
      <c r="J516" s="52"/>
      <c r="K516" s="52"/>
      <c r="L516" s="52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</row>
    <row r="517" ht="14.25" customHeight="1">
      <c r="A517" s="49"/>
      <c r="B517" s="49"/>
      <c r="C517" s="51"/>
      <c r="D517" s="51"/>
      <c r="E517" s="51"/>
      <c r="F517" s="51"/>
      <c r="G517" s="51"/>
      <c r="H517" s="52"/>
      <c r="I517" s="52"/>
      <c r="J517" s="52"/>
      <c r="K517" s="52"/>
      <c r="L517" s="52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</row>
    <row r="518" ht="14.25" customHeight="1">
      <c r="A518" s="49"/>
      <c r="B518" s="49"/>
      <c r="C518" s="51"/>
      <c r="D518" s="51"/>
      <c r="E518" s="51"/>
      <c r="F518" s="51"/>
      <c r="G518" s="51"/>
      <c r="H518" s="52"/>
      <c r="I518" s="52"/>
      <c r="J518" s="52"/>
      <c r="K518" s="52"/>
      <c r="L518" s="52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</row>
    <row r="519" ht="14.25" customHeight="1">
      <c r="A519" s="49"/>
      <c r="B519" s="49"/>
      <c r="C519" s="51"/>
      <c r="D519" s="51"/>
      <c r="E519" s="51"/>
      <c r="F519" s="51"/>
      <c r="G519" s="51"/>
      <c r="H519" s="52"/>
      <c r="I519" s="52"/>
      <c r="J519" s="52"/>
      <c r="K519" s="52"/>
      <c r="L519" s="52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</row>
    <row r="520" ht="14.25" customHeight="1">
      <c r="A520" s="49"/>
      <c r="B520" s="49"/>
      <c r="C520" s="51"/>
      <c r="D520" s="51"/>
      <c r="E520" s="51"/>
      <c r="F520" s="51"/>
      <c r="G520" s="51"/>
      <c r="H520" s="52"/>
      <c r="I520" s="52"/>
      <c r="J520" s="52"/>
      <c r="K520" s="52"/>
      <c r="L520" s="52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</row>
    <row r="521" ht="14.25" customHeight="1">
      <c r="A521" s="49"/>
      <c r="B521" s="49"/>
      <c r="C521" s="51"/>
      <c r="D521" s="51"/>
      <c r="E521" s="51"/>
      <c r="F521" s="51"/>
      <c r="G521" s="51"/>
      <c r="H521" s="52"/>
      <c r="I521" s="52"/>
      <c r="J521" s="52"/>
      <c r="K521" s="52"/>
      <c r="L521" s="52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</row>
    <row r="522" ht="14.25" customHeight="1">
      <c r="A522" s="49"/>
      <c r="B522" s="49"/>
      <c r="C522" s="51"/>
      <c r="D522" s="51"/>
      <c r="E522" s="51"/>
      <c r="F522" s="51"/>
      <c r="G522" s="51"/>
      <c r="H522" s="52"/>
      <c r="I522" s="52"/>
      <c r="J522" s="52"/>
      <c r="K522" s="52"/>
      <c r="L522" s="52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</row>
    <row r="523" ht="14.25" customHeight="1">
      <c r="A523" s="49"/>
      <c r="B523" s="49"/>
      <c r="C523" s="51"/>
      <c r="D523" s="51"/>
      <c r="E523" s="51"/>
      <c r="F523" s="51"/>
      <c r="G523" s="51"/>
      <c r="H523" s="52"/>
      <c r="I523" s="52"/>
      <c r="J523" s="52"/>
      <c r="K523" s="52"/>
      <c r="L523" s="52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</row>
    <row r="524" ht="14.25" customHeight="1">
      <c r="A524" s="49"/>
      <c r="B524" s="49"/>
      <c r="C524" s="51"/>
      <c r="D524" s="51"/>
      <c r="E524" s="51"/>
      <c r="F524" s="51"/>
      <c r="G524" s="51"/>
      <c r="H524" s="52"/>
      <c r="I524" s="52"/>
      <c r="J524" s="52"/>
      <c r="K524" s="52"/>
      <c r="L524" s="52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</row>
    <row r="525" ht="14.25" customHeight="1">
      <c r="A525" s="49"/>
      <c r="B525" s="49"/>
      <c r="C525" s="51"/>
      <c r="D525" s="51"/>
      <c r="E525" s="51"/>
      <c r="F525" s="51"/>
      <c r="G525" s="51"/>
      <c r="H525" s="52"/>
      <c r="I525" s="52"/>
      <c r="J525" s="52"/>
      <c r="K525" s="52"/>
      <c r="L525" s="52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</row>
    <row r="526" ht="14.25" customHeight="1">
      <c r="A526" s="49"/>
      <c r="B526" s="49"/>
      <c r="C526" s="51"/>
      <c r="D526" s="51"/>
      <c r="E526" s="51"/>
      <c r="F526" s="51"/>
      <c r="G526" s="51"/>
      <c r="H526" s="52"/>
      <c r="I526" s="52"/>
      <c r="J526" s="52"/>
      <c r="K526" s="52"/>
      <c r="L526" s="52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</row>
    <row r="527" ht="14.25" customHeight="1">
      <c r="A527" s="49"/>
      <c r="B527" s="49"/>
      <c r="C527" s="51"/>
      <c r="D527" s="51"/>
      <c r="E527" s="51"/>
      <c r="F527" s="51"/>
      <c r="G527" s="51"/>
      <c r="H527" s="52"/>
      <c r="I527" s="52"/>
      <c r="J527" s="52"/>
      <c r="K527" s="52"/>
      <c r="L527" s="52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</row>
    <row r="528" ht="14.25" customHeight="1">
      <c r="A528" s="49"/>
      <c r="B528" s="49"/>
      <c r="C528" s="51"/>
      <c r="D528" s="51"/>
      <c r="E528" s="51"/>
      <c r="F528" s="51"/>
      <c r="G528" s="51"/>
      <c r="H528" s="52"/>
      <c r="I528" s="52"/>
      <c r="J528" s="52"/>
      <c r="K528" s="52"/>
      <c r="L528" s="52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</row>
    <row r="529" ht="14.25" customHeight="1">
      <c r="A529" s="49"/>
      <c r="B529" s="49"/>
      <c r="C529" s="51"/>
      <c r="D529" s="51"/>
      <c r="E529" s="51"/>
      <c r="F529" s="51"/>
      <c r="G529" s="51"/>
      <c r="H529" s="52"/>
      <c r="I529" s="52"/>
      <c r="J529" s="52"/>
      <c r="K529" s="52"/>
      <c r="L529" s="52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</row>
    <row r="530" ht="14.25" customHeight="1">
      <c r="A530" s="49"/>
      <c r="B530" s="49"/>
      <c r="C530" s="51"/>
      <c r="D530" s="51"/>
      <c r="E530" s="51"/>
      <c r="F530" s="51"/>
      <c r="G530" s="51"/>
      <c r="H530" s="52"/>
      <c r="I530" s="52"/>
      <c r="J530" s="52"/>
      <c r="K530" s="52"/>
      <c r="L530" s="52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</row>
    <row r="531" ht="14.25" customHeight="1">
      <c r="A531" s="49"/>
      <c r="B531" s="49"/>
      <c r="C531" s="51"/>
      <c r="D531" s="51"/>
      <c r="E531" s="51"/>
      <c r="F531" s="51"/>
      <c r="G531" s="51"/>
      <c r="H531" s="52"/>
      <c r="I531" s="52"/>
      <c r="J531" s="52"/>
      <c r="K531" s="52"/>
      <c r="L531" s="52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</row>
    <row r="532" ht="14.25" customHeight="1">
      <c r="A532" s="49"/>
      <c r="B532" s="49"/>
      <c r="C532" s="51"/>
      <c r="D532" s="51"/>
      <c r="E532" s="51"/>
      <c r="F532" s="51"/>
      <c r="G532" s="51"/>
      <c r="H532" s="52"/>
      <c r="I532" s="52"/>
      <c r="J532" s="52"/>
      <c r="K532" s="52"/>
      <c r="L532" s="52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</row>
    <row r="533" ht="14.25" customHeight="1">
      <c r="A533" s="49"/>
      <c r="B533" s="49"/>
      <c r="C533" s="51"/>
      <c r="D533" s="51"/>
      <c r="E533" s="51"/>
      <c r="F533" s="51"/>
      <c r="G533" s="51"/>
      <c r="H533" s="52"/>
      <c r="I533" s="52"/>
      <c r="J533" s="52"/>
      <c r="K533" s="52"/>
      <c r="L533" s="52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</row>
    <row r="534" ht="14.25" customHeight="1">
      <c r="A534" s="49"/>
      <c r="B534" s="49"/>
      <c r="C534" s="51"/>
      <c r="D534" s="51"/>
      <c r="E534" s="51"/>
      <c r="F534" s="51"/>
      <c r="G534" s="51"/>
      <c r="H534" s="52"/>
      <c r="I534" s="52"/>
      <c r="J534" s="52"/>
      <c r="K534" s="52"/>
      <c r="L534" s="52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</row>
    <row r="535" ht="14.25" customHeight="1">
      <c r="A535" s="49"/>
      <c r="B535" s="49"/>
      <c r="C535" s="51"/>
      <c r="D535" s="51"/>
      <c r="E535" s="51"/>
      <c r="F535" s="51"/>
      <c r="G535" s="51"/>
      <c r="H535" s="52"/>
      <c r="I535" s="52"/>
      <c r="J535" s="52"/>
      <c r="K535" s="52"/>
      <c r="L535" s="52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</row>
    <row r="536" ht="14.25" customHeight="1">
      <c r="A536" s="49"/>
      <c r="B536" s="49"/>
      <c r="C536" s="51"/>
      <c r="D536" s="51"/>
      <c r="E536" s="51"/>
      <c r="F536" s="51"/>
      <c r="G536" s="51"/>
      <c r="H536" s="52"/>
      <c r="I536" s="52"/>
      <c r="J536" s="52"/>
      <c r="K536" s="52"/>
      <c r="L536" s="52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</row>
    <row r="537" ht="14.25" customHeight="1">
      <c r="A537" s="49"/>
      <c r="B537" s="49"/>
      <c r="C537" s="51"/>
      <c r="D537" s="51"/>
      <c r="E537" s="51"/>
      <c r="F537" s="51"/>
      <c r="G537" s="51"/>
      <c r="H537" s="52"/>
      <c r="I537" s="52"/>
      <c r="J537" s="52"/>
      <c r="K537" s="52"/>
      <c r="L537" s="52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</row>
    <row r="538" ht="14.25" customHeight="1">
      <c r="A538" s="49"/>
      <c r="B538" s="49"/>
      <c r="C538" s="51"/>
      <c r="D538" s="51"/>
      <c r="E538" s="51"/>
      <c r="F538" s="51"/>
      <c r="G538" s="51"/>
      <c r="H538" s="52"/>
      <c r="I538" s="52"/>
      <c r="J538" s="52"/>
      <c r="K538" s="52"/>
      <c r="L538" s="52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</row>
    <row r="539" ht="14.25" customHeight="1">
      <c r="A539" s="49"/>
      <c r="B539" s="49"/>
      <c r="C539" s="51"/>
      <c r="D539" s="51"/>
      <c r="E539" s="51"/>
      <c r="F539" s="51"/>
      <c r="G539" s="51"/>
      <c r="H539" s="52"/>
      <c r="I539" s="52"/>
      <c r="J539" s="52"/>
      <c r="K539" s="52"/>
      <c r="L539" s="52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</row>
    <row r="540" ht="14.25" customHeight="1">
      <c r="A540" s="49"/>
      <c r="B540" s="49"/>
      <c r="C540" s="51"/>
      <c r="D540" s="51"/>
      <c r="E540" s="51"/>
      <c r="F540" s="51"/>
      <c r="G540" s="51"/>
      <c r="H540" s="52"/>
      <c r="I540" s="52"/>
      <c r="J540" s="52"/>
      <c r="K540" s="52"/>
      <c r="L540" s="52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</row>
    <row r="541" ht="14.25" customHeight="1">
      <c r="A541" s="49"/>
      <c r="B541" s="49"/>
      <c r="C541" s="51"/>
      <c r="D541" s="51"/>
      <c r="E541" s="51"/>
      <c r="F541" s="51"/>
      <c r="G541" s="51"/>
      <c r="H541" s="52"/>
      <c r="I541" s="52"/>
      <c r="J541" s="52"/>
      <c r="K541" s="52"/>
      <c r="L541" s="52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</row>
    <row r="542" ht="14.25" customHeight="1">
      <c r="A542" s="49"/>
      <c r="B542" s="49"/>
      <c r="C542" s="51"/>
      <c r="D542" s="51"/>
      <c r="E542" s="51"/>
      <c r="F542" s="51"/>
      <c r="G542" s="51"/>
      <c r="H542" s="52"/>
      <c r="I542" s="52"/>
      <c r="J542" s="52"/>
      <c r="K542" s="52"/>
      <c r="L542" s="52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</row>
    <row r="543" ht="14.25" customHeight="1">
      <c r="A543" s="49"/>
      <c r="B543" s="49"/>
      <c r="C543" s="51"/>
      <c r="D543" s="51"/>
      <c r="E543" s="51"/>
      <c r="F543" s="51"/>
      <c r="G543" s="51"/>
      <c r="H543" s="52"/>
      <c r="I543" s="52"/>
      <c r="J543" s="52"/>
      <c r="K543" s="52"/>
      <c r="L543" s="52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</row>
    <row r="544" ht="14.25" customHeight="1">
      <c r="A544" s="49"/>
      <c r="B544" s="49"/>
      <c r="C544" s="51"/>
      <c r="D544" s="51"/>
      <c r="E544" s="51"/>
      <c r="F544" s="51"/>
      <c r="G544" s="51"/>
      <c r="H544" s="52"/>
      <c r="I544" s="52"/>
      <c r="J544" s="52"/>
      <c r="K544" s="52"/>
      <c r="L544" s="52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</row>
    <row r="545" ht="14.25" customHeight="1">
      <c r="A545" s="49"/>
      <c r="B545" s="49"/>
      <c r="C545" s="51"/>
      <c r="D545" s="51"/>
      <c r="E545" s="51"/>
      <c r="F545" s="51"/>
      <c r="G545" s="51"/>
      <c r="H545" s="52"/>
      <c r="I545" s="52"/>
      <c r="J545" s="52"/>
      <c r="K545" s="52"/>
      <c r="L545" s="52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</row>
    <row r="546" ht="14.25" customHeight="1">
      <c r="A546" s="49"/>
      <c r="B546" s="49"/>
      <c r="C546" s="51"/>
      <c r="D546" s="51"/>
      <c r="E546" s="51"/>
      <c r="F546" s="51"/>
      <c r="G546" s="51"/>
      <c r="H546" s="52"/>
      <c r="I546" s="52"/>
      <c r="J546" s="52"/>
      <c r="K546" s="52"/>
      <c r="L546" s="52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</row>
    <row r="547" ht="14.25" customHeight="1">
      <c r="A547" s="49"/>
      <c r="B547" s="49"/>
      <c r="C547" s="51"/>
      <c r="D547" s="51"/>
      <c r="E547" s="51"/>
      <c r="F547" s="51"/>
      <c r="G547" s="51"/>
      <c r="H547" s="52"/>
      <c r="I547" s="52"/>
      <c r="J547" s="52"/>
      <c r="K547" s="52"/>
      <c r="L547" s="52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</row>
    <row r="548" ht="14.25" customHeight="1">
      <c r="A548" s="49"/>
      <c r="B548" s="49"/>
      <c r="C548" s="51"/>
      <c r="D548" s="51"/>
      <c r="E548" s="51"/>
      <c r="F548" s="51"/>
      <c r="G548" s="51"/>
      <c r="H548" s="52"/>
      <c r="I548" s="52"/>
      <c r="J548" s="52"/>
      <c r="K548" s="52"/>
      <c r="L548" s="52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</row>
    <row r="549" ht="14.25" customHeight="1">
      <c r="A549" s="49"/>
      <c r="B549" s="49"/>
      <c r="C549" s="51"/>
      <c r="D549" s="51"/>
      <c r="E549" s="51"/>
      <c r="F549" s="51"/>
      <c r="G549" s="51"/>
      <c r="H549" s="52"/>
      <c r="I549" s="52"/>
      <c r="J549" s="52"/>
      <c r="K549" s="52"/>
      <c r="L549" s="52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</row>
    <row r="550" ht="14.25" customHeight="1">
      <c r="A550" s="49"/>
      <c r="B550" s="49"/>
      <c r="C550" s="51"/>
      <c r="D550" s="51"/>
      <c r="E550" s="51"/>
      <c r="F550" s="51"/>
      <c r="G550" s="51"/>
      <c r="H550" s="52"/>
      <c r="I550" s="52"/>
      <c r="J550" s="52"/>
      <c r="K550" s="52"/>
      <c r="L550" s="52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</row>
    <row r="551" ht="14.25" customHeight="1">
      <c r="A551" s="49"/>
      <c r="B551" s="49"/>
      <c r="C551" s="51"/>
      <c r="D551" s="51"/>
      <c r="E551" s="51"/>
      <c r="F551" s="51"/>
      <c r="G551" s="51"/>
      <c r="H551" s="52"/>
      <c r="I551" s="52"/>
      <c r="J551" s="52"/>
      <c r="K551" s="52"/>
      <c r="L551" s="52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</row>
    <row r="552" ht="14.25" customHeight="1">
      <c r="A552" s="49"/>
      <c r="B552" s="49"/>
      <c r="C552" s="51"/>
      <c r="D552" s="51"/>
      <c r="E552" s="51"/>
      <c r="F552" s="51"/>
      <c r="G552" s="51"/>
      <c r="H552" s="52"/>
      <c r="I552" s="52"/>
      <c r="J552" s="52"/>
      <c r="K552" s="52"/>
      <c r="L552" s="52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</row>
    <row r="553" ht="14.25" customHeight="1">
      <c r="A553" s="49"/>
      <c r="B553" s="49"/>
      <c r="C553" s="51"/>
      <c r="D553" s="51"/>
      <c r="E553" s="51"/>
      <c r="F553" s="51"/>
      <c r="G553" s="51"/>
      <c r="H553" s="52"/>
      <c r="I553" s="52"/>
      <c r="J553" s="52"/>
      <c r="K553" s="52"/>
      <c r="L553" s="52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</row>
    <row r="554" ht="14.25" customHeight="1">
      <c r="A554" s="49"/>
      <c r="B554" s="49"/>
      <c r="C554" s="51"/>
      <c r="D554" s="51"/>
      <c r="E554" s="51"/>
      <c r="F554" s="51"/>
      <c r="G554" s="51"/>
      <c r="H554" s="52"/>
      <c r="I554" s="52"/>
      <c r="J554" s="52"/>
      <c r="K554" s="52"/>
      <c r="L554" s="52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</row>
    <row r="555" ht="14.25" customHeight="1">
      <c r="A555" s="49"/>
      <c r="B555" s="49"/>
      <c r="C555" s="51"/>
      <c r="D555" s="51"/>
      <c r="E555" s="51"/>
      <c r="F555" s="51"/>
      <c r="G555" s="51"/>
      <c r="H555" s="52"/>
      <c r="I555" s="52"/>
      <c r="J555" s="52"/>
      <c r="K555" s="52"/>
      <c r="L555" s="52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</row>
    <row r="556" ht="14.25" customHeight="1">
      <c r="A556" s="49"/>
      <c r="B556" s="49"/>
      <c r="C556" s="51"/>
      <c r="D556" s="51"/>
      <c r="E556" s="51"/>
      <c r="F556" s="51"/>
      <c r="G556" s="51"/>
      <c r="H556" s="52"/>
      <c r="I556" s="52"/>
      <c r="J556" s="52"/>
      <c r="K556" s="52"/>
      <c r="L556" s="52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</row>
    <row r="557" ht="14.25" customHeight="1">
      <c r="A557" s="49"/>
      <c r="B557" s="49"/>
      <c r="C557" s="51"/>
      <c r="D557" s="51"/>
      <c r="E557" s="51"/>
      <c r="F557" s="51"/>
      <c r="G557" s="51"/>
      <c r="H557" s="52"/>
      <c r="I557" s="52"/>
      <c r="J557" s="52"/>
      <c r="K557" s="52"/>
      <c r="L557" s="52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</row>
    <row r="558" ht="14.25" customHeight="1">
      <c r="A558" s="49"/>
      <c r="B558" s="49"/>
      <c r="C558" s="51"/>
      <c r="D558" s="51"/>
      <c r="E558" s="51"/>
      <c r="F558" s="51"/>
      <c r="G558" s="51"/>
      <c r="H558" s="52"/>
      <c r="I558" s="52"/>
      <c r="J558" s="52"/>
      <c r="K558" s="52"/>
      <c r="L558" s="52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</row>
    <row r="559" ht="14.25" customHeight="1">
      <c r="A559" s="49"/>
      <c r="B559" s="49"/>
      <c r="C559" s="51"/>
      <c r="D559" s="51"/>
      <c r="E559" s="51"/>
      <c r="F559" s="51"/>
      <c r="G559" s="51"/>
      <c r="H559" s="52"/>
      <c r="I559" s="52"/>
      <c r="J559" s="52"/>
      <c r="K559" s="52"/>
      <c r="L559" s="52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</row>
    <row r="560" ht="14.25" customHeight="1">
      <c r="A560" s="49"/>
      <c r="B560" s="49"/>
      <c r="C560" s="51"/>
      <c r="D560" s="51"/>
      <c r="E560" s="51"/>
      <c r="F560" s="51"/>
      <c r="G560" s="51"/>
      <c r="H560" s="52"/>
      <c r="I560" s="52"/>
      <c r="J560" s="52"/>
      <c r="K560" s="52"/>
      <c r="L560" s="52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</row>
    <row r="561" ht="14.25" customHeight="1">
      <c r="A561" s="49"/>
      <c r="B561" s="49"/>
      <c r="C561" s="51"/>
      <c r="D561" s="51"/>
      <c r="E561" s="51"/>
      <c r="F561" s="51"/>
      <c r="G561" s="51"/>
      <c r="H561" s="52"/>
      <c r="I561" s="52"/>
      <c r="J561" s="52"/>
      <c r="K561" s="52"/>
      <c r="L561" s="52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</row>
    <row r="562" ht="14.25" customHeight="1">
      <c r="A562" s="49"/>
      <c r="B562" s="49"/>
      <c r="C562" s="51"/>
      <c r="D562" s="51"/>
      <c r="E562" s="51"/>
      <c r="F562" s="51"/>
      <c r="G562" s="51"/>
      <c r="H562" s="52"/>
      <c r="I562" s="52"/>
      <c r="J562" s="52"/>
      <c r="K562" s="52"/>
      <c r="L562" s="52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</row>
    <row r="563" ht="14.25" customHeight="1">
      <c r="A563" s="49"/>
      <c r="B563" s="49"/>
      <c r="C563" s="51"/>
      <c r="D563" s="51"/>
      <c r="E563" s="51"/>
      <c r="F563" s="51"/>
      <c r="G563" s="51"/>
      <c r="H563" s="52"/>
      <c r="I563" s="52"/>
      <c r="J563" s="52"/>
      <c r="K563" s="52"/>
      <c r="L563" s="52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</row>
    <row r="564" ht="14.25" customHeight="1">
      <c r="A564" s="49"/>
      <c r="B564" s="49"/>
      <c r="C564" s="51"/>
      <c r="D564" s="51"/>
      <c r="E564" s="51"/>
      <c r="F564" s="51"/>
      <c r="G564" s="51"/>
      <c r="H564" s="52"/>
      <c r="I564" s="52"/>
      <c r="J564" s="52"/>
      <c r="K564" s="52"/>
      <c r="L564" s="52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</row>
    <row r="565" ht="14.25" customHeight="1">
      <c r="A565" s="49"/>
      <c r="B565" s="49"/>
      <c r="C565" s="51"/>
      <c r="D565" s="51"/>
      <c r="E565" s="51"/>
      <c r="F565" s="51"/>
      <c r="G565" s="51"/>
      <c r="H565" s="52"/>
      <c r="I565" s="52"/>
      <c r="J565" s="52"/>
      <c r="K565" s="52"/>
      <c r="L565" s="52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</row>
    <row r="566" ht="14.25" customHeight="1">
      <c r="A566" s="49"/>
      <c r="B566" s="49"/>
      <c r="C566" s="51"/>
      <c r="D566" s="51"/>
      <c r="E566" s="51"/>
      <c r="F566" s="51"/>
      <c r="G566" s="51"/>
      <c r="H566" s="52"/>
      <c r="I566" s="52"/>
      <c r="J566" s="52"/>
      <c r="K566" s="52"/>
      <c r="L566" s="52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</row>
    <row r="567" ht="14.25" customHeight="1">
      <c r="A567" s="49"/>
      <c r="B567" s="49"/>
      <c r="C567" s="51"/>
      <c r="D567" s="51"/>
      <c r="E567" s="51"/>
      <c r="F567" s="51"/>
      <c r="G567" s="51"/>
      <c r="H567" s="52"/>
      <c r="I567" s="52"/>
      <c r="J567" s="52"/>
      <c r="K567" s="52"/>
      <c r="L567" s="52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</row>
    <row r="568" ht="14.25" customHeight="1">
      <c r="A568" s="49"/>
      <c r="B568" s="49"/>
      <c r="C568" s="51"/>
      <c r="D568" s="51"/>
      <c r="E568" s="51"/>
      <c r="F568" s="51"/>
      <c r="G568" s="51"/>
      <c r="H568" s="52"/>
      <c r="I568" s="52"/>
      <c r="J568" s="52"/>
      <c r="K568" s="52"/>
      <c r="L568" s="52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</row>
    <row r="569" ht="14.25" customHeight="1">
      <c r="A569" s="49"/>
      <c r="B569" s="49"/>
      <c r="C569" s="51"/>
      <c r="D569" s="51"/>
      <c r="E569" s="51"/>
      <c r="F569" s="51"/>
      <c r="G569" s="51"/>
      <c r="H569" s="52"/>
      <c r="I569" s="52"/>
      <c r="J569" s="52"/>
      <c r="K569" s="52"/>
      <c r="L569" s="52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</row>
    <row r="570" ht="14.25" customHeight="1">
      <c r="A570" s="49"/>
      <c r="B570" s="49"/>
      <c r="C570" s="51"/>
      <c r="D570" s="51"/>
      <c r="E570" s="51"/>
      <c r="F570" s="51"/>
      <c r="G570" s="51"/>
      <c r="H570" s="52"/>
      <c r="I570" s="52"/>
      <c r="J570" s="52"/>
      <c r="K570" s="52"/>
      <c r="L570" s="52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</row>
    <row r="571" ht="14.25" customHeight="1">
      <c r="A571" s="49"/>
      <c r="B571" s="49"/>
      <c r="C571" s="51"/>
      <c r="D571" s="51"/>
      <c r="E571" s="51"/>
      <c r="F571" s="51"/>
      <c r="G571" s="51"/>
      <c r="H571" s="52"/>
      <c r="I571" s="52"/>
      <c r="J571" s="52"/>
      <c r="K571" s="52"/>
      <c r="L571" s="52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</row>
    <row r="572" ht="14.25" customHeight="1">
      <c r="A572" s="49"/>
      <c r="B572" s="49"/>
      <c r="C572" s="51"/>
      <c r="D572" s="51"/>
      <c r="E572" s="51"/>
      <c r="F572" s="51"/>
      <c r="G572" s="51"/>
      <c r="H572" s="52"/>
      <c r="I572" s="52"/>
      <c r="J572" s="52"/>
      <c r="K572" s="52"/>
      <c r="L572" s="52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</row>
    <row r="573" ht="14.25" customHeight="1">
      <c r="A573" s="49"/>
      <c r="B573" s="49"/>
      <c r="C573" s="51"/>
      <c r="D573" s="51"/>
      <c r="E573" s="51"/>
      <c r="F573" s="51"/>
      <c r="G573" s="51"/>
      <c r="H573" s="52"/>
      <c r="I573" s="52"/>
      <c r="J573" s="52"/>
      <c r="K573" s="52"/>
      <c r="L573" s="52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</row>
    <row r="574" ht="14.25" customHeight="1">
      <c r="A574" s="49"/>
      <c r="B574" s="49"/>
      <c r="C574" s="51"/>
      <c r="D574" s="51"/>
      <c r="E574" s="51"/>
      <c r="F574" s="51"/>
      <c r="G574" s="51"/>
      <c r="H574" s="52"/>
      <c r="I574" s="52"/>
      <c r="J574" s="52"/>
      <c r="K574" s="52"/>
      <c r="L574" s="52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</row>
    <row r="575" ht="14.25" customHeight="1">
      <c r="A575" s="49"/>
      <c r="B575" s="49"/>
      <c r="C575" s="51"/>
      <c r="D575" s="51"/>
      <c r="E575" s="51"/>
      <c r="F575" s="51"/>
      <c r="G575" s="51"/>
      <c r="H575" s="52"/>
      <c r="I575" s="52"/>
      <c r="J575" s="52"/>
      <c r="K575" s="52"/>
      <c r="L575" s="52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</row>
    <row r="576" ht="14.25" customHeight="1">
      <c r="A576" s="49"/>
      <c r="B576" s="49"/>
      <c r="C576" s="51"/>
      <c r="D576" s="51"/>
      <c r="E576" s="51"/>
      <c r="F576" s="51"/>
      <c r="G576" s="51"/>
      <c r="H576" s="52"/>
      <c r="I576" s="52"/>
      <c r="J576" s="52"/>
      <c r="K576" s="52"/>
      <c r="L576" s="52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</row>
    <row r="577" ht="14.25" customHeight="1">
      <c r="A577" s="49"/>
      <c r="B577" s="49"/>
      <c r="C577" s="51"/>
      <c r="D577" s="51"/>
      <c r="E577" s="51"/>
      <c r="F577" s="51"/>
      <c r="G577" s="51"/>
      <c r="H577" s="52"/>
      <c r="I577" s="52"/>
      <c r="J577" s="52"/>
      <c r="K577" s="52"/>
      <c r="L577" s="52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</row>
    <row r="578" ht="14.25" customHeight="1">
      <c r="A578" s="49"/>
      <c r="B578" s="49"/>
      <c r="C578" s="51"/>
      <c r="D578" s="51"/>
      <c r="E578" s="51"/>
      <c r="F578" s="51"/>
      <c r="G578" s="51"/>
      <c r="H578" s="52"/>
      <c r="I578" s="52"/>
      <c r="J578" s="52"/>
      <c r="K578" s="52"/>
      <c r="L578" s="52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</row>
    <row r="579" ht="14.25" customHeight="1">
      <c r="A579" s="49"/>
      <c r="B579" s="49"/>
      <c r="C579" s="51"/>
      <c r="D579" s="51"/>
      <c r="E579" s="51"/>
      <c r="F579" s="51"/>
      <c r="G579" s="51"/>
      <c r="H579" s="52"/>
      <c r="I579" s="52"/>
      <c r="J579" s="52"/>
      <c r="K579" s="52"/>
      <c r="L579" s="52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</row>
    <row r="580" ht="14.25" customHeight="1">
      <c r="A580" s="49"/>
      <c r="B580" s="49"/>
      <c r="C580" s="51"/>
      <c r="D580" s="51"/>
      <c r="E580" s="51"/>
      <c r="F580" s="51"/>
      <c r="G580" s="51"/>
      <c r="H580" s="52"/>
      <c r="I580" s="52"/>
      <c r="J580" s="52"/>
      <c r="K580" s="52"/>
      <c r="L580" s="52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</row>
    <row r="581" ht="14.25" customHeight="1">
      <c r="A581" s="49"/>
      <c r="B581" s="49"/>
      <c r="C581" s="51"/>
      <c r="D581" s="51"/>
      <c r="E581" s="51"/>
      <c r="F581" s="51"/>
      <c r="G581" s="51"/>
      <c r="H581" s="52"/>
      <c r="I581" s="52"/>
      <c r="J581" s="52"/>
      <c r="K581" s="52"/>
      <c r="L581" s="52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</row>
    <row r="582" ht="14.25" customHeight="1">
      <c r="A582" s="49"/>
      <c r="B582" s="49"/>
      <c r="C582" s="51"/>
      <c r="D582" s="51"/>
      <c r="E582" s="51"/>
      <c r="F582" s="51"/>
      <c r="G582" s="51"/>
      <c r="H582" s="52"/>
      <c r="I582" s="52"/>
      <c r="J582" s="52"/>
      <c r="K582" s="52"/>
      <c r="L582" s="52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</row>
    <row r="583" ht="14.25" customHeight="1">
      <c r="A583" s="49"/>
      <c r="B583" s="49"/>
      <c r="C583" s="51"/>
      <c r="D583" s="51"/>
      <c r="E583" s="51"/>
      <c r="F583" s="51"/>
      <c r="G583" s="51"/>
      <c r="H583" s="52"/>
      <c r="I583" s="52"/>
      <c r="J583" s="52"/>
      <c r="K583" s="52"/>
      <c r="L583" s="52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</row>
    <row r="584" ht="14.25" customHeight="1">
      <c r="A584" s="49"/>
      <c r="B584" s="49"/>
      <c r="C584" s="51"/>
      <c r="D584" s="51"/>
      <c r="E584" s="51"/>
      <c r="F584" s="51"/>
      <c r="G584" s="51"/>
      <c r="H584" s="52"/>
      <c r="I584" s="52"/>
      <c r="J584" s="52"/>
      <c r="K584" s="52"/>
      <c r="L584" s="52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</row>
    <row r="585" ht="14.25" customHeight="1">
      <c r="A585" s="49"/>
      <c r="B585" s="49"/>
      <c r="C585" s="51"/>
      <c r="D585" s="51"/>
      <c r="E585" s="51"/>
      <c r="F585" s="51"/>
      <c r="G585" s="51"/>
      <c r="H585" s="52"/>
      <c r="I585" s="52"/>
      <c r="J585" s="52"/>
      <c r="K585" s="52"/>
      <c r="L585" s="52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</row>
    <row r="586" ht="14.25" customHeight="1">
      <c r="A586" s="49"/>
      <c r="B586" s="49"/>
      <c r="C586" s="51"/>
      <c r="D586" s="51"/>
      <c r="E586" s="51"/>
      <c r="F586" s="51"/>
      <c r="G586" s="51"/>
      <c r="H586" s="52"/>
      <c r="I586" s="52"/>
      <c r="J586" s="52"/>
      <c r="K586" s="52"/>
      <c r="L586" s="52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</row>
    <row r="587" ht="14.25" customHeight="1">
      <c r="A587" s="49"/>
      <c r="B587" s="49"/>
      <c r="C587" s="51"/>
      <c r="D587" s="51"/>
      <c r="E587" s="51"/>
      <c r="F587" s="51"/>
      <c r="G587" s="51"/>
      <c r="H587" s="52"/>
      <c r="I587" s="52"/>
      <c r="J587" s="52"/>
      <c r="K587" s="52"/>
      <c r="L587" s="52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</row>
    <row r="588" ht="14.25" customHeight="1">
      <c r="A588" s="49"/>
      <c r="B588" s="49"/>
      <c r="C588" s="51"/>
      <c r="D588" s="51"/>
      <c r="E588" s="51"/>
      <c r="F588" s="51"/>
      <c r="G588" s="51"/>
      <c r="H588" s="52"/>
      <c r="I588" s="52"/>
      <c r="J588" s="52"/>
      <c r="K588" s="52"/>
      <c r="L588" s="52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</row>
    <row r="589" ht="14.25" customHeight="1">
      <c r="A589" s="49"/>
      <c r="B589" s="49"/>
      <c r="C589" s="51"/>
      <c r="D589" s="51"/>
      <c r="E589" s="51"/>
      <c r="F589" s="51"/>
      <c r="G589" s="51"/>
      <c r="H589" s="52"/>
      <c r="I589" s="52"/>
      <c r="J589" s="52"/>
      <c r="K589" s="52"/>
      <c r="L589" s="52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</row>
    <row r="590" ht="14.25" customHeight="1">
      <c r="A590" s="49"/>
      <c r="B590" s="49"/>
      <c r="C590" s="51"/>
      <c r="D590" s="51"/>
      <c r="E590" s="51"/>
      <c r="F590" s="51"/>
      <c r="G590" s="51"/>
      <c r="H590" s="52"/>
      <c r="I590" s="52"/>
      <c r="J590" s="52"/>
      <c r="K590" s="52"/>
      <c r="L590" s="52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</row>
    <row r="591" ht="14.25" customHeight="1">
      <c r="A591" s="49"/>
      <c r="B591" s="49"/>
      <c r="C591" s="51"/>
      <c r="D591" s="51"/>
      <c r="E591" s="51"/>
      <c r="F591" s="51"/>
      <c r="G591" s="51"/>
      <c r="H591" s="52"/>
      <c r="I591" s="52"/>
      <c r="J591" s="52"/>
      <c r="K591" s="52"/>
      <c r="L591" s="52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</row>
    <row r="592" ht="14.25" customHeight="1">
      <c r="A592" s="49"/>
      <c r="B592" s="49"/>
      <c r="C592" s="51"/>
      <c r="D592" s="51"/>
      <c r="E592" s="51"/>
      <c r="F592" s="51"/>
      <c r="G592" s="51"/>
      <c r="H592" s="52"/>
      <c r="I592" s="52"/>
      <c r="J592" s="52"/>
      <c r="K592" s="52"/>
      <c r="L592" s="52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</row>
    <row r="593" ht="14.25" customHeight="1">
      <c r="A593" s="49"/>
      <c r="B593" s="49"/>
      <c r="C593" s="51"/>
      <c r="D593" s="51"/>
      <c r="E593" s="51"/>
      <c r="F593" s="51"/>
      <c r="G593" s="51"/>
      <c r="H593" s="52"/>
      <c r="I593" s="52"/>
      <c r="J593" s="52"/>
      <c r="K593" s="52"/>
      <c r="L593" s="52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</row>
    <row r="594" ht="14.25" customHeight="1">
      <c r="A594" s="49"/>
      <c r="B594" s="49"/>
      <c r="C594" s="51"/>
      <c r="D594" s="51"/>
      <c r="E594" s="51"/>
      <c r="F594" s="51"/>
      <c r="G594" s="51"/>
      <c r="H594" s="52"/>
      <c r="I594" s="52"/>
      <c r="J594" s="52"/>
      <c r="K594" s="52"/>
      <c r="L594" s="52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</row>
    <row r="595" ht="14.25" customHeight="1">
      <c r="A595" s="49"/>
      <c r="B595" s="49"/>
      <c r="C595" s="51"/>
      <c r="D595" s="51"/>
      <c r="E595" s="51"/>
      <c r="F595" s="51"/>
      <c r="G595" s="51"/>
      <c r="H595" s="52"/>
      <c r="I595" s="52"/>
      <c r="J595" s="52"/>
      <c r="K595" s="52"/>
      <c r="L595" s="52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</row>
    <row r="596" ht="14.25" customHeight="1">
      <c r="A596" s="49"/>
      <c r="B596" s="49"/>
      <c r="C596" s="51"/>
      <c r="D596" s="51"/>
      <c r="E596" s="51"/>
      <c r="F596" s="51"/>
      <c r="G596" s="51"/>
      <c r="H596" s="52"/>
      <c r="I596" s="52"/>
      <c r="J596" s="52"/>
      <c r="K596" s="52"/>
      <c r="L596" s="52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</row>
    <row r="597" ht="14.25" customHeight="1">
      <c r="A597" s="49"/>
      <c r="B597" s="49"/>
      <c r="C597" s="51"/>
      <c r="D597" s="51"/>
      <c r="E597" s="51"/>
      <c r="F597" s="51"/>
      <c r="G597" s="51"/>
      <c r="H597" s="52"/>
      <c r="I597" s="52"/>
      <c r="J597" s="52"/>
      <c r="K597" s="52"/>
      <c r="L597" s="52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</row>
    <row r="598" ht="14.25" customHeight="1">
      <c r="A598" s="49"/>
      <c r="B598" s="49"/>
      <c r="C598" s="51"/>
      <c r="D598" s="51"/>
      <c r="E598" s="51"/>
      <c r="F598" s="51"/>
      <c r="G598" s="51"/>
      <c r="H598" s="52"/>
      <c r="I598" s="52"/>
      <c r="J598" s="52"/>
      <c r="K598" s="52"/>
      <c r="L598" s="52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</row>
    <row r="599" ht="14.25" customHeight="1">
      <c r="A599" s="49"/>
      <c r="B599" s="49"/>
      <c r="C599" s="51"/>
      <c r="D599" s="51"/>
      <c r="E599" s="51"/>
      <c r="F599" s="51"/>
      <c r="G599" s="51"/>
      <c r="H599" s="52"/>
      <c r="I599" s="52"/>
      <c r="J599" s="52"/>
      <c r="K599" s="52"/>
      <c r="L599" s="52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</row>
    <row r="600" ht="14.25" customHeight="1">
      <c r="A600" s="49"/>
      <c r="B600" s="49"/>
      <c r="C600" s="51"/>
      <c r="D600" s="51"/>
      <c r="E600" s="51"/>
      <c r="F600" s="51"/>
      <c r="G600" s="51"/>
      <c r="H600" s="52"/>
      <c r="I600" s="52"/>
      <c r="J600" s="52"/>
      <c r="K600" s="52"/>
      <c r="L600" s="52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</row>
    <row r="601" ht="14.25" customHeight="1">
      <c r="A601" s="49"/>
      <c r="B601" s="49"/>
      <c r="C601" s="51"/>
      <c r="D601" s="51"/>
      <c r="E601" s="51"/>
      <c r="F601" s="51"/>
      <c r="G601" s="51"/>
      <c r="H601" s="52"/>
      <c r="I601" s="52"/>
      <c r="J601" s="52"/>
      <c r="K601" s="52"/>
      <c r="L601" s="52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</row>
    <row r="602" ht="14.25" customHeight="1">
      <c r="A602" s="49"/>
      <c r="B602" s="49"/>
      <c r="C602" s="51"/>
      <c r="D602" s="51"/>
      <c r="E602" s="51"/>
      <c r="F602" s="51"/>
      <c r="G602" s="51"/>
      <c r="H602" s="52"/>
      <c r="I602" s="52"/>
      <c r="J602" s="52"/>
      <c r="K602" s="52"/>
      <c r="L602" s="52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</row>
    <row r="603" ht="14.25" customHeight="1">
      <c r="A603" s="49"/>
      <c r="B603" s="49"/>
      <c r="C603" s="51"/>
      <c r="D603" s="51"/>
      <c r="E603" s="51"/>
      <c r="F603" s="51"/>
      <c r="G603" s="51"/>
      <c r="H603" s="52"/>
      <c r="I603" s="52"/>
      <c r="J603" s="52"/>
      <c r="K603" s="52"/>
      <c r="L603" s="52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</row>
    <row r="604" ht="14.25" customHeight="1">
      <c r="A604" s="49"/>
      <c r="B604" s="49"/>
      <c r="C604" s="51"/>
      <c r="D604" s="51"/>
      <c r="E604" s="51"/>
      <c r="F604" s="51"/>
      <c r="G604" s="51"/>
      <c r="H604" s="52"/>
      <c r="I604" s="52"/>
      <c r="J604" s="52"/>
      <c r="K604" s="52"/>
      <c r="L604" s="52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</row>
    <row r="605" ht="14.25" customHeight="1">
      <c r="A605" s="49"/>
      <c r="B605" s="49"/>
      <c r="C605" s="51"/>
      <c r="D605" s="51"/>
      <c r="E605" s="51"/>
      <c r="F605" s="51"/>
      <c r="G605" s="51"/>
      <c r="H605" s="52"/>
      <c r="I605" s="52"/>
      <c r="J605" s="52"/>
      <c r="K605" s="52"/>
      <c r="L605" s="52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</row>
    <row r="606" ht="14.25" customHeight="1">
      <c r="A606" s="49"/>
      <c r="B606" s="49"/>
      <c r="C606" s="51"/>
      <c r="D606" s="51"/>
      <c r="E606" s="51"/>
      <c r="F606" s="51"/>
      <c r="G606" s="51"/>
      <c r="H606" s="52"/>
      <c r="I606" s="52"/>
      <c r="J606" s="52"/>
      <c r="K606" s="52"/>
      <c r="L606" s="52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</row>
    <row r="607" ht="14.25" customHeight="1">
      <c r="A607" s="49"/>
      <c r="B607" s="49"/>
      <c r="C607" s="51"/>
      <c r="D607" s="51"/>
      <c r="E607" s="51"/>
      <c r="F607" s="51"/>
      <c r="G607" s="51"/>
      <c r="H607" s="52"/>
      <c r="I607" s="52"/>
      <c r="J607" s="52"/>
      <c r="K607" s="52"/>
      <c r="L607" s="52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</row>
    <row r="608" ht="14.25" customHeight="1">
      <c r="A608" s="49"/>
      <c r="B608" s="49"/>
      <c r="C608" s="51"/>
      <c r="D608" s="51"/>
      <c r="E608" s="51"/>
      <c r="F608" s="51"/>
      <c r="G608" s="51"/>
      <c r="H608" s="52"/>
      <c r="I608" s="52"/>
      <c r="J608" s="52"/>
      <c r="K608" s="52"/>
      <c r="L608" s="52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</row>
    <row r="609" ht="14.25" customHeight="1">
      <c r="A609" s="49"/>
      <c r="B609" s="49"/>
      <c r="C609" s="51"/>
      <c r="D609" s="51"/>
      <c r="E609" s="51"/>
      <c r="F609" s="51"/>
      <c r="G609" s="51"/>
      <c r="H609" s="52"/>
      <c r="I609" s="52"/>
      <c r="J609" s="52"/>
      <c r="K609" s="52"/>
      <c r="L609" s="52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</row>
    <row r="610" ht="14.25" customHeight="1">
      <c r="A610" s="49"/>
      <c r="B610" s="49"/>
      <c r="C610" s="51"/>
      <c r="D610" s="51"/>
      <c r="E610" s="51"/>
      <c r="F610" s="51"/>
      <c r="G610" s="51"/>
      <c r="H610" s="52"/>
      <c r="I610" s="52"/>
      <c r="J610" s="52"/>
      <c r="K610" s="52"/>
      <c r="L610" s="52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</row>
    <row r="611" ht="14.25" customHeight="1">
      <c r="A611" s="49"/>
      <c r="B611" s="49"/>
      <c r="C611" s="51"/>
      <c r="D611" s="51"/>
      <c r="E611" s="51"/>
      <c r="F611" s="51"/>
      <c r="G611" s="51"/>
      <c r="H611" s="52"/>
      <c r="I611" s="52"/>
      <c r="J611" s="52"/>
      <c r="K611" s="52"/>
      <c r="L611" s="52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</row>
    <row r="612" ht="14.25" customHeight="1">
      <c r="A612" s="49"/>
      <c r="B612" s="49"/>
      <c r="C612" s="51"/>
      <c r="D612" s="51"/>
      <c r="E612" s="51"/>
      <c r="F612" s="51"/>
      <c r="G612" s="51"/>
      <c r="H612" s="52"/>
      <c r="I612" s="52"/>
      <c r="J612" s="52"/>
      <c r="K612" s="52"/>
      <c r="L612" s="52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</row>
    <row r="613" ht="14.25" customHeight="1">
      <c r="A613" s="49"/>
      <c r="B613" s="49"/>
      <c r="C613" s="51"/>
      <c r="D613" s="51"/>
      <c r="E613" s="51"/>
      <c r="F613" s="51"/>
      <c r="G613" s="51"/>
      <c r="H613" s="52"/>
      <c r="I613" s="52"/>
      <c r="J613" s="52"/>
      <c r="K613" s="52"/>
      <c r="L613" s="52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</row>
    <row r="614" ht="14.25" customHeight="1">
      <c r="A614" s="49"/>
      <c r="B614" s="49"/>
      <c r="C614" s="51"/>
      <c r="D614" s="51"/>
      <c r="E614" s="51"/>
      <c r="F614" s="51"/>
      <c r="G614" s="51"/>
      <c r="H614" s="52"/>
      <c r="I614" s="52"/>
      <c r="J614" s="52"/>
      <c r="K614" s="52"/>
      <c r="L614" s="52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</row>
    <row r="615" ht="14.25" customHeight="1">
      <c r="A615" s="49"/>
      <c r="B615" s="49"/>
      <c r="C615" s="51"/>
      <c r="D615" s="51"/>
      <c r="E615" s="51"/>
      <c r="F615" s="51"/>
      <c r="G615" s="51"/>
      <c r="H615" s="52"/>
      <c r="I615" s="52"/>
      <c r="J615" s="52"/>
      <c r="K615" s="52"/>
      <c r="L615" s="52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</row>
    <row r="616" ht="14.25" customHeight="1">
      <c r="A616" s="49"/>
      <c r="B616" s="49"/>
      <c r="C616" s="51"/>
      <c r="D616" s="51"/>
      <c r="E616" s="51"/>
      <c r="F616" s="51"/>
      <c r="G616" s="51"/>
      <c r="H616" s="52"/>
      <c r="I616" s="52"/>
      <c r="J616" s="52"/>
      <c r="K616" s="52"/>
      <c r="L616" s="52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</row>
    <row r="617" ht="14.25" customHeight="1">
      <c r="A617" s="49"/>
      <c r="B617" s="49"/>
      <c r="C617" s="51"/>
      <c r="D617" s="51"/>
      <c r="E617" s="51"/>
      <c r="F617" s="51"/>
      <c r="G617" s="51"/>
      <c r="H617" s="52"/>
      <c r="I617" s="52"/>
      <c r="J617" s="52"/>
      <c r="K617" s="52"/>
      <c r="L617" s="52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</row>
    <row r="618" ht="14.25" customHeight="1">
      <c r="A618" s="49"/>
      <c r="B618" s="49"/>
      <c r="C618" s="51"/>
      <c r="D618" s="51"/>
      <c r="E618" s="51"/>
      <c r="F618" s="51"/>
      <c r="G618" s="51"/>
      <c r="H618" s="52"/>
      <c r="I618" s="52"/>
      <c r="J618" s="52"/>
      <c r="K618" s="52"/>
      <c r="L618" s="52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</row>
    <row r="619" ht="14.25" customHeight="1">
      <c r="A619" s="49"/>
      <c r="B619" s="49"/>
      <c r="C619" s="51"/>
      <c r="D619" s="51"/>
      <c r="E619" s="51"/>
      <c r="F619" s="51"/>
      <c r="G619" s="51"/>
      <c r="H619" s="52"/>
      <c r="I619" s="52"/>
      <c r="J619" s="52"/>
      <c r="K619" s="52"/>
      <c r="L619" s="52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</row>
    <row r="620" ht="14.25" customHeight="1">
      <c r="A620" s="49"/>
      <c r="B620" s="49"/>
      <c r="C620" s="51"/>
      <c r="D620" s="51"/>
      <c r="E620" s="51"/>
      <c r="F620" s="51"/>
      <c r="G620" s="51"/>
      <c r="H620" s="52"/>
      <c r="I620" s="52"/>
      <c r="J620" s="52"/>
      <c r="K620" s="52"/>
      <c r="L620" s="52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</row>
    <row r="621" ht="14.25" customHeight="1">
      <c r="A621" s="49"/>
      <c r="B621" s="49"/>
      <c r="C621" s="51"/>
      <c r="D621" s="51"/>
      <c r="E621" s="51"/>
      <c r="F621" s="51"/>
      <c r="G621" s="51"/>
      <c r="H621" s="52"/>
      <c r="I621" s="52"/>
      <c r="J621" s="52"/>
      <c r="K621" s="52"/>
      <c r="L621" s="52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</row>
    <row r="622" ht="14.25" customHeight="1">
      <c r="A622" s="49"/>
      <c r="B622" s="49"/>
      <c r="C622" s="51"/>
      <c r="D622" s="51"/>
      <c r="E622" s="51"/>
      <c r="F622" s="51"/>
      <c r="G622" s="51"/>
      <c r="H622" s="52"/>
      <c r="I622" s="52"/>
      <c r="J622" s="52"/>
      <c r="K622" s="52"/>
      <c r="L622" s="52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</row>
    <row r="623" ht="14.25" customHeight="1">
      <c r="A623" s="49"/>
      <c r="B623" s="49"/>
      <c r="C623" s="51"/>
      <c r="D623" s="51"/>
      <c r="E623" s="51"/>
      <c r="F623" s="51"/>
      <c r="G623" s="51"/>
      <c r="H623" s="52"/>
      <c r="I623" s="52"/>
      <c r="J623" s="52"/>
      <c r="K623" s="52"/>
      <c r="L623" s="52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</row>
    <row r="624" ht="14.25" customHeight="1">
      <c r="A624" s="49"/>
      <c r="B624" s="49"/>
      <c r="C624" s="51"/>
      <c r="D624" s="51"/>
      <c r="E624" s="51"/>
      <c r="F624" s="51"/>
      <c r="G624" s="51"/>
      <c r="H624" s="52"/>
      <c r="I624" s="52"/>
      <c r="J624" s="52"/>
      <c r="K624" s="52"/>
      <c r="L624" s="52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</row>
    <row r="625" ht="14.25" customHeight="1">
      <c r="A625" s="49"/>
      <c r="B625" s="49"/>
      <c r="C625" s="51"/>
      <c r="D625" s="51"/>
      <c r="E625" s="51"/>
      <c r="F625" s="51"/>
      <c r="G625" s="51"/>
      <c r="H625" s="52"/>
      <c r="I625" s="52"/>
      <c r="J625" s="52"/>
      <c r="K625" s="52"/>
      <c r="L625" s="52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</row>
    <row r="626" ht="14.25" customHeight="1">
      <c r="A626" s="49"/>
      <c r="B626" s="49"/>
      <c r="C626" s="51"/>
      <c r="D626" s="51"/>
      <c r="E626" s="51"/>
      <c r="F626" s="51"/>
      <c r="G626" s="51"/>
      <c r="H626" s="52"/>
      <c r="I626" s="52"/>
      <c r="J626" s="52"/>
      <c r="K626" s="52"/>
      <c r="L626" s="52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</row>
    <row r="627" ht="14.25" customHeight="1">
      <c r="A627" s="49"/>
      <c r="B627" s="49"/>
      <c r="C627" s="51"/>
      <c r="D627" s="51"/>
      <c r="E627" s="51"/>
      <c r="F627" s="51"/>
      <c r="G627" s="51"/>
      <c r="H627" s="52"/>
      <c r="I627" s="52"/>
      <c r="J627" s="52"/>
      <c r="K627" s="52"/>
      <c r="L627" s="52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</row>
    <row r="628" ht="14.25" customHeight="1">
      <c r="A628" s="49"/>
      <c r="B628" s="49"/>
      <c r="C628" s="51"/>
      <c r="D628" s="51"/>
      <c r="E628" s="51"/>
      <c r="F628" s="51"/>
      <c r="G628" s="51"/>
      <c r="H628" s="52"/>
      <c r="I628" s="52"/>
      <c r="J628" s="52"/>
      <c r="K628" s="52"/>
      <c r="L628" s="52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</row>
    <row r="629" ht="14.25" customHeight="1">
      <c r="A629" s="49"/>
      <c r="B629" s="49"/>
      <c r="C629" s="51"/>
      <c r="D629" s="51"/>
      <c r="E629" s="51"/>
      <c r="F629" s="51"/>
      <c r="G629" s="51"/>
      <c r="H629" s="52"/>
      <c r="I629" s="52"/>
      <c r="J629" s="52"/>
      <c r="K629" s="52"/>
      <c r="L629" s="52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</row>
    <row r="630" ht="14.25" customHeight="1">
      <c r="A630" s="49"/>
      <c r="B630" s="49"/>
      <c r="C630" s="51"/>
      <c r="D630" s="51"/>
      <c r="E630" s="51"/>
      <c r="F630" s="51"/>
      <c r="G630" s="51"/>
      <c r="H630" s="52"/>
      <c r="I630" s="52"/>
      <c r="J630" s="52"/>
      <c r="K630" s="52"/>
      <c r="L630" s="52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</row>
    <row r="631" ht="14.25" customHeight="1">
      <c r="A631" s="49"/>
      <c r="B631" s="49"/>
      <c r="C631" s="51"/>
      <c r="D631" s="51"/>
      <c r="E631" s="51"/>
      <c r="F631" s="51"/>
      <c r="G631" s="51"/>
      <c r="H631" s="52"/>
      <c r="I631" s="52"/>
      <c r="J631" s="52"/>
      <c r="K631" s="52"/>
      <c r="L631" s="52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</row>
    <row r="632" ht="14.25" customHeight="1">
      <c r="A632" s="49"/>
      <c r="B632" s="49"/>
      <c r="C632" s="51"/>
      <c r="D632" s="51"/>
      <c r="E632" s="51"/>
      <c r="F632" s="51"/>
      <c r="G632" s="51"/>
      <c r="H632" s="52"/>
      <c r="I632" s="52"/>
      <c r="J632" s="52"/>
      <c r="K632" s="52"/>
      <c r="L632" s="52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</row>
    <row r="633" ht="14.25" customHeight="1">
      <c r="A633" s="49"/>
      <c r="B633" s="49"/>
      <c r="C633" s="51"/>
      <c r="D633" s="51"/>
      <c r="E633" s="51"/>
      <c r="F633" s="51"/>
      <c r="G633" s="51"/>
      <c r="H633" s="52"/>
      <c r="I633" s="52"/>
      <c r="J633" s="52"/>
      <c r="K633" s="52"/>
      <c r="L633" s="52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</row>
    <row r="634" ht="14.25" customHeight="1">
      <c r="A634" s="49"/>
      <c r="B634" s="49"/>
      <c r="C634" s="51"/>
      <c r="D634" s="51"/>
      <c r="E634" s="51"/>
      <c r="F634" s="51"/>
      <c r="G634" s="51"/>
      <c r="H634" s="52"/>
      <c r="I634" s="52"/>
      <c r="J634" s="52"/>
      <c r="K634" s="52"/>
      <c r="L634" s="52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</row>
    <row r="635" ht="14.25" customHeight="1">
      <c r="A635" s="49"/>
      <c r="B635" s="49"/>
      <c r="C635" s="51"/>
      <c r="D635" s="51"/>
      <c r="E635" s="51"/>
      <c r="F635" s="51"/>
      <c r="G635" s="51"/>
      <c r="H635" s="52"/>
      <c r="I635" s="52"/>
      <c r="J635" s="52"/>
      <c r="K635" s="52"/>
      <c r="L635" s="52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</row>
    <row r="636" ht="14.25" customHeight="1">
      <c r="A636" s="49"/>
      <c r="B636" s="49"/>
      <c r="C636" s="51"/>
      <c r="D636" s="51"/>
      <c r="E636" s="51"/>
      <c r="F636" s="51"/>
      <c r="G636" s="51"/>
      <c r="H636" s="52"/>
      <c r="I636" s="52"/>
      <c r="J636" s="52"/>
      <c r="K636" s="52"/>
      <c r="L636" s="52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</row>
    <row r="637" ht="14.25" customHeight="1">
      <c r="A637" s="49"/>
      <c r="B637" s="49"/>
      <c r="C637" s="51"/>
      <c r="D637" s="51"/>
      <c r="E637" s="51"/>
      <c r="F637" s="51"/>
      <c r="G637" s="51"/>
      <c r="H637" s="52"/>
      <c r="I637" s="52"/>
      <c r="J637" s="52"/>
      <c r="K637" s="52"/>
      <c r="L637" s="52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</row>
    <row r="638" ht="14.25" customHeight="1">
      <c r="A638" s="49"/>
      <c r="B638" s="49"/>
      <c r="C638" s="51"/>
      <c r="D638" s="51"/>
      <c r="E638" s="51"/>
      <c r="F638" s="51"/>
      <c r="G638" s="51"/>
      <c r="H638" s="52"/>
      <c r="I638" s="52"/>
      <c r="J638" s="52"/>
      <c r="K638" s="52"/>
      <c r="L638" s="52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</row>
    <row r="639" ht="14.25" customHeight="1">
      <c r="A639" s="49"/>
      <c r="B639" s="49"/>
      <c r="C639" s="51"/>
      <c r="D639" s="51"/>
      <c r="E639" s="51"/>
      <c r="F639" s="51"/>
      <c r="G639" s="51"/>
      <c r="H639" s="52"/>
      <c r="I639" s="52"/>
      <c r="J639" s="52"/>
      <c r="K639" s="52"/>
      <c r="L639" s="52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</row>
    <row r="640" ht="14.25" customHeight="1">
      <c r="A640" s="49"/>
      <c r="B640" s="49"/>
      <c r="C640" s="51"/>
      <c r="D640" s="51"/>
      <c r="E640" s="51"/>
      <c r="F640" s="51"/>
      <c r="G640" s="51"/>
      <c r="H640" s="52"/>
      <c r="I640" s="52"/>
      <c r="J640" s="52"/>
      <c r="K640" s="52"/>
      <c r="L640" s="52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</row>
    <row r="641" ht="14.25" customHeight="1">
      <c r="A641" s="49"/>
      <c r="B641" s="49"/>
      <c r="C641" s="51"/>
      <c r="D641" s="51"/>
      <c r="E641" s="51"/>
      <c r="F641" s="51"/>
      <c r="G641" s="51"/>
      <c r="H641" s="52"/>
      <c r="I641" s="52"/>
      <c r="J641" s="52"/>
      <c r="K641" s="52"/>
      <c r="L641" s="52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</row>
    <row r="642" ht="14.25" customHeight="1">
      <c r="A642" s="49"/>
      <c r="B642" s="49"/>
      <c r="C642" s="51"/>
      <c r="D642" s="51"/>
      <c r="E642" s="51"/>
      <c r="F642" s="51"/>
      <c r="G642" s="51"/>
      <c r="H642" s="52"/>
      <c r="I642" s="52"/>
      <c r="J642" s="52"/>
      <c r="K642" s="52"/>
      <c r="L642" s="52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</row>
    <row r="643" ht="14.25" customHeight="1">
      <c r="A643" s="49"/>
      <c r="B643" s="49"/>
      <c r="C643" s="51"/>
      <c r="D643" s="51"/>
      <c r="E643" s="51"/>
      <c r="F643" s="51"/>
      <c r="G643" s="51"/>
      <c r="H643" s="52"/>
      <c r="I643" s="52"/>
      <c r="J643" s="52"/>
      <c r="K643" s="52"/>
      <c r="L643" s="52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</row>
    <row r="644" ht="14.25" customHeight="1">
      <c r="A644" s="49"/>
      <c r="B644" s="49"/>
      <c r="C644" s="51"/>
      <c r="D644" s="51"/>
      <c r="E644" s="51"/>
      <c r="F644" s="51"/>
      <c r="G644" s="51"/>
      <c r="H644" s="52"/>
      <c r="I644" s="52"/>
      <c r="J644" s="52"/>
      <c r="K644" s="52"/>
      <c r="L644" s="52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</row>
    <row r="645" ht="14.25" customHeight="1">
      <c r="A645" s="49"/>
      <c r="B645" s="49"/>
      <c r="C645" s="51"/>
      <c r="D645" s="51"/>
      <c r="E645" s="51"/>
      <c r="F645" s="51"/>
      <c r="G645" s="51"/>
      <c r="H645" s="52"/>
      <c r="I645" s="52"/>
      <c r="J645" s="52"/>
      <c r="K645" s="52"/>
      <c r="L645" s="52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</row>
    <row r="646" ht="14.25" customHeight="1">
      <c r="A646" s="49"/>
      <c r="B646" s="49"/>
      <c r="C646" s="51"/>
      <c r="D646" s="51"/>
      <c r="E646" s="51"/>
      <c r="F646" s="51"/>
      <c r="G646" s="51"/>
      <c r="H646" s="52"/>
      <c r="I646" s="52"/>
      <c r="J646" s="52"/>
      <c r="K646" s="52"/>
      <c r="L646" s="52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</row>
    <row r="647" ht="14.25" customHeight="1">
      <c r="A647" s="49"/>
      <c r="B647" s="49"/>
      <c r="C647" s="51"/>
      <c r="D647" s="51"/>
      <c r="E647" s="51"/>
      <c r="F647" s="51"/>
      <c r="G647" s="51"/>
      <c r="H647" s="52"/>
      <c r="I647" s="52"/>
      <c r="J647" s="52"/>
      <c r="K647" s="52"/>
      <c r="L647" s="52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</row>
    <row r="648" ht="14.25" customHeight="1">
      <c r="A648" s="49"/>
      <c r="B648" s="49"/>
      <c r="C648" s="51"/>
      <c r="D648" s="51"/>
      <c r="E648" s="51"/>
      <c r="F648" s="51"/>
      <c r="G648" s="51"/>
      <c r="H648" s="52"/>
      <c r="I648" s="52"/>
      <c r="J648" s="52"/>
      <c r="K648" s="52"/>
      <c r="L648" s="52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</row>
    <row r="649" ht="14.25" customHeight="1">
      <c r="A649" s="49"/>
      <c r="B649" s="49"/>
      <c r="C649" s="51"/>
      <c r="D649" s="51"/>
      <c r="E649" s="51"/>
      <c r="F649" s="51"/>
      <c r="G649" s="51"/>
      <c r="H649" s="52"/>
      <c r="I649" s="52"/>
      <c r="J649" s="52"/>
      <c r="K649" s="52"/>
      <c r="L649" s="52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</row>
    <row r="650" ht="14.25" customHeight="1">
      <c r="A650" s="49"/>
      <c r="B650" s="49"/>
      <c r="C650" s="51"/>
      <c r="D650" s="51"/>
      <c r="E650" s="51"/>
      <c r="F650" s="51"/>
      <c r="G650" s="51"/>
      <c r="H650" s="52"/>
      <c r="I650" s="52"/>
      <c r="J650" s="52"/>
      <c r="K650" s="52"/>
      <c r="L650" s="52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</row>
    <row r="651" ht="14.25" customHeight="1">
      <c r="A651" s="49"/>
      <c r="B651" s="49"/>
      <c r="C651" s="51"/>
      <c r="D651" s="51"/>
      <c r="E651" s="51"/>
      <c r="F651" s="51"/>
      <c r="G651" s="51"/>
      <c r="H651" s="52"/>
      <c r="I651" s="52"/>
      <c r="J651" s="52"/>
      <c r="K651" s="52"/>
      <c r="L651" s="52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</row>
    <row r="652" ht="14.25" customHeight="1">
      <c r="A652" s="49"/>
      <c r="B652" s="49"/>
      <c r="C652" s="51"/>
      <c r="D652" s="51"/>
      <c r="E652" s="51"/>
      <c r="F652" s="51"/>
      <c r="G652" s="51"/>
      <c r="H652" s="52"/>
      <c r="I652" s="52"/>
      <c r="J652" s="52"/>
      <c r="K652" s="52"/>
      <c r="L652" s="52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</row>
    <row r="653" ht="14.25" customHeight="1">
      <c r="A653" s="49"/>
      <c r="B653" s="49"/>
      <c r="C653" s="51"/>
      <c r="D653" s="51"/>
      <c r="E653" s="51"/>
      <c r="F653" s="51"/>
      <c r="G653" s="51"/>
      <c r="H653" s="52"/>
      <c r="I653" s="52"/>
      <c r="J653" s="52"/>
      <c r="K653" s="52"/>
      <c r="L653" s="52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</row>
    <row r="654" ht="14.25" customHeight="1">
      <c r="A654" s="49"/>
      <c r="B654" s="49"/>
      <c r="C654" s="51"/>
      <c r="D654" s="51"/>
      <c r="E654" s="51"/>
      <c r="F654" s="51"/>
      <c r="G654" s="51"/>
      <c r="H654" s="52"/>
      <c r="I654" s="52"/>
      <c r="J654" s="52"/>
      <c r="K654" s="52"/>
      <c r="L654" s="52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</row>
    <row r="655" ht="14.25" customHeight="1">
      <c r="A655" s="49"/>
      <c r="B655" s="49"/>
      <c r="C655" s="51"/>
      <c r="D655" s="51"/>
      <c r="E655" s="51"/>
      <c r="F655" s="51"/>
      <c r="G655" s="51"/>
      <c r="H655" s="52"/>
      <c r="I655" s="52"/>
      <c r="J655" s="52"/>
      <c r="K655" s="52"/>
      <c r="L655" s="52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</row>
    <row r="656" ht="14.25" customHeight="1">
      <c r="A656" s="49"/>
      <c r="B656" s="49"/>
      <c r="C656" s="51"/>
      <c r="D656" s="51"/>
      <c r="E656" s="51"/>
      <c r="F656" s="51"/>
      <c r="G656" s="51"/>
      <c r="H656" s="52"/>
      <c r="I656" s="52"/>
      <c r="J656" s="52"/>
      <c r="K656" s="52"/>
      <c r="L656" s="52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</row>
    <row r="657" ht="14.25" customHeight="1">
      <c r="A657" s="49"/>
      <c r="B657" s="49"/>
      <c r="C657" s="51"/>
      <c r="D657" s="51"/>
      <c r="E657" s="51"/>
      <c r="F657" s="51"/>
      <c r="G657" s="51"/>
      <c r="H657" s="52"/>
      <c r="I657" s="52"/>
      <c r="J657" s="52"/>
      <c r="K657" s="52"/>
      <c r="L657" s="52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</row>
    <row r="658" ht="14.25" customHeight="1">
      <c r="A658" s="49"/>
      <c r="B658" s="49"/>
      <c r="C658" s="51"/>
      <c r="D658" s="51"/>
      <c r="E658" s="51"/>
      <c r="F658" s="51"/>
      <c r="G658" s="51"/>
      <c r="H658" s="52"/>
      <c r="I658" s="52"/>
      <c r="J658" s="52"/>
      <c r="K658" s="52"/>
      <c r="L658" s="52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</row>
    <row r="659" ht="14.25" customHeight="1">
      <c r="A659" s="49"/>
      <c r="B659" s="49"/>
      <c r="C659" s="51"/>
      <c r="D659" s="51"/>
      <c r="E659" s="51"/>
      <c r="F659" s="51"/>
      <c r="G659" s="51"/>
      <c r="H659" s="52"/>
      <c r="I659" s="52"/>
      <c r="J659" s="52"/>
      <c r="K659" s="52"/>
      <c r="L659" s="52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</row>
    <row r="660" ht="14.25" customHeight="1">
      <c r="A660" s="49"/>
      <c r="B660" s="49"/>
      <c r="C660" s="51"/>
      <c r="D660" s="51"/>
      <c r="E660" s="51"/>
      <c r="F660" s="51"/>
      <c r="G660" s="51"/>
      <c r="H660" s="52"/>
      <c r="I660" s="52"/>
      <c r="J660" s="52"/>
      <c r="K660" s="52"/>
      <c r="L660" s="52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</row>
    <row r="661" ht="14.25" customHeight="1">
      <c r="A661" s="49"/>
      <c r="B661" s="49"/>
      <c r="C661" s="51"/>
      <c r="D661" s="51"/>
      <c r="E661" s="51"/>
      <c r="F661" s="51"/>
      <c r="G661" s="51"/>
      <c r="H661" s="52"/>
      <c r="I661" s="52"/>
      <c r="J661" s="52"/>
      <c r="K661" s="52"/>
      <c r="L661" s="52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</row>
    <row r="662" ht="14.25" customHeight="1">
      <c r="A662" s="49"/>
      <c r="B662" s="49"/>
      <c r="C662" s="51"/>
      <c r="D662" s="51"/>
      <c r="E662" s="51"/>
      <c r="F662" s="51"/>
      <c r="G662" s="51"/>
      <c r="H662" s="52"/>
      <c r="I662" s="52"/>
      <c r="J662" s="52"/>
      <c r="K662" s="52"/>
      <c r="L662" s="52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</row>
    <row r="663" ht="14.25" customHeight="1">
      <c r="A663" s="49"/>
      <c r="B663" s="49"/>
      <c r="C663" s="51"/>
      <c r="D663" s="51"/>
      <c r="E663" s="51"/>
      <c r="F663" s="51"/>
      <c r="G663" s="51"/>
      <c r="H663" s="52"/>
      <c r="I663" s="52"/>
      <c r="J663" s="52"/>
      <c r="K663" s="52"/>
      <c r="L663" s="52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</row>
    <row r="664" ht="14.25" customHeight="1">
      <c r="A664" s="49"/>
      <c r="B664" s="49"/>
      <c r="C664" s="51"/>
      <c r="D664" s="51"/>
      <c r="E664" s="51"/>
      <c r="F664" s="51"/>
      <c r="G664" s="51"/>
      <c r="H664" s="52"/>
      <c r="I664" s="52"/>
      <c r="J664" s="52"/>
      <c r="K664" s="52"/>
      <c r="L664" s="52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</row>
    <row r="665" ht="14.25" customHeight="1">
      <c r="A665" s="49"/>
      <c r="B665" s="49"/>
      <c r="C665" s="51"/>
      <c r="D665" s="51"/>
      <c r="E665" s="51"/>
      <c r="F665" s="51"/>
      <c r="G665" s="51"/>
      <c r="H665" s="52"/>
      <c r="I665" s="52"/>
      <c r="J665" s="52"/>
      <c r="K665" s="52"/>
      <c r="L665" s="52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</row>
    <row r="666" ht="14.25" customHeight="1">
      <c r="A666" s="49"/>
      <c r="B666" s="49"/>
      <c r="C666" s="51"/>
      <c r="D666" s="51"/>
      <c r="E666" s="51"/>
      <c r="F666" s="51"/>
      <c r="G666" s="51"/>
      <c r="H666" s="52"/>
      <c r="I666" s="52"/>
      <c r="J666" s="52"/>
      <c r="K666" s="52"/>
      <c r="L666" s="52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</row>
    <row r="667" ht="14.25" customHeight="1">
      <c r="A667" s="49"/>
      <c r="B667" s="49"/>
      <c r="C667" s="51"/>
      <c r="D667" s="51"/>
      <c r="E667" s="51"/>
      <c r="F667" s="51"/>
      <c r="G667" s="51"/>
      <c r="H667" s="52"/>
      <c r="I667" s="52"/>
      <c r="J667" s="52"/>
      <c r="K667" s="52"/>
      <c r="L667" s="52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</row>
    <row r="668" ht="14.25" customHeight="1">
      <c r="A668" s="49"/>
      <c r="B668" s="49"/>
      <c r="C668" s="51"/>
      <c r="D668" s="51"/>
      <c r="E668" s="51"/>
      <c r="F668" s="51"/>
      <c r="G668" s="51"/>
      <c r="H668" s="52"/>
      <c r="I668" s="52"/>
      <c r="J668" s="52"/>
      <c r="K668" s="52"/>
      <c r="L668" s="52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</row>
    <row r="669" ht="14.25" customHeight="1">
      <c r="A669" s="49"/>
      <c r="B669" s="49"/>
      <c r="C669" s="51"/>
      <c r="D669" s="51"/>
      <c r="E669" s="51"/>
      <c r="F669" s="51"/>
      <c r="G669" s="51"/>
      <c r="H669" s="52"/>
      <c r="I669" s="52"/>
      <c r="J669" s="52"/>
      <c r="K669" s="52"/>
      <c r="L669" s="52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</row>
    <row r="670" ht="14.25" customHeight="1">
      <c r="A670" s="49"/>
      <c r="B670" s="49"/>
      <c r="C670" s="51"/>
      <c r="D670" s="51"/>
      <c r="E670" s="51"/>
      <c r="F670" s="51"/>
      <c r="G670" s="51"/>
      <c r="H670" s="52"/>
      <c r="I670" s="52"/>
      <c r="J670" s="52"/>
      <c r="K670" s="52"/>
      <c r="L670" s="52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</row>
    <row r="671" ht="14.25" customHeight="1">
      <c r="A671" s="49"/>
      <c r="B671" s="49"/>
      <c r="C671" s="51"/>
      <c r="D671" s="51"/>
      <c r="E671" s="51"/>
      <c r="F671" s="51"/>
      <c r="G671" s="51"/>
      <c r="H671" s="52"/>
      <c r="I671" s="52"/>
      <c r="J671" s="52"/>
      <c r="K671" s="52"/>
      <c r="L671" s="52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</row>
    <row r="672" ht="14.25" customHeight="1">
      <c r="A672" s="49"/>
      <c r="B672" s="49"/>
      <c r="C672" s="51"/>
      <c r="D672" s="51"/>
      <c r="E672" s="51"/>
      <c r="F672" s="51"/>
      <c r="G672" s="51"/>
      <c r="H672" s="52"/>
      <c r="I672" s="52"/>
      <c r="J672" s="52"/>
      <c r="K672" s="52"/>
      <c r="L672" s="52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</row>
    <row r="673" ht="14.25" customHeight="1">
      <c r="A673" s="49"/>
      <c r="B673" s="49"/>
      <c r="C673" s="51"/>
      <c r="D673" s="51"/>
      <c r="E673" s="51"/>
      <c r="F673" s="51"/>
      <c r="G673" s="51"/>
      <c r="H673" s="52"/>
      <c r="I673" s="52"/>
      <c r="J673" s="52"/>
      <c r="K673" s="52"/>
      <c r="L673" s="52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</row>
    <row r="674" ht="14.25" customHeight="1">
      <c r="A674" s="49"/>
      <c r="B674" s="49"/>
      <c r="C674" s="51"/>
      <c r="D674" s="51"/>
      <c r="E674" s="51"/>
      <c r="F674" s="51"/>
      <c r="G674" s="51"/>
      <c r="H674" s="52"/>
      <c r="I674" s="52"/>
      <c r="J674" s="52"/>
      <c r="K674" s="52"/>
      <c r="L674" s="52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</row>
    <row r="675" ht="14.25" customHeight="1">
      <c r="A675" s="49"/>
      <c r="B675" s="49"/>
      <c r="C675" s="51"/>
      <c r="D675" s="51"/>
      <c r="E675" s="51"/>
      <c r="F675" s="51"/>
      <c r="G675" s="51"/>
      <c r="H675" s="52"/>
      <c r="I675" s="52"/>
      <c r="J675" s="52"/>
      <c r="K675" s="52"/>
      <c r="L675" s="52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</row>
    <row r="676" ht="14.25" customHeight="1">
      <c r="A676" s="49"/>
      <c r="B676" s="49"/>
      <c r="C676" s="51"/>
      <c r="D676" s="51"/>
      <c r="E676" s="51"/>
      <c r="F676" s="51"/>
      <c r="G676" s="51"/>
      <c r="H676" s="52"/>
      <c r="I676" s="52"/>
      <c r="J676" s="52"/>
      <c r="K676" s="52"/>
      <c r="L676" s="52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</row>
    <row r="677" ht="14.25" customHeight="1">
      <c r="A677" s="49"/>
      <c r="B677" s="49"/>
      <c r="C677" s="51"/>
      <c r="D677" s="51"/>
      <c r="E677" s="51"/>
      <c r="F677" s="51"/>
      <c r="G677" s="51"/>
      <c r="H677" s="52"/>
      <c r="I677" s="52"/>
      <c r="J677" s="52"/>
      <c r="K677" s="52"/>
      <c r="L677" s="52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</row>
    <row r="678" ht="14.25" customHeight="1">
      <c r="A678" s="49"/>
      <c r="B678" s="49"/>
      <c r="C678" s="51"/>
      <c r="D678" s="51"/>
      <c r="E678" s="51"/>
      <c r="F678" s="51"/>
      <c r="G678" s="51"/>
      <c r="H678" s="52"/>
      <c r="I678" s="52"/>
      <c r="J678" s="52"/>
      <c r="K678" s="52"/>
      <c r="L678" s="52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</row>
    <row r="679" ht="14.25" customHeight="1">
      <c r="A679" s="49"/>
      <c r="B679" s="49"/>
      <c r="C679" s="51"/>
      <c r="D679" s="51"/>
      <c r="E679" s="51"/>
      <c r="F679" s="51"/>
      <c r="G679" s="51"/>
      <c r="H679" s="52"/>
      <c r="I679" s="52"/>
      <c r="J679" s="52"/>
      <c r="K679" s="52"/>
      <c r="L679" s="52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</row>
    <row r="680" ht="14.25" customHeight="1">
      <c r="A680" s="49"/>
      <c r="B680" s="49"/>
      <c r="C680" s="51"/>
      <c r="D680" s="51"/>
      <c r="E680" s="51"/>
      <c r="F680" s="51"/>
      <c r="G680" s="51"/>
      <c r="H680" s="52"/>
      <c r="I680" s="52"/>
      <c r="J680" s="52"/>
      <c r="K680" s="52"/>
      <c r="L680" s="52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</row>
    <row r="681" ht="14.25" customHeight="1">
      <c r="A681" s="49"/>
      <c r="B681" s="49"/>
      <c r="C681" s="51"/>
      <c r="D681" s="51"/>
      <c r="E681" s="51"/>
      <c r="F681" s="51"/>
      <c r="G681" s="51"/>
      <c r="H681" s="52"/>
      <c r="I681" s="52"/>
      <c r="J681" s="52"/>
      <c r="K681" s="52"/>
      <c r="L681" s="52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</row>
    <row r="682" ht="14.25" customHeight="1">
      <c r="A682" s="49"/>
      <c r="B682" s="49"/>
      <c r="C682" s="51"/>
      <c r="D682" s="51"/>
      <c r="E682" s="51"/>
      <c r="F682" s="51"/>
      <c r="G682" s="51"/>
      <c r="H682" s="52"/>
      <c r="I682" s="52"/>
      <c r="J682" s="52"/>
      <c r="K682" s="52"/>
      <c r="L682" s="52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</row>
    <row r="683" ht="14.25" customHeight="1">
      <c r="A683" s="49"/>
      <c r="B683" s="49"/>
      <c r="C683" s="51"/>
      <c r="D683" s="51"/>
      <c r="E683" s="51"/>
      <c r="F683" s="51"/>
      <c r="G683" s="51"/>
      <c r="H683" s="52"/>
      <c r="I683" s="52"/>
      <c r="J683" s="52"/>
      <c r="K683" s="52"/>
      <c r="L683" s="52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</row>
    <row r="684" ht="14.25" customHeight="1">
      <c r="A684" s="49"/>
      <c r="B684" s="49"/>
      <c r="C684" s="51"/>
      <c r="D684" s="51"/>
      <c r="E684" s="51"/>
      <c r="F684" s="51"/>
      <c r="G684" s="51"/>
      <c r="H684" s="52"/>
      <c r="I684" s="52"/>
      <c r="J684" s="52"/>
      <c r="K684" s="52"/>
      <c r="L684" s="52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</row>
    <row r="685" ht="14.25" customHeight="1">
      <c r="A685" s="49"/>
      <c r="B685" s="49"/>
      <c r="C685" s="51"/>
      <c r="D685" s="51"/>
      <c r="E685" s="51"/>
      <c r="F685" s="51"/>
      <c r="G685" s="51"/>
      <c r="H685" s="52"/>
      <c r="I685" s="52"/>
      <c r="J685" s="52"/>
      <c r="K685" s="52"/>
      <c r="L685" s="52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</row>
    <row r="686" ht="14.25" customHeight="1">
      <c r="A686" s="49"/>
      <c r="B686" s="49"/>
      <c r="C686" s="51"/>
      <c r="D686" s="51"/>
      <c r="E686" s="51"/>
      <c r="F686" s="51"/>
      <c r="G686" s="51"/>
      <c r="H686" s="52"/>
      <c r="I686" s="52"/>
      <c r="J686" s="52"/>
      <c r="K686" s="52"/>
      <c r="L686" s="52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</row>
    <row r="687" ht="14.25" customHeight="1">
      <c r="A687" s="49"/>
      <c r="B687" s="49"/>
      <c r="C687" s="51"/>
      <c r="D687" s="51"/>
      <c r="E687" s="51"/>
      <c r="F687" s="51"/>
      <c r="G687" s="51"/>
      <c r="H687" s="52"/>
      <c r="I687" s="52"/>
      <c r="J687" s="52"/>
      <c r="K687" s="52"/>
      <c r="L687" s="52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</row>
    <row r="688" ht="14.25" customHeight="1">
      <c r="A688" s="49"/>
      <c r="B688" s="49"/>
      <c r="C688" s="51"/>
      <c r="D688" s="51"/>
      <c r="E688" s="51"/>
      <c r="F688" s="51"/>
      <c r="G688" s="51"/>
      <c r="H688" s="52"/>
      <c r="I688" s="52"/>
      <c r="J688" s="52"/>
      <c r="K688" s="52"/>
      <c r="L688" s="52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</row>
    <row r="689" ht="14.25" customHeight="1">
      <c r="A689" s="49"/>
      <c r="B689" s="49"/>
      <c r="C689" s="51"/>
      <c r="D689" s="51"/>
      <c r="E689" s="51"/>
      <c r="F689" s="51"/>
      <c r="G689" s="51"/>
      <c r="H689" s="52"/>
      <c r="I689" s="52"/>
      <c r="J689" s="52"/>
      <c r="K689" s="52"/>
      <c r="L689" s="52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</row>
    <row r="690" ht="14.25" customHeight="1">
      <c r="A690" s="49"/>
      <c r="B690" s="49"/>
      <c r="C690" s="51"/>
      <c r="D690" s="51"/>
      <c r="E690" s="51"/>
      <c r="F690" s="51"/>
      <c r="G690" s="51"/>
      <c r="H690" s="52"/>
      <c r="I690" s="52"/>
      <c r="J690" s="52"/>
      <c r="K690" s="52"/>
      <c r="L690" s="52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</row>
    <row r="691" ht="14.25" customHeight="1">
      <c r="A691" s="49"/>
      <c r="B691" s="49"/>
      <c r="C691" s="51"/>
      <c r="D691" s="51"/>
      <c r="E691" s="51"/>
      <c r="F691" s="51"/>
      <c r="G691" s="51"/>
      <c r="H691" s="52"/>
      <c r="I691" s="52"/>
      <c r="J691" s="52"/>
      <c r="K691" s="52"/>
      <c r="L691" s="52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</row>
    <row r="692" ht="14.25" customHeight="1">
      <c r="A692" s="49"/>
      <c r="B692" s="49"/>
      <c r="C692" s="51"/>
      <c r="D692" s="51"/>
      <c r="E692" s="51"/>
      <c r="F692" s="51"/>
      <c r="G692" s="51"/>
      <c r="H692" s="52"/>
      <c r="I692" s="52"/>
      <c r="J692" s="52"/>
      <c r="K692" s="52"/>
      <c r="L692" s="52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</row>
    <row r="693" ht="14.25" customHeight="1">
      <c r="A693" s="49"/>
      <c r="B693" s="49"/>
      <c r="C693" s="51"/>
      <c r="D693" s="51"/>
      <c r="E693" s="51"/>
      <c r="F693" s="51"/>
      <c r="G693" s="51"/>
      <c r="H693" s="52"/>
      <c r="I693" s="52"/>
      <c r="J693" s="52"/>
      <c r="K693" s="52"/>
      <c r="L693" s="52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</row>
    <row r="694" ht="14.25" customHeight="1">
      <c r="A694" s="49"/>
      <c r="B694" s="49"/>
      <c r="C694" s="51"/>
      <c r="D694" s="51"/>
      <c r="E694" s="51"/>
      <c r="F694" s="51"/>
      <c r="G694" s="51"/>
      <c r="H694" s="52"/>
      <c r="I694" s="52"/>
      <c r="J694" s="52"/>
      <c r="K694" s="52"/>
      <c r="L694" s="52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</row>
    <row r="695" ht="14.25" customHeight="1">
      <c r="A695" s="49"/>
      <c r="B695" s="49"/>
      <c r="C695" s="51"/>
      <c r="D695" s="51"/>
      <c r="E695" s="51"/>
      <c r="F695" s="51"/>
      <c r="G695" s="51"/>
      <c r="H695" s="52"/>
      <c r="I695" s="52"/>
      <c r="J695" s="52"/>
      <c r="K695" s="52"/>
      <c r="L695" s="52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</row>
    <row r="696" ht="14.25" customHeight="1">
      <c r="A696" s="49"/>
      <c r="B696" s="49"/>
      <c r="C696" s="51"/>
      <c r="D696" s="51"/>
      <c r="E696" s="51"/>
      <c r="F696" s="51"/>
      <c r="G696" s="51"/>
      <c r="H696" s="52"/>
      <c r="I696" s="52"/>
      <c r="J696" s="52"/>
      <c r="K696" s="52"/>
      <c r="L696" s="52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</row>
    <row r="697" ht="14.25" customHeight="1">
      <c r="A697" s="49"/>
      <c r="B697" s="49"/>
      <c r="C697" s="51"/>
      <c r="D697" s="51"/>
      <c r="E697" s="51"/>
      <c r="F697" s="51"/>
      <c r="G697" s="51"/>
      <c r="H697" s="52"/>
      <c r="I697" s="52"/>
      <c r="J697" s="52"/>
      <c r="K697" s="52"/>
      <c r="L697" s="52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</row>
    <row r="698" ht="14.25" customHeight="1">
      <c r="A698" s="49"/>
      <c r="B698" s="49"/>
      <c r="C698" s="51"/>
      <c r="D698" s="51"/>
      <c r="E698" s="51"/>
      <c r="F698" s="51"/>
      <c r="G698" s="51"/>
      <c r="H698" s="52"/>
      <c r="I698" s="52"/>
      <c r="J698" s="52"/>
      <c r="K698" s="52"/>
      <c r="L698" s="52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</row>
    <row r="699" ht="14.25" customHeight="1">
      <c r="A699" s="49"/>
      <c r="B699" s="49"/>
      <c r="C699" s="51"/>
      <c r="D699" s="51"/>
      <c r="E699" s="51"/>
      <c r="F699" s="51"/>
      <c r="G699" s="51"/>
      <c r="H699" s="52"/>
      <c r="I699" s="52"/>
      <c r="J699" s="52"/>
      <c r="K699" s="52"/>
      <c r="L699" s="52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</row>
    <row r="700" ht="14.25" customHeight="1">
      <c r="A700" s="49"/>
      <c r="B700" s="49"/>
      <c r="C700" s="51"/>
      <c r="D700" s="51"/>
      <c r="E700" s="51"/>
      <c r="F700" s="51"/>
      <c r="G700" s="51"/>
      <c r="H700" s="52"/>
      <c r="I700" s="52"/>
      <c r="J700" s="52"/>
      <c r="K700" s="52"/>
      <c r="L700" s="52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</row>
    <row r="701" ht="14.25" customHeight="1">
      <c r="A701" s="49"/>
      <c r="B701" s="49"/>
      <c r="C701" s="51"/>
      <c r="D701" s="51"/>
      <c r="E701" s="51"/>
      <c r="F701" s="51"/>
      <c r="G701" s="51"/>
      <c r="H701" s="52"/>
      <c r="I701" s="52"/>
      <c r="J701" s="52"/>
      <c r="K701" s="52"/>
      <c r="L701" s="52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</row>
    <row r="702" ht="14.25" customHeight="1">
      <c r="A702" s="49"/>
      <c r="B702" s="49"/>
      <c r="C702" s="51"/>
      <c r="D702" s="51"/>
      <c r="E702" s="51"/>
      <c r="F702" s="51"/>
      <c r="G702" s="51"/>
      <c r="H702" s="52"/>
      <c r="I702" s="52"/>
      <c r="J702" s="52"/>
      <c r="K702" s="52"/>
      <c r="L702" s="52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</row>
    <row r="703" ht="14.25" customHeight="1">
      <c r="A703" s="49"/>
      <c r="B703" s="49"/>
      <c r="C703" s="51"/>
      <c r="D703" s="51"/>
      <c r="E703" s="51"/>
      <c r="F703" s="51"/>
      <c r="G703" s="51"/>
      <c r="H703" s="52"/>
      <c r="I703" s="52"/>
      <c r="J703" s="52"/>
      <c r="K703" s="52"/>
      <c r="L703" s="52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</row>
    <row r="704" ht="14.25" customHeight="1">
      <c r="A704" s="49"/>
      <c r="B704" s="49"/>
      <c r="C704" s="51"/>
      <c r="D704" s="51"/>
      <c r="E704" s="51"/>
      <c r="F704" s="51"/>
      <c r="G704" s="51"/>
      <c r="H704" s="52"/>
      <c r="I704" s="52"/>
      <c r="J704" s="52"/>
      <c r="K704" s="52"/>
      <c r="L704" s="52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</row>
    <row r="705" ht="14.25" customHeight="1">
      <c r="A705" s="49"/>
      <c r="B705" s="49"/>
      <c r="C705" s="51"/>
      <c r="D705" s="51"/>
      <c r="E705" s="51"/>
      <c r="F705" s="51"/>
      <c r="G705" s="51"/>
      <c r="H705" s="52"/>
      <c r="I705" s="52"/>
      <c r="J705" s="52"/>
      <c r="K705" s="52"/>
      <c r="L705" s="52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</row>
    <row r="706" ht="14.25" customHeight="1">
      <c r="A706" s="49"/>
      <c r="B706" s="49"/>
      <c r="C706" s="51"/>
      <c r="D706" s="51"/>
      <c r="E706" s="51"/>
      <c r="F706" s="51"/>
      <c r="G706" s="51"/>
      <c r="H706" s="52"/>
      <c r="I706" s="52"/>
      <c r="J706" s="52"/>
      <c r="K706" s="52"/>
      <c r="L706" s="52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</row>
    <row r="707" ht="14.25" customHeight="1">
      <c r="A707" s="49"/>
      <c r="B707" s="49"/>
      <c r="C707" s="51"/>
      <c r="D707" s="51"/>
      <c r="E707" s="51"/>
      <c r="F707" s="51"/>
      <c r="G707" s="51"/>
      <c r="H707" s="52"/>
      <c r="I707" s="52"/>
      <c r="J707" s="52"/>
      <c r="K707" s="52"/>
      <c r="L707" s="52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</row>
    <row r="708" ht="14.25" customHeight="1">
      <c r="A708" s="49"/>
      <c r="B708" s="49"/>
      <c r="C708" s="51"/>
      <c r="D708" s="51"/>
      <c r="E708" s="51"/>
      <c r="F708" s="51"/>
      <c r="G708" s="51"/>
      <c r="H708" s="52"/>
      <c r="I708" s="52"/>
      <c r="J708" s="52"/>
      <c r="K708" s="52"/>
      <c r="L708" s="52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</row>
    <row r="709" ht="14.25" customHeight="1">
      <c r="A709" s="49"/>
      <c r="B709" s="49"/>
      <c r="C709" s="51"/>
      <c r="D709" s="51"/>
      <c r="E709" s="51"/>
      <c r="F709" s="51"/>
      <c r="G709" s="51"/>
      <c r="H709" s="52"/>
      <c r="I709" s="52"/>
      <c r="J709" s="52"/>
      <c r="K709" s="52"/>
      <c r="L709" s="52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</row>
    <row r="710" ht="14.25" customHeight="1">
      <c r="A710" s="49"/>
      <c r="B710" s="49"/>
      <c r="C710" s="51"/>
      <c r="D710" s="51"/>
      <c r="E710" s="51"/>
      <c r="F710" s="51"/>
      <c r="G710" s="51"/>
      <c r="H710" s="52"/>
      <c r="I710" s="52"/>
      <c r="J710" s="52"/>
      <c r="K710" s="52"/>
      <c r="L710" s="52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</row>
    <row r="711" ht="14.25" customHeight="1">
      <c r="A711" s="49"/>
      <c r="B711" s="49"/>
      <c r="C711" s="51"/>
      <c r="D711" s="51"/>
      <c r="E711" s="51"/>
      <c r="F711" s="51"/>
      <c r="G711" s="51"/>
      <c r="H711" s="52"/>
      <c r="I711" s="52"/>
      <c r="J711" s="52"/>
      <c r="K711" s="52"/>
      <c r="L711" s="52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</row>
    <row r="712" ht="14.25" customHeight="1">
      <c r="A712" s="49"/>
      <c r="B712" s="49"/>
      <c r="C712" s="51"/>
      <c r="D712" s="51"/>
      <c r="E712" s="51"/>
      <c r="F712" s="51"/>
      <c r="G712" s="51"/>
      <c r="H712" s="52"/>
      <c r="I712" s="52"/>
      <c r="J712" s="52"/>
      <c r="K712" s="52"/>
      <c r="L712" s="52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</row>
    <row r="713" ht="14.25" customHeight="1">
      <c r="A713" s="49"/>
      <c r="B713" s="49"/>
      <c r="C713" s="51"/>
      <c r="D713" s="51"/>
      <c r="E713" s="51"/>
      <c r="F713" s="51"/>
      <c r="G713" s="51"/>
      <c r="H713" s="52"/>
      <c r="I713" s="52"/>
      <c r="J713" s="52"/>
      <c r="K713" s="52"/>
      <c r="L713" s="52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</row>
    <row r="714" ht="14.25" customHeight="1">
      <c r="A714" s="49"/>
      <c r="B714" s="49"/>
      <c r="C714" s="51"/>
      <c r="D714" s="51"/>
      <c r="E714" s="51"/>
      <c r="F714" s="51"/>
      <c r="G714" s="51"/>
      <c r="H714" s="52"/>
      <c r="I714" s="52"/>
      <c r="J714" s="52"/>
      <c r="K714" s="52"/>
      <c r="L714" s="52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</row>
    <row r="715" ht="14.25" customHeight="1">
      <c r="A715" s="49"/>
      <c r="B715" s="49"/>
      <c r="C715" s="51"/>
      <c r="D715" s="51"/>
      <c r="E715" s="51"/>
      <c r="F715" s="51"/>
      <c r="G715" s="51"/>
      <c r="H715" s="52"/>
      <c r="I715" s="52"/>
      <c r="J715" s="52"/>
      <c r="K715" s="52"/>
      <c r="L715" s="52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</row>
    <row r="716" ht="14.25" customHeight="1">
      <c r="A716" s="49"/>
      <c r="B716" s="49"/>
      <c r="C716" s="51"/>
      <c r="D716" s="51"/>
      <c r="E716" s="51"/>
      <c r="F716" s="51"/>
      <c r="G716" s="51"/>
      <c r="H716" s="52"/>
      <c r="I716" s="52"/>
      <c r="J716" s="52"/>
      <c r="K716" s="52"/>
      <c r="L716" s="52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</row>
    <row r="717" ht="14.25" customHeight="1">
      <c r="A717" s="49"/>
      <c r="B717" s="49"/>
      <c r="C717" s="51"/>
      <c r="D717" s="51"/>
      <c r="E717" s="51"/>
      <c r="F717" s="51"/>
      <c r="G717" s="51"/>
      <c r="H717" s="52"/>
      <c r="I717" s="52"/>
      <c r="J717" s="52"/>
      <c r="K717" s="52"/>
      <c r="L717" s="52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</row>
    <row r="718" ht="14.25" customHeight="1">
      <c r="A718" s="49"/>
      <c r="B718" s="49"/>
      <c r="C718" s="51"/>
      <c r="D718" s="51"/>
      <c r="E718" s="51"/>
      <c r="F718" s="51"/>
      <c r="G718" s="51"/>
      <c r="H718" s="52"/>
      <c r="I718" s="52"/>
      <c r="J718" s="52"/>
      <c r="K718" s="52"/>
      <c r="L718" s="52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</row>
    <row r="719" ht="14.25" customHeight="1">
      <c r="A719" s="49"/>
      <c r="B719" s="49"/>
      <c r="C719" s="51"/>
      <c r="D719" s="51"/>
      <c r="E719" s="51"/>
      <c r="F719" s="51"/>
      <c r="G719" s="51"/>
      <c r="H719" s="52"/>
      <c r="I719" s="52"/>
      <c r="J719" s="52"/>
      <c r="K719" s="52"/>
      <c r="L719" s="52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</row>
    <row r="720" ht="14.25" customHeight="1">
      <c r="A720" s="49"/>
      <c r="B720" s="49"/>
      <c r="C720" s="51"/>
      <c r="D720" s="51"/>
      <c r="E720" s="51"/>
      <c r="F720" s="51"/>
      <c r="G720" s="51"/>
      <c r="H720" s="52"/>
      <c r="I720" s="52"/>
      <c r="J720" s="52"/>
      <c r="K720" s="52"/>
      <c r="L720" s="52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</row>
    <row r="721" ht="14.25" customHeight="1">
      <c r="A721" s="49"/>
      <c r="B721" s="49"/>
      <c r="C721" s="51"/>
      <c r="D721" s="51"/>
      <c r="E721" s="51"/>
      <c r="F721" s="51"/>
      <c r="G721" s="51"/>
      <c r="H721" s="52"/>
      <c r="I721" s="52"/>
      <c r="J721" s="52"/>
      <c r="K721" s="52"/>
      <c r="L721" s="52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</row>
    <row r="722" ht="14.25" customHeight="1">
      <c r="A722" s="49"/>
      <c r="B722" s="49"/>
      <c r="C722" s="51"/>
      <c r="D722" s="51"/>
      <c r="E722" s="51"/>
      <c r="F722" s="51"/>
      <c r="G722" s="51"/>
      <c r="H722" s="52"/>
      <c r="I722" s="52"/>
      <c r="J722" s="52"/>
      <c r="K722" s="52"/>
      <c r="L722" s="52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</row>
    <row r="723" ht="14.25" customHeight="1">
      <c r="A723" s="49"/>
      <c r="B723" s="49"/>
      <c r="C723" s="51"/>
      <c r="D723" s="51"/>
      <c r="E723" s="51"/>
      <c r="F723" s="51"/>
      <c r="G723" s="51"/>
      <c r="H723" s="52"/>
      <c r="I723" s="52"/>
      <c r="J723" s="52"/>
      <c r="K723" s="52"/>
      <c r="L723" s="52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</row>
    <row r="724" ht="14.25" customHeight="1">
      <c r="A724" s="49"/>
      <c r="B724" s="49"/>
      <c r="C724" s="51"/>
      <c r="D724" s="51"/>
      <c r="E724" s="51"/>
      <c r="F724" s="51"/>
      <c r="G724" s="51"/>
      <c r="H724" s="52"/>
      <c r="I724" s="52"/>
      <c r="J724" s="52"/>
      <c r="K724" s="52"/>
      <c r="L724" s="52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</row>
    <row r="725" ht="14.25" customHeight="1">
      <c r="A725" s="49"/>
      <c r="B725" s="49"/>
      <c r="C725" s="51"/>
      <c r="D725" s="51"/>
      <c r="E725" s="51"/>
      <c r="F725" s="51"/>
      <c r="G725" s="51"/>
      <c r="H725" s="52"/>
      <c r="I725" s="52"/>
      <c r="J725" s="52"/>
      <c r="K725" s="52"/>
      <c r="L725" s="52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</row>
    <row r="726" ht="14.25" customHeight="1">
      <c r="A726" s="49"/>
      <c r="B726" s="49"/>
      <c r="C726" s="51"/>
      <c r="D726" s="51"/>
      <c r="E726" s="51"/>
      <c r="F726" s="51"/>
      <c r="G726" s="51"/>
      <c r="H726" s="52"/>
      <c r="I726" s="52"/>
      <c r="J726" s="52"/>
      <c r="K726" s="52"/>
      <c r="L726" s="52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</row>
    <row r="727" ht="14.25" customHeight="1">
      <c r="A727" s="49"/>
      <c r="B727" s="49"/>
      <c r="C727" s="51"/>
      <c r="D727" s="51"/>
      <c r="E727" s="51"/>
      <c r="F727" s="51"/>
      <c r="G727" s="51"/>
      <c r="H727" s="52"/>
      <c r="I727" s="52"/>
      <c r="J727" s="52"/>
      <c r="K727" s="52"/>
      <c r="L727" s="52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</row>
    <row r="728" ht="14.25" customHeight="1">
      <c r="A728" s="49"/>
      <c r="B728" s="49"/>
      <c r="C728" s="51"/>
      <c r="D728" s="51"/>
      <c r="E728" s="51"/>
      <c r="F728" s="51"/>
      <c r="G728" s="51"/>
      <c r="H728" s="52"/>
      <c r="I728" s="52"/>
      <c r="J728" s="52"/>
      <c r="K728" s="52"/>
      <c r="L728" s="52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</row>
    <row r="729" ht="14.25" customHeight="1">
      <c r="A729" s="49"/>
      <c r="B729" s="49"/>
      <c r="C729" s="51"/>
      <c r="D729" s="51"/>
      <c r="E729" s="51"/>
      <c r="F729" s="51"/>
      <c r="G729" s="51"/>
      <c r="H729" s="52"/>
      <c r="I729" s="52"/>
      <c r="J729" s="52"/>
      <c r="K729" s="52"/>
      <c r="L729" s="52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</row>
    <row r="730" ht="14.25" customHeight="1">
      <c r="A730" s="49"/>
      <c r="B730" s="49"/>
      <c r="C730" s="51"/>
      <c r="D730" s="51"/>
      <c r="E730" s="51"/>
      <c r="F730" s="51"/>
      <c r="G730" s="51"/>
      <c r="H730" s="52"/>
      <c r="I730" s="52"/>
      <c r="J730" s="52"/>
      <c r="K730" s="52"/>
      <c r="L730" s="52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</row>
    <row r="731" ht="14.25" customHeight="1">
      <c r="A731" s="49"/>
      <c r="B731" s="49"/>
      <c r="C731" s="51"/>
      <c r="D731" s="51"/>
      <c r="E731" s="51"/>
      <c r="F731" s="51"/>
      <c r="G731" s="51"/>
      <c r="H731" s="52"/>
      <c r="I731" s="52"/>
      <c r="J731" s="52"/>
      <c r="K731" s="52"/>
      <c r="L731" s="52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</row>
    <row r="732" ht="14.25" customHeight="1">
      <c r="A732" s="49"/>
      <c r="B732" s="49"/>
      <c r="C732" s="51"/>
      <c r="D732" s="51"/>
      <c r="E732" s="51"/>
      <c r="F732" s="51"/>
      <c r="G732" s="51"/>
      <c r="H732" s="52"/>
      <c r="I732" s="52"/>
      <c r="J732" s="52"/>
      <c r="K732" s="52"/>
      <c r="L732" s="52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</row>
    <row r="733" ht="14.25" customHeight="1">
      <c r="A733" s="49"/>
      <c r="B733" s="49"/>
      <c r="C733" s="51"/>
      <c r="D733" s="51"/>
      <c r="E733" s="51"/>
      <c r="F733" s="51"/>
      <c r="G733" s="51"/>
      <c r="H733" s="52"/>
      <c r="I733" s="52"/>
      <c r="J733" s="52"/>
      <c r="K733" s="52"/>
      <c r="L733" s="52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</row>
    <row r="734" ht="14.25" customHeight="1">
      <c r="A734" s="49"/>
      <c r="B734" s="49"/>
      <c r="C734" s="51"/>
      <c r="D734" s="51"/>
      <c r="E734" s="51"/>
      <c r="F734" s="51"/>
      <c r="G734" s="51"/>
      <c r="H734" s="52"/>
      <c r="I734" s="52"/>
      <c r="J734" s="52"/>
      <c r="K734" s="52"/>
      <c r="L734" s="52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</row>
    <row r="735" ht="14.25" customHeight="1">
      <c r="A735" s="49"/>
      <c r="B735" s="49"/>
      <c r="C735" s="51"/>
      <c r="D735" s="51"/>
      <c r="E735" s="51"/>
      <c r="F735" s="51"/>
      <c r="G735" s="51"/>
      <c r="H735" s="52"/>
      <c r="I735" s="52"/>
      <c r="J735" s="52"/>
      <c r="K735" s="52"/>
      <c r="L735" s="52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</row>
    <row r="736" ht="14.25" customHeight="1">
      <c r="A736" s="49"/>
      <c r="B736" s="49"/>
      <c r="C736" s="51"/>
      <c r="D736" s="51"/>
      <c r="E736" s="51"/>
      <c r="F736" s="51"/>
      <c r="G736" s="51"/>
      <c r="H736" s="52"/>
      <c r="I736" s="52"/>
      <c r="J736" s="52"/>
      <c r="K736" s="52"/>
      <c r="L736" s="52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</row>
    <row r="737" ht="14.25" customHeight="1">
      <c r="A737" s="49"/>
      <c r="B737" s="49"/>
      <c r="C737" s="51"/>
      <c r="D737" s="51"/>
      <c r="E737" s="51"/>
      <c r="F737" s="51"/>
      <c r="G737" s="51"/>
      <c r="H737" s="52"/>
      <c r="I737" s="52"/>
      <c r="J737" s="52"/>
      <c r="K737" s="52"/>
      <c r="L737" s="52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</row>
    <row r="738" ht="14.25" customHeight="1">
      <c r="A738" s="49"/>
      <c r="B738" s="49"/>
      <c r="C738" s="51"/>
      <c r="D738" s="51"/>
      <c r="E738" s="51"/>
      <c r="F738" s="51"/>
      <c r="G738" s="51"/>
      <c r="H738" s="52"/>
      <c r="I738" s="52"/>
      <c r="J738" s="52"/>
      <c r="K738" s="52"/>
      <c r="L738" s="52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</row>
    <row r="739" ht="14.25" customHeight="1">
      <c r="A739" s="49"/>
      <c r="B739" s="49"/>
      <c r="C739" s="51"/>
      <c r="D739" s="51"/>
      <c r="E739" s="51"/>
      <c r="F739" s="51"/>
      <c r="G739" s="51"/>
      <c r="H739" s="52"/>
      <c r="I739" s="52"/>
      <c r="J739" s="52"/>
      <c r="K739" s="52"/>
      <c r="L739" s="52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</row>
    <row r="740" ht="14.25" customHeight="1">
      <c r="A740" s="49"/>
      <c r="B740" s="49"/>
      <c r="C740" s="51"/>
      <c r="D740" s="51"/>
      <c r="E740" s="51"/>
      <c r="F740" s="51"/>
      <c r="G740" s="51"/>
      <c r="H740" s="52"/>
      <c r="I740" s="52"/>
      <c r="J740" s="52"/>
      <c r="K740" s="52"/>
      <c r="L740" s="52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</row>
    <row r="741" ht="14.25" customHeight="1">
      <c r="A741" s="49"/>
      <c r="B741" s="49"/>
      <c r="C741" s="51"/>
      <c r="D741" s="51"/>
      <c r="E741" s="51"/>
      <c r="F741" s="51"/>
      <c r="G741" s="51"/>
      <c r="H741" s="52"/>
      <c r="I741" s="52"/>
      <c r="J741" s="52"/>
      <c r="K741" s="52"/>
      <c r="L741" s="52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</row>
    <row r="742" ht="14.25" customHeight="1">
      <c r="A742" s="49"/>
      <c r="B742" s="49"/>
      <c r="C742" s="51"/>
      <c r="D742" s="51"/>
      <c r="E742" s="51"/>
      <c r="F742" s="51"/>
      <c r="G742" s="51"/>
      <c r="H742" s="52"/>
      <c r="I742" s="52"/>
      <c r="J742" s="52"/>
      <c r="K742" s="52"/>
      <c r="L742" s="52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</row>
    <row r="743" ht="14.25" customHeight="1">
      <c r="A743" s="49"/>
      <c r="B743" s="49"/>
      <c r="C743" s="51"/>
      <c r="D743" s="51"/>
      <c r="E743" s="51"/>
      <c r="F743" s="51"/>
      <c r="G743" s="51"/>
      <c r="H743" s="52"/>
      <c r="I743" s="52"/>
      <c r="J743" s="52"/>
      <c r="K743" s="52"/>
      <c r="L743" s="52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</row>
    <row r="744" ht="14.25" customHeight="1">
      <c r="A744" s="49"/>
      <c r="B744" s="49"/>
      <c r="C744" s="51"/>
      <c r="D744" s="51"/>
      <c r="E744" s="51"/>
      <c r="F744" s="51"/>
      <c r="G744" s="51"/>
      <c r="H744" s="52"/>
      <c r="I744" s="52"/>
      <c r="J744" s="52"/>
      <c r="K744" s="52"/>
      <c r="L744" s="52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</row>
    <row r="745" ht="14.25" customHeight="1">
      <c r="A745" s="49"/>
      <c r="B745" s="49"/>
      <c r="C745" s="51"/>
      <c r="D745" s="51"/>
      <c r="E745" s="51"/>
      <c r="F745" s="51"/>
      <c r="G745" s="51"/>
      <c r="H745" s="52"/>
      <c r="I745" s="52"/>
      <c r="J745" s="52"/>
      <c r="K745" s="52"/>
      <c r="L745" s="52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</row>
    <row r="746" ht="14.25" customHeight="1">
      <c r="A746" s="49"/>
      <c r="B746" s="49"/>
      <c r="C746" s="51"/>
      <c r="D746" s="51"/>
      <c r="E746" s="51"/>
      <c r="F746" s="51"/>
      <c r="G746" s="51"/>
      <c r="H746" s="52"/>
      <c r="I746" s="52"/>
      <c r="J746" s="52"/>
      <c r="K746" s="52"/>
      <c r="L746" s="52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</row>
    <row r="747" ht="14.25" customHeight="1">
      <c r="A747" s="49"/>
      <c r="B747" s="49"/>
      <c r="C747" s="51"/>
      <c r="D747" s="51"/>
      <c r="E747" s="51"/>
      <c r="F747" s="51"/>
      <c r="G747" s="51"/>
      <c r="H747" s="52"/>
      <c r="I747" s="52"/>
      <c r="J747" s="52"/>
      <c r="K747" s="52"/>
      <c r="L747" s="52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</row>
    <row r="748" ht="14.25" customHeight="1">
      <c r="A748" s="49"/>
      <c r="B748" s="49"/>
      <c r="C748" s="51"/>
      <c r="D748" s="51"/>
      <c r="E748" s="51"/>
      <c r="F748" s="51"/>
      <c r="G748" s="51"/>
      <c r="H748" s="52"/>
      <c r="I748" s="52"/>
      <c r="J748" s="52"/>
      <c r="K748" s="52"/>
      <c r="L748" s="52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</row>
    <row r="749" ht="14.25" customHeight="1">
      <c r="A749" s="49"/>
      <c r="B749" s="49"/>
      <c r="C749" s="51"/>
      <c r="D749" s="51"/>
      <c r="E749" s="51"/>
      <c r="F749" s="51"/>
      <c r="G749" s="51"/>
      <c r="H749" s="52"/>
      <c r="I749" s="52"/>
      <c r="J749" s="52"/>
      <c r="K749" s="52"/>
      <c r="L749" s="52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</row>
    <row r="750" ht="14.25" customHeight="1">
      <c r="A750" s="49"/>
      <c r="B750" s="49"/>
      <c r="C750" s="51"/>
      <c r="D750" s="51"/>
      <c r="E750" s="51"/>
      <c r="F750" s="51"/>
      <c r="G750" s="51"/>
      <c r="H750" s="52"/>
      <c r="I750" s="52"/>
      <c r="J750" s="52"/>
      <c r="K750" s="52"/>
      <c r="L750" s="52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</row>
    <row r="751" ht="14.25" customHeight="1">
      <c r="A751" s="49"/>
      <c r="B751" s="49"/>
      <c r="C751" s="51"/>
      <c r="D751" s="51"/>
      <c r="E751" s="51"/>
      <c r="F751" s="51"/>
      <c r="G751" s="51"/>
      <c r="H751" s="52"/>
      <c r="I751" s="52"/>
      <c r="J751" s="52"/>
      <c r="K751" s="52"/>
      <c r="L751" s="52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</row>
    <row r="752" ht="14.25" customHeight="1">
      <c r="A752" s="49"/>
      <c r="B752" s="49"/>
      <c r="C752" s="51"/>
      <c r="D752" s="51"/>
      <c r="E752" s="51"/>
      <c r="F752" s="51"/>
      <c r="G752" s="51"/>
      <c r="H752" s="52"/>
      <c r="I752" s="52"/>
      <c r="J752" s="52"/>
      <c r="K752" s="52"/>
      <c r="L752" s="52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</row>
    <row r="753" ht="14.25" customHeight="1">
      <c r="A753" s="49"/>
      <c r="B753" s="49"/>
      <c r="C753" s="51"/>
      <c r="D753" s="51"/>
      <c r="E753" s="51"/>
      <c r="F753" s="51"/>
      <c r="G753" s="51"/>
      <c r="H753" s="52"/>
      <c r="I753" s="52"/>
      <c r="J753" s="52"/>
      <c r="K753" s="52"/>
      <c r="L753" s="52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</row>
    <row r="754" ht="14.25" customHeight="1">
      <c r="A754" s="49"/>
      <c r="B754" s="49"/>
      <c r="C754" s="51"/>
      <c r="D754" s="51"/>
      <c r="E754" s="51"/>
      <c r="F754" s="51"/>
      <c r="G754" s="51"/>
      <c r="H754" s="52"/>
      <c r="I754" s="52"/>
      <c r="J754" s="52"/>
      <c r="K754" s="52"/>
      <c r="L754" s="52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</row>
    <row r="755" ht="14.25" customHeight="1">
      <c r="A755" s="49"/>
      <c r="B755" s="49"/>
      <c r="C755" s="51"/>
      <c r="D755" s="51"/>
      <c r="E755" s="51"/>
      <c r="F755" s="51"/>
      <c r="G755" s="51"/>
      <c r="H755" s="52"/>
      <c r="I755" s="52"/>
      <c r="J755" s="52"/>
      <c r="K755" s="52"/>
      <c r="L755" s="52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</row>
    <row r="756" ht="14.25" customHeight="1">
      <c r="A756" s="49"/>
      <c r="B756" s="49"/>
      <c r="C756" s="51"/>
      <c r="D756" s="51"/>
      <c r="E756" s="51"/>
      <c r="F756" s="51"/>
      <c r="G756" s="51"/>
      <c r="H756" s="52"/>
      <c r="I756" s="52"/>
      <c r="J756" s="52"/>
      <c r="K756" s="52"/>
      <c r="L756" s="52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</row>
    <row r="757" ht="14.25" customHeight="1">
      <c r="A757" s="49"/>
      <c r="B757" s="49"/>
      <c r="C757" s="51"/>
      <c r="D757" s="51"/>
      <c r="E757" s="51"/>
      <c r="F757" s="51"/>
      <c r="G757" s="51"/>
      <c r="H757" s="52"/>
      <c r="I757" s="52"/>
      <c r="J757" s="52"/>
      <c r="K757" s="52"/>
      <c r="L757" s="52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</row>
    <row r="758" ht="14.25" customHeight="1">
      <c r="A758" s="49"/>
      <c r="B758" s="49"/>
      <c r="C758" s="51"/>
      <c r="D758" s="51"/>
      <c r="E758" s="51"/>
      <c r="F758" s="51"/>
      <c r="G758" s="51"/>
      <c r="H758" s="52"/>
      <c r="I758" s="52"/>
      <c r="J758" s="52"/>
      <c r="K758" s="52"/>
      <c r="L758" s="52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</row>
    <row r="759" ht="14.25" customHeight="1">
      <c r="A759" s="49"/>
      <c r="B759" s="49"/>
      <c r="C759" s="51"/>
      <c r="D759" s="51"/>
      <c r="E759" s="51"/>
      <c r="F759" s="51"/>
      <c r="G759" s="51"/>
      <c r="H759" s="52"/>
      <c r="I759" s="52"/>
      <c r="J759" s="52"/>
      <c r="K759" s="52"/>
      <c r="L759" s="52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</row>
    <row r="760" ht="14.25" customHeight="1">
      <c r="A760" s="49"/>
      <c r="B760" s="49"/>
      <c r="C760" s="51"/>
      <c r="D760" s="51"/>
      <c r="E760" s="51"/>
      <c r="F760" s="51"/>
      <c r="G760" s="51"/>
      <c r="H760" s="52"/>
      <c r="I760" s="52"/>
      <c r="J760" s="52"/>
      <c r="K760" s="52"/>
      <c r="L760" s="52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</row>
    <row r="761" ht="14.25" customHeight="1">
      <c r="A761" s="49"/>
      <c r="B761" s="49"/>
      <c r="C761" s="51"/>
      <c r="D761" s="51"/>
      <c r="E761" s="51"/>
      <c r="F761" s="51"/>
      <c r="G761" s="51"/>
      <c r="H761" s="52"/>
      <c r="I761" s="52"/>
      <c r="J761" s="52"/>
      <c r="K761" s="52"/>
      <c r="L761" s="52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</row>
    <row r="762" ht="14.25" customHeight="1">
      <c r="A762" s="49"/>
      <c r="B762" s="49"/>
      <c r="C762" s="51"/>
      <c r="D762" s="51"/>
      <c r="E762" s="51"/>
      <c r="F762" s="51"/>
      <c r="G762" s="51"/>
      <c r="H762" s="52"/>
      <c r="I762" s="52"/>
      <c r="J762" s="52"/>
      <c r="K762" s="52"/>
      <c r="L762" s="52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</row>
    <row r="763" ht="14.25" customHeight="1">
      <c r="A763" s="49"/>
      <c r="B763" s="49"/>
      <c r="C763" s="51"/>
      <c r="D763" s="51"/>
      <c r="E763" s="51"/>
      <c r="F763" s="51"/>
      <c r="G763" s="51"/>
      <c r="H763" s="52"/>
      <c r="I763" s="52"/>
      <c r="J763" s="52"/>
      <c r="K763" s="52"/>
      <c r="L763" s="52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</row>
    <row r="764" ht="14.25" customHeight="1">
      <c r="A764" s="49"/>
      <c r="B764" s="49"/>
      <c r="C764" s="51"/>
      <c r="D764" s="51"/>
      <c r="E764" s="51"/>
      <c r="F764" s="51"/>
      <c r="G764" s="51"/>
      <c r="H764" s="52"/>
      <c r="I764" s="52"/>
      <c r="J764" s="52"/>
      <c r="K764" s="52"/>
      <c r="L764" s="52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</row>
    <row r="765" ht="14.25" customHeight="1">
      <c r="A765" s="49"/>
      <c r="B765" s="49"/>
      <c r="C765" s="51"/>
      <c r="D765" s="51"/>
      <c r="E765" s="51"/>
      <c r="F765" s="51"/>
      <c r="G765" s="51"/>
      <c r="H765" s="52"/>
      <c r="I765" s="52"/>
      <c r="J765" s="52"/>
      <c r="K765" s="52"/>
      <c r="L765" s="52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</row>
    <row r="766" ht="14.25" customHeight="1">
      <c r="A766" s="49"/>
      <c r="B766" s="49"/>
      <c r="C766" s="51"/>
      <c r="D766" s="51"/>
      <c r="E766" s="51"/>
      <c r="F766" s="51"/>
      <c r="G766" s="51"/>
      <c r="H766" s="52"/>
      <c r="I766" s="52"/>
      <c r="J766" s="52"/>
      <c r="K766" s="52"/>
      <c r="L766" s="52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</row>
    <row r="767" ht="14.25" customHeight="1">
      <c r="A767" s="49"/>
      <c r="B767" s="49"/>
      <c r="C767" s="51"/>
      <c r="D767" s="51"/>
      <c r="E767" s="51"/>
      <c r="F767" s="51"/>
      <c r="G767" s="51"/>
      <c r="H767" s="52"/>
      <c r="I767" s="52"/>
      <c r="J767" s="52"/>
      <c r="K767" s="52"/>
      <c r="L767" s="52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</row>
    <row r="768" ht="14.25" customHeight="1">
      <c r="A768" s="49"/>
      <c r="B768" s="49"/>
      <c r="C768" s="51"/>
      <c r="D768" s="51"/>
      <c r="E768" s="51"/>
      <c r="F768" s="51"/>
      <c r="G768" s="51"/>
      <c r="H768" s="52"/>
      <c r="I768" s="52"/>
      <c r="J768" s="52"/>
      <c r="K768" s="52"/>
      <c r="L768" s="52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</row>
    <row r="769" ht="14.25" customHeight="1">
      <c r="A769" s="49"/>
      <c r="B769" s="49"/>
      <c r="C769" s="51"/>
      <c r="D769" s="51"/>
      <c r="E769" s="51"/>
      <c r="F769" s="51"/>
      <c r="G769" s="51"/>
      <c r="H769" s="52"/>
      <c r="I769" s="52"/>
      <c r="J769" s="52"/>
      <c r="K769" s="52"/>
      <c r="L769" s="52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</row>
    <row r="770" ht="14.25" customHeight="1">
      <c r="A770" s="49"/>
      <c r="B770" s="49"/>
      <c r="C770" s="51"/>
      <c r="D770" s="51"/>
      <c r="E770" s="51"/>
      <c r="F770" s="51"/>
      <c r="G770" s="51"/>
      <c r="H770" s="52"/>
      <c r="I770" s="52"/>
      <c r="J770" s="52"/>
      <c r="K770" s="52"/>
      <c r="L770" s="52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</row>
    <row r="771" ht="14.25" customHeight="1">
      <c r="A771" s="49"/>
      <c r="B771" s="49"/>
      <c r="C771" s="51"/>
      <c r="D771" s="51"/>
      <c r="E771" s="51"/>
      <c r="F771" s="51"/>
      <c r="G771" s="51"/>
      <c r="H771" s="52"/>
      <c r="I771" s="52"/>
      <c r="J771" s="52"/>
      <c r="K771" s="52"/>
      <c r="L771" s="52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</row>
    <row r="772" ht="14.25" customHeight="1">
      <c r="A772" s="49"/>
      <c r="B772" s="49"/>
      <c r="C772" s="51"/>
      <c r="D772" s="51"/>
      <c r="E772" s="51"/>
      <c r="F772" s="51"/>
      <c r="G772" s="51"/>
      <c r="H772" s="52"/>
      <c r="I772" s="52"/>
      <c r="J772" s="52"/>
      <c r="K772" s="52"/>
      <c r="L772" s="52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</row>
    <row r="773" ht="14.25" customHeight="1">
      <c r="A773" s="49"/>
      <c r="B773" s="49"/>
      <c r="C773" s="51"/>
      <c r="D773" s="51"/>
      <c r="E773" s="51"/>
      <c r="F773" s="51"/>
      <c r="G773" s="51"/>
      <c r="H773" s="52"/>
      <c r="I773" s="52"/>
      <c r="J773" s="52"/>
      <c r="K773" s="52"/>
      <c r="L773" s="52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</row>
    <row r="774" ht="14.25" customHeight="1">
      <c r="A774" s="49"/>
      <c r="B774" s="49"/>
      <c r="C774" s="51"/>
      <c r="D774" s="51"/>
      <c r="E774" s="51"/>
      <c r="F774" s="51"/>
      <c r="G774" s="51"/>
      <c r="H774" s="52"/>
      <c r="I774" s="52"/>
      <c r="J774" s="52"/>
      <c r="K774" s="52"/>
      <c r="L774" s="52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</row>
    <row r="775" ht="14.25" customHeight="1">
      <c r="A775" s="49"/>
      <c r="B775" s="49"/>
      <c r="C775" s="51"/>
      <c r="D775" s="51"/>
      <c r="E775" s="51"/>
      <c r="F775" s="51"/>
      <c r="G775" s="51"/>
      <c r="H775" s="52"/>
      <c r="I775" s="52"/>
      <c r="J775" s="52"/>
      <c r="K775" s="52"/>
      <c r="L775" s="52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</row>
    <row r="776" ht="14.25" customHeight="1">
      <c r="A776" s="49"/>
      <c r="B776" s="49"/>
      <c r="C776" s="51"/>
      <c r="D776" s="51"/>
      <c r="E776" s="51"/>
      <c r="F776" s="51"/>
      <c r="G776" s="51"/>
      <c r="H776" s="52"/>
      <c r="I776" s="52"/>
      <c r="J776" s="52"/>
      <c r="K776" s="52"/>
      <c r="L776" s="52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</row>
    <row r="777" ht="14.25" customHeight="1">
      <c r="A777" s="49"/>
      <c r="B777" s="49"/>
      <c r="C777" s="51"/>
      <c r="D777" s="51"/>
      <c r="E777" s="51"/>
      <c r="F777" s="51"/>
      <c r="G777" s="51"/>
      <c r="H777" s="52"/>
      <c r="I777" s="52"/>
      <c r="J777" s="52"/>
      <c r="K777" s="52"/>
      <c r="L777" s="52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</row>
    <row r="778" ht="14.25" customHeight="1">
      <c r="A778" s="49"/>
      <c r="B778" s="49"/>
      <c r="C778" s="51"/>
      <c r="D778" s="51"/>
      <c r="E778" s="51"/>
      <c r="F778" s="51"/>
      <c r="G778" s="51"/>
      <c r="H778" s="52"/>
      <c r="I778" s="52"/>
      <c r="J778" s="52"/>
      <c r="K778" s="52"/>
      <c r="L778" s="52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</row>
    <row r="779" ht="14.25" customHeight="1">
      <c r="A779" s="49"/>
      <c r="B779" s="49"/>
      <c r="C779" s="51"/>
      <c r="D779" s="51"/>
      <c r="E779" s="51"/>
      <c r="F779" s="51"/>
      <c r="G779" s="51"/>
      <c r="H779" s="52"/>
      <c r="I779" s="52"/>
      <c r="J779" s="52"/>
      <c r="K779" s="52"/>
      <c r="L779" s="52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</row>
    <row r="780" ht="14.25" customHeight="1">
      <c r="A780" s="49"/>
      <c r="B780" s="49"/>
      <c r="C780" s="51"/>
      <c r="D780" s="51"/>
      <c r="E780" s="51"/>
      <c r="F780" s="51"/>
      <c r="G780" s="51"/>
      <c r="H780" s="52"/>
      <c r="I780" s="52"/>
      <c r="J780" s="52"/>
      <c r="K780" s="52"/>
      <c r="L780" s="52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</row>
    <row r="781" ht="14.25" customHeight="1">
      <c r="A781" s="49"/>
      <c r="B781" s="49"/>
      <c r="C781" s="51"/>
      <c r="D781" s="51"/>
      <c r="E781" s="51"/>
      <c r="F781" s="51"/>
      <c r="G781" s="51"/>
      <c r="H781" s="52"/>
      <c r="I781" s="52"/>
      <c r="J781" s="52"/>
      <c r="K781" s="52"/>
      <c r="L781" s="52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</row>
    <row r="782" ht="14.25" customHeight="1">
      <c r="A782" s="49"/>
      <c r="B782" s="49"/>
      <c r="C782" s="51"/>
      <c r="D782" s="51"/>
      <c r="E782" s="51"/>
      <c r="F782" s="51"/>
      <c r="G782" s="51"/>
      <c r="H782" s="52"/>
      <c r="I782" s="52"/>
      <c r="J782" s="52"/>
      <c r="K782" s="52"/>
      <c r="L782" s="52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</row>
    <row r="783" ht="14.25" customHeight="1">
      <c r="A783" s="49"/>
      <c r="B783" s="49"/>
      <c r="C783" s="51"/>
      <c r="D783" s="51"/>
      <c r="E783" s="51"/>
      <c r="F783" s="51"/>
      <c r="G783" s="51"/>
      <c r="H783" s="52"/>
      <c r="I783" s="52"/>
      <c r="J783" s="52"/>
      <c r="K783" s="52"/>
      <c r="L783" s="52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</row>
    <row r="784" ht="14.25" customHeight="1">
      <c r="A784" s="49"/>
      <c r="B784" s="49"/>
      <c r="C784" s="51"/>
      <c r="D784" s="51"/>
      <c r="E784" s="51"/>
      <c r="F784" s="51"/>
      <c r="G784" s="51"/>
      <c r="H784" s="52"/>
      <c r="I784" s="52"/>
      <c r="J784" s="52"/>
      <c r="K784" s="52"/>
      <c r="L784" s="52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</row>
    <row r="785" ht="14.25" customHeight="1">
      <c r="A785" s="49"/>
      <c r="B785" s="49"/>
      <c r="C785" s="51"/>
      <c r="D785" s="51"/>
      <c r="E785" s="51"/>
      <c r="F785" s="51"/>
      <c r="G785" s="51"/>
      <c r="H785" s="52"/>
      <c r="I785" s="52"/>
      <c r="J785" s="52"/>
      <c r="K785" s="52"/>
      <c r="L785" s="52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</row>
    <row r="786" ht="14.25" customHeight="1">
      <c r="A786" s="49"/>
      <c r="B786" s="49"/>
      <c r="C786" s="51"/>
      <c r="D786" s="51"/>
      <c r="E786" s="51"/>
      <c r="F786" s="51"/>
      <c r="G786" s="51"/>
      <c r="H786" s="52"/>
      <c r="I786" s="52"/>
      <c r="J786" s="52"/>
      <c r="K786" s="52"/>
      <c r="L786" s="52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</row>
    <row r="787" ht="14.25" customHeight="1">
      <c r="A787" s="49"/>
      <c r="B787" s="49"/>
      <c r="C787" s="51"/>
      <c r="D787" s="51"/>
      <c r="E787" s="51"/>
      <c r="F787" s="51"/>
      <c r="G787" s="51"/>
      <c r="H787" s="52"/>
      <c r="I787" s="52"/>
      <c r="J787" s="52"/>
      <c r="K787" s="52"/>
      <c r="L787" s="52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</row>
    <row r="788" ht="14.25" customHeight="1">
      <c r="A788" s="49"/>
      <c r="B788" s="49"/>
      <c r="C788" s="51"/>
      <c r="D788" s="51"/>
      <c r="E788" s="51"/>
      <c r="F788" s="51"/>
      <c r="G788" s="51"/>
      <c r="H788" s="52"/>
      <c r="I788" s="52"/>
      <c r="J788" s="52"/>
      <c r="K788" s="52"/>
      <c r="L788" s="52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</row>
    <row r="789" ht="14.25" customHeight="1">
      <c r="A789" s="49"/>
      <c r="B789" s="49"/>
      <c r="C789" s="51"/>
      <c r="D789" s="51"/>
      <c r="E789" s="51"/>
      <c r="F789" s="51"/>
      <c r="G789" s="51"/>
      <c r="H789" s="52"/>
      <c r="I789" s="52"/>
      <c r="J789" s="52"/>
      <c r="K789" s="52"/>
      <c r="L789" s="52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</row>
    <row r="790" ht="14.25" customHeight="1">
      <c r="A790" s="49"/>
      <c r="B790" s="49"/>
      <c r="C790" s="51"/>
      <c r="D790" s="51"/>
      <c r="E790" s="51"/>
      <c r="F790" s="51"/>
      <c r="G790" s="51"/>
      <c r="H790" s="52"/>
      <c r="I790" s="52"/>
      <c r="J790" s="52"/>
      <c r="K790" s="52"/>
      <c r="L790" s="52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</row>
    <row r="791" ht="14.25" customHeight="1">
      <c r="A791" s="49"/>
      <c r="B791" s="49"/>
      <c r="C791" s="51"/>
      <c r="D791" s="51"/>
      <c r="E791" s="51"/>
      <c r="F791" s="51"/>
      <c r="G791" s="51"/>
      <c r="H791" s="52"/>
      <c r="I791" s="52"/>
      <c r="J791" s="52"/>
      <c r="K791" s="52"/>
      <c r="L791" s="52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</row>
    <row r="792" ht="14.25" customHeight="1">
      <c r="A792" s="49"/>
      <c r="B792" s="49"/>
      <c r="C792" s="51"/>
      <c r="D792" s="51"/>
      <c r="E792" s="51"/>
      <c r="F792" s="51"/>
      <c r="G792" s="51"/>
      <c r="H792" s="52"/>
      <c r="I792" s="52"/>
      <c r="J792" s="52"/>
      <c r="K792" s="52"/>
      <c r="L792" s="52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</row>
    <row r="793" ht="14.25" customHeight="1">
      <c r="A793" s="49"/>
      <c r="B793" s="49"/>
      <c r="C793" s="51"/>
      <c r="D793" s="51"/>
      <c r="E793" s="51"/>
      <c r="F793" s="51"/>
      <c r="G793" s="51"/>
      <c r="H793" s="52"/>
      <c r="I793" s="52"/>
      <c r="J793" s="52"/>
      <c r="K793" s="52"/>
      <c r="L793" s="52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</row>
    <row r="794" ht="14.25" customHeight="1">
      <c r="A794" s="49"/>
      <c r="B794" s="49"/>
      <c r="C794" s="51"/>
      <c r="D794" s="51"/>
      <c r="E794" s="51"/>
      <c r="F794" s="51"/>
      <c r="G794" s="51"/>
      <c r="H794" s="52"/>
      <c r="I794" s="52"/>
      <c r="J794" s="52"/>
      <c r="K794" s="52"/>
      <c r="L794" s="52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</row>
    <row r="795" ht="14.25" customHeight="1">
      <c r="A795" s="49"/>
      <c r="B795" s="49"/>
      <c r="C795" s="51"/>
      <c r="D795" s="51"/>
      <c r="E795" s="51"/>
      <c r="F795" s="51"/>
      <c r="G795" s="51"/>
      <c r="H795" s="52"/>
      <c r="I795" s="52"/>
      <c r="J795" s="52"/>
      <c r="K795" s="52"/>
      <c r="L795" s="52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</row>
    <row r="796" ht="14.25" customHeight="1">
      <c r="A796" s="49"/>
      <c r="B796" s="49"/>
      <c r="C796" s="51"/>
      <c r="D796" s="51"/>
      <c r="E796" s="51"/>
      <c r="F796" s="51"/>
      <c r="G796" s="51"/>
      <c r="H796" s="52"/>
      <c r="I796" s="52"/>
      <c r="J796" s="52"/>
      <c r="K796" s="52"/>
      <c r="L796" s="52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</row>
    <row r="797" ht="14.25" customHeight="1">
      <c r="A797" s="49"/>
      <c r="B797" s="49"/>
      <c r="C797" s="51"/>
      <c r="D797" s="51"/>
      <c r="E797" s="51"/>
      <c r="F797" s="51"/>
      <c r="G797" s="51"/>
      <c r="H797" s="52"/>
      <c r="I797" s="52"/>
      <c r="J797" s="52"/>
      <c r="K797" s="52"/>
      <c r="L797" s="52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</row>
    <row r="798" ht="14.25" customHeight="1">
      <c r="A798" s="49"/>
      <c r="B798" s="49"/>
      <c r="C798" s="51"/>
      <c r="D798" s="51"/>
      <c r="E798" s="51"/>
      <c r="F798" s="51"/>
      <c r="G798" s="51"/>
      <c r="H798" s="52"/>
      <c r="I798" s="52"/>
      <c r="J798" s="52"/>
      <c r="K798" s="52"/>
      <c r="L798" s="52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</row>
    <row r="799" ht="14.25" customHeight="1">
      <c r="A799" s="49"/>
      <c r="B799" s="49"/>
      <c r="C799" s="51"/>
      <c r="D799" s="51"/>
      <c r="E799" s="51"/>
      <c r="F799" s="51"/>
      <c r="G799" s="51"/>
      <c r="H799" s="52"/>
      <c r="I799" s="52"/>
      <c r="J799" s="52"/>
      <c r="K799" s="52"/>
      <c r="L799" s="52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</row>
    <row r="800" ht="14.25" customHeight="1">
      <c r="A800" s="49"/>
      <c r="B800" s="49"/>
      <c r="C800" s="51"/>
      <c r="D800" s="51"/>
      <c r="E800" s="51"/>
      <c r="F800" s="51"/>
      <c r="G800" s="51"/>
      <c r="H800" s="52"/>
      <c r="I800" s="52"/>
      <c r="J800" s="52"/>
      <c r="K800" s="52"/>
      <c r="L800" s="52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</row>
    <row r="801" ht="14.25" customHeight="1">
      <c r="A801" s="49"/>
      <c r="B801" s="49"/>
      <c r="C801" s="51"/>
      <c r="D801" s="51"/>
      <c r="E801" s="51"/>
      <c r="F801" s="51"/>
      <c r="G801" s="51"/>
      <c r="H801" s="52"/>
      <c r="I801" s="52"/>
      <c r="J801" s="52"/>
      <c r="K801" s="52"/>
      <c r="L801" s="52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</row>
    <row r="802" ht="14.25" customHeight="1">
      <c r="A802" s="49"/>
      <c r="B802" s="49"/>
      <c r="C802" s="51"/>
      <c r="D802" s="51"/>
      <c r="E802" s="51"/>
      <c r="F802" s="51"/>
      <c r="G802" s="51"/>
      <c r="H802" s="52"/>
      <c r="I802" s="52"/>
      <c r="J802" s="52"/>
      <c r="K802" s="52"/>
      <c r="L802" s="52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</row>
    <row r="803" ht="14.25" customHeight="1">
      <c r="A803" s="49"/>
      <c r="B803" s="49"/>
      <c r="C803" s="51"/>
      <c r="D803" s="51"/>
      <c r="E803" s="51"/>
      <c r="F803" s="51"/>
      <c r="G803" s="51"/>
      <c r="H803" s="52"/>
      <c r="I803" s="52"/>
      <c r="J803" s="52"/>
      <c r="K803" s="52"/>
      <c r="L803" s="52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</row>
    <row r="804" ht="14.25" customHeight="1">
      <c r="A804" s="49"/>
      <c r="B804" s="49"/>
      <c r="C804" s="51"/>
      <c r="D804" s="51"/>
      <c r="E804" s="51"/>
      <c r="F804" s="51"/>
      <c r="G804" s="51"/>
      <c r="H804" s="52"/>
      <c r="I804" s="52"/>
      <c r="J804" s="52"/>
      <c r="K804" s="52"/>
      <c r="L804" s="52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</row>
    <row r="805" ht="14.25" customHeight="1">
      <c r="A805" s="49"/>
      <c r="B805" s="49"/>
      <c r="C805" s="51"/>
      <c r="D805" s="51"/>
      <c r="E805" s="51"/>
      <c r="F805" s="51"/>
      <c r="G805" s="51"/>
      <c r="H805" s="52"/>
      <c r="I805" s="52"/>
      <c r="J805" s="52"/>
      <c r="K805" s="52"/>
      <c r="L805" s="52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</row>
    <row r="806" ht="14.25" customHeight="1">
      <c r="A806" s="49"/>
      <c r="B806" s="49"/>
      <c r="C806" s="51"/>
      <c r="D806" s="51"/>
      <c r="E806" s="51"/>
      <c r="F806" s="51"/>
      <c r="G806" s="51"/>
      <c r="H806" s="52"/>
      <c r="I806" s="52"/>
      <c r="J806" s="52"/>
      <c r="K806" s="52"/>
      <c r="L806" s="52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</row>
    <row r="807" ht="14.25" customHeight="1">
      <c r="A807" s="49"/>
      <c r="B807" s="49"/>
      <c r="C807" s="51"/>
      <c r="D807" s="51"/>
      <c r="E807" s="51"/>
      <c r="F807" s="51"/>
      <c r="G807" s="51"/>
      <c r="H807" s="52"/>
      <c r="I807" s="52"/>
      <c r="J807" s="52"/>
      <c r="K807" s="52"/>
      <c r="L807" s="52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</row>
    <row r="808" ht="14.25" customHeight="1">
      <c r="A808" s="49"/>
      <c r="B808" s="49"/>
      <c r="C808" s="51"/>
      <c r="D808" s="51"/>
      <c r="E808" s="51"/>
      <c r="F808" s="51"/>
      <c r="G808" s="51"/>
      <c r="H808" s="52"/>
      <c r="I808" s="52"/>
      <c r="J808" s="52"/>
      <c r="K808" s="52"/>
      <c r="L808" s="52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</row>
    <row r="809" ht="14.25" customHeight="1">
      <c r="A809" s="49"/>
      <c r="B809" s="49"/>
      <c r="C809" s="51"/>
      <c r="D809" s="51"/>
      <c r="E809" s="51"/>
      <c r="F809" s="51"/>
      <c r="G809" s="51"/>
      <c r="H809" s="52"/>
      <c r="I809" s="52"/>
      <c r="J809" s="52"/>
      <c r="K809" s="52"/>
      <c r="L809" s="52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</row>
    <row r="810" ht="14.25" customHeight="1">
      <c r="A810" s="49"/>
      <c r="B810" s="49"/>
      <c r="C810" s="51"/>
      <c r="D810" s="51"/>
      <c r="E810" s="51"/>
      <c r="F810" s="51"/>
      <c r="G810" s="51"/>
      <c r="H810" s="52"/>
      <c r="I810" s="52"/>
      <c r="J810" s="52"/>
      <c r="K810" s="52"/>
      <c r="L810" s="52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</row>
    <row r="811" ht="14.25" customHeight="1">
      <c r="A811" s="49"/>
      <c r="B811" s="49"/>
      <c r="C811" s="51"/>
      <c r="D811" s="51"/>
      <c r="E811" s="51"/>
      <c r="F811" s="51"/>
      <c r="G811" s="51"/>
      <c r="H811" s="52"/>
      <c r="I811" s="52"/>
      <c r="J811" s="52"/>
      <c r="K811" s="52"/>
      <c r="L811" s="52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</row>
    <row r="812" ht="14.25" customHeight="1">
      <c r="A812" s="49"/>
      <c r="B812" s="49"/>
      <c r="C812" s="51"/>
      <c r="D812" s="51"/>
      <c r="E812" s="51"/>
      <c r="F812" s="51"/>
      <c r="G812" s="51"/>
      <c r="H812" s="52"/>
      <c r="I812" s="52"/>
      <c r="J812" s="52"/>
      <c r="K812" s="52"/>
      <c r="L812" s="52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</row>
    <row r="813" ht="14.25" customHeight="1">
      <c r="A813" s="49"/>
      <c r="B813" s="49"/>
      <c r="C813" s="51"/>
      <c r="D813" s="51"/>
      <c r="E813" s="51"/>
      <c r="F813" s="51"/>
      <c r="G813" s="51"/>
      <c r="H813" s="52"/>
      <c r="I813" s="52"/>
      <c r="J813" s="52"/>
      <c r="K813" s="52"/>
      <c r="L813" s="52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</row>
    <row r="814" ht="14.25" customHeight="1">
      <c r="A814" s="49"/>
      <c r="B814" s="49"/>
      <c r="C814" s="51"/>
      <c r="D814" s="51"/>
      <c r="E814" s="51"/>
      <c r="F814" s="51"/>
      <c r="G814" s="51"/>
      <c r="H814" s="52"/>
      <c r="I814" s="52"/>
      <c r="J814" s="52"/>
      <c r="K814" s="52"/>
      <c r="L814" s="52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</row>
    <row r="815" ht="14.25" customHeight="1">
      <c r="A815" s="49"/>
      <c r="B815" s="49"/>
      <c r="C815" s="51"/>
      <c r="D815" s="51"/>
      <c r="E815" s="51"/>
      <c r="F815" s="51"/>
      <c r="G815" s="51"/>
      <c r="H815" s="52"/>
      <c r="I815" s="52"/>
      <c r="J815" s="52"/>
      <c r="K815" s="52"/>
      <c r="L815" s="52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</row>
    <row r="816" ht="14.25" customHeight="1">
      <c r="A816" s="49"/>
      <c r="B816" s="49"/>
      <c r="C816" s="51"/>
      <c r="D816" s="51"/>
      <c r="E816" s="51"/>
      <c r="F816" s="51"/>
      <c r="G816" s="51"/>
      <c r="H816" s="52"/>
      <c r="I816" s="52"/>
      <c r="J816" s="52"/>
      <c r="K816" s="52"/>
      <c r="L816" s="52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</row>
    <row r="817" ht="14.25" customHeight="1">
      <c r="A817" s="49"/>
      <c r="B817" s="49"/>
      <c r="C817" s="51"/>
      <c r="D817" s="51"/>
      <c r="E817" s="51"/>
      <c r="F817" s="51"/>
      <c r="G817" s="51"/>
      <c r="H817" s="52"/>
      <c r="I817" s="52"/>
      <c r="J817" s="52"/>
      <c r="K817" s="52"/>
      <c r="L817" s="52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</row>
    <row r="818" ht="14.25" customHeight="1">
      <c r="A818" s="49"/>
      <c r="B818" s="49"/>
      <c r="C818" s="51"/>
      <c r="D818" s="51"/>
      <c r="E818" s="51"/>
      <c r="F818" s="51"/>
      <c r="G818" s="51"/>
      <c r="H818" s="52"/>
      <c r="I818" s="52"/>
      <c r="J818" s="52"/>
      <c r="K818" s="52"/>
      <c r="L818" s="52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</row>
    <row r="819" ht="14.25" customHeight="1">
      <c r="A819" s="49"/>
      <c r="B819" s="49"/>
      <c r="C819" s="51"/>
      <c r="D819" s="51"/>
      <c r="E819" s="51"/>
      <c r="F819" s="51"/>
      <c r="G819" s="51"/>
      <c r="H819" s="52"/>
      <c r="I819" s="52"/>
      <c r="J819" s="52"/>
      <c r="K819" s="52"/>
      <c r="L819" s="52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</row>
    <row r="820" ht="14.25" customHeight="1">
      <c r="A820" s="49"/>
      <c r="B820" s="49"/>
      <c r="C820" s="51"/>
      <c r="D820" s="51"/>
      <c r="E820" s="51"/>
      <c r="F820" s="51"/>
      <c r="G820" s="51"/>
      <c r="H820" s="52"/>
      <c r="I820" s="52"/>
      <c r="J820" s="52"/>
      <c r="K820" s="52"/>
      <c r="L820" s="52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</row>
    <row r="821" ht="14.25" customHeight="1">
      <c r="A821" s="49"/>
      <c r="B821" s="49"/>
      <c r="C821" s="51"/>
      <c r="D821" s="51"/>
      <c r="E821" s="51"/>
      <c r="F821" s="51"/>
      <c r="G821" s="51"/>
      <c r="H821" s="52"/>
      <c r="I821" s="52"/>
      <c r="J821" s="52"/>
      <c r="K821" s="52"/>
      <c r="L821" s="52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</row>
    <row r="822" ht="14.25" customHeight="1">
      <c r="A822" s="49"/>
      <c r="B822" s="49"/>
      <c r="C822" s="51"/>
      <c r="D822" s="51"/>
      <c r="E822" s="51"/>
      <c r="F822" s="51"/>
      <c r="G822" s="51"/>
      <c r="H822" s="52"/>
      <c r="I822" s="52"/>
      <c r="J822" s="52"/>
      <c r="K822" s="52"/>
      <c r="L822" s="52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</row>
    <row r="823" ht="14.25" customHeight="1">
      <c r="A823" s="49"/>
      <c r="B823" s="49"/>
      <c r="C823" s="51"/>
      <c r="D823" s="51"/>
      <c r="E823" s="51"/>
      <c r="F823" s="51"/>
      <c r="G823" s="51"/>
      <c r="H823" s="52"/>
      <c r="I823" s="52"/>
      <c r="J823" s="52"/>
      <c r="K823" s="52"/>
      <c r="L823" s="52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</row>
    <row r="824" ht="14.25" customHeight="1">
      <c r="A824" s="49"/>
      <c r="B824" s="49"/>
      <c r="C824" s="51"/>
      <c r="D824" s="51"/>
      <c r="E824" s="51"/>
      <c r="F824" s="51"/>
      <c r="G824" s="51"/>
      <c r="H824" s="52"/>
      <c r="I824" s="52"/>
      <c r="J824" s="52"/>
      <c r="K824" s="52"/>
      <c r="L824" s="52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</row>
    <row r="825" ht="14.25" customHeight="1">
      <c r="A825" s="49"/>
      <c r="B825" s="49"/>
      <c r="C825" s="51"/>
      <c r="D825" s="51"/>
      <c r="E825" s="51"/>
      <c r="F825" s="51"/>
      <c r="G825" s="51"/>
      <c r="H825" s="52"/>
      <c r="I825" s="52"/>
      <c r="J825" s="52"/>
      <c r="K825" s="52"/>
      <c r="L825" s="52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</row>
    <row r="826" ht="14.25" customHeight="1">
      <c r="A826" s="49"/>
      <c r="B826" s="49"/>
      <c r="C826" s="51"/>
      <c r="D826" s="51"/>
      <c r="E826" s="51"/>
      <c r="F826" s="51"/>
      <c r="G826" s="51"/>
      <c r="H826" s="52"/>
      <c r="I826" s="52"/>
      <c r="J826" s="52"/>
      <c r="K826" s="52"/>
      <c r="L826" s="52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</row>
    <row r="827" ht="14.25" customHeight="1">
      <c r="A827" s="49"/>
      <c r="B827" s="49"/>
      <c r="C827" s="51"/>
      <c r="D827" s="51"/>
      <c r="E827" s="51"/>
      <c r="F827" s="51"/>
      <c r="G827" s="51"/>
      <c r="H827" s="52"/>
      <c r="I827" s="52"/>
      <c r="J827" s="52"/>
      <c r="K827" s="52"/>
      <c r="L827" s="52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</row>
    <row r="828" ht="14.25" customHeight="1">
      <c r="A828" s="49"/>
      <c r="B828" s="49"/>
      <c r="C828" s="51"/>
      <c r="D828" s="51"/>
      <c r="E828" s="51"/>
      <c r="F828" s="51"/>
      <c r="G828" s="51"/>
      <c r="H828" s="52"/>
      <c r="I828" s="52"/>
      <c r="J828" s="52"/>
      <c r="K828" s="52"/>
      <c r="L828" s="52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</row>
    <row r="829" ht="14.25" customHeight="1">
      <c r="A829" s="49"/>
      <c r="B829" s="49"/>
      <c r="C829" s="51"/>
      <c r="D829" s="51"/>
      <c r="E829" s="51"/>
      <c r="F829" s="51"/>
      <c r="G829" s="51"/>
      <c r="H829" s="52"/>
      <c r="I829" s="52"/>
      <c r="J829" s="52"/>
      <c r="K829" s="52"/>
      <c r="L829" s="52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</row>
    <row r="830" ht="14.25" customHeight="1">
      <c r="A830" s="49"/>
      <c r="B830" s="49"/>
      <c r="C830" s="51"/>
      <c r="D830" s="51"/>
      <c r="E830" s="51"/>
      <c r="F830" s="51"/>
      <c r="G830" s="51"/>
      <c r="H830" s="52"/>
      <c r="I830" s="52"/>
      <c r="J830" s="52"/>
      <c r="K830" s="52"/>
      <c r="L830" s="52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</row>
    <row r="831" ht="14.25" customHeight="1">
      <c r="A831" s="49"/>
      <c r="B831" s="49"/>
      <c r="C831" s="51"/>
      <c r="D831" s="51"/>
      <c r="E831" s="51"/>
      <c r="F831" s="51"/>
      <c r="G831" s="51"/>
      <c r="H831" s="52"/>
      <c r="I831" s="52"/>
      <c r="J831" s="52"/>
      <c r="K831" s="52"/>
      <c r="L831" s="52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</row>
    <row r="832" ht="14.25" customHeight="1">
      <c r="A832" s="49"/>
      <c r="B832" s="49"/>
      <c r="C832" s="51"/>
      <c r="D832" s="51"/>
      <c r="E832" s="51"/>
      <c r="F832" s="51"/>
      <c r="G832" s="51"/>
      <c r="H832" s="52"/>
      <c r="I832" s="52"/>
      <c r="J832" s="52"/>
      <c r="K832" s="52"/>
      <c r="L832" s="52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</row>
    <row r="833" ht="14.25" customHeight="1">
      <c r="A833" s="49"/>
      <c r="B833" s="49"/>
      <c r="C833" s="51"/>
      <c r="D833" s="51"/>
      <c r="E833" s="51"/>
      <c r="F833" s="51"/>
      <c r="G833" s="51"/>
      <c r="H833" s="52"/>
      <c r="I833" s="52"/>
      <c r="J833" s="52"/>
      <c r="K833" s="52"/>
      <c r="L833" s="52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</row>
    <row r="834" ht="14.25" customHeight="1">
      <c r="A834" s="49"/>
      <c r="B834" s="49"/>
      <c r="C834" s="51"/>
      <c r="D834" s="51"/>
      <c r="E834" s="51"/>
      <c r="F834" s="51"/>
      <c r="G834" s="51"/>
      <c r="H834" s="52"/>
      <c r="I834" s="52"/>
      <c r="J834" s="52"/>
      <c r="K834" s="52"/>
      <c r="L834" s="52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</row>
    <row r="835" ht="14.25" customHeight="1">
      <c r="A835" s="49"/>
      <c r="B835" s="49"/>
      <c r="C835" s="51"/>
      <c r="D835" s="51"/>
      <c r="E835" s="51"/>
      <c r="F835" s="51"/>
      <c r="G835" s="51"/>
      <c r="H835" s="52"/>
      <c r="I835" s="52"/>
      <c r="J835" s="52"/>
      <c r="K835" s="52"/>
      <c r="L835" s="52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</row>
    <row r="836" ht="14.25" customHeight="1">
      <c r="A836" s="49"/>
      <c r="B836" s="49"/>
      <c r="C836" s="51"/>
      <c r="D836" s="51"/>
      <c r="E836" s="51"/>
      <c r="F836" s="51"/>
      <c r="G836" s="51"/>
      <c r="H836" s="52"/>
      <c r="I836" s="52"/>
      <c r="J836" s="52"/>
      <c r="K836" s="52"/>
      <c r="L836" s="52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</row>
    <row r="837" ht="14.25" customHeight="1">
      <c r="A837" s="49"/>
      <c r="B837" s="49"/>
      <c r="C837" s="51"/>
      <c r="D837" s="51"/>
      <c r="E837" s="51"/>
      <c r="F837" s="51"/>
      <c r="G837" s="51"/>
      <c r="H837" s="52"/>
      <c r="I837" s="52"/>
      <c r="J837" s="52"/>
      <c r="K837" s="52"/>
      <c r="L837" s="52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</row>
    <row r="838" ht="14.25" customHeight="1">
      <c r="A838" s="49"/>
      <c r="B838" s="49"/>
      <c r="C838" s="51"/>
      <c r="D838" s="51"/>
      <c r="E838" s="51"/>
      <c r="F838" s="51"/>
      <c r="G838" s="51"/>
      <c r="H838" s="52"/>
      <c r="I838" s="52"/>
      <c r="J838" s="52"/>
      <c r="K838" s="52"/>
      <c r="L838" s="52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</row>
    <row r="839" ht="14.25" customHeight="1">
      <c r="A839" s="49"/>
      <c r="B839" s="49"/>
      <c r="C839" s="51"/>
      <c r="D839" s="51"/>
      <c r="E839" s="51"/>
      <c r="F839" s="51"/>
      <c r="G839" s="51"/>
      <c r="H839" s="52"/>
      <c r="I839" s="52"/>
      <c r="J839" s="52"/>
      <c r="K839" s="52"/>
      <c r="L839" s="52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</row>
    <row r="840" ht="14.25" customHeight="1">
      <c r="A840" s="49"/>
      <c r="B840" s="49"/>
      <c r="C840" s="51"/>
      <c r="D840" s="51"/>
      <c r="E840" s="51"/>
      <c r="F840" s="51"/>
      <c r="G840" s="51"/>
      <c r="H840" s="52"/>
      <c r="I840" s="52"/>
      <c r="J840" s="52"/>
      <c r="K840" s="52"/>
      <c r="L840" s="52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</row>
    <row r="841" ht="14.25" customHeight="1">
      <c r="A841" s="49"/>
      <c r="B841" s="49"/>
      <c r="C841" s="51"/>
      <c r="D841" s="51"/>
      <c r="E841" s="51"/>
      <c r="F841" s="51"/>
      <c r="G841" s="51"/>
      <c r="H841" s="52"/>
      <c r="I841" s="52"/>
      <c r="J841" s="52"/>
      <c r="K841" s="52"/>
      <c r="L841" s="52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</row>
    <row r="842" ht="14.25" customHeight="1">
      <c r="A842" s="49"/>
      <c r="B842" s="49"/>
      <c r="C842" s="51"/>
      <c r="D842" s="51"/>
      <c r="E842" s="51"/>
      <c r="F842" s="51"/>
      <c r="G842" s="51"/>
      <c r="H842" s="52"/>
      <c r="I842" s="52"/>
      <c r="J842" s="52"/>
      <c r="K842" s="52"/>
      <c r="L842" s="52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</row>
    <row r="843" ht="14.25" customHeight="1">
      <c r="A843" s="49"/>
      <c r="B843" s="49"/>
      <c r="C843" s="51"/>
      <c r="D843" s="51"/>
      <c r="E843" s="51"/>
      <c r="F843" s="51"/>
      <c r="G843" s="51"/>
      <c r="H843" s="52"/>
      <c r="I843" s="52"/>
      <c r="J843" s="52"/>
      <c r="K843" s="52"/>
      <c r="L843" s="52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</row>
    <row r="844" ht="14.25" customHeight="1">
      <c r="A844" s="49"/>
      <c r="B844" s="49"/>
      <c r="C844" s="51"/>
      <c r="D844" s="51"/>
      <c r="E844" s="51"/>
      <c r="F844" s="51"/>
      <c r="G844" s="51"/>
      <c r="H844" s="52"/>
      <c r="I844" s="52"/>
      <c r="J844" s="52"/>
      <c r="K844" s="52"/>
      <c r="L844" s="52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</row>
    <row r="845" ht="14.25" customHeight="1">
      <c r="A845" s="49"/>
      <c r="B845" s="49"/>
      <c r="C845" s="51"/>
      <c r="D845" s="51"/>
      <c r="E845" s="51"/>
      <c r="F845" s="51"/>
      <c r="G845" s="51"/>
      <c r="H845" s="52"/>
      <c r="I845" s="52"/>
      <c r="J845" s="52"/>
      <c r="K845" s="52"/>
      <c r="L845" s="52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</row>
    <row r="846" ht="14.25" customHeight="1">
      <c r="A846" s="49"/>
      <c r="B846" s="49"/>
      <c r="C846" s="51"/>
      <c r="D846" s="51"/>
      <c r="E846" s="51"/>
      <c r="F846" s="51"/>
      <c r="G846" s="51"/>
      <c r="H846" s="52"/>
      <c r="I846" s="52"/>
      <c r="J846" s="52"/>
      <c r="K846" s="52"/>
      <c r="L846" s="52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</row>
    <row r="847" ht="14.25" customHeight="1">
      <c r="A847" s="49"/>
      <c r="B847" s="49"/>
      <c r="C847" s="51"/>
      <c r="D847" s="51"/>
      <c r="E847" s="51"/>
      <c r="F847" s="51"/>
      <c r="G847" s="51"/>
      <c r="H847" s="52"/>
      <c r="I847" s="52"/>
      <c r="J847" s="52"/>
      <c r="K847" s="52"/>
      <c r="L847" s="52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</row>
    <row r="848" ht="14.25" customHeight="1">
      <c r="A848" s="49"/>
      <c r="B848" s="49"/>
      <c r="C848" s="51"/>
      <c r="D848" s="51"/>
      <c r="E848" s="51"/>
      <c r="F848" s="51"/>
      <c r="G848" s="51"/>
      <c r="H848" s="52"/>
      <c r="I848" s="52"/>
      <c r="J848" s="52"/>
      <c r="K848" s="52"/>
      <c r="L848" s="52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</row>
    <row r="849" ht="14.25" customHeight="1">
      <c r="A849" s="49"/>
      <c r="B849" s="49"/>
      <c r="C849" s="51"/>
      <c r="D849" s="51"/>
      <c r="E849" s="51"/>
      <c r="F849" s="51"/>
      <c r="G849" s="51"/>
      <c r="H849" s="52"/>
      <c r="I849" s="52"/>
      <c r="J849" s="52"/>
      <c r="K849" s="52"/>
      <c r="L849" s="52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</row>
    <row r="850" ht="14.25" customHeight="1">
      <c r="A850" s="49"/>
      <c r="B850" s="49"/>
      <c r="C850" s="51"/>
      <c r="D850" s="51"/>
      <c r="E850" s="51"/>
      <c r="F850" s="51"/>
      <c r="G850" s="51"/>
      <c r="H850" s="52"/>
      <c r="I850" s="52"/>
      <c r="J850" s="52"/>
      <c r="K850" s="52"/>
      <c r="L850" s="52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</row>
    <row r="851" ht="14.25" customHeight="1">
      <c r="A851" s="49"/>
      <c r="B851" s="49"/>
      <c r="C851" s="51"/>
      <c r="D851" s="51"/>
      <c r="E851" s="51"/>
      <c r="F851" s="51"/>
      <c r="G851" s="51"/>
      <c r="H851" s="52"/>
      <c r="I851" s="52"/>
      <c r="J851" s="52"/>
      <c r="K851" s="52"/>
      <c r="L851" s="52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</row>
    <row r="852" ht="14.25" customHeight="1">
      <c r="A852" s="49"/>
      <c r="B852" s="49"/>
      <c r="C852" s="51"/>
      <c r="D852" s="51"/>
      <c r="E852" s="51"/>
      <c r="F852" s="51"/>
      <c r="G852" s="51"/>
      <c r="H852" s="52"/>
      <c r="I852" s="52"/>
      <c r="J852" s="52"/>
      <c r="K852" s="52"/>
      <c r="L852" s="52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</row>
    <row r="853" ht="14.25" customHeight="1">
      <c r="A853" s="49"/>
      <c r="B853" s="49"/>
      <c r="C853" s="51"/>
      <c r="D853" s="51"/>
      <c r="E853" s="51"/>
      <c r="F853" s="51"/>
      <c r="G853" s="51"/>
      <c r="H853" s="52"/>
      <c r="I853" s="52"/>
      <c r="J853" s="52"/>
      <c r="K853" s="52"/>
      <c r="L853" s="52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</row>
    <row r="854" ht="14.25" customHeight="1">
      <c r="A854" s="49"/>
      <c r="B854" s="49"/>
      <c r="C854" s="51"/>
      <c r="D854" s="51"/>
      <c r="E854" s="51"/>
      <c r="F854" s="51"/>
      <c r="G854" s="51"/>
      <c r="H854" s="52"/>
      <c r="I854" s="52"/>
      <c r="J854" s="52"/>
      <c r="K854" s="52"/>
      <c r="L854" s="52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</row>
    <row r="855" ht="14.25" customHeight="1">
      <c r="A855" s="49"/>
      <c r="B855" s="49"/>
      <c r="C855" s="51"/>
      <c r="D855" s="51"/>
      <c r="E855" s="51"/>
      <c r="F855" s="51"/>
      <c r="G855" s="51"/>
      <c r="H855" s="52"/>
      <c r="I855" s="52"/>
      <c r="J855" s="52"/>
      <c r="K855" s="52"/>
      <c r="L855" s="52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</row>
    <row r="856" ht="14.25" customHeight="1">
      <c r="A856" s="49"/>
      <c r="B856" s="49"/>
      <c r="C856" s="51"/>
      <c r="D856" s="51"/>
      <c r="E856" s="51"/>
      <c r="F856" s="51"/>
      <c r="G856" s="51"/>
      <c r="H856" s="52"/>
      <c r="I856" s="52"/>
      <c r="J856" s="52"/>
      <c r="K856" s="52"/>
      <c r="L856" s="52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</row>
    <row r="857" ht="14.25" customHeight="1">
      <c r="A857" s="49"/>
      <c r="B857" s="49"/>
      <c r="C857" s="51"/>
      <c r="D857" s="51"/>
      <c r="E857" s="51"/>
      <c r="F857" s="51"/>
      <c r="G857" s="51"/>
      <c r="H857" s="52"/>
      <c r="I857" s="52"/>
      <c r="J857" s="52"/>
      <c r="K857" s="52"/>
      <c r="L857" s="52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</row>
    <row r="858" ht="14.25" customHeight="1">
      <c r="A858" s="49"/>
      <c r="B858" s="49"/>
      <c r="C858" s="51"/>
      <c r="D858" s="51"/>
      <c r="E858" s="51"/>
      <c r="F858" s="51"/>
      <c r="G858" s="51"/>
      <c r="H858" s="52"/>
      <c r="I858" s="52"/>
      <c r="J858" s="52"/>
      <c r="K858" s="52"/>
      <c r="L858" s="52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</row>
    <row r="859" ht="14.25" customHeight="1">
      <c r="A859" s="49"/>
      <c r="B859" s="49"/>
      <c r="C859" s="51"/>
      <c r="D859" s="51"/>
      <c r="E859" s="51"/>
      <c r="F859" s="51"/>
      <c r="G859" s="51"/>
      <c r="H859" s="52"/>
      <c r="I859" s="52"/>
      <c r="J859" s="52"/>
      <c r="K859" s="52"/>
      <c r="L859" s="52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</row>
    <row r="860" ht="14.25" customHeight="1">
      <c r="A860" s="49"/>
      <c r="B860" s="49"/>
      <c r="C860" s="51"/>
      <c r="D860" s="51"/>
      <c r="E860" s="51"/>
      <c r="F860" s="51"/>
      <c r="G860" s="51"/>
      <c r="H860" s="52"/>
      <c r="I860" s="52"/>
      <c r="J860" s="52"/>
      <c r="K860" s="52"/>
      <c r="L860" s="52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</row>
    <row r="861" ht="14.25" customHeight="1">
      <c r="A861" s="49"/>
      <c r="B861" s="49"/>
      <c r="C861" s="51"/>
      <c r="D861" s="51"/>
      <c r="E861" s="51"/>
      <c r="F861" s="51"/>
      <c r="G861" s="51"/>
      <c r="H861" s="52"/>
      <c r="I861" s="52"/>
      <c r="J861" s="52"/>
      <c r="K861" s="52"/>
      <c r="L861" s="52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</row>
    <row r="862" ht="14.25" customHeight="1">
      <c r="A862" s="49"/>
      <c r="B862" s="49"/>
      <c r="C862" s="51"/>
      <c r="D862" s="51"/>
      <c r="E862" s="51"/>
      <c r="F862" s="51"/>
      <c r="G862" s="51"/>
      <c r="H862" s="52"/>
      <c r="I862" s="52"/>
      <c r="J862" s="52"/>
      <c r="K862" s="52"/>
      <c r="L862" s="52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</row>
    <row r="863" ht="14.25" customHeight="1">
      <c r="A863" s="49"/>
      <c r="B863" s="49"/>
      <c r="C863" s="51"/>
      <c r="D863" s="51"/>
      <c r="E863" s="51"/>
      <c r="F863" s="51"/>
      <c r="G863" s="51"/>
      <c r="H863" s="52"/>
      <c r="I863" s="52"/>
      <c r="J863" s="52"/>
      <c r="K863" s="52"/>
      <c r="L863" s="52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</row>
    <row r="864" ht="14.25" customHeight="1">
      <c r="A864" s="49"/>
      <c r="B864" s="49"/>
      <c r="C864" s="51"/>
      <c r="D864" s="51"/>
      <c r="E864" s="51"/>
      <c r="F864" s="51"/>
      <c r="G864" s="51"/>
      <c r="H864" s="52"/>
      <c r="I864" s="52"/>
      <c r="J864" s="52"/>
      <c r="K864" s="52"/>
      <c r="L864" s="52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</row>
    <row r="865" ht="14.25" customHeight="1">
      <c r="A865" s="49"/>
      <c r="B865" s="49"/>
      <c r="C865" s="51"/>
      <c r="D865" s="51"/>
      <c r="E865" s="51"/>
      <c r="F865" s="51"/>
      <c r="G865" s="51"/>
      <c r="H865" s="52"/>
      <c r="I865" s="52"/>
      <c r="J865" s="52"/>
      <c r="K865" s="52"/>
      <c r="L865" s="52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</row>
    <row r="866" ht="14.25" customHeight="1">
      <c r="A866" s="49"/>
      <c r="B866" s="49"/>
      <c r="C866" s="51"/>
      <c r="D866" s="51"/>
      <c r="E866" s="51"/>
      <c r="F866" s="51"/>
      <c r="G866" s="51"/>
      <c r="H866" s="52"/>
      <c r="I866" s="52"/>
      <c r="J866" s="52"/>
      <c r="K866" s="52"/>
      <c r="L866" s="52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</row>
    <row r="867" ht="14.25" customHeight="1">
      <c r="A867" s="49"/>
      <c r="B867" s="49"/>
      <c r="C867" s="51"/>
      <c r="D867" s="51"/>
      <c r="E867" s="51"/>
      <c r="F867" s="51"/>
      <c r="G867" s="51"/>
      <c r="H867" s="52"/>
      <c r="I867" s="52"/>
      <c r="J867" s="52"/>
      <c r="K867" s="52"/>
      <c r="L867" s="52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</row>
    <row r="868" ht="14.25" customHeight="1">
      <c r="A868" s="49"/>
      <c r="B868" s="49"/>
      <c r="C868" s="51"/>
      <c r="D868" s="51"/>
      <c r="E868" s="51"/>
      <c r="F868" s="51"/>
      <c r="G868" s="51"/>
      <c r="H868" s="52"/>
      <c r="I868" s="52"/>
      <c r="J868" s="52"/>
      <c r="K868" s="52"/>
      <c r="L868" s="52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</row>
    <row r="869" ht="14.25" customHeight="1">
      <c r="A869" s="49"/>
      <c r="B869" s="49"/>
      <c r="C869" s="51"/>
      <c r="D869" s="51"/>
      <c r="E869" s="51"/>
      <c r="F869" s="51"/>
      <c r="G869" s="51"/>
      <c r="H869" s="52"/>
      <c r="I869" s="52"/>
      <c r="J869" s="52"/>
      <c r="K869" s="52"/>
      <c r="L869" s="52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</row>
    <row r="870" ht="14.25" customHeight="1">
      <c r="A870" s="49"/>
      <c r="B870" s="49"/>
      <c r="C870" s="51"/>
      <c r="D870" s="51"/>
      <c r="E870" s="51"/>
      <c r="F870" s="51"/>
      <c r="G870" s="51"/>
      <c r="H870" s="52"/>
      <c r="I870" s="52"/>
      <c r="J870" s="52"/>
      <c r="K870" s="52"/>
      <c r="L870" s="52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</row>
    <row r="871" ht="14.25" customHeight="1">
      <c r="A871" s="49"/>
      <c r="B871" s="49"/>
      <c r="C871" s="51"/>
      <c r="D871" s="51"/>
      <c r="E871" s="51"/>
      <c r="F871" s="51"/>
      <c r="G871" s="51"/>
      <c r="H871" s="52"/>
      <c r="I871" s="52"/>
      <c r="J871" s="52"/>
      <c r="K871" s="52"/>
      <c r="L871" s="52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</row>
    <row r="872" ht="14.25" customHeight="1">
      <c r="A872" s="49"/>
      <c r="B872" s="49"/>
      <c r="C872" s="51"/>
      <c r="D872" s="51"/>
      <c r="E872" s="51"/>
      <c r="F872" s="51"/>
      <c r="G872" s="51"/>
      <c r="H872" s="52"/>
      <c r="I872" s="52"/>
      <c r="J872" s="52"/>
      <c r="K872" s="52"/>
      <c r="L872" s="52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</row>
    <row r="873" ht="14.25" customHeight="1">
      <c r="A873" s="49"/>
      <c r="B873" s="49"/>
      <c r="C873" s="51"/>
      <c r="D873" s="51"/>
      <c r="E873" s="51"/>
      <c r="F873" s="51"/>
      <c r="G873" s="51"/>
      <c r="H873" s="52"/>
      <c r="I873" s="52"/>
      <c r="J873" s="52"/>
      <c r="K873" s="52"/>
      <c r="L873" s="52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</row>
    <row r="874" ht="14.25" customHeight="1">
      <c r="A874" s="49"/>
      <c r="B874" s="49"/>
      <c r="C874" s="51"/>
      <c r="D874" s="51"/>
      <c r="E874" s="51"/>
      <c r="F874" s="51"/>
      <c r="G874" s="51"/>
      <c r="H874" s="52"/>
      <c r="I874" s="52"/>
      <c r="J874" s="52"/>
      <c r="K874" s="52"/>
      <c r="L874" s="52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</row>
    <row r="875" ht="14.25" customHeight="1">
      <c r="A875" s="49"/>
      <c r="B875" s="49"/>
      <c r="C875" s="51"/>
      <c r="D875" s="51"/>
      <c r="E875" s="51"/>
      <c r="F875" s="51"/>
      <c r="G875" s="51"/>
      <c r="H875" s="52"/>
      <c r="I875" s="52"/>
      <c r="J875" s="52"/>
      <c r="K875" s="52"/>
      <c r="L875" s="52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</row>
    <row r="876" ht="14.25" customHeight="1">
      <c r="A876" s="49"/>
      <c r="B876" s="49"/>
      <c r="C876" s="51"/>
      <c r="D876" s="51"/>
      <c r="E876" s="51"/>
      <c r="F876" s="51"/>
      <c r="G876" s="51"/>
      <c r="H876" s="52"/>
      <c r="I876" s="52"/>
      <c r="J876" s="52"/>
      <c r="K876" s="52"/>
      <c r="L876" s="52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</row>
    <row r="877" ht="14.25" customHeight="1">
      <c r="A877" s="49"/>
      <c r="B877" s="49"/>
      <c r="C877" s="51"/>
      <c r="D877" s="51"/>
      <c r="E877" s="51"/>
      <c r="F877" s="51"/>
      <c r="G877" s="51"/>
      <c r="H877" s="52"/>
      <c r="I877" s="52"/>
      <c r="J877" s="52"/>
      <c r="K877" s="52"/>
      <c r="L877" s="52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</row>
    <row r="878" ht="14.25" customHeight="1">
      <c r="A878" s="49"/>
      <c r="B878" s="49"/>
      <c r="C878" s="51"/>
      <c r="D878" s="51"/>
      <c r="E878" s="51"/>
      <c r="F878" s="51"/>
      <c r="G878" s="51"/>
      <c r="H878" s="52"/>
      <c r="I878" s="52"/>
      <c r="J878" s="52"/>
      <c r="K878" s="52"/>
      <c r="L878" s="52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</row>
    <row r="879" ht="14.25" customHeight="1">
      <c r="A879" s="49"/>
      <c r="B879" s="49"/>
      <c r="C879" s="51"/>
      <c r="D879" s="51"/>
      <c r="E879" s="51"/>
      <c r="F879" s="51"/>
      <c r="G879" s="51"/>
      <c r="H879" s="52"/>
      <c r="I879" s="52"/>
      <c r="J879" s="52"/>
      <c r="K879" s="52"/>
      <c r="L879" s="52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</row>
    <row r="880" ht="14.25" customHeight="1">
      <c r="A880" s="49"/>
      <c r="B880" s="49"/>
      <c r="C880" s="51"/>
      <c r="D880" s="51"/>
      <c r="E880" s="51"/>
      <c r="F880" s="51"/>
      <c r="G880" s="51"/>
      <c r="H880" s="52"/>
      <c r="I880" s="52"/>
      <c r="J880" s="52"/>
      <c r="K880" s="52"/>
      <c r="L880" s="52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</row>
    <row r="881" ht="14.25" customHeight="1">
      <c r="A881" s="49"/>
      <c r="B881" s="49"/>
      <c r="C881" s="51"/>
      <c r="D881" s="51"/>
      <c r="E881" s="51"/>
      <c r="F881" s="51"/>
      <c r="G881" s="51"/>
      <c r="H881" s="52"/>
      <c r="I881" s="52"/>
      <c r="J881" s="52"/>
      <c r="K881" s="52"/>
      <c r="L881" s="52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</row>
    <row r="882" ht="14.25" customHeight="1">
      <c r="A882" s="49"/>
      <c r="B882" s="49"/>
      <c r="C882" s="51"/>
      <c r="D882" s="51"/>
      <c r="E882" s="51"/>
      <c r="F882" s="51"/>
      <c r="G882" s="51"/>
      <c r="H882" s="52"/>
      <c r="I882" s="52"/>
      <c r="J882" s="52"/>
      <c r="K882" s="52"/>
      <c r="L882" s="52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</row>
    <row r="883" ht="14.25" customHeight="1">
      <c r="A883" s="49"/>
      <c r="B883" s="49"/>
      <c r="C883" s="51"/>
      <c r="D883" s="51"/>
      <c r="E883" s="51"/>
      <c r="F883" s="51"/>
      <c r="G883" s="51"/>
      <c r="H883" s="52"/>
      <c r="I883" s="52"/>
      <c r="J883" s="52"/>
      <c r="K883" s="52"/>
      <c r="L883" s="52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</row>
    <row r="884" ht="14.25" customHeight="1">
      <c r="A884" s="49"/>
      <c r="B884" s="49"/>
      <c r="C884" s="51"/>
      <c r="D884" s="51"/>
      <c r="E884" s="51"/>
      <c r="F884" s="51"/>
      <c r="G884" s="51"/>
      <c r="H884" s="52"/>
      <c r="I884" s="52"/>
      <c r="J884" s="52"/>
      <c r="K884" s="52"/>
      <c r="L884" s="52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</row>
    <row r="885" ht="14.25" customHeight="1">
      <c r="A885" s="49"/>
      <c r="B885" s="49"/>
      <c r="C885" s="51"/>
      <c r="D885" s="51"/>
      <c r="E885" s="51"/>
      <c r="F885" s="51"/>
      <c r="G885" s="51"/>
      <c r="H885" s="52"/>
      <c r="I885" s="52"/>
      <c r="J885" s="52"/>
      <c r="K885" s="52"/>
      <c r="L885" s="52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</row>
    <row r="886" ht="14.25" customHeight="1">
      <c r="A886" s="49"/>
      <c r="B886" s="49"/>
      <c r="C886" s="51"/>
      <c r="D886" s="51"/>
      <c r="E886" s="51"/>
      <c r="F886" s="51"/>
      <c r="G886" s="51"/>
      <c r="H886" s="52"/>
      <c r="I886" s="52"/>
      <c r="J886" s="52"/>
      <c r="K886" s="52"/>
      <c r="L886" s="52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</row>
    <row r="887" ht="14.25" customHeight="1">
      <c r="A887" s="49"/>
      <c r="B887" s="49"/>
      <c r="C887" s="51"/>
      <c r="D887" s="51"/>
      <c r="E887" s="51"/>
      <c r="F887" s="51"/>
      <c r="G887" s="51"/>
      <c r="H887" s="52"/>
      <c r="I887" s="52"/>
      <c r="J887" s="52"/>
      <c r="K887" s="52"/>
      <c r="L887" s="52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</row>
    <row r="888" ht="14.25" customHeight="1">
      <c r="A888" s="49"/>
      <c r="B888" s="49"/>
      <c r="C888" s="51"/>
      <c r="D888" s="51"/>
      <c r="E888" s="51"/>
      <c r="F888" s="51"/>
      <c r="G888" s="51"/>
      <c r="H888" s="52"/>
      <c r="I888" s="52"/>
      <c r="J888" s="52"/>
      <c r="K888" s="52"/>
      <c r="L888" s="52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</row>
    <row r="889" ht="14.25" customHeight="1">
      <c r="A889" s="49"/>
      <c r="B889" s="49"/>
      <c r="C889" s="51"/>
      <c r="D889" s="51"/>
      <c r="E889" s="51"/>
      <c r="F889" s="51"/>
      <c r="G889" s="51"/>
      <c r="H889" s="52"/>
      <c r="I889" s="52"/>
      <c r="J889" s="52"/>
      <c r="K889" s="52"/>
      <c r="L889" s="52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</row>
    <row r="890" ht="14.25" customHeight="1">
      <c r="A890" s="49"/>
      <c r="B890" s="49"/>
      <c r="C890" s="51"/>
      <c r="D890" s="51"/>
      <c r="E890" s="51"/>
      <c r="F890" s="51"/>
      <c r="G890" s="51"/>
      <c r="H890" s="52"/>
      <c r="I890" s="52"/>
      <c r="J890" s="52"/>
      <c r="K890" s="52"/>
      <c r="L890" s="52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</row>
    <row r="891" ht="14.25" customHeight="1">
      <c r="A891" s="49"/>
      <c r="B891" s="49"/>
      <c r="C891" s="51"/>
      <c r="D891" s="51"/>
      <c r="E891" s="51"/>
      <c r="F891" s="51"/>
      <c r="G891" s="51"/>
      <c r="H891" s="52"/>
      <c r="I891" s="52"/>
      <c r="J891" s="52"/>
      <c r="K891" s="52"/>
      <c r="L891" s="52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</row>
    <row r="892" ht="14.25" customHeight="1">
      <c r="A892" s="49"/>
      <c r="B892" s="49"/>
      <c r="C892" s="51"/>
      <c r="D892" s="51"/>
      <c r="E892" s="51"/>
      <c r="F892" s="51"/>
      <c r="G892" s="51"/>
      <c r="H892" s="52"/>
      <c r="I892" s="52"/>
      <c r="J892" s="52"/>
      <c r="K892" s="52"/>
      <c r="L892" s="52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</row>
    <row r="893" ht="14.25" customHeight="1">
      <c r="A893" s="49"/>
      <c r="B893" s="49"/>
      <c r="C893" s="51"/>
      <c r="D893" s="51"/>
      <c r="E893" s="51"/>
      <c r="F893" s="51"/>
      <c r="G893" s="51"/>
      <c r="H893" s="52"/>
      <c r="I893" s="52"/>
      <c r="J893" s="52"/>
      <c r="K893" s="52"/>
      <c r="L893" s="52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</row>
    <row r="894" ht="14.25" customHeight="1">
      <c r="A894" s="49"/>
      <c r="B894" s="49"/>
      <c r="C894" s="51"/>
      <c r="D894" s="51"/>
      <c r="E894" s="51"/>
      <c r="F894" s="51"/>
      <c r="G894" s="51"/>
      <c r="H894" s="52"/>
      <c r="I894" s="52"/>
      <c r="J894" s="52"/>
      <c r="K894" s="52"/>
      <c r="L894" s="52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</row>
    <row r="895" ht="14.25" customHeight="1">
      <c r="A895" s="49"/>
      <c r="B895" s="49"/>
      <c r="C895" s="51"/>
      <c r="D895" s="51"/>
      <c r="E895" s="51"/>
      <c r="F895" s="51"/>
      <c r="G895" s="51"/>
      <c r="H895" s="52"/>
      <c r="I895" s="52"/>
      <c r="J895" s="52"/>
      <c r="K895" s="52"/>
      <c r="L895" s="52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</row>
    <row r="896" ht="14.25" customHeight="1">
      <c r="A896" s="49"/>
      <c r="B896" s="49"/>
      <c r="C896" s="51"/>
      <c r="D896" s="51"/>
      <c r="E896" s="51"/>
      <c r="F896" s="51"/>
      <c r="G896" s="51"/>
      <c r="H896" s="52"/>
      <c r="I896" s="52"/>
      <c r="J896" s="52"/>
      <c r="K896" s="52"/>
      <c r="L896" s="52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</row>
    <row r="897" ht="14.25" customHeight="1">
      <c r="A897" s="49"/>
      <c r="B897" s="49"/>
      <c r="C897" s="51"/>
      <c r="D897" s="51"/>
      <c r="E897" s="51"/>
      <c r="F897" s="51"/>
      <c r="G897" s="51"/>
      <c r="H897" s="52"/>
      <c r="I897" s="52"/>
      <c r="J897" s="52"/>
      <c r="K897" s="52"/>
      <c r="L897" s="52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</row>
    <row r="898" ht="14.25" customHeight="1">
      <c r="A898" s="49"/>
      <c r="B898" s="49"/>
      <c r="C898" s="51"/>
      <c r="D898" s="51"/>
      <c r="E898" s="51"/>
      <c r="F898" s="51"/>
      <c r="G898" s="51"/>
      <c r="H898" s="52"/>
      <c r="I898" s="52"/>
      <c r="J898" s="52"/>
      <c r="K898" s="52"/>
      <c r="L898" s="52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</row>
    <row r="899" ht="14.25" customHeight="1">
      <c r="A899" s="49"/>
      <c r="B899" s="49"/>
      <c r="C899" s="51"/>
      <c r="D899" s="51"/>
      <c r="E899" s="51"/>
      <c r="F899" s="51"/>
      <c r="G899" s="51"/>
      <c r="H899" s="52"/>
      <c r="I899" s="52"/>
      <c r="J899" s="52"/>
      <c r="K899" s="52"/>
      <c r="L899" s="52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</row>
    <row r="900" ht="14.25" customHeight="1">
      <c r="A900" s="49"/>
      <c r="B900" s="49"/>
      <c r="C900" s="51"/>
      <c r="D900" s="51"/>
      <c r="E900" s="51"/>
      <c r="F900" s="51"/>
      <c r="G900" s="51"/>
      <c r="H900" s="52"/>
      <c r="I900" s="52"/>
      <c r="J900" s="52"/>
      <c r="K900" s="52"/>
      <c r="L900" s="52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</row>
    <row r="901" ht="14.25" customHeight="1">
      <c r="A901" s="49"/>
      <c r="B901" s="49"/>
      <c r="C901" s="51"/>
      <c r="D901" s="51"/>
      <c r="E901" s="51"/>
      <c r="F901" s="51"/>
      <c r="G901" s="51"/>
      <c r="H901" s="52"/>
      <c r="I901" s="52"/>
      <c r="J901" s="52"/>
      <c r="K901" s="52"/>
      <c r="L901" s="52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</row>
    <row r="902" ht="14.25" customHeight="1">
      <c r="A902" s="49"/>
      <c r="B902" s="49"/>
      <c r="C902" s="51"/>
      <c r="D902" s="51"/>
      <c r="E902" s="51"/>
      <c r="F902" s="51"/>
      <c r="G902" s="51"/>
      <c r="H902" s="52"/>
      <c r="I902" s="52"/>
      <c r="J902" s="52"/>
      <c r="K902" s="52"/>
      <c r="L902" s="52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</row>
    <row r="903" ht="14.25" customHeight="1">
      <c r="A903" s="49"/>
      <c r="B903" s="49"/>
      <c r="C903" s="51"/>
      <c r="D903" s="51"/>
      <c r="E903" s="51"/>
      <c r="F903" s="51"/>
      <c r="G903" s="51"/>
      <c r="H903" s="52"/>
      <c r="I903" s="52"/>
      <c r="J903" s="52"/>
      <c r="K903" s="52"/>
      <c r="L903" s="52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</row>
    <row r="904" ht="14.25" customHeight="1">
      <c r="A904" s="49"/>
      <c r="B904" s="49"/>
      <c r="C904" s="51"/>
      <c r="D904" s="51"/>
      <c r="E904" s="51"/>
      <c r="F904" s="51"/>
      <c r="G904" s="51"/>
      <c r="H904" s="52"/>
      <c r="I904" s="52"/>
      <c r="J904" s="52"/>
      <c r="K904" s="52"/>
      <c r="L904" s="52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</row>
    <row r="905" ht="14.25" customHeight="1">
      <c r="A905" s="49"/>
      <c r="B905" s="49"/>
      <c r="C905" s="51"/>
      <c r="D905" s="51"/>
      <c r="E905" s="51"/>
      <c r="F905" s="51"/>
      <c r="G905" s="51"/>
      <c r="H905" s="52"/>
      <c r="I905" s="52"/>
      <c r="J905" s="52"/>
      <c r="K905" s="52"/>
      <c r="L905" s="52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</row>
    <row r="906" ht="14.25" customHeight="1">
      <c r="A906" s="49"/>
      <c r="B906" s="49"/>
      <c r="C906" s="51"/>
      <c r="D906" s="51"/>
      <c r="E906" s="51"/>
      <c r="F906" s="51"/>
      <c r="G906" s="51"/>
      <c r="H906" s="52"/>
      <c r="I906" s="52"/>
      <c r="J906" s="52"/>
      <c r="K906" s="52"/>
      <c r="L906" s="52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</row>
    <row r="907" ht="14.25" customHeight="1">
      <c r="A907" s="49"/>
      <c r="B907" s="49"/>
      <c r="C907" s="51"/>
      <c r="D907" s="51"/>
      <c r="E907" s="51"/>
      <c r="F907" s="51"/>
      <c r="G907" s="51"/>
      <c r="H907" s="52"/>
      <c r="I907" s="52"/>
      <c r="J907" s="52"/>
      <c r="K907" s="52"/>
      <c r="L907" s="52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</row>
    <row r="908" ht="14.25" customHeight="1">
      <c r="A908" s="49"/>
      <c r="B908" s="49"/>
      <c r="C908" s="51"/>
      <c r="D908" s="51"/>
      <c r="E908" s="51"/>
      <c r="F908" s="51"/>
      <c r="G908" s="51"/>
      <c r="H908" s="52"/>
      <c r="I908" s="52"/>
      <c r="J908" s="52"/>
      <c r="K908" s="52"/>
      <c r="L908" s="52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</row>
    <row r="909" ht="14.25" customHeight="1">
      <c r="A909" s="49"/>
      <c r="B909" s="49"/>
      <c r="C909" s="51"/>
      <c r="D909" s="51"/>
      <c r="E909" s="51"/>
      <c r="F909" s="51"/>
      <c r="G909" s="51"/>
      <c r="H909" s="52"/>
      <c r="I909" s="52"/>
      <c r="J909" s="52"/>
      <c r="K909" s="52"/>
      <c r="L909" s="52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</row>
    <row r="910" ht="14.25" customHeight="1">
      <c r="A910" s="49"/>
      <c r="B910" s="49"/>
      <c r="C910" s="51"/>
      <c r="D910" s="51"/>
      <c r="E910" s="51"/>
      <c r="F910" s="51"/>
      <c r="G910" s="51"/>
      <c r="H910" s="52"/>
      <c r="I910" s="52"/>
      <c r="J910" s="52"/>
      <c r="K910" s="52"/>
      <c r="L910" s="52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</row>
    <row r="911" ht="14.25" customHeight="1">
      <c r="A911" s="49"/>
      <c r="B911" s="49"/>
      <c r="C911" s="51"/>
      <c r="D911" s="51"/>
      <c r="E911" s="51"/>
      <c r="F911" s="51"/>
      <c r="G911" s="51"/>
      <c r="H911" s="52"/>
      <c r="I911" s="52"/>
      <c r="J911" s="52"/>
      <c r="K911" s="52"/>
      <c r="L911" s="52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</row>
    <row r="912" ht="14.25" customHeight="1">
      <c r="A912" s="49"/>
      <c r="B912" s="49"/>
      <c r="C912" s="51"/>
      <c r="D912" s="51"/>
      <c r="E912" s="51"/>
      <c r="F912" s="51"/>
      <c r="G912" s="51"/>
      <c r="H912" s="52"/>
      <c r="I912" s="52"/>
      <c r="J912" s="52"/>
      <c r="K912" s="52"/>
      <c r="L912" s="52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</row>
    <row r="913" ht="14.25" customHeight="1">
      <c r="A913" s="49"/>
      <c r="B913" s="49"/>
      <c r="C913" s="51"/>
      <c r="D913" s="51"/>
      <c r="E913" s="51"/>
      <c r="F913" s="51"/>
      <c r="G913" s="51"/>
      <c r="H913" s="52"/>
      <c r="I913" s="52"/>
      <c r="J913" s="52"/>
      <c r="K913" s="52"/>
      <c r="L913" s="52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</row>
    <row r="914" ht="14.25" customHeight="1">
      <c r="A914" s="49"/>
      <c r="B914" s="49"/>
      <c r="C914" s="51"/>
      <c r="D914" s="51"/>
      <c r="E914" s="51"/>
      <c r="F914" s="51"/>
      <c r="G914" s="51"/>
      <c r="H914" s="52"/>
      <c r="I914" s="52"/>
      <c r="J914" s="52"/>
      <c r="K914" s="52"/>
      <c r="L914" s="52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</row>
    <row r="915" ht="14.25" customHeight="1">
      <c r="A915" s="49"/>
      <c r="B915" s="49"/>
      <c r="C915" s="51"/>
      <c r="D915" s="51"/>
      <c r="E915" s="51"/>
      <c r="F915" s="51"/>
      <c r="G915" s="51"/>
      <c r="H915" s="52"/>
      <c r="I915" s="52"/>
      <c r="J915" s="52"/>
      <c r="K915" s="52"/>
      <c r="L915" s="52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</row>
    <row r="916" ht="14.25" customHeight="1">
      <c r="A916" s="49"/>
      <c r="B916" s="49"/>
      <c r="C916" s="51"/>
      <c r="D916" s="51"/>
      <c r="E916" s="51"/>
      <c r="F916" s="51"/>
      <c r="G916" s="51"/>
      <c r="H916" s="52"/>
      <c r="I916" s="52"/>
      <c r="J916" s="52"/>
      <c r="K916" s="52"/>
      <c r="L916" s="52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</row>
    <row r="917" ht="14.25" customHeight="1">
      <c r="A917" s="49"/>
      <c r="B917" s="49"/>
      <c r="C917" s="51"/>
      <c r="D917" s="51"/>
      <c r="E917" s="51"/>
      <c r="F917" s="51"/>
      <c r="G917" s="51"/>
      <c r="H917" s="52"/>
      <c r="I917" s="52"/>
      <c r="J917" s="52"/>
      <c r="K917" s="52"/>
      <c r="L917" s="52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</row>
    <row r="918" ht="14.25" customHeight="1">
      <c r="A918" s="49"/>
      <c r="B918" s="49"/>
      <c r="C918" s="51"/>
      <c r="D918" s="51"/>
      <c r="E918" s="51"/>
      <c r="F918" s="51"/>
      <c r="G918" s="51"/>
      <c r="H918" s="52"/>
      <c r="I918" s="52"/>
      <c r="J918" s="52"/>
      <c r="K918" s="52"/>
      <c r="L918" s="52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</row>
    <row r="919" ht="14.25" customHeight="1">
      <c r="A919" s="49"/>
      <c r="B919" s="49"/>
      <c r="C919" s="51"/>
      <c r="D919" s="51"/>
      <c r="E919" s="51"/>
      <c r="F919" s="51"/>
      <c r="G919" s="51"/>
      <c r="H919" s="52"/>
      <c r="I919" s="52"/>
      <c r="J919" s="52"/>
      <c r="K919" s="52"/>
      <c r="L919" s="52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</row>
    <row r="920" ht="14.25" customHeight="1">
      <c r="A920" s="49"/>
      <c r="B920" s="49"/>
      <c r="C920" s="51"/>
      <c r="D920" s="51"/>
      <c r="E920" s="51"/>
      <c r="F920" s="51"/>
      <c r="G920" s="51"/>
      <c r="H920" s="52"/>
      <c r="I920" s="52"/>
      <c r="J920" s="52"/>
      <c r="K920" s="52"/>
      <c r="L920" s="52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</row>
    <row r="921" ht="14.25" customHeight="1">
      <c r="A921" s="49"/>
      <c r="B921" s="49"/>
      <c r="C921" s="51"/>
      <c r="D921" s="51"/>
      <c r="E921" s="51"/>
      <c r="F921" s="51"/>
      <c r="G921" s="51"/>
      <c r="H921" s="52"/>
      <c r="I921" s="52"/>
      <c r="J921" s="52"/>
      <c r="K921" s="52"/>
      <c r="L921" s="52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</row>
    <row r="922" ht="14.25" customHeight="1">
      <c r="A922" s="49"/>
      <c r="B922" s="49"/>
      <c r="C922" s="51"/>
      <c r="D922" s="51"/>
      <c r="E922" s="51"/>
      <c r="F922" s="51"/>
      <c r="G922" s="51"/>
      <c r="H922" s="52"/>
      <c r="I922" s="52"/>
      <c r="J922" s="52"/>
      <c r="K922" s="52"/>
      <c r="L922" s="52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</row>
    <row r="923" ht="14.25" customHeight="1">
      <c r="A923" s="49"/>
      <c r="B923" s="49"/>
      <c r="C923" s="51"/>
      <c r="D923" s="51"/>
      <c r="E923" s="51"/>
      <c r="F923" s="51"/>
      <c r="G923" s="51"/>
      <c r="H923" s="52"/>
      <c r="I923" s="52"/>
      <c r="J923" s="52"/>
      <c r="K923" s="52"/>
      <c r="L923" s="52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</row>
    <row r="924" ht="14.25" customHeight="1">
      <c r="A924" s="49"/>
      <c r="B924" s="49"/>
      <c r="C924" s="51"/>
      <c r="D924" s="51"/>
      <c r="E924" s="51"/>
      <c r="F924" s="51"/>
      <c r="G924" s="51"/>
      <c r="H924" s="52"/>
      <c r="I924" s="52"/>
      <c r="J924" s="52"/>
      <c r="K924" s="52"/>
      <c r="L924" s="52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</row>
    <row r="925" ht="14.25" customHeight="1">
      <c r="A925" s="49"/>
      <c r="B925" s="49"/>
      <c r="C925" s="51"/>
      <c r="D925" s="51"/>
      <c r="E925" s="51"/>
      <c r="F925" s="51"/>
      <c r="G925" s="51"/>
      <c r="H925" s="52"/>
      <c r="I925" s="52"/>
      <c r="J925" s="52"/>
      <c r="K925" s="52"/>
      <c r="L925" s="52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</row>
    <row r="926" ht="14.25" customHeight="1">
      <c r="A926" s="49"/>
      <c r="B926" s="49"/>
      <c r="C926" s="51"/>
      <c r="D926" s="51"/>
      <c r="E926" s="51"/>
      <c r="F926" s="51"/>
      <c r="G926" s="51"/>
      <c r="H926" s="52"/>
      <c r="I926" s="52"/>
      <c r="J926" s="52"/>
      <c r="K926" s="52"/>
      <c r="L926" s="52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</row>
    <row r="927" ht="14.25" customHeight="1">
      <c r="A927" s="49"/>
      <c r="B927" s="49"/>
      <c r="C927" s="51"/>
      <c r="D927" s="51"/>
      <c r="E927" s="51"/>
      <c r="F927" s="51"/>
      <c r="G927" s="51"/>
      <c r="H927" s="52"/>
      <c r="I927" s="52"/>
      <c r="J927" s="52"/>
      <c r="K927" s="52"/>
      <c r="L927" s="52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</row>
    <row r="928" ht="14.25" customHeight="1">
      <c r="A928" s="49"/>
      <c r="B928" s="49"/>
      <c r="C928" s="51"/>
      <c r="D928" s="51"/>
      <c r="E928" s="51"/>
      <c r="F928" s="51"/>
      <c r="G928" s="51"/>
      <c r="H928" s="52"/>
      <c r="I928" s="52"/>
      <c r="J928" s="52"/>
      <c r="K928" s="52"/>
      <c r="L928" s="52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</row>
    <row r="929" ht="14.25" customHeight="1">
      <c r="A929" s="49"/>
      <c r="B929" s="49"/>
      <c r="C929" s="51"/>
      <c r="D929" s="51"/>
      <c r="E929" s="51"/>
      <c r="F929" s="51"/>
      <c r="G929" s="51"/>
      <c r="H929" s="52"/>
      <c r="I929" s="52"/>
      <c r="J929" s="52"/>
      <c r="K929" s="52"/>
      <c r="L929" s="52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</row>
    <row r="930" ht="14.25" customHeight="1">
      <c r="A930" s="49"/>
      <c r="B930" s="49"/>
      <c r="C930" s="51"/>
      <c r="D930" s="51"/>
      <c r="E930" s="51"/>
      <c r="F930" s="51"/>
      <c r="G930" s="51"/>
      <c r="H930" s="52"/>
      <c r="I930" s="52"/>
      <c r="J930" s="52"/>
      <c r="K930" s="52"/>
      <c r="L930" s="52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</row>
    <row r="931" ht="14.25" customHeight="1">
      <c r="A931" s="49"/>
      <c r="B931" s="49"/>
      <c r="C931" s="51"/>
      <c r="D931" s="51"/>
      <c r="E931" s="51"/>
      <c r="F931" s="51"/>
      <c r="G931" s="51"/>
      <c r="H931" s="52"/>
      <c r="I931" s="52"/>
      <c r="J931" s="52"/>
      <c r="K931" s="52"/>
      <c r="L931" s="52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</row>
    <row r="932" ht="14.25" customHeight="1">
      <c r="A932" s="49"/>
      <c r="B932" s="49"/>
      <c r="C932" s="51"/>
      <c r="D932" s="51"/>
      <c r="E932" s="51"/>
      <c r="F932" s="51"/>
      <c r="G932" s="51"/>
      <c r="H932" s="52"/>
      <c r="I932" s="52"/>
      <c r="J932" s="52"/>
      <c r="K932" s="52"/>
      <c r="L932" s="52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</row>
    <row r="933" ht="14.25" customHeight="1">
      <c r="A933" s="49"/>
      <c r="B933" s="49"/>
      <c r="C933" s="51"/>
      <c r="D933" s="51"/>
      <c r="E933" s="51"/>
      <c r="F933" s="51"/>
      <c r="G933" s="51"/>
      <c r="H933" s="52"/>
      <c r="I933" s="52"/>
      <c r="J933" s="52"/>
      <c r="K933" s="52"/>
      <c r="L933" s="52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</row>
    <row r="934" ht="14.25" customHeight="1">
      <c r="A934" s="49"/>
      <c r="B934" s="49"/>
      <c r="C934" s="51"/>
      <c r="D934" s="51"/>
      <c r="E934" s="51"/>
      <c r="F934" s="51"/>
      <c r="G934" s="51"/>
      <c r="H934" s="52"/>
      <c r="I934" s="52"/>
      <c r="J934" s="52"/>
      <c r="K934" s="52"/>
      <c r="L934" s="52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</row>
    <row r="935" ht="14.25" customHeight="1">
      <c r="A935" s="49"/>
      <c r="B935" s="49"/>
      <c r="C935" s="51"/>
      <c r="D935" s="51"/>
      <c r="E935" s="51"/>
      <c r="F935" s="51"/>
      <c r="G935" s="51"/>
      <c r="H935" s="52"/>
      <c r="I935" s="52"/>
      <c r="J935" s="52"/>
      <c r="K935" s="52"/>
      <c r="L935" s="52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</row>
    <row r="936" ht="14.25" customHeight="1">
      <c r="A936" s="49"/>
      <c r="B936" s="49"/>
      <c r="C936" s="51"/>
      <c r="D936" s="51"/>
      <c r="E936" s="51"/>
      <c r="F936" s="51"/>
      <c r="G936" s="51"/>
      <c r="H936" s="52"/>
      <c r="I936" s="52"/>
      <c r="J936" s="52"/>
      <c r="K936" s="52"/>
      <c r="L936" s="52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</row>
    <row r="937" ht="14.25" customHeight="1">
      <c r="A937" s="49"/>
      <c r="B937" s="49"/>
      <c r="C937" s="51"/>
      <c r="D937" s="51"/>
      <c r="E937" s="51"/>
      <c r="F937" s="51"/>
      <c r="G937" s="51"/>
      <c r="H937" s="52"/>
      <c r="I937" s="52"/>
      <c r="J937" s="52"/>
      <c r="K937" s="52"/>
      <c r="L937" s="52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</row>
    <row r="938" ht="14.25" customHeight="1">
      <c r="A938" s="49"/>
      <c r="B938" s="49"/>
      <c r="C938" s="51"/>
      <c r="D938" s="51"/>
      <c r="E938" s="51"/>
      <c r="F938" s="51"/>
      <c r="G938" s="51"/>
      <c r="H938" s="52"/>
      <c r="I938" s="52"/>
      <c r="J938" s="52"/>
      <c r="K938" s="52"/>
      <c r="L938" s="52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</row>
    <row r="939" ht="14.25" customHeight="1">
      <c r="A939" s="49"/>
      <c r="B939" s="49"/>
      <c r="C939" s="51"/>
      <c r="D939" s="51"/>
      <c r="E939" s="51"/>
      <c r="F939" s="51"/>
      <c r="G939" s="51"/>
      <c r="H939" s="52"/>
      <c r="I939" s="52"/>
      <c r="J939" s="52"/>
      <c r="K939" s="52"/>
      <c r="L939" s="52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</row>
    <row r="940" ht="14.25" customHeight="1">
      <c r="A940" s="49"/>
      <c r="B940" s="49"/>
      <c r="C940" s="51"/>
      <c r="D940" s="51"/>
      <c r="E940" s="51"/>
      <c r="F940" s="51"/>
      <c r="G940" s="51"/>
      <c r="H940" s="52"/>
      <c r="I940" s="52"/>
      <c r="J940" s="52"/>
      <c r="K940" s="52"/>
      <c r="L940" s="52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</row>
    <row r="941" ht="14.25" customHeight="1">
      <c r="A941" s="49"/>
      <c r="B941" s="49"/>
      <c r="C941" s="51"/>
      <c r="D941" s="51"/>
      <c r="E941" s="51"/>
      <c r="F941" s="51"/>
      <c r="G941" s="51"/>
      <c r="H941" s="52"/>
      <c r="I941" s="52"/>
      <c r="J941" s="52"/>
      <c r="K941" s="52"/>
      <c r="L941" s="52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</row>
    <row r="942" ht="14.25" customHeight="1">
      <c r="A942" s="49"/>
      <c r="B942" s="49"/>
      <c r="C942" s="51"/>
      <c r="D942" s="51"/>
      <c r="E942" s="51"/>
      <c r="F942" s="51"/>
      <c r="G942" s="51"/>
      <c r="H942" s="52"/>
      <c r="I942" s="52"/>
      <c r="J942" s="52"/>
      <c r="K942" s="52"/>
      <c r="L942" s="52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</row>
    <row r="943" ht="14.25" customHeight="1">
      <c r="A943" s="49"/>
      <c r="B943" s="49"/>
      <c r="C943" s="51"/>
      <c r="D943" s="51"/>
      <c r="E943" s="51"/>
      <c r="F943" s="51"/>
      <c r="G943" s="51"/>
      <c r="H943" s="52"/>
      <c r="I943" s="52"/>
      <c r="J943" s="52"/>
      <c r="K943" s="52"/>
      <c r="L943" s="52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</row>
    <row r="944" ht="14.25" customHeight="1">
      <c r="A944" s="49"/>
      <c r="B944" s="49"/>
      <c r="C944" s="51"/>
      <c r="D944" s="51"/>
      <c r="E944" s="51"/>
      <c r="F944" s="51"/>
      <c r="G944" s="51"/>
      <c r="H944" s="52"/>
      <c r="I944" s="52"/>
      <c r="J944" s="52"/>
      <c r="K944" s="52"/>
      <c r="L944" s="52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</row>
    <row r="945" ht="14.25" customHeight="1">
      <c r="A945" s="49"/>
      <c r="B945" s="49"/>
      <c r="C945" s="51"/>
      <c r="D945" s="51"/>
      <c r="E945" s="51"/>
      <c r="F945" s="51"/>
      <c r="G945" s="51"/>
      <c r="H945" s="52"/>
      <c r="I945" s="52"/>
      <c r="J945" s="52"/>
      <c r="K945" s="52"/>
      <c r="L945" s="52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</row>
    <row r="946" ht="14.25" customHeight="1">
      <c r="A946" s="49"/>
      <c r="B946" s="49"/>
      <c r="C946" s="51"/>
      <c r="D946" s="51"/>
      <c r="E946" s="51"/>
      <c r="F946" s="51"/>
      <c r="G946" s="51"/>
      <c r="H946" s="52"/>
      <c r="I946" s="52"/>
      <c r="J946" s="52"/>
      <c r="K946" s="52"/>
      <c r="L946" s="52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</row>
    <row r="947" ht="14.25" customHeight="1">
      <c r="A947" s="49"/>
      <c r="B947" s="49"/>
      <c r="C947" s="51"/>
      <c r="D947" s="51"/>
      <c r="E947" s="51"/>
      <c r="F947" s="51"/>
      <c r="G947" s="51"/>
      <c r="H947" s="52"/>
      <c r="I947" s="52"/>
      <c r="J947" s="52"/>
      <c r="K947" s="52"/>
      <c r="L947" s="52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</row>
    <row r="948" ht="14.25" customHeight="1">
      <c r="A948" s="49"/>
      <c r="B948" s="49"/>
      <c r="C948" s="51"/>
      <c r="D948" s="51"/>
      <c r="E948" s="51"/>
      <c r="F948" s="51"/>
      <c r="G948" s="51"/>
      <c r="H948" s="52"/>
      <c r="I948" s="52"/>
      <c r="J948" s="52"/>
      <c r="K948" s="52"/>
      <c r="L948" s="52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</row>
    <row r="949" ht="14.25" customHeight="1">
      <c r="A949" s="49"/>
      <c r="B949" s="49"/>
      <c r="C949" s="51"/>
      <c r="D949" s="51"/>
      <c r="E949" s="51"/>
      <c r="F949" s="51"/>
      <c r="G949" s="51"/>
      <c r="H949" s="52"/>
      <c r="I949" s="52"/>
      <c r="J949" s="52"/>
      <c r="K949" s="52"/>
      <c r="L949" s="52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</row>
    <row r="950" ht="14.25" customHeight="1">
      <c r="A950" s="49"/>
      <c r="B950" s="49"/>
      <c r="C950" s="51"/>
      <c r="D950" s="51"/>
      <c r="E950" s="51"/>
      <c r="F950" s="51"/>
      <c r="G950" s="51"/>
      <c r="H950" s="52"/>
      <c r="I950" s="52"/>
      <c r="J950" s="52"/>
      <c r="K950" s="52"/>
      <c r="L950" s="52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</row>
    <row r="951" ht="14.25" customHeight="1">
      <c r="A951" s="49"/>
      <c r="B951" s="49"/>
      <c r="C951" s="51"/>
      <c r="D951" s="51"/>
      <c r="E951" s="51"/>
      <c r="F951" s="51"/>
      <c r="G951" s="51"/>
      <c r="H951" s="52"/>
      <c r="I951" s="52"/>
      <c r="J951" s="52"/>
      <c r="K951" s="52"/>
      <c r="L951" s="52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</row>
    <row r="952" ht="14.25" customHeight="1">
      <c r="A952" s="49"/>
      <c r="B952" s="49"/>
      <c r="C952" s="51"/>
      <c r="D952" s="51"/>
      <c r="E952" s="51"/>
      <c r="F952" s="51"/>
      <c r="G952" s="51"/>
      <c r="H952" s="52"/>
      <c r="I952" s="52"/>
      <c r="J952" s="52"/>
      <c r="K952" s="52"/>
      <c r="L952" s="52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</row>
    <row r="953" ht="14.25" customHeight="1">
      <c r="A953" s="49"/>
      <c r="B953" s="49"/>
      <c r="C953" s="51"/>
      <c r="D953" s="51"/>
      <c r="E953" s="51"/>
      <c r="F953" s="51"/>
      <c r="G953" s="51"/>
      <c r="H953" s="52"/>
      <c r="I953" s="52"/>
      <c r="J953" s="52"/>
      <c r="K953" s="52"/>
      <c r="L953" s="52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</row>
    <row r="954" ht="14.25" customHeight="1">
      <c r="A954" s="49"/>
      <c r="B954" s="49"/>
      <c r="C954" s="51"/>
      <c r="D954" s="51"/>
      <c r="E954" s="51"/>
      <c r="F954" s="51"/>
      <c r="G954" s="51"/>
      <c r="H954" s="52"/>
      <c r="I954" s="52"/>
      <c r="J954" s="52"/>
      <c r="K954" s="52"/>
      <c r="L954" s="52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</row>
    <row r="955" ht="14.25" customHeight="1">
      <c r="A955" s="49"/>
      <c r="B955" s="49"/>
      <c r="C955" s="51"/>
      <c r="D955" s="51"/>
      <c r="E955" s="51"/>
      <c r="F955" s="51"/>
      <c r="G955" s="51"/>
      <c r="H955" s="52"/>
      <c r="I955" s="52"/>
      <c r="J955" s="52"/>
      <c r="K955" s="52"/>
      <c r="L955" s="52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</row>
    <row r="956" ht="14.25" customHeight="1">
      <c r="A956" s="49"/>
      <c r="B956" s="49"/>
      <c r="C956" s="51"/>
      <c r="D956" s="51"/>
      <c r="E956" s="51"/>
      <c r="F956" s="51"/>
      <c r="G956" s="51"/>
      <c r="H956" s="52"/>
      <c r="I956" s="52"/>
      <c r="J956" s="52"/>
      <c r="K956" s="52"/>
      <c r="L956" s="52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</row>
    <row r="957" ht="14.25" customHeight="1">
      <c r="A957" s="49"/>
      <c r="B957" s="49"/>
      <c r="C957" s="51"/>
      <c r="D957" s="51"/>
      <c r="E957" s="51"/>
      <c r="F957" s="51"/>
      <c r="G957" s="51"/>
      <c r="H957" s="52"/>
      <c r="I957" s="52"/>
      <c r="J957" s="52"/>
      <c r="K957" s="52"/>
      <c r="L957" s="52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</row>
    <row r="958" ht="14.25" customHeight="1">
      <c r="A958" s="49"/>
      <c r="B958" s="49"/>
      <c r="C958" s="51"/>
      <c r="D958" s="51"/>
      <c r="E958" s="51"/>
      <c r="F958" s="51"/>
      <c r="G958" s="51"/>
      <c r="H958" s="52"/>
      <c r="I958" s="52"/>
      <c r="J958" s="52"/>
      <c r="K958" s="52"/>
      <c r="L958" s="52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</row>
    <row r="959" ht="14.25" customHeight="1">
      <c r="A959" s="49"/>
      <c r="B959" s="49"/>
      <c r="C959" s="51"/>
      <c r="D959" s="51"/>
      <c r="E959" s="51"/>
      <c r="F959" s="51"/>
      <c r="G959" s="51"/>
      <c r="H959" s="52"/>
      <c r="I959" s="52"/>
      <c r="J959" s="52"/>
      <c r="K959" s="52"/>
      <c r="L959" s="52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</row>
    <row r="960" ht="14.25" customHeight="1">
      <c r="A960" s="49"/>
      <c r="B960" s="49"/>
      <c r="C960" s="51"/>
      <c r="D960" s="51"/>
      <c r="E960" s="51"/>
      <c r="F960" s="51"/>
      <c r="G960" s="51"/>
      <c r="H960" s="52"/>
      <c r="I960" s="52"/>
      <c r="J960" s="52"/>
      <c r="K960" s="52"/>
      <c r="L960" s="52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</row>
    <row r="961" ht="14.25" customHeight="1">
      <c r="A961" s="49"/>
      <c r="B961" s="49"/>
      <c r="C961" s="51"/>
      <c r="D961" s="51"/>
      <c r="E961" s="51"/>
      <c r="F961" s="51"/>
      <c r="G961" s="51"/>
      <c r="H961" s="52"/>
      <c r="I961" s="52"/>
      <c r="J961" s="52"/>
      <c r="K961" s="52"/>
      <c r="L961" s="52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</row>
    <row r="962" ht="14.25" customHeight="1">
      <c r="A962" s="49"/>
      <c r="B962" s="49"/>
      <c r="C962" s="51"/>
      <c r="D962" s="51"/>
      <c r="E962" s="51"/>
      <c r="F962" s="51"/>
      <c r="G962" s="51"/>
      <c r="H962" s="52"/>
      <c r="I962" s="52"/>
      <c r="J962" s="52"/>
      <c r="K962" s="52"/>
      <c r="L962" s="52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</row>
    <row r="963" ht="14.25" customHeight="1">
      <c r="A963" s="49"/>
      <c r="B963" s="49"/>
      <c r="C963" s="51"/>
      <c r="D963" s="51"/>
      <c r="E963" s="51"/>
      <c r="F963" s="51"/>
      <c r="G963" s="51"/>
      <c r="H963" s="52"/>
      <c r="I963" s="52"/>
      <c r="J963" s="52"/>
      <c r="K963" s="52"/>
      <c r="L963" s="52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</row>
    <row r="964" ht="14.25" customHeight="1">
      <c r="A964" s="49"/>
      <c r="B964" s="49"/>
      <c r="C964" s="51"/>
      <c r="D964" s="51"/>
      <c r="E964" s="51"/>
      <c r="F964" s="51"/>
      <c r="G964" s="51"/>
      <c r="H964" s="52"/>
      <c r="I964" s="52"/>
      <c r="J964" s="52"/>
      <c r="K964" s="52"/>
      <c r="L964" s="52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</row>
    <row r="965" ht="14.25" customHeight="1">
      <c r="A965" s="49"/>
      <c r="B965" s="49"/>
      <c r="C965" s="51"/>
      <c r="D965" s="51"/>
      <c r="E965" s="51"/>
      <c r="F965" s="51"/>
      <c r="G965" s="51"/>
      <c r="H965" s="52"/>
      <c r="I965" s="52"/>
      <c r="J965" s="52"/>
      <c r="K965" s="52"/>
      <c r="L965" s="52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</row>
    <row r="966" ht="14.25" customHeight="1">
      <c r="A966" s="49"/>
      <c r="B966" s="49"/>
      <c r="C966" s="51"/>
      <c r="D966" s="51"/>
      <c r="E966" s="51"/>
      <c r="F966" s="51"/>
      <c r="G966" s="51"/>
      <c r="H966" s="52"/>
      <c r="I966" s="52"/>
      <c r="J966" s="52"/>
      <c r="K966" s="52"/>
      <c r="L966" s="52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</row>
    <row r="967" ht="14.25" customHeight="1">
      <c r="A967" s="49"/>
      <c r="B967" s="49"/>
      <c r="C967" s="51"/>
      <c r="D967" s="51"/>
      <c r="E967" s="51"/>
      <c r="F967" s="51"/>
      <c r="G967" s="51"/>
      <c r="H967" s="52"/>
      <c r="I967" s="52"/>
      <c r="J967" s="52"/>
      <c r="K967" s="52"/>
      <c r="L967" s="52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</row>
    <row r="968" ht="14.25" customHeight="1">
      <c r="A968" s="49"/>
      <c r="B968" s="49"/>
      <c r="C968" s="51"/>
      <c r="D968" s="51"/>
      <c r="E968" s="51"/>
      <c r="F968" s="51"/>
      <c r="G968" s="51"/>
      <c r="H968" s="52"/>
      <c r="I968" s="52"/>
      <c r="J968" s="52"/>
      <c r="K968" s="52"/>
      <c r="L968" s="52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</row>
    <row r="969" ht="14.25" customHeight="1">
      <c r="A969" s="49"/>
      <c r="B969" s="49"/>
      <c r="C969" s="51"/>
      <c r="D969" s="51"/>
      <c r="E969" s="51"/>
      <c r="F969" s="51"/>
      <c r="G969" s="51"/>
      <c r="H969" s="52"/>
      <c r="I969" s="52"/>
      <c r="J969" s="52"/>
      <c r="K969" s="52"/>
      <c r="L969" s="52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</row>
    <row r="970" ht="14.25" customHeight="1">
      <c r="A970" s="49"/>
      <c r="B970" s="49"/>
      <c r="C970" s="51"/>
      <c r="D970" s="51"/>
      <c r="E970" s="51"/>
      <c r="F970" s="51"/>
      <c r="G970" s="51"/>
      <c r="H970" s="52"/>
      <c r="I970" s="52"/>
      <c r="J970" s="52"/>
      <c r="K970" s="52"/>
      <c r="L970" s="52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</row>
    <row r="971" ht="14.25" customHeight="1">
      <c r="A971" s="49"/>
      <c r="B971" s="49"/>
      <c r="C971" s="51"/>
      <c r="D971" s="51"/>
      <c r="E971" s="51"/>
      <c r="F971" s="51"/>
      <c r="G971" s="51"/>
      <c r="H971" s="52"/>
      <c r="I971" s="52"/>
      <c r="J971" s="52"/>
      <c r="K971" s="52"/>
      <c r="L971" s="52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</row>
    <row r="972" ht="14.25" customHeight="1">
      <c r="A972" s="49"/>
      <c r="B972" s="49"/>
      <c r="C972" s="51"/>
      <c r="D972" s="51"/>
      <c r="E972" s="51"/>
      <c r="F972" s="51"/>
      <c r="G972" s="51"/>
      <c r="H972" s="52"/>
      <c r="I972" s="52"/>
      <c r="J972" s="52"/>
      <c r="K972" s="52"/>
      <c r="L972" s="52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</row>
    <row r="973" ht="14.25" customHeight="1">
      <c r="A973" s="49"/>
      <c r="B973" s="49"/>
      <c r="C973" s="51"/>
      <c r="D973" s="51"/>
      <c r="E973" s="51"/>
      <c r="F973" s="51"/>
      <c r="G973" s="51"/>
      <c r="H973" s="52"/>
      <c r="I973" s="52"/>
      <c r="J973" s="52"/>
      <c r="K973" s="52"/>
      <c r="L973" s="52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</row>
    <row r="974" ht="14.25" customHeight="1">
      <c r="A974" s="49"/>
      <c r="B974" s="49"/>
      <c r="C974" s="51"/>
      <c r="D974" s="51"/>
      <c r="E974" s="51"/>
      <c r="F974" s="51"/>
      <c r="G974" s="51"/>
      <c r="H974" s="52"/>
      <c r="I974" s="52"/>
      <c r="J974" s="52"/>
      <c r="K974" s="52"/>
      <c r="L974" s="52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</row>
    <row r="975" ht="14.25" customHeight="1">
      <c r="A975" s="49"/>
      <c r="B975" s="49"/>
      <c r="C975" s="51"/>
      <c r="D975" s="51"/>
      <c r="E975" s="51"/>
      <c r="F975" s="51"/>
      <c r="G975" s="51"/>
      <c r="H975" s="52"/>
      <c r="I975" s="52"/>
      <c r="J975" s="52"/>
      <c r="K975" s="52"/>
      <c r="L975" s="52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</row>
    <row r="976" ht="14.25" customHeight="1">
      <c r="A976" s="49"/>
      <c r="B976" s="49"/>
      <c r="C976" s="51"/>
      <c r="D976" s="51"/>
      <c r="E976" s="51"/>
      <c r="F976" s="51"/>
      <c r="G976" s="51"/>
      <c r="H976" s="52"/>
      <c r="I976" s="52"/>
      <c r="J976" s="52"/>
      <c r="K976" s="52"/>
      <c r="L976" s="52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</row>
    <row r="977" ht="14.25" customHeight="1">
      <c r="A977" s="49"/>
      <c r="B977" s="49"/>
      <c r="C977" s="51"/>
      <c r="D977" s="51"/>
      <c r="E977" s="51"/>
      <c r="F977" s="51"/>
      <c r="G977" s="51"/>
      <c r="H977" s="52"/>
      <c r="I977" s="52"/>
      <c r="J977" s="52"/>
      <c r="K977" s="52"/>
      <c r="L977" s="52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</row>
    <row r="978" ht="14.25" customHeight="1">
      <c r="A978" s="49"/>
      <c r="B978" s="49"/>
      <c r="C978" s="51"/>
      <c r="D978" s="51"/>
      <c r="E978" s="51"/>
      <c r="F978" s="51"/>
      <c r="G978" s="51"/>
      <c r="H978" s="52"/>
      <c r="I978" s="52"/>
      <c r="J978" s="52"/>
      <c r="K978" s="52"/>
      <c r="L978" s="52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</row>
    <row r="979" ht="14.25" customHeight="1">
      <c r="A979" s="49"/>
      <c r="B979" s="49"/>
      <c r="C979" s="51"/>
      <c r="D979" s="51"/>
      <c r="E979" s="51"/>
      <c r="F979" s="51"/>
      <c r="G979" s="51"/>
      <c r="H979" s="52"/>
      <c r="I979" s="52"/>
      <c r="J979" s="52"/>
      <c r="K979" s="52"/>
      <c r="L979" s="52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</row>
    <row r="980" ht="14.25" customHeight="1">
      <c r="A980" s="49"/>
      <c r="B980" s="49"/>
      <c r="C980" s="51"/>
      <c r="D980" s="51"/>
      <c r="E980" s="51"/>
      <c r="F980" s="51"/>
      <c r="G980" s="51"/>
      <c r="H980" s="52"/>
      <c r="I980" s="52"/>
      <c r="J980" s="52"/>
      <c r="K980" s="52"/>
      <c r="L980" s="52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</row>
    <row r="981" ht="14.25" customHeight="1">
      <c r="A981" s="49"/>
      <c r="B981" s="49"/>
      <c r="C981" s="51"/>
      <c r="D981" s="51"/>
      <c r="E981" s="51"/>
      <c r="F981" s="51"/>
      <c r="G981" s="51"/>
      <c r="H981" s="52"/>
      <c r="I981" s="52"/>
      <c r="J981" s="52"/>
      <c r="K981" s="52"/>
      <c r="L981" s="52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</row>
    <row r="982" ht="14.25" customHeight="1">
      <c r="A982" s="49"/>
      <c r="B982" s="49"/>
      <c r="C982" s="51"/>
      <c r="D982" s="51"/>
      <c r="E982" s="51"/>
      <c r="F982" s="51"/>
      <c r="G982" s="51"/>
      <c r="H982" s="52"/>
      <c r="I982" s="52"/>
      <c r="J982" s="52"/>
      <c r="K982" s="52"/>
      <c r="L982" s="52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</row>
    <row r="983" ht="14.25" customHeight="1">
      <c r="A983" s="49"/>
      <c r="B983" s="49"/>
      <c r="C983" s="51"/>
      <c r="D983" s="51"/>
      <c r="E983" s="51"/>
      <c r="F983" s="51"/>
      <c r="G983" s="51"/>
      <c r="H983" s="52"/>
      <c r="I983" s="52"/>
      <c r="J983" s="52"/>
      <c r="K983" s="52"/>
      <c r="L983" s="52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</row>
    <row r="984" ht="14.25" customHeight="1">
      <c r="A984" s="49"/>
      <c r="B984" s="49"/>
      <c r="C984" s="51"/>
      <c r="D984" s="51"/>
      <c r="E984" s="51"/>
      <c r="F984" s="51"/>
      <c r="G984" s="51"/>
      <c r="H984" s="52"/>
      <c r="I984" s="52"/>
      <c r="J984" s="52"/>
      <c r="K984" s="52"/>
      <c r="L984" s="52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</row>
    <row r="985" ht="14.25" customHeight="1">
      <c r="A985" s="49"/>
      <c r="B985" s="49"/>
      <c r="C985" s="51"/>
      <c r="D985" s="51"/>
      <c r="E985" s="51"/>
      <c r="F985" s="51"/>
      <c r="G985" s="51"/>
      <c r="H985" s="52"/>
      <c r="I985" s="52"/>
      <c r="J985" s="52"/>
      <c r="K985" s="52"/>
      <c r="L985" s="52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</row>
    <row r="986" ht="14.25" customHeight="1">
      <c r="A986" s="49"/>
      <c r="B986" s="49"/>
      <c r="C986" s="51"/>
      <c r="D986" s="51"/>
      <c r="E986" s="51"/>
      <c r="F986" s="51"/>
      <c r="G986" s="51"/>
      <c r="H986" s="52"/>
      <c r="I986" s="52"/>
      <c r="J986" s="52"/>
      <c r="K986" s="52"/>
      <c r="L986" s="52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</row>
    <row r="987" ht="14.25" customHeight="1">
      <c r="A987" s="49"/>
      <c r="B987" s="49"/>
      <c r="C987" s="51"/>
      <c r="D987" s="51"/>
      <c r="E987" s="51"/>
      <c r="F987" s="51"/>
      <c r="G987" s="51"/>
      <c r="H987" s="52"/>
      <c r="I987" s="52"/>
      <c r="J987" s="52"/>
      <c r="K987" s="52"/>
      <c r="L987" s="52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</row>
    <row r="988" ht="14.25" customHeight="1">
      <c r="A988" s="49"/>
      <c r="B988" s="49"/>
      <c r="C988" s="51"/>
      <c r="D988" s="51"/>
      <c r="E988" s="51"/>
      <c r="F988" s="51"/>
      <c r="G988" s="51"/>
      <c r="H988" s="52"/>
      <c r="I988" s="52"/>
      <c r="J988" s="52"/>
      <c r="K988" s="52"/>
      <c r="L988" s="52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</row>
    <row r="989" ht="14.25" customHeight="1">
      <c r="A989" s="49"/>
      <c r="B989" s="49"/>
      <c r="C989" s="51"/>
      <c r="D989" s="51"/>
      <c r="E989" s="51"/>
      <c r="F989" s="51"/>
      <c r="G989" s="51"/>
      <c r="H989" s="52"/>
      <c r="I989" s="52"/>
      <c r="J989" s="52"/>
      <c r="K989" s="52"/>
      <c r="L989" s="52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</row>
    <row r="990" ht="14.25" customHeight="1">
      <c r="A990" s="49"/>
      <c r="B990" s="49"/>
      <c r="C990" s="51"/>
      <c r="D990" s="51"/>
      <c r="E990" s="51"/>
      <c r="F990" s="51"/>
      <c r="G990" s="51"/>
      <c r="H990" s="52"/>
      <c r="I990" s="52"/>
      <c r="J990" s="52"/>
      <c r="K990" s="52"/>
      <c r="L990" s="52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</row>
    <row r="991" ht="14.25" customHeight="1">
      <c r="A991" s="49"/>
      <c r="B991" s="49"/>
      <c r="C991" s="51"/>
      <c r="D991" s="51"/>
      <c r="E991" s="51"/>
      <c r="F991" s="51"/>
      <c r="G991" s="51"/>
      <c r="H991" s="52"/>
      <c r="I991" s="52"/>
      <c r="J991" s="52"/>
      <c r="K991" s="52"/>
      <c r="L991" s="52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</row>
    <row r="992" ht="14.25" customHeight="1">
      <c r="A992" s="49"/>
      <c r="B992" s="49"/>
      <c r="C992" s="51"/>
      <c r="D992" s="51"/>
      <c r="E992" s="51"/>
      <c r="F992" s="51"/>
      <c r="G992" s="51"/>
      <c r="H992" s="52"/>
      <c r="I992" s="52"/>
      <c r="J992" s="52"/>
      <c r="K992" s="52"/>
      <c r="L992" s="52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</row>
    <row r="993" ht="14.25" customHeight="1">
      <c r="A993" s="49"/>
      <c r="B993" s="49"/>
      <c r="C993" s="51"/>
      <c r="D993" s="51"/>
      <c r="E993" s="51"/>
      <c r="F993" s="51"/>
      <c r="G993" s="51"/>
      <c r="H993" s="52"/>
      <c r="I993" s="52"/>
      <c r="J993" s="52"/>
      <c r="K993" s="52"/>
      <c r="L993" s="52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</row>
    <row r="994" ht="14.25" customHeight="1">
      <c r="A994" s="49"/>
      <c r="B994" s="49"/>
      <c r="C994" s="51"/>
      <c r="D994" s="51"/>
      <c r="E994" s="51"/>
      <c r="F994" s="51"/>
      <c r="G994" s="51"/>
      <c r="H994" s="52"/>
      <c r="I994" s="52"/>
      <c r="J994" s="52"/>
      <c r="K994" s="52"/>
      <c r="L994" s="52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</row>
    <row r="995" ht="14.25" customHeight="1">
      <c r="A995" s="49"/>
      <c r="B995" s="49"/>
      <c r="C995" s="51"/>
      <c r="D995" s="51"/>
      <c r="E995" s="51"/>
      <c r="F995" s="51"/>
      <c r="G995" s="51"/>
      <c r="H995" s="52"/>
      <c r="I995" s="52"/>
      <c r="J995" s="52"/>
      <c r="K995" s="52"/>
      <c r="L995" s="52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</row>
    <row r="996" ht="14.25" customHeight="1">
      <c r="A996" s="49"/>
      <c r="B996" s="49"/>
      <c r="C996" s="51"/>
      <c r="D996" s="51"/>
      <c r="E996" s="51"/>
      <c r="F996" s="51"/>
      <c r="G996" s="51"/>
      <c r="H996" s="52"/>
      <c r="I996" s="52"/>
      <c r="J996" s="52"/>
      <c r="K996" s="52"/>
      <c r="L996" s="52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</row>
    <row r="997" ht="14.25" customHeight="1">
      <c r="A997" s="49"/>
      <c r="B997" s="49"/>
      <c r="C997" s="51"/>
      <c r="D997" s="51"/>
      <c r="E997" s="51"/>
      <c r="F997" s="51"/>
      <c r="G997" s="51"/>
      <c r="H997" s="52"/>
      <c r="I997" s="52"/>
      <c r="J997" s="52"/>
      <c r="K997" s="52"/>
      <c r="L997" s="52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</row>
    <row r="998" ht="14.25" customHeight="1">
      <c r="A998" s="49"/>
      <c r="B998" s="49"/>
      <c r="C998" s="51"/>
      <c r="D998" s="51"/>
      <c r="E998" s="51"/>
      <c r="F998" s="51"/>
      <c r="G998" s="51"/>
      <c r="H998" s="52"/>
      <c r="I998" s="52"/>
      <c r="J998" s="52"/>
      <c r="K998" s="52"/>
      <c r="L998" s="52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</row>
    <row r="999" ht="14.25" customHeight="1">
      <c r="A999" s="49"/>
      <c r="B999" s="49"/>
      <c r="C999" s="51"/>
      <c r="D999" s="51"/>
      <c r="E999" s="51"/>
      <c r="F999" s="51"/>
      <c r="G999" s="51"/>
      <c r="H999" s="52"/>
      <c r="I999" s="52"/>
      <c r="J999" s="52"/>
      <c r="K999" s="52"/>
      <c r="L999" s="52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</row>
    <row r="1000" ht="14.25" customHeight="1">
      <c r="A1000" s="49"/>
      <c r="B1000" s="49"/>
      <c r="C1000" s="51"/>
      <c r="D1000" s="51"/>
      <c r="E1000" s="51"/>
      <c r="F1000" s="51"/>
      <c r="G1000" s="51"/>
      <c r="H1000" s="52"/>
      <c r="I1000" s="52"/>
      <c r="J1000" s="52"/>
      <c r="K1000" s="52"/>
      <c r="L1000" s="52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</row>
  </sheetData>
  <customSheetViews>
    <customSheetView guid="{1DA56668-6BB9-4A7B-B831-0031932E98DC}" filter="1" showAutoFilter="1">
      <autoFilter ref="$A$8:$M$21"/>
    </customSheetView>
  </customSheetViews>
  <mergeCells count="1">
    <mergeCell ref="A7:M7"/>
  </mergeCells>
  <printOptions/>
  <pageMargins bottom="0.75" footer="0.0" header="0.0" left="0.27" right="0.28" top="0.39"/>
  <pageSetup scale="90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6.57"/>
    <col customWidth="1" min="2" max="2" width="25.86"/>
    <col customWidth="1" min="3" max="3" width="36.86"/>
    <col customWidth="1" min="4" max="5" width="8.43"/>
    <col customWidth="1" min="6" max="6" width="10.0"/>
    <col customWidth="1" min="7" max="7" width="8.71"/>
    <col customWidth="1" min="8" max="8" width="9.14"/>
    <col customWidth="1" min="9" max="9" width="11.0"/>
    <col customWidth="1" min="10" max="10" width="36.0"/>
    <col customWidth="1" min="11" max="30" width="12.86"/>
  </cols>
  <sheetData>
    <row r="1" ht="52.5" customHeight="1">
      <c r="A1" s="48" t="s">
        <v>39</v>
      </c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</row>
    <row r="2" ht="51.75" customHeight="1">
      <c r="A2" s="54" t="s">
        <v>3</v>
      </c>
      <c r="B2" s="56" t="s">
        <v>46</v>
      </c>
      <c r="C2" s="56" t="s">
        <v>48</v>
      </c>
      <c r="D2" s="57" t="s">
        <v>50</v>
      </c>
      <c r="E2" s="57" t="s">
        <v>52</v>
      </c>
      <c r="F2" s="56" t="s">
        <v>53</v>
      </c>
      <c r="G2" s="56" t="s">
        <v>32</v>
      </c>
      <c r="H2" s="59" t="s">
        <v>55</v>
      </c>
      <c r="I2" s="60" t="s">
        <v>57</v>
      </c>
      <c r="J2" s="61" t="s">
        <v>59</v>
      </c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</row>
    <row r="3" ht="21.0" customHeight="1">
      <c r="A3" s="65">
        <f t="shared" ref="A3:A10" si="1">+ROW()-2</f>
        <v>1</v>
      </c>
      <c r="B3" s="67"/>
      <c r="C3" s="67"/>
      <c r="D3" s="67"/>
      <c r="E3" s="67"/>
      <c r="F3" s="67"/>
      <c r="G3" s="67"/>
      <c r="H3" s="69"/>
      <c r="I3" s="71"/>
      <c r="J3" s="73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</row>
    <row r="4" ht="21.0" customHeight="1">
      <c r="A4" s="65">
        <f t="shared" si="1"/>
        <v>2</v>
      </c>
      <c r="B4" s="67"/>
      <c r="C4" s="67"/>
      <c r="D4" s="67"/>
      <c r="E4" s="67"/>
      <c r="F4" s="67"/>
      <c r="G4" s="67"/>
      <c r="H4" s="69"/>
      <c r="I4" s="71"/>
      <c r="J4" s="73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</row>
    <row r="5" ht="21.0" customHeight="1">
      <c r="A5" s="65">
        <f t="shared" si="1"/>
        <v>3</v>
      </c>
      <c r="B5" s="67"/>
      <c r="C5" s="67"/>
      <c r="D5" s="67"/>
      <c r="E5" s="67"/>
      <c r="F5" s="67"/>
      <c r="G5" s="67"/>
      <c r="H5" s="69"/>
      <c r="I5" s="71"/>
      <c r="J5" s="73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</row>
    <row r="6" ht="21.0" customHeight="1">
      <c r="A6" s="65">
        <f t="shared" si="1"/>
        <v>4</v>
      </c>
      <c r="B6" s="67"/>
      <c r="C6" s="67"/>
      <c r="D6" s="67"/>
      <c r="E6" s="67"/>
      <c r="F6" s="67"/>
      <c r="G6" s="67"/>
      <c r="H6" s="69"/>
      <c r="I6" s="71"/>
      <c r="J6" s="73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</row>
    <row r="7" ht="21.0" customHeight="1">
      <c r="A7" s="65">
        <f t="shared" si="1"/>
        <v>5</v>
      </c>
      <c r="B7" s="67"/>
      <c r="C7" s="67"/>
      <c r="D7" s="67"/>
      <c r="E7" s="67"/>
      <c r="F7" s="67"/>
      <c r="G7" s="67"/>
      <c r="H7" s="69"/>
      <c r="I7" s="71"/>
      <c r="J7" s="73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</row>
    <row r="8" ht="21.0" customHeight="1">
      <c r="A8" s="65">
        <f t="shared" si="1"/>
        <v>6</v>
      </c>
      <c r="B8" s="67"/>
      <c r="C8" s="67"/>
      <c r="D8" s="67"/>
      <c r="E8" s="67"/>
      <c r="F8" s="67"/>
      <c r="G8" s="67"/>
      <c r="H8" s="69"/>
      <c r="I8" s="71"/>
      <c r="J8" s="73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</row>
    <row r="9" ht="21.0" customHeight="1">
      <c r="A9" s="65">
        <f t="shared" si="1"/>
        <v>7</v>
      </c>
      <c r="B9" s="67"/>
      <c r="C9" s="67"/>
      <c r="D9" s="67"/>
      <c r="E9" s="67"/>
      <c r="F9" s="67"/>
      <c r="G9" s="67"/>
      <c r="H9" s="69"/>
      <c r="I9" s="71"/>
      <c r="J9" s="73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 ht="21.0" customHeight="1">
      <c r="A10" s="65">
        <f t="shared" si="1"/>
        <v>8</v>
      </c>
      <c r="B10" s="67"/>
      <c r="C10" s="67"/>
      <c r="D10" s="67"/>
      <c r="E10" s="67"/>
      <c r="F10" s="67"/>
      <c r="G10" s="67"/>
      <c r="H10" s="69"/>
      <c r="I10" s="71"/>
      <c r="J10" s="73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</row>
    <row r="11" ht="21.0" customHeight="1">
      <c r="A11" s="65"/>
      <c r="B11" s="67"/>
      <c r="C11" s="67"/>
      <c r="D11" s="67"/>
      <c r="E11" s="67"/>
      <c r="F11" s="67"/>
      <c r="G11" s="67"/>
      <c r="H11" s="69"/>
      <c r="I11" s="71"/>
      <c r="J11" s="73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</row>
    <row r="12" ht="21.0" customHeight="1">
      <c r="A12" s="65"/>
      <c r="B12" s="67"/>
      <c r="C12" s="67"/>
      <c r="D12" s="67"/>
      <c r="E12" s="67"/>
      <c r="F12" s="67"/>
      <c r="G12" s="67"/>
      <c r="H12" s="69"/>
      <c r="I12" s="71"/>
      <c r="J12" s="73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</row>
    <row r="13" ht="21.0" customHeight="1">
      <c r="A13" s="65"/>
      <c r="B13" s="67"/>
      <c r="C13" s="67"/>
      <c r="D13" s="67"/>
      <c r="E13" s="67"/>
      <c r="F13" s="67"/>
      <c r="G13" s="67"/>
      <c r="H13" s="69"/>
      <c r="I13" s="71"/>
      <c r="J13" s="73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</row>
    <row r="14" ht="21.0" customHeight="1">
      <c r="A14" s="65"/>
      <c r="B14" s="67"/>
      <c r="C14" s="67"/>
      <c r="D14" s="67"/>
      <c r="E14" s="67"/>
      <c r="F14" s="67"/>
      <c r="G14" s="67"/>
      <c r="H14" s="69"/>
      <c r="I14" s="71"/>
      <c r="J14" s="73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</row>
    <row r="15" ht="21.0" customHeight="1">
      <c r="A15" s="65"/>
      <c r="B15" s="67"/>
      <c r="C15" s="67"/>
      <c r="D15" s="67"/>
      <c r="E15" s="67"/>
      <c r="F15" s="67"/>
      <c r="G15" s="67"/>
      <c r="H15" s="69"/>
      <c r="I15" s="71"/>
      <c r="J15" s="73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</row>
    <row r="16" ht="21.0" customHeight="1">
      <c r="A16" s="65"/>
      <c r="B16" s="67"/>
      <c r="C16" s="67"/>
      <c r="D16" s="67"/>
      <c r="E16" s="67"/>
      <c r="F16" s="67"/>
      <c r="G16" s="67"/>
      <c r="H16" s="69"/>
      <c r="I16" s="71"/>
      <c r="J16" s="73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</row>
    <row r="17" ht="21.0" customHeight="1">
      <c r="A17" s="93"/>
      <c r="B17" s="94"/>
      <c r="C17" s="94"/>
      <c r="D17" s="94"/>
      <c r="E17" s="94"/>
      <c r="F17" s="94"/>
      <c r="G17" s="94"/>
      <c r="H17" s="95"/>
      <c r="I17" s="71"/>
      <c r="J17" s="97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</row>
    <row r="18" ht="15.75" customHeight="1">
      <c r="A18" s="62"/>
      <c r="B18" s="62"/>
      <c r="C18" s="62"/>
      <c r="D18" s="62"/>
      <c r="E18" s="62"/>
      <c r="F18" s="62"/>
      <c r="G18" s="62"/>
      <c r="H18" s="98"/>
      <c r="I18" s="99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</row>
    <row r="19" ht="15.75" customHeight="1">
      <c r="A19" s="62"/>
      <c r="B19" s="62"/>
      <c r="C19" s="62"/>
      <c r="D19" s="62"/>
      <c r="E19" s="62"/>
      <c r="F19" s="62"/>
      <c r="G19" s="62"/>
      <c r="H19" s="98"/>
      <c r="I19" s="99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</row>
    <row r="20" ht="15.75" customHeight="1">
      <c r="A20" s="62"/>
      <c r="B20" s="62"/>
      <c r="C20" s="62"/>
      <c r="D20" s="62"/>
      <c r="E20" s="62"/>
      <c r="F20" s="62"/>
      <c r="G20" s="62"/>
      <c r="H20" s="98"/>
      <c r="I20" s="99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ht="15.75" customHeight="1">
      <c r="A21" s="62"/>
      <c r="B21" s="62"/>
      <c r="C21" s="62"/>
      <c r="D21" s="62"/>
      <c r="E21" s="62"/>
      <c r="F21" s="62"/>
      <c r="G21" s="62"/>
      <c r="H21" s="98"/>
      <c r="I21" s="99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</row>
    <row r="22" ht="15.75" customHeight="1">
      <c r="A22" s="62"/>
      <c r="B22" s="62"/>
      <c r="C22" s="62"/>
      <c r="D22" s="62"/>
      <c r="E22" s="62"/>
      <c r="F22" s="62"/>
      <c r="G22" s="62"/>
      <c r="H22" s="98"/>
      <c r="I22" s="99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</row>
    <row r="23" ht="15.75" customHeight="1">
      <c r="A23" s="62"/>
      <c r="B23" s="62"/>
      <c r="C23" s="62"/>
      <c r="D23" s="62"/>
      <c r="E23" s="62"/>
      <c r="F23" s="62"/>
      <c r="G23" s="62"/>
      <c r="H23" s="98"/>
      <c r="I23" s="99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15.75" customHeight="1">
      <c r="A24" s="62"/>
      <c r="B24" s="62"/>
      <c r="C24" s="62"/>
      <c r="D24" s="62"/>
      <c r="E24" s="62"/>
      <c r="F24" s="62"/>
      <c r="G24" s="62"/>
      <c r="H24" s="98"/>
      <c r="I24" s="99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ht="15.75" customHeight="1">
      <c r="A25" s="62"/>
      <c r="B25" s="62"/>
      <c r="C25" s="62"/>
      <c r="D25" s="62"/>
      <c r="E25" s="62"/>
      <c r="F25" s="62"/>
      <c r="G25" s="62"/>
      <c r="H25" s="98"/>
      <c r="I25" s="99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ht="15.75" customHeight="1">
      <c r="A26" s="62"/>
      <c r="B26" s="62"/>
      <c r="C26" s="62"/>
      <c r="D26" s="62"/>
      <c r="E26" s="62"/>
      <c r="F26" s="62"/>
      <c r="G26" s="62"/>
      <c r="H26" s="98"/>
      <c r="I26" s="99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ht="15.75" customHeight="1">
      <c r="A27" s="62"/>
      <c r="B27" s="62"/>
      <c r="C27" s="62"/>
      <c r="D27" s="62"/>
      <c r="E27" s="62"/>
      <c r="F27" s="62"/>
      <c r="G27" s="62"/>
      <c r="H27" s="98"/>
      <c r="I27" s="99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ht="15.75" customHeight="1">
      <c r="A28" s="62"/>
      <c r="B28" s="62"/>
      <c r="C28" s="62"/>
      <c r="D28" s="62"/>
      <c r="E28" s="62"/>
      <c r="F28" s="62"/>
      <c r="G28" s="62"/>
      <c r="H28" s="98"/>
      <c r="I28" s="99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ht="15.75" customHeight="1">
      <c r="A29" s="62"/>
      <c r="B29" s="62"/>
      <c r="C29" s="62"/>
      <c r="D29" s="62"/>
      <c r="E29" s="62"/>
      <c r="F29" s="62"/>
      <c r="G29" s="62"/>
      <c r="H29" s="98"/>
      <c r="I29" s="99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ht="15.75" customHeight="1">
      <c r="A30" s="62"/>
      <c r="B30" s="62"/>
      <c r="C30" s="62"/>
      <c r="D30" s="62"/>
      <c r="E30" s="62"/>
      <c r="F30" s="62"/>
      <c r="G30" s="62"/>
      <c r="H30" s="98"/>
      <c r="I30" s="99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ht="15.75" customHeight="1">
      <c r="A31" s="62"/>
      <c r="B31" s="62"/>
      <c r="C31" s="62"/>
      <c r="D31" s="62"/>
      <c r="E31" s="62"/>
      <c r="F31" s="62"/>
      <c r="G31" s="62"/>
      <c r="H31" s="98"/>
      <c r="I31" s="99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ht="15.75" customHeight="1">
      <c r="A32" s="62"/>
      <c r="B32" s="62"/>
      <c r="C32" s="62"/>
      <c r="D32" s="62"/>
      <c r="E32" s="62"/>
      <c r="F32" s="62"/>
      <c r="G32" s="62"/>
      <c r="H32" s="98"/>
      <c r="I32" s="99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ht="15.75" customHeight="1">
      <c r="A33" s="62"/>
      <c r="B33" s="62"/>
      <c r="C33" s="62"/>
      <c r="D33" s="62"/>
      <c r="E33" s="62"/>
      <c r="F33" s="62"/>
      <c r="G33" s="62"/>
      <c r="H33" s="98"/>
      <c r="I33" s="99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ht="15.75" customHeight="1">
      <c r="A34" s="62"/>
      <c r="B34" s="62"/>
      <c r="C34" s="62"/>
      <c r="D34" s="62"/>
      <c r="E34" s="62"/>
      <c r="F34" s="62"/>
      <c r="G34" s="62"/>
      <c r="H34" s="98"/>
      <c r="I34" s="99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ht="15.75" customHeight="1">
      <c r="A35" s="62"/>
      <c r="B35" s="62"/>
      <c r="C35" s="62"/>
      <c r="D35" s="62"/>
      <c r="E35" s="62"/>
      <c r="F35" s="62"/>
      <c r="G35" s="62"/>
      <c r="H35" s="98"/>
      <c r="I35" s="99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ht="15.75" customHeight="1">
      <c r="A36" s="62"/>
      <c r="B36" s="62"/>
      <c r="C36" s="62"/>
      <c r="D36" s="62"/>
      <c r="E36" s="62"/>
      <c r="F36" s="62"/>
      <c r="G36" s="62"/>
      <c r="H36" s="98"/>
      <c r="I36" s="99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ht="15.75" customHeight="1">
      <c r="A37" s="62"/>
      <c r="B37" s="62"/>
      <c r="C37" s="62"/>
      <c r="D37" s="62"/>
      <c r="E37" s="62"/>
      <c r="F37" s="62"/>
      <c r="G37" s="62"/>
      <c r="H37" s="98"/>
      <c r="I37" s="99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ht="15.75" customHeight="1">
      <c r="A38" s="62"/>
      <c r="B38" s="62"/>
      <c r="C38" s="62"/>
      <c r="D38" s="62"/>
      <c r="E38" s="62"/>
      <c r="F38" s="62"/>
      <c r="G38" s="62"/>
      <c r="H38" s="98"/>
      <c r="I38" s="99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ht="15.75" customHeight="1">
      <c r="A39" s="62"/>
      <c r="B39" s="62"/>
      <c r="C39" s="62"/>
      <c r="D39" s="62"/>
      <c r="E39" s="62"/>
      <c r="F39" s="62"/>
      <c r="G39" s="62"/>
      <c r="H39" s="98"/>
      <c r="I39" s="99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ht="15.75" customHeight="1">
      <c r="A40" s="62"/>
      <c r="B40" s="62"/>
      <c r="C40" s="62"/>
      <c r="D40" s="62"/>
      <c r="E40" s="62"/>
      <c r="F40" s="62"/>
      <c r="G40" s="62"/>
      <c r="H40" s="98"/>
      <c r="I40" s="99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ht="15.75" customHeight="1">
      <c r="A41" s="62"/>
      <c r="B41" s="62"/>
      <c r="C41" s="62"/>
      <c r="D41" s="62"/>
      <c r="E41" s="62"/>
      <c r="F41" s="62"/>
      <c r="G41" s="62"/>
      <c r="H41" s="98"/>
      <c r="I41" s="99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ht="15.75" customHeight="1">
      <c r="A42" s="62"/>
      <c r="B42" s="62"/>
      <c r="C42" s="62"/>
      <c r="D42" s="62"/>
      <c r="E42" s="62"/>
      <c r="F42" s="62"/>
      <c r="G42" s="62"/>
      <c r="H42" s="98"/>
      <c r="I42" s="99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ht="15.75" customHeight="1">
      <c r="A43" s="62"/>
      <c r="B43" s="62"/>
      <c r="C43" s="62"/>
      <c r="D43" s="62"/>
      <c r="E43" s="62"/>
      <c r="F43" s="62"/>
      <c r="G43" s="62"/>
      <c r="H43" s="98"/>
      <c r="I43" s="99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ht="15.75" customHeight="1">
      <c r="A44" s="62"/>
      <c r="B44" s="62"/>
      <c r="C44" s="62"/>
      <c r="D44" s="62"/>
      <c r="E44" s="62"/>
      <c r="F44" s="62"/>
      <c r="G44" s="62"/>
      <c r="H44" s="98"/>
      <c r="I44" s="99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ht="15.75" customHeight="1">
      <c r="A45" s="62"/>
      <c r="B45" s="62"/>
      <c r="C45" s="62"/>
      <c r="D45" s="62"/>
      <c r="E45" s="62"/>
      <c r="F45" s="62"/>
      <c r="G45" s="62"/>
      <c r="H45" s="98"/>
      <c r="I45" s="99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ht="15.75" customHeight="1">
      <c r="A46" s="62"/>
      <c r="B46" s="62"/>
      <c r="C46" s="62"/>
      <c r="D46" s="62"/>
      <c r="E46" s="62"/>
      <c r="F46" s="62"/>
      <c r="G46" s="62"/>
      <c r="H46" s="98"/>
      <c r="I46" s="99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ht="15.75" customHeight="1">
      <c r="A47" s="62"/>
      <c r="B47" s="62"/>
      <c r="C47" s="62"/>
      <c r="D47" s="62"/>
      <c r="E47" s="62"/>
      <c r="F47" s="62"/>
      <c r="G47" s="62"/>
      <c r="H47" s="98"/>
      <c r="I47" s="99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ht="15.75" customHeight="1">
      <c r="A48" s="62"/>
      <c r="B48" s="62"/>
      <c r="C48" s="62"/>
      <c r="D48" s="62"/>
      <c r="E48" s="62"/>
      <c r="F48" s="62"/>
      <c r="G48" s="62"/>
      <c r="H48" s="98"/>
      <c r="I48" s="99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ht="15.75" customHeight="1">
      <c r="A49" s="62"/>
      <c r="B49" s="62"/>
      <c r="C49" s="62"/>
      <c r="D49" s="62"/>
      <c r="E49" s="62"/>
      <c r="F49" s="62"/>
      <c r="G49" s="62"/>
      <c r="H49" s="98"/>
      <c r="I49" s="99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ht="15.75" customHeight="1">
      <c r="A50" s="62"/>
      <c r="B50" s="62"/>
      <c r="C50" s="62"/>
      <c r="D50" s="62"/>
      <c r="E50" s="62"/>
      <c r="F50" s="62"/>
      <c r="G50" s="62"/>
      <c r="H50" s="98"/>
      <c r="I50" s="99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ht="15.75" customHeight="1">
      <c r="A51" s="62"/>
      <c r="B51" s="62"/>
      <c r="C51" s="62"/>
      <c r="D51" s="62"/>
      <c r="E51" s="62"/>
      <c r="F51" s="62"/>
      <c r="G51" s="62"/>
      <c r="H51" s="98"/>
      <c r="I51" s="99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ht="15.75" customHeight="1">
      <c r="A52" s="62"/>
      <c r="B52" s="62"/>
      <c r="C52" s="62"/>
      <c r="D52" s="62"/>
      <c r="E52" s="62"/>
      <c r="F52" s="62"/>
      <c r="G52" s="62"/>
      <c r="H52" s="98"/>
      <c r="I52" s="99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ht="15.75" customHeight="1">
      <c r="A53" s="62"/>
      <c r="B53" s="62"/>
      <c r="C53" s="62"/>
      <c r="D53" s="62"/>
      <c r="E53" s="62"/>
      <c r="F53" s="62"/>
      <c r="G53" s="62"/>
      <c r="H53" s="98"/>
      <c r="I53" s="99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ht="15.75" customHeight="1">
      <c r="A54" s="62"/>
      <c r="B54" s="62"/>
      <c r="C54" s="62"/>
      <c r="D54" s="62"/>
      <c r="E54" s="62"/>
      <c r="F54" s="62"/>
      <c r="G54" s="62"/>
      <c r="H54" s="98"/>
      <c r="I54" s="99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ht="15.75" customHeight="1">
      <c r="A55" s="62"/>
      <c r="B55" s="62"/>
      <c r="C55" s="62"/>
      <c r="D55" s="62"/>
      <c r="E55" s="62"/>
      <c r="F55" s="62"/>
      <c r="G55" s="62"/>
      <c r="H55" s="98"/>
      <c r="I55" s="99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ht="15.75" customHeight="1">
      <c r="A56" s="62"/>
      <c r="B56" s="62"/>
      <c r="C56" s="62"/>
      <c r="D56" s="62"/>
      <c r="E56" s="62"/>
      <c r="F56" s="62"/>
      <c r="G56" s="62"/>
      <c r="H56" s="98"/>
      <c r="I56" s="99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ht="15.75" customHeight="1">
      <c r="A57" s="62"/>
      <c r="B57" s="62"/>
      <c r="C57" s="62"/>
      <c r="D57" s="62"/>
      <c r="E57" s="62"/>
      <c r="F57" s="62"/>
      <c r="G57" s="62"/>
      <c r="H57" s="98"/>
      <c r="I57" s="99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ht="15.75" customHeight="1">
      <c r="A58" s="62"/>
      <c r="B58" s="62"/>
      <c r="C58" s="62"/>
      <c r="D58" s="62"/>
      <c r="E58" s="62"/>
      <c r="F58" s="62"/>
      <c r="G58" s="62"/>
      <c r="H58" s="98"/>
      <c r="I58" s="99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ht="15.75" customHeight="1">
      <c r="A59" s="62"/>
      <c r="B59" s="62"/>
      <c r="C59" s="62"/>
      <c r="D59" s="62"/>
      <c r="E59" s="62"/>
      <c r="F59" s="62"/>
      <c r="G59" s="62"/>
      <c r="H59" s="98"/>
      <c r="I59" s="99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ht="15.75" customHeight="1">
      <c r="A60" s="62"/>
      <c r="B60" s="62"/>
      <c r="C60" s="62"/>
      <c r="D60" s="62"/>
      <c r="E60" s="62"/>
      <c r="F60" s="62"/>
      <c r="G60" s="62"/>
      <c r="H60" s="98"/>
      <c r="I60" s="99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ht="15.75" customHeight="1">
      <c r="A61" s="62"/>
      <c r="B61" s="62"/>
      <c r="C61" s="62"/>
      <c r="D61" s="62"/>
      <c r="E61" s="62"/>
      <c r="F61" s="62"/>
      <c r="G61" s="62"/>
      <c r="H61" s="98"/>
      <c r="I61" s="99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ht="15.75" customHeight="1">
      <c r="A62" s="62"/>
      <c r="B62" s="62"/>
      <c r="C62" s="62"/>
      <c r="D62" s="62"/>
      <c r="E62" s="62"/>
      <c r="F62" s="62"/>
      <c r="G62" s="62"/>
      <c r="H62" s="98"/>
      <c r="I62" s="99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ht="15.75" customHeight="1">
      <c r="A63" s="62"/>
      <c r="B63" s="62"/>
      <c r="C63" s="62"/>
      <c r="D63" s="62"/>
      <c r="E63" s="62"/>
      <c r="F63" s="62"/>
      <c r="G63" s="62"/>
      <c r="H63" s="98"/>
      <c r="I63" s="99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</row>
    <row r="64" ht="15.75" customHeight="1">
      <c r="A64" s="62"/>
      <c r="B64" s="62"/>
      <c r="C64" s="62"/>
      <c r="D64" s="62"/>
      <c r="E64" s="62"/>
      <c r="F64" s="62"/>
      <c r="G64" s="62"/>
      <c r="H64" s="98"/>
      <c r="I64" s="99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</row>
    <row r="65" ht="15.75" customHeight="1">
      <c r="A65" s="62"/>
      <c r="B65" s="62"/>
      <c r="C65" s="62"/>
      <c r="D65" s="62"/>
      <c r="E65" s="62"/>
      <c r="F65" s="62"/>
      <c r="G65" s="62"/>
      <c r="H65" s="98"/>
      <c r="I65" s="99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</row>
    <row r="66" ht="15.75" customHeight="1">
      <c r="A66" s="62"/>
      <c r="B66" s="62"/>
      <c r="C66" s="62"/>
      <c r="D66" s="62"/>
      <c r="E66" s="62"/>
      <c r="F66" s="62"/>
      <c r="G66" s="62"/>
      <c r="H66" s="98"/>
      <c r="I66" s="99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</row>
    <row r="67" ht="15.75" customHeight="1">
      <c r="A67" s="62"/>
      <c r="B67" s="62"/>
      <c r="C67" s="62"/>
      <c r="D67" s="62"/>
      <c r="E67" s="62"/>
      <c r="F67" s="62"/>
      <c r="G67" s="62"/>
      <c r="H67" s="98"/>
      <c r="I67" s="99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</row>
    <row r="68" ht="15.75" customHeight="1">
      <c r="A68" s="62"/>
      <c r="B68" s="62"/>
      <c r="C68" s="62"/>
      <c r="D68" s="62"/>
      <c r="E68" s="62"/>
      <c r="F68" s="62"/>
      <c r="G68" s="62"/>
      <c r="H68" s="98"/>
      <c r="I68" s="99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</row>
    <row r="69" ht="15.75" customHeight="1">
      <c r="A69" s="62"/>
      <c r="B69" s="62"/>
      <c r="C69" s="62"/>
      <c r="D69" s="62"/>
      <c r="E69" s="62"/>
      <c r="F69" s="62"/>
      <c r="G69" s="62"/>
      <c r="H69" s="98"/>
      <c r="I69" s="99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</row>
    <row r="70" ht="15.75" customHeight="1">
      <c r="A70" s="62"/>
      <c r="B70" s="62"/>
      <c r="C70" s="62"/>
      <c r="D70" s="62"/>
      <c r="E70" s="62"/>
      <c r="F70" s="62"/>
      <c r="G70" s="62"/>
      <c r="H70" s="98"/>
      <c r="I70" s="99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</row>
    <row r="71" ht="15.75" customHeight="1">
      <c r="A71" s="62"/>
      <c r="B71" s="62"/>
      <c r="C71" s="62"/>
      <c r="D71" s="62"/>
      <c r="E71" s="62"/>
      <c r="F71" s="62"/>
      <c r="G71" s="62"/>
      <c r="H71" s="98"/>
      <c r="I71" s="99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</row>
    <row r="72" ht="15.75" customHeight="1">
      <c r="A72" s="62"/>
      <c r="B72" s="62"/>
      <c r="C72" s="62"/>
      <c r="D72" s="62"/>
      <c r="E72" s="62"/>
      <c r="F72" s="62"/>
      <c r="G72" s="62"/>
      <c r="H72" s="98"/>
      <c r="I72" s="99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</row>
    <row r="73" ht="15.75" customHeight="1">
      <c r="A73" s="62"/>
      <c r="B73" s="62"/>
      <c r="C73" s="62"/>
      <c r="D73" s="62"/>
      <c r="E73" s="62"/>
      <c r="F73" s="62"/>
      <c r="G73" s="62"/>
      <c r="H73" s="98"/>
      <c r="I73" s="99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</row>
    <row r="74" ht="15.75" customHeight="1">
      <c r="A74" s="62"/>
      <c r="B74" s="62"/>
      <c r="C74" s="62"/>
      <c r="D74" s="62"/>
      <c r="E74" s="62"/>
      <c r="F74" s="62"/>
      <c r="G74" s="62"/>
      <c r="H74" s="98"/>
      <c r="I74" s="99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</row>
    <row r="75" ht="15.75" customHeight="1">
      <c r="A75" s="62"/>
      <c r="B75" s="62"/>
      <c r="C75" s="62"/>
      <c r="D75" s="62"/>
      <c r="E75" s="62"/>
      <c r="F75" s="62"/>
      <c r="G75" s="62"/>
      <c r="H75" s="98"/>
      <c r="I75" s="99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</row>
    <row r="76" ht="15.75" customHeight="1">
      <c r="A76" s="62"/>
      <c r="B76" s="62"/>
      <c r="C76" s="62"/>
      <c r="D76" s="62"/>
      <c r="E76" s="62"/>
      <c r="F76" s="62"/>
      <c r="G76" s="62"/>
      <c r="H76" s="98"/>
      <c r="I76" s="99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</row>
    <row r="77" ht="15.75" customHeight="1">
      <c r="A77" s="62"/>
      <c r="B77" s="62"/>
      <c r="C77" s="62"/>
      <c r="D77" s="62"/>
      <c r="E77" s="62"/>
      <c r="F77" s="62"/>
      <c r="G77" s="62"/>
      <c r="H77" s="98"/>
      <c r="I77" s="99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</row>
    <row r="78" ht="15.75" customHeight="1">
      <c r="A78" s="62"/>
      <c r="B78" s="62"/>
      <c r="C78" s="62"/>
      <c r="D78" s="62"/>
      <c r="E78" s="62"/>
      <c r="F78" s="62"/>
      <c r="G78" s="62"/>
      <c r="H78" s="98"/>
      <c r="I78" s="99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</row>
    <row r="79" ht="15.75" customHeight="1">
      <c r="A79" s="62"/>
      <c r="B79" s="62"/>
      <c r="C79" s="62"/>
      <c r="D79" s="62"/>
      <c r="E79" s="62"/>
      <c r="F79" s="62"/>
      <c r="G79" s="62"/>
      <c r="H79" s="98"/>
      <c r="I79" s="99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</row>
    <row r="80" ht="15.75" customHeight="1">
      <c r="A80" s="62"/>
      <c r="B80" s="62"/>
      <c r="C80" s="62"/>
      <c r="D80" s="62"/>
      <c r="E80" s="62"/>
      <c r="F80" s="62"/>
      <c r="G80" s="62"/>
      <c r="H80" s="98"/>
      <c r="I80" s="99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</row>
    <row r="81" ht="15.75" customHeight="1">
      <c r="A81" s="62"/>
      <c r="B81" s="62"/>
      <c r="C81" s="62"/>
      <c r="D81" s="62"/>
      <c r="E81" s="62"/>
      <c r="F81" s="62"/>
      <c r="G81" s="62"/>
      <c r="H81" s="98"/>
      <c r="I81" s="99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</row>
    <row r="82" ht="15.75" customHeight="1">
      <c r="A82" s="62"/>
      <c r="B82" s="62"/>
      <c r="C82" s="62"/>
      <c r="D82" s="62"/>
      <c r="E82" s="62"/>
      <c r="F82" s="62"/>
      <c r="G82" s="62"/>
      <c r="H82" s="98"/>
      <c r="I82" s="99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</row>
    <row r="83" ht="15.75" customHeight="1">
      <c r="A83" s="62"/>
      <c r="B83" s="62"/>
      <c r="C83" s="62"/>
      <c r="D83" s="62"/>
      <c r="E83" s="62"/>
      <c r="F83" s="62"/>
      <c r="G83" s="62"/>
      <c r="H83" s="98"/>
      <c r="I83" s="99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</row>
    <row r="84" ht="15.75" customHeight="1">
      <c r="A84" s="62"/>
      <c r="B84" s="62"/>
      <c r="C84" s="62"/>
      <c r="D84" s="62"/>
      <c r="E84" s="62"/>
      <c r="F84" s="62"/>
      <c r="G84" s="62"/>
      <c r="H84" s="98"/>
      <c r="I84" s="99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</row>
    <row r="85" ht="15.75" customHeight="1">
      <c r="A85" s="62"/>
      <c r="B85" s="62"/>
      <c r="C85" s="62"/>
      <c r="D85" s="62"/>
      <c r="E85" s="62"/>
      <c r="F85" s="62"/>
      <c r="G85" s="62"/>
      <c r="H85" s="98"/>
      <c r="I85" s="99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</row>
    <row r="86" ht="15.75" customHeight="1">
      <c r="A86" s="62"/>
      <c r="B86" s="62"/>
      <c r="C86" s="62"/>
      <c r="D86" s="62"/>
      <c r="E86" s="62"/>
      <c r="F86" s="62"/>
      <c r="G86" s="62"/>
      <c r="H86" s="98"/>
      <c r="I86" s="99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</row>
    <row r="87" ht="15.75" customHeight="1">
      <c r="A87" s="62"/>
      <c r="B87" s="62"/>
      <c r="C87" s="62"/>
      <c r="D87" s="62"/>
      <c r="E87" s="62"/>
      <c r="F87" s="62"/>
      <c r="G87" s="62"/>
      <c r="H87" s="98"/>
      <c r="I87" s="99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</row>
    <row r="88" ht="15.75" customHeight="1">
      <c r="A88" s="62"/>
      <c r="B88" s="62"/>
      <c r="C88" s="62"/>
      <c r="D88" s="62"/>
      <c r="E88" s="62"/>
      <c r="F88" s="62"/>
      <c r="G88" s="62"/>
      <c r="H88" s="98"/>
      <c r="I88" s="99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</row>
    <row r="89" ht="15.75" customHeight="1">
      <c r="A89" s="62"/>
      <c r="B89" s="62"/>
      <c r="C89" s="62"/>
      <c r="D89" s="62"/>
      <c r="E89" s="62"/>
      <c r="F89" s="62"/>
      <c r="G89" s="62"/>
      <c r="H89" s="98"/>
      <c r="I89" s="99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</row>
    <row r="90" ht="15.75" customHeight="1">
      <c r="A90" s="62"/>
      <c r="B90" s="62"/>
      <c r="C90" s="62"/>
      <c r="D90" s="62"/>
      <c r="E90" s="62"/>
      <c r="F90" s="62"/>
      <c r="G90" s="62"/>
      <c r="H90" s="98"/>
      <c r="I90" s="99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</row>
    <row r="91" ht="15.75" customHeight="1">
      <c r="A91" s="62"/>
      <c r="B91" s="62"/>
      <c r="C91" s="62"/>
      <c r="D91" s="62"/>
      <c r="E91" s="62"/>
      <c r="F91" s="62"/>
      <c r="G91" s="62"/>
      <c r="H91" s="98"/>
      <c r="I91" s="99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</row>
    <row r="92" ht="15.75" customHeight="1">
      <c r="A92" s="62"/>
      <c r="B92" s="62"/>
      <c r="C92" s="62"/>
      <c r="D92" s="62"/>
      <c r="E92" s="62"/>
      <c r="F92" s="62"/>
      <c r="G92" s="62"/>
      <c r="H92" s="98"/>
      <c r="I92" s="99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</row>
    <row r="93" ht="15.75" customHeight="1">
      <c r="A93" s="62"/>
      <c r="B93" s="62"/>
      <c r="C93" s="62"/>
      <c r="D93" s="62"/>
      <c r="E93" s="62"/>
      <c r="F93" s="62"/>
      <c r="G93" s="62"/>
      <c r="H93" s="98"/>
      <c r="I93" s="99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</row>
    <row r="94" ht="15.75" customHeight="1">
      <c r="A94" s="62"/>
      <c r="B94" s="62"/>
      <c r="C94" s="62"/>
      <c r="D94" s="62"/>
      <c r="E94" s="62"/>
      <c r="F94" s="62"/>
      <c r="G94" s="62"/>
      <c r="H94" s="98"/>
      <c r="I94" s="99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</row>
    <row r="95" ht="15.75" customHeight="1">
      <c r="A95" s="62"/>
      <c r="B95" s="62"/>
      <c r="C95" s="62"/>
      <c r="D95" s="62"/>
      <c r="E95" s="62"/>
      <c r="F95" s="62"/>
      <c r="G95" s="62"/>
      <c r="H95" s="98"/>
      <c r="I95" s="99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</row>
    <row r="96" ht="15.75" customHeight="1">
      <c r="A96" s="62"/>
      <c r="B96" s="62"/>
      <c r="C96" s="62"/>
      <c r="D96" s="62"/>
      <c r="E96" s="62"/>
      <c r="F96" s="62"/>
      <c r="G96" s="62"/>
      <c r="H96" s="98"/>
      <c r="I96" s="99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</row>
    <row r="97" ht="15.75" customHeight="1">
      <c r="A97" s="62"/>
      <c r="B97" s="62"/>
      <c r="C97" s="62"/>
      <c r="D97" s="62"/>
      <c r="E97" s="62"/>
      <c r="F97" s="62"/>
      <c r="G97" s="62"/>
      <c r="H97" s="98"/>
      <c r="I97" s="99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</row>
    <row r="98" ht="15.75" customHeight="1">
      <c r="A98" s="62"/>
      <c r="B98" s="62"/>
      <c r="C98" s="62"/>
      <c r="D98" s="62"/>
      <c r="E98" s="62"/>
      <c r="F98" s="62"/>
      <c r="G98" s="62"/>
      <c r="H98" s="98"/>
      <c r="I98" s="99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</row>
    <row r="99" ht="15.75" customHeight="1">
      <c r="A99" s="62"/>
      <c r="B99" s="62"/>
      <c r="C99" s="62"/>
      <c r="D99" s="62"/>
      <c r="E99" s="62"/>
      <c r="F99" s="62"/>
      <c r="G99" s="62"/>
      <c r="H99" s="98"/>
      <c r="I99" s="99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98"/>
      <c r="I100" s="99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98"/>
      <c r="I101" s="99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98"/>
      <c r="I102" s="99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98"/>
      <c r="I103" s="99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98"/>
      <c r="I104" s="99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98"/>
      <c r="I105" s="99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98"/>
      <c r="I106" s="99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98"/>
      <c r="I107" s="99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98"/>
      <c r="I108" s="99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98"/>
      <c r="I109" s="99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98"/>
      <c r="I110" s="99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98"/>
      <c r="I111" s="99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98"/>
      <c r="I112" s="99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98"/>
      <c r="I113" s="99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98"/>
      <c r="I114" s="99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98"/>
      <c r="I115" s="99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98"/>
      <c r="I116" s="99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98"/>
      <c r="I117" s="99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98"/>
      <c r="I118" s="99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98"/>
      <c r="I119" s="99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98"/>
      <c r="I120" s="99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98"/>
      <c r="I121" s="99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98"/>
      <c r="I122" s="99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98"/>
      <c r="I123" s="99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98"/>
      <c r="I124" s="99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98"/>
      <c r="I125" s="99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98"/>
      <c r="I126" s="99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98"/>
      <c r="I127" s="99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98"/>
      <c r="I128" s="99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98"/>
      <c r="I129" s="99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98"/>
      <c r="I130" s="99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98"/>
      <c r="I131" s="99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98"/>
      <c r="I132" s="99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98"/>
      <c r="I133" s="99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98"/>
      <c r="I134" s="99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98"/>
      <c r="I135" s="99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98"/>
      <c r="I136" s="99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98"/>
      <c r="I137" s="99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98"/>
      <c r="I138" s="99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98"/>
      <c r="I139" s="99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98"/>
      <c r="I140" s="99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98"/>
      <c r="I141" s="99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98"/>
      <c r="I142" s="99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98"/>
      <c r="I143" s="99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98"/>
      <c r="I144" s="99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98"/>
      <c r="I145" s="99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98"/>
      <c r="I146" s="99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98"/>
      <c r="I147" s="99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98"/>
      <c r="I148" s="99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98"/>
      <c r="I149" s="99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98"/>
      <c r="I150" s="99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98"/>
      <c r="I151" s="99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98"/>
      <c r="I152" s="99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98"/>
      <c r="I153" s="99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98"/>
      <c r="I154" s="99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98"/>
      <c r="I155" s="99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98"/>
      <c r="I156" s="99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98"/>
      <c r="I157" s="99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98"/>
      <c r="I158" s="99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98"/>
      <c r="I159" s="99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98"/>
      <c r="I160" s="99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98"/>
      <c r="I161" s="99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98"/>
      <c r="I162" s="99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98"/>
      <c r="I163" s="99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98"/>
      <c r="I164" s="99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98"/>
      <c r="I165" s="99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98"/>
      <c r="I166" s="99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98"/>
      <c r="I167" s="99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98"/>
      <c r="I168" s="99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98"/>
      <c r="I169" s="99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98"/>
      <c r="I170" s="99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98"/>
      <c r="I171" s="99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98"/>
      <c r="I172" s="99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98"/>
      <c r="I173" s="99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98"/>
      <c r="I174" s="99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98"/>
      <c r="I175" s="99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98"/>
      <c r="I176" s="99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98"/>
      <c r="I177" s="99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98"/>
      <c r="I178" s="99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98"/>
      <c r="I179" s="99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98"/>
      <c r="I180" s="99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98"/>
      <c r="I181" s="99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98"/>
      <c r="I182" s="99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98"/>
      <c r="I183" s="99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98"/>
      <c r="I184" s="99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98"/>
      <c r="I185" s="99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98"/>
      <c r="I186" s="99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98"/>
      <c r="I187" s="99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98"/>
      <c r="I188" s="99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98"/>
      <c r="I189" s="99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98"/>
      <c r="I190" s="99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98"/>
      <c r="I191" s="99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98"/>
      <c r="I192" s="99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98"/>
      <c r="I193" s="99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98"/>
      <c r="I194" s="99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98"/>
      <c r="I195" s="99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98"/>
      <c r="I196" s="99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98"/>
      <c r="I197" s="99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98"/>
      <c r="I198" s="99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98"/>
      <c r="I199" s="99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98"/>
      <c r="I200" s="99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98"/>
      <c r="I201" s="99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98"/>
      <c r="I202" s="99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98"/>
      <c r="I203" s="99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98"/>
      <c r="I204" s="99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98"/>
      <c r="I205" s="99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98"/>
      <c r="I206" s="99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98"/>
      <c r="I207" s="99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98"/>
      <c r="I208" s="99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98"/>
      <c r="I209" s="99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98"/>
      <c r="I210" s="99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98"/>
      <c r="I211" s="99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98"/>
      <c r="I212" s="99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98"/>
      <c r="I213" s="99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98"/>
      <c r="I214" s="99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98"/>
      <c r="I215" s="99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98"/>
      <c r="I216" s="99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98"/>
      <c r="I217" s="99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98"/>
      <c r="I218" s="99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98"/>
      <c r="I219" s="99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98"/>
      <c r="I220" s="99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98"/>
      <c r="I221" s="99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98"/>
      <c r="I222" s="99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98"/>
      <c r="I223" s="99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98"/>
      <c r="I224" s="99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98"/>
      <c r="I225" s="99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98"/>
      <c r="I226" s="99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98"/>
      <c r="I227" s="99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98"/>
      <c r="I228" s="99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98"/>
      <c r="I229" s="99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98"/>
      <c r="I230" s="99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98"/>
      <c r="I231" s="99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98"/>
      <c r="I232" s="99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98"/>
      <c r="I233" s="99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98"/>
      <c r="I234" s="99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98"/>
      <c r="I235" s="99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98"/>
      <c r="I236" s="99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98"/>
      <c r="I237" s="99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98"/>
      <c r="I238" s="99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98"/>
      <c r="I239" s="99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98"/>
      <c r="I240" s="99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98"/>
      <c r="I241" s="99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98"/>
      <c r="I242" s="99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98"/>
      <c r="I243" s="99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98"/>
      <c r="I244" s="99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98"/>
      <c r="I245" s="99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98"/>
      <c r="I246" s="99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98"/>
      <c r="I247" s="99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98"/>
      <c r="I248" s="99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98"/>
      <c r="I249" s="99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98"/>
      <c r="I250" s="99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98"/>
      <c r="I251" s="99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98"/>
      <c r="I252" s="99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98"/>
      <c r="I253" s="99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98"/>
      <c r="I254" s="99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98"/>
      <c r="I255" s="99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98"/>
      <c r="I256" s="99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98"/>
      <c r="I257" s="99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98"/>
      <c r="I258" s="99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98"/>
      <c r="I259" s="99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98"/>
      <c r="I260" s="99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98"/>
      <c r="I261" s="99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98"/>
      <c r="I262" s="99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98"/>
      <c r="I263" s="99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98"/>
      <c r="I264" s="99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98"/>
      <c r="I265" s="99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98"/>
      <c r="I266" s="99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98"/>
      <c r="I267" s="99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98"/>
      <c r="I268" s="99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98"/>
      <c r="I269" s="99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98"/>
      <c r="I270" s="99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98"/>
      <c r="I271" s="99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98"/>
      <c r="I272" s="99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98"/>
      <c r="I273" s="99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98"/>
      <c r="I274" s="99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98"/>
      <c r="I275" s="99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98"/>
      <c r="I276" s="99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98"/>
      <c r="I277" s="99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98"/>
      <c r="I278" s="99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98"/>
      <c r="I279" s="99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98"/>
      <c r="I280" s="99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98"/>
      <c r="I281" s="99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98"/>
      <c r="I282" s="99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98"/>
      <c r="I283" s="99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98"/>
      <c r="I284" s="99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98"/>
      <c r="I285" s="99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98"/>
      <c r="I286" s="99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98"/>
      <c r="I287" s="99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98"/>
      <c r="I288" s="99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98"/>
      <c r="I289" s="99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98"/>
      <c r="I290" s="99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98"/>
      <c r="I291" s="99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98"/>
      <c r="I292" s="99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98"/>
      <c r="I293" s="99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98"/>
      <c r="I294" s="99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98"/>
      <c r="I295" s="99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98"/>
      <c r="I296" s="99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98"/>
      <c r="I297" s="99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98"/>
      <c r="I298" s="99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98"/>
      <c r="I299" s="99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98"/>
      <c r="I300" s="99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98"/>
      <c r="I301" s="99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98"/>
      <c r="I302" s="99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98"/>
      <c r="I303" s="99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98"/>
      <c r="I304" s="99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98"/>
      <c r="I305" s="99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98"/>
      <c r="I306" s="99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98"/>
      <c r="I307" s="99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98"/>
      <c r="I308" s="99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98"/>
      <c r="I309" s="99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98"/>
      <c r="I310" s="99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98"/>
      <c r="I311" s="99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98"/>
      <c r="I312" s="99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98"/>
      <c r="I313" s="99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98"/>
      <c r="I314" s="99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98"/>
      <c r="I315" s="99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98"/>
      <c r="I316" s="99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98"/>
      <c r="I317" s="99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98"/>
      <c r="I318" s="99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98"/>
      <c r="I319" s="99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98"/>
      <c r="I320" s="99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98"/>
      <c r="I321" s="99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98"/>
      <c r="I322" s="99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98"/>
      <c r="I323" s="99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98"/>
      <c r="I324" s="99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98"/>
      <c r="I325" s="99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98"/>
      <c r="I326" s="99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98"/>
      <c r="I327" s="99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98"/>
      <c r="I328" s="99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98"/>
      <c r="I329" s="99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98"/>
      <c r="I330" s="99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98"/>
      <c r="I331" s="99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98"/>
      <c r="I332" s="99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98"/>
      <c r="I333" s="99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98"/>
      <c r="I334" s="99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98"/>
      <c r="I335" s="99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98"/>
      <c r="I336" s="99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98"/>
      <c r="I337" s="99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98"/>
      <c r="I338" s="99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98"/>
      <c r="I339" s="99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98"/>
      <c r="I340" s="99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98"/>
      <c r="I341" s="99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98"/>
      <c r="I342" s="99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98"/>
      <c r="I343" s="99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98"/>
      <c r="I344" s="99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98"/>
      <c r="I345" s="99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98"/>
      <c r="I346" s="99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98"/>
      <c r="I347" s="99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98"/>
      <c r="I348" s="99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98"/>
      <c r="I349" s="99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98"/>
      <c r="I350" s="99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98"/>
      <c r="I351" s="99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98"/>
      <c r="I352" s="99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98"/>
      <c r="I353" s="99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98"/>
      <c r="I354" s="99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98"/>
      <c r="I355" s="99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98"/>
      <c r="I356" s="99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98"/>
      <c r="I357" s="99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98"/>
      <c r="I358" s="99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98"/>
      <c r="I359" s="99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98"/>
      <c r="I360" s="99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98"/>
      <c r="I361" s="99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98"/>
      <c r="I362" s="99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98"/>
      <c r="I363" s="99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98"/>
      <c r="I364" s="99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98"/>
      <c r="I365" s="99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98"/>
      <c r="I366" s="99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98"/>
      <c r="I367" s="99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98"/>
      <c r="I368" s="99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98"/>
      <c r="I369" s="99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98"/>
      <c r="I370" s="99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98"/>
      <c r="I371" s="99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98"/>
      <c r="I372" s="99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98"/>
      <c r="I373" s="99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98"/>
      <c r="I374" s="99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98"/>
      <c r="I375" s="99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98"/>
      <c r="I376" s="99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98"/>
      <c r="I377" s="99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98"/>
      <c r="I378" s="99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98"/>
      <c r="I379" s="99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98"/>
      <c r="I380" s="99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98"/>
      <c r="I381" s="99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98"/>
      <c r="I382" s="99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98"/>
      <c r="I383" s="99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98"/>
      <c r="I384" s="99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98"/>
      <c r="I385" s="99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98"/>
      <c r="I386" s="99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98"/>
      <c r="I387" s="99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98"/>
      <c r="I388" s="99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98"/>
      <c r="I389" s="99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98"/>
      <c r="I390" s="99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98"/>
      <c r="I391" s="99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98"/>
      <c r="I392" s="99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98"/>
      <c r="I393" s="99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98"/>
      <c r="I394" s="99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98"/>
      <c r="I395" s="99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98"/>
      <c r="I396" s="99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98"/>
      <c r="I397" s="99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98"/>
      <c r="I398" s="99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98"/>
      <c r="I399" s="99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98"/>
      <c r="I400" s="99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98"/>
      <c r="I401" s="99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98"/>
      <c r="I402" s="99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98"/>
      <c r="I403" s="99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98"/>
      <c r="I404" s="99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98"/>
      <c r="I405" s="99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98"/>
      <c r="I406" s="99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98"/>
      <c r="I407" s="99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98"/>
      <c r="I408" s="99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98"/>
      <c r="I409" s="99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98"/>
      <c r="I410" s="99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98"/>
      <c r="I411" s="99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98"/>
      <c r="I412" s="99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98"/>
      <c r="I413" s="99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98"/>
      <c r="I414" s="99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98"/>
      <c r="I415" s="99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98"/>
      <c r="I416" s="99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98"/>
      <c r="I417" s="99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98"/>
      <c r="I418" s="99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98"/>
      <c r="I419" s="99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98"/>
      <c r="I420" s="99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98"/>
      <c r="I421" s="99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98"/>
      <c r="I422" s="99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98"/>
      <c r="I423" s="99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98"/>
      <c r="I424" s="99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98"/>
      <c r="I425" s="99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98"/>
      <c r="I426" s="99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98"/>
      <c r="I427" s="99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98"/>
      <c r="I428" s="99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98"/>
      <c r="I429" s="99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98"/>
      <c r="I430" s="99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98"/>
      <c r="I431" s="99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98"/>
      <c r="I432" s="99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98"/>
      <c r="I433" s="99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98"/>
      <c r="I434" s="99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98"/>
      <c r="I435" s="99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98"/>
      <c r="I436" s="99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98"/>
      <c r="I437" s="99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98"/>
      <c r="I438" s="99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98"/>
      <c r="I439" s="99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98"/>
      <c r="I440" s="99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98"/>
      <c r="I441" s="99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98"/>
      <c r="I442" s="99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98"/>
      <c r="I443" s="99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98"/>
      <c r="I444" s="99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98"/>
      <c r="I445" s="99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98"/>
      <c r="I446" s="99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98"/>
      <c r="I447" s="99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98"/>
      <c r="I448" s="99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98"/>
      <c r="I449" s="99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98"/>
      <c r="I450" s="99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98"/>
      <c r="I451" s="99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98"/>
      <c r="I452" s="99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98"/>
      <c r="I453" s="99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98"/>
      <c r="I454" s="99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98"/>
      <c r="I455" s="99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98"/>
      <c r="I456" s="99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98"/>
      <c r="I457" s="99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98"/>
      <c r="I458" s="99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98"/>
      <c r="I459" s="99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98"/>
      <c r="I460" s="99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98"/>
      <c r="I461" s="99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98"/>
      <c r="I462" s="99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98"/>
      <c r="I463" s="99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98"/>
      <c r="I464" s="99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98"/>
      <c r="I465" s="99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98"/>
      <c r="I466" s="99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98"/>
      <c r="I467" s="99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98"/>
      <c r="I468" s="99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98"/>
      <c r="I469" s="99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98"/>
      <c r="I470" s="99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98"/>
      <c r="I471" s="99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98"/>
      <c r="I472" s="99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98"/>
      <c r="I473" s="99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98"/>
      <c r="I474" s="99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98"/>
      <c r="I475" s="99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98"/>
      <c r="I476" s="99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98"/>
      <c r="I477" s="99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98"/>
      <c r="I478" s="99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98"/>
      <c r="I479" s="99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98"/>
      <c r="I480" s="99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98"/>
      <c r="I481" s="99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98"/>
      <c r="I482" s="99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98"/>
      <c r="I483" s="99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98"/>
      <c r="I484" s="99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98"/>
      <c r="I485" s="99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98"/>
      <c r="I486" s="99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98"/>
      <c r="I487" s="99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98"/>
      <c r="I488" s="99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98"/>
      <c r="I489" s="99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98"/>
      <c r="I490" s="99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98"/>
      <c r="I491" s="99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98"/>
      <c r="I492" s="99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98"/>
      <c r="I493" s="99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98"/>
      <c r="I494" s="99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98"/>
      <c r="I495" s="99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98"/>
      <c r="I496" s="99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98"/>
      <c r="I497" s="99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98"/>
      <c r="I498" s="99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98"/>
      <c r="I499" s="99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98"/>
      <c r="I500" s="99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98"/>
      <c r="I501" s="99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98"/>
      <c r="I502" s="99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98"/>
      <c r="I503" s="99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98"/>
      <c r="I504" s="99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98"/>
      <c r="I505" s="99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98"/>
      <c r="I506" s="99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98"/>
      <c r="I507" s="99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98"/>
      <c r="I508" s="99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98"/>
      <c r="I509" s="99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98"/>
      <c r="I510" s="99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98"/>
      <c r="I511" s="99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98"/>
      <c r="I512" s="99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98"/>
      <c r="I513" s="99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98"/>
      <c r="I514" s="99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98"/>
      <c r="I515" s="99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98"/>
      <c r="I516" s="99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98"/>
      <c r="I517" s="99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98"/>
      <c r="I518" s="99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98"/>
      <c r="I519" s="99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98"/>
      <c r="I520" s="99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98"/>
      <c r="I521" s="99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98"/>
      <c r="I522" s="99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98"/>
      <c r="I523" s="99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98"/>
      <c r="I524" s="99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98"/>
      <c r="I525" s="99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98"/>
      <c r="I526" s="99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98"/>
      <c r="I527" s="99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98"/>
      <c r="I528" s="99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98"/>
      <c r="I529" s="99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98"/>
      <c r="I530" s="99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98"/>
      <c r="I531" s="99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98"/>
      <c r="I532" s="99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98"/>
      <c r="I533" s="99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98"/>
      <c r="I534" s="99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98"/>
      <c r="I535" s="99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98"/>
      <c r="I536" s="99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98"/>
      <c r="I537" s="99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98"/>
      <c r="I538" s="99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98"/>
      <c r="I539" s="99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98"/>
      <c r="I540" s="99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98"/>
      <c r="I541" s="99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98"/>
      <c r="I542" s="99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98"/>
      <c r="I543" s="99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98"/>
      <c r="I544" s="99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98"/>
      <c r="I545" s="99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98"/>
      <c r="I546" s="99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98"/>
      <c r="I547" s="99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98"/>
      <c r="I548" s="99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98"/>
      <c r="I549" s="99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98"/>
      <c r="I550" s="99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98"/>
      <c r="I551" s="99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98"/>
      <c r="I552" s="99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98"/>
      <c r="I553" s="99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98"/>
      <c r="I554" s="99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98"/>
      <c r="I555" s="99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98"/>
      <c r="I556" s="99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98"/>
      <c r="I557" s="99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98"/>
      <c r="I558" s="99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98"/>
      <c r="I559" s="99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98"/>
      <c r="I560" s="99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98"/>
      <c r="I561" s="99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98"/>
      <c r="I562" s="99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98"/>
      <c r="I563" s="99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98"/>
      <c r="I564" s="99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98"/>
      <c r="I565" s="99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98"/>
      <c r="I566" s="99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98"/>
      <c r="I567" s="99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98"/>
      <c r="I568" s="99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98"/>
      <c r="I569" s="99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98"/>
      <c r="I570" s="99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98"/>
      <c r="I571" s="99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98"/>
      <c r="I572" s="99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98"/>
      <c r="I573" s="99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98"/>
      <c r="I574" s="99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98"/>
      <c r="I575" s="99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98"/>
      <c r="I576" s="99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98"/>
      <c r="I577" s="99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98"/>
      <c r="I578" s="99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98"/>
      <c r="I579" s="99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98"/>
      <c r="I580" s="99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98"/>
      <c r="I581" s="99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98"/>
      <c r="I582" s="99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98"/>
      <c r="I583" s="99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98"/>
      <c r="I584" s="99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98"/>
      <c r="I585" s="99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98"/>
      <c r="I586" s="99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98"/>
      <c r="I587" s="99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98"/>
      <c r="I588" s="99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98"/>
      <c r="I589" s="99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98"/>
      <c r="I590" s="99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98"/>
      <c r="I591" s="99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98"/>
      <c r="I592" s="99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98"/>
      <c r="I593" s="99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98"/>
      <c r="I594" s="99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98"/>
      <c r="I595" s="99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98"/>
      <c r="I596" s="99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98"/>
      <c r="I597" s="99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98"/>
      <c r="I598" s="99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98"/>
      <c r="I599" s="99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98"/>
      <c r="I600" s="99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98"/>
      <c r="I601" s="99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98"/>
      <c r="I602" s="99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98"/>
      <c r="I603" s="99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98"/>
      <c r="I604" s="99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98"/>
      <c r="I605" s="99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98"/>
      <c r="I606" s="99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98"/>
      <c r="I607" s="99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98"/>
      <c r="I608" s="99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98"/>
      <c r="I609" s="99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98"/>
      <c r="I610" s="99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98"/>
      <c r="I611" s="99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98"/>
      <c r="I612" s="99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98"/>
      <c r="I613" s="99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98"/>
      <c r="I614" s="99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98"/>
      <c r="I615" s="99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98"/>
      <c r="I616" s="99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98"/>
      <c r="I617" s="99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98"/>
      <c r="I618" s="99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98"/>
      <c r="I619" s="99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98"/>
      <c r="I620" s="99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98"/>
      <c r="I621" s="99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98"/>
      <c r="I622" s="99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98"/>
      <c r="I623" s="99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98"/>
      <c r="I624" s="99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98"/>
      <c r="I625" s="99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98"/>
      <c r="I626" s="99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98"/>
      <c r="I627" s="99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98"/>
      <c r="I628" s="99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98"/>
      <c r="I629" s="99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98"/>
      <c r="I630" s="99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98"/>
      <c r="I631" s="99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98"/>
      <c r="I632" s="99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98"/>
      <c r="I633" s="99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98"/>
      <c r="I634" s="99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98"/>
      <c r="I635" s="99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98"/>
      <c r="I636" s="99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98"/>
      <c r="I637" s="99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98"/>
      <c r="I638" s="99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98"/>
      <c r="I639" s="99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98"/>
      <c r="I640" s="99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98"/>
      <c r="I641" s="99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98"/>
      <c r="I642" s="99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98"/>
      <c r="I643" s="99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98"/>
      <c r="I644" s="99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98"/>
      <c r="I645" s="99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98"/>
      <c r="I646" s="99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98"/>
      <c r="I647" s="99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98"/>
      <c r="I648" s="99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98"/>
      <c r="I649" s="99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98"/>
      <c r="I650" s="99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98"/>
      <c r="I651" s="99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98"/>
      <c r="I652" s="99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98"/>
      <c r="I653" s="99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98"/>
      <c r="I654" s="99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98"/>
      <c r="I655" s="99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98"/>
      <c r="I656" s="99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98"/>
      <c r="I657" s="99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98"/>
      <c r="I658" s="99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98"/>
      <c r="I659" s="99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98"/>
      <c r="I660" s="99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98"/>
      <c r="I661" s="99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98"/>
      <c r="I662" s="99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98"/>
      <c r="I663" s="99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98"/>
      <c r="I664" s="99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98"/>
      <c r="I665" s="99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98"/>
      <c r="I666" s="99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98"/>
      <c r="I667" s="99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98"/>
      <c r="I668" s="99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98"/>
      <c r="I669" s="99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98"/>
      <c r="I670" s="99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98"/>
      <c r="I671" s="99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98"/>
      <c r="I672" s="99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98"/>
      <c r="I673" s="99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98"/>
      <c r="I674" s="99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98"/>
      <c r="I675" s="99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98"/>
      <c r="I676" s="99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98"/>
      <c r="I677" s="99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98"/>
      <c r="I678" s="99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98"/>
      <c r="I679" s="99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98"/>
      <c r="I680" s="99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98"/>
      <c r="I681" s="99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98"/>
      <c r="I682" s="99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98"/>
      <c r="I683" s="99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98"/>
      <c r="I684" s="99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98"/>
      <c r="I685" s="99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98"/>
      <c r="I686" s="99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98"/>
      <c r="I687" s="99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98"/>
      <c r="I688" s="99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98"/>
      <c r="I689" s="99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98"/>
      <c r="I690" s="99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98"/>
      <c r="I691" s="99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98"/>
      <c r="I692" s="99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98"/>
      <c r="I693" s="99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98"/>
      <c r="I694" s="99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98"/>
      <c r="I695" s="99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98"/>
      <c r="I696" s="99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98"/>
      <c r="I697" s="99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98"/>
      <c r="I698" s="99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98"/>
      <c r="I699" s="99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98"/>
      <c r="I700" s="99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98"/>
      <c r="I701" s="99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98"/>
      <c r="I702" s="99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98"/>
      <c r="I703" s="99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98"/>
      <c r="I704" s="99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98"/>
      <c r="I705" s="99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98"/>
      <c r="I706" s="99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98"/>
      <c r="I707" s="99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98"/>
      <c r="I708" s="99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98"/>
      <c r="I709" s="99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98"/>
      <c r="I710" s="99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98"/>
      <c r="I711" s="99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98"/>
      <c r="I712" s="99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98"/>
      <c r="I713" s="99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98"/>
      <c r="I714" s="99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98"/>
      <c r="I715" s="99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98"/>
      <c r="I716" s="99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98"/>
      <c r="I717" s="99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98"/>
      <c r="I718" s="99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98"/>
      <c r="I719" s="99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98"/>
      <c r="I720" s="99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98"/>
      <c r="I721" s="99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98"/>
      <c r="I722" s="99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98"/>
      <c r="I723" s="99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98"/>
      <c r="I724" s="99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98"/>
      <c r="I725" s="99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98"/>
      <c r="I726" s="99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98"/>
      <c r="I727" s="99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98"/>
      <c r="I728" s="99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98"/>
      <c r="I729" s="99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98"/>
      <c r="I730" s="99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98"/>
      <c r="I731" s="99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98"/>
      <c r="I732" s="99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98"/>
      <c r="I733" s="99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98"/>
      <c r="I734" s="99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98"/>
      <c r="I735" s="99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98"/>
      <c r="I736" s="99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98"/>
      <c r="I737" s="99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98"/>
      <c r="I738" s="99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98"/>
      <c r="I739" s="99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98"/>
      <c r="I740" s="99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98"/>
      <c r="I741" s="99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98"/>
      <c r="I742" s="99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98"/>
      <c r="I743" s="99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98"/>
      <c r="I744" s="99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98"/>
      <c r="I745" s="99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98"/>
      <c r="I746" s="99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98"/>
      <c r="I747" s="99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98"/>
      <c r="I748" s="99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98"/>
      <c r="I749" s="99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98"/>
      <c r="I750" s="99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98"/>
      <c r="I751" s="99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98"/>
      <c r="I752" s="99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98"/>
      <c r="I753" s="99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98"/>
      <c r="I754" s="99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98"/>
      <c r="I755" s="99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98"/>
      <c r="I756" s="99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98"/>
      <c r="I757" s="99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98"/>
      <c r="I758" s="99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98"/>
      <c r="I759" s="99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98"/>
      <c r="I760" s="99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98"/>
      <c r="I761" s="99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98"/>
      <c r="I762" s="99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98"/>
      <c r="I763" s="99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98"/>
      <c r="I764" s="99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98"/>
      <c r="I765" s="99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98"/>
      <c r="I766" s="99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98"/>
      <c r="I767" s="99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98"/>
      <c r="I768" s="99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98"/>
      <c r="I769" s="99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98"/>
      <c r="I770" s="99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98"/>
      <c r="I771" s="99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98"/>
      <c r="I772" s="99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98"/>
      <c r="I773" s="99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98"/>
      <c r="I774" s="99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98"/>
      <c r="I775" s="99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98"/>
      <c r="I776" s="99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98"/>
      <c r="I777" s="99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98"/>
      <c r="I778" s="99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98"/>
      <c r="I779" s="99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98"/>
      <c r="I780" s="99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98"/>
      <c r="I781" s="99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98"/>
      <c r="I782" s="99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98"/>
      <c r="I783" s="99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98"/>
      <c r="I784" s="99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98"/>
      <c r="I785" s="99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98"/>
      <c r="I786" s="99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98"/>
      <c r="I787" s="99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98"/>
      <c r="I788" s="99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98"/>
      <c r="I789" s="99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98"/>
      <c r="I790" s="99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98"/>
      <c r="I791" s="99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98"/>
      <c r="I792" s="99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98"/>
      <c r="I793" s="99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98"/>
      <c r="I794" s="99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98"/>
      <c r="I795" s="99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98"/>
      <c r="I796" s="99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98"/>
      <c r="I797" s="99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98"/>
      <c r="I798" s="99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98"/>
      <c r="I799" s="99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98"/>
      <c r="I800" s="99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98"/>
      <c r="I801" s="99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98"/>
      <c r="I802" s="99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98"/>
      <c r="I803" s="99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98"/>
      <c r="I804" s="99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98"/>
      <c r="I805" s="99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98"/>
      <c r="I806" s="99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98"/>
      <c r="I807" s="99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98"/>
      <c r="I808" s="99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98"/>
      <c r="I809" s="99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98"/>
      <c r="I810" s="99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98"/>
      <c r="I811" s="99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98"/>
      <c r="I812" s="99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98"/>
      <c r="I813" s="99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98"/>
      <c r="I814" s="99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98"/>
      <c r="I815" s="99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98"/>
      <c r="I816" s="99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98"/>
      <c r="I817" s="99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98"/>
      <c r="I818" s="99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98"/>
      <c r="I819" s="99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98"/>
      <c r="I820" s="99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98"/>
      <c r="I821" s="99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98"/>
      <c r="I822" s="99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98"/>
      <c r="I823" s="99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98"/>
      <c r="I824" s="99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98"/>
      <c r="I825" s="99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98"/>
      <c r="I826" s="99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98"/>
      <c r="I827" s="99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98"/>
      <c r="I828" s="99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98"/>
      <c r="I829" s="99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98"/>
      <c r="I830" s="99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98"/>
      <c r="I831" s="99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98"/>
      <c r="I832" s="99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98"/>
      <c r="I833" s="99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98"/>
      <c r="I834" s="99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98"/>
      <c r="I835" s="99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98"/>
      <c r="I836" s="99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98"/>
      <c r="I837" s="99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98"/>
      <c r="I838" s="99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98"/>
      <c r="I839" s="99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98"/>
      <c r="I840" s="99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98"/>
      <c r="I841" s="99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98"/>
      <c r="I842" s="99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98"/>
      <c r="I843" s="99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98"/>
      <c r="I844" s="99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98"/>
      <c r="I845" s="99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98"/>
      <c r="I846" s="99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98"/>
      <c r="I847" s="99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98"/>
      <c r="I848" s="99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98"/>
      <c r="I849" s="99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98"/>
      <c r="I850" s="99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98"/>
      <c r="I851" s="99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98"/>
      <c r="I852" s="99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98"/>
      <c r="I853" s="99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98"/>
      <c r="I854" s="99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98"/>
      <c r="I855" s="99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98"/>
      <c r="I856" s="99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98"/>
      <c r="I857" s="99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98"/>
      <c r="I858" s="99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98"/>
      <c r="I859" s="99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98"/>
      <c r="I860" s="99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98"/>
      <c r="I861" s="99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98"/>
      <c r="I862" s="99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98"/>
      <c r="I863" s="99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98"/>
      <c r="I864" s="99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98"/>
      <c r="I865" s="99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98"/>
      <c r="I866" s="99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98"/>
      <c r="I867" s="99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98"/>
      <c r="I868" s="99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98"/>
      <c r="I869" s="99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98"/>
      <c r="I870" s="99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98"/>
      <c r="I871" s="99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98"/>
      <c r="I872" s="99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98"/>
      <c r="I873" s="99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98"/>
      <c r="I874" s="99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98"/>
      <c r="I875" s="99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98"/>
      <c r="I876" s="99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98"/>
      <c r="I877" s="99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98"/>
      <c r="I878" s="99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98"/>
      <c r="I879" s="99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98"/>
      <c r="I880" s="99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98"/>
      <c r="I881" s="99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98"/>
      <c r="I882" s="99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98"/>
      <c r="I883" s="99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98"/>
      <c r="I884" s="99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98"/>
      <c r="I885" s="99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98"/>
      <c r="I886" s="99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98"/>
      <c r="I887" s="99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98"/>
      <c r="I888" s="99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98"/>
      <c r="I889" s="99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98"/>
      <c r="I890" s="99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98"/>
      <c r="I891" s="99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98"/>
      <c r="I892" s="99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98"/>
      <c r="I893" s="99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98"/>
      <c r="I894" s="99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98"/>
      <c r="I895" s="99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98"/>
      <c r="I896" s="99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98"/>
      <c r="I897" s="99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98"/>
      <c r="I898" s="99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98"/>
      <c r="I899" s="99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98"/>
      <c r="I900" s="99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98"/>
      <c r="I901" s="99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98"/>
      <c r="I902" s="99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98"/>
      <c r="I903" s="99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98"/>
      <c r="I904" s="99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98"/>
      <c r="I905" s="99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98"/>
      <c r="I906" s="99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98"/>
      <c r="I907" s="99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98"/>
      <c r="I908" s="99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98"/>
      <c r="I909" s="99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98"/>
      <c r="I910" s="99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98"/>
      <c r="I911" s="99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98"/>
      <c r="I912" s="99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98"/>
      <c r="I913" s="99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98"/>
      <c r="I914" s="99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98"/>
      <c r="I915" s="99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98"/>
      <c r="I916" s="99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98"/>
      <c r="I917" s="99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98"/>
      <c r="I918" s="99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98"/>
      <c r="I919" s="99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98"/>
      <c r="I920" s="99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98"/>
      <c r="I921" s="99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98"/>
      <c r="I922" s="99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98"/>
      <c r="I923" s="99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98"/>
      <c r="I924" s="99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98"/>
      <c r="I925" s="99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98"/>
      <c r="I926" s="99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98"/>
      <c r="I927" s="99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98"/>
      <c r="I928" s="99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98"/>
      <c r="I929" s="99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98"/>
      <c r="I930" s="99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98"/>
      <c r="I931" s="99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98"/>
      <c r="I932" s="99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98"/>
      <c r="I933" s="99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98"/>
      <c r="I934" s="99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98"/>
      <c r="I935" s="99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98"/>
      <c r="I936" s="99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98"/>
      <c r="I937" s="99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98"/>
      <c r="I938" s="99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98"/>
      <c r="I939" s="99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98"/>
      <c r="I940" s="99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98"/>
      <c r="I941" s="99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98"/>
      <c r="I942" s="99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98"/>
      <c r="I943" s="99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98"/>
      <c r="I944" s="99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98"/>
      <c r="I945" s="99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98"/>
      <c r="I946" s="99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98"/>
      <c r="I947" s="99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98"/>
      <c r="I948" s="99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98"/>
      <c r="I949" s="99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98"/>
      <c r="I950" s="99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98"/>
      <c r="I951" s="99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98"/>
      <c r="I952" s="99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98"/>
      <c r="I953" s="99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98"/>
      <c r="I954" s="99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98"/>
      <c r="I955" s="99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98"/>
      <c r="I956" s="99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98"/>
      <c r="I957" s="99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98"/>
      <c r="I958" s="99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98"/>
      <c r="I959" s="99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98"/>
      <c r="I960" s="99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98"/>
      <c r="I961" s="99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98"/>
      <c r="I962" s="99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98"/>
      <c r="I963" s="99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98"/>
      <c r="I964" s="99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98"/>
      <c r="I965" s="99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98"/>
      <c r="I966" s="99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98"/>
      <c r="I967" s="99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98"/>
      <c r="I968" s="99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98"/>
      <c r="I969" s="99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98"/>
      <c r="I970" s="99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98"/>
      <c r="I971" s="99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98"/>
      <c r="I972" s="99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98"/>
      <c r="I973" s="99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98"/>
      <c r="I974" s="99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98"/>
      <c r="I975" s="99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98"/>
      <c r="I976" s="99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98"/>
      <c r="I977" s="99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98"/>
      <c r="I978" s="99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98"/>
      <c r="I979" s="99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98"/>
      <c r="I980" s="99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98"/>
      <c r="I981" s="99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98"/>
      <c r="I982" s="99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98"/>
      <c r="I983" s="99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98"/>
      <c r="I984" s="99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98"/>
      <c r="I985" s="99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98"/>
      <c r="I986" s="99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98"/>
      <c r="I987" s="99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98"/>
      <c r="I988" s="99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98"/>
      <c r="I989" s="99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98"/>
      <c r="I990" s="99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98"/>
      <c r="I991" s="99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98"/>
      <c r="I992" s="99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98"/>
      <c r="I993" s="99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98"/>
      <c r="I994" s="99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98"/>
      <c r="I995" s="99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98"/>
      <c r="I996" s="99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98"/>
      <c r="I997" s="99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98"/>
      <c r="I998" s="99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98"/>
      <c r="I999" s="99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98"/>
      <c r="I1000" s="99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</row>
  </sheetData>
  <customSheetViews>
    <customSheetView guid="{0C34A7A3-FEE5-4C79-A05E-4DD713C881E8}" filter="1" showAutoFilter="1">
      <autoFilter ref="$A$2:$J$17"/>
    </customSheetView>
  </customSheetViews>
  <mergeCells count="1">
    <mergeCell ref="A1:J1"/>
  </mergeCells>
  <printOptions/>
  <pageMargins bottom="0.748031496062992" footer="0.0" header="0.0" left="0.708661417322835" right="0.708661417322835" top="0.748031496062992"/>
  <pageSetup scale="89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97A"/>
    <pageSetUpPr/>
  </sheetPr>
  <sheetViews>
    <sheetView showGridLines="0" workbookViewId="0"/>
  </sheetViews>
  <sheetFormatPr customHeight="1" defaultColWidth="14.43" defaultRowHeight="15.0"/>
  <cols>
    <col customWidth="1" min="1" max="1" width="8.43"/>
    <col customWidth="1" min="2" max="2" width="16.0"/>
    <col customWidth="1" min="3" max="3" width="23.71"/>
    <col customWidth="1" min="4" max="5" width="8.71"/>
    <col customWidth="1" min="6" max="6" width="8.0"/>
    <col customWidth="1" min="7" max="7" width="8.71"/>
    <col customWidth="1" min="8" max="8" width="12.29"/>
    <col customWidth="1" min="9" max="9" width="11.86"/>
    <col customWidth="1" min="10" max="10" width="13.0"/>
    <col customWidth="1" min="11" max="11" width="18.57"/>
    <col customWidth="1" min="12" max="12" width="37.86"/>
    <col customWidth="1" min="13" max="13" width="13.57"/>
    <col customWidth="1" min="14" max="14" width="18.71"/>
    <col customWidth="1" min="15" max="15" width="11.57"/>
    <col customWidth="1" min="16" max="16" width="12.86"/>
    <col customWidth="1" min="17" max="26" width="8.71"/>
  </cols>
  <sheetData>
    <row r="1" ht="15.75" customHeight="1">
      <c r="A1" s="123"/>
      <c r="B1" s="123"/>
      <c r="C1" s="10"/>
      <c r="D1" s="124"/>
      <c r="E1" s="125"/>
      <c r="F1" s="125"/>
      <c r="G1" s="125"/>
      <c r="H1" s="126"/>
      <c r="I1" s="127"/>
      <c r="J1" s="128"/>
      <c r="K1" s="129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5.75" customHeight="1">
      <c r="A2" s="123"/>
      <c r="B2" s="123"/>
      <c r="C2" s="10"/>
      <c r="D2" s="124"/>
      <c r="E2" s="125"/>
      <c r="F2" s="125"/>
      <c r="G2" s="125"/>
      <c r="H2" s="126"/>
      <c r="I2" s="127"/>
      <c r="J2" s="128"/>
      <c r="K2" s="129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15.75" customHeight="1">
      <c r="A3" s="123"/>
      <c r="B3" s="123"/>
      <c r="C3" s="10"/>
      <c r="D3" s="124"/>
      <c r="E3" s="125"/>
      <c r="F3" s="125"/>
      <c r="G3" s="125"/>
      <c r="H3" s="126"/>
      <c r="I3" s="127"/>
      <c r="J3" s="128"/>
      <c r="K3" s="129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15.75" customHeight="1">
      <c r="A4" s="123"/>
      <c r="B4" s="123"/>
      <c r="C4" s="10"/>
      <c r="D4" s="124"/>
      <c r="E4" s="125"/>
      <c r="F4" s="125"/>
      <c r="G4" s="125"/>
      <c r="H4" s="126"/>
      <c r="I4" s="127"/>
      <c r="J4" s="128"/>
      <c r="K4" s="129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15.75" customHeight="1">
      <c r="A5" s="123"/>
      <c r="B5" s="123"/>
      <c r="C5" s="10"/>
      <c r="D5" s="124"/>
      <c r="E5" s="125"/>
      <c r="F5" s="125"/>
      <c r="G5" s="125"/>
      <c r="H5" s="126"/>
      <c r="I5" s="127"/>
      <c r="J5" s="128"/>
      <c r="K5" s="129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5.75" customHeight="1">
      <c r="A6" s="123"/>
      <c r="B6" s="123"/>
      <c r="C6" s="10"/>
      <c r="D6" s="124"/>
      <c r="E6" s="125"/>
      <c r="F6" s="125"/>
      <c r="G6" s="125"/>
      <c r="H6" s="126"/>
      <c r="I6" s="127"/>
      <c r="J6" s="128"/>
      <c r="K6" s="129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5.75" customHeight="1">
      <c r="A7" s="123"/>
      <c r="B7" s="123"/>
      <c r="C7" s="10"/>
      <c r="D7" s="124"/>
      <c r="E7" s="125"/>
      <c r="F7" s="125"/>
      <c r="G7" s="125"/>
      <c r="H7" s="130"/>
      <c r="I7" s="130"/>
      <c r="J7" s="130"/>
      <c r="K7" s="131"/>
      <c r="L7" s="132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5.75" customHeight="1">
      <c r="A8" s="133" t="s">
        <v>196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5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35.25" customHeight="1">
      <c r="A9" s="136"/>
      <c r="B9" s="136"/>
      <c r="C9" s="136"/>
      <c r="D9" s="136"/>
      <c r="E9" s="136"/>
      <c r="F9" s="136"/>
      <c r="G9" s="136"/>
      <c r="H9" s="130"/>
      <c r="I9" s="130"/>
      <c r="J9" s="130"/>
      <c r="K9" s="131">
        <f>+SUBTOTAL(9,$K$11:$K$608)</f>
        <v>127778</v>
      </c>
      <c r="L9" s="137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ht="60.0" customHeight="1">
      <c r="A10" s="139" t="s">
        <v>3</v>
      </c>
      <c r="B10" s="140" t="s">
        <v>197</v>
      </c>
      <c r="C10" s="140" t="s">
        <v>48</v>
      </c>
      <c r="D10" s="141" t="s">
        <v>199</v>
      </c>
      <c r="E10" s="142" t="s">
        <v>200</v>
      </c>
      <c r="F10" s="142" t="s">
        <v>201</v>
      </c>
      <c r="G10" s="142" t="s">
        <v>32</v>
      </c>
      <c r="H10" s="143" t="s">
        <v>202</v>
      </c>
      <c r="I10" s="144" t="s">
        <v>71</v>
      </c>
      <c r="J10" s="144" t="s">
        <v>72</v>
      </c>
      <c r="K10" s="145" t="s">
        <v>203</v>
      </c>
      <c r="L10" s="146" t="s">
        <v>59</v>
      </c>
      <c r="M10" s="10"/>
      <c r="N10" s="10"/>
      <c r="O10" s="138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3.25" customHeight="1">
      <c r="A11" s="147">
        <f t="shared" ref="A11:A612" si="1">+SUBTOTAL(3,$B$11:B11)</f>
        <v>1</v>
      </c>
      <c r="B11" s="148" t="s">
        <v>36</v>
      </c>
      <c r="C11" s="149" t="s">
        <v>205</v>
      </c>
      <c r="D11" s="150">
        <v>210.0</v>
      </c>
      <c r="E11" s="151">
        <v>65.0</v>
      </c>
      <c r="F11" s="151"/>
      <c r="G11" s="151" t="s">
        <v>206</v>
      </c>
      <c r="H11" s="152">
        <v>0.0</v>
      </c>
      <c r="I11" s="153">
        <f>+SUMIF('NHẬP LIỆU'!$E:$E,NVL!$B11,'NHẬP LIỆU'!$K:$K)</f>
        <v>315</v>
      </c>
      <c r="J11" s="153">
        <f>+SUMIF('NHẬP LIỆU'!$E:$E,NVL!$B11,'NHẬP LIỆU'!$L:$L)</f>
        <v>315</v>
      </c>
      <c r="K11" s="154">
        <f>+NVL!$H11+NVL!$I11-NVL!$J11</f>
        <v>0</v>
      </c>
      <c r="L11" s="155"/>
      <c r="M11" s="123"/>
      <c r="N11" s="123"/>
      <c r="O11" s="10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23.25" customHeight="1">
      <c r="A12" s="147">
        <f t="shared" si="1"/>
        <v>2</v>
      </c>
      <c r="B12" s="148" t="s">
        <v>207</v>
      </c>
      <c r="C12" s="149" t="s">
        <v>205</v>
      </c>
      <c r="D12" s="150">
        <v>210.0</v>
      </c>
      <c r="E12" s="151">
        <v>70.0</v>
      </c>
      <c r="F12" s="151"/>
      <c r="G12" s="151" t="s">
        <v>206</v>
      </c>
      <c r="H12" s="152">
        <v>0.0</v>
      </c>
      <c r="I12" s="153">
        <f>+SUMIF('NHẬP LIỆU'!$E:$E,NVL!$B12,'NHẬP LIỆU'!$K:$K)</f>
        <v>3834</v>
      </c>
      <c r="J12" s="156">
        <f>+SUMIF('NHẬP LIỆU'!$E:$E,NVL!$B12,'NHẬP LIỆU'!$L:$L)</f>
        <v>3834</v>
      </c>
      <c r="K12" s="154">
        <f>+NVL!$H12+NVL!$I12-NVL!$J12</f>
        <v>0</v>
      </c>
      <c r="L12" s="155"/>
      <c r="M12" s="123"/>
      <c r="N12" s="123"/>
      <c r="O12" s="10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23.25" customHeight="1">
      <c r="A13" s="147">
        <f t="shared" si="1"/>
        <v>3</v>
      </c>
      <c r="B13" s="148" t="s">
        <v>154</v>
      </c>
      <c r="C13" s="149" t="s">
        <v>205</v>
      </c>
      <c r="D13" s="150">
        <v>210.0</v>
      </c>
      <c r="E13" s="151">
        <v>79.0</v>
      </c>
      <c r="F13" s="151"/>
      <c r="G13" s="151" t="s">
        <v>206</v>
      </c>
      <c r="H13" s="152">
        <v>0.0</v>
      </c>
      <c r="I13" s="153">
        <f>+SUMIF('NHẬP LIỆU'!$E:$E,NVL!$B13,'NHẬP LIỆU'!$K:$K)</f>
        <v>20166</v>
      </c>
      <c r="J13" s="157">
        <f>+SUMIF('NHẬP LIỆU'!$E:$E,NVL!$B13,'NHẬP LIỆU'!$L:$L)</f>
        <v>20166</v>
      </c>
      <c r="K13" s="154">
        <f>+NVL!$H13+NVL!$I13-NVL!$J13</f>
        <v>0</v>
      </c>
      <c r="L13" s="155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23.25" customHeight="1">
      <c r="A14" s="147">
        <f t="shared" si="1"/>
        <v>4</v>
      </c>
      <c r="B14" s="148" t="s">
        <v>60</v>
      </c>
      <c r="C14" s="149" t="s">
        <v>205</v>
      </c>
      <c r="D14" s="150">
        <v>210.0</v>
      </c>
      <c r="E14" s="151">
        <v>86.0</v>
      </c>
      <c r="F14" s="151"/>
      <c r="G14" s="151" t="s">
        <v>206</v>
      </c>
      <c r="H14" s="152">
        <v>0.0</v>
      </c>
      <c r="I14" s="153">
        <f>+SUMIF('NHẬP LIỆU'!$E:$E,NVL!$B14,'NHẬP LIỆU'!$K:$K)</f>
        <v>11453</v>
      </c>
      <c r="J14" s="157">
        <f>+SUMIF('NHẬP LIỆU'!$E:$E,NVL!$B14,'NHẬP LIỆU'!$L:$L)</f>
        <v>11453</v>
      </c>
      <c r="K14" s="154">
        <f>+NVL!$H14+NVL!$I14-NVL!$J14</f>
        <v>0</v>
      </c>
      <c r="L14" s="155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23.25" customHeight="1">
      <c r="A15" s="147">
        <f t="shared" si="1"/>
        <v>5</v>
      </c>
      <c r="B15" s="148" t="s">
        <v>209</v>
      </c>
      <c r="C15" s="149" t="s">
        <v>205</v>
      </c>
      <c r="D15" s="150">
        <v>210.0</v>
      </c>
      <c r="E15" s="151">
        <v>106.0</v>
      </c>
      <c r="F15" s="151"/>
      <c r="G15" s="151" t="s">
        <v>206</v>
      </c>
      <c r="H15" s="152"/>
      <c r="I15" s="153">
        <f>+SUMIF('NHẬP LIỆU'!$E:$E,NVL!$B15,'NHẬP LIỆU'!$K:$K)</f>
        <v>20328</v>
      </c>
      <c r="J15" s="157">
        <f>+SUMIF('NHẬP LIỆU'!$E:$E,NVL!$B15,'NHẬP LIỆU'!$L:$L)</f>
        <v>10648</v>
      </c>
      <c r="K15" s="154">
        <f>+NVL!$H15+NVL!$I15-NVL!$J15</f>
        <v>9680</v>
      </c>
      <c r="L15" s="155" t="s">
        <v>212</v>
      </c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23.25" customHeight="1">
      <c r="A16" s="158">
        <f t="shared" si="1"/>
        <v>6</v>
      </c>
      <c r="B16" s="159" t="s">
        <v>213</v>
      </c>
      <c r="C16" s="160" t="s">
        <v>205</v>
      </c>
      <c r="D16" s="161">
        <v>210.0</v>
      </c>
      <c r="E16" s="162">
        <v>108.0</v>
      </c>
      <c r="F16" s="162"/>
      <c r="G16" s="162" t="s">
        <v>206</v>
      </c>
      <c r="H16" s="162">
        <v>0.0</v>
      </c>
      <c r="I16" s="163">
        <f>+SUMIF('NHẬP LIỆU'!$E:$E,NVL!$B16,'NHẬP LIỆU'!$K:$K)</f>
        <v>277347</v>
      </c>
      <c r="J16" s="163">
        <f>+SUMIF('NHẬP LIỆU'!$E:$E,NVL!$B16,'NHẬP LIỆU'!$L:$L)</f>
        <v>220388</v>
      </c>
      <c r="K16" s="164">
        <f>+NVL!$H16+NVL!$I16-NVL!$J16</f>
        <v>56959</v>
      </c>
      <c r="L16" s="165" t="s">
        <v>214</v>
      </c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23.25" customHeight="1">
      <c r="A17" s="147">
        <f t="shared" si="1"/>
        <v>7</v>
      </c>
      <c r="B17" s="148" t="s">
        <v>47</v>
      </c>
      <c r="C17" s="149" t="s">
        <v>205</v>
      </c>
      <c r="D17" s="150">
        <v>210.0</v>
      </c>
      <c r="E17" s="151">
        <v>109.0</v>
      </c>
      <c r="F17" s="151"/>
      <c r="G17" s="151" t="s">
        <v>206</v>
      </c>
      <c r="H17" s="152">
        <v>0.0</v>
      </c>
      <c r="I17" s="153">
        <f>+SUMIF('NHẬP LIỆU'!$E:$E,NVL!$B17,'NHẬP LIỆU'!$K:$K)</f>
        <v>206218</v>
      </c>
      <c r="J17" s="153">
        <f>+SUMIF('NHẬP LIỆU'!$E:$E,NVL!$B17,'NHẬP LIỆU'!$L:$L)</f>
        <v>206218</v>
      </c>
      <c r="K17" s="154">
        <f>+NVL!$H17+NVL!$I17-NVL!$J17</f>
        <v>0</v>
      </c>
      <c r="L17" s="155"/>
      <c r="M17" s="123"/>
      <c r="N17" s="166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23.25" customHeight="1">
      <c r="A18" s="147">
        <f t="shared" si="1"/>
        <v>8</v>
      </c>
      <c r="B18" s="148" t="s">
        <v>134</v>
      </c>
      <c r="C18" s="167" t="s">
        <v>205</v>
      </c>
      <c r="D18" s="150">
        <v>230.0</v>
      </c>
      <c r="E18" s="151">
        <v>65.0</v>
      </c>
      <c r="F18" s="151"/>
      <c r="G18" s="151" t="s">
        <v>206</v>
      </c>
      <c r="H18" s="152">
        <v>0.0</v>
      </c>
      <c r="I18" s="153">
        <f>+SUMIF('NHẬP LIỆU'!$E:$E,NVL!$B18,'NHẬP LIỆU'!$K:$K)</f>
        <v>30</v>
      </c>
      <c r="J18" s="157">
        <f>+SUMIF('NHẬP LIỆU'!$E:$E,NVL!$B18,'NHẬP LIỆU'!$L:$L)</f>
        <v>30</v>
      </c>
      <c r="K18" s="154">
        <f>+NVL!$H18+NVL!$I18-NVL!$J18</f>
        <v>0</v>
      </c>
      <c r="L18" s="155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23.25" customHeight="1">
      <c r="A19" s="147">
        <f t="shared" si="1"/>
        <v>9</v>
      </c>
      <c r="B19" s="148" t="s">
        <v>67</v>
      </c>
      <c r="C19" s="167" t="s">
        <v>205</v>
      </c>
      <c r="D19" s="150">
        <v>230.0</v>
      </c>
      <c r="E19" s="151">
        <v>79.0</v>
      </c>
      <c r="F19" s="151"/>
      <c r="G19" s="151" t="s">
        <v>206</v>
      </c>
      <c r="H19" s="152">
        <v>0.0</v>
      </c>
      <c r="I19" s="153">
        <f>+SUMIF('NHẬP LIỆU'!$E:$E,NVL!$B19,'NHẬP LIỆU'!$K:$K)</f>
        <v>684</v>
      </c>
      <c r="J19" s="157">
        <f>+SUMIF('NHẬP LIỆU'!$E:$E,NVL!$B19,'NHẬP LIỆU'!$L:$L)</f>
        <v>75</v>
      </c>
      <c r="K19" s="154">
        <f>+NVL!$H19+NVL!$I19-NVL!$J19</f>
        <v>609</v>
      </c>
      <c r="L19" s="155" t="s">
        <v>218</v>
      </c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23.25" customHeight="1">
      <c r="A20" s="147">
        <f t="shared" si="1"/>
        <v>10</v>
      </c>
      <c r="B20" s="148" t="s">
        <v>219</v>
      </c>
      <c r="C20" s="167" t="s">
        <v>205</v>
      </c>
      <c r="D20" s="150">
        <v>230.0</v>
      </c>
      <c r="E20" s="151">
        <v>106.0</v>
      </c>
      <c r="F20" s="151"/>
      <c r="G20" s="151" t="s">
        <v>206</v>
      </c>
      <c r="H20" s="152">
        <v>0.0</v>
      </c>
      <c r="I20" s="153">
        <f>+SUMIF('NHẬP LIỆU'!$E:$E,NVL!$B20,'NHẬP LIỆU'!$K:$K)</f>
        <v>35187</v>
      </c>
      <c r="J20" s="157">
        <f>+SUMIF('NHẬP LIỆU'!$E:$E,NVL!$B20,'NHẬP LIỆU'!$L:$L)</f>
        <v>17369</v>
      </c>
      <c r="K20" s="154">
        <f>+NVL!$H20+NVL!$I20-NVL!$J20</f>
        <v>17818</v>
      </c>
      <c r="L20" s="155" t="s">
        <v>222</v>
      </c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23.25" customHeight="1">
      <c r="A21" s="158">
        <f t="shared" si="1"/>
        <v>11</v>
      </c>
      <c r="B21" s="159" t="s">
        <v>223</v>
      </c>
      <c r="C21" s="160" t="s">
        <v>205</v>
      </c>
      <c r="D21" s="161">
        <v>230.0</v>
      </c>
      <c r="E21" s="168">
        <v>108.0</v>
      </c>
      <c r="F21" s="168"/>
      <c r="G21" s="162" t="s">
        <v>206</v>
      </c>
      <c r="H21" s="162">
        <v>0.0</v>
      </c>
      <c r="I21" s="163">
        <f>+SUMIF('NHẬP LIỆU'!$E:$E,NVL!$B21,'NHẬP LIỆU'!$K:$K)</f>
        <v>86241</v>
      </c>
      <c r="J21" s="163">
        <f>+SUMIF('NHẬP LIỆU'!$E:$E,NVL!$B21,'NHẬP LIỆU'!$L:$L)</f>
        <v>58859</v>
      </c>
      <c r="K21" s="164">
        <f>+NVL!$H21+NVL!$I21-NVL!$J21</f>
        <v>27382</v>
      </c>
      <c r="L21" s="165" t="s">
        <v>224</v>
      </c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23.25" customHeight="1">
      <c r="A22" s="158">
        <f t="shared" si="1"/>
        <v>12</v>
      </c>
      <c r="B22" s="159" t="s">
        <v>189</v>
      </c>
      <c r="C22" s="160" t="s">
        <v>205</v>
      </c>
      <c r="D22" s="161">
        <v>230.0</v>
      </c>
      <c r="E22" s="168">
        <v>109.0</v>
      </c>
      <c r="F22" s="168"/>
      <c r="G22" s="162" t="s">
        <v>206</v>
      </c>
      <c r="H22" s="162">
        <v>0.0</v>
      </c>
      <c r="I22" s="163">
        <f>+SUMIF('NHẬP LIỆU'!$E:$E,NVL!$B22,'NHẬP LIỆU'!$K:$K)</f>
        <v>92705</v>
      </c>
      <c r="J22" s="163">
        <f>+SUMIF('NHẬP LIỆU'!$E:$E,NVL!$B22,'NHẬP LIỆU'!$L:$L)</f>
        <v>87985</v>
      </c>
      <c r="K22" s="164">
        <f>+NVL!$H22+NVL!$I22-NVL!$J22</f>
        <v>4720</v>
      </c>
      <c r="L22" s="165" t="s">
        <v>225</v>
      </c>
      <c r="M22" s="123"/>
      <c r="N22" s="123"/>
      <c r="O22" s="16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23.25" customHeight="1">
      <c r="A23" s="147">
        <f t="shared" si="1"/>
        <v>13</v>
      </c>
      <c r="B23" s="148" t="s">
        <v>92</v>
      </c>
      <c r="C23" s="167" t="s">
        <v>205</v>
      </c>
      <c r="D23" s="150">
        <v>250.0</v>
      </c>
      <c r="E23" s="151">
        <v>65.0</v>
      </c>
      <c r="F23" s="151"/>
      <c r="G23" s="151" t="s">
        <v>206</v>
      </c>
      <c r="H23" s="152">
        <v>0.0</v>
      </c>
      <c r="I23" s="153">
        <f>+SUMIF('NHẬP LIỆU'!$E:$E,NVL!$B23,'NHẬP LIỆU'!$K:$K)</f>
        <v>3620</v>
      </c>
      <c r="J23" s="157">
        <f>+SUMIF('NHẬP LIỆU'!$E:$E,NVL!$B23,'NHẬP LIỆU'!$L:$L)</f>
        <v>3620</v>
      </c>
      <c r="K23" s="154">
        <f>+NVL!$H23+NVL!$I23-NVL!$J23</f>
        <v>0</v>
      </c>
      <c r="L23" s="155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23.25" customHeight="1">
      <c r="A24" s="147">
        <f t="shared" si="1"/>
        <v>14</v>
      </c>
      <c r="B24" s="148" t="s">
        <v>121</v>
      </c>
      <c r="C24" s="167" t="s">
        <v>205</v>
      </c>
      <c r="D24" s="150">
        <v>250.0</v>
      </c>
      <c r="E24" s="151">
        <v>75.0</v>
      </c>
      <c r="F24" s="151"/>
      <c r="G24" s="151" t="s">
        <v>206</v>
      </c>
      <c r="H24" s="152">
        <v>0.0</v>
      </c>
      <c r="I24" s="153">
        <f>+SUMIF('NHẬP LIỆU'!$E:$E,NVL!$B24,'NHẬP LIỆU'!$K:$K)</f>
        <v>3375</v>
      </c>
      <c r="J24" s="157">
        <f>+SUMIF('NHẬP LIỆU'!$E:$E,NVL!$B24,'NHẬP LIỆU'!$L:$L)</f>
        <v>3375</v>
      </c>
      <c r="K24" s="154">
        <f>+NVL!$H24+NVL!$I24-NVL!$J24</f>
        <v>0</v>
      </c>
      <c r="L24" s="155"/>
      <c r="M24" s="123"/>
      <c r="N24" s="166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23.25" customHeight="1">
      <c r="A25" s="147">
        <f t="shared" si="1"/>
        <v>15</v>
      </c>
      <c r="B25" s="148" t="s">
        <v>148</v>
      </c>
      <c r="C25" s="167" t="s">
        <v>205</v>
      </c>
      <c r="D25" s="150">
        <v>250.0</v>
      </c>
      <c r="E25" s="151">
        <v>100.0</v>
      </c>
      <c r="F25" s="151"/>
      <c r="G25" s="151" t="s">
        <v>206</v>
      </c>
      <c r="H25" s="152">
        <v>0.0</v>
      </c>
      <c r="I25" s="153">
        <f>+SUMIF('NHẬP LIỆU'!$E:$E,NVL!$B25,'NHẬP LIỆU'!$K:$K)</f>
        <v>17100</v>
      </c>
      <c r="J25" s="157">
        <f>+SUMIF('NHẬP LIỆU'!$E:$E,NVL!$B25,'NHẬP LIỆU'!$L:$L)</f>
        <v>17100</v>
      </c>
      <c r="K25" s="154">
        <f>+NVL!$H25+NVL!$I25-NVL!$J25</f>
        <v>0</v>
      </c>
      <c r="L25" s="155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23.25" customHeight="1">
      <c r="A26" s="147">
        <f t="shared" si="1"/>
        <v>16</v>
      </c>
      <c r="B26" s="148" t="s">
        <v>143</v>
      </c>
      <c r="C26" s="167" t="s">
        <v>205</v>
      </c>
      <c r="D26" s="150">
        <v>250.0</v>
      </c>
      <c r="E26" s="151">
        <v>102.0</v>
      </c>
      <c r="F26" s="151"/>
      <c r="G26" s="151" t="s">
        <v>206</v>
      </c>
      <c r="H26" s="152">
        <v>0.0</v>
      </c>
      <c r="I26" s="153">
        <f>+SUMIF('NHẬP LIỆU'!$E:$E,NVL!$B26,'NHẬP LIỆU'!$K:$K)</f>
        <v>5508</v>
      </c>
      <c r="J26" s="157">
        <f>+SUMIF('NHẬP LIỆU'!$E:$E,NVL!$B26,'NHẬP LIỆU'!$L:$L)</f>
        <v>5508</v>
      </c>
      <c r="K26" s="154">
        <f>+NVL!$H26+NVL!$I26-NVL!$J26</f>
        <v>0</v>
      </c>
      <c r="L26" s="155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23.25" customHeight="1">
      <c r="A27" s="158">
        <f t="shared" si="1"/>
        <v>17</v>
      </c>
      <c r="B27" s="159" t="s">
        <v>88</v>
      </c>
      <c r="C27" s="160" t="s">
        <v>205</v>
      </c>
      <c r="D27" s="161">
        <v>250.0</v>
      </c>
      <c r="E27" s="162">
        <v>109.0</v>
      </c>
      <c r="F27" s="162"/>
      <c r="G27" s="162" t="s">
        <v>206</v>
      </c>
      <c r="H27" s="162">
        <v>0.0</v>
      </c>
      <c r="I27" s="163">
        <f>+SUMIF('NHẬP LIỆU'!$E:$E,NVL!$B27,'NHẬP LIỆU'!$K:$K)</f>
        <v>259559</v>
      </c>
      <c r="J27" s="163">
        <f>+SUMIF('NHẬP LIỆU'!$E:$E,NVL!$B27,'NHẬP LIỆU'!$L:$L)</f>
        <v>248949</v>
      </c>
      <c r="K27" s="164">
        <f>+NVL!$H27+NVL!$I27-NVL!$J27</f>
        <v>10610</v>
      </c>
      <c r="L27" s="165" t="s">
        <v>228</v>
      </c>
      <c r="M27" s="123"/>
      <c r="N27" s="123"/>
      <c r="O27" s="123"/>
      <c r="P27" s="169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23.25" customHeight="1">
      <c r="A28" s="147">
        <f t="shared" si="1"/>
        <v>18</v>
      </c>
      <c r="B28" s="148" t="s">
        <v>79</v>
      </c>
      <c r="C28" s="167" t="s">
        <v>229</v>
      </c>
      <c r="D28" s="150">
        <v>210.0</v>
      </c>
      <c r="E28" s="151">
        <v>109.0</v>
      </c>
      <c r="F28" s="151"/>
      <c r="G28" s="151" t="s">
        <v>206</v>
      </c>
      <c r="H28" s="152">
        <v>0.0</v>
      </c>
      <c r="I28" s="153">
        <f>+SUMIF('NHẬP LIỆU'!$E:$E,NVL!$B28,'NHẬP LIỆU'!$K:$K)</f>
        <v>10195</v>
      </c>
      <c r="J28" s="157">
        <f>+SUMIF('NHẬP LIỆU'!$E:$E,NVL!$B28,'NHẬP LIỆU'!$L:$L)</f>
        <v>10195</v>
      </c>
      <c r="K28" s="154">
        <f>+NVL!$H28+NVL!$I28-NVL!$J28</f>
        <v>0</v>
      </c>
      <c r="L28" s="170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23.25" customHeight="1">
      <c r="A29" s="147">
        <f t="shared" si="1"/>
        <v>19</v>
      </c>
      <c r="B29" s="148" t="s">
        <v>86</v>
      </c>
      <c r="C29" s="167" t="s">
        <v>229</v>
      </c>
      <c r="D29" s="150">
        <v>230.0</v>
      </c>
      <c r="E29" s="151">
        <v>109.0</v>
      </c>
      <c r="F29" s="151"/>
      <c r="G29" s="151" t="s">
        <v>206</v>
      </c>
      <c r="H29" s="152">
        <v>0.0</v>
      </c>
      <c r="I29" s="153">
        <f>+SUMIF('NHẬP LIỆU'!$E:$E,NVL!$B29,'NHẬP LIỆU'!$K:$K)</f>
        <v>12220</v>
      </c>
      <c r="J29" s="157">
        <f>+SUMIF('NHẬP LIỆU'!$E:$E,NVL!$B29,'NHẬP LIỆU'!$L:$L)</f>
        <v>12220</v>
      </c>
      <c r="K29" s="154">
        <f>+NVL!$H29+NVL!$I29-NVL!$J29</f>
        <v>0</v>
      </c>
      <c r="L29" s="155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23.25" customHeight="1">
      <c r="A30" s="147">
        <f t="shared" si="1"/>
        <v>20</v>
      </c>
      <c r="B30" s="148" t="s">
        <v>87</v>
      </c>
      <c r="C30" s="167" t="s">
        <v>229</v>
      </c>
      <c r="D30" s="150">
        <v>250.0</v>
      </c>
      <c r="E30" s="151">
        <v>84.0</v>
      </c>
      <c r="F30" s="151"/>
      <c r="G30" s="151" t="s">
        <v>206</v>
      </c>
      <c r="H30" s="152">
        <v>0.0</v>
      </c>
      <c r="I30" s="153">
        <f>+SUMIF('NHẬP LIỆU'!$E:$E,NVL!$B30,'NHẬP LIỆU'!$K:$K)</f>
        <v>149</v>
      </c>
      <c r="J30" s="157">
        <f>+SUMIF('NHẬP LIỆU'!$E:$E,NVL!$B30,'NHẬP LIỆU'!$L:$L)</f>
        <v>149</v>
      </c>
      <c r="K30" s="154">
        <f>+NVL!$H30+NVL!$I30-NVL!$J30</f>
        <v>0</v>
      </c>
      <c r="L30" s="155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29.25" customHeight="1">
      <c r="A31" s="147">
        <f t="shared" si="1"/>
        <v>21</v>
      </c>
      <c r="B31" s="148" t="s">
        <v>91</v>
      </c>
      <c r="C31" s="167" t="s">
        <v>229</v>
      </c>
      <c r="D31" s="150">
        <v>250.0</v>
      </c>
      <c r="E31" s="151">
        <v>109.0</v>
      </c>
      <c r="F31" s="151"/>
      <c r="G31" s="151" t="s">
        <v>206</v>
      </c>
      <c r="H31" s="152">
        <v>0.0</v>
      </c>
      <c r="I31" s="153">
        <f>+SUMIF('NHẬP LIỆU'!$E:$E,NVL!$B31,'NHẬP LIỆU'!$K:$K)</f>
        <v>134</v>
      </c>
      <c r="J31" s="157">
        <f>+SUMIF('NHẬP LIỆU'!$E:$E,NVL!$B31,'NHẬP LIỆU'!$L:$L)</f>
        <v>134</v>
      </c>
      <c r="K31" s="154">
        <f>+NVL!$H31+NVL!$I31-NVL!$J31</f>
        <v>0</v>
      </c>
      <c r="L31" s="155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23.25" customHeight="1">
      <c r="A32" s="147">
        <f t="shared" si="1"/>
        <v>21</v>
      </c>
      <c r="B32" s="148"/>
      <c r="C32" s="149"/>
      <c r="D32" s="150"/>
      <c r="E32" s="151"/>
      <c r="F32" s="151"/>
      <c r="G32" s="151"/>
      <c r="H32" s="152">
        <v>0.0</v>
      </c>
      <c r="I32" s="153">
        <f>+SUMIF('NHẬP LIỆU'!$E:$E,NVL!$B32,'NHẬP LIỆU'!$K:$K)</f>
        <v>0</v>
      </c>
      <c r="J32" s="156">
        <f>+SUMIF('NHẬP LIỆU'!$E:$E,NVL!$B32,'NHẬP LIỆU'!$L:$L)</f>
        <v>0</v>
      </c>
      <c r="K32" s="154">
        <f>+NVL!$H32+NVL!$I32-NVL!$J32</f>
        <v>0</v>
      </c>
      <c r="L32" s="172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ht="23.25" customHeight="1">
      <c r="A33" s="147">
        <f t="shared" si="1"/>
        <v>21</v>
      </c>
      <c r="B33" s="148"/>
      <c r="C33" s="149"/>
      <c r="D33" s="150"/>
      <c r="E33" s="151"/>
      <c r="F33" s="151"/>
      <c r="G33" s="151"/>
      <c r="H33" s="152"/>
      <c r="I33" s="153">
        <f>+SUMIF('NHẬP LIỆU'!$E:$E,NVL!$B33,'NHẬP LIỆU'!$K:$K)</f>
        <v>0</v>
      </c>
      <c r="J33" s="156">
        <f>+SUMIF('NHẬP LIỆU'!$E:$E,NVL!$B33,'NHẬP LIỆU'!$L:$L)</f>
        <v>0</v>
      </c>
      <c r="K33" s="154">
        <f>+NVL!$H33+NVL!$I33-NVL!$J33</f>
        <v>0</v>
      </c>
      <c r="L33" s="155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ht="23.25" customHeight="1">
      <c r="A34" s="147">
        <f t="shared" si="1"/>
        <v>21</v>
      </c>
      <c r="B34" s="148"/>
      <c r="C34" s="149"/>
      <c r="D34" s="150"/>
      <c r="E34" s="151"/>
      <c r="F34" s="151"/>
      <c r="G34" s="151"/>
      <c r="H34" s="152"/>
      <c r="I34" s="153">
        <f>+SUMIF('NHẬP LIỆU'!$E:$E,NVL!$B34,'NHẬP LIỆU'!$K:$K)</f>
        <v>0</v>
      </c>
      <c r="J34" s="156">
        <f>+SUMIF('NHẬP LIỆU'!$E:$E,NVL!$B34,'NHẬP LIỆU'!$L:$L)</f>
        <v>0</v>
      </c>
      <c r="K34" s="154">
        <f>+NVL!$H34+NVL!$I34-NVL!$J34</f>
        <v>0</v>
      </c>
      <c r="L34" s="155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ht="23.25" customHeight="1">
      <c r="A35" s="147">
        <f t="shared" si="1"/>
        <v>21</v>
      </c>
      <c r="B35" s="148"/>
      <c r="C35" s="149"/>
      <c r="D35" s="150"/>
      <c r="E35" s="151"/>
      <c r="F35" s="151"/>
      <c r="G35" s="151"/>
      <c r="H35" s="152"/>
      <c r="I35" s="153">
        <f>+SUMIF('NHẬP LIỆU'!$E:$E,NVL!$B35,'NHẬP LIỆU'!$K:$K)</f>
        <v>0</v>
      </c>
      <c r="J35" s="156">
        <f>+SUMIF('NHẬP LIỆU'!$E:$E,NVL!$B35,'NHẬP LIỆU'!$L:$L)</f>
        <v>0</v>
      </c>
      <c r="K35" s="154">
        <f>+NVL!$H35+NVL!$I35-NVL!$J35</f>
        <v>0</v>
      </c>
      <c r="L35" s="155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ht="23.25" customHeight="1">
      <c r="A36" s="147">
        <f t="shared" si="1"/>
        <v>21</v>
      </c>
      <c r="B36" s="148"/>
      <c r="C36" s="149"/>
      <c r="D36" s="150"/>
      <c r="E36" s="151"/>
      <c r="F36" s="151"/>
      <c r="G36" s="151"/>
      <c r="H36" s="152"/>
      <c r="I36" s="153">
        <f>+SUMIF('NHẬP LIỆU'!$E:$E,NVL!$B36,'NHẬP LIỆU'!$K:$K)</f>
        <v>0</v>
      </c>
      <c r="J36" s="156">
        <f>+SUMIF('NHẬP LIỆU'!$E:$E,NVL!$B36,'NHẬP LIỆU'!$L:$L)</f>
        <v>0</v>
      </c>
      <c r="K36" s="154">
        <f>+NVL!$H36+NVL!$I36-NVL!$J36</f>
        <v>0</v>
      </c>
      <c r="L36" s="155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ht="23.25" customHeight="1">
      <c r="A37" s="147">
        <f t="shared" si="1"/>
        <v>21</v>
      </c>
      <c r="B37" s="148"/>
      <c r="C37" s="149"/>
      <c r="D37" s="150"/>
      <c r="E37" s="151"/>
      <c r="F37" s="151"/>
      <c r="G37" s="151"/>
      <c r="H37" s="152"/>
      <c r="I37" s="153">
        <f>+SUMIF('NHẬP LIỆU'!$E:$E,NVL!$B37,'NHẬP LIỆU'!$K:$K)</f>
        <v>0</v>
      </c>
      <c r="J37" s="156">
        <f>+SUMIF('NHẬP LIỆU'!$E:$E,NVL!$B37,'NHẬP LIỆU'!$L:$L)</f>
        <v>0</v>
      </c>
      <c r="K37" s="154">
        <f>+NVL!$H37+NVL!$I37-NVL!$J37</f>
        <v>0</v>
      </c>
      <c r="L37" s="155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23.25" customHeight="1">
      <c r="A38" s="147">
        <f t="shared" si="1"/>
        <v>21</v>
      </c>
      <c r="B38" s="148"/>
      <c r="C38" s="149"/>
      <c r="D38" s="150"/>
      <c r="E38" s="151"/>
      <c r="F38" s="151"/>
      <c r="G38" s="151"/>
      <c r="H38" s="152"/>
      <c r="I38" s="153">
        <f>+SUMIF('NHẬP LIỆU'!$E:$E,NVL!$B38,'NHẬP LIỆU'!$K:$K)</f>
        <v>0</v>
      </c>
      <c r="J38" s="156">
        <f>+SUMIF('NHẬP LIỆU'!$E:$E,NVL!$B38,'NHẬP LIỆU'!$L:$L)</f>
        <v>0</v>
      </c>
      <c r="K38" s="154">
        <f>+NVL!$H38+NVL!$I38-NVL!$J38</f>
        <v>0</v>
      </c>
      <c r="L38" s="155"/>
      <c r="M38" s="19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23.25" customHeight="1">
      <c r="A39" s="147">
        <f t="shared" si="1"/>
        <v>21</v>
      </c>
      <c r="B39" s="148"/>
      <c r="C39" s="149"/>
      <c r="D39" s="150"/>
      <c r="E39" s="151"/>
      <c r="F39" s="151"/>
      <c r="G39" s="151"/>
      <c r="H39" s="152"/>
      <c r="I39" s="153">
        <f>+SUMIF('NHẬP LIỆU'!$E:$E,NVL!$B39,'NHẬP LIỆU'!$K:$K)</f>
        <v>0</v>
      </c>
      <c r="J39" s="156">
        <f>+SUMIF('NHẬP LIỆU'!$E:$E,NVL!$B39,'NHẬP LIỆU'!$L:$L)</f>
        <v>0</v>
      </c>
      <c r="K39" s="154">
        <f>+NVL!$H39+NVL!$I39-NVL!$J39</f>
        <v>0</v>
      </c>
      <c r="L39" s="155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23.25" customHeight="1">
      <c r="A40" s="147">
        <f t="shared" si="1"/>
        <v>21</v>
      </c>
      <c r="B40" s="148"/>
      <c r="C40" s="149"/>
      <c r="D40" s="150"/>
      <c r="E40" s="151"/>
      <c r="F40" s="151"/>
      <c r="G40" s="151"/>
      <c r="H40" s="152"/>
      <c r="I40" s="153">
        <f>+SUMIF('NHẬP LIỆU'!$E:$E,NVL!$B40,'NHẬP LIỆU'!$K:$K)</f>
        <v>0</v>
      </c>
      <c r="J40" s="156">
        <f>+SUMIF('NHẬP LIỆU'!$E:$E,NVL!$B40,'NHẬP LIỆU'!$L:$L)</f>
        <v>0</v>
      </c>
      <c r="K40" s="154">
        <f>+NVL!$H40+NVL!$I40-NVL!$J40</f>
        <v>0</v>
      </c>
      <c r="L40" s="155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23.25" customHeight="1">
      <c r="A41" s="147">
        <f t="shared" si="1"/>
        <v>21</v>
      </c>
      <c r="B41" s="148"/>
      <c r="C41" s="149"/>
      <c r="D41" s="150"/>
      <c r="E41" s="151"/>
      <c r="F41" s="151"/>
      <c r="G41" s="151"/>
      <c r="H41" s="152"/>
      <c r="I41" s="153">
        <f>+SUMIF('NHẬP LIỆU'!$E:$E,NVL!$B41,'NHẬP LIỆU'!$K:$K)</f>
        <v>0</v>
      </c>
      <c r="J41" s="156">
        <f>+SUMIF('NHẬP LIỆU'!$E:$E,NVL!$B41,'NHẬP LIỆU'!$L:$L)</f>
        <v>0</v>
      </c>
      <c r="K41" s="154">
        <f>+NVL!$H41+NVL!$I41-NVL!$J41</f>
        <v>0</v>
      </c>
      <c r="L41" s="155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23.25" customHeight="1">
      <c r="A42" s="147">
        <f t="shared" si="1"/>
        <v>21</v>
      </c>
      <c r="B42" s="148"/>
      <c r="C42" s="149"/>
      <c r="D42" s="150"/>
      <c r="E42" s="151"/>
      <c r="F42" s="151"/>
      <c r="G42" s="151"/>
      <c r="H42" s="152"/>
      <c r="I42" s="153">
        <f>+SUMIF('NHẬP LIỆU'!$E:$E,NVL!$B42,'NHẬP LIỆU'!$K:$K)</f>
        <v>0</v>
      </c>
      <c r="J42" s="156">
        <f>+SUMIF('NHẬP LIỆU'!$E:$E,NVL!$B42,'NHẬP LIỆU'!$L:$L)</f>
        <v>0</v>
      </c>
      <c r="K42" s="154">
        <f>+NVL!$H42+NVL!$I42-NVL!$J42</f>
        <v>0</v>
      </c>
      <c r="L42" s="155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23.25" customHeight="1">
      <c r="A43" s="147">
        <f t="shared" si="1"/>
        <v>21</v>
      </c>
      <c r="B43" s="148"/>
      <c r="C43" s="149"/>
      <c r="D43" s="150"/>
      <c r="E43" s="151"/>
      <c r="F43" s="151"/>
      <c r="G43" s="151"/>
      <c r="H43" s="152"/>
      <c r="I43" s="153">
        <f>+SUMIF('NHẬP LIỆU'!$E:$E,NVL!$B43,'NHẬP LIỆU'!$K:$K)</f>
        <v>0</v>
      </c>
      <c r="J43" s="156">
        <f>+SUMIF('NHẬP LIỆU'!$E:$E,NVL!$B43,'NHẬP LIỆU'!$L:$L)</f>
        <v>0</v>
      </c>
      <c r="K43" s="154">
        <f>+NVL!$H43+NVL!$I43-NVL!$J43</f>
        <v>0</v>
      </c>
      <c r="L43" s="155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23.25" customHeight="1">
      <c r="A44" s="147">
        <f t="shared" si="1"/>
        <v>21</v>
      </c>
      <c r="B44" s="148"/>
      <c r="C44" s="149"/>
      <c r="D44" s="150"/>
      <c r="E44" s="151"/>
      <c r="F44" s="151"/>
      <c r="G44" s="151"/>
      <c r="H44" s="152"/>
      <c r="I44" s="153">
        <f>+SUMIF('NHẬP LIỆU'!$E:$E,NVL!$B44,'NHẬP LIỆU'!$K:$K)</f>
        <v>0</v>
      </c>
      <c r="J44" s="156">
        <f>+SUMIF('NHẬP LIỆU'!$E:$E,NVL!$B44,'NHẬP LIỆU'!$L:$L)</f>
        <v>0</v>
      </c>
      <c r="K44" s="154">
        <f>+NVL!$H44+NVL!$I44-NVL!$J44</f>
        <v>0</v>
      </c>
      <c r="L44" s="155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23.25" customHeight="1">
      <c r="A45" s="147">
        <f t="shared" si="1"/>
        <v>21</v>
      </c>
      <c r="B45" s="148"/>
      <c r="C45" s="149"/>
      <c r="D45" s="150"/>
      <c r="E45" s="151"/>
      <c r="F45" s="151"/>
      <c r="G45" s="151"/>
      <c r="H45" s="152"/>
      <c r="I45" s="153">
        <f>+SUMIF('NHẬP LIỆU'!$E:$E,NVL!$B45,'NHẬP LIỆU'!$K:$K)</f>
        <v>0</v>
      </c>
      <c r="J45" s="156">
        <f>+SUMIF('NHẬP LIỆU'!$E:$E,NVL!$B45,'NHẬP LIỆU'!$L:$L)</f>
        <v>0</v>
      </c>
      <c r="K45" s="154">
        <f>+NVL!$H45+NVL!$I45-NVL!$J45</f>
        <v>0</v>
      </c>
      <c r="L45" s="155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23.25" customHeight="1">
      <c r="A46" s="147">
        <f t="shared" si="1"/>
        <v>21</v>
      </c>
      <c r="B46" s="148"/>
      <c r="C46" s="149"/>
      <c r="D46" s="150"/>
      <c r="E46" s="151"/>
      <c r="F46" s="151"/>
      <c r="G46" s="151"/>
      <c r="H46" s="152"/>
      <c r="I46" s="153">
        <f>+SUMIF('NHẬP LIỆU'!$E:$E,NVL!$B46,'NHẬP LIỆU'!$K:$K)</f>
        <v>0</v>
      </c>
      <c r="J46" s="156">
        <f>+SUMIF('NHẬP LIỆU'!$E:$E,NVL!$B46,'NHẬP LIỆU'!$L:$L)</f>
        <v>0</v>
      </c>
      <c r="K46" s="154">
        <f>+NVL!$H46+NVL!$I46-NVL!$J46</f>
        <v>0</v>
      </c>
      <c r="L46" s="155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23.25" customHeight="1">
      <c r="A47" s="147">
        <f t="shared" si="1"/>
        <v>21</v>
      </c>
      <c r="B47" s="148"/>
      <c r="C47" s="149"/>
      <c r="D47" s="150"/>
      <c r="E47" s="151"/>
      <c r="F47" s="151"/>
      <c r="G47" s="151"/>
      <c r="H47" s="152"/>
      <c r="I47" s="153">
        <f>+SUMIF('NHẬP LIỆU'!$E:$E,NVL!$B47,'NHẬP LIỆU'!$K:$K)</f>
        <v>0</v>
      </c>
      <c r="J47" s="156">
        <f>+SUMIF('NHẬP LIỆU'!$E:$E,NVL!$B47,'NHẬP LIỆU'!$L:$L)</f>
        <v>0</v>
      </c>
      <c r="K47" s="154">
        <f>+NVL!$H47+NVL!$I47-NVL!$J47</f>
        <v>0</v>
      </c>
      <c r="L47" s="155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23.25" customHeight="1">
      <c r="A48" s="147">
        <f t="shared" si="1"/>
        <v>21</v>
      </c>
      <c r="B48" s="148"/>
      <c r="C48" s="149"/>
      <c r="D48" s="150"/>
      <c r="E48" s="151"/>
      <c r="F48" s="151"/>
      <c r="G48" s="151"/>
      <c r="H48" s="152"/>
      <c r="I48" s="153">
        <f>+SUMIF('NHẬP LIỆU'!$E:$E,NVL!$B48,'NHẬP LIỆU'!$K:$K)</f>
        <v>0</v>
      </c>
      <c r="J48" s="156">
        <f>+SUMIF('NHẬP LIỆU'!$E:$E,NVL!$B48,'NHẬP LIỆU'!$L:$L)</f>
        <v>0</v>
      </c>
      <c r="K48" s="154">
        <f>+NVL!$H48+NVL!$I48-NVL!$J48</f>
        <v>0</v>
      </c>
      <c r="L48" s="155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23.25" customHeight="1">
      <c r="A49" s="147">
        <f t="shared" si="1"/>
        <v>21</v>
      </c>
      <c r="B49" s="148"/>
      <c r="C49" s="149"/>
      <c r="D49" s="150"/>
      <c r="E49" s="151"/>
      <c r="F49" s="151"/>
      <c r="G49" s="151"/>
      <c r="H49" s="152"/>
      <c r="I49" s="153">
        <f>+SUMIF('NHẬP LIỆU'!$E:$E,NVL!$B49,'NHẬP LIỆU'!$K:$K)</f>
        <v>0</v>
      </c>
      <c r="J49" s="156">
        <f>+SUMIF('NHẬP LIỆU'!$E:$E,NVL!$B49,'NHẬP LIỆU'!$L:$L)</f>
        <v>0</v>
      </c>
      <c r="K49" s="154">
        <f>+NVL!$H49+NVL!$I49-NVL!$J49</f>
        <v>0</v>
      </c>
      <c r="L49" s="155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23.25" customHeight="1">
      <c r="A50" s="147">
        <f t="shared" si="1"/>
        <v>21</v>
      </c>
      <c r="B50" s="148"/>
      <c r="C50" s="149"/>
      <c r="D50" s="150"/>
      <c r="E50" s="151"/>
      <c r="F50" s="151"/>
      <c r="G50" s="151"/>
      <c r="H50" s="152"/>
      <c r="I50" s="153">
        <f>+SUMIF('NHẬP LIỆU'!$E:$E,NVL!$B50,'NHẬP LIỆU'!$K:$K)</f>
        <v>0</v>
      </c>
      <c r="J50" s="156">
        <f>+SUMIF('NHẬP LIỆU'!$E:$E,NVL!$B50,'NHẬP LIỆU'!$L:$L)</f>
        <v>0</v>
      </c>
      <c r="K50" s="154">
        <f>+NVL!$H50+NVL!$I50-NVL!$J50</f>
        <v>0</v>
      </c>
      <c r="L50" s="155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23.25" customHeight="1">
      <c r="A51" s="147">
        <f t="shared" si="1"/>
        <v>21</v>
      </c>
      <c r="B51" s="148"/>
      <c r="C51" s="149"/>
      <c r="D51" s="150"/>
      <c r="E51" s="151"/>
      <c r="F51" s="151"/>
      <c r="G51" s="151"/>
      <c r="H51" s="152"/>
      <c r="I51" s="153">
        <f>+SUMIF('NHẬP LIỆU'!$E:$E,NVL!$B51,'NHẬP LIỆU'!$K:$K)</f>
        <v>0</v>
      </c>
      <c r="J51" s="156">
        <f>+SUMIF('NHẬP LIỆU'!$E:$E,NVL!$B51,'NHẬP LIỆU'!$L:$L)</f>
        <v>0</v>
      </c>
      <c r="K51" s="154">
        <f>+NVL!$H51+NVL!$I51-NVL!$J51</f>
        <v>0</v>
      </c>
      <c r="L51" s="155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23.25" customHeight="1">
      <c r="A52" s="147">
        <f t="shared" si="1"/>
        <v>21</v>
      </c>
      <c r="B52" s="148"/>
      <c r="C52" s="149"/>
      <c r="D52" s="150"/>
      <c r="E52" s="151"/>
      <c r="F52" s="151"/>
      <c r="G52" s="151"/>
      <c r="H52" s="152"/>
      <c r="I52" s="153">
        <f>+SUMIF('NHẬP LIỆU'!$E:$E,NVL!$B52,'NHẬP LIỆU'!$K:$K)</f>
        <v>0</v>
      </c>
      <c r="J52" s="156">
        <f>+SUMIF('NHẬP LIỆU'!$E:$E,NVL!$B52,'NHẬP LIỆU'!$L:$L)</f>
        <v>0</v>
      </c>
      <c r="K52" s="154">
        <f>+NVL!$H52+NVL!$I52-NVL!$J52</f>
        <v>0</v>
      </c>
      <c r="L52" s="155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23.25" customHeight="1">
      <c r="A53" s="147">
        <f t="shared" si="1"/>
        <v>21</v>
      </c>
      <c r="B53" s="148"/>
      <c r="C53" s="149"/>
      <c r="D53" s="150"/>
      <c r="E53" s="151"/>
      <c r="F53" s="151"/>
      <c r="G53" s="151"/>
      <c r="H53" s="152"/>
      <c r="I53" s="153">
        <f>+SUMIF('NHẬP LIỆU'!$E:$E,NVL!$B53,'NHẬP LIỆU'!$K:$K)</f>
        <v>0</v>
      </c>
      <c r="J53" s="156">
        <f>+SUMIF('NHẬP LIỆU'!$E:$E,NVL!$B53,'NHẬP LIỆU'!$L:$L)</f>
        <v>0</v>
      </c>
      <c r="K53" s="154">
        <f>+NVL!$H53+NVL!$I53-NVL!$J53</f>
        <v>0</v>
      </c>
      <c r="L53" s="155"/>
      <c r="M53" s="19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23.25" customHeight="1">
      <c r="A54" s="147">
        <f t="shared" si="1"/>
        <v>21</v>
      </c>
      <c r="B54" s="148"/>
      <c r="C54" s="149"/>
      <c r="D54" s="150"/>
      <c r="E54" s="151"/>
      <c r="F54" s="151"/>
      <c r="G54" s="151"/>
      <c r="H54" s="152"/>
      <c r="I54" s="153">
        <f>+SUMIF('NHẬP LIỆU'!$E:$E,NVL!$B54,'NHẬP LIỆU'!$K:$K)</f>
        <v>0</v>
      </c>
      <c r="J54" s="156">
        <f>+SUMIF('NHẬP LIỆU'!$E:$E,NVL!$B54,'NHẬP LIỆU'!$L:$L)</f>
        <v>0</v>
      </c>
      <c r="K54" s="154">
        <f>+NVL!$H54+NVL!$I54-NVL!$J54</f>
        <v>0</v>
      </c>
      <c r="L54" s="155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23.25" customHeight="1">
      <c r="A55" s="147">
        <f t="shared" si="1"/>
        <v>21</v>
      </c>
      <c r="B55" s="148"/>
      <c r="C55" s="149"/>
      <c r="D55" s="150"/>
      <c r="E55" s="151"/>
      <c r="F55" s="151"/>
      <c r="G55" s="151"/>
      <c r="H55" s="152"/>
      <c r="I55" s="153">
        <f>+SUMIF('NHẬP LIỆU'!$E:$E,NVL!$B55,'NHẬP LIỆU'!$K:$K)</f>
        <v>0</v>
      </c>
      <c r="J55" s="156">
        <f>+SUMIF('NHẬP LIỆU'!$E:$E,NVL!$B55,'NHẬP LIỆU'!$L:$L)</f>
        <v>0</v>
      </c>
      <c r="K55" s="154">
        <f>+NVL!$H55+NVL!$I55-NVL!$J55</f>
        <v>0</v>
      </c>
      <c r="L55" s="155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23.25" customHeight="1">
      <c r="A56" s="147">
        <f t="shared" si="1"/>
        <v>21</v>
      </c>
      <c r="B56" s="148"/>
      <c r="C56" s="149"/>
      <c r="D56" s="150"/>
      <c r="E56" s="151"/>
      <c r="F56" s="151"/>
      <c r="G56" s="151"/>
      <c r="H56" s="152"/>
      <c r="I56" s="153">
        <f>+SUMIF('NHẬP LIỆU'!$E:$E,NVL!$B56,'NHẬP LIỆU'!$K:$K)</f>
        <v>0</v>
      </c>
      <c r="J56" s="156">
        <f>+SUMIF('NHẬP LIỆU'!$E:$E,NVL!$B56,'NHẬP LIỆU'!$L:$L)</f>
        <v>0</v>
      </c>
      <c r="K56" s="154">
        <f>+NVL!$H56+NVL!$I56-NVL!$J56</f>
        <v>0</v>
      </c>
      <c r="L56" s="155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23.25" customHeight="1">
      <c r="A57" s="147">
        <f t="shared" si="1"/>
        <v>21</v>
      </c>
      <c r="B57" s="148"/>
      <c r="C57" s="149"/>
      <c r="D57" s="150"/>
      <c r="E57" s="151"/>
      <c r="F57" s="151"/>
      <c r="G57" s="151"/>
      <c r="H57" s="152"/>
      <c r="I57" s="153">
        <f>+SUMIF('NHẬP LIỆU'!$E:$E,NVL!$B57,'NHẬP LIỆU'!$K:$K)</f>
        <v>0</v>
      </c>
      <c r="J57" s="156">
        <f>+SUMIF('NHẬP LIỆU'!$E:$E,NVL!$B57,'NHẬP LIỆU'!$L:$L)</f>
        <v>0</v>
      </c>
      <c r="K57" s="154">
        <f>+NVL!$H57+NVL!$I57-NVL!$J57</f>
        <v>0</v>
      </c>
      <c r="L57" s="155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23.25" customHeight="1">
      <c r="A58" s="147">
        <f t="shared" si="1"/>
        <v>21</v>
      </c>
      <c r="B58" s="148"/>
      <c r="C58" s="149"/>
      <c r="D58" s="150"/>
      <c r="E58" s="151"/>
      <c r="F58" s="151"/>
      <c r="G58" s="151"/>
      <c r="H58" s="152"/>
      <c r="I58" s="153">
        <f>+SUMIF('NHẬP LIỆU'!$E:$E,NVL!$B58,'NHẬP LIỆU'!$K:$K)</f>
        <v>0</v>
      </c>
      <c r="J58" s="156">
        <f>+SUMIF('NHẬP LIỆU'!$E:$E,NVL!$B58,'NHẬP LIỆU'!$L:$L)</f>
        <v>0</v>
      </c>
      <c r="K58" s="154">
        <f>+NVL!$H58+NVL!$I58-NVL!$J58</f>
        <v>0</v>
      </c>
      <c r="L58" s="155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23.25" customHeight="1">
      <c r="A59" s="147">
        <f t="shared" si="1"/>
        <v>21</v>
      </c>
      <c r="B59" s="148"/>
      <c r="C59" s="149"/>
      <c r="D59" s="150"/>
      <c r="E59" s="151"/>
      <c r="F59" s="151"/>
      <c r="G59" s="151"/>
      <c r="H59" s="152"/>
      <c r="I59" s="153">
        <f>+SUMIF('NHẬP LIỆU'!$E:$E,NVL!$B59,'NHẬP LIỆU'!$K:$K)</f>
        <v>0</v>
      </c>
      <c r="J59" s="156">
        <f>+SUMIF('NHẬP LIỆU'!$E:$E,NVL!$B59,'NHẬP LIỆU'!$L:$L)</f>
        <v>0</v>
      </c>
      <c r="K59" s="154">
        <f>+NVL!$H59+NVL!$I59-NVL!$J59</f>
        <v>0</v>
      </c>
      <c r="L59" s="155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23.25" customHeight="1">
      <c r="A60" s="147">
        <f t="shared" si="1"/>
        <v>21</v>
      </c>
      <c r="B60" s="148"/>
      <c r="C60" s="149"/>
      <c r="D60" s="150"/>
      <c r="E60" s="151"/>
      <c r="F60" s="151"/>
      <c r="G60" s="151"/>
      <c r="H60" s="152"/>
      <c r="I60" s="153">
        <f>+SUMIF('NHẬP LIỆU'!$E:$E,NVL!$B60,'NHẬP LIỆU'!$K:$K)</f>
        <v>0</v>
      </c>
      <c r="J60" s="156">
        <f>+SUMIF('NHẬP LIỆU'!$E:$E,NVL!$B60,'NHẬP LIỆU'!$L:$L)</f>
        <v>0</v>
      </c>
      <c r="K60" s="154">
        <f>+NVL!$H60+NVL!$I60-NVL!$J60</f>
        <v>0</v>
      </c>
      <c r="L60" s="155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23.25" customHeight="1">
      <c r="A61" s="147">
        <f t="shared" si="1"/>
        <v>21</v>
      </c>
      <c r="B61" s="148"/>
      <c r="C61" s="149"/>
      <c r="D61" s="150"/>
      <c r="E61" s="151"/>
      <c r="F61" s="151"/>
      <c r="G61" s="151"/>
      <c r="H61" s="152"/>
      <c r="I61" s="153">
        <f>+SUMIF('NHẬP LIỆU'!$E:$E,NVL!$B61,'NHẬP LIỆU'!$K:$K)</f>
        <v>0</v>
      </c>
      <c r="J61" s="156">
        <f>+SUMIF('NHẬP LIỆU'!$E:$E,NVL!$B61,'NHẬP LIỆU'!$L:$L)</f>
        <v>0</v>
      </c>
      <c r="K61" s="154">
        <f>+NVL!$H61+NVL!$I61-NVL!$J61</f>
        <v>0</v>
      </c>
      <c r="L61" s="155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23.25" customHeight="1">
      <c r="A62" s="147">
        <f t="shared" si="1"/>
        <v>21</v>
      </c>
      <c r="B62" s="148"/>
      <c r="C62" s="149"/>
      <c r="D62" s="150"/>
      <c r="E62" s="151"/>
      <c r="F62" s="151"/>
      <c r="G62" s="151"/>
      <c r="H62" s="152"/>
      <c r="I62" s="153">
        <f>+SUMIF('NHẬP LIỆU'!$E:$E,NVL!$B62,'NHẬP LIỆU'!$K:$K)</f>
        <v>0</v>
      </c>
      <c r="J62" s="156">
        <f>+SUMIF('NHẬP LIỆU'!$E:$E,NVL!$B62,'NHẬP LIỆU'!$L:$L)</f>
        <v>0</v>
      </c>
      <c r="K62" s="154">
        <f>+NVL!$H62+NVL!$I62-NVL!$J62</f>
        <v>0</v>
      </c>
      <c r="L62" s="155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23.25" customHeight="1">
      <c r="A63" s="147">
        <f t="shared" si="1"/>
        <v>21</v>
      </c>
      <c r="B63" s="148"/>
      <c r="C63" s="149"/>
      <c r="D63" s="150"/>
      <c r="E63" s="151"/>
      <c r="F63" s="151"/>
      <c r="G63" s="151"/>
      <c r="H63" s="152"/>
      <c r="I63" s="153">
        <f>+SUMIF('NHẬP LIỆU'!$E:$E,NVL!$B63,'NHẬP LIỆU'!$K:$K)</f>
        <v>0</v>
      </c>
      <c r="J63" s="156">
        <f>+SUMIF('NHẬP LIỆU'!$E:$E,NVL!$B63,'NHẬP LIỆU'!$L:$L)</f>
        <v>0</v>
      </c>
      <c r="K63" s="154">
        <f>+NVL!$H63+NVL!$I63-NVL!$J63</f>
        <v>0</v>
      </c>
      <c r="L63" s="155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23.25" customHeight="1">
      <c r="A64" s="147">
        <f t="shared" si="1"/>
        <v>21</v>
      </c>
      <c r="B64" s="148"/>
      <c r="C64" s="149"/>
      <c r="D64" s="150"/>
      <c r="E64" s="151"/>
      <c r="F64" s="151"/>
      <c r="G64" s="151"/>
      <c r="H64" s="152"/>
      <c r="I64" s="153">
        <f>+SUMIF('NHẬP LIỆU'!$E:$E,NVL!$B64,'NHẬP LIỆU'!$K:$K)</f>
        <v>0</v>
      </c>
      <c r="J64" s="156">
        <f>+SUMIF('NHẬP LIỆU'!$E:$E,NVL!$B64,'NHẬP LIỆU'!$L:$L)</f>
        <v>0</v>
      </c>
      <c r="K64" s="154">
        <f>+NVL!$H64+NVL!$I64-NVL!$J64</f>
        <v>0</v>
      </c>
      <c r="L64" s="155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23.25" customHeight="1">
      <c r="A65" s="147">
        <f t="shared" si="1"/>
        <v>21</v>
      </c>
      <c r="B65" s="148"/>
      <c r="C65" s="149"/>
      <c r="D65" s="150"/>
      <c r="E65" s="151"/>
      <c r="F65" s="151"/>
      <c r="G65" s="151"/>
      <c r="H65" s="152"/>
      <c r="I65" s="153">
        <f>+SUMIF('NHẬP LIỆU'!$E:$E,NVL!$B65,'NHẬP LIỆU'!$K:$K)</f>
        <v>0</v>
      </c>
      <c r="J65" s="156">
        <f>+SUMIF('NHẬP LIỆU'!$E:$E,NVL!$B65,'NHẬP LIỆU'!$L:$L)</f>
        <v>0</v>
      </c>
      <c r="K65" s="154">
        <f>+NVL!$H65+NVL!$I65-NVL!$J65</f>
        <v>0</v>
      </c>
      <c r="L65" s="155"/>
      <c r="M65" s="19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23.25" customHeight="1">
      <c r="A66" s="147">
        <f t="shared" si="1"/>
        <v>21</v>
      </c>
      <c r="B66" s="148"/>
      <c r="C66" s="149"/>
      <c r="D66" s="150"/>
      <c r="E66" s="151"/>
      <c r="F66" s="151"/>
      <c r="G66" s="151"/>
      <c r="H66" s="152"/>
      <c r="I66" s="153">
        <f>+SUMIF('NHẬP LIỆU'!$E:$E,NVL!$B66,'NHẬP LIỆU'!$K:$K)</f>
        <v>0</v>
      </c>
      <c r="J66" s="156">
        <f>+SUMIF('NHẬP LIỆU'!$E:$E,NVL!$B66,'NHẬP LIỆU'!$L:$L)</f>
        <v>0</v>
      </c>
      <c r="K66" s="154">
        <f>+NVL!$H66+NVL!$I66-NVL!$J66</f>
        <v>0</v>
      </c>
      <c r="L66" s="155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23.25" customHeight="1">
      <c r="A67" s="147">
        <f t="shared" si="1"/>
        <v>21</v>
      </c>
      <c r="B67" s="148"/>
      <c r="C67" s="149"/>
      <c r="D67" s="150"/>
      <c r="E67" s="151"/>
      <c r="F67" s="151"/>
      <c r="G67" s="151"/>
      <c r="H67" s="152"/>
      <c r="I67" s="153">
        <f>+SUMIF('NHẬP LIỆU'!$E:$E,NVL!$B67,'NHẬP LIỆU'!$K:$K)</f>
        <v>0</v>
      </c>
      <c r="J67" s="156">
        <f>+SUMIF('NHẬP LIỆU'!$E:$E,NVL!$B67,'NHẬP LIỆU'!$L:$L)</f>
        <v>0</v>
      </c>
      <c r="K67" s="154">
        <f>+NVL!$H67+NVL!$I67-NVL!$J67</f>
        <v>0</v>
      </c>
      <c r="L67" s="155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23.25" customHeight="1">
      <c r="A68" s="147">
        <f t="shared" si="1"/>
        <v>21</v>
      </c>
      <c r="B68" s="148"/>
      <c r="C68" s="149"/>
      <c r="D68" s="150"/>
      <c r="E68" s="151"/>
      <c r="F68" s="151"/>
      <c r="G68" s="151"/>
      <c r="H68" s="152"/>
      <c r="I68" s="153">
        <f>+SUMIF('NHẬP LIỆU'!$E:$E,NVL!$B68,'NHẬP LIỆU'!$K:$K)</f>
        <v>0</v>
      </c>
      <c r="J68" s="156">
        <f>+SUMIF('NHẬP LIỆU'!$E:$E,NVL!$B68,'NHẬP LIỆU'!$L:$L)</f>
        <v>0</v>
      </c>
      <c r="K68" s="154">
        <f>+NVL!$H68+NVL!$I68-NVL!$J68</f>
        <v>0</v>
      </c>
      <c r="L68" s="155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23.25" customHeight="1">
      <c r="A69" s="147">
        <f t="shared" si="1"/>
        <v>21</v>
      </c>
      <c r="B69" s="148"/>
      <c r="C69" s="149"/>
      <c r="D69" s="150"/>
      <c r="E69" s="151"/>
      <c r="F69" s="151"/>
      <c r="G69" s="151"/>
      <c r="H69" s="152"/>
      <c r="I69" s="153">
        <f>+SUMIF('NHẬP LIỆU'!$E:$E,NVL!$B69,'NHẬP LIỆU'!$K:$K)</f>
        <v>0</v>
      </c>
      <c r="J69" s="156">
        <f>+SUMIF('NHẬP LIỆU'!$E:$E,NVL!$B69,'NHẬP LIỆU'!$L:$L)</f>
        <v>0</v>
      </c>
      <c r="K69" s="154">
        <f>+NVL!$H69+NVL!$I69-NVL!$J69</f>
        <v>0</v>
      </c>
      <c r="L69" s="155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23.25" customHeight="1">
      <c r="A70" s="147">
        <f t="shared" si="1"/>
        <v>21</v>
      </c>
      <c r="B70" s="148"/>
      <c r="C70" s="149"/>
      <c r="D70" s="150"/>
      <c r="E70" s="151"/>
      <c r="F70" s="151"/>
      <c r="G70" s="151"/>
      <c r="H70" s="152"/>
      <c r="I70" s="153">
        <f>+SUMIF('NHẬP LIỆU'!$E:$E,NVL!$B70,'NHẬP LIỆU'!$K:$K)</f>
        <v>0</v>
      </c>
      <c r="J70" s="156">
        <f>+SUMIF('NHẬP LIỆU'!$E:$E,NVL!$B70,'NHẬP LIỆU'!$L:$L)</f>
        <v>0</v>
      </c>
      <c r="K70" s="154">
        <f>+NVL!$H70+NVL!$I70-NVL!$J70</f>
        <v>0</v>
      </c>
      <c r="L70" s="155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23.25" customHeight="1">
      <c r="A71" s="147">
        <f t="shared" si="1"/>
        <v>21</v>
      </c>
      <c r="B71" s="148"/>
      <c r="C71" s="149"/>
      <c r="D71" s="150"/>
      <c r="E71" s="151"/>
      <c r="F71" s="151"/>
      <c r="G71" s="151"/>
      <c r="H71" s="152"/>
      <c r="I71" s="153">
        <f>+SUMIF('NHẬP LIỆU'!$E:$E,NVL!$B71,'NHẬP LIỆU'!$K:$K)</f>
        <v>0</v>
      </c>
      <c r="J71" s="156">
        <f>+SUMIF('NHẬP LIỆU'!$E:$E,NVL!$B71,'NHẬP LIỆU'!$L:$L)</f>
        <v>0</v>
      </c>
      <c r="K71" s="154">
        <f>+NVL!$H71+NVL!$I71-NVL!$J71</f>
        <v>0</v>
      </c>
      <c r="L71" s="155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23.25" customHeight="1">
      <c r="A72" s="147">
        <f t="shared" si="1"/>
        <v>21</v>
      </c>
      <c r="B72" s="148"/>
      <c r="C72" s="149"/>
      <c r="D72" s="150"/>
      <c r="E72" s="151"/>
      <c r="F72" s="151"/>
      <c r="G72" s="151"/>
      <c r="H72" s="152"/>
      <c r="I72" s="153">
        <f>+SUMIF('NHẬP LIỆU'!$E:$E,NVL!$B72,'NHẬP LIỆU'!$K:$K)</f>
        <v>0</v>
      </c>
      <c r="J72" s="156">
        <f>+SUMIF('NHẬP LIỆU'!$E:$E,NVL!$B72,'NHẬP LIỆU'!$L:$L)</f>
        <v>0</v>
      </c>
      <c r="K72" s="154">
        <f>+NVL!$H72+NVL!$I72-NVL!$J72</f>
        <v>0</v>
      </c>
      <c r="L72" s="155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23.25" customHeight="1">
      <c r="A73" s="147">
        <f t="shared" si="1"/>
        <v>21</v>
      </c>
      <c r="B73" s="148"/>
      <c r="C73" s="149"/>
      <c r="D73" s="150"/>
      <c r="E73" s="151"/>
      <c r="F73" s="151"/>
      <c r="G73" s="151"/>
      <c r="H73" s="152"/>
      <c r="I73" s="153">
        <f>+SUMIF('NHẬP LIỆU'!$E:$E,NVL!$B73,'NHẬP LIỆU'!$K:$K)</f>
        <v>0</v>
      </c>
      <c r="J73" s="156">
        <f>+SUMIF('NHẬP LIỆU'!$E:$E,NVL!$B73,'NHẬP LIỆU'!$L:$L)</f>
        <v>0</v>
      </c>
      <c r="K73" s="154">
        <f>+NVL!$H73+NVL!$I73-NVL!$J73</f>
        <v>0</v>
      </c>
      <c r="L73" s="155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23.25" customHeight="1">
      <c r="A74" s="147">
        <f t="shared" si="1"/>
        <v>21</v>
      </c>
      <c r="B74" s="148"/>
      <c r="C74" s="149"/>
      <c r="D74" s="150"/>
      <c r="E74" s="151"/>
      <c r="F74" s="151"/>
      <c r="G74" s="151"/>
      <c r="H74" s="152"/>
      <c r="I74" s="153">
        <f>+SUMIF('NHẬP LIỆU'!$E:$E,NVL!$B74,'NHẬP LIỆU'!$K:$K)</f>
        <v>0</v>
      </c>
      <c r="J74" s="156">
        <f>+SUMIF('NHẬP LIỆU'!$E:$E,NVL!$B74,'NHẬP LIỆU'!$L:$L)</f>
        <v>0</v>
      </c>
      <c r="K74" s="154">
        <f>+NVL!$H74+NVL!$I74-NVL!$J74</f>
        <v>0</v>
      </c>
      <c r="L74" s="155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23.25" customHeight="1">
      <c r="A75" s="147">
        <f t="shared" si="1"/>
        <v>21</v>
      </c>
      <c r="B75" s="148"/>
      <c r="C75" s="167"/>
      <c r="D75" s="150"/>
      <c r="E75" s="151"/>
      <c r="F75" s="151"/>
      <c r="G75" s="151"/>
      <c r="H75" s="152"/>
      <c r="I75" s="153">
        <f>+SUMIF('NHẬP LIỆU'!$E:$E,NVL!$B75,'NHẬP LIỆU'!$K:$K)</f>
        <v>0</v>
      </c>
      <c r="J75" s="156">
        <f>+SUMIF('NHẬP LIỆU'!$E:$E,NVL!$B75,'NHẬP LIỆU'!$L:$L)</f>
        <v>0</v>
      </c>
      <c r="K75" s="154">
        <f>+NVL!$H75+NVL!$I75-NVL!$J75</f>
        <v>0</v>
      </c>
      <c r="L75" s="155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23.25" customHeight="1">
      <c r="A76" s="147">
        <f t="shared" si="1"/>
        <v>21</v>
      </c>
      <c r="B76" s="148"/>
      <c r="C76" s="149"/>
      <c r="D76" s="150"/>
      <c r="E76" s="151"/>
      <c r="F76" s="151"/>
      <c r="G76" s="151"/>
      <c r="H76" s="152"/>
      <c r="I76" s="153">
        <f>+SUMIF('NHẬP LIỆU'!$E:$E,NVL!$B76,'NHẬP LIỆU'!$K:$K)</f>
        <v>0</v>
      </c>
      <c r="J76" s="156">
        <f>+SUMIF('NHẬP LIỆU'!$E:$E,NVL!$B76,'NHẬP LIỆU'!$L:$L)</f>
        <v>0</v>
      </c>
      <c r="K76" s="154">
        <f>+NVL!$H76+NVL!$I76-NVL!$J76</f>
        <v>0</v>
      </c>
      <c r="L76" s="155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23.25" customHeight="1">
      <c r="A77" s="147">
        <f t="shared" si="1"/>
        <v>21</v>
      </c>
      <c r="B77" s="148"/>
      <c r="C77" s="149"/>
      <c r="D77" s="150"/>
      <c r="E77" s="151"/>
      <c r="F77" s="151"/>
      <c r="G77" s="151"/>
      <c r="H77" s="152"/>
      <c r="I77" s="153">
        <f>+SUMIF('NHẬP LIỆU'!$E:$E,NVL!$B77,'NHẬP LIỆU'!$K:$K)</f>
        <v>0</v>
      </c>
      <c r="J77" s="156">
        <f>+SUMIF('NHẬP LIỆU'!$E:$E,NVL!$B77,'NHẬP LIỆU'!$L:$L)</f>
        <v>0</v>
      </c>
      <c r="K77" s="154">
        <f>+NVL!$H77+NVL!$I77-NVL!$J77</f>
        <v>0</v>
      </c>
      <c r="L77" s="172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23.25" customHeight="1">
      <c r="A78" s="147">
        <f t="shared" si="1"/>
        <v>21</v>
      </c>
      <c r="B78" s="148"/>
      <c r="C78" s="149"/>
      <c r="D78" s="150"/>
      <c r="E78" s="151"/>
      <c r="F78" s="151"/>
      <c r="G78" s="151"/>
      <c r="H78" s="152"/>
      <c r="I78" s="153">
        <f>+SUMIF('NHẬP LIỆU'!$E:$E,NVL!$B78,'NHẬP LIỆU'!$K:$K)</f>
        <v>0</v>
      </c>
      <c r="J78" s="156">
        <f>+SUMIF('NHẬP LIỆU'!$E:$E,NVL!$B78,'NHẬP LIỆU'!$L:$L)</f>
        <v>0</v>
      </c>
      <c r="K78" s="154">
        <f>+NVL!$H78+NVL!$I78-NVL!$J78</f>
        <v>0</v>
      </c>
      <c r="L78" s="155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23.25" customHeight="1">
      <c r="A79" s="147">
        <f t="shared" si="1"/>
        <v>21</v>
      </c>
      <c r="B79" s="148"/>
      <c r="C79" s="149"/>
      <c r="D79" s="150"/>
      <c r="E79" s="151"/>
      <c r="F79" s="151"/>
      <c r="G79" s="151"/>
      <c r="H79" s="152"/>
      <c r="I79" s="153">
        <f>+SUMIF('NHẬP LIỆU'!$E:$E,NVL!$B79,'NHẬP LIỆU'!$K:$K)</f>
        <v>0</v>
      </c>
      <c r="J79" s="156">
        <f>+SUMIF('NHẬP LIỆU'!$E:$E,NVL!$B79,'NHẬP LIỆU'!$L:$L)</f>
        <v>0</v>
      </c>
      <c r="K79" s="154">
        <f>+NVL!$H79+NVL!$I79-NVL!$J79</f>
        <v>0</v>
      </c>
      <c r="L79" s="155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23.25" customHeight="1">
      <c r="A80" s="147">
        <f t="shared" si="1"/>
        <v>21</v>
      </c>
      <c r="B80" s="148"/>
      <c r="C80" s="149"/>
      <c r="D80" s="150"/>
      <c r="E80" s="151"/>
      <c r="F80" s="151"/>
      <c r="G80" s="151"/>
      <c r="H80" s="152"/>
      <c r="I80" s="153">
        <f>+SUMIF('NHẬP LIỆU'!$E:$E,NVL!$B80,'NHẬP LIỆU'!$K:$K)</f>
        <v>0</v>
      </c>
      <c r="J80" s="156">
        <f>+SUMIF('NHẬP LIỆU'!$E:$E,NVL!$B80,'NHẬP LIỆU'!$L:$L)</f>
        <v>0</v>
      </c>
      <c r="K80" s="154">
        <f>+NVL!$H80+NVL!$I80-NVL!$J80</f>
        <v>0</v>
      </c>
      <c r="L80" s="155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23.25" customHeight="1">
      <c r="A81" s="147">
        <f t="shared" si="1"/>
        <v>21</v>
      </c>
      <c r="B81" s="148"/>
      <c r="C81" s="149"/>
      <c r="D81" s="150"/>
      <c r="E81" s="151"/>
      <c r="F81" s="151"/>
      <c r="G81" s="151"/>
      <c r="H81" s="152"/>
      <c r="I81" s="153">
        <f>+SUMIF('NHẬP LIỆU'!$E:$E,NVL!$B81,'NHẬP LIỆU'!$K:$K)</f>
        <v>0</v>
      </c>
      <c r="J81" s="156">
        <f>+SUMIF('NHẬP LIỆU'!$E:$E,NVL!$B81,'NHẬP LIỆU'!$L:$L)</f>
        <v>0</v>
      </c>
      <c r="K81" s="154">
        <f>+NVL!$H81+NVL!$I81-NVL!$J81</f>
        <v>0</v>
      </c>
      <c r="L81" s="155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23.25" customHeight="1">
      <c r="A82" s="147">
        <f t="shared" si="1"/>
        <v>21</v>
      </c>
      <c r="B82" s="148"/>
      <c r="C82" s="149"/>
      <c r="D82" s="150"/>
      <c r="E82" s="151"/>
      <c r="F82" s="151"/>
      <c r="G82" s="151"/>
      <c r="H82" s="152"/>
      <c r="I82" s="153">
        <f>+SUMIF('NHẬP LIỆU'!$E:$E,NVL!$B82,'NHẬP LIỆU'!$K:$K)</f>
        <v>0</v>
      </c>
      <c r="J82" s="156">
        <f>+SUMIF('NHẬP LIỆU'!$E:$E,NVL!$B82,'NHẬP LIỆU'!$L:$L)</f>
        <v>0</v>
      </c>
      <c r="K82" s="154">
        <f>+NVL!$H82+NVL!$I82-NVL!$J82</f>
        <v>0</v>
      </c>
      <c r="L82" s="155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23.25" customHeight="1">
      <c r="A83" s="147">
        <f t="shared" si="1"/>
        <v>21</v>
      </c>
      <c r="B83" s="148"/>
      <c r="C83" s="149"/>
      <c r="D83" s="150"/>
      <c r="E83" s="151"/>
      <c r="F83" s="151"/>
      <c r="G83" s="151"/>
      <c r="H83" s="152"/>
      <c r="I83" s="153">
        <f>+SUMIF('NHẬP LIỆU'!$E:$E,NVL!$B83,'NHẬP LIỆU'!$K:$K)</f>
        <v>0</v>
      </c>
      <c r="J83" s="156">
        <f>+SUMIF('NHẬP LIỆU'!$E:$E,NVL!$B83,'NHẬP LIỆU'!$L:$L)</f>
        <v>0</v>
      </c>
      <c r="K83" s="154">
        <f>+NVL!$H83+NVL!$I83-NVL!$J83</f>
        <v>0</v>
      </c>
      <c r="L83" s="155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23.25" customHeight="1">
      <c r="A84" s="147">
        <f t="shared" si="1"/>
        <v>21</v>
      </c>
      <c r="B84" s="170"/>
      <c r="C84" s="149"/>
      <c r="D84" s="330"/>
      <c r="E84" s="331"/>
      <c r="F84" s="331"/>
      <c r="G84" s="331"/>
      <c r="H84" s="152"/>
      <c r="I84" s="153">
        <f>+SUMIF('NHẬP LIỆU'!$E:$E,NVL!$B84,'NHẬP LIỆU'!$K:$K)</f>
        <v>0</v>
      </c>
      <c r="J84" s="156">
        <f>+SUMIF('NHẬP LIỆU'!$E:$E,NVL!$B84,'NHẬP LIỆU'!$L:$L)</f>
        <v>0</v>
      </c>
      <c r="K84" s="154">
        <f>+NVL!$H84+NVL!$I84-NVL!$J84</f>
        <v>0</v>
      </c>
      <c r="L84" s="155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23.25" customHeight="1">
      <c r="A85" s="147">
        <f t="shared" si="1"/>
        <v>21</v>
      </c>
      <c r="B85" s="170"/>
      <c r="C85" s="149"/>
      <c r="D85" s="330"/>
      <c r="E85" s="331"/>
      <c r="F85" s="331"/>
      <c r="G85" s="331"/>
      <c r="H85" s="152"/>
      <c r="I85" s="153">
        <f>+SUMIF('NHẬP LIỆU'!$E:$E,NVL!$B85,'NHẬP LIỆU'!$K:$K)</f>
        <v>0</v>
      </c>
      <c r="J85" s="156">
        <f>+SUMIF('NHẬP LIỆU'!$E:$E,NVL!$B85,'NHẬP LIỆU'!$L:$L)</f>
        <v>0</v>
      </c>
      <c r="K85" s="154">
        <f>+NVL!$H85+NVL!$I85-NVL!$J85</f>
        <v>0</v>
      </c>
      <c r="L85" s="155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23.25" customHeight="1">
      <c r="A86" s="147">
        <f t="shared" si="1"/>
        <v>21</v>
      </c>
      <c r="B86" s="170"/>
      <c r="C86" s="149"/>
      <c r="D86" s="330"/>
      <c r="E86" s="333"/>
      <c r="F86" s="333"/>
      <c r="G86" s="333"/>
      <c r="H86" s="152"/>
      <c r="I86" s="153">
        <f>+SUMIF('NHẬP LIỆU'!$E:$E,NVL!$B86,'NHẬP LIỆU'!$K:$K)</f>
        <v>0</v>
      </c>
      <c r="J86" s="156">
        <f>+SUMIF('NHẬP LIỆU'!$E:$E,NVL!$B86,'NHẬP LIỆU'!$L:$L)</f>
        <v>0</v>
      </c>
      <c r="K86" s="154">
        <f>+NVL!$H86+NVL!$I86-NVL!$J86</f>
        <v>0</v>
      </c>
      <c r="L86" s="155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23.25" customHeight="1">
      <c r="A87" s="147">
        <f t="shared" si="1"/>
        <v>21</v>
      </c>
      <c r="B87" s="170"/>
      <c r="C87" s="149"/>
      <c r="D87" s="330"/>
      <c r="E87" s="333"/>
      <c r="F87" s="333"/>
      <c r="G87" s="333"/>
      <c r="H87" s="152"/>
      <c r="I87" s="153">
        <f>+SUMIF('NHẬP LIỆU'!$E:$E,NVL!$B87,'NHẬP LIỆU'!$K:$K)</f>
        <v>0</v>
      </c>
      <c r="J87" s="156">
        <f>+SUMIF('NHẬP LIỆU'!$E:$E,NVL!$B87,'NHẬP LIỆU'!$L:$L)</f>
        <v>0</v>
      </c>
      <c r="K87" s="154">
        <f>+NVL!$H87+NVL!$I87-NVL!$J87</f>
        <v>0</v>
      </c>
      <c r="L87" s="155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23.25" customHeight="1">
      <c r="A88" s="147">
        <f t="shared" si="1"/>
        <v>21</v>
      </c>
      <c r="B88" s="170"/>
      <c r="C88" s="149"/>
      <c r="D88" s="330"/>
      <c r="E88" s="333"/>
      <c r="F88" s="333"/>
      <c r="G88" s="333"/>
      <c r="H88" s="152"/>
      <c r="I88" s="153">
        <f>+SUMIF('NHẬP LIỆU'!$E:$E,NVL!$B88,'NHẬP LIỆU'!$K:$K)</f>
        <v>0</v>
      </c>
      <c r="J88" s="156">
        <f>+SUMIF('NHẬP LIỆU'!$E:$E,NVL!$B88,'NHẬP LIỆU'!$L:$L)</f>
        <v>0</v>
      </c>
      <c r="K88" s="154">
        <f>+NVL!$H88+NVL!$I88-NVL!$J88</f>
        <v>0</v>
      </c>
      <c r="L88" s="155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23.25" customHeight="1">
      <c r="A89" s="147">
        <f t="shared" si="1"/>
        <v>21</v>
      </c>
      <c r="B89" s="170"/>
      <c r="C89" s="149"/>
      <c r="D89" s="330"/>
      <c r="E89" s="333"/>
      <c r="F89" s="333"/>
      <c r="G89" s="333"/>
      <c r="H89" s="152"/>
      <c r="I89" s="153">
        <f>+SUMIF('NHẬP LIỆU'!$E:$E,NVL!$B89,'NHẬP LIỆU'!$K:$K)</f>
        <v>0</v>
      </c>
      <c r="J89" s="156">
        <f>+SUMIF('NHẬP LIỆU'!$E:$E,NVL!$B89,'NHẬP LIỆU'!$L:$L)</f>
        <v>0</v>
      </c>
      <c r="K89" s="154">
        <f>+NVL!$H89+NVL!$I89-NVL!$J89</f>
        <v>0</v>
      </c>
      <c r="L89" s="155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23.25" customHeight="1">
      <c r="A90" s="147">
        <f t="shared" si="1"/>
        <v>21</v>
      </c>
      <c r="B90" s="170"/>
      <c r="C90" s="149"/>
      <c r="D90" s="330"/>
      <c r="E90" s="333"/>
      <c r="F90" s="333"/>
      <c r="G90" s="333"/>
      <c r="H90" s="152"/>
      <c r="I90" s="153">
        <f>+SUMIF('NHẬP LIỆU'!$E:$E,NVL!$B90,'NHẬP LIỆU'!$K:$K)</f>
        <v>0</v>
      </c>
      <c r="J90" s="156">
        <f>+SUMIF('NHẬP LIỆU'!$E:$E,NVL!$B90,'NHẬP LIỆU'!$L:$L)</f>
        <v>0</v>
      </c>
      <c r="K90" s="154">
        <f>+NVL!$H90+NVL!$I90-NVL!$J90</f>
        <v>0</v>
      </c>
      <c r="L90" s="155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23.25" customHeight="1">
      <c r="A91" s="147">
        <f t="shared" si="1"/>
        <v>21</v>
      </c>
      <c r="B91" s="170"/>
      <c r="C91" s="149"/>
      <c r="D91" s="330"/>
      <c r="E91" s="333"/>
      <c r="F91" s="333"/>
      <c r="G91" s="333"/>
      <c r="H91" s="152"/>
      <c r="I91" s="153">
        <f>+SUMIF('NHẬP LIỆU'!$E:$E,NVL!$B91,'NHẬP LIỆU'!$K:$K)</f>
        <v>0</v>
      </c>
      <c r="J91" s="156">
        <f>+SUMIF('NHẬP LIỆU'!$E:$E,NVL!$B91,'NHẬP LIỆU'!$L:$L)</f>
        <v>0</v>
      </c>
      <c r="K91" s="154">
        <f>+NVL!$H91+NVL!$I91-NVL!$J91</f>
        <v>0</v>
      </c>
      <c r="L91" s="155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23.25" customHeight="1">
      <c r="A92" s="147">
        <f t="shared" si="1"/>
        <v>21</v>
      </c>
      <c r="B92" s="170"/>
      <c r="C92" s="149"/>
      <c r="D92" s="330"/>
      <c r="E92" s="333"/>
      <c r="F92" s="333"/>
      <c r="G92" s="333"/>
      <c r="H92" s="152"/>
      <c r="I92" s="153">
        <f>+SUMIF('NHẬP LIỆU'!$E:$E,NVL!$B92,'NHẬP LIỆU'!$K:$K)</f>
        <v>0</v>
      </c>
      <c r="J92" s="156">
        <f>+SUMIF('NHẬP LIỆU'!$E:$E,NVL!$B92,'NHẬP LIỆU'!$L:$L)</f>
        <v>0</v>
      </c>
      <c r="K92" s="154">
        <f>+NVL!$H92+NVL!$I92-NVL!$J92</f>
        <v>0</v>
      </c>
      <c r="L92" s="155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23.25" customHeight="1">
      <c r="A93" s="147">
        <f t="shared" si="1"/>
        <v>21</v>
      </c>
      <c r="B93" s="170"/>
      <c r="C93" s="149"/>
      <c r="D93" s="330"/>
      <c r="E93" s="333"/>
      <c r="F93" s="333"/>
      <c r="G93" s="333"/>
      <c r="H93" s="152"/>
      <c r="I93" s="153">
        <f>+SUMIF('NHẬP LIỆU'!$E:$E,NVL!$B93,'NHẬP LIỆU'!$K:$K)</f>
        <v>0</v>
      </c>
      <c r="J93" s="156">
        <f>+SUMIF('NHẬP LIỆU'!$E:$E,NVL!$B93,'NHẬP LIỆU'!$L:$L)</f>
        <v>0</v>
      </c>
      <c r="K93" s="154">
        <f>+NVL!$H93+NVL!$I93-NVL!$J93</f>
        <v>0</v>
      </c>
      <c r="L93" s="155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23.25" customHeight="1">
      <c r="A94" s="147">
        <f t="shared" si="1"/>
        <v>21</v>
      </c>
      <c r="B94" s="170"/>
      <c r="C94" s="149"/>
      <c r="D94" s="330"/>
      <c r="E94" s="333"/>
      <c r="F94" s="333"/>
      <c r="G94" s="333"/>
      <c r="H94" s="152"/>
      <c r="I94" s="153">
        <f>+SUMIF('NHẬP LIỆU'!$E:$E,NVL!$B94,'NHẬP LIỆU'!$K:$K)</f>
        <v>0</v>
      </c>
      <c r="J94" s="156">
        <f>+SUMIF('NHẬP LIỆU'!$E:$E,NVL!$B94,'NHẬP LIỆU'!$L:$L)</f>
        <v>0</v>
      </c>
      <c r="K94" s="154">
        <f>+NVL!$H94+NVL!$I94-NVL!$J94</f>
        <v>0</v>
      </c>
      <c r="L94" s="155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23.25" customHeight="1">
      <c r="A95" s="147">
        <f t="shared" si="1"/>
        <v>21</v>
      </c>
      <c r="B95" s="170"/>
      <c r="C95" s="149"/>
      <c r="D95" s="330"/>
      <c r="E95" s="333"/>
      <c r="F95" s="333"/>
      <c r="G95" s="333"/>
      <c r="H95" s="152"/>
      <c r="I95" s="153">
        <f>+SUMIF('NHẬP LIỆU'!$E:$E,NVL!$B95,'NHẬP LIỆU'!$K:$K)</f>
        <v>0</v>
      </c>
      <c r="J95" s="156">
        <f>+SUMIF('NHẬP LIỆU'!$E:$E,NVL!$B95,'NHẬP LIỆU'!$L:$L)</f>
        <v>0</v>
      </c>
      <c r="K95" s="154">
        <f>+NVL!$H95+NVL!$I95-NVL!$J95</f>
        <v>0</v>
      </c>
      <c r="L95" s="155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23.25" customHeight="1">
      <c r="A96" s="147">
        <f t="shared" si="1"/>
        <v>21</v>
      </c>
      <c r="B96" s="170"/>
      <c r="C96" s="149"/>
      <c r="D96" s="330"/>
      <c r="E96" s="333"/>
      <c r="F96" s="333"/>
      <c r="G96" s="333"/>
      <c r="H96" s="152"/>
      <c r="I96" s="153">
        <f>+SUMIF('NHẬP LIỆU'!$E:$E,NVL!$B96,'NHẬP LIỆU'!$K:$K)</f>
        <v>0</v>
      </c>
      <c r="J96" s="156">
        <f>+SUMIF('NHẬP LIỆU'!$E:$E,NVL!$B96,'NHẬP LIỆU'!$L:$L)</f>
        <v>0</v>
      </c>
      <c r="K96" s="154">
        <f>+NVL!$H96+NVL!$I96-NVL!$J96</f>
        <v>0</v>
      </c>
      <c r="L96" s="155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23.25" customHeight="1">
      <c r="A97" s="147">
        <f t="shared" si="1"/>
        <v>21</v>
      </c>
      <c r="B97" s="170"/>
      <c r="C97" s="149"/>
      <c r="D97" s="330"/>
      <c r="E97" s="333"/>
      <c r="F97" s="333"/>
      <c r="G97" s="333"/>
      <c r="H97" s="152"/>
      <c r="I97" s="153">
        <f>+SUMIF('NHẬP LIỆU'!$E:$E,NVL!$B97,'NHẬP LIỆU'!$K:$K)</f>
        <v>0</v>
      </c>
      <c r="J97" s="156">
        <f>+SUMIF('NHẬP LIỆU'!$E:$E,NVL!$B97,'NHẬP LIỆU'!$L:$L)</f>
        <v>0</v>
      </c>
      <c r="K97" s="154">
        <f>+NVL!$H97+NVL!$I97-NVL!$J97</f>
        <v>0</v>
      </c>
      <c r="L97" s="155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23.25" customHeight="1">
      <c r="A98" s="147">
        <f t="shared" si="1"/>
        <v>21</v>
      </c>
      <c r="B98" s="170"/>
      <c r="C98" s="149"/>
      <c r="D98" s="330"/>
      <c r="E98" s="333"/>
      <c r="F98" s="333"/>
      <c r="G98" s="333"/>
      <c r="H98" s="152"/>
      <c r="I98" s="153">
        <f>+SUMIF('NHẬP LIỆU'!$E:$E,NVL!$B98,'NHẬP LIỆU'!$K:$K)</f>
        <v>0</v>
      </c>
      <c r="J98" s="156">
        <f>+SUMIF('NHẬP LIỆU'!$E:$E,NVL!$B98,'NHẬP LIỆU'!$L:$L)</f>
        <v>0</v>
      </c>
      <c r="K98" s="154">
        <f>+NVL!$H98+NVL!$I98-NVL!$J98</f>
        <v>0</v>
      </c>
      <c r="L98" s="155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23.25" customHeight="1">
      <c r="A99" s="147">
        <f t="shared" si="1"/>
        <v>21</v>
      </c>
      <c r="B99" s="170"/>
      <c r="C99" s="149"/>
      <c r="D99" s="330"/>
      <c r="E99" s="333"/>
      <c r="F99" s="333"/>
      <c r="G99" s="333"/>
      <c r="H99" s="152"/>
      <c r="I99" s="153">
        <f>+SUMIF('NHẬP LIỆU'!$E:$E,NVL!$B99,'NHẬP LIỆU'!$K:$K)</f>
        <v>0</v>
      </c>
      <c r="J99" s="156">
        <f>+SUMIF('NHẬP LIỆU'!$E:$E,NVL!$B99,'NHẬP LIỆU'!$L:$L)</f>
        <v>0</v>
      </c>
      <c r="K99" s="154">
        <f>+NVL!$H99+NVL!$I99-NVL!$J99</f>
        <v>0</v>
      </c>
      <c r="L99" s="155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23.25" customHeight="1">
      <c r="A100" s="147">
        <f t="shared" si="1"/>
        <v>21</v>
      </c>
      <c r="B100" s="170"/>
      <c r="C100" s="149"/>
      <c r="D100" s="330"/>
      <c r="E100" s="333"/>
      <c r="F100" s="333"/>
      <c r="G100" s="333"/>
      <c r="H100" s="152"/>
      <c r="I100" s="153">
        <f>+SUMIF('NHẬP LIỆU'!$E:$E,NVL!$B100,'NHẬP LIỆU'!$K:$K)</f>
        <v>0</v>
      </c>
      <c r="J100" s="156">
        <f>+SUMIF('NHẬP LIỆU'!$E:$E,NVL!$B100,'NHẬP LIỆU'!$L:$L)</f>
        <v>0</v>
      </c>
      <c r="K100" s="154">
        <f>+NVL!$H100+NVL!$I100-NVL!$J100</f>
        <v>0</v>
      </c>
      <c r="L100" s="155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23.25" customHeight="1">
      <c r="A101" s="147">
        <f t="shared" si="1"/>
        <v>21</v>
      </c>
      <c r="B101" s="170"/>
      <c r="C101" s="149"/>
      <c r="D101" s="330"/>
      <c r="E101" s="333"/>
      <c r="F101" s="333"/>
      <c r="G101" s="333"/>
      <c r="H101" s="152"/>
      <c r="I101" s="153">
        <f>+SUMIF('NHẬP LIỆU'!$E:$E,NVL!$B101,'NHẬP LIỆU'!$K:$K)</f>
        <v>0</v>
      </c>
      <c r="J101" s="156">
        <f>+SUMIF('NHẬP LIỆU'!$E:$E,NVL!$B101,'NHẬP LIỆU'!$L:$L)</f>
        <v>0</v>
      </c>
      <c r="K101" s="154">
        <f>+NVL!$H101+NVL!$I101-NVL!$J101</f>
        <v>0</v>
      </c>
      <c r="L101" s="155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23.25" customHeight="1">
      <c r="A102" s="147">
        <f t="shared" si="1"/>
        <v>21</v>
      </c>
      <c r="B102" s="170"/>
      <c r="C102" s="149"/>
      <c r="D102" s="330"/>
      <c r="E102" s="333"/>
      <c r="F102" s="333"/>
      <c r="G102" s="333"/>
      <c r="H102" s="152"/>
      <c r="I102" s="153">
        <f>+SUMIF('NHẬP LIỆU'!$E:$E,NVL!$B102,'NHẬP LIỆU'!$K:$K)</f>
        <v>0</v>
      </c>
      <c r="J102" s="156">
        <f>+SUMIF('NHẬP LIỆU'!$E:$E,NVL!$B102,'NHẬP LIỆU'!$L:$L)</f>
        <v>0</v>
      </c>
      <c r="K102" s="154">
        <f>+NVL!$H102+NVL!$I102-NVL!$J102</f>
        <v>0</v>
      </c>
      <c r="L102" s="155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23.25" customHeight="1">
      <c r="A103" s="147">
        <f t="shared" si="1"/>
        <v>21</v>
      </c>
      <c r="B103" s="170"/>
      <c r="C103" s="149"/>
      <c r="D103" s="330"/>
      <c r="E103" s="333"/>
      <c r="F103" s="333"/>
      <c r="G103" s="333"/>
      <c r="H103" s="152"/>
      <c r="I103" s="153">
        <f>+SUMIF('NHẬP LIỆU'!$E:$E,NVL!$B103,'NHẬP LIỆU'!$K:$K)</f>
        <v>0</v>
      </c>
      <c r="J103" s="156">
        <f>+SUMIF('NHẬP LIỆU'!$E:$E,NVL!$B103,'NHẬP LIỆU'!$L:$L)</f>
        <v>0</v>
      </c>
      <c r="K103" s="154">
        <f>+NVL!$H103+NVL!$I103-NVL!$J103</f>
        <v>0</v>
      </c>
      <c r="L103" s="155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23.25" customHeight="1">
      <c r="A104" s="147">
        <f t="shared" si="1"/>
        <v>21</v>
      </c>
      <c r="B104" s="170"/>
      <c r="C104" s="149"/>
      <c r="D104" s="330"/>
      <c r="E104" s="333"/>
      <c r="F104" s="333"/>
      <c r="G104" s="333"/>
      <c r="H104" s="152"/>
      <c r="I104" s="153">
        <f>+SUMIF('NHẬP LIỆU'!$E:$E,NVL!$B104,'NHẬP LIỆU'!$K:$K)</f>
        <v>0</v>
      </c>
      <c r="J104" s="156">
        <f>+SUMIF('NHẬP LIỆU'!$E:$E,NVL!$B104,'NHẬP LIỆU'!$L:$L)</f>
        <v>0</v>
      </c>
      <c r="K104" s="154">
        <f>+NVL!$H104+NVL!$I104-NVL!$J104</f>
        <v>0</v>
      </c>
      <c r="L104" s="155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23.25" customHeight="1">
      <c r="A105" s="147">
        <f t="shared" si="1"/>
        <v>21</v>
      </c>
      <c r="B105" s="170"/>
      <c r="C105" s="149"/>
      <c r="D105" s="330"/>
      <c r="E105" s="333"/>
      <c r="F105" s="333"/>
      <c r="G105" s="333"/>
      <c r="H105" s="152"/>
      <c r="I105" s="153">
        <f>+SUMIF('NHẬP LIỆU'!$E:$E,NVL!$B105,'NHẬP LIỆU'!$K:$K)</f>
        <v>0</v>
      </c>
      <c r="J105" s="156">
        <f>+SUMIF('NHẬP LIỆU'!$E:$E,NVL!$B105,'NHẬP LIỆU'!$L:$L)</f>
        <v>0</v>
      </c>
      <c r="K105" s="154">
        <f>+NVL!$H105+NVL!$I105-NVL!$J105</f>
        <v>0</v>
      </c>
      <c r="L105" s="155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23.25" customHeight="1">
      <c r="A106" s="147">
        <f t="shared" si="1"/>
        <v>21</v>
      </c>
      <c r="B106" s="170"/>
      <c r="C106" s="149"/>
      <c r="D106" s="330"/>
      <c r="E106" s="333"/>
      <c r="F106" s="333"/>
      <c r="G106" s="333"/>
      <c r="H106" s="152"/>
      <c r="I106" s="153">
        <f>+SUMIF('NHẬP LIỆU'!$E:$E,NVL!$B106,'NHẬP LIỆU'!$K:$K)</f>
        <v>0</v>
      </c>
      <c r="J106" s="156">
        <f>+SUMIF('NHẬP LIỆU'!$E:$E,NVL!$B106,'NHẬP LIỆU'!$L:$L)</f>
        <v>0</v>
      </c>
      <c r="K106" s="154">
        <f>+NVL!$H106+NVL!$I106-NVL!$J106</f>
        <v>0</v>
      </c>
      <c r="L106" s="155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23.25" customHeight="1">
      <c r="A107" s="147">
        <f t="shared" si="1"/>
        <v>21</v>
      </c>
      <c r="B107" s="170"/>
      <c r="C107" s="149"/>
      <c r="D107" s="330"/>
      <c r="E107" s="333"/>
      <c r="F107" s="333"/>
      <c r="G107" s="333"/>
      <c r="H107" s="152"/>
      <c r="I107" s="153">
        <f>+SUMIF('NHẬP LIỆU'!$E:$E,NVL!$B107,'NHẬP LIỆU'!$K:$K)</f>
        <v>0</v>
      </c>
      <c r="J107" s="156">
        <f>+SUMIF('NHẬP LIỆU'!$E:$E,NVL!$B107,'NHẬP LIỆU'!$L:$L)</f>
        <v>0</v>
      </c>
      <c r="K107" s="154">
        <f>+NVL!$H107+NVL!$I107-NVL!$J107</f>
        <v>0</v>
      </c>
      <c r="L107" s="155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23.25" customHeight="1">
      <c r="A108" s="147">
        <f t="shared" si="1"/>
        <v>21</v>
      </c>
      <c r="B108" s="170"/>
      <c r="C108" s="149"/>
      <c r="D108" s="330"/>
      <c r="E108" s="333"/>
      <c r="F108" s="333"/>
      <c r="G108" s="333"/>
      <c r="H108" s="152"/>
      <c r="I108" s="153">
        <f>+SUMIF('NHẬP LIỆU'!$E:$E,NVL!$B108,'NHẬP LIỆU'!$K:$K)</f>
        <v>0</v>
      </c>
      <c r="J108" s="156">
        <f>+SUMIF('NHẬP LIỆU'!$E:$E,NVL!$B108,'NHẬP LIỆU'!$L:$L)</f>
        <v>0</v>
      </c>
      <c r="K108" s="154">
        <f>+NVL!$H108+NVL!$I108-NVL!$J108</f>
        <v>0</v>
      </c>
      <c r="L108" s="155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23.25" customHeight="1">
      <c r="A109" s="147">
        <f t="shared" si="1"/>
        <v>21</v>
      </c>
      <c r="B109" s="170"/>
      <c r="C109" s="149"/>
      <c r="D109" s="330"/>
      <c r="E109" s="333"/>
      <c r="F109" s="333"/>
      <c r="G109" s="333"/>
      <c r="H109" s="152"/>
      <c r="I109" s="153">
        <f>+SUMIF('NHẬP LIỆU'!$E:$E,NVL!$B109,'NHẬP LIỆU'!$K:$K)</f>
        <v>0</v>
      </c>
      <c r="J109" s="156">
        <f>+SUMIF('NHẬP LIỆU'!$E:$E,NVL!$B109,'NHẬP LIỆU'!$L:$L)</f>
        <v>0</v>
      </c>
      <c r="K109" s="154">
        <f>+NVL!$H109+NVL!$I109-NVL!$J109</f>
        <v>0</v>
      </c>
      <c r="L109" s="155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23.25" customHeight="1">
      <c r="A110" s="147">
        <f t="shared" si="1"/>
        <v>21</v>
      </c>
      <c r="B110" s="170"/>
      <c r="C110" s="149"/>
      <c r="D110" s="330"/>
      <c r="E110" s="333"/>
      <c r="F110" s="333"/>
      <c r="G110" s="333"/>
      <c r="H110" s="152"/>
      <c r="I110" s="153">
        <f>+SUMIF('NHẬP LIỆU'!$E:$E,NVL!$B110,'NHẬP LIỆU'!$K:$K)</f>
        <v>0</v>
      </c>
      <c r="J110" s="156">
        <f>+SUMIF('NHẬP LIỆU'!$E:$E,NVL!$B110,'NHẬP LIỆU'!$L:$L)</f>
        <v>0</v>
      </c>
      <c r="K110" s="154">
        <f>+NVL!$H110+NVL!$I110-NVL!$J110</f>
        <v>0</v>
      </c>
      <c r="L110" s="172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23.25" customHeight="1">
      <c r="A111" s="147">
        <f t="shared" si="1"/>
        <v>21</v>
      </c>
      <c r="B111" s="170"/>
      <c r="C111" s="149"/>
      <c r="D111" s="330"/>
      <c r="E111" s="333"/>
      <c r="F111" s="333"/>
      <c r="G111" s="333"/>
      <c r="H111" s="152"/>
      <c r="I111" s="153">
        <f>+SUMIF('NHẬP LIỆU'!$E:$E,NVL!$B111,'NHẬP LIỆU'!$K:$K)</f>
        <v>0</v>
      </c>
      <c r="J111" s="156">
        <f>+SUMIF('NHẬP LIỆU'!$E:$E,NVL!$B111,'NHẬP LIỆU'!$L:$L)</f>
        <v>0</v>
      </c>
      <c r="K111" s="154">
        <f>+NVL!$H111+NVL!$I111-NVL!$J111</f>
        <v>0</v>
      </c>
      <c r="L111" s="155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23.25" customHeight="1">
      <c r="A112" s="147">
        <f t="shared" si="1"/>
        <v>21</v>
      </c>
      <c r="B112" s="170"/>
      <c r="C112" s="149"/>
      <c r="D112" s="330"/>
      <c r="E112" s="333"/>
      <c r="F112" s="333"/>
      <c r="G112" s="333"/>
      <c r="H112" s="152"/>
      <c r="I112" s="153">
        <f>+SUMIF('NHẬP LIỆU'!$E:$E,NVL!$B112,'NHẬP LIỆU'!$K:$K)</f>
        <v>0</v>
      </c>
      <c r="J112" s="156">
        <f>+SUMIF('NHẬP LIỆU'!$E:$E,NVL!$B112,'NHẬP LIỆU'!$L:$L)</f>
        <v>0</v>
      </c>
      <c r="K112" s="154">
        <f>+NVL!$H112+NVL!$I112-NVL!$J112</f>
        <v>0</v>
      </c>
      <c r="L112" s="155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23.25" customHeight="1">
      <c r="A113" s="147">
        <f t="shared" si="1"/>
        <v>21</v>
      </c>
      <c r="B113" s="170"/>
      <c r="C113" s="149"/>
      <c r="D113" s="330"/>
      <c r="E113" s="333"/>
      <c r="F113" s="333"/>
      <c r="G113" s="333"/>
      <c r="H113" s="152"/>
      <c r="I113" s="153">
        <f>+SUMIF('NHẬP LIỆU'!$E:$E,NVL!$B113,'NHẬP LIỆU'!$K:$K)</f>
        <v>0</v>
      </c>
      <c r="J113" s="156">
        <f>+SUMIF('NHẬP LIỆU'!$E:$E,NVL!$B113,'NHẬP LIỆU'!$L:$L)</f>
        <v>0</v>
      </c>
      <c r="K113" s="154">
        <f>+NVL!$H113+NVL!$I113-NVL!$J113</f>
        <v>0</v>
      </c>
      <c r="L113" s="155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23.25" customHeight="1">
      <c r="A114" s="147">
        <f t="shared" si="1"/>
        <v>21</v>
      </c>
      <c r="B114" s="170"/>
      <c r="C114" s="149"/>
      <c r="D114" s="330"/>
      <c r="E114" s="333"/>
      <c r="F114" s="333"/>
      <c r="G114" s="333"/>
      <c r="H114" s="152"/>
      <c r="I114" s="153">
        <f>+SUMIF('NHẬP LIỆU'!$E:$E,NVL!$B114,'NHẬP LIỆU'!$K:$K)</f>
        <v>0</v>
      </c>
      <c r="J114" s="156">
        <f>+SUMIF('NHẬP LIỆU'!$E:$E,NVL!$B114,'NHẬP LIỆU'!$L:$L)</f>
        <v>0</v>
      </c>
      <c r="K114" s="154">
        <f>+NVL!$H114+NVL!$I114-NVL!$J114</f>
        <v>0</v>
      </c>
      <c r="L114" s="155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23.25" customHeight="1">
      <c r="A115" s="147">
        <f t="shared" si="1"/>
        <v>21</v>
      </c>
      <c r="B115" s="170"/>
      <c r="C115" s="149"/>
      <c r="D115" s="330"/>
      <c r="E115" s="333"/>
      <c r="F115" s="333"/>
      <c r="G115" s="333"/>
      <c r="H115" s="152"/>
      <c r="I115" s="153">
        <f>+SUMIF('NHẬP LIỆU'!$E:$E,NVL!$B115,'NHẬP LIỆU'!$K:$K)</f>
        <v>0</v>
      </c>
      <c r="J115" s="156">
        <f>+SUMIF('NHẬP LIỆU'!$E:$E,NVL!$B115,'NHẬP LIỆU'!$L:$L)</f>
        <v>0</v>
      </c>
      <c r="K115" s="154">
        <f>+NVL!$H115+NVL!$I115-NVL!$J115</f>
        <v>0</v>
      </c>
      <c r="L115" s="155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23.25" customHeight="1">
      <c r="A116" s="147">
        <f t="shared" si="1"/>
        <v>21</v>
      </c>
      <c r="B116" s="170"/>
      <c r="C116" s="149"/>
      <c r="D116" s="330"/>
      <c r="E116" s="333"/>
      <c r="F116" s="333"/>
      <c r="G116" s="333"/>
      <c r="H116" s="152"/>
      <c r="I116" s="153">
        <f>+SUMIF('NHẬP LIỆU'!$E:$E,NVL!$B116,'NHẬP LIỆU'!$K:$K)</f>
        <v>0</v>
      </c>
      <c r="J116" s="156">
        <f>+SUMIF('NHẬP LIỆU'!$E:$E,NVL!$B116,'NHẬP LIỆU'!$L:$L)</f>
        <v>0</v>
      </c>
      <c r="K116" s="154">
        <f>+NVL!$H116+NVL!$I116-NVL!$J116</f>
        <v>0</v>
      </c>
      <c r="L116" s="155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23.25" customHeight="1">
      <c r="A117" s="147">
        <f t="shared" si="1"/>
        <v>21</v>
      </c>
      <c r="B117" s="170"/>
      <c r="C117" s="149"/>
      <c r="D117" s="150"/>
      <c r="E117" s="344"/>
      <c r="F117" s="344"/>
      <c r="G117" s="344"/>
      <c r="H117" s="152"/>
      <c r="I117" s="153">
        <f>+SUMIF('NHẬP LIỆU'!$E:$E,NVL!$B117,'NHẬP LIỆU'!$K:$K)</f>
        <v>0</v>
      </c>
      <c r="J117" s="156">
        <f>+SUMIF('NHẬP LIỆU'!$E:$E,NVL!$B117,'NHẬP LIỆU'!$L:$L)</f>
        <v>0</v>
      </c>
      <c r="K117" s="154">
        <f>+NVL!$H117+NVL!$I117-NVL!$J117</f>
        <v>0</v>
      </c>
      <c r="L117" s="155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23.25" customHeight="1">
      <c r="A118" s="147">
        <f t="shared" si="1"/>
        <v>21</v>
      </c>
      <c r="B118" s="170"/>
      <c r="C118" s="149"/>
      <c r="D118" s="150"/>
      <c r="E118" s="344"/>
      <c r="F118" s="344"/>
      <c r="G118" s="344"/>
      <c r="H118" s="152"/>
      <c r="I118" s="153">
        <f>+SUMIF('NHẬP LIỆU'!$E:$E,NVL!$B118,'NHẬP LIỆU'!$K:$K)</f>
        <v>0</v>
      </c>
      <c r="J118" s="156">
        <f>+SUMIF('NHẬP LIỆU'!$E:$E,NVL!$B118,'NHẬP LIỆU'!$L:$L)</f>
        <v>0</v>
      </c>
      <c r="K118" s="154">
        <f>+NVL!$H118+NVL!$I118-NVL!$J118</f>
        <v>0</v>
      </c>
      <c r="L118" s="155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23.25" customHeight="1">
      <c r="A119" s="147">
        <f t="shared" si="1"/>
        <v>21</v>
      </c>
      <c r="B119" s="170"/>
      <c r="C119" s="149"/>
      <c r="D119" s="150"/>
      <c r="E119" s="331"/>
      <c r="F119" s="331"/>
      <c r="G119" s="331"/>
      <c r="H119" s="152"/>
      <c r="I119" s="153">
        <f>+SUMIF('NHẬP LIỆU'!$E:$E,NVL!$B119,'NHẬP LIỆU'!$K:$K)</f>
        <v>0</v>
      </c>
      <c r="J119" s="156">
        <f>+SUMIF('NHẬP LIỆU'!$E:$E,NVL!$B119,'NHẬP LIỆU'!$L:$L)</f>
        <v>0</v>
      </c>
      <c r="K119" s="154">
        <f>+NVL!$H119+NVL!$I119-NVL!$J119</f>
        <v>0</v>
      </c>
      <c r="L119" s="155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23.25" customHeight="1">
      <c r="A120" s="147">
        <f t="shared" si="1"/>
        <v>21</v>
      </c>
      <c r="B120" s="170"/>
      <c r="C120" s="149"/>
      <c r="D120" s="150"/>
      <c r="E120" s="331"/>
      <c r="F120" s="331"/>
      <c r="G120" s="331"/>
      <c r="H120" s="152"/>
      <c r="I120" s="153">
        <f>+SUMIF('NHẬP LIỆU'!$E:$E,NVL!$B120,'NHẬP LIỆU'!$K:$K)</f>
        <v>0</v>
      </c>
      <c r="J120" s="156">
        <f>+SUMIF('NHẬP LIỆU'!$E:$E,NVL!$B120,'NHẬP LIỆU'!$L:$L)</f>
        <v>0</v>
      </c>
      <c r="K120" s="154">
        <f>+NVL!$H120+NVL!$I120-NVL!$J120</f>
        <v>0</v>
      </c>
      <c r="L120" s="155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23.25" customHeight="1">
      <c r="A121" s="147">
        <f t="shared" si="1"/>
        <v>21</v>
      </c>
      <c r="B121" s="170"/>
      <c r="C121" s="149"/>
      <c r="D121" s="150"/>
      <c r="E121" s="331"/>
      <c r="F121" s="331"/>
      <c r="G121" s="331"/>
      <c r="H121" s="152"/>
      <c r="I121" s="153">
        <f>+SUMIF('NHẬP LIỆU'!$E:$E,NVL!$B121,'NHẬP LIỆU'!$K:$K)</f>
        <v>0</v>
      </c>
      <c r="J121" s="156">
        <f>+SUMIF('NHẬP LIỆU'!$E:$E,NVL!$B121,'NHẬP LIỆU'!$L:$L)</f>
        <v>0</v>
      </c>
      <c r="K121" s="154">
        <f>+NVL!$H121+NVL!$I121-NVL!$J121</f>
        <v>0</v>
      </c>
      <c r="L121" s="155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23.25" customHeight="1">
      <c r="A122" s="147">
        <f t="shared" si="1"/>
        <v>21</v>
      </c>
      <c r="B122" s="170"/>
      <c r="C122" s="149"/>
      <c r="D122" s="150"/>
      <c r="E122" s="331"/>
      <c r="F122" s="331"/>
      <c r="G122" s="331"/>
      <c r="H122" s="152"/>
      <c r="I122" s="153">
        <f>+SUMIF('NHẬP LIỆU'!$E:$E,NVL!$B122,'NHẬP LIỆU'!$K:$K)</f>
        <v>0</v>
      </c>
      <c r="J122" s="156">
        <f>+SUMIF('NHẬP LIỆU'!$E:$E,NVL!$B122,'NHẬP LIỆU'!$L:$L)</f>
        <v>0</v>
      </c>
      <c r="K122" s="154">
        <f>+NVL!$H122+NVL!$I122-NVL!$J122</f>
        <v>0</v>
      </c>
      <c r="L122" s="155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23.25" customHeight="1">
      <c r="A123" s="147">
        <f t="shared" si="1"/>
        <v>21</v>
      </c>
      <c r="B123" s="170"/>
      <c r="C123" s="149"/>
      <c r="D123" s="150"/>
      <c r="E123" s="331"/>
      <c r="F123" s="331"/>
      <c r="G123" s="331"/>
      <c r="H123" s="152"/>
      <c r="I123" s="153">
        <f>+SUMIF('NHẬP LIỆU'!$E:$E,NVL!$B123,'NHẬP LIỆU'!$K:$K)</f>
        <v>0</v>
      </c>
      <c r="J123" s="156">
        <f>+SUMIF('NHẬP LIỆU'!$E:$E,NVL!$B123,'NHẬP LIỆU'!$L:$L)</f>
        <v>0</v>
      </c>
      <c r="K123" s="154">
        <f>+NVL!$H123+NVL!$I123-NVL!$J123</f>
        <v>0</v>
      </c>
      <c r="L123" s="155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23.25" customHeight="1">
      <c r="A124" s="147">
        <f t="shared" si="1"/>
        <v>21</v>
      </c>
      <c r="B124" s="148"/>
      <c r="C124" s="149"/>
      <c r="D124" s="150"/>
      <c r="E124" s="331"/>
      <c r="F124" s="331"/>
      <c r="G124" s="331"/>
      <c r="H124" s="152"/>
      <c r="I124" s="153">
        <f>+SUMIF('NHẬP LIỆU'!$E:$E,NVL!$B124,'NHẬP LIỆU'!$K:$K)</f>
        <v>0</v>
      </c>
      <c r="J124" s="156">
        <f>+SUMIF('NHẬP LIỆU'!$E:$E,NVL!$B124,'NHẬP LIỆU'!$L:$L)</f>
        <v>0</v>
      </c>
      <c r="K124" s="154">
        <f>+NVL!$H124+NVL!$I124-NVL!$J124</f>
        <v>0</v>
      </c>
      <c r="L124" s="155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23.25" customHeight="1">
      <c r="A125" s="147">
        <f t="shared" si="1"/>
        <v>21</v>
      </c>
      <c r="B125" s="148"/>
      <c r="C125" s="149"/>
      <c r="D125" s="150"/>
      <c r="E125" s="331"/>
      <c r="F125" s="331"/>
      <c r="G125" s="331"/>
      <c r="H125" s="152"/>
      <c r="I125" s="153">
        <f>+SUMIF('NHẬP LIỆU'!$E:$E,NVL!$B125,'NHẬP LIỆU'!$K:$K)</f>
        <v>0</v>
      </c>
      <c r="J125" s="156">
        <f>+SUMIF('NHẬP LIỆU'!$E:$E,NVL!$B125,'NHẬP LIỆU'!$L:$L)</f>
        <v>0</v>
      </c>
      <c r="K125" s="154">
        <f>+NVL!$H125+NVL!$I125-NVL!$J125</f>
        <v>0</v>
      </c>
      <c r="L125" s="155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23.25" customHeight="1">
      <c r="A126" s="147">
        <f t="shared" si="1"/>
        <v>21</v>
      </c>
      <c r="B126" s="148"/>
      <c r="C126" s="149"/>
      <c r="D126" s="150"/>
      <c r="E126" s="331"/>
      <c r="F126" s="331"/>
      <c r="G126" s="331"/>
      <c r="H126" s="152"/>
      <c r="I126" s="153">
        <f>+SUMIF('NHẬP LIỆU'!$E:$E,NVL!$B126,'NHẬP LIỆU'!$K:$K)</f>
        <v>0</v>
      </c>
      <c r="J126" s="156">
        <f>+SUMIF('NHẬP LIỆU'!$E:$E,NVL!$B126,'NHẬP LIỆU'!$L:$L)</f>
        <v>0</v>
      </c>
      <c r="K126" s="154">
        <f>+NVL!$H126+NVL!$I126-NVL!$J126</f>
        <v>0</v>
      </c>
      <c r="L126" s="155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23.25" customHeight="1">
      <c r="A127" s="147">
        <f t="shared" si="1"/>
        <v>21</v>
      </c>
      <c r="B127" s="148"/>
      <c r="C127" s="149"/>
      <c r="D127" s="150"/>
      <c r="E127" s="331"/>
      <c r="F127" s="331"/>
      <c r="G127" s="331"/>
      <c r="H127" s="152"/>
      <c r="I127" s="153">
        <f>+SUMIF('NHẬP LIỆU'!$E:$E,NVL!$B127,'NHẬP LIỆU'!$K:$K)</f>
        <v>0</v>
      </c>
      <c r="J127" s="156">
        <f>+SUMIF('NHẬP LIỆU'!$E:$E,NVL!$B127,'NHẬP LIỆU'!$L:$L)</f>
        <v>0</v>
      </c>
      <c r="K127" s="154">
        <f>+NVL!$H127+NVL!$I127-NVL!$J127</f>
        <v>0</v>
      </c>
      <c r="L127" s="155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23.25" customHeight="1">
      <c r="A128" s="147">
        <f t="shared" si="1"/>
        <v>21</v>
      </c>
      <c r="B128" s="148"/>
      <c r="C128" s="149"/>
      <c r="D128" s="150"/>
      <c r="E128" s="331"/>
      <c r="F128" s="331"/>
      <c r="G128" s="331"/>
      <c r="H128" s="152"/>
      <c r="I128" s="153">
        <f>+SUMIF('NHẬP LIỆU'!$E:$E,NVL!$B128,'NHẬP LIỆU'!$K:$K)</f>
        <v>0</v>
      </c>
      <c r="J128" s="156">
        <f>+SUMIF('NHẬP LIỆU'!$E:$E,NVL!$B128,'NHẬP LIỆU'!$L:$L)</f>
        <v>0</v>
      </c>
      <c r="K128" s="154">
        <f>+NVL!$H128+NVL!$I128-NVL!$J128</f>
        <v>0</v>
      </c>
      <c r="L128" s="155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23.25" customHeight="1">
      <c r="A129" s="147">
        <f t="shared" si="1"/>
        <v>21</v>
      </c>
      <c r="B129" s="148"/>
      <c r="C129" s="149"/>
      <c r="D129" s="150"/>
      <c r="E129" s="331"/>
      <c r="F129" s="331"/>
      <c r="G129" s="331"/>
      <c r="H129" s="152"/>
      <c r="I129" s="153">
        <f>+SUMIF('NHẬP LIỆU'!$E:$E,NVL!$B129,'NHẬP LIỆU'!$K:$K)</f>
        <v>0</v>
      </c>
      <c r="J129" s="156">
        <f>+SUMIF('NHẬP LIỆU'!$E:$E,NVL!$B129,'NHẬP LIỆU'!$L:$L)</f>
        <v>0</v>
      </c>
      <c r="K129" s="154">
        <f>+NVL!$H129+NVL!$I129-NVL!$J129</f>
        <v>0</v>
      </c>
      <c r="L129" s="155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23.25" customHeight="1">
      <c r="A130" s="147">
        <f t="shared" si="1"/>
        <v>21</v>
      </c>
      <c r="B130" s="148"/>
      <c r="C130" s="149"/>
      <c r="D130" s="150"/>
      <c r="E130" s="331"/>
      <c r="F130" s="331"/>
      <c r="G130" s="331"/>
      <c r="H130" s="152"/>
      <c r="I130" s="153">
        <f>+SUMIF('NHẬP LIỆU'!$E:$E,NVL!$B130,'NHẬP LIỆU'!$K:$K)</f>
        <v>0</v>
      </c>
      <c r="J130" s="156">
        <f>+SUMIF('NHẬP LIỆU'!$E:$E,NVL!$B130,'NHẬP LIỆU'!$L:$L)</f>
        <v>0</v>
      </c>
      <c r="K130" s="154">
        <f>+NVL!$H130+NVL!$I130-NVL!$J130</f>
        <v>0</v>
      </c>
      <c r="L130" s="172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23.25" customHeight="1">
      <c r="A131" s="147">
        <f t="shared" si="1"/>
        <v>21</v>
      </c>
      <c r="B131" s="148"/>
      <c r="C131" s="149"/>
      <c r="D131" s="150"/>
      <c r="E131" s="331"/>
      <c r="F131" s="331"/>
      <c r="G131" s="331"/>
      <c r="H131" s="152"/>
      <c r="I131" s="153">
        <f>+SUMIF('NHẬP LIỆU'!$E:$E,NVL!$B131,'NHẬP LIỆU'!$K:$K)</f>
        <v>0</v>
      </c>
      <c r="J131" s="156">
        <f>+SUMIF('NHẬP LIỆU'!$E:$E,NVL!$B131,'NHẬP LIỆU'!$L:$L)</f>
        <v>0</v>
      </c>
      <c r="K131" s="154">
        <f>+NVL!$H131+NVL!$I131-NVL!$J131</f>
        <v>0</v>
      </c>
      <c r="L131" s="155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23.25" customHeight="1">
      <c r="A132" s="147">
        <f t="shared" si="1"/>
        <v>21</v>
      </c>
      <c r="B132" s="148"/>
      <c r="C132" s="167"/>
      <c r="D132" s="150"/>
      <c r="E132" s="331"/>
      <c r="F132" s="331"/>
      <c r="G132" s="331"/>
      <c r="H132" s="152"/>
      <c r="I132" s="153">
        <f>+SUMIF('NHẬP LIỆU'!$E:$E,NVL!$B132,'NHẬP LIỆU'!$K:$K)</f>
        <v>0</v>
      </c>
      <c r="J132" s="156">
        <f>+SUMIF('NHẬP LIỆU'!$E:$E,NVL!$B132,'NHẬP LIỆU'!$L:$L)</f>
        <v>0</v>
      </c>
      <c r="K132" s="154">
        <f>+NVL!$H132+NVL!$I132-NVL!$J132</f>
        <v>0</v>
      </c>
      <c r="L132" s="155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23.25" customHeight="1">
      <c r="A133" s="147">
        <f t="shared" si="1"/>
        <v>21</v>
      </c>
      <c r="B133" s="148"/>
      <c r="C133" s="167"/>
      <c r="D133" s="150"/>
      <c r="E133" s="331"/>
      <c r="F133" s="331"/>
      <c r="G133" s="331"/>
      <c r="H133" s="152"/>
      <c r="I133" s="153">
        <f>+SUMIF('NHẬP LIỆU'!$E:$E,NVL!$B133,'NHẬP LIỆU'!$K:$K)</f>
        <v>0</v>
      </c>
      <c r="J133" s="156">
        <f>+SUMIF('NHẬP LIỆU'!$E:$E,NVL!$B133,'NHẬP LIỆU'!$L:$L)</f>
        <v>0</v>
      </c>
      <c r="K133" s="154">
        <f>+NVL!$H133+NVL!$I133-NVL!$J133</f>
        <v>0</v>
      </c>
      <c r="L133" s="155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23.25" customHeight="1">
      <c r="A134" s="147">
        <f t="shared" si="1"/>
        <v>21</v>
      </c>
      <c r="B134" s="148"/>
      <c r="C134" s="167"/>
      <c r="D134" s="150"/>
      <c r="E134" s="331"/>
      <c r="F134" s="331"/>
      <c r="G134" s="331"/>
      <c r="H134" s="152"/>
      <c r="I134" s="153">
        <f>+SUMIF('NHẬP LIỆU'!$E:$E,NVL!$B134,'NHẬP LIỆU'!$K:$K)</f>
        <v>0</v>
      </c>
      <c r="J134" s="156">
        <f>+SUMIF('NHẬP LIỆU'!$E:$E,NVL!$B134,'NHẬP LIỆU'!$L:$L)</f>
        <v>0</v>
      </c>
      <c r="K134" s="154">
        <f>+NVL!$H134+NVL!$I134-NVL!$J134</f>
        <v>0</v>
      </c>
      <c r="L134" s="155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23.25" customHeight="1">
      <c r="A135" s="147">
        <f t="shared" si="1"/>
        <v>21</v>
      </c>
      <c r="B135" s="148"/>
      <c r="C135" s="167"/>
      <c r="D135" s="150"/>
      <c r="E135" s="331"/>
      <c r="F135" s="331"/>
      <c r="G135" s="331"/>
      <c r="H135" s="152"/>
      <c r="I135" s="153">
        <f>+SUMIF('NHẬP LIỆU'!$E:$E,NVL!$B135,'NHẬP LIỆU'!$K:$K)</f>
        <v>0</v>
      </c>
      <c r="J135" s="156">
        <f>+SUMIF('NHẬP LIỆU'!$E:$E,NVL!$B135,'NHẬP LIỆU'!$L:$L)</f>
        <v>0</v>
      </c>
      <c r="K135" s="154">
        <f>+NVL!$H135+NVL!$I135-NVL!$J135</f>
        <v>0</v>
      </c>
      <c r="L135" s="155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23.25" customHeight="1">
      <c r="A136" s="147">
        <f t="shared" si="1"/>
        <v>21</v>
      </c>
      <c r="B136" s="148"/>
      <c r="C136" s="167"/>
      <c r="D136" s="150"/>
      <c r="E136" s="331"/>
      <c r="F136" s="331"/>
      <c r="G136" s="331"/>
      <c r="H136" s="152"/>
      <c r="I136" s="153">
        <f>+SUMIF('NHẬP LIỆU'!$E:$E,NVL!$B136,'NHẬP LIỆU'!$K:$K)</f>
        <v>0</v>
      </c>
      <c r="J136" s="156">
        <f>+SUMIF('NHẬP LIỆU'!$E:$E,NVL!$B136,'NHẬP LIỆU'!$L:$L)</f>
        <v>0</v>
      </c>
      <c r="K136" s="154">
        <f>+NVL!$H136+NVL!$I136-NVL!$J136</f>
        <v>0</v>
      </c>
      <c r="L136" s="155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23.25" customHeight="1">
      <c r="A137" s="147">
        <f t="shared" si="1"/>
        <v>21</v>
      </c>
      <c r="B137" s="148"/>
      <c r="C137" s="167"/>
      <c r="D137" s="150"/>
      <c r="E137" s="331"/>
      <c r="F137" s="331"/>
      <c r="G137" s="331"/>
      <c r="H137" s="152"/>
      <c r="I137" s="153">
        <f>+SUMIF('NHẬP LIỆU'!$E:$E,NVL!$B137,'NHẬP LIỆU'!$K:$K)</f>
        <v>0</v>
      </c>
      <c r="J137" s="156">
        <f>+SUMIF('NHẬP LIỆU'!$E:$E,NVL!$B137,'NHẬP LIỆU'!$L:$L)</f>
        <v>0</v>
      </c>
      <c r="K137" s="154">
        <f>+NVL!$H137+NVL!$I137-NVL!$J137</f>
        <v>0</v>
      </c>
      <c r="L137" s="155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23.25" customHeight="1">
      <c r="A138" s="147">
        <f t="shared" si="1"/>
        <v>21</v>
      </c>
      <c r="B138" s="148"/>
      <c r="C138" s="167"/>
      <c r="D138" s="150"/>
      <c r="E138" s="331"/>
      <c r="F138" s="331"/>
      <c r="G138" s="331"/>
      <c r="H138" s="152"/>
      <c r="I138" s="153">
        <f>+SUMIF('NHẬP LIỆU'!$E:$E,NVL!$B138,'NHẬP LIỆU'!$K:$K)</f>
        <v>0</v>
      </c>
      <c r="J138" s="156">
        <f>+SUMIF('NHẬP LIỆU'!$E:$E,NVL!$B138,'NHẬP LIỆU'!$L:$L)</f>
        <v>0</v>
      </c>
      <c r="K138" s="154">
        <f>+NVL!$H138+NVL!$I138-NVL!$J138</f>
        <v>0</v>
      </c>
      <c r="L138" s="155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23.25" customHeight="1">
      <c r="A139" s="147">
        <f t="shared" si="1"/>
        <v>21</v>
      </c>
      <c r="B139" s="148"/>
      <c r="C139" s="167"/>
      <c r="D139" s="150"/>
      <c r="E139" s="331"/>
      <c r="F139" s="331"/>
      <c r="G139" s="331"/>
      <c r="H139" s="152"/>
      <c r="I139" s="153">
        <f>+SUMIF('NHẬP LIỆU'!$E:$E,NVL!$B139,'NHẬP LIỆU'!$K:$K)</f>
        <v>0</v>
      </c>
      <c r="J139" s="156">
        <f>+SUMIF('NHẬP LIỆU'!$E:$E,NVL!$B139,'NHẬP LIỆU'!$L:$L)</f>
        <v>0</v>
      </c>
      <c r="K139" s="154">
        <f>+NVL!$H139+NVL!$I139-NVL!$J139</f>
        <v>0</v>
      </c>
      <c r="L139" s="155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23.25" customHeight="1">
      <c r="A140" s="147">
        <f t="shared" si="1"/>
        <v>21</v>
      </c>
      <c r="B140" s="148"/>
      <c r="C140" s="167"/>
      <c r="D140" s="150"/>
      <c r="E140" s="331"/>
      <c r="F140" s="331"/>
      <c r="G140" s="331"/>
      <c r="H140" s="152"/>
      <c r="I140" s="153">
        <f>+SUMIF('NHẬP LIỆU'!$E:$E,NVL!$B140,'NHẬP LIỆU'!$K:$K)</f>
        <v>0</v>
      </c>
      <c r="J140" s="156">
        <f>+SUMIF('NHẬP LIỆU'!$E:$E,NVL!$B140,'NHẬP LIỆU'!$L:$L)</f>
        <v>0</v>
      </c>
      <c r="K140" s="154">
        <f>+NVL!$H140+NVL!$I140-NVL!$J140</f>
        <v>0</v>
      </c>
      <c r="L140" s="155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23.25" customHeight="1">
      <c r="A141" s="147">
        <f t="shared" si="1"/>
        <v>21</v>
      </c>
      <c r="B141" s="148"/>
      <c r="C141" s="167"/>
      <c r="D141" s="150"/>
      <c r="E141" s="331"/>
      <c r="F141" s="331"/>
      <c r="G141" s="331"/>
      <c r="H141" s="152"/>
      <c r="I141" s="153">
        <f>+SUMIF('NHẬP LIỆU'!$E:$E,NVL!$B141,'NHẬP LIỆU'!$K:$K)</f>
        <v>0</v>
      </c>
      <c r="J141" s="156">
        <f>+SUMIF('NHẬP LIỆU'!$E:$E,NVL!$B141,'NHẬP LIỆU'!$L:$L)</f>
        <v>0</v>
      </c>
      <c r="K141" s="154">
        <f>+NVL!$H141+NVL!$I141-NVL!$J141</f>
        <v>0</v>
      </c>
      <c r="L141" s="155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23.25" customHeight="1">
      <c r="A142" s="147">
        <f t="shared" si="1"/>
        <v>21</v>
      </c>
      <c r="B142" s="148"/>
      <c r="C142" s="167"/>
      <c r="D142" s="150"/>
      <c r="E142" s="331"/>
      <c r="F142" s="331"/>
      <c r="G142" s="331"/>
      <c r="H142" s="152"/>
      <c r="I142" s="153">
        <f>+SUMIF('NHẬP LIỆU'!$E:$E,NVL!$B142,'NHẬP LIỆU'!$K:$K)</f>
        <v>0</v>
      </c>
      <c r="J142" s="156">
        <f>+SUMIF('NHẬP LIỆU'!$E:$E,NVL!$B142,'NHẬP LIỆU'!$L:$L)</f>
        <v>0</v>
      </c>
      <c r="K142" s="154">
        <f>+NVL!$H142+NVL!$I142-NVL!$J142</f>
        <v>0</v>
      </c>
      <c r="L142" s="155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23.25" customHeight="1">
      <c r="A143" s="147">
        <f t="shared" si="1"/>
        <v>21</v>
      </c>
      <c r="B143" s="148"/>
      <c r="C143" s="167"/>
      <c r="D143" s="150"/>
      <c r="E143" s="331"/>
      <c r="F143" s="331"/>
      <c r="G143" s="331"/>
      <c r="H143" s="152"/>
      <c r="I143" s="153">
        <f>+SUMIF('NHẬP LIỆU'!$E:$E,NVL!$B143,'NHẬP LIỆU'!$K:$K)</f>
        <v>0</v>
      </c>
      <c r="J143" s="156">
        <f>+SUMIF('NHẬP LIỆU'!$E:$E,NVL!$B143,'NHẬP LIỆU'!$L:$L)</f>
        <v>0</v>
      </c>
      <c r="K143" s="154">
        <f>+NVL!$H143+NVL!$I143-NVL!$J143</f>
        <v>0</v>
      </c>
      <c r="L143" s="155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23.25" customHeight="1">
      <c r="A144" s="147">
        <f t="shared" si="1"/>
        <v>21</v>
      </c>
      <c r="B144" s="148"/>
      <c r="C144" s="167"/>
      <c r="D144" s="150"/>
      <c r="E144" s="331"/>
      <c r="F144" s="331"/>
      <c r="G144" s="331"/>
      <c r="H144" s="152"/>
      <c r="I144" s="153">
        <f>+SUMIF('NHẬP LIỆU'!$E:$E,NVL!$B144,'NHẬP LIỆU'!$K:$K)</f>
        <v>0</v>
      </c>
      <c r="J144" s="156">
        <f>+SUMIF('NHẬP LIỆU'!$E:$E,NVL!$B144,'NHẬP LIỆU'!$L:$L)</f>
        <v>0</v>
      </c>
      <c r="K144" s="154">
        <f>+NVL!$H144+NVL!$I144-NVL!$J144</f>
        <v>0</v>
      </c>
      <c r="L144" s="155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23.25" customHeight="1">
      <c r="A145" s="147">
        <f t="shared" si="1"/>
        <v>21</v>
      </c>
      <c r="B145" s="148"/>
      <c r="C145" s="167"/>
      <c r="D145" s="150"/>
      <c r="E145" s="331"/>
      <c r="F145" s="331"/>
      <c r="G145" s="331"/>
      <c r="H145" s="152"/>
      <c r="I145" s="153">
        <f>+SUMIF('NHẬP LIỆU'!$E:$E,NVL!$B145,'NHẬP LIỆU'!$K:$K)</f>
        <v>0</v>
      </c>
      <c r="J145" s="156">
        <f>+SUMIF('NHẬP LIỆU'!$E:$E,NVL!$B145,'NHẬP LIỆU'!$L:$L)</f>
        <v>0</v>
      </c>
      <c r="K145" s="154">
        <f>+NVL!$H145+NVL!$I145-NVL!$J145</f>
        <v>0</v>
      </c>
      <c r="L145" s="155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23.25" customHeight="1">
      <c r="A146" s="147">
        <f t="shared" si="1"/>
        <v>21</v>
      </c>
      <c r="B146" s="148"/>
      <c r="C146" s="167"/>
      <c r="D146" s="150"/>
      <c r="E146" s="331"/>
      <c r="F146" s="331"/>
      <c r="G146" s="331"/>
      <c r="H146" s="152"/>
      <c r="I146" s="153">
        <f>+SUMIF('NHẬP LIỆU'!$E:$E,NVL!$B146,'NHẬP LIỆU'!$K:$K)</f>
        <v>0</v>
      </c>
      <c r="J146" s="156">
        <f>+SUMIF('NHẬP LIỆU'!$E:$E,NVL!$B146,'NHẬP LIỆU'!$L:$L)</f>
        <v>0</v>
      </c>
      <c r="K146" s="154">
        <f>+NVL!$H146+NVL!$I146-NVL!$J146</f>
        <v>0</v>
      </c>
      <c r="L146" s="155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23.25" customHeight="1">
      <c r="A147" s="147">
        <f t="shared" si="1"/>
        <v>21</v>
      </c>
      <c r="B147" s="148"/>
      <c r="C147" s="167"/>
      <c r="D147" s="150"/>
      <c r="E147" s="331"/>
      <c r="F147" s="331"/>
      <c r="G147" s="331"/>
      <c r="H147" s="152"/>
      <c r="I147" s="153">
        <f>+SUMIF('NHẬP LIỆU'!$E:$E,NVL!$B147,'NHẬP LIỆU'!$K:$K)</f>
        <v>0</v>
      </c>
      <c r="J147" s="156">
        <f>+SUMIF('NHẬP LIỆU'!$E:$E,NVL!$B147,'NHẬP LIỆU'!$L:$L)</f>
        <v>0</v>
      </c>
      <c r="K147" s="154">
        <f>+NVL!$H147+NVL!$I147-NVL!$J147</f>
        <v>0</v>
      </c>
      <c r="L147" s="155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23.25" customHeight="1">
      <c r="A148" s="147">
        <f t="shared" si="1"/>
        <v>21</v>
      </c>
      <c r="B148" s="148"/>
      <c r="C148" s="167"/>
      <c r="D148" s="150"/>
      <c r="E148" s="331"/>
      <c r="F148" s="331"/>
      <c r="G148" s="331"/>
      <c r="H148" s="152"/>
      <c r="I148" s="153">
        <f>+SUMIF('NHẬP LIỆU'!$E:$E,NVL!$B148,'NHẬP LIỆU'!$K:$K)</f>
        <v>0</v>
      </c>
      <c r="J148" s="156">
        <f>+SUMIF('NHẬP LIỆU'!$E:$E,NVL!$B148,'NHẬP LIỆU'!$L:$L)</f>
        <v>0</v>
      </c>
      <c r="K148" s="154">
        <f>+NVL!$H148+NVL!$I148-NVL!$J148</f>
        <v>0</v>
      </c>
      <c r="L148" s="155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23.25" customHeight="1">
      <c r="A149" s="147">
        <f t="shared" si="1"/>
        <v>21</v>
      </c>
      <c r="B149" s="148"/>
      <c r="C149" s="167"/>
      <c r="D149" s="150"/>
      <c r="E149" s="331"/>
      <c r="F149" s="331"/>
      <c r="G149" s="331"/>
      <c r="H149" s="152"/>
      <c r="I149" s="153">
        <f>+SUMIF('NHẬP LIỆU'!$E:$E,NVL!$B149,'NHẬP LIỆU'!$K:$K)</f>
        <v>0</v>
      </c>
      <c r="J149" s="156">
        <f>+SUMIF('NHẬP LIỆU'!$E:$E,NVL!$B149,'NHẬP LIỆU'!$L:$L)</f>
        <v>0</v>
      </c>
      <c r="K149" s="154">
        <f>+NVL!$H149+NVL!$I149-NVL!$J149</f>
        <v>0</v>
      </c>
      <c r="L149" s="155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23.25" customHeight="1">
      <c r="A150" s="147">
        <f t="shared" si="1"/>
        <v>21</v>
      </c>
      <c r="B150" s="148"/>
      <c r="C150" s="167"/>
      <c r="D150" s="150"/>
      <c r="E150" s="331"/>
      <c r="F150" s="331"/>
      <c r="G150" s="331"/>
      <c r="H150" s="152"/>
      <c r="I150" s="153">
        <f>+SUMIF('NHẬP LIỆU'!$E:$E,NVL!$B150,'NHẬP LIỆU'!$K:$K)</f>
        <v>0</v>
      </c>
      <c r="J150" s="156">
        <f>+SUMIF('NHẬP LIỆU'!$E:$E,NVL!$B150,'NHẬP LIỆU'!$L:$L)</f>
        <v>0</v>
      </c>
      <c r="K150" s="154">
        <f>+NVL!$H150+NVL!$I150-NVL!$J150</f>
        <v>0</v>
      </c>
      <c r="L150" s="155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23.25" customHeight="1">
      <c r="A151" s="147">
        <f t="shared" si="1"/>
        <v>21</v>
      </c>
      <c r="B151" s="148"/>
      <c r="C151" s="167"/>
      <c r="D151" s="150"/>
      <c r="E151" s="331"/>
      <c r="F151" s="331"/>
      <c r="G151" s="331"/>
      <c r="H151" s="152"/>
      <c r="I151" s="153">
        <f>+SUMIF('NHẬP LIỆU'!$E:$E,NVL!$B151,'NHẬP LIỆU'!$K:$K)</f>
        <v>0</v>
      </c>
      <c r="J151" s="156">
        <f>+SUMIF('NHẬP LIỆU'!$E:$E,NVL!$B151,'NHẬP LIỆU'!$L:$L)</f>
        <v>0</v>
      </c>
      <c r="K151" s="154">
        <f>+NVL!$H151+NVL!$I151-NVL!$J151</f>
        <v>0</v>
      </c>
      <c r="L151" s="155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23.25" customHeight="1">
      <c r="A152" s="147">
        <f t="shared" si="1"/>
        <v>21</v>
      </c>
      <c r="B152" s="170"/>
      <c r="C152" s="167"/>
      <c r="D152" s="150"/>
      <c r="E152" s="331"/>
      <c r="F152" s="331"/>
      <c r="G152" s="331"/>
      <c r="H152" s="152"/>
      <c r="I152" s="153">
        <f>+SUMIF('NHẬP LIỆU'!$E:$E,NVL!$B152,'NHẬP LIỆU'!$K:$K)</f>
        <v>0</v>
      </c>
      <c r="J152" s="156">
        <f>+SUMIF('NHẬP LIỆU'!$E:$E,NVL!$B152,'NHẬP LIỆU'!$L:$L)</f>
        <v>0</v>
      </c>
      <c r="K152" s="154">
        <f>+NVL!$H152+NVL!$I152-NVL!$J152</f>
        <v>0</v>
      </c>
      <c r="L152" s="155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23.25" customHeight="1">
      <c r="A153" s="147">
        <f t="shared" si="1"/>
        <v>21</v>
      </c>
      <c r="B153" s="170"/>
      <c r="C153" s="167"/>
      <c r="D153" s="150"/>
      <c r="E153" s="331"/>
      <c r="F153" s="331"/>
      <c r="G153" s="331"/>
      <c r="H153" s="152"/>
      <c r="I153" s="153">
        <f>+SUMIF('NHẬP LIỆU'!$E:$E,NVL!$B153,'NHẬP LIỆU'!$K:$K)</f>
        <v>0</v>
      </c>
      <c r="J153" s="156">
        <f>+SUMIF('NHẬP LIỆU'!$E:$E,NVL!$B153,'NHẬP LIỆU'!$L:$L)</f>
        <v>0</v>
      </c>
      <c r="K153" s="154">
        <f>+NVL!$H153+NVL!$I153-NVL!$J153</f>
        <v>0</v>
      </c>
      <c r="L153" s="155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23.25" customHeight="1">
      <c r="A154" s="147">
        <f t="shared" si="1"/>
        <v>21</v>
      </c>
      <c r="B154" s="170"/>
      <c r="C154" s="167"/>
      <c r="D154" s="150"/>
      <c r="E154" s="331"/>
      <c r="F154" s="331"/>
      <c r="G154" s="331"/>
      <c r="H154" s="152"/>
      <c r="I154" s="153">
        <f>+SUMIF('NHẬP LIỆU'!$E:$E,NVL!$B154,'NHẬP LIỆU'!$K:$K)</f>
        <v>0</v>
      </c>
      <c r="J154" s="156">
        <f>+SUMIF('NHẬP LIỆU'!$E:$E,NVL!$B154,'NHẬP LIỆU'!$L:$L)</f>
        <v>0</v>
      </c>
      <c r="K154" s="154">
        <f>+NVL!$H154+NVL!$I154-NVL!$J154</f>
        <v>0</v>
      </c>
      <c r="L154" s="155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23.25" customHeight="1">
      <c r="A155" s="147">
        <f t="shared" si="1"/>
        <v>21</v>
      </c>
      <c r="B155" s="170"/>
      <c r="C155" s="167"/>
      <c r="D155" s="150"/>
      <c r="E155" s="331"/>
      <c r="F155" s="331"/>
      <c r="G155" s="331"/>
      <c r="H155" s="152"/>
      <c r="I155" s="153">
        <f>+SUMIF('NHẬP LIỆU'!$E:$E,NVL!$B155,'NHẬP LIỆU'!$K:$K)</f>
        <v>0</v>
      </c>
      <c r="J155" s="156">
        <f>+SUMIF('NHẬP LIỆU'!$E:$E,NVL!$B155,'NHẬP LIỆU'!$L:$L)</f>
        <v>0</v>
      </c>
      <c r="K155" s="154">
        <f>+NVL!$H155+NVL!$I155-NVL!$J155</f>
        <v>0</v>
      </c>
      <c r="L155" s="155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23.25" customHeight="1">
      <c r="A156" s="147">
        <f t="shared" si="1"/>
        <v>21</v>
      </c>
      <c r="B156" s="170"/>
      <c r="C156" s="167"/>
      <c r="D156" s="150"/>
      <c r="E156" s="331"/>
      <c r="F156" s="331"/>
      <c r="G156" s="331"/>
      <c r="H156" s="152"/>
      <c r="I156" s="153">
        <f>+SUMIF('NHẬP LIỆU'!$E:$E,NVL!$B156,'NHẬP LIỆU'!$K:$K)</f>
        <v>0</v>
      </c>
      <c r="J156" s="156">
        <f>+SUMIF('NHẬP LIỆU'!$E:$E,NVL!$B156,'NHẬP LIỆU'!$L:$L)</f>
        <v>0</v>
      </c>
      <c r="K156" s="154">
        <f>+NVL!$H156+NVL!$I156-NVL!$J156</f>
        <v>0</v>
      </c>
      <c r="L156" s="155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23.25" customHeight="1">
      <c r="A157" s="147">
        <f t="shared" si="1"/>
        <v>21</v>
      </c>
      <c r="B157" s="170"/>
      <c r="C157" s="167"/>
      <c r="D157" s="150"/>
      <c r="E157" s="331"/>
      <c r="F157" s="331"/>
      <c r="G157" s="331"/>
      <c r="H157" s="152"/>
      <c r="I157" s="153">
        <f>+SUMIF('NHẬP LIỆU'!$E:$E,NVL!$B157,'NHẬP LIỆU'!$K:$K)</f>
        <v>0</v>
      </c>
      <c r="J157" s="156">
        <f>+SUMIF('NHẬP LIỆU'!$E:$E,NVL!$B157,'NHẬP LIỆU'!$L:$L)</f>
        <v>0</v>
      </c>
      <c r="K157" s="154">
        <f>+NVL!$H157+NVL!$I157-NVL!$J157</f>
        <v>0</v>
      </c>
      <c r="L157" s="155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23.25" customHeight="1">
      <c r="A158" s="147">
        <f t="shared" si="1"/>
        <v>21</v>
      </c>
      <c r="B158" s="170"/>
      <c r="C158" s="167"/>
      <c r="D158" s="150"/>
      <c r="E158" s="331"/>
      <c r="F158" s="331"/>
      <c r="G158" s="331"/>
      <c r="H158" s="152"/>
      <c r="I158" s="153">
        <f>+SUMIF('NHẬP LIỆU'!$E:$E,NVL!$B158,'NHẬP LIỆU'!$K:$K)</f>
        <v>0</v>
      </c>
      <c r="J158" s="156">
        <f>+SUMIF('NHẬP LIỆU'!$E:$E,NVL!$B158,'NHẬP LIỆU'!$L:$L)</f>
        <v>0</v>
      </c>
      <c r="K158" s="154">
        <f>+NVL!$H158+NVL!$I158-NVL!$J158</f>
        <v>0</v>
      </c>
      <c r="L158" s="155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23.25" customHeight="1">
      <c r="A159" s="147">
        <f t="shared" si="1"/>
        <v>21</v>
      </c>
      <c r="B159" s="170"/>
      <c r="C159" s="167"/>
      <c r="D159" s="150"/>
      <c r="E159" s="331"/>
      <c r="F159" s="331"/>
      <c r="G159" s="331"/>
      <c r="H159" s="152"/>
      <c r="I159" s="153">
        <f>+SUMIF('NHẬP LIỆU'!$E:$E,NVL!$B159,'NHẬP LIỆU'!$K:$K)</f>
        <v>0</v>
      </c>
      <c r="J159" s="156">
        <f>+SUMIF('NHẬP LIỆU'!$E:$E,NVL!$B159,'NHẬP LIỆU'!$L:$L)</f>
        <v>0</v>
      </c>
      <c r="K159" s="154">
        <f>+NVL!$H159+NVL!$I159-NVL!$J159</f>
        <v>0</v>
      </c>
      <c r="L159" s="155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23.25" customHeight="1">
      <c r="A160" s="147">
        <f t="shared" si="1"/>
        <v>21</v>
      </c>
      <c r="B160" s="170"/>
      <c r="C160" s="167"/>
      <c r="D160" s="150"/>
      <c r="E160" s="331"/>
      <c r="F160" s="331"/>
      <c r="G160" s="331"/>
      <c r="H160" s="152"/>
      <c r="I160" s="153">
        <f>+SUMIF('NHẬP LIỆU'!$E:$E,NVL!$B160,'NHẬP LIỆU'!$K:$K)</f>
        <v>0</v>
      </c>
      <c r="J160" s="156">
        <f>+SUMIF('NHẬP LIỆU'!$E:$E,NVL!$B160,'NHẬP LIỆU'!$L:$L)</f>
        <v>0</v>
      </c>
      <c r="K160" s="154">
        <f>+NVL!$H160+NVL!$I160-NVL!$J160</f>
        <v>0</v>
      </c>
      <c r="L160" s="155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23.25" customHeight="1">
      <c r="A161" s="147">
        <f t="shared" si="1"/>
        <v>21</v>
      </c>
      <c r="B161" s="170"/>
      <c r="C161" s="167"/>
      <c r="D161" s="150"/>
      <c r="E161" s="331"/>
      <c r="F161" s="331"/>
      <c r="G161" s="331"/>
      <c r="H161" s="152"/>
      <c r="I161" s="153">
        <f>+SUMIF('NHẬP LIỆU'!$E:$E,NVL!$B161,'NHẬP LIỆU'!$K:$K)</f>
        <v>0</v>
      </c>
      <c r="J161" s="156">
        <f>+SUMIF('NHẬP LIỆU'!$E:$E,NVL!$B161,'NHẬP LIỆU'!$L:$L)</f>
        <v>0</v>
      </c>
      <c r="K161" s="154">
        <f>+NVL!$H161+NVL!$I161-NVL!$J161</f>
        <v>0</v>
      </c>
      <c r="L161" s="155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23.25" customHeight="1">
      <c r="A162" s="147">
        <f t="shared" si="1"/>
        <v>21</v>
      </c>
      <c r="B162" s="170"/>
      <c r="C162" s="167"/>
      <c r="D162" s="150"/>
      <c r="E162" s="331"/>
      <c r="F162" s="331"/>
      <c r="G162" s="331"/>
      <c r="H162" s="152"/>
      <c r="I162" s="153">
        <f>+SUMIF('NHẬP LIỆU'!$E:$E,NVL!$B162,'NHẬP LIỆU'!$K:$K)</f>
        <v>0</v>
      </c>
      <c r="J162" s="156">
        <f>+SUMIF('NHẬP LIỆU'!$E:$E,NVL!$B162,'NHẬP LIỆU'!$L:$L)</f>
        <v>0</v>
      </c>
      <c r="K162" s="154">
        <f>+NVL!$H162+NVL!$I162-NVL!$J162</f>
        <v>0</v>
      </c>
      <c r="L162" s="155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23.25" customHeight="1">
      <c r="A163" s="147">
        <f t="shared" si="1"/>
        <v>21</v>
      </c>
      <c r="B163" s="170"/>
      <c r="C163" s="167"/>
      <c r="D163" s="150"/>
      <c r="E163" s="331"/>
      <c r="F163" s="331"/>
      <c r="G163" s="331"/>
      <c r="H163" s="152"/>
      <c r="I163" s="153">
        <f>+SUMIF('NHẬP LIỆU'!$E:$E,NVL!$B163,'NHẬP LIỆU'!$K:$K)</f>
        <v>0</v>
      </c>
      <c r="J163" s="156">
        <f>+SUMIF('NHẬP LIỆU'!$E:$E,NVL!$B163,'NHẬP LIỆU'!$L:$L)</f>
        <v>0</v>
      </c>
      <c r="K163" s="154">
        <f>+NVL!$H163+NVL!$I163-NVL!$J163</f>
        <v>0</v>
      </c>
      <c r="L163" s="155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23.25" customHeight="1">
      <c r="A164" s="147">
        <f t="shared" si="1"/>
        <v>21</v>
      </c>
      <c r="B164" s="170"/>
      <c r="C164" s="167"/>
      <c r="D164" s="150"/>
      <c r="E164" s="331"/>
      <c r="F164" s="331"/>
      <c r="G164" s="331"/>
      <c r="H164" s="152"/>
      <c r="I164" s="153">
        <f>+SUMIF('NHẬP LIỆU'!$E:$E,NVL!$B164,'NHẬP LIỆU'!$K:$K)</f>
        <v>0</v>
      </c>
      <c r="J164" s="156">
        <f>+SUMIF('NHẬP LIỆU'!$E:$E,NVL!$B164,'NHẬP LIỆU'!$L:$L)</f>
        <v>0</v>
      </c>
      <c r="K164" s="154">
        <f>+NVL!$H164+NVL!$I164-NVL!$J164</f>
        <v>0</v>
      </c>
      <c r="L164" s="155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23.25" customHeight="1">
      <c r="A165" s="147">
        <f t="shared" si="1"/>
        <v>21</v>
      </c>
      <c r="B165" s="170"/>
      <c r="C165" s="167"/>
      <c r="D165" s="150"/>
      <c r="E165" s="331"/>
      <c r="F165" s="331"/>
      <c r="G165" s="331"/>
      <c r="H165" s="152"/>
      <c r="I165" s="153">
        <f>+SUMIF('NHẬP LIỆU'!$E:$E,NVL!$B165,'NHẬP LIỆU'!$K:$K)</f>
        <v>0</v>
      </c>
      <c r="J165" s="156">
        <f>+SUMIF('NHẬP LIỆU'!$E:$E,NVL!$B165,'NHẬP LIỆU'!$L:$L)</f>
        <v>0</v>
      </c>
      <c r="K165" s="154">
        <f>+NVL!$H165+NVL!$I165-NVL!$J165</f>
        <v>0</v>
      </c>
      <c r="L165" s="155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23.25" customHeight="1">
      <c r="A166" s="147">
        <f t="shared" si="1"/>
        <v>21</v>
      </c>
      <c r="B166" s="170"/>
      <c r="C166" s="167"/>
      <c r="D166" s="150"/>
      <c r="E166" s="331"/>
      <c r="F166" s="331"/>
      <c r="G166" s="331"/>
      <c r="H166" s="152"/>
      <c r="I166" s="153">
        <f>+SUMIF('NHẬP LIỆU'!$E:$E,NVL!$B166,'NHẬP LIỆU'!$K:$K)</f>
        <v>0</v>
      </c>
      <c r="J166" s="156">
        <f>+SUMIF('NHẬP LIỆU'!$E:$E,NVL!$B166,'NHẬP LIỆU'!$L:$L)</f>
        <v>0</v>
      </c>
      <c r="K166" s="154">
        <f>+NVL!$H166+NVL!$I166-NVL!$J166</f>
        <v>0</v>
      </c>
      <c r="L166" s="155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23.25" customHeight="1">
      <c r="A167" s="147">
        <f t="shared" si="1"/>
        <v>21</v>
      </c>
      <c r="B167" s="170"/>
      <c r="C167" s="167"/>
      <c r="D167" s="150"/>
      <c r="E167" s="331"/>
      <c r="F167" s="331"/>
      <c r="G167" s="331"/>
      <c r="H167" s="152"/>
      <c r="I167" s="153">
        <f>+SUMIF('NHẬP LIỆU'!$E:$E,NVL!$B167,'NHẬP LIỆU'!$K:$K)</f>
        <v>0</v>
      </c>
      <c r="J167" s="156">
        <f>+SUMIF('NHẬP LIỆU'!$E:$E,NVL!$B167,'NHẬP LIỆU'!$L:$L)</f>
        <v>0</v>
      </c>
      <c r="K167" s="154">
        <f>+NVL!$H167+NVL!$I167-NVL!$J167</f>
        <v>0</v>
      </c>
      <c r="L167" s="155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23.25" customHeight="1">
      <c r="A168" s="147">
        <f t="shared" si="1"/>
        <v>21</v>
      </c>
      <c r="B168" s="170"/>
      <c r="C168" s="167"/>
      <c r="D168" s="150"/>
      <c r="E168" s="331"/>
      <c r="F168" s="331"/>
      <c r="G168" s="331"/>
      <c r="H168" s="152"/>
      <c r="I168" s="153">
        <f>+SUMIF('NHẬP LIỆU'!$E:$E,NVL!$B168,'NHẬP LIỆU'!$K:$K)</f>
        <v>0</v>
      </c>
      <c r="J168" s="156">
        <f>+SUMIF('NHẬP LIỆU'!$E:$E,NVL!$B168,'NHẬP LIỆU'!$L:$L)</f>
        <v>0</v>
      </c>
      <c r="K168" s="154">
        <f>+NVL!$H168+NVL!$I168-NVL!$J168</f>
        <v>0</v>
      </c>
      <c r="L168" s="155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23.25" customHeight="1">
      <c r="A169" s="147">
        <f t="shared" si="1"/>
        <v>21</v>
      </c>
      <c r="B169" s="170"/>
      <c r="C169" s="167"/>
      <c r="D169" s="150"/>
      <c r="E169" s="331"/>
      <c r="F169" s="331"/>
      <c r="G169" s="331"/>
      <c r="H169" s="152"/>
      <c r="I169" s="153">
        <f>+SUMIF('NHẬP LIỆU'!$E:$E,NVL!$B169,'NHẬP LIỆU'!$K:$K)</f>
        <v>0</v>
      </c>
      <c r="J169" s="156">
        <f>+SUMIF('NHẬP LIỆU'!$E:$E,NVL!$B169,'NHẬP LIỆU'!$L:$L)</f>
        <v>0</v>
      </c>
      <c r="K169" s="154">
        <f>+NVL!$H169+NVL!$I169-NVL!$J169</f>
        <v>0</v>
      </c>
      <c r="L169" s="155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23.25" customHeight="1">
      <c r="A170" s="147">
        <f t="shared" si="1"/>
        <v>21</v>
      </c>
      <c r="B170" s="170"/>
      <c r="C170" s="167"/>
      <c r="D170" s="150"/>
      <c r="E170" s="331"/>
      <c r="F170" s="331"/>
      <c r="G170" s="331"/>
      <c r="H170" s="152"/>
      <c r="I170" s="153">
        <f>+SUMIF('NHẬP LIỆU'!$E:$E,NVL!$B170,'NHẬP LIỆU'!$K:$K)</f>
        <v>0</v>
      </c>
      <c r="J170" s="156">
        <f>+SUMIF('NHẬP LIỆU'!$E:$E,NVL!$B170,'NHẬP LIỆU'!$L:$L)</f>
        <v>0</v>
      </c>
      <c r="K170" s="154">
        <f>+NVL!$H170+NVL!$I170-NVL!$J170</f>
        <v>0</v>
      </c>
      <c r="L170" s="155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23.25" customHeight="1">
      <c r="A171" s="147">
        <f t="shared" si="1"/>
        <v>21</v>
      </c>
      <c r="B171" s="170"/>
      <c r="C171" s="167"/>
      <c r="D171" s="150"/>
      <c r="E171" s="331"/>
      <c r="F171" s="331"/>
      <c r="G171" s="331"/>
      <c r="H171" s="152"/>
      <c r="I171" s="153">
        <f>+SUMIF('NHẬP LIỆU'!$E:$E,NVL!$B171,'NHẬP LIỆU'!$K:$K)</f>
        <v>0</v>
      </c>
      <c r="J171" s="156">
        <f>+SUMIF('NHẬP LIỆU'!$E:$E,NVL!$B171,'NHẬP LIỆU'!$L:$L)</f>
        <v>0</v>
      </c>
      <c r="K171" s="154">
        <f>+NVL!$H171+NVL!$I171-NVL!$J171</f>
        <v>0</v>
      </c>
      <c r="L171" s="155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23.25" customHeight="1">
      <c r="A172" s="147">
        <f t="shared" si="1"/>
        <v>21</v>
      </c>
      <c r="B172" s="170"/>
      <c r="C172" s="167"/>
      <c r="D172" s="150"/>
      <c r="E172" s="331"/>
      <c r="F172" s="331"/>
      <c r="G172" s="331"/>
      <c r="H172" s="152"/>
      <c r="I172" s="153">
        <f>+SUMIF('NHẬP LIỆU'!$E:$E,NVL!$B172,'NHẬP LIỆU'!$K:$K)</f>
        <v>0</v>
      </c>
      <c r="J172" s="156">
        <f>+SUMIF('NHẬP LIỆU'!$E:$E,NVL!$B172,'NHẬP LIỆU'!$L:$L)</f>
        <v>0</v>
      </c>
      <c r="K172" s="154">
        <f>+NVL!$H172+NVL!$I172-NVL!$J172</f>
        <v>0</v>
      </c>
      <c r="L172" s="155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23.25" customHeight="1">
      <c r="A173" s="147">
        <f t="shared" si="1"/>
        <v>21</v>
      </c>
      <c r="B173" s="170"/>
      <c r="C173" s="167"/>
      <c r="D173" s="150"/>
      <c r="E173" s="331"/>
      <c r="F173" s="331"/>
      <c r="G173" s="331"/>
      <c r="H173" s="152"/>
      <c r="I173" s="153">
        <f>+SUMIF('NHẬP LIỆU'!$E:$E,NVL!$B173,'NHẬP LIỆU'!$K:$K)</f>
        <v>0</v>
      </c>
      <c r="J173" s="156">
        <f>+SUMIF('NHẬP LIỆU'!$E:$E,NVL!$B173,'NHẬP LIỆU'!$L:$L)</f>
        <v>0</v>
      </c>
      <c r="K173" s="154">
        <f>+NVL!$H173+NVL!$I173-NVL!$J173</f>
        <v>0</v>
      </c>
      <c r="L173" s="155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23.25" customHeight="1">
      <c r="A174" s="147">
        <f t="shared" si="1"/>
        <v>21</v>
      </c>
      <c r="B174" s="170"/>
      <c r="C174" s="167"/>
      <c r="D174" s="150"/>
      <c r="E174" s="331"/>
      <c r="F174" s="331"/>
      <c r="G174" s="331"/>
      <c r="H174" s="152"/>
      <c r="I174" s="153">
        <f>+SUMIF('NHẬP LIỆU'!$E:$E,NVL!$B174,'NHẬP LIỆU'!$K:$K)</f>
        <v>0</v>
      </c>
      <c r="J174" s="156">
        <f>+SUMIF('NHẬP LIỆU'!$E:$E,NVL!$B174,'NHẬP LIỆU'!$L:$L)</f>
        <v>0</v>
      </c>
      <c r="K174" s="154">
        <f>+NVL!$H174+NVL!$I174-NVL!$J174</f>
        <v>0</v>
      </c>
      <c r="L174" s="155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23.25" customHeight="1">
      <c r="A175" s="147">
        <f t="shared" si="1"/>
        <v>21</v>
      </c>
      <c r="B175" s="170"/>
      <c r="C175" s="167"/>
      <c r="D175" s="150"/>
      <c r="E175" s="331"/>
      <c r="F175" s="331"/>
      <c r="G175" s="331"/>
      <c r="H175" s="152"/>
      <c r="I175" s="153">
        <f>+SUMIF('NHẬP LIỆU'!$E:$E,NVL!$B175,'NHẬP LIỆU'!$K:$K)</f>
        <v>0</v>
      </c>
      <c r="J175" s="156">
        <f>+SUMIF('NHẬP LIỆU'!$E:$E,NVL!$B175,'NHẬP LIỆU'!$L:$L)</f>
        <v>0</v>
      </c>
      <c r="K175" s="154">
        <f>+NVL!$H175+NVL!$I175-NVL!$J175</f>
        <v>0</v>
      </c>
      <c r="L175" s="172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23.25" customHeight="1">
      <c r="A176" s="147">
        <f t="shared" si="1"/>
        <v>21</v>
      </c>
      <c r="B176" s="170"/>
      <c r="C176" s="167"/>
      <c r="D176" s="150"/>
      <c r="E176" s="331"/>
      <c r="F176" s="331"/>
      <c r="G176" s="331"/>
      <c r="H176" s="152"/>
      <c r="I176" s="153">
        <f>+SUMIF('NHẬP LIỆU'!$E:$E,NVL!$B176,'NHẬP LIỆU'!$K:$K)</f>
        <v>0</v>
      </c>
      <c r="J176" s="156">
        <f>+SUMIF('NHẬP LIỆU'!$E:$E,NVL!$B176,'NHẬP LIỆU'!$L:$L)</f>
        <v>0</v>
      </c>
      <c r="K176" s="154">
        <f>+NVL!$H176+NVL!$I176-NVL!$J176</f>
        <v>0</v>
      </c>
      <c r="L176" s="172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23.25" customHeight="1">
      <c r="A177" s="147">
        <f t="shared" si="1"/>
        <v>21</v>
      </c>
      <c r="B177" s="170"/>
      <c r="C177" s="167"/>
      <c r="D177" s="150"/>
      <c r="E177" s="331"/>
      <c r="F177" s="331"/>
      <c r="G177" s="331"/>
      <c r="H177" s="152"/>
      <c r="I177" s="153">
        <f>+SUMIF('NHẬP LIỆU'!$E:$E,NVL!$B177,'NHẬP LIỆU'!$K:$K)</f>
        <v>0</v>
      </c>
      <c r="J177" s="156">
        <f>+SUMIF('NHẬP LIỆU'!$E:$E,NVL!$B177,'NHẬP LIỆU'!$L:$L)</f>
        <v>0</v>
      </c>
      <c r="K177" s="154">
        <f>+NVL!$H177+NVL!$I177-NVL!$J177</f>
        <v>0</v>
      </c>
      <c r="L177" s="172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23.25" customHeight="1">
      <c r="A178" s="147">
        <f t="shared" si="1"/>
        <v>21</v>
      </c>
      <c r="B178" s="170"/>
      <c r="C178" s="167"/>
      <c r="D178" s="150"/>
      <c r="E178" s="331"/>
      <c r="F178" s="331"/>
      <c r="G178" s="331"/>
      <c r="H178" s="152"/>
      <c r="I178" s="153">
        <f>+SUMIF('NHẬP LIỆU'!$E:$E,NVL!$B178,'NHẬP LIỆU'!$K:$K)</f>
        <v>0</v>
      </c>
      <c r="J178" s="156">
        <f>+SUMIF('NHẬP LIỆU'!$E:$E,NVL!$B178,'NHẬP LIỆU'!$L:$L)</f>
        <v>0</v>
      </c>
      <c r="K178" s="154">
        <f>+NVL!$H178+NVL!$I178-NVL!$J178</f>
        <v>0</v>
      </c>
      <c r="L178" s="172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23.25" customHeight="1">
      <c r="A179" s="147">
        <f t="shared" si="1"/>
        <v>21</v>
      </c>
      <c r="B179" s="170"/>
      <c r="C179" s="167"/>
      <c r="D179" s="150"/>
      <c r="E179" s="331"/>
      <c r="F179" s="331"/>
      <c r="G179" s="331"/>
      <c r="H179" s="152"/>
      <c r="I179" s="153">
        <f>+SUMIF('NHẬP LIỆU'!$E:$E,NVL!$B179,'NHẬP LIỆU'!$K:$K)</f>
        <v>0</v>
      </c>
      <c r="J179" s="156">
        <f>+SUMIF('NHẬP LIỆU'!$E:$E,NVL!$B179,'NHẬP LIỆU'!$L:$L)</f>
        <v>0</v>
      </c>
      <c r="K179" s="154">
        <f>+NVL!$H179+NVL!$I179-NVL!$J179</f>
        <v>0</v>
      </c>
      <c r="L179" s="172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23.25" customHeight="1">
      <c r="A180" s="147">
        <f t="shared" si="1"/>
        <v>21</v>
      </c>
      <c r="B180" s="170"/>
      <c r="C180" s="167"/>
      <c r="D180" s="150"/>
      <c r="E180" s="331"/>
      <c r="F180" s="331"/>
      <c r="G180" s="331"/>
      <c r="H180" s="152"/>
      <c r="I180" s="153">
        <f>+SUMIF('NHẬP LIỆU'!$E:$E,NVL!$B180,'NHẬP LIỆU'!$K:$K)</f>
        <v>0</v>
      </c>
      <c r="J180" s="156">
        <f>+SUMIF('NHẬP LIỆU'!$E:$E,NVL!$B180,'NHẬP LIỆU'!$L:$L)</f>
        <v>0</v>
      </c>
      <c r="K180" s="154">
        <f>+NVL!$H180+NVL!$I180-NVL!$J180</f>
        <v>0</v>
      </c>
      <c r="L180" s="172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23.25" customHeight="1">
      <c r="A181" s="147">
        <f t="shared" si="1"/>
        <v>21</v>
      </c>
      <c r="B181" s="170"/>
      <c r="C181" s="167"/>
      <c r="D181" s="150"/>
      <c r="E181" s="331"/>
      <c r="F181" s="331"/>
      <c r="G181" s="331"/>
      <c r="H181" s="152"/>
      <c r="I181" s="153">
        <f>+SUMIF('NHẬP LIỆU'!$E:$E,NVL!$B181,'NHẬP LIỆU'!$K:$K)</f>
        <v>0</v>
      </c>
      <c r="J181" s="156">
        <f>+SUMIF('NHẬP LIỆU'!$E:$E,NVL!$B181,'NHẬP LIỆU'!$L:$L)</f>
        <v>0</v>
      </c>
      <c r="K181" s="154">
        <f>+NVL!$H181+NVL!$I181-NVL!$J181</f>
        <v>0</v>
      </c>
      <c r="L181" s="155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23.25" customHeight="1">
      <c r="A182" s="147">
        <f t="shared" si="1"/>
        <v>21</v>
      </c>
      <c r="B182" s="170"/>
      <c r="C182" s="167"/>
      <c r="D182" s="150"/>
      <c r="E182" s="331"/>
      <c r="F182" s="331"/>
      <c r="G182" s="331"/>
      <c r="H182" s="152"/>
      <c r="I182" s="153">
        <f>+SUMIF('NHẬP LIỆU'!$E:$E,NVL!$B182,'NHẬP LIỆU'!$K:$K)</f>
        <v>0</v>
      </c>
      <c r="J182" s="156">
        <f>+SUMIF('NHẬP LIỆU'!$E:$E,NVL!$B182,'NHẬP LIỆU'!$L:$L)</f>
        <v>0</v>
      </c>
      <c r="K182" s="154">
        <f>+NVL!$H182+NVL!$I182-NVL!$J182</f>
        <v>0</v>
      </c>
      <c r="L182" s="155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23.25" customHeight="1">
      <c r="A183" s="147">
        <f t="shared" si="1"/>
        <v>21</v>
      </c>
      <c r="B183" s="170"/>
      <c r="C183" s="167"/>
      <c r="D183" s="150"/>
      <c r="E183" s="331"/>
      <c r="F183" s="331"/>
      <c r="G183" s="331"/>
      <c r="H183" s="152"/>
      <c r="I183" s="153">
        <f>+SUMIF('NHẬP LIỆU'!$E:$E,NVL!$B183,'NHẬP LIỆU'!$K:$K)</f>
        <v>0</v>
      </c>
      <c r="J183" s="156">
        <f>+SUMIF('NHẬP LIỆU'!$E:$E,NVL!$B183,'NHẬP LIỆU'!$L:$L)</f>
        <v>0</v>
      </c>
      <c r="K183" s="154">
        <f>+NVL!$H183+NVL!$I183-NVL!$J183</f>
        <v>0</v>
      </c>
      <c r="L183" s="155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23.25" customHeight="1">
      <c r="A184" s="147">
        <f t="shared" si="1"/>
        <v>21</v>
      </c>
      <c r="B184" s="170"/>
      <c r="C184" s="167"/>
      <c r="D184" s="150"/>
      <c r="E184" s="331"/>
      <c r="F184" s="331"/>
      <c r="G184" s="331"/>
      <c r="H184" s="152"/>
      <c r="I184" s="153">
        <f>+SUMIF('NHẬP LIỆU'!$E:$E,NVL!$B184,'NHẬP LIỆU'!$K:$K)</f>
        <v>0</v>
      </c>
      <c r="J184" s="156">
        <f>+SUMIF('NHẬP LIỆU'!$E:$E,NVL!$B184,'NHẬP LIỆU'!$L:$L)</f>
        <v>0</v>
      </c>
      <c r="K184" s="154">
        <f>+NVL!$H184+NVL!$I184-NVL!$J184</f>
        <v>0</v>
      </c>
      <c r="L184" s="155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23.25" customHeight="1">
      <c r="A185" s="147">
        <f t="shared" si="1"/>
        <v>21</v>
      </c>
      <c r="B185" s="170"/>
      <c r="C185" s="167"/>
      <c r="D185" s="150"/>
      <c r="E185" s="331"/>
      <c r="F185" s="331"/>
      <c r="G185" s="331"/>
      <c r="H185" s="152"/>
      <c r="I185" s="153">
        <f>+SUMIF('NHẬP LIỆU'!$E:$E,NVL!$B185,'NHẬP LIỆU'!$K:$K)</f>
        <v>0</v>
      </c>
      <c r="J185" s="156">
        <f>+SUMIF('NHẬP LIỆU'!$E:$E,NVL!$B185,'NHẬP LIỆU'!$L:$L)</f>
        <v>0</v>
      </c>
      <c r="K185" s="154">
        <f>+NVL!$H185+NVL!$I185-NVL!$J185</f>
        <v>0</v>
      </c>
      <c r="L185" s="155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23.25" customHeight="1">
      <c r="A186" s="147">
        <f t="shared" si="1"/>
        <v>21</v>
      </c>
      <c r="B186" s="170"/>
      <c r="C186" s="167"/>
      <c r="D186" s="150"/>
      <c r="E186" s="331"/>
      <c r="F186" s="331"/>
      <c r="G186" s="331"/>
      <c r="H186" s="152"/>
      <c r="I186" s="153">
        <f>+SUMIF('NHẬP LIỆU'!$E:$E,NVL!$B186,'NHẬP LIỆU'!$K:$K)</f>
        <v>0</v>
      </c>
      <c r="J186" s="156">
        <f>+SUMIF('NHẬP LIỆU'!$E:$E,NVL!$B186,'NHẬP LIỆU'!$L:$L)</f>
        <v>0</v>
      </c>
      <c r="K186" s="154">
        <f>+NVL!$H186+NVL!$I186-NVL!$J186</f>
        <v>0</v>
      </c>
      <c r="L186" s="155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23.25" customHeight="1">
      <c r="A187" s="147">
        <f t="shared" si="1"/>
        <v>21</v>
      </c>
      <c r="B187" s="170"/>
      <c r="C187" s="167"/>
      <c r="D187" s="150"/>
      <c r="E187" s="331"/>
      <c r="F187" s="331"/>
      <c r="G187" s="331"/>
      <c r="H187" s="152"/>
      <c r="I187" s="153">
        <f>+SUMIF('NHẬP LIỆU'!$E:$E,NVL!$B187,'NHẬP LIỆU'!$K:$K)</f>
        <v>0</v>
      </c>
      <c r="J187" s="156">
        <f>+SUMIF('NHẬP LIỆU'!$E:$E,NVL!$B187,'NHẬP LIỆU'!$L:$L)</f>
        <v>0</v>
      </c>
      <c r="K187" s="154">
        <f>+NVL!$H187+NVL!$I187-NVL!$J187</f>
        <v>0</v>
      </c>
      <c r="L187" s="155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23.25" customHeight="1">
      <c r="A188" s="147">
        <f t="shared" si="1"/>
        <v>21</v>
      </c>
      <c r="B188" s="170"/>
      <c r="C188" s="167"/>
      <c r="D188" s="150"/>
      <c r="E188" s="331"/>
      <c r="F188" s="331"/>
      <c r="G188" s="331"/>
      <c r="H188" s="152"/>
      <c r="I188" s="153">
        <f>+SUMIF('NHẬP LIỆU'!$E:$E,NVL!$B188,'NHẬP LIỆU'!$K:$K)</f>
        <v>0</v>
      </c>
      <c r="J188" s="156">
        <f>+SUMIF('NHẬP LIỆU'!$E:$E,NVL!$B188,'NHẬP LIỆU'!$L:$L)</f>
        <v>0</v>
      </c>
      <c r="K188" s="154">
        <f>+NVL!$H188+NVL!$I188-NVL!$J188</f>
        <v>0</v>
      </c>
      <c r="L188" s="155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23.25" customHeight="1">
      <c r="A189" s="147">
        <f t="shared" si="1"/>
        <v>21</v>
      </c>
      <c r="B189" s="170"/>
      <c r="C189" s="167"/>
      <c r="D189" s="150"/>
      <c r="E189" s="331"/>
      <c r="F189" s="331"/>
      <c r="G189" s="331"/>
      <c r="H189" s="152"/>
      <c r="I189" s="153">
        <f>+SUMIF('NHẬP LIỆU'!$E:$E,NVL!$B189,'NHẬP LIỆU'!$K:$K)</f>
        <v>0</v>
      </c>
      <c r="J189" s="156">
        <f>+SUMIF('NHẬP LIỆU'!$E:$E,NVL!$B189,'NHẬP LIỆU'!$L:$L)</f>
        <v>0</v>
      </c>
      <c r="K189" s="154">
        <f>+NVL!$H189+NVL!$I189-NVL!$J189</f>
        <v>0</v>
      </c>
      <c r="L189" s="155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23.25" customHeight="1">
      <c r="A190" s="147">
        <f t="shared" si="1"/>
        <v>21</v>
      </c>
      <c r="B190" s="170"/>
      <c r="C190" s="167"/>
      <c r="D190" s="150"/>
      <c r="E190" s="331"/>
      <c r="F190" s="331"/>
      <c r="G190" s="331"/>
      <c r="H190" s="152"/>
      <c r="I190" s="153">
        <f>+SUMIF('NHẬP LIỆU'!$E:$E,NVL!$B190,'NHẬP LIỆU'!$K:$K)</f>
        <v>0</v>
      </c>
      <c r="J190" s="156">
        <f>+SUMIF('NHẬP LIỆU'!$E:$E,NVL!$B190,'NHẬP LIỆU'!$L:$L)</f>
        <v>0</v>
      </c>
      <c r="K190" s="154">
        <f>+NVL!$H190+NVL!$I190-NVL!$J190</f>
        <v>0</v>
      </c>
      <c r="L190" s="155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23.25" customHeight="1">
      <c r="A191" s="147">
        <f t="shared" si="1"/>
        <v>21</v>
      </c>
      <c r="B191" s="170"/>
      <c r="C191" s="167"/>
      <c r="D191" s="150"/>
      <c r="E191" s="331"/>
      <c r="F191" s="331"/>
      <c r="G191" s="331"/>
      <c r="H191" s="152"/>
      <c r="I191" s="153">
        <f>+SUMIF('NHẬP LIỆU'!$E:$E,NVL!$B191,'NHẬP LIỆU'!$K:$K)</f>
        <v>0</v>
      </c>
      <c r="J191" s="156">
        <f>+SUMIF('NHẬP LIỆU'!$E:$E,NVL!$B191,'NHẬP LIỆU'!$L:$L)</f>
        <v>0</v>
      </c>
      <c r="K191" s="154">
        <f>+NVL!$H191+NVL!$I191-NVL!$J191</f>
        <v>0</v>
      </c>
      <c r="L191" s="155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23.25" customHeight="1">
      <c r="A192" s="147">
        <f t="shared" si="1"/>
        <v>21</v>
      </c>
      <c r="B192" s="170"/>
      <c r="C192" s="167"/>
      <c r="D192" s="150"/>
      <c r="E192" s="331"/>
      <c r="F192" s="331"/>
      <c r="G192" s="331"/>
      <c r="H192" s="152"/>
      <c r="I192" s="153">
        <f>+SUMIF('NHẬP LIỆU'!$E:$E,NVL!$B192,'NHẬP LIỆU'!$K:$K)</f>
        <v>0</v>
      </c>
      <c r="J192" s="156">
        <f>+SUMIF('NHẬP LIỆU'!$E:$E,NVL!$B192,'NHẬP LIỆU'!$L:$L)</f>
        <v>0</v>
      </c>
      <c r="K192" s="154">
        <f>+NVL!$H192+NVL!$I192-NVL!$J192</f>
        <v>0</v>
      </c>
      <c r="L192" s="155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23.25" customHeight="1">
      <c r="A193" s="147">
        <f t="shared" si="1"/>
        <v>21</v>
      </c>
      <c r="B193" s="170"/>
      <c r="C193" s="167"/>
      <c r="D193" s="150"/>
      <c r="E193" s="331"/>
      <c r="F193" s="331"/>
      <c r="G193" s="331"/>
      <c r="H193" s="152"/>
      <c r="I193" s="153">
        <f>+SUMIF('NHẬP LIỆU'!$E:$E,NVL!$B193,'NHẬP LIỆU'!$K:$K)</f>
        <v>0</v>
      </c>
      <c r="J193" s="156">
        <f>+SUMIF('NHẬP LIỆU'!$E:$E,NVL!$B193,'NHẬP LIỆU'!$L:$L)</f>
        <v>0</v>
      </c>
      <c r="K193" s="154">
        <f>+NVL!$H193+NVL!$I193-NVL!$J193</f>
        <v>0</v>
      </c>
      <c r="L193" s="155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23.25" customHeight="1">
      <c r="A194" s="147">
        <f t="shared" si="1"/>
        <v>21</v>
      </c>
      <c r="B194" s="170"/>
      <c r="C194" s="167"/>
      <c r="D194" s="150"/>
      <c r="E194" s="331"/>
      <c r="F194" s="331"/>
      <c r="G194" s="331"/>
      <c r="H194" s="152"/>
      <c r="I194" s="153">
        <f>+SUMIF('NHẬP LIỆU'!$E:$E,NVL!$B194,'NHẬP LIỆU'!$K:$K)</f>
        <v>0</v>
      </c>
      <c r="J194" s="156">
        <f>+SUMIF('NHẬP LIỆU'!$E:$E,NVL!$B194,'NHẬP LIỆU'!$L:$L)</f>
        <v>0</v>
      </c>
      <c r="K194" s="154">
        <f>+NVL!$H194+NVL!$I194-NVL!$J194</f>
        <v>0</v>
      </c>
      <c r="L194" s="155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23.25" customHeight="1">
      <c r="A195" s="147">
        <f t="shared" si="1"/>
        <v>21</v>
      </c>
      <c r="B195" s="170"/>
      <c r="C195" s="167"/>
      <c r="D195" s="150"/>
      <c r="E195" s="331"/>
      <c r="F195" s="331"/>
      <c r="G195" s="331"/>
      <c r="H195" s="152"/>
      <c r="I195" s="153">
        <f>+SUMIF('NHẬP LIỆU'!$E:$E,NVL!$B195,'NHẬP LIỆU'!$K:$K)</f>
        <v>0</v>
      </c>
      <c r="J195" s="156">
        <f>+SUMIF('NHẬP LIỆU'!$E:$E,NVL!$B195,'NHẬP LIỆU'!$L:$L)</f>
        <v>0</v>
      </c>
      <c r="K195" s="154">
        <f>+NVL!$H195+NVL!$I195-NVL!$J195</f>
        <v>0</v>
      </c>
      <c r="L195" s="155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23.25" customHeight="1">
      <c r="A196" s="147">
        <f t="shared" si="1"/>
        <v>21</v>
      </c>
      <c r="B196" s="170"/>
      <c r="C196" s="167"/>
      <c r="D196" s="150"/>
      <c r="E196" s="331"/>
      <c r="F196" s="331"/>
      <c r="G196" s="331"/>
      <c r="H196" s="152"/>
      <c r="I196" s="153">
        <f>+SUMIF('NHẬP LIỆU'!$E:$E,NVL!$B196,'NHẬP LIỆU'!$K:$K)</f>
        <v>0</v>
      </c>
      <c r="J196" s="156">
        <f>+SUMIF('NHẬP LIỆU'!$E:$E,NVL!$B196,'NHẬP LIỆU'!$L:$L)</f>
        <v>0</v>
      </c>
      <c r="K196" s="154">
        <f>+NVL!$H196+NVL!$I196-NVL!$J196</f>
        <v>0</v>
      </c>
      <c r="L196" s="155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23.25" customHeight="1">
      <c r="A197" s="147">
        <f t="shared" si="1"/>
        <v>21</v>
      </c>
      <c r="B197" s="170"/>
      <c r="C197" s="167"/>
      <c r="D197" s="150"/>
      <c r="E197" s="331"/>
      <c r="F197" s="331"/>
      <c r="G197" s="331"/>
      <c r="H197" s="152"/>
      <c r="I197" s="153">
        <f>+SUMIF('NHẬP LIỆU'!$E:$E,NVL!$B197,'NHẬP LIỆU'!$K:$K)</f>
        <v>0</v>
      </c>
      <c r="J197" s="156">
        <f>+SUMIF('NHẬP LIỆU'!$E:$E,NVL!$B197,'NHẬP LIỆU'!$L:$L)</f>
        <v>0</v>
      </c>
      <c r="K197" s="154">
        <f>+NVL!$H197+NVL!$I197-NVL!$J197</f>
        <v>0</v>
      </c>
      <c r="L197" s="155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23.25" customHeight="1">
      <c r="A198" s="147">
        <f t="shared" si="1"/>
        <v>21</v>
      </c>
      <c r="B198" s="170"/>
      <c r="C198" s="167"/>
      <c r="D198" s="150"/>
      <c r="E198" s="331"/>
      <c r="F198" s="331"/>
      <c r="G198" s="331"/>
      <c r="H198" s="152"/>
      <c r="I198" s="153">
        <f>+SUMIF('NHẬP LIỆU'!$E:$E,NVL!$B198,'NHẬP LIỆU'!$K:$K)</f>
        <v>0</v>
      </c>
      <c r="J198" s="156">
        <f>+SUMIF('NHẬP LIỆU'!$E:$E,NVL!$B198,'NHẬP LIỆU'!$L:$L)</f>
        <v>0</v>
      </c>
      <c r="K198" s="154">
        <f>+NVL!$H198+NVL!$I198-NVL!$J198</f>
        <v>0</v>
      </c>
      <c r="L198" s="155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23.25" customHeight="1">
      <c r="A199" s="147">
        <f t="shared" si="1"/>
        <v>21</v>
      </c>
      <c r="B199" s="170"/>
      <c r="C199" s="167"/>
      <c r="D199" s="150"/>
      <c r="E199" s="331"/>
      <c r="F199" s="331"/>
      <c r="G199" s="331"/>
      <c r="H199" s="152"/>
      <c r="I199" s="153">
        <f>+SUMIF('NHẬP LIỆU'!$E:$E,NVL!$B199,'NHẬP LIỆU'!$K:$K)</f>
        <v>0</v>
      </c>
      <c r="J199" s="156">
        <f>+SUMIF('NHẬP LIỆU'!$E:$E,NVL!$B199,'NHẬP LIỆU'!$L:$L)</f>
        <v>0</v>
      </c>
      <c r="K199" s="154">
        <f>+NVL!$H199+NVL!$I199-NVL!$J199</f>
        <v>0</v>
      </c>
      <c r="L199" s="155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23.25" customHeight="1">
      <c r="A200" s="147">
        <f t="shared" si="1"/>
        <v>21</v>
      </c>
      <c r="B200" s="170"/>
      <c r="C200" s="167"/>
      <c r="D200" s="150"/>
      <c r="E200" s="331"/>
      <c r="F200" s="331"/>
      <c r="G200" s="331"/>
      <c r="H200" s="152"/>
      <c r="I200" s="153">
        <f>+SUMIF('NHẬP LIỆU'!$E:$E,NVL!$B200,'NHẬP LIỆU'!$K:$K)</f>
        <v>0</v>
      </c>
      <c r="J200" s="156">
        <f>+SUMIF('NHẬP LIỆU'!$E:$E,NVL!$B200,'NHẬP LIỆU'!$L:$L)</f>
        <v>0</v>
      </c>
      <c r="K200" s="154">
        <f>+NVL!$H200+NVL!$I200-NVL!$J200</f>
        <v>0</v>
      </c>
      <c r="L200" s="155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23.25" customHeight="1">
      <c r="A201" s="147">
        <f t="shared" si="1"/>
        <v>21</v>
      </c>
      <c r="B201" s="170"/>
      <c r="C201" s="167"/>
      <c r="D201" s="150"/>
      <c r="E201" s="331"/>
      <c r="F201" s="331"/>
      <c r="G201" s="331"/>
      <c r="H201" s="152"/>
      <c r="I201" s="153">
        <f>+SUMIF('NHẬP LIỆU'!$E:$E,NVL!$B201,'NHẬP LIỆU'!$K:$K)</f>
        <v>0</v>
      </c>
      <c r="J201" s="156">
        <f>+SUMIF('NHẬP LIỆU'!$E:$E,NVL!$B201,'NHẬP LIỆU'!$L:$L)</f>
        <v>0</v>
      </c>
      <c r="K201" s="154">
        <f>+NVL!$H201+NVL!$I201-NVL!$J201</f>
        <v>0</v>
      </c>
      <c r="L201" s="155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23.25" customHeight="1">
      <c r="A202" s="147">
        <f t="shared" si="1"/>
        <v>21</v>
      </c>
      <c r="B202" s="170"/>
      <c r="C202" s="167"/>
      <c r="D202" s="150"/>
      <c r="E202" s="331"/>
      <c r="F202" s="331"/>
      <c r="G202" s="331"/>
      <c r="H202" s="152"/>
      <c r="I202" s="153">
        <f>+SUMIF('NHẬP LIỆU'!$E:$E,NVL!$B202,'NHẬP LIỆU'!$K:$K)</f>
        <v>0</v>
      </c>
      <c r="J202" s="156">
        <f>+SUMIF('NHẬP LIỆU'!$E:$E,NVL!$B202,'NHẬP LIỆU'!$L:$L)</f>
        <v>0</v>
      </c>
      <c r="K202" s="154">
        <f>+NVL!$H202+NVL!$I202-NVL!$J202</f>
        <v>0</v>
      </c>
      <c r="L202" s="155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23.25" customHeight="1">
      <c r="A203" s="147">
        <f t="shared" si="1"/>
        <v>21</v>
      </c>
      <c r="B203" s="170"/>
      <c r="C203" s="167"/>
      <c r="D203" s="150"/>
      <c r="E203" s="331"/>
      <c r="F203" s="331"/>
      <c r="G203" s="331"/>
      <c r="H203" s="152"/>
      <c r="I203" s="153">
        <f>+SUMIF('NHẬP LIỆU'!$E:$E,NVL!$B203,'NHẬP LIỆU'!$K:$K)</f>
        <v>0</v>
      </c>
      <c r="J203" s="156">
        <f>+SUMIF('NHẬP LIỆU'!$E:$E,NVL!$B203,'NHẬP LIỆU'!$L:$L)</f>
        <v>0</v>
      </c>
      <c r="K203" s="154">
        <f>+NVL!$H203+NVL!$I203-NVL!$J203</f>
        <v>0</v>
      </c>
      <c r="L203" s="155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23.25" customHeight="1">
      <c r="A204" s="147">
        <f t="shared" si="1"/>
        <v>21</v>
      </c>
      <c r="B204" s="170"/>
      <c r="C204" s="167"/>
      <c r="D204" s="150"/>
      <c r="E204" s="331"/>
      <c r="F204" s="331"/>
      <c r="G204" s="331"/>
      <c r="H204" s="152"/>
      <c r="I204" s="153">
        <f>+SUMIF('NHẬP LIỆU'!$E:$E,NVL!$B204,'NHẬP LIỆU'!$K:$K)</f>
        <v>0</v>
      </c>
      <c r="J204" s="156">
        <f>+SUMIF('NHẬP LIỆU'!$E:$E,NVL!$B204,'NHẬP LIỆU'!$L:$L)</f>
        <v>0</v>
      </c>
      <c r="K204" s="154">
        <f>+NVL!$H204+NVL!$I204-NVL!$J204</f>
        <v>0</v>
      </c>
      <c r="L204" s="155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23.25" customHeight="1">
      <c r="A205" s="147">
        <f t="shared" si="1"/>
        <v>21</v>
      </c>
      <c r="B205" s="170"/>
      <c r="C205" s="167"/>
      <c r="D205" s="150"/>
      <c r="E205" s="331"/>
      <c r="F205" s="331"/>
      <c r="G205" s="331"/>
      <c r="H205" s="152"/>
      <c r="I205" s="153">
        <f>+SUMIF('NHẬP LIỆU'!$E:$E,NVL!$B205,'NHẬP LIỆU'!$K:$K)</f>
        <v>0</v>
      </c>
      <c r="J205" s="156">
        <f>+SUMIF('NHẬP LIỆU'!$E:$E,NVL!$B205,'NHẬP LIỆU'!$L:$L)</f>
        <v>0</v>
      </c>
      <c r="K205" s="154">
        <f>+NVL!$H205+NVL!$I205-NVL!$J205</f>
        <v>0</v>
      </c>
      <c r="L205" s="172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23.25" customHeight="1">
      <c r="A206" s="147">
        <f t="shared" si="1"/>
        <v>21</v>
      </c>
      <c r="B206" s="170"/>
      <c r="C206" s="167"/>
      <c r="D206" s="150"/>
      <c r="E206" s="331"/>
      <c r="F206" s="331"/>
      <c r="G206" s="331"/>
      <c r="H206" s="152"/>
      <c r="I206" s="153">
        <f>+SUMIF('NHẬP LIỆU'!$E:$E,NVL!$B206,'NHẬP LIỆU'!$K:$K)</f>
        <v>0</v>
      </c>
      <c r="J206" s="156">
        <f>+SUMIF('NHẬP LIỆU'!$E:$E,NVL!$B206,'NHẬP LIỆU'!$L:$L)</f>
        <v>0</v>
      </c>
      <c r="K206" s="154">
        <f>+NVL!$H206+NVL!$I206-NVL!$J206</f>
        <v>0</v>
      </c>
      <c r="L206" s="172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23.25" customHeight="1">
      <c r="A207" s="147">
        <f t="shared" si="1"/>
        <v>21</v>
      </c>
      <c r="B207" s="170"/>
      <c r="C207" s="167"/>
      <c r="D207" s="150"/>
      <c r="E207" s="331"/>
      <c r="F207" s="331"/>
      <c r="G207" s="331"/>
      <c r="H207" s="152"/>
      <c r="I207" s="153">
        <f>+SUMIF('NHẬP LIỆU'!$E:$E,NVL!$B207,'NHẬP LIỆU'!$K:$K)</f>
        <v>0</v>
      </c>
      <c r="J207" s="156">
        <f>+SUMIF('NHẬP LIỆU'!$E:$E,NVL!$B207,'NHẬP LIỆU'!$L:$L)</f>
        <v>0</v>
      </c>
      <c r="K207" s="154">
        <f>+NVL!$H207+NVL!$I207-NVL!$J207</f>
        <v>0</v>
      </c>
      <c r="L207" s="155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23.25" customHeight="1">
      <c r="A208" s="147">
        <f t="shared" si="1"/>
        <v>21</v>
      </c>
      <c r="B208" s="170"/>
      <c r="C208" s="167"/>
      <c r="D208" s="150"/>
      <c r="E208" s="331"/>
      <c r="F208" s="331"/>
      <c r="G208" s="331"/>
      <c r="H208" s="152"/>
      <c r="I208" s="153">
        <f>+SUMIF('NHẬP LIỆU'!$E:$E,NVL!$B208,'NHẬP LIỆU'!$K:$K)</f>
        <v>0</v>
      </c>
      <c r="J208" s="156">
        <f>+SUMIF('NHẬP LIỆU'!$E:$E,NVL!$B208,'NHẬP LIỆU'!$L:$L)</f>
        <v>0</v>
      </c>
      <c r="K208" s="154">
        <f>+NVL!$H208+NVL!$I208-NVL!$J208</f>
        <v>0</v>
      </c>
      <c r="L208" s="155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23.25" customHeight="1">
      <c r="A209" s="147">
        <f t="shared" si="1"/>
        <v>21</v>
      </c>
      <c r="B209" s="170"/>
      <c r="C209" s="167"/>
      <c r="D209" s="150"/>
      <c r="E209" s="331"/>
      <c r="F209" s="331"/>
      <c r="G209" s="331"/>
      <c r="H209" s="152"/>
      <c r="I209" s="153">
        <f>+SUMIF('NHẬP LIỆU'!$E:$E,NVL!$B209,'NHẬP LIỆU'!$K:$K)</f>
        <v>0</v>
      </c>
      <c r="J209" s="156">
        <f>+SUMIF('NHẬP LIỆU'!$E:$E,NVL!$B209,'NHẬP LIỆU'!$L:$L)</f>
        <v>0</v>
      </c>
      <c r="K209" s="154">
        <f>+NVL!$H209+NVL!$I209-NVL!$J209</f>
        <v>0</v>
      </c>
      <c r="L209" s="155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23.25" customHeight="1">
      <c r="A210" s="147">
        <f t="shared" si="1"/>
        <v>21</v>
      </c>
      <c r="B210" s="170"/>
      <c r="C210" s="167"/>
      <c r="D210" s="150"/>
      <c r="E210" s="331"/>
      <c r="F210" s="331"/>
      <c r="G210" s="331"/>
      <c r="H210" s="152"/>
      <c r="I210" s="153">
        <f>+SUMIF('NHẬP LIỆU'!$E:$E,NVL!$B210,'NHẬP LIỆU'!$K:$K)</f>
        <v>0</v>
      </c>
      <c r="J210" s="156">
        <f>+SUMIF('NHẬP LIỆU'!$E:$E,NVL!$B210,'NHẬP LIỆU'!$L:$L)</f>
        <v>0</v>
      </c>
      <c r="K210" s="154">
        <f>+NVL!$H210+NVL!$I210-NVL!$J210</f>
        <v>0</v>
      </c>
      <c r="L210" s="155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23.25" customHeight="1">
      <c r="A211" s="147">
        <f t="shared" si="1"/>
        <v>21</v>
      </c>
      <c r="B211" s="170"/>
      <c r="C211" s="167"/>
      <c r="D211" s="150"/>
      <c r="E211" s="331"/>
      <c r="F211" s="331"/>
      <c r="G211" s="331"/>
      <c r="H211" s="152"/>
      <c r="I211" s="153">
        <f>+SUMIF('NHẬP LIỆU'!$E:$E,NVL!$B211,'NHẬP LIỆU'!$K:$K)</f>
        <v>0</v>
      </c>
      <c r="J211" s="156">
        <f>+SUMIF('NHẬP LIỆU'!$E:$E,NVL!$B211,'NHẬP LIỆU'!$L:$L)</f>
        <v>0</v>
      </c>
      <c r="K211" s="154">
        <f>+NVL!$H211+NVL!$I211-NVL!$J211</f>
        <v>0</v>
      </c>
      <c r="L211" s="155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23.25" customHeight="1">
      <c r="A212" s="147">
        <f t="shared" si="1"/>
        <v>21</v>
      </c>
      <c r="B212" s="170"/>
      <c r="C212" s="167"/>
      <c r="D212" s="150"/>
      <c r="E212" s="331"/>
      <c r="F212" s="331"/>
      <c r="G212" s="331"/>
      <c r="H212" s="152"/>
      <c r="I212" s="153">
        <f>+SUMIF('NHẬP LIỆU'!$E:$E,NVL!$B212,'NHẬP LIỆU'!$K:$K)</f>
        <v>0</v>
      </c>
      <c r="J212" s="156">
        <f>+SUMIF('NHẬP LIỆU'!$E:$E,NVL!$B212,'NHẬP LIỆU'!$L:$L)</f>
        <v>0</v>
      </c>
      <c r="K212" s="154">
        <f>+NVL!$H212+NVL!$I212-NVL!$J212</f>
        <v>0</v>
      </c>
      <c r="L212" s="155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23.25" customHeight="1">
      <c r="A213" s="147">
        <f t="shared" si="1"/>
        <v>21</v>
      </c>
      <c r="B213" s="170"/>
      <c r="C213" s="167"/>
      <c r="D213" s="150"/>
      <c r="E213" s="331"/>
      <c r="F213" s="331"/>
      <c r="G213" s="331"/>
      <c r="H213" s="152"/>
      <c r="I213" s="153">
        <f>+SUMIF('NHẬP LIỆU'!$E:$E,NVL!$B213,'NHẬP LIỆU'!$K:$K)</f>
        <v>0</v>
      </c>
      <c r="J213" s="156">
        <f>+SUMIF('NHẬP LIỆU'!$E:$E,NVL!$B213,'NHẬP LIỆU'!$L:$L)</f>
        <v>0</v>
      </c>
      <c r="K213" s="154">
        <f>+NVL!$H213+NVL!$I213-NVL!$J213</f>
        <v>0</v>
      </c>
      <c r="L213" s="155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23.25" customHeight="1">
      <c r="A214" s="147">
        <f t="shared" si="1"/>
        <v>21</v>
      </c>
      <c r="B214" s="170"/>
      <c r="C214" s="167"/>
      <c r="D214" s="150"/>
      <c r="E214" s="331"/>
      <c r="F214" s="331"/>
      <c r="G214" s="331"/>
      <c r="H214" s="152"/>
      <c r="I214" s="153">
        <f>+SUMIF('NHẬP LIỆU'!$E:$E,NVL!$B214,'NHẬP LIỆU'!$K:$K)</f>
        <v>0</v>
      </c>
      <c r="J214" s="156">
        <f>+SUMIF('NHẬP LIỆU'!$E:$E,NVL!$B214,'NHẬP LIỆU'!$L:$L)</f>
        <v>0</v>
      </c>
      <c r="K214" s="154">
        <f>+NVL!$H214+NVL!$I214-NVL!$J214</f>
        <v>0</v>
      </c>
      <c r="L214" s="155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23.25" customHeight="1">
      <c r="A215" s="147">
        <f t="shared" si="1"/>
        <v>21</v>
      </c>
      <c r="B215" s="170"/>
      <c r="C215" s="167"/>
      <c r="D215" s="150"/>
      <c r="E215" s="331"/>
      <c r="F215" s="331"/>
      <c r="G215" s="331"/>
      <c r="H215" s="152"/>
      <c r="I215" s="153">
        <f>+SUMIF('NHẬP LIỆU'!$E:$E,NVL!$B215,'NHẬP LIỆU'!$K:$K)</f>
        <v>0</v>
      </c>
      <c r="J215" s="156">
        <f>+SUMIF('NHẬP LIỆU'!$E:$E,NVL!$B215,'NHẬP LIỆU'!$L:$L)</f>
        <v>0</v>
      </c>
      <c r="K215" s="154">
        <f>+NVL!$H215+NVL!$I215-NVL!$J215</f>
        <v>0</v>
      </c>
      <c r="L215" s="155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23.25" customHeight="1">
      <c r="A216" s="147">
        <f t="shared" si="1"/>
        <v>21</v>
      </c>
      <c r="B216" s="170"/>
      <c r="C216" s="167"/>
      <c r="D216" s="150"/>
      <c r="E216" s="331"/>
      <c r="F216" s="331"/>
      <c r="G216" s="331"/>
      <c r="H216" s="152"/>
      <c r="I216" s="153">
        <f>+SUMIF('NHẬP LIỆU'!$E:$E,NVL!$B216,'NHẬP LIỆU'!$K:$K)</f>
        <v>0</v>
      </c>
      <c r="J216" s="156">
        <f>+SUMIF('NHẬP LIỆU'!$E:$E,NVL!$B216,'NHẬP LIỆU'!$L:$L)</f>
        <v>0</v>
      </c>
      <c r="K216" s="154">
        <f>+NVL!$H216+NVL!$I216-NVL!$J216</f>
        <v>0</v>
      </c>
      <c r="L216" s="155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23.25" customHeight="1">
      <c r="A217" s="147">
        <f t="shared" si="1"/>
        <v>21</v>
      </c>
      <c r="B217" s="170"/>
      <c r="C217" s="167"/>
      <c r="D217" s="150"/>
      <c r="E217" s="331"/>
      <c r="F217" s="331"/>
      <c r="G217" s="331"/>
      <c r="H217" s="152"/>
      <c r="I217" s="153">
        <f>+SUMIF('NHẬP LIỆU'!$E:$E,NVL!$B217,'NHẬP LIỆU'!$K:$K)</f>
        <v>0</v>
      </c>
      <c r="J217" s="156">
        <f>+SUMIF('NHẬP LIỆU'!$E:$E,NVL!$B217,'NHẬP LIỆU'!$L:$L)</f>
        <v>0</v>
      </c>
      <c r="K217" s="154">
        <f>+NVL!$H217+NVL!$I217-NVL!$J217</f>
        <v>0</v>
      </c>
      <c r="L217" s="155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23.25" customHeight="1">
      <c r="A218" s="147">
        <f t="shared" si="1"/>
        <v>21</v>
      </c>
      <c r="B218" s="170"/>
      <c r="C218" s="167"/>
      <c r="D218" s="150"/>
      <c r="E218" s="331"/>
      <c r="F218" s="331"/>
      <c r="G218" s="331"/>
      <c r="H218" s="152"/>
      <c r="I218" s="153">
        <f>+SUMIF('NHẬP LIỆU'!$E:$E,NVL!$B218,'NHẬP LIỆU'!$K:$K)</f>
        <v>0</v>
      </c>
      <c r="J218" s="156">
        <f>+SUMIF('NHẬP LIỆU'!$E:$E,NVL!$B218,'NHẬP LIỆU'!$L:$L)</f>
        <v>0</v>
      </c>
      <c r="K218" s="154">
        <f>+NVL!$H218+NVL!$I218-NVL!$J218</f>
        <v>0</v>
      </c>
      <c r="L218" s="155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23.25" customHeight="1">
      <c r="A219" s="147">
        <f t="shared" si="1"/>
        <v>21</v>
      </c>
      <c r="B219" s="170"/>
      <c r="C219" s="167"/>
      <c r="D219" s="150"/>
      <c r="E219" s="344"/>
      <c r="F219" s="344"/>
      <c r="G219" s="344"/>
      <c r="H219" s="152"/>
      <c r="I219" s="153">
        <f>+SUMIF('NHẬP LIỆU'!$E:$E,NVL!$B219,'NHẬP LIỆU'!$K:$K)</f>
        <v>0</v>
      </c>
      <c r="J219" s="156">
        <f>+SUMIF('NHẬP LIỆU'!$E:$E,NVL!$B219,'NHẬP LIỆU'!$L:$L)</f>
        <v>0</v>
      </c>
      <c r="K219" s="154">
        <f>+NVL!$H219+NVL!$I219-NVL!$J219</f>
        <v>0</v>
      </c>
      <c r="L219" s="155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23.25" customHeight="1">
      <c r="A220" s="147">
        <f t="shared" si="1"/>
        <v>21</v>
      </c>
      <c r="B220" s="170"/>
      <c r="C220" s="167"/>
      <c r="D220" s="150"/>
      <c r="E220" s="344"/>
      <c r="F220" s="344"/>
      <c r="G220" s="344"/>
      <c r="H220" s="152"/>
      <c r="I220" s="153">
        <f>+SUMIF('NHẬP LIỆU'!$E:$E,NVL!$B220,'NHẬP LIỆU'!$K:$K)</f>
        <v>0</v>
      </c>
      <c r="J220" s="156">
        <f>+SUMIF('NHẬP LIỆU'!$E:$E,NVL!$B220,'NHẬP LIỆU'!$L:$L)</f>
        <v>0</v>
      </c>
      <c r="K220" s="154">
        <f>+NVL!$H220+NVL!$I220-NVL!$J220</f>
        <v>0</v>
      </c>
      <c r="L220" s="155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23.25" customHeight="1">
      <c r="A221" s="147">
        <f t="shared" si="1"/>
        <v>21</v>
      </c>
      <c r="B221" s="170"/>
      <c r="C221" s="167"/>
      <c r="D221" s="150"/>
      <c r="E221" s="331"/>
      <c r="F221" s="331"/>
      <c r="G221" s="331"/>
      <c r="H221" s="152"/>
      <c r="I221" s="153">
        <f>+SUMIF('NHẬP LIỆU'!$E:$E,NVL!$B221,'NHẬP LIỆU'!$K:$K)</f>
        <v>0</v>
      </c>
      <c r="J221" s="156">
        <f>+SUMIF('NHẬP LIỆU'!$E:$E,NVL!$B221,'NHẬP LIỆU'!$L:$L)</f>
        <v>0</v>
      </c>
      <c r="K221" s="154">
        <f>+NVL!$H221+NVL!$I221-NVL!$J221</f>
        <v>0</v>
      </c>
      <c r="L221" s="155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23.25" customHeight="1">
      <c r="A222" s="147">
        <f t="shared" si="1"/>
        <v>21</v>
      </c>
      <c r="B222" s="170"/>
      <c r="C222" s="167"/>
      <c r="D222" s="150"/>
      <c r="E222" s="331"/>
      <c r="F222" s="331"/>
      <c r="G222" s="331"/>
      <c r="H222" s="152"/>
      <c r="I222" s="153">
        <f>+SUMIF('NHẬP LIỆU'!$E:$E,NVL!$B222,'NHẬP LIỆU'!$K:$K)</f>
        <v>0</v>
      </c>
      <c r="J222" s="156">
        <f>+SUMIF('NHẬP LIỆU'!$E:$E,NVL!$B222,'NHẬP LIỆU'!$L:$L)</f>
        <v>0</v>
      </c>
      <c r="K222" s="154">
        <f>+NVL!$H222+NVL!$I222-NVL!$J222</f>
        <v>0</v>
      </c>
      <c r="L222" s="155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23.25" customHeight="1">
      <c r="A223" s="147">
        <f t="shared" si="1"/>
        <v>21</v>
      </c>
      <c r="B223" s="170"/>
      <c r="C223" s="167"/>
      <c r="D223" s="150"/>
      <c r="E223" s="331"/>
      <c r="F223" s="331"/>
      <c r="G223" s="331"/>
      <c r="H223" s="152"/>
      <c r="I223" s="153">
        <f>+SUMIF('NHẬP LIỆU'!$E:$E,NVL!$B223,'NHẬP LIỆU'!$K:$K)</f>
        <v>0</v>
      </c>
      <c r="J223" s="156">
        <f>+SUMIF('NHẬP LIỆU'!$E:$E,NVL!$B223,'NHẬP LIỆU'!$L:$L)</f>
        <v>0</v>
      </c>
      <c r="K223" s="154">
        <f>+NVL!$H223+NVL!$I223-NVL!$J223</f>
        <v>0</v>
      </c>
      <c r="L223" s="155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23.25" customHeight="1">
      <c r="A224" s="147">
        <f t="shared" si="1"/>
        <v>21</v>
      </c>
      <c r="B224" s="170"/>
      <c r="C224" s="167"/>
      <c r="D224" s="150"/>
      <c r="E224" s="331"/>
      <c r="F224" s="331"/>
      <c r="G224" s="331"/>
      <c r="H224" s="152"/>
      <c r="I224" s="153">
        <f>+SUMIF('NHẬP LIỆU'!$E:$E,NVL!$B224,'NHẬP LIỆU'!$K:$K)</f>
        <v>0</v>
      </c>
      <c r="J224" s="156">
        <f>+SUMIF('NHẬP LIỆU'!$E:$E,NVL!$B224,'NHẬP LIỆU'!$L:$L)</f>
        <v>0</v>
      </c>
      <c r="K224" s="154">
        <f>+NVL!$H224+NVL!$I224-NVL!$J224</f>
        <v>0</v>
      </c>
      <c r="L224" s="155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23.25" customHeight="1">
      <c r="A225" s="147">
        <f t="shared" si="1"/>
        <v>21</v>
      </c>
      <c r="B225" s="170"/>
      <c r="C225" s="167"/>
      <c r="D225" s="150"/>
      <c r="E225" s="331"/>
      <c r="F225" s="331"/>
      <c r="G225" s="331"/>
      <c r="H225" s="152"/>
      <c r="I225" s="153">
        <f>+SUMIF('NHẬP LIỆU'!$E:$E,NVL!$B225,'NHẬP LIỆU'!$K:$K)</f>
        <v>0</v>
      </c>
      <c r="J225" s="156">
        <f>+SUMIF('NHẬP LIỆU'!$E:$E,NVL!$B225,'NHẬP LIỆU'!$L:$L)</f>
        <v>0</v>
      </c>
      <c r="K225" s="154">
        <f>+NVL!$H225+NVL!$I225-NVL!$J225</f>
        <v>0</v>
      </c>
      <c r="L225" s="155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23.25" customHeight="1">
      <c r="A226" s="147">
        <f t="shared" si="1"/>
        <v>21</v>
      </c>
      <c r="B226" s="170"/>
      <c r="C226" s="167"/>
      <c r="D226" s="150"/>
      <c r="E226" s="331"/>
      <c r="F226" s="331"/>
      <c r="G226" s="331"/>
      <c r="H226" s="152"/>
      <c r="I226" s="153">
        <f>+SUMIF('NHẬP LIỆU'!$E:$E,NVL!$B226,'NHẬP LIỆU'!$K:$K)</f>
        <v>0</v>
      </c>
      <c r="J226" s="156">
        <f>+SUMIF('NHẬP LIỆU'!$E:$E,NVL!$B226,'NHẬP LIỆU'!$L:$L)</f>
        <v>0</v>
      </c>
      <c r="K226" s="154">
        <f>+NVL!$H226+NVL!$I226-NVL!$J226</f>
        <v>0</v>
      </c>
      <c r="L226" s="155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23.25" customHeight="1">
      <c r="A227" s="147">
        <f t="shared" si="1"/>
        <v>21</v>
      </c>
      <c r="B227" s="170"/>
      <c r="C227" s="167"/>
      <c r="D227" s="150"/>
      <c r="E227" s="331"/>
      <c r="F227" s="331"/>
      <c r="G227" s="331"/>
      <c r="H227" s="152"/>
      <c r="I227" s="153">
        <f>+SUMIF('NHẬP LIỆU'!$E:$E,NVL!$B227,'NHẬP LIỆU'!$K:$K)</f>
        <v>0</v>
      </c>
      <c r="J227" s="156">
        <f>+SUMIF('NHẬP LIỆU'!$E:$E,NVL!$B227,'NHẬP LIỆU'!$L:$L)</f>
        <v>0</v>
      </c>
      <c r="K227" s="154">
        <f>+NVL!$H227+NVL!$I227-NVL!$J227</f>
        <v>0</v>
      </c>
      <c r="L227" s="155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23.25" customHeight="1">
      <c r="A228" s="147">
        <f t="shared" si="1"/>
        <v>21</v>
      </c>
      <c r="B228" s="170"/>
      <c r="C228" s="167"/>
      <c r="D228" s="150"/>
      <c r="E228" s="331"/>
      <c r="F228" s="331"/>
      <c r="G228" s="331"/>
      <c r="H228" s="152"/>
      <c r="I228" s="153">
        <f>+SUMIF('NHẬP LIỆU'!$E:$E,NVL!$B228,'NHẬP LIỆU'!$K:$K)</f>
        <v>0</v>
      </c>
      <c r="J228" s="156">
        <f>+SUMIF('NHẬP LIỆU'!$E:$E,NVL!$B228,'NHẬP LIỆU'!$L:$L)</f>
        <v>0</v>
      </c>
      <c r="K228" s="154">
        <f>+NVL!$H228+NVL!$I228-NVL!$J228</f>
        <v>0</v>
      </c>
      <c r="L228" s="155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23.25" customHeight="1">
      <c r="A229" s="147">
        <f t="shared" si="1"/>
        <v>21</v>
      </c>
      <c r="B229" s="170"/>
      <c r="C229" s="167"/>
      <c r="D229" s="150"/>
      <c r="E229" s="331"/>
      <c r="F229" s="331"/>
      <c r="G229" s="331"/>
      <c r="H229" s="152"/>
      <c r="I229" s="153">
        <f>+SUMIF('NHẬP LIỆU'!$E:$E,NVL!$B229,'NHẬP LIỆU'!$K:$K)</f>
        <v>0</v>
      </c>
      <c r="J229" s="156">
        <f>+SUMIF('NHẬP LIỆU'!$E:$E,NVL!$B229,'NHẬP LIỆU'!$L:$L)</f>
        <v>0</v>
      </c>
      <c r="K229" s="154">
        <f>+NVL!$H229+NVL!$I229-NVL!$J229</f>
        <v>0</v>
      </c>
      <c r="L229" s="155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23.25" customHeight="1">
      <c r="A230" s="147">
        <f t="shared" si="1"/>
        <v>21</v>
      </c>
      <c r="B230" s="170"/>
      <c r="C230" s="167"/>
      <c r="D230" s="150"/>
      <c r="E230" s="331"/>
      <c r="F230" s="331"/>
      <c r="G230" s="331"/>
      <c r="H230" s="152"/>
      <c r="I230" s="153">
        <f>+SUMIF('NHẬP LIỆU'!$E:$E,NVL!$B230,'NHẬP LIỆU'!$K:$K)</f>
        <v>0</v>
      </c>
      <c r="J230" s="156">
        <f>+SUMIF('NHẬP LIỆU'!$E:$E,NVL!$B230,'NHẬP LIỆU'!$L:$L)</f>
        <v>0</v>
      </c>
      <c r="K230" s="154">
        <f>+NVL!$H230+NVL!$I230-NVL!$J230</f>
        <v>0</v>
      </c>
      <c r="L230" s="155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23.25" customHeight="1">
      <c r="A231" s="147">
        <f t="shared" si="1"/>
        <v>21</v>
      </c>
      <c r="B231" s="170"/>
      <c r="C231" s="167"/>
      <c r="D231" s="150"/>
      <c r="E231" s="331"/>
      <c r="F231" s="331"/>
      <c r="G231" s="331"/>
      <c r="H231" s="152"/>
      <c r="I231" s="153">
        <f>+SUMIF('NHẬP LIỆU'!$E:$E,NVL!$B231,'NHẬP LIỆU'!$K:$K)</f>
        <v>0</v>
      </c>
      <c r="J231" s="156">
        <f>+SUMIF('NHẬP LIỆU'!$E:$E,NVL!$B231,'NHẬP LIỆU'!$L:$L)</f>
        <v>0</v>
      </c>
      <c r="K231" s="154">
        <f>+NVL!$H231+NVL!$I231-NVL!$J231</f>
        <v>0</v>
      </c>
      <c r="L231" s="155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23.25" customHeight="1">
      <c r="A232" s="147">
        <f t="shared" si="1"/>
        <v>21</v>
      </c>
      <c r="B232" s="170"/>
      <c r="C232" s="167"/>
      <c r="D232" s="150"/>
      <c r="E232" s="331"/>
      <c r="F232" s="331"/>
      <c r="G232" s="331"/>
      <c r="H232" s="152"/>
      <c r="I232" s="153">
        <f>+SUMIF('NHẬP LIỆU'!$E:$E,NVL!$B232,'NHẬP LIỆU'!$K:$K)</f>
        <v>0</v>
      </c>
      <c r="J232" s="156">
        <f>+SUMIF('NHẬP LIỆU'!$E:$E,NVL!$B232,'NHẬP LIỆU'!$L:$L)</f>
        <v>0</v>
      </c>
      <c r="K232" s="154">
        <f>+NVL!$H232+NVL!$I232-NVL!$J232</f>
        <v>0</v>
      </c>
      <c r="L232" s="155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23.25" customHeight="1">
      <c r="A233" s="147">
        <f t="shared" si="1"/>
        <v>21</v>
      </c>
      <c r="B233" s="170"/>
      <c r="C233" s="167"/>
      <c r="D233" s="150"/>
      <c r="E233" s="331"/>
      <c r="F233" s="331"/>
      <c r="G233" s="331"/>
      <c r="H233" s="152"/>
      <c r="I233" s="153">
        <f>+SUMIF('NHẬP LIỆU'!$E:$E,NVL!$B233,'NHẬP LIỆU'!$K:$K)</f>
        <v>0</v>
      </c>
      <c r="J233" s="156">
        <f>+SUMIF('NHẬP LIỆU'!$E:$E,NVL!$B233,'NHẬP LIỆU'!$L:$L)</f>
        <v>0</v>
      </c>
      <c r="K233" s="154">
        <f>+NVL!$H233+NVL!$I233-NVL!$J233</f>
        <v>0</v>
      </c>
      <c r="L233" s="155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23.25" customHeight="1">
      <c r="A234" s="147">
        <f t="shared" si="1"/>
        <v>21</v>
      </c>
      <c r="B234" s="170"/>
      <c r="C234" s="167"/>
      <c r="D234" s="150"/>
      <c r="E234" s="331"/>
      <c r="F234" s="331"/>
      <c r="G234" s="331"/>
      <c r="H234" s="152"/>
      <c r="I234" s="153">
        <f>+SUMIF('NHẬP LIỆU'!$E:$E,NVL!$B234,'NHẬP LIỆU'!$K:$K)</f>
        <v>0</v>
      </c>
      <c r="J234" s="156">
        <f>+SUMIF('NHẬP LIỆU'!$E:$E,NVL!$B234,'NHẬP LIỆU'!$L:$L)</f>
        <v>0</v>
      </c>
      <c r="K234" s="154">
        <f>+NVL!$H234+NVL!$I234-NVL!$J234</f>
        <v>0</v>
      </c>
      <c r="L234" s="155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23.25" customHeight="1">
      <c r="A235" s="147">
        <f t="shared" si="1"/>
        <v>21</v>
      </c>
      <c r="B235" s="170"/>
      <c r="C235" s="167"/>
      <c r="D235" s="150"/>
      <c r="E235" s="331"/>
      <c r="F235" s="331"/>
      <c r="G235" s="331"/>
      <c r="H235" s="152"/>
      <c r="I235" s="153">
        <f>+SUMIF('NHẬP LIỆU'!$E:$E,NVL!$B235,'NHẬP LIỆU'!$K:$K)</f>
        <v>0</v>
      </c>
      <c r="J235" s="156">
        <f>+SUMIF('NHẬP LIỆU'!$E:$E,NVL!$B235,'NHẬP LIỆU'!$L:$L)</f>
        <v>0</v>
      </c>
      <c r="K235" s="154">
        <f>+NVL!$H235+NVL!$I235-NVL!$J235</f>
        <v>0</v>
      </c>
      <c r="L235" s="155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23.25" customHeight="1">
      <c r="A236" s="147">
        <f t="shared" si="1"/>
        <v>21</v>
      </c>
      <c r="B236" s="170"/>
      <c r="C236" s="167"/>
      <c r="D236" s="150"/>
      <c r="E236" s="331"/>
      <c r="F236" s="331"/>
      <c r="G236" s="331"/>
      <c r="H236" s="152"/>
      <c r="I236" s="153">
        <f>+SUMIF('NHẬP LIỆU'!$E:$E,NVL!$B236,'NHẬP LIỆU'!$K:$K)</f>
        <v>0</v>
      </c>
      <c r="J236" s="156">
        <f>+SUMIF('NHẬP LIỆU'!$E:$E,NVL!$B236,'NHẬP LIỆU'!$L:$L)</f>
        <v>0</v>
      </c>
      <c r="K236" s="154">
        <f>+NVL!$H236+NVL!$I236-NVL!$J236</f>
        <v>0</v>
      </c>
      <c r="L236" s="155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23.25" customHeight="1">
      <c r="A237" s="147">
        <f t="shared" si="1"/>
        <v>21</v>
      </c>
      <c r="B237" s="170"/>
      <c r="C237" s="167"/>
      <c r="D237" s="150"/>
      <c r="E237" s="331"/>
      <c r="F237" s="331"/>
      <c r="G237" s="331"/>
      <c r="H237" s="152"/>
      <c r="I237" s="153">
        <f>+SUMIF('NHẬP LIỆU'!$E:$E,NVL!$B237,'NHẬP LIỆU'!$K:$K)</f>
        <v>0</v>
      </c>
      <c r="J237" s="156">
        <f>+SUMIF('NHẬP LIỆU'!$E:$E,NVL!$B237,'NHẬP LIỆU'!$L:$L)</f>
        <v>0</v>
      </c>
      <c r="K237" s="154">
        <f>+NVL!$H237+NVL!$I237-NVL!$J237</f>
        <v>0</v>
      </c>
      <c r="L237" s="155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23.25" customHeight="1">
      <c r="A238" s="147">
        <f t="shared" si="1"/>
        <v>21</v>
      </c>
      <c r="B238" s="170"/>
      <c r="C238" s="167"/>
      <c r="D238" s="150"/>
      <c r="E238" s="331"/>
      <c r="F238" s="331"/>
      <c r="G238" s="331"/>
      <c r="H238" s="152"/>
      <c r="I238" s="153">
        <f>+SUMIF('NHẬP LIỆU'!$E:$E,NVL!$B238,'NHẬP LIỆU'!$K:$K)</f>
        <v>0</v>
      </c>
      <c r="J238" s="156">
        <f>+SUMIF('NHẬP LIỆU'!$E:$E,NVL!$B238,'NHẬP LIỆU'!$L:$L)</f>
        <v>0</v>
      </c>
      <c r="K238" s="154">
        <f>+NVL!$H238+NVL!$I238-NVL!$J238</f>
        <v>0</v>
      </c>
      <c r="L238" s="155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23.25" customHeight="1">
      <c r="A239" s="147">
        <f t="shared" si="1"/>
        <v>21</v>
      </c>
      <c r="B239" s="170"/>
      <c r="C239" s="167"/>
      <c r="D239" s="150"/>
      <c r="E239" s="331"/>
      <c r="F239" s="331"/>
      <c r="G239" s="331"/>
      <c r="H239" s="152"/>
      <c r="I239" s="153">
        <f>+SUMIF('NHẬP LIỆU'!$E:$E,NVL!$B239,'NHẬP LIỆU'!$K:$K)</f>
        <v>0</v>
      </c>
      <c r="J239" s="156">
        <f>+SUMIF('NHẬP LIỆU'!$E:$E,NVL!$B239,'NHẬP LIỆU'!$L:$L)</f>
        <v>0</v>
      </c>
      <c r="K239" s="154">
        <f>+NVL!$H239+NVL!$I239-NVL!$J239</f>
        <v>0</v>
      </c>
      <c r="L239" s="155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23.25" customHeight="1">
      <c r="A240" s="147">
        <f t="shared" si="1"/>
        <v>21</v>
      </c>
      <c r="B240" s="170"/>
      <c r="C240" s="167"/>
      <c r="D240" s="150"/>
      <c r="E240" s="331"/>
      <c r="F240" s="331"/>
      <c r="G240" s="331"/>
      <c r="H240" s="152"/>
      <c r="I240" s="153">
        <f>+SUMIF('NHẬP LIỆU'!$E:$E,NVL!$B240,'NHẬP LIỆU'!$K:$K)</f>
        <v>0</v>
      </c>
      <c r="J240" s="156">
        <f>+SUMIF('NHẬP LIỆU'!$E:$E,NVL!$B240,'NHẬP LIỆU'!$L:$L)</f>
        <v>0</v>
      </c>
      <c r="K240" s="154">
        <f>+NVL!$H240+NVL!$I240-NVL!$J240</f>
        <v>0</v>
      </c>
      <c r="L240" s="155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23.25" customHeight="1">
      <c r="A241" s="147">
        <f t="shared" si="1"/>
        <v>21</v>
      </c>
      <c r="B241" s="170"/>
      <c r="C241" s="167"/>
      <c r="D241" s="150"/>
      <c r="E241" s="331"/>
      <c r="F241" s="331"/>
      <c r="G241" s="331"/>
      <c r="H241" s="152"/>
      <c r="I241" s="153">
        <f>+SUMIF('NHẬP LIỆU'!$E:$E,NVL!$B241,'NHẬP LIỆU'!$K:$K)</f>
        <v>0</v>
      </c>
      <c r="J241" s="156">
        <f>+SUMIF('NHẬP LIỆU'!$E:$E,NVL!$B241,'NHẬP LIỆU'!$L:$L)</f>
        <v>0</v>
      </c>
      <c r="K241" s="154">
        <f>+NVL!$H241+NVL!$I241-NVL!$J241</f>
        <v>0</v>
      </c>
      <c r="L241" s="155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23.25" customHeight="1">
      <c r="A242" s="147">
        <f t="shared" si="1"/>
        <v>21</v>
      </c>
      <c r="B242" s="170"/>
      <c r="C242" s="167"/>
      <c r="D242" s="150"/>
      <c r="E242" s="331"/>
      <c r="F242" s="331"/>
      <c r="G242" s="331"/>
      <c r="H242" s="152"/>
      <c r="I242" s="153">
        <f>+SUMIF('NHẬP LIỆU'!$E:$E,NVL!$B242,'NHẬP LIỆU'!$K:$K)</f>
        <v>0</v>
      </c>
      <c r="J242" s="156">
        <f>+SUMIF('NHẬP LIỆU'!$E:$E,NVL!$B242,'NHẬP LIỆU'!$L:$L)</f>
        <v>0</v>
      </c>
      <c r="K242" s="154">
        <f>+NVL!$H242+NVL!$I242-NVL!$J242</f>
        <v>0</v>
      </c>
      <c r="L242" s="155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23.25" customHeight="1">
      <c r="A243" s="147">
        <f t="shared" si="1"/>
        <v>21</v>
      </c>
      <c r="B243" s="170"/>
      <c r="C243" s="167"/>
      <c r="D243" s="150"/>
      <c r="E243" s="331"/>
      <c r="F243" s="331"/>
      <c r="G243" s="331"/>
      <c r="H243" s="152"/>
      <c r="I243" s="153">
        <f>+SUMIF('NHẬP LIỆU'!$E:$E,NVL!$B243,'NHẬP LIỆU'!$K:$K)</f>
        <v>0</v>
      </c>
      <c r="J243" s="156">
        <f>+SUMIF('NHẬP LIỆU'!$E:$E,NVL!$B243,'NHẬP LIỆU'!$L:$L)</f>
        <v>0</v>
      </c>
      <c r="K243" s="154">
        <f>+NVL!$H243+NVL!$I243-NVL!$J243</f>
        <v>0</v>
      </c>
      <c r="L243" s="155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23.25" customHeight="1">
      <c r="A244" s="147">
        <f t="shared" si="1"/>
        <v>21</v>
      </c>
      <c r="B244" s="170"/>
      <c r="C244" s="167"/>
      <c r="D244" s="150"/>
      <c r="E244" s="331"/>
      <c r="F244" s="331"/>
      <c r="G244" s="331"/>
      <c r="H244" s="152"/>
      <c r="I244" s="153">
        <f>+SUMIF('NHẬP LIỆU'!$E:$E,NVL!$B244,'NHẬP LIỆU'!$K:$K)</f>
        <v>0</v>
      </c>
      <c r="J244" s="156">
        <f>+SUMIF('NHẬP LIỆU'!$E:$E,NVL!$B244,'NHẬP LIỆU'!$L:$L)</f>
        <v>0</v>
      </c>
      <c r="K244" s="154">
        <f>+NVL!$H244+NVL!$I244-NVL!$J244</f>
        <v>0</v>
      </c>
      <c r="L244" s="155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23.25" customHeight="1">
      <c r="A245" s="147">
        <f t="shared" si="1"/>
        <v>21</v>
      </c>
      <c r="B245" s="170"/>
      <c r="C245" s="167"/>
      <c r="D245" s="150"/>
      <c r="E245" s="331"/>
      <c r="F245" s="331"/>
      <c r="G245" s="331"/>
      <c r="H245" s="152"/>
      <c r="I245" s="153">
        <f>+SUMIF('NHẬP LIỆU'!$E:$E,NVL!$B245,'NHẬP LIỆU'!$K:$K)</f>
        <v>0</v>
      </c>
      <c r="J245" s="156">
        <f>+SUMIF('NHẬP LIỆU'!$E:$E,NVL!$B245,'NHẬP LIỆU'!$L:$L)</f>
        <v>0</v>
      </c>
      <c r="K245" s="154">
        <f>+NVL!$H245+NVL!$I245-NVL!$J245</f>
        <v>0</v>
      </c>
      <c r="L245" s="155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23.25" customHeight="1">
      <c r="A246" s="147">
        <f t="shared" si="1"/>
        <v>21</v>
      </c>
      <c r="B246" s="170"/>
      <c r="C246" s="167"/>
      <c r="D246" s="150"/>
      <c r="E246" s="331"/>
      <c r="F246" s="331"/>
      <c r="G246" s="331"/>
      <c r="H246" s="152"/>
      <c r="I246" s="153">
        <f>+SUMIF('NHẬP LIỆU'!$E:$E,NVL!$B246,'NHẬP LIỆU'!$K:$K)</f>
        <v>0</v>
      </c>
      <c r="J246" s="156">
        <f>+SUMIF('NHẬP LIỆU'!$E:$E,NVL!$B246,'NHẬP LIỆU'!$L:$L)</f>
        <v>0</v>
      </c>
      <c r="K246" s="154">
        <f>+NVL!$H246+NVL!$I246-NVL!$J246</f>
        <v>0</v>
      </c>
      <c r="L246" s="155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23.25" customHeight="1">
      <c r="A247" s="147">
        <f t="shared" si="1"/>
        <v>21</v>
      </c>
      <c r="B247" s="170"/>
      <c r="C247" s="167"/>
      <c r="D247" s="150"/>
      <c r="E247" s="331"/>
      <c r="F247" s="331"/>
      <c r="G247" s="331"/>
      <c r="H247" s="152"/>
      <c r="I247" s="153">
        <f>+SUMIF('NHẬP LIỆU'!$E:$E,NVL!$B247,'NHẬP LIỆU'!$K:$K)</f>
        <v>0</v>
      </c>
      <c r="J247" s="156">
        <f>+SUMIF('NHẬP LIỆU'!$E:$E,NVL!$B247,'NHẬP LIỆU'!$L:$L)</f>
        <v>0</v>
      </c>
      <c r="K247" s="154">
        <f>+NVL!$H247+NVL!$I247-NVL!$J247</f>
        <v>0</v>
      </c>
      <c r="L247" s="155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23.25" customHeight="1">
      <c r="A248" s="147">
        <f t="shared" si="1"/>
        <v>21</v>
      </c>
      <c r="B248" s="170"/>
      <c r="C248" s="167"/>
      <c r="D248" s="150"/>
      <c r="E248" s="331"/>
      <c r="F248" s="331"/>
      <c r="G248" s="331"/>
      <c r="H248" s="152"/>
      <c r="I248" s="153">
        <f>+SUMIF('NHẬP LIỆU'!$E:$E,NVL!$B248,'NHẬP LIỆU'!$K:$K)</f>
        <v>0</v>
      </c>
      <c r="J248" s="156">
        <f>+SUMIF('NHẬP LIỆU'!$E:$E,NVL!$B248,'NHẬP LIỆU'!$L:$L)</f>
        <v>0</v>
      </c>
      <c r="K248" s="154">
        <f>+NVL!$H248+NVL!$I248-NVL!$J248</f>
        <v>0</v>
      </c>
      <c r="L248" s="155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23.25" customHeight="1">
      <c r="A249" s="147">
        <f t="shared" si="1"/>
        <v>21</v>
      </c>
      <c r="B249" s="170"/>
      <c r="C249" s="167"/>
      <c r="D249" s="150"/>
      <c r="E249" s="331"/>
      <c r="F249" s="331"/>
      <c r="G249" s="331"/>
      <c r="H249" s="152"/>
      <c r="I249" s="153">
        <f>+SUMIF('NHẬP LIỆU'!$E:$E,NVL!$B249,'NHẬP LIỆU'!$K:$K)</f>
        <v>0</v>
      </c>
      <c r="J249" s="156">
        <f>+SUMIF('NHẬP LIỆU'!$E:$E,NVL!$B249,'NHẬP LIỆU'!$L:$L)</f>
        <v>0</v>
      </c>
      <c r="K249" s="154">
        <f>+NVL!$H249+NVL!$I249-NVL!$J249</f>
        <v>0</v>
      </c>
      <c r="L249" s="155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23.25" customHeight="1">
      <c r="A250" s="147">
        <f t="shared" si="1"/>
        <v>21</v>
      </c>
      <c r="B250" s="170"/>
      <c r="C250" s="167"/>
      <c r="D250" s="150"/>
      <c r="E250" s="331"/>
      <c r="F250" s="331"/>
      <c r="G250" s="331"/>
      <c r="H250" s="152"/>
      <c r="I250" s="153">
        <f>+SUMIF('NHẬP LIỆU'!$E:$E,NVL!$B250,'NHẬP LIỆU'!$K:$K)</f>
        <v>0</v>
      </c>
      <c r="J250" s="156">
        <f>+SUMIF('NHẬP LIỆU'!$E:$E,NVL!$B250,'NHẬP LIỆU'!$L:$L)</f>
        <v>0</v>
      </c>
      <c r="K250" s="154">
        <f>+NVL!$H250+NVL!$I250-NVL!$J250</f>
        <v>0</v>
      </c>
      <c r="L250" s="155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23.25" customHeight="1">
      <c r="A251" s="147">
        <f t="shared" si="1"/>
        <v>21</v>
      </c>
      <c r="B251" s="170"/>
      <c r="C251" s="167"/>
      <c r="D251" s="150"/>
      <c r="E251" s="331"/>
      <c r="F251" s="331"/>
      <c r="G251" s="331"/>
      <c r="H251" s="152"/>
      <c r="I251" s="153">
        <f>+SUMIF('NHẬP LIỆU'!$E:$E,NVL!$B251,'NHẬP LIỆU'!$K:$K)</f>
        <v>0</v>
      </c>
      <c r="J251" s="156">
        <f>+SUMIF('NHẬP LIỆU'!$E:$E,NVL!$B251,'NHẬP LIỆU'!$L:$L)</f>
        <v>0</v>
      </c>
      <c r="K251" s="154">
        <f>+NVL!$H251+NVL!$I251-NVL!$J251</f>
        <v>0</v>
      </c>
      <c r="L251" s="155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23.25" customHeight="1">
      <c r="A252" s="147">
        <f t="shared" si="1"/>
        <v>21</v>
      </c>
      <c r="B252" s="170"/>
      <c r="C252" s="167"/>
      <c r="D252" s="150"/>
      <c r="E252" s="331"/>
      <c r="F252" s="331"/>
      <c r="G252" s="331"/>
      <c r="H252" s="152"/>
      <c r="I252" s="153">
        <f>+SUMIF('NHẬP LIỆU'!$E:$E,NVL!$B252,'NHẬP LIỆU'!$K:$K)</f>
        <v>0</v>
      </c>
      <c r="J252" s="156">
        <f>+SUMIF('NHẬP LIỆU'!$E:$E,NVL!$B252,'NHẬP LIỆU'!$L:$L)</f>
        <v>0</v>
      </c>
      <c r="K252" s="154">
        <f>+NVL!$H252+NVL!$I252-NVL!$J252</f>
        <v>0</v>
      </c>
      <c r="L252" s="155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23.25" customHeight="1">
      <c r="A253" s="147">
        <f t="shared" si="1"/>
        <v>21</v>
      </c>
      <c r="B253" s="170"/>
      <c r="C253" s="167"/>
      <c r="D253" s="150"/>
      <c r="E253" s="331"/>
      <c r="F253" s="331"/>
      <c r="G253" s="331"/>
      <c r="H253" s="152"/>
      <c r="I253" s="153">
        <f>+SUMIF('NHẬP LIỆU'!$E:$E,NVL!$B253,'NHẬP LIỆU'!$K:$K)</f>
        <v>0</v>
      </c>
      <c r="J253" s="156">
        <f>+SUMIF('NHẬP LIỆU'!$E:$E,NVL!$B253,'NHẬP LIỆU'!$L:$L)</f>
        <v>0</v>
      </c>
      <c r="K253" s="154">
        <f>+NVL!$H253+NVL!$I253-NVL!$J253</f>
        <v>0</v>
      </c>
      <c r="L253" s="155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23.25" customHeight="1">
      <c r="A254" s="147">
        <f t="shared" si="1"/>
        <v>21</v>
      </c>
      <c r="B254" s="170"/>
      <c r="C254" s="167"/>
      <c r="D254" s="150"/>
      <c r="E254" s="331"/>
      <c r="F254" s="331"/>
      <c r="G254" s="331"/>
      <c r="H254" s="152"/>
      <c r="I254" s="153">
        <f>+SUMIF('NHẬP LIỆU'!$E:$E,NVL!$B254,'NHẬP LIỆU'!$K:$K)</f>
        <v>0</v>
      </c>
      <c r="J254" s="156">
        <f>+SUMIF('NHẬP LIỆU'!$E:$E,NVL!$B254,'NHẬP LIỆU'!$L:$L)</f>
        <v>0</v>
      </c>
      <c r="K254" s="154">
        <f>+NVL!$H254+NVL!$I254-NVL!$J254</f>
        <v>0</v>
      </c>
      <c r="L254" s="155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23.25" customHeight="1">
      <c r="A255" s="147">
        <f t="shared" si="1"/>
        <v>21</v>
      </c>
      <c r="B255" s="170"/>
      <c r="C255" s="167"/>
      <c r="D255" s="150"/>
      <c r="E255" s="331"/>
      <c r="F255" s="331"/>
      <c r="G255" s="331"/>
      <c r="H255" s="152"/>
      <c r="I255" s="153">
        <f>+SUMIF('NHẬP LIỆU'!$E:$E,NVL!$B255,'NHẬP LIỆU'!$K:$K)</f>
        <v>0</v>
      </c>
      <c r="J255" s="156">
        <f>+SUMIF('NHẬP LIỆU'!$E:$E,NVL!$B255,'NHẬP LIỆU'!$L:$L)</f>
        <v>0</v>
      </c>
      <c r="K255" s="154">
        <f>+NVL!$H255+NVL!$I255-NVL!$J255</f>
        <v>0</v>
      </c>
      <c r="L255" s="155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23.25" customHeight="1">
      <c r="A256" s="147">
        <f t="shared" si="1"/>
        <v>21</v>
      </c>
      <c r="B256" s="170"/>
      <c r="C256" s="167"/>
      <c r="D256" s="150"/>
      <c r="E256" s="331"/>
      <c r="F256" s="331"/>
      <c r="G256" s="331"/>
      <c r="H256" s="152"/>
      <c r="I256" s="153">
        <f>+SUMIF('NHẬP LIỆU'!$E:$E,NVL!$B256,'NHẬP LIỆU'!$K:$K)</f>
        <v>0</v>
      </c>
      <c r="J256" s="156">
        <f>+SUMIF('NHẬP LIỆU'!$E:$E,NVL!$B256,'NHẬP LIỆU'!$L:$L)</f>
        <v>0</v>
      </c>
      <c r="K256" s="154">
        <f>+NVL!$H256+NVL!$I256-NVL!$J256</f>
        <v>0</v>
      </c>
      <c r="L256" s="155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23.25" customHeight="1">
      <c r="A257" s="147">
        <f t="shared" si="1"/>
        <v>21</v>
      </c>
      <c r="B257" s="170"/>
      <c r="C257" s="167"/>
      <c r="D257" s="150"/>
      <c r="E257" s="331"/>
      <c r="F257" s="331"/>
      <c r="G257" s="331"/>
      <c r="H257" s="152"/>
      <c r="I257" s="153">
        <f>+SUMIF('NHẬP LIỆU'!$E:$E,NVL!$B257,'NHẬP LIỆU'!$K:$K)</f>
        <v>0</v>
      </c>
      <c r="J257" s="156">
        <f>+SUMIF('NHẬP LIỆU'!$E:$E,NVL!$B257,'NHẬP LIỆU'!$L:$L)</f>
        <v>0</v>
      </c>
      <c r="K257" s="154">
        <f>+NVL!$H257+NVL!$I257-NVL!$J257</f>
        <v>0</v>
      </c>
      <c r="L257" s="155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23.25" customHeight="1">
      <c r="A258" s="147">
        <f t="shared" si="1"/>
        <v>21</v>
      </c>
      <c r="B258" s="170"/>
      <c r="C258" s="167"/>
      <c r="D258" s="150"/>
      <c r="E258" s="331"/>
      <c r="F258" s="331"/>
      <c r="G258" s="331"/>
      <c r="H258" s="152"/>
      <c r="I258" s="153">
        <f>+SUMIF('NHẬP LIỆU'!$E:$E,NVL!$B258,'NHẬP LIỆU'!$K:$K)</f>
        <v>0</v>
      </c>
      <c r="J258" s="156">
        <f>+SUMIF('NHẬP LIỆU'!$E:$E,NVL!$B258,'NHẬP LIỆU'!$L:$L)</f>
        <v>0</v>
      </c>
      <c r="K258" s="154">
        <f>+NVL!$H258+NVL!$I258-NVL!$J258</f>
        <v>0</v>
      </c>
      <c r="L258" s="155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23.25" customHeight="1">
      <c r="A259" s="147">
        <f t="shared" si="1"/>
        <v>21</v>
      </c>
      <c r="B259" s="170"/>
      <c r="C259" s="167"/>
      <c r="D259" s="150"/>
      <c r="E259" s="331"/>
      <c r="F259" s="331"/>
      <c r="G259" s="331"/>
      <c r="H259" s="152"/>
      <c r="I259" s="153">
        <f>+SUMIF('NHẬP LIỆU'!$E:$E,NVL!$B259,'NHẬP LIỆU'!$K:$K)</f>
        <v>0</v>
      </c>
      <c r="J259" s="156">
        <f>+SUMIF('NHẬP LIỆU'!$E:$E,NVL!$B259,'NHẬP LIỆU'!$L:$L)</f>
        <v>0</v>
      </c>
      <c r="K259" s="154">
        <f>+NVL!$H259+NVL!$I259-NVL!$J259</f>
        <v>0</v>
      </c>
      <c r="L259" s="155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23.25" customHeight="1">
      <c r="A260" s="147">
        <f t="shared" si="1"/>
        <v>21</v>
      </c>
      <c r="B260" s="170"/>
      <c r="C260" s="167"/>
      <c r="D260" s="150"/>
      <c r="E260" s="331"/>
      <c r="F260" s="331"/>
      <c r="G260" s="331"/>
      <c r="H260" s="152"/>
      <c r="I260" s="153">
        <f>+SUMIF('NHẬP LIỆU'!$E:$E,NVL!$B260,'NHẬP LIỆU'!$K:$K)</f>
        <v>0</v>
      </c>
      <c r="J260" s="156">
        <f>+SUMIF('NHẬP LIỆU'!$E:$E,NVL!$B260,'NHẬP LIỆU'!$L:$L)</f>
        <v>0</v>
      </c>
      <c r="K260" s="154">
        <f>+NVL!$H260+NVL!$I260-NVL!$J260</f>
        <v>0</v>
      </c>
      <c r="L260" s="155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23.25" customHeight="1">
      <c r="A261" s="147">
        <f t="shared" si="1"/>
        <v>21</v>
      </c>
      <c r="B261" s="170"/>
      <c r="C261" s="167"/>
      <c r="D261" s="150"/>
      <c r="E261" s="331"/>
      <c r="F261" s="331"/>
      <c r="G261" s="331"/>
      <c r="H261" s="152"/>
      <c r="I261" s="153">
        <f>+SUMIF('NHẬP LIỆU'!$E:$E,NVL!$B261,'NHẬP LIỆU'!$K:$K)</f>
        <v>0</v>
      </c>
      <c r="J261" s="156">
        <f>+SUMIF('NHẬP LIỆU'!$E:$E,NVL!$B261,'NHẬP LIỆU'!$L:$L)</f>
        <v>0</v>
      </c>
      <c r="K261" s="154">
        <f>+NVL!$H261+NVL!$I261-NVL!$J261</f>
        <v>0</v>
      </c>
      <c r="L261" s="155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23.25" customHeight="1">
      <c r="A262" s="147">
        <f t="shared" si="1"/>
        <v>21</v>
      </c>
      <c r="B262" s="170"/>
      <c r="C262" s="167"/>
      <c r="D262" s="150"/>
      <c r="E262" s="331"/>
      <c r="F262" s="331"/>
      <c r="G262" s="331"/>
      <c r="H262" s="152"/>
      <c r="I262" s="153">
        <f>+SUMIF('NHẬP LIỆU'!$E:$E,NVL!$B262,'NHẬP LIỆU'!$K:$K)</f>
        <v>0</v>
      </c>
      <c r="J262" s="156">
        <f>+SUMIF('NHẬP LIỆU'!$E:$E,NVL!$B262,'NHẬP LIỆU'!$L:$L)</f>
        <v>0</v>
      </c>
      <c r="K262" s="154">
        <f>+NVL!$H262+NVL!$I262-NVL!$J262</f>
        <v>0</v>
      </c>
      <c r="L262" s="155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23.25" customHeight="1">
      <c r="A263" s="147">
        <f t="shared" si="1"/>
        <v>21</v>
      </c>
      <c r="B263" s="170"/>
      <c r="C263" s="167"/>
      <c r="D263" s="150"/>
      <c r="E263" s="331"/>
      <c r="F263" s="331"/>
      <c r="G263" s="331"/>
      <c r="H263" s="152"/>
      <c r="I263" s="153">
        <f>+SUMIF('NHẬP LIỆU'!$E:$E,NVL!$B263,'NHẬP LIỆU'!$K:$K)</f>
        <v>0</v>
      </c>
      <c r="J263" s="156">
        <f>+SUMIF('NHẬP LIỆU'!$E:$E,NVL!$B263,'NHẬP LIỆU'!$L:$L)</f>
        <v>0</v>
      </c>
      <c r="K263" s="154">
        <f>+NVL!$H263+NVL!$I263-NVL!$J263</f>
        <v>0</v>
      </c>
      <c r="L263" s="155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23.25" customHeight="1">
      <c r="A264" s="147">
        <f t="shared" si="1"/>
        <v>21</v>
      </c>
      <c r="B264" s="170"/>
      <c r="C264" s="167"/>
      <c r="D264" s="150"/>
      <c r="E264" s="331"/>
      <c r="F264" s="331"/>
      <c r="G264" s="331"/>
      <c r="H264" s="152"/>
      <c r="I264" s="153">
        <f>+SUMIF('NHẬP LIỆU'!$E:$E,NVL!$B264,'NHẬP LIỆU'!$K:$K)</f>
        <v>0</v>
      </c>
      <c r="J264" s="156">
        <f>+SUMIF('NHẬP LIỆU'!$E:$E,NVL!$B264,'NHẬP LIỆU'!$L:$L)</f>
        <v>0</v>
      </c>
      <c r="K264" s="154">
        <f>+NVL!$H264+NVL!$I264-NVL!$J264</f>
        <v>0</v>
      </c>
      <c r="L264" s="155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23.25" customHeight="1">
      <c r="A265" s="147">
        <f t="shared" si="1"/>
        <v>21</v>
      </c>
      <c r="B265" s="170"/>
      <c r="C265" s="167"/>
      <c r="D265" s="150"/>
      <c r="E265" s="331"/>
      <c r="F265" s="331"/>
      <c r="G265" s="331"/>
      <c r="H265" s="152"/>
      <c r="I265" s="153">
        <f>+SUMIF('NHẬP LIỆU'!$E:$E,NVL!$B265,'NHẬP LIỆU'!$K:$K)</f>
        <v>0</v>
      </c>
      <c r="J265" s="156">
        <f>+SUMIF('NHẬP LIỆU'!$E:$E,NVL!$B265,'NHẬP LIỆU'!$L:$L)</f>
        <v>0</v>
      </c>
      <c r="K265" s="154">
        <f>+NVL!$H265+NVL!$I265-NVL!$J265</f>
        <v>0</v>
      </c>
      <c r="L265" s="155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23.25" customHeight="1">
      <c r="A266" s="147">
        <f t="shared" si="1"/>
        <v>21</v>
      </c>
      <c r="B266" s="170"/>
      <c r="C266" s="167"/>
      <c r="D266" s="150"/>
      <c r="E266" s="331"/>
      <c r="F266" s="331"/>
      <c r="G266" s="331"/>
      <c r="H266" s="152"/>
      <c r="I266" s="153">
        <f>+SUMIF('NHẬP LIỆU'!$E:$E,NVL!$B266,'NHẬP LIỆU'!$K:$K)</f>
        <v>0</v>
      </c>
      <c r="J266" s="156">
        <f>+SUMIF('NHẬP LIỆU'!$E:$E,NVL!$B266,'NHẬP LIỆU'!$L:$L)</f>
        <v>0</v>
      </c>
      <c r="K266" s="154">
        <f>+NVL!$H266+NVL!$I266-NVL!$J266</f>
        <v>0</v>
      </c>
      <c r="L266" s="155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23.25" customHeight="1">
      <c r="A267" s="147">
        <f t="shared" si="1"/>
        <v>21</v>
      </c>
      <c r="B267" s="170"/>
      <c r="C267" s="167"/>
      <c r="D267" s="150"/>
      <c r="E267" s="331"/>
      <c r="F267" s="331"/>
      <c r="G267" s="331"/>
      <c r="H267" s="152"/>
      <c r="I267" s="153">
        <f>+SUMIF('NHẬP LIỆU'!$E:$E,NVL!$B267,'NHẬP LIỆU'!$K:$K)</f>
        <v>0</v>
      </c>
      <c r="J267" s="156">
        <f>+SUMIF('NHẬP LIỆU'!$E:$E,NVL!$B267,'NHẬP LIỆU'!$L:$L)</f>
        <v>0</v>
      </c>
      <c r="K267" s="154">
        <f>+NVL!$H267+NVL!$I267-NVL!$J267</f>
        <v>0</v>
      </c>
      <c r="L267" s="155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23.25" customHeight="1">
      <c r="A268" s="147">
        <f t="shared" si="1"/>
        <v>21</v>
      </c>
      <c r="B268" s="170"/>
      <c r="C268" s="167"/>
      <c r="D268" s="150"/>
      <c r="E268" s="331"/>
      <c r="F268" s="331"/>
      <c r="G268" s="331"/>
      <c r="H268" s="152"/>
      <c r="I268" s="153">
        <f>+SUMIF('NHẬP LIỆU'!$E:$E,NVL!$B268,'NHẬP LIỆU'!$K:$K)</f>
        <v>0</v>
      </c>
      <c r="J268" s="156">
        <f>+SUMIF('NHẬP LIỆU'!$E:$E,NVL!$B268,'NHẬP LIỆU'!$L:$L)</f>
        <v>0</v>
      </c>
      <c r="K268" s="154">
        <f>+NVL!$H268+NVL!$I268-NVL!$J268</f>
        <v>0</v>
      </c>
      <c r="L268" s="155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23.25" customHeight="1">
      <c r="A269" s="147">
        <f t="shared" si="1"/>
        <v>21</v>
      </c>
      <c r="B269" s="170"/>
      <c r="C269" s="167"/>
      <c r="D269" s="150"/>
      <c r="E269" s="331"/>
      <c r="F269" s="331"/>
      <c r="G269" s="331"/>
      <c r="H269" s="152"/>
      <c r="I269" s="153">
        <f>+SUMIF('NHẬP LIỆU'!$E:$E,NVL!$B269,'NHẬP LIỆU'!$K:$K)</f>
        <v>0</v>
      </c>
      <c r="J269" s="156">
        <f>+SUMIF('NHẬP LIỆU'!$E:$E,NVL!$B269,'NHẬP LIỆU'!$L:$L)</f>
        <v>0</v>
      </c>
      <c r="K269" s="154">
        <f>+NVL!$H269+NVL!$I269-NVL!$J269</f>
        <v>0</v>
      </c>
      <c r="L269" s="155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23.25" customHeight="1">
      <c r="A270" s="147">
        <f t="shared" si="1"/>
        <v>21</v>
      </c>
      <c r="B270" s="170"/>
      <c r="C270" s="167"/>
      <c r="D270" s="150"/>
      <c r="E270" s="331"/>
      <c r="F270" s="331"/>
      <c r="G270" s="331"/>
      <c r="H270" s="152"/>
      <c r="I270" s="153">
        <f>+SUMIF('NHẬP LIỆU'!$E:$E,NVL!$B270,'NHẬP LIỆU'!$K:$K)</f>
        <v>0</v>
      </c>
      <c r="J270" s="156">
        <f>+SUMIF('NHẬP LIỆU'!$E:$E,NVL!$B270,'NHẬP LIỆU'!$L:$L)</f>
        <v>0</v>
      </c>
      <c r="K270" s="154">
        <f>+NVL!$H270+NVL!$I270-NVL!$J270</f>
        <v>0</v>
      </c>
      <c r="L270" s="155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23.25" customHeight="1">
      <c r="A271" s="147">
        <f t="shared" si="1"/>
        <v>21</v>
      </c>
      <c r="B271" s="170"/>
      <c r="C271" s="167"/>
      <c r="D271" s="150"/>
      <c r="E271" s="331"/>
      <c r="F271" s="331"/>
      <c r="G271" s="331"/>
      <c r="H271" s="152"/>
      <c r="I271" s="153">
        <f>+SUMIF('NHẬP LIỆU'!$E:$E,NVL!$B271,'NHẬP LIỆU'!$K:$K)</f>
        <v>0</v>
      </c>
      <c r="J271" s="156">
        <f>+SUMIF('NHẬP LIỆU'!$E:$E,NVL!$B271,'NHẬP LIỆU'!$L:$L)</f>
        <v>0</v>
      </c>
      <c r="K271" s="154">
        <f>+NVL!$H271+NVL!$I271-NVL!$J271</f>
        <v>0</v>
      </c>
      <c r="L271" s="155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23.25" customHeight="1">
      <c r="A272" s="147">
        <f t="shared" si="1"/>
        <v>21</v>
      </c>
      <c r="B272" s="170"/>
      <c r="C272" s="167"/>
      <c r="D272" s="150"/>
      <c r="E272" s="331"/>
      <c r="F272" s="331"/>
      <c r="G272" s="331"/>
      <c r="H272" s="152"/>
      <c r="I272" s="153">
        <f>+SUMIF('NHẬP LIỆU'!$E:$E,NVL!$B272,'NHẬP LIỆU'!$K:$K)</f>
        <v>0</v>
      </c>
      <c r="J272" s="156">
        <f>+SUMIF('NHẬP LIỆU'!$E:$E,NVL!$B272,'NHẬP LIỆU'!$L:$L)</f>
        <v>0</v>
      </c>
      <c r="K272" s="154">
        <f>+NVL!$H272+NVL!$I272-NVL!$J272</f>
        <v>0</v>
      </c>
      <c r="L272" s="155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23.25" customHeight="1">
      <c r="A273" s="147">
        <f t="shared" si="1"/>
        <v>21</v>
      </c>
      <c r="B273" s="170"/>
      <c r="C273" s="167"/>
      <c r="D273" s="150"/>
      <c r="E273" s="331"/>
      <c r="F273" s="331"/>
      <c r="G273" s="331"/>
      <c r="H273" s="152"/>
      <c r="I273" s="153">
        <f>+SUMIF('NHẬP LIỆU'!$E:$E,NVL!$B273,'NHẬP LIỆU'!$K:$K)</f>
        <v>0</v>
      </c>
      <c r="J273" s="156">
        <f>+SUMIF('NHẬP LIỆU'!$E:$E,NVL!$B273,'NHẬP LIỆU'!$L:$L)</f>
        <v>0</v>
      </c>
      <c r="K273" s="154">
        <f>+NVL!$H273+NVL!$I273-NVL!$J273</f>
        <v>0</v>
      </c>
      <c r="L273" s="155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23.25" customHeight="1">
      <c r="A274" s="147">
        <f t="shared" si="1"/>
        <v>21</v>
      </c>
      <c r="B274" s="170"/>
      <c r="C274" s="167"/>
      <c r="D274" s="150"/>
      <c r="E274" s="331"/>
      <c r="F274" s="331"/>
      <c r="G274" s="331"/>
      <c r="H274" s="152"/>
      <c r="I274" s="153">
        <f>+SUMIF('NHẬP LIỆU'!$E:$E,NVL!$B274,'NHẬP LIỆU'!$K:$K)</f>
        <v>0</v>
      </c>
      <c r="J274" s="156">
        <f>+SUMIF('NHẬP LIỆU'!$E:$E,NVL!$B274,'NHẬP LIỆU'!$L:$L)</f>
        <v>0</v>
      </c>
      <c r="K274" s="154">
        <f>+NVL!$H274+NVL!$I274-NVL!$J274</f>
        <v>0</v>
      </c>
      <c r="L274" s="172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23.25" customHeight="1">
      <c r="A275" s="147">
        <f t="shared" si="1"/>
        <v>21</v>
      </c>
      <c r="B275" s="170"/>
      <c r="C275" s="167"/>
      <c r="D275" s="150"/>
      <c r="E275" s="331"/>
      <c r="F275" s="331"/>
      <c r="G275" s="331"/>
      <c r="H275" s="152"/>
      <c r="I275" s="153">
        <f>+SUMIF('NHẬP LIỆU'!$E:$E,NVL!$B275,'NHẬP LIỆU'!$K:$K)</f>
        <v>0</v>
      </c>
      <c r="J275" s="156">
        <f>+SUMIF('NHẬP LIỆU'!$E:$E,NVL!$B275,'NHẬP LIỆU'!$L:$L)</f>
        <v>0</v>
      </c>
      <c r="K275" s="154">
        <f>+NVL!$H275+NVL!$I275-NVL!$J275</f>
        <v>0</v>
      </c>
      <c r="L275" s="155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23.25" customHeight="1">
      <c r="A276" s="147">
        <f t="shared" si="1"/>
        <v>21</v>
      </c>
      <c r="B276" s="170"/>
      <c r="C276" s="167"/>
      <c r="D276" s="150"/>
      <c r="E276" s="331"/>
      <c r="F276" s="331"/>
      <c r="G276" s="331"/>
      <c r="H276" s="152"/>
      <c r="I276" s="153">
        <f>+SUMIF('NHẬP LIỆU'!$E:$E,NVL!$B276,'NHẬP LIỆU'!$K:$K)</f>
        <v>0</v>
      </c>
      <c r="J276" s="156">
        <f>+SUMIF('NHẬP LIỆU'!$E:$E,NVL!$B276,'NHẬP LIỆU'!$L:$L)</f>
        <v>0</v>
      </c>
      <c r="K276" s="154">
        <f>+NVL!$H276+NVL!$I276-NVL!$J276</f>
        <v>0</v>
      </c>
      <c r="L276" s="155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23.25" customHeight="1">
      <c r="A277" s="147">
        <f t="shared" si="1"/>
        <v>21</v>
      </c>
      <c r="B277" s="170"/>
      <c r="C277" s="167"/>
      <c r="D277" s="150"/>
      <c r="E277" s="331"/>
      <c r="F277" s="331"/>
      <c r="G277" s="331"/>
      <c r="H277" s="152"/>
      <c r="I277" s="153">
        <f>+SUMIF('NHẬP LIỆU'!$E:$E,NVL!$B277,'NHẬP LIỆU'!$K:$K)</f>
        <v>0</v>
      </c>
      <c r="J277" s="156">
        <f>+SUMIF('NHẬP LIỆU'!$E:$E,NVL!$B277,'NHẬP LIỆU'!$L:$L)</f>
        <v>0</v>
      </c>
      <c r="K277" s="154">
        <f>+NVL!$H277+NVL!$I277-NVL!$J277</f>
        <v>0</v>
      </c>
      <c r="L277" s="155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23.25" customHeight="1">
      <c r="A278" s="147">
        <f t="shared" si="1"/>
        <v>21</v>
      </c>
      <c r="B278" s="170"/>
      <c r="C278" s="167"/>
      <c r="D278" s="150"/>
      <c r="E278" s="331"/>
      <c r="F278" s="331"/>
      <c r="G278" s="331"/>
      <c r="H278" s="152"/>
      <c r="I278" s="153">
        <f>+SUMIF('NHẬP LIỆU'!$E:$E,NVL!$B278,'NHẬP LIỆU'!$K:$K)</f>
        <v>0</v>
      </c>
      <c r="J278" s="156">
        <f>+SUMIF('NHẬP LIỆU'!$E:$E,NVL!$B278,'NHẬP LIỆU'!$L:$L)</f>
        <v>0</v>
      </c>
      <c r="K278" s="154">
        <f>+NVL!$H278+NVL!$I278-NVL!$J278</f>
        <v>0</v>
      </c>
      <c r="L278" s="155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23.25" customHeight="1">
      <c r="A279" s="147">
        <f t="shared" si="1"/>
        <v>21</v>
      </c>
      <c r="B279" s="170"/>
      <c r="C279" s="167"/>
      <c r="D279" s="150"/>
      <c r="E279" s="331"/>
      <c r="F279" s="331"/>
      <c r="G279" s="331"/>
      <c r="H279" s="152"/>
      <c r="I279" s="153">
        <f>+SUMIF('NHẬP LIỆU'!$E:$E,NVL!$B279,'NHẬP LIỆU'!$K:$K)</f>
        <v>0</v>
      </c>
      <c r="J279" s="156">
        <f>+SUMIF('NHẬP LIỆU'!$E:$E,NVL!$B279,'NHẬP LIỆU'!$L:$L)</f>
        <v>0</v>
      </c>
      <c r="K279" s="154">
        <f>+NVL!$H279+NVL!$I279-NVL!$J279</f>
        <v>0</v>
      </c>
      <c r="L279" s="155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23.25" customHeight="1">
      <c r="A280" s="147">
        <f t="shared" si="1"/>
        <v>21</v>
      </c>
      <c r="B280" s="170"/>
      <c r="C280" s="167"/>
      <c r="D280" s="150"/>
      <c r="E280" s="331"/>
      <c r="F280" s="331"/>
      <c r="G280" s="331"/>
      <c r="H280" s="152"/>
      <c r="I280" s="153">
        <f>+SUMIF('NHẬP LIỆU'!$E:$E,NVL!$B280,'NHẬP LIỆU'!$K:$K)</f>
        <v>0</v>
      </c>
      <c r="J280" s="156">
        <f>+SUMIF('NHẬP LIỆU'!$E:$E,NVL!$B280,'NHẬP LIỆU'!$L:$L)</f>
        <v>0</v>
      </c>
      <c r="K280" s="154">
        <f>+NVL!$H280+NVL!$I280-NVL!$J280</f>
        <v>0</v>
      </c>
      <c r="L280" s="155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23.25" customHeight="1">
      <c r="A281" s="147">
        <f t="shared" si="1"/>
        <v>21</v>
      </c>
      <c r="B281" s="170"/>
      <c r="C281" s="167"/>
      <c r="D281" s="150"/>
      <c r="E281" s="331"/>
      <c r="F281" s="331"/>
      <c r="G281" s="331"/>
      <c r="H281" s="152"/>
      <c r="I281" s="153">
        <f>+SUMIF('NHẬP LIỆU'!$E:$E,NVL!$B281,'NHẬP LIỆU'!$K:$K)</f>
        <v>0</v>
      </c>
      <c r="J281" s="156">
        <f>+SUMIF('NHẬP LIỆU'!$E:$E,NVL!$B281,'NHẬP LIỆU'!$L:$L)</f>
        <v>0</v>
      </c>
      <c r="K281" s="154">
        <f>+NVL!$H281+NVL!$I281-NVL!$J281</f>
        <v>0</v>
      </c>
      <c r="L281" s="155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23.25" customHeight="1">
      <c r="A282" s="147">
        <f t="shared" si="1"/>
        <v>21</v>
      </c>
      <c r="B282" s="170"/>
      <c r="C282" s="167"/>
      <c r="D282" s="150"/>
      <c r="E282" s="331"/>
      <c r="F282" s="331"/>
      <c r="G282" s="331"/>
      <c r="H282" s="152"/>
      <c r="I282" s="153">
        <f>+SUMIF('NHẬP LIỆU'!$E:$E,NVL!$B282,'NHẬP LIỆU'!$K:$K)</f>
        <v>0</v>
      </c>
      <c r="J282" s="156">
        <f>+SUMIF('NHẬP LIỆU'!$E:$E,NVL!$B282,'NHẬP LIỆU'!$L:$L)</f>
        <v>0</v>
      </c>
      <c r="K282" s="154">
        <f>+NVL!$H282+NVL!$I282-NVL!$J282</f>
        <v>0</v>
      </c>
      <c r="L282" s="155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23.25" customHeight="1">
      <c r="A283" s="147">
        <f t="shared" si="1"/>
        <v>21</v>
      </c>
      <c r="B283" s="170"/>
      <c r="C283" s="167"/>
      <c r="D283" s="150"/>
      <c r="E283" s="331"/>
      <c r="F283" s="331"/>
      <c r="G283" s="331"/>
      <c r="H283" s="152"/>
      <c r="I283" s="153">
        <f>+SUMIF('NHẬP LIỆU'!$E:$E,NVL!$B283,'NHẬP LIỆU'!$K:$K)</f>
        <v>0</v>
      </c>
      <c r="J283" s="156">
        <f>+SUMIF('NHẬP LIỆU'!$E:$E,NVL!$B283,'NHẬP LIỆU'!$L:$L)</f>
        <v>0</v>
      </c>
      <c r="K283" s="154">
        <f>+NVL!$H283+NVL!$I283-NVL!$J283</f>
        <v>0</v>
      </c>
      <c r="L283" s="155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23.25" customHeight="1">
      <c r="A284" s="147">
        <f t="shared" si="1"/>
        <v>21</v>
      </c>
      <c r="B284" s="170"/>
      <c r="C284" s="167"/>
      <c r="D284" s="150"/>
      <c r="E284" s="331"/>
      <c r="F284" s="331"/>
      <c r="G284" s="331"/>
      <c r="H284" s="152"/>
      <c r="I284" s="153">
        <f>+SUMIF('NHẬP LIỆU'!$E:$E,NVL!$B284,'NHẬP LIỆU'!$K:$K)</f>
        <v>0</v>
      </c>
      <c r="J284" s="156">
        <f>+SUMIF('NHẬP LIỆU'!$E:$E,NVL!$B284,'NHẬP LIỆU'!$L:$L)</f>
        <v>0</v>
      </c>
      <c r="K284" s="154">
        <f>+NVL!$H284+NVL!$I284-NVL!$J284</f>
        <v>0</v>
      </c>
      <c r="L284" s="155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23.25" customHeight="1">
      <c r="A285" s="147">
        <f t="shared" si="1"/>
        <v>21</v>
      </c>
      <c r="B285" s="170"/>
      <c r="C285" s="167"/>
      <c r="D285" s="150"/>
      <c r="E285" s="331"/>
      <c r="F285" s="331"/>
      <c r="G285" s="331"/>
      <c r="H285" s="152"/>
      <c r="I285" s="153">
        <f>+SUMIF('NHẬP LIỆU'!$E:$E,NVL!$B285,'NHẬP LIỆU'!$K:$K)</f>
        <v>0</v>
      </c>
      <c r="J285" s="156">
        <f>+SUMIF('NHẬP LIỆU'!$E:$E,NVL!$B285,'NHẬP LIỆU'!$L:$L)</f>
        <v>0</v>
      </c>
      <c r="K285" s="154">
        <f>+NVL!$H285+NVL!$I285-NVL!$J285</f>
        <v>0</v>
      </c>
      <c r="L285" s="155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23.25" customHeight="1">
      <c r="A286" s="147">
        <f t="shared" si="1"/>
        <v>21</v>
      </c>
      <c r="B286" s="170"/>
      <c r="C286" s="167"/>
      <c r="D286" s="150"/>
      <c r="E286" s="331"/>
      <c r="F286" s="331"/>
      <c r="G286" s="331"/>
      <c r="H286" s="152"/>
      <c r="I286" s="153">
        <f>+SUMIF('NHẬP LIỆU'!$E:$E,NVL!$B286,'NHẬP LIỆU'!$K:$K)</f>
        <v>0</v>
      </c>
      <c r="J286" s="156">
        <f>+SUMIF('NHẬP LIỆU'!$E:$E,NVL!$B286,'NHẬP LIỆU'!$L:$L)</f>
        <v>0</v>
      </c>
      <c r="K286" s="154">
        <f>+NVL!$H286+NVL!$I286-NVL!$J286</f>
        <v>0</v>
      </c>
      <c r="L286" s="155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23.25" customHeight="1">
      <c r="A287" s="147">
        <f t="shared" si="1"/>
        <v>21</v>
      </c>
      <c r="B287" s="170"/>
      <c r="C287" s="167"/>
      <c r="D287" s="150"/>
      <c r="E287" s="331"/>
      <c r="F287" s="331"/>
      <c r="G287" s="331"/>
      <c r="H287" s="152"/>
      <c r="I287" s="153">
        <f>+SUMIF('NHẬP LIỆU'!$E:$E,NVL!$B287,'NHẬP LIỆU'!$K:$K)</f>
        <v>0</v>
      </c>
      <c r="J287" s="156">
        <f>+SUMIF('NHẬP LIỆU'!$E:$E,NVL!$B287,'NHẬP LIỆU'!$L:$L)</f>
        <v>0</v>
      </c>
      <c r="K287" s="154">
        <f>+NVL!$H287+NVL!$I287-NVL!$J287</f>
        <v>0</v>
      </c>
      <c r="L287" s="155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23.25" customHeight="1">
      <c r="A288" s="147">
        <f t="shared" si="1"/>
        <v>21</v>
      </c>
      <c r="B288" s="170"/>
      <c r="C288" s="167"/>
      <c r="D288" s="150"/>
      <c r="E288" s="331"/>
      <c r="F288" s="331"/>
      <c r="G288" s="331"/>
      <c r="H288" s="152"/>
      <c r="I288" s="153">
        <f>+SUMIF('NHẬP LIỆU'!$E:$E,NVL!$B288,'NHẬP LIỆU'!$K:$K)</f>
        <v>0</v>
      </c>
      <c r="J288" s="156">
        <f>+SUMIF('NHẬP LIỆU'!$E:$E,NVL!$B288,'NHẬP LIỆU'!$L:$L)</f>
        <v>0</v>
      </c>
      <c r="K288" s="154">
        <f>+NVL!$H288+NVL!$I288-NVL!$J288</f>
        <v>0</v>
      </c>
      <c r="L288" s="155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23.25" customHeight="1">
      <c r="A289" s="147">
        <f t="shared" si="1"/>
        <v>21</v>
      </c>
      <c r="B289" s="170"/>
      <c r="C289" s="167"/>
      <c r="D289" s="150"/>
      <c r="E289" s="331"/>
      <c r="F289" s="331"/>
      <c r="G289" s="331"/>
      <c r="H289" s="152"/>
      <c r="I289" s="153">
        <f>+SUMIF('NHẬP LIỆU'!$E:$E,NVL!$B289,'NHẬP LIỆU'!$K:$K)</f>
        <v>0</v>
      </c>
      <c r="J289" s="156">
        <f>+SUMIF('NHẬP LIỆU'!$E:$E,NVL!$B289,'NHẬP LIỆU'!$L:$L)</f>
        <v>0</v>
      </c>
      <c r="K289" s="154">
        <f>+NVL!$H289+NVL!$I289-NVL!$J289</f>
        <v>0</v>
      </c>
      <c r="L289" s="155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23.25" customHeight="1">
      <c r="A290" s="147">
        <f t="shared" si="1"/>
        <v>21</v>
      </c>
      <c r="B290" s="170"/>
      <c r="C290" s="167"/>
      <c r="D290" s="150"/>
      <c r="E290" s="331"/>
      <c r="F290" s="331"/>
      <c r="G290" s="331"/>
      <c r="H290" s="152"/>
      <c r="I290" s="153">
        <f>+SUMIF('NHẬP LIỆU'!$E:$E,NVL!$B290,'NHẬP LIỆU'!$K:$K)</f>
        <v>0</v>
      </c>
      <c r="J290" s="156">
        <f>+SUMIF('NHẬP LIỆU'!$E:$E,NVL!$B290,'NHẬP LIỆU'!$L:$L)</f>
        <v>0</v>
      </c>
      <c r="K290" s="154">
        <f>+NVL!$H290+NVL!$I290-NVL!$J290</f>
        <v>0</v>
      </c>
      <c r="L290" s="155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23.25" customHeight="1">
      <c r="A291" s="147">
        <f t="shared" si="1"/>
        <v>21</v>
      </c>
      <c r="B291" s="170"/>
      <c r="C291" s="167"/>
      <c r="D291" s="150"/>
      <c r="E291" s="331"/>
      <c r="F291" s="331"/>
      <c r="G291" s="331"/>
      <c r="H291" s="152"/>
      <c r="I291" s="153">
        <f>+SUMIF('NHẬP LIỆU'!$E:$E,NVL!$B291,'NHẬP LIỆU'!$K:$K)</f>
        <v>0</v>
      </c>
      <c r="J291" s="156">
        <f>+SUMIF('NHẬP LIỆU'!$E:$E,NVL!$B291,'NHẬP LIỆU'!$L:$L)</f>
        <v>0</v>
      </c>
      <c r="K291" s="154">
        <f>+NVL!$H291+NVL!$I291-NVL!$J291</f>
        <v>0</v>
      </c>
      <c r="L291" s="155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23.25" customHeight="1">
      <c r="A292" s="147">
        <f t="shared" si="1"/>
        <v>21</v>
      </c>
      <c r="B292" s="170"/>
      <c r="C292" s="167"/>
      <c r="D292" s="150"/>
      <c r="E292" s="331"/>
      <c r="F292" s="331"/>
      <c r="G292" s="331"/>
      <c r="H292" s="152"/>
      <c r="I292" s="153">
        <f>+SUMIF('NHẬP LIỆU'!$E:$E,NVL!$B292,'NHẬP LIỆU'!$K:$K)</f>
        <v>0</v>
      </c>
      <c r="J292" s="156">
        <f>+SUMIF('NHẬP LIỆU'!$E:$E,NVL!$B292,'NHẬP LIỆU'!$L:$L)</f>
        <v>0</v>
      </c>
      <c r="K292" s="154">
        <f>+NVL!$H292+NVL!$I292-NVL!$J292</f>
        <v>0</v>
      </c>
      <c r="L292" s="155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23.25" customHeight="1">
      <c r="A293" s="147">
        <f t="shared" si="1"/>
        <v>21</v>
      </c>
      <c r="B293" s="170"/>
      <c r="C293" s="167"/>
      <c r="D293" s="150"/>
      <c r="E293" s="331"/>
      <c r="F293" s="331"/>
      <c r="G293" s="331"/>
      <c r="H293" s="152"/>
      <c r="I293" s="153">
        <f>+SUMIF('NHẬP LIỆU'!$E:$E,NVL!$B293,'NHẬP LIỆU'!$K:$K)</f>
        <v>0</v>
      </c>
      <c r="J293" s="156">
        <f>+SUMIF('NHẬP LIỆU'!$E:$E,NVL!$B293,'NHẬP LIỆU'!$L:$L)</f>
        <v>0</v>
      </c>
      <c r="K293" s="154">
        <f>+NVL!$H293+NVL!$I293-NVL!$J293</f>
        <v>0</v>
      </c>
      <c r="L293" s="155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23.25" customHeight="1">
      <c r="A294" s="147">
        <f t="shared" si="1"/>
        <v>21</v>
      </c>
      <c r="B294" s="170"/>
      <c r="C294" s="167"/>
      <c r="D294" s="150"/>
      <c r="E294" s="331"/>
      <c r="F294" s="331"/>
      <c r="G294" s="331"/>
      <c r="H294" s="152"/>
      <c r="I294" s="153">
        <f>+SUMIF('NHẬP LIỆU'!$E:$E,NVL!$B294,'NHẬP LIỆU'!$K:$K)</f>
        <v>0</v>
      </c>
      <c r="J294" s="156">
        <f>+SUMIF('NHẬP LIỆU'!$E:$E,NVL!$B294,'NHẬP LIỆU'!$L:$L)</f>
        <v>0</v>
      </c>
      <c r="K294" s="154">
        <f>+NVL!$H294+NVL!$I294-NVL!$J294</f>
        <v>0</v>
      </c>
      <c r="L294" s="155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23.25" customHeight="1">
      <c r="A295" s="147">
        <f t="shared" si="1"/>
        <v>21</v>
      </c>
      <c r="B295" s="170"/>
      <c r="C295" s="167"/>
      <c r="D295" s="150"/>
      <c r="E295" s="331"/>
      <c r="F295" s="331"/>
      <c r="G295" s="331"/>
      <c r="H295" s="152"/>
      <c r="I295" s="153">
        <f>+SUMIF('NHẬP LIỆU'!$E:$E,NVL!$B295,'NHẬP LIỆU'!$K:$K)</f>
        <v>0</v>
      </c>
      <c r="J295" s="156">
        <f>+SUMIF('NHẬP LIỆU'!$E:$E,NVL!$B295,'NHẬP LIỆU'!$L:$L)</f>
        <v>0</v>
      </c>
      <c r="K295" s="154">
        <f>+NVL!$H295+NVL!$I295-NVL!$J295</f>
        <v>0</v>
      </c>
      <c r="L295" s="155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23.25" customHeight="1">
      <c r="A296" s="147">
        <f t="shared" si="1"/>
        <v>21</v>
      </c>
      <c r="B296" s="170"/>
      <c r="C296" s="167"/>
      <c r="D296" s="150"/>
      <c r="E296" s="331"/>
      <c r="F296" s="331"/>
      <c r="G296" s="331"/>
      <c r="H296" s="152"/>
      <c r="I296" s="153">
        <f>+SUMIF('NHẬP LIỆU'!$E:$E,NVL!$B296,'NHẬP LIỆU'!$K:$K)</f>
        <v>0</v>
      </c>
      <c r="J296" s="156">
        <f>+SUMIF('NHẬP LIỆU'!$E:$E,NVL!$B296,'NHẬP LIỆU'!$L:$L)</f>
        <v>0</v>
      </c>
      <c r="K296" s="154">
        <f>+NVL!$H296+NVL!$I296-NVL!$J296</f>
        <v>0</v>
      </c>
      <c r="L296" s="155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23.25" customHeight="1">
      <c r="A297" s="147">
        <f t="shared" si="1"/>
        <v>21</v>
      </c>
      <c r="B297" s="81"/>
      <c r="C297" s="167"/>
      <c r="D297" s="150"/>
      <c r="E297" s="331"/>
      <c r="F297" s="331"/>
      <c r="G297" s="331"/>
      <c r="H297" s="152"/>
      <c r="I297" s="153">
        <f>+SUMIF('NHẬP LIỆU'!$E:$E,NVL!$B297,'NHẬP LIỆU'!$K:$K)</f>
        <v>0</v>
      </c>
      <c r="J297" s="156">
        <f>+SUMIF('NHẬP LIỆU'!$E:$E,NVL!$B297,'NHẬP LIỆU'!$L:$L)</f>
        <v>0</v>
      </c>
      <c r="K297" s="154">
        <f>+NVL!$H297+NVL!$I297-NVL!$J297</f>
        <v>0</v>
      </c>
      <c r="L297" s="155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23.25" customHeight="1">
      <c r="A298" s="147">
        <f t="shared" si="1"/>
        <v>21</v>
      </c>
      <c r="B298" s="170"/>
      <c r="C298" s="167"/>
      <c r="D298" s="150"/>
      <c r="E298" s="331"/>
      <c r="F298" s="331"/>
      <c r="G298" s="331"/>
      <c r="H298" s="152"/>
      <c r="I298" s="153">
        <f>+SUMIF('NHẬP LIỆU'!$E:$E,NVL!$B298,'NHẬP LIỆU'!$K:$K)</f>
        <v>0</v>
      </c>
      <c r="J298" s="156">
        <f>+SUMIF('NHẬP LIỆU'!$E:$E,NVL!$B298,'NHẬP LIỆU'!$L:$L)</f>
        <v>0</v>
      </c>
      <c r="K298" s="154">
        <f>+NVL!$H298+NVL!$I298-NVL!$J298</f>
        <v>0</v>
      </c>
      <c r="L298" s="155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23.25" customHeight="1">
      <c r="A299" s="147">
        <f t="shared" si="1"/>
        <v>21</v>
      </c>
      <c r="B299" s="170"/>
      <c r="C299" s="167"/>
      <c r="D299" s="150"/>
      <c r="E299" s="331"/>
      <c r="F299" s="331"/>
      <c r="G299" s="331"/>
      <c r="H299" s="152"/>
      <c r="I299" s="153">
        <f>+SUMIF('NHẬP LIỆU'!$E:$E,NVL!$B299,'NHẬP LIỆU'!$K:$K)</f>
        <v>0</v>
      </c>
      <c r="J299" s="156">
        <f>+SUMIF('NHẬP LIỆU'!$E:$E,NVL!$B299,'NHẬP LIỆU'!$L:$L)</f>
        <v>0</v>
      </c>
      <c r="K299" s="154">
        <f>+NVL!$H299+NVL!$I299-NVL!$J299</f>
        <v>0</v>
      </c>
      <c r="L299" s="155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23.25" customHeight="1">
      <c r="A300" s="147">
        <f t="shared" si="1"/>
        <v>21</v>
      </c>
      <c r="B300" s="170"/>
      <c r="C300" s="167"/>
      <c r="D300" s="150"/>
      <c r="E300" s="331"/>
      <c r="F300" s="331"/>
      <c r="G300" s="331"/>
      <c r="H300" s="152"/>
      <c r="I300" s="153">
        <f>+SUMIF('NHẬP LIỆU'!$E:$E,NVL!$B300,'NHẬP LIỆU'!$K:$K)</f>
        <v>0</v>
      </c>
      <c r="J300" s="156">
        <f>+SUMIF('NHẬP LIỆU'!$E:$E,NVL!$B300,'NHẬP LIỆU'!$L:$L)</f>
        <v>0</v>
      </c>
      <c r="K300" s="154">
        <f>+NVL!$H300+NVL!$I300-NVL!$J300</f>
        <v>0</v>
      </c>
      <c r="L300" s="155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23.25" customHeight="1">
      <c r="A301" s="147">
        <f t="shared" si="1"/>
        <v>21</v>
      </c>
      <c r="B301" s="170"/>
      <c r="C301" s="167"/>
      <c r="D301" s="150"/>
      <c r="E301" s="331"/>
      <c r="F301" s="331"/>
      <c r="G301" s="331"/>
      <c r="H301" s="152"/>
      <c r="I301" s="153">
        <f>+SUMIF('NHẬP LIỆU'!$E:$E,NVL!$B301,'NHẬP LIỆU'!$K:$K)</f>
        <v>0</v>
      </c>
      <c r="J301" s="156">
        <f>+SUMIF('NHẬP LIỆU'!$E:$E,NVL!$B301,'NHẬP LIỆU'!$L:$L)</f>
        <v>0</v>
      </c>
      <c r="K301" s="154">
        <f>+NVL!$H301+NVL!$I301-NVL!$J301</f>
        <v>0</v>
      </c>
      <c r="L301" s="155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23.25" customHeight="1">
      <c r="A302" s="147">
        <f t="shared" si="1"/>
        <v>21</v>
      </c>
      <c r="B302" s="170"/>
      <c r="C302" s="167"/>
      <c r="D302" s="150"/>
      <c r="E302" s="331"/>
      <c r="F302" s="331"/>
      <c r="G302" s="331"/>
      <c r="H302" s="152"/>
      <c r="I302" s="153">
        <f>+SUMIF('NHẬP LIỆU'!$E:$E,NVL!$B302,'NHẬP LIỆU'!$K:$K)</f>
        <v>0</v>
      </c>
      <c r="J302" s="156">
        <f>+SUMIF('NHẬP LIỆU'!$E:$E,NVL!$B302,'NHẬP LIỆU'!$L:$L)</f>
        <v>0</v>
      </c>
      <c r="K302" s="154">
        <f>+NVL!$H302+NVL!$I302-NVL!$J302</f>
        <v>0</v>
      </c>
      <c r="L302" s="155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23.25" customHeight="1">
      <c r="A303" s="147">
        <f t="shared" si="1"/>
        <v>21</v>
      </c>
      <c r="B303" s="170"/>
      <c r="C303" s="167"/>
      <c r="D303" s="150"/>
      <c r="E303" s="331"/>
      <c r="F303" s="331"/>
      <c r="G303" s="331"/>
      <c r="H303" s="152"/>
      <c r="I303" s="153">
        <f>+SUMIF('NHẬP LIỆU'!$E:$E,NVL!$B303,'NHẬP LIỆU'!$K:$K)</f>
        <v>0</v>
      </c>
      <c r="J303" s="156">
        <f>+SUMIF('NHẬP LIỆU'!$E:$E,NVL!$B303,'NHẬP LIỆU'!$L:$L)</f>
        <v>0</v>
      </c>
      <c r="K303" s="154">
        <f>+NVL!$H303+NVL!$I303-NVL!$J303</f>
        <v>0</v>
      </c>
      <c r="L303" s="155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23.25" customHeight="1">
      <c r="A304" s="147">
        <f t="shared" si="1"/>
        <v>21</v>
      </c>
      <c r="B304" s="170"/>
      <c r="C304" s="167"/>
      <c r="D304" s="150"/>
      <c r="E304" s="331"/>
      <c r="F304" s="331"/>
      <c r="G304" s="331"/>
      <c r="H304" s="152"/>
      <c r="I304" s="153">
        <f>+SUMIF('NHẬP LIỆU'!$E:$E,NVL!$B304,'NHẬP LIỆU'!$K:$K)</f>
        <v>0</v>
      </c>
      <c r="J304" s="156">
        <f>+SUMIF('NHẬP LIỆU'!$E:$E,NVL!$B304,'NHẬP LIỆU'!$L:$L)</f>
        <v>0</v>
      </c>
      <c r="K304" s="154">
        <f>+NVL!$H304+NVL!$I304-NVL!$J304</f>
        <v>0</v>
      </c>
      <c r="L304" s="155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23.25" customHeight="1">
      <c r="A305" s="147">
        <f t="shared" si="1"/>
        <v>21</v>
      </c>
      <c r="B305" s="170"/>
      <c r="C305" s="167"/>
      <c r="D305" s="150"/>
      <c r="E305" s="331"/>
      <c r="F305" s="331"/>
      <c r="G305" s="331"/>
      <c r="H305" s="152"/>
      <c r="I305" s="153">
        <f>+SUMIF('NHẬP LIỆU'!$E:$E,NVL!$B305,'NHẬP LIỆU'!$K:$K)</f>
        <v>0</v>
      </c>
      <c r="J305" s="156">
        <f>+SUMIF('NHẬP LIỆU'!$E:$E,NVL!$B305,'NHẬP LIỆU'!$L:$L)</f>
        <v>0</v>
      </c>
      <c r="K305" s="154">
        <f>+NVL!$H305+NVL!$I305-NVL!$J305</f>
        <v>0</v>
      </c>
      <c r="L305" s="155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23.25" customHeight="1">
      <c r="A306" s="147">
        <f t="shared" si="1"/>
        <v>21</v>
      </c>
      <c r="B306" s="170"/>
      <c r="C306" s="167"/>
      <c r="D306" s="150"/>
      <c r="E306" s="331"/>
      <c r="F306" s="331"/>
      <c r="G306" s="331"/>
      <c r="H306" s="152"/>
      <c r="I306" s="153">
        <f>+SUMIF('NHẬP LIỆU'!$E:$E,NVL!$B306,'NHẬP LIỆU'!$K:$K)</f>
        <v>0</v>
      </c>
      <c r="J306" s="156">
        <f>+SUMIF('NHẬP LIỆU'!$E:$E,NVL!$B306,'NHẬP LIỆU'!$L:$L)</f>
        <v>0</v>
      </c>
      <c r="K306" s="154">
        <f>+NVL!$H306+NVL!$I306-NVL!$J306</f>
        <v>0</v>
      </c>
      <c r="L306" s="155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23.25" customHeight="1">
      <c r="A307" s="147">
        <f t="shared" si="1"/>
        <v>21</v>
      </c>
      <c r="B307" s="170"/>
      <c r="C307" s="167"/>
      <c r="D307" s="150"/>
      <c r="E307" s="331"/>
      <c r="F307" s="331"/>
      <c r="G307" s="331"/>
      <c r="H307" s="152"/>
      <c r="I307" s="153">
        <f>+SUMIF('NHẬP LIỆU'!$E:$E,NVL!$B307,'NHẬP LIỆU'!$K:$K)</f>
        <v>0</v>
      </c>
      <c r="J307" s="156">
        <f>+SUMIF('NHẬP LIỆU'!$E:$E,NVL!$B307,'NHẬP LIỆU'!$L:$L)</f>
        <v>0</v>
      </c>
      <c r="K307" s="154">
        <f>+NVL!$H307+NVL!$I307-NVL!$J307</f>
        <v>0</v>
      </c>
      <c r="L307" s="155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23.25" customHeight="1">
      <c r="A308" s="147">
        <f t="shared" si="1"/>
        <v>21</v>
      </c>
      <c r="B308" s="170"/>
      <c r="C308" s="167"/>
      <c r="D308" s="150"/>
      <c r="E308" s="331"/>
      <c r="F308" s="331"/>
      <c r="G308" s="331"/>
      <c r="H308" s="152"/>
      <c r="I308" s="153">
        <f>+SUMIF('NHẬP LIỆU'!$E:$E,NVL!$B308,'NHẬP LIỆU'!$K:$K)</f>
        <v>0</v>
      </c>
      <c r="J308" s="156">
        <f>+SUMIF('NHẬP LIỆU'!$E:$E,NVL!$B308,'NHẬP LIỆU'!$L:$L)</f>
        <v>0</v>
      </c>
      <c r="K308" s="154">
        <f>+NVL!$H308+NVL!$I308-NVL!$J308</f>
        <v>0</v>
      </c>
      <c r="L308" s="155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23.25" customHeight="1">
      <c r="A309" s="147">
        <f t="shared" si="1"/>
        <v>21</v>
      </c>
      <c r="B309" s="170"/>
      <c r="C309" s="167"/>
      <c r="D309" s="150"/>
      <c r="E309" s="331"/>
      <c r="F309" s="331"/>
      <c r="G309" s="331"/>
      <c r="H309" s="152"/>
      <c r="I309" s="153">
        <f>+SUMIF('NHẬP LIỆU'!$E:$E,NVL!$B309,'NHẬP LIỆU'!$K:$K)</f>
        <v>0</v>
      </c>
      <c r="J309" s="156">
        <f>+SUMIF('NHẬP LIỆU'!$E:$E,NVL!$B309,'NHẬP LIỆU'!$L:$L)</f>
        <v>0</v>
      </c>
      <c r="K309" s="154">
        <f>+NVL!$H309+NVL!$I309-NVL!$J309</f>
        <v>0</v>
      </c>
      <c r="L309" s="155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23.25" customHeight="1">
      <c r="A310" s="147">
        <f t="shared" si="1"/>
        <v>21</v>
      </c>
      <c r="B310" s="170"/>
      <c r="C310" s="167"/>
      <c r="D310" s="150"/>
      <c r="E310" s="331"/>
      <c r="F310" s="331"/>
      <c r="G310" s="331"/>
      <c r="H310" s="152"/>
      <c r="I310" s="153">
        <f>+SUMIF('NHẬP LIỆU'!$E:$E,NVL!$B310,'NHẬP LIỆU'!$K:$K)</f>
        <v>0</v>
      </c>
      <c r="J310" s="156">
        <f>+SUMIF('NHẬP LIỆU'!$E:$E,NVL!$B310,'NHẬP LIỆU'!$L:$L)</f>
        <v>0</v>
      </c>
      <c r="K310" s="154">
        <f>+NVL!$H310+NVL!$I310-NVL!$J310</f>
        <v>0</v>
      </c>
      <c r="L310" s="155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23.25" customHeight="1">
      <c r="A311" s="147">
        <f t="shared" si="1"/>
        <v>21</v>
      </c>
      <c r="B311" s="170"/>
      <c r="C311" s="167"/>
      <c r="D311" s="150"/>
      <c r="E311" s="331"/>
      <c r="F311" s="331"/>
      <c r="G311" s="331"/>
      <c r="H311" s="152"/>
      <c r="I311" s="153">
        <f>+SUMIF('NHẬP LIỆU'!$E:$E,NVL!$B311,'NHẬP LIỆU'!$K:$K)</f>
        <v>0</v>
      </c>
      <c r="J311" s="156">
        <f>+SUMIF('NHẬP LIỆU'!$E:$E,NVL!$B311,'NHẬP LIỆU'!$L:$L)</f>
        <v>0</v>
      </c>
      <c r="K311" s="154">
        <f>+NVL!$H311+NVL!$I311-NVL!$J311</f>
        <v>0</v>
      </c>
      <c r="L311" s="155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23.25" customHeight="1">
      <c r="A312" s="147">
        <f t="shared" si="1"/>
        <v>21</v>
      </c>
      <c r="B312" s="170"/>
      <c r="C312" s="167"/>
      <c r="D312" s="150"/>
      <c r="E312" s="331"/>
      <c r="F312" s="331"/>
      <c r="G312" s="331"/>
      <c r="H312" s="152"/>
      <c r="I312" s="153">
        <f>+SUMIF('NHẬP LIỆU'!$E:$E,NVL!$B312,'NHẬP LIỆU'!$K:$K)</f>
        <v>0</v>
      </c>
      <c r="J312" s="156">
        <f>+SUMIF('NHẬP LIỆU'!$E:$E,NVL!$B312,'NHẬP LIỆU'!$L:$L)</f>
        <v>0</v>
      </c>
      <c r="K312" s="154">
        <f>+NVL!$H312+NVL!$I312-NVL!$J312</f>
        <v>0</v>
      </c>
      <c r="L312" s="155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23.25" customHeight="1">
      <c r="A313" s="147">
        <f t="shared" si="1"/>
        <v>21</v>
      </c>
      <c r="B313" s="170"/>
      <c r="C313" s="167"/>
      <c r="D313" s="150"/>
      <c r="E313" s="331"/>
      <c r="F313" s="331"/>
      <c r="G313" s="331"/>
      <c r="H313" s="152"/>
      <c r="I313" s="153">
        <f>+SUMIF('NHẬP LIỆU'!$E:$E,NVL!$B313,'NHẬP LIỆU'!$K:$K)</f>
        <v>0</v>
      </c>
      <c r="J313" s="156">
        <f>+SUMIF('NHẬP LIỆU'!$E:$E,NVL!$B313,'NHẬP LIỆU'!$L:$L)</f>
        <v>0</v>
      </c>
      <c r="K313" s="154">
        <f>+NVL!$H313+NVL!$I313-NVL!$J313</f>
        <v>0</v>
      </c>
      <c r="L313" s="155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23.25" customHeight="1">
      <c r="A314" s="147">
        <f t="shared" si="1"/>
        <v>21</v>
      </c>
      <c r="B314" s="170"/>
      <c r="C314" s="167"/>
      <c r="D314" s="150"/>
      <c r="E314" s="331"/>
      <c r="F314" s="331"/>
      <c r="G314" s="331"/>
      <c r="H314" s="152"/>
      <c r="I314" s="153">
        <f>+SUMIF('NHẬP LIỆU'!$E:$E,NVL!$B314,'NHẬP LIỆU'!$K:$K)</f>
        <v>0</v>
      </c>
      <c r="J314" s="156">
        <f>+SUMIF('NHẬP LIỆU'!$E:$E,NVL!$B314,'NHẬP LIỆU'!$L:$L)</f>
        <v>0</v>
      </c>
      <c r="K314" s="154">
        <f>+NVL!$H314+NVL!$I314-NVL!$J314</f>
        <v>0</v>
      </c>
      <c r="L314" s="155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23.25" customHeight="1">
      <c r="A315" s="147">
        <f t="shared" si="1"/>
        <v>21</v>
      </c>
      <c r="B315" s="170"/>
      <c r="C315" s="167"/>
      <c r="D315" s="150"/>
      <c r="E315" s="331"/>
      <c r="F315" s="331"/>
      <c r="G315" s="331"/>
      <c r="H315" s="152"/>
      <c r="I315" s="153">
        <f>+SUMIF('NHẬP LIỆU'!$E:$E,NVL!$B315,'NHẬP LIỆU'!$K:$K)</f>
        <v>0</v>
      </c>
      <c r="J315" s="156">
        <f>+SUMIF('NHẬP LIỆU'!$E:$E,NVL!$B315,'NHẬP LIỆU'!$L:$L)</f>
        <v>0</v>
      </c>
      <c r="K315" s="154">
        <f>+NVL!$H315+NVL!$I315-NVL!$J315</f>
        <v>0</v>
      </c>
      <c r="L315" s="155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23.25" customHeight="1">
      <c r="A316" s="147">
        <f t="shared" si="1"/>
        <v>21</v>
      </c>
      <c r="B316" s="170"/>
      <c r="C316" s="167"/>
      <c r="D316" s="150"/>
      <c r="E316" s="331"/>
      <c r="F316" s="331"/>
      <c r="G316" s="331"/>
      <c r="H316" s="152"/>
      <c r="I316" s="153">
        <f>+SUMIF('NHẬP LIỆU'!$E:$E,NVL!$B316,'NHẬP LIỆU'!$K:$K)</f>
        <v>0</v>
      </c>
      <c r="J316" s="156">
        <f>+SUMIF('NHẬP LIỆU'!$E:$E,NVL!$B316,'NHẬP LIỆU'!$L:$L)</f>
        <v>0</v>
      </c>
      <c r="K316" s="154">
        <f>+NVL!$H316+NVL!$I316-NVL!$J316</f>
        <v>0</v>
      </c>
      <c r="L316" s="155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23.25" customHeight="1">
      <c r="A317" s="147">
        <f t="shared" si="1"/>
        <v>21</v>
      </c>
      <c r="B317" s="170"/>
      <c r="C317" s="167"/>
      <c r="D317" s="150"/>
      <c r="E317" s="331"/>
      <c r="F317" s="331"/>
      <c r="G317" s="331"/>
      <c r="H317" s="152"/>
      <c r="I317" s="153">
        <f>+SUMIF('NHẬP LIỆU'!$E:$E,NVL!$B317,'NHẬP LIỆU'!$K:$K)</f>
        <v>0</v>
      </c>
      <c r="J317" s="156">
        <f>+SUMIF('NHẬP LIỆU'!$E:$E,NVL!$B317,'NHẬP LIỆU'!$L:$L)</f>
        <v>0</v>
      </c>
      <c r="K317" s="154">
        <f>+NVL!$H317+NVL!$I317-NVL!$J317</f>
        <v>0</v>
      </c>
      <c r="L317" s="155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23.25" customHeight="1">
      <c r="A318" s="147">
        <f t="shared" si="1"/>
        <v>21</v>
      </c>
      <c r="B318" s="170"/>
      <c r="C318" s="167"/>
      <c r="D318" s="150"/>
      <c r="E318" s="331"/>
      <c r="F318" s="331"/>
      <c r="G318" s="331"/>
      <c r="H318" s="152"/>
      <c r="I318" s="153">
        <f>+SUMIF('NHẬP LIỆU'!$E:$E,NVL!$B318,'NHẬP LIỆU'!$K:$K)</f>
        <v>0</v>
      </c>
      <c r="J318" s="156">
        <f>+SUMIF('NHẬP LIỆU'!$E:$E,NVL!$B318,'NHẬP LIỆU'!$L:$L)</f>
        <v>0</v>
      </c>
      <c r="K318" s="154">
        <f>+NVL!$H318+NVL!$I318-NVL!$J318</f>
        <v>0</v>
      </c>
      <c r="L318" s="155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23.25" customHeight="1">
      <c r="A319" s="147">
        <f t="shared" si="1"/>
        <v>21</v>
      </c>
      <c r="B319" s="170"/>
      <c r="C319" s="167"/>
      <c r="D319" s="150"/>
      <c r="E319" s="331"/>
      <c r="F319" s="331"/>
      <c r="G319" s="331"/>
      <c r="H319" s="152"/>
      <c r="I319" s="153">
        <f>+SUMIF('NHẬP LIỆU'!$E:$E,NVL!$B319,'NHẬP LIỆU'!$K:$K)</f>
        <v>0</v>
      </c>
      <c r="J319" s="156">
        <f>+SUMIF('NHẬP LIỆU'!$E:$E,NVL!$B319,'NHẬP LIỆU'!$L:$L)</f>
        <v>0</v>
      </c>
      <c r="K319" s="154">
        <f>+NVL!$H319+NVL!$I319-NVL!$J319</f>
        <v>0</v>
      </c>
      <c r="L319" s="155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23.25" customHeight="1">
      <c r="A320" s="147">
        <f t="shared" si="1"/>
        <v>21</v>
      </c>
      <c r="B320" s="170"/>
      <c r="C320" s="167"/>
      <c r="D320" s="150"/>
      <c r="E320" s="331"/>
      <c r="F320" s="331"/>
      <c r="G320" s="331"/>
      <c r="H320" s="152"/>
      <c r="I320" s="153">
        <f>+SUMIF('NHẬP LIỆU'!$E:$E,NVL!$B320,'NHẬP LIỆU'!$K:$K)</f>
        <v>0</v>
      </c>
      <c r="J320" s="156">
        <f>+SUMIF('NHẬP LIỆU'!$E:$E,NVL!$B320,'NHẬP LIỆU'!$L:$L)</f>
        <v>0</v>
      </c>
      <c r="K320" s="154">
        <f>+NVL!$H320+NVL!$I320-NVL!$J320</f>
        <v>0</v>
      </c>
      <c r="L320" s="155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23.25" customHeight="1">
      <c r="A321" s="147">
        <f t="shared" si="1"/>
        <v>21</v>
      </c>
      <c r="B321" s="170"/>
      <c r="C321" s="167"/>
      <c r="D321" s="150"/>
      <c r="E321" s="331"/>
      <c r="F321" s="331"/>
      <c r="G321" s="331"/>
      <c r="H321" s="152"/>
      <c r="I321" s="153">
        <f>+SUMIF('NHẬP LIỆU'!$E:$E,NVL!$B321,'NHẬP LIỆU'!$K:$K)</f>
        <v>0</v>
      </c>
      <c r="J321" s="156">
        <f>+SUMIF('NHẬP LIỆU'!$E:$E,NVL!$B321,'NHẬP LIỆU'!$L:$L)</f>
        <v>0</v>
      </c>
      <c r="K321" s="154">
        <f>+NVL!$H321+NVL!$I321-NVL!$J321</f>
        <v>0</v>
      </c>
      <c r="L321" s="155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23.25" customHeight="1">
      <c r="A322" s="147">
        <f t="shared" si="1"/>
        <v>21</v>
      </c>
      <c r="B322" s="170"/>
      <c r="C322" s="167"/>
      <c r="D322" s="150"/>
      <c r="E322" s="331"/>
      <c r="F322" s="331"/>
      <c r="G322" s="331"/>
      <c r="H322" s="152"/>
      <c r="I322" s="153">
        <f>+SUMIF('NHẬP LIỆU'!$E:$E,NVL!$B322,'NHẬP LIỆU'!$K:$K)</f>
        <v>0</v>
      </c>
      <c r="J322" s="156">
        <f>+SUMIF('NHẬP LIỆU'!$E:$E,NVL!$B322,'NHẬP LIỆU'!$L:$L)</f>
        <v>0</v>
      </c>
      <c r="K322" s="154">
        <f>+NVL!$H322+NVL!$I322-NVL!$J322</f>
        <v>0</v>
      </c>
      <c r="L322" s="155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23.25" customHeight="1">
      <c r="A323" s="147">
        <f t="shared" si="1"/>
        <v>21</v>
      </c>
      <c r="B323" s="170"/>
      <c r="C323" s="167"/>
      <c r="D323" s="150"/>
      <c r="E323" s="331"/>
      <c r="F323" s="331"/>
      <c r="G323" s="331"/>
      <c r="H323" s="152"/>
      <c r="I323" s="153">
        <f>+SUMIF('NHẬP LIỆU'!$E:$E,NVL!$B323,'NHẬP LIỆU'!$K:$K)</f>
        <v>0</v>
      </c>
      <c r="J323" s="156">
        <f>+SUMIF('NHẬP LIỆU'!$E:$E,NVL!$B323,'NHẬP LIỆU'!$L:$L)</f>
        <v>0</v>
      </c>
      <c r="K323" s="154">
        <f>+NVL!$H323+NVL!$I323-NVL!$J323</f>
        <v>0</v>
      </c>
      <c r="L323" s="155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23.25" customHeight="1">
      <c r="A324" s="147">
        <f t="shared" si="1"/>
        <v>21</v>
      </c>
      <c r="B324" s="170"/>
      <c r="C324" s="167"/>
      <c r="D324" s="150"/>
      <c r="E324" s="331"/>
      <c r="F324" s="331"/>
      <c r="G324" s="331"/>
      <c r="H324" s="152"/>
      <c r="I324" s="153">
        <f>+SUMIF('NHẬP LIỆU'!$E:$E,NVL!$B324,'NHẬP LIỆU'!$K:$K)</f>
        <v>0</v>
      </c>
      <c r="J324" s="156">
        <f>+SUMIF('NHẬP LIỆU'!$E:$E,NVL!$B324,'NHẬP LIỆU'!$L:$L)</f>
        <v>0</v>
      </c>
      <c r="K324" s="154">
        <f>+NVL!$H324+NVL!$I324-NVL!$J324</f>
        <v>0</v>
      </c>
      <c r="L324" s="155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23.25" customHeight="1">
      <c r="A325" s="147">
        <f t="shared" si="1"/>
        <v>21</v>
      </c>
      <c r="B325" s="170"/>
      <c r="C325" s="167"/>
      <c r="D325" s="150"/>
      <c r="E325" s="331"/>
      <c r="F325" s="331"/>
      <c r="G325" s="331"/>
      <c r="H325" s="152"/>
      <c r="I325" s="153">
        <f>+SUMIF('NHẬP LIỆU'!$E:$E,NVL!$B325,'NHẬP LIỆU'!$K:$K)</f>
        <v>0</v>
      </c>
      <c r="J325" s="156">
        <f>+SUMIF('NHẬP LIỆU'!$E:$E,NVL!$B325,'NHẬP LIỆU'!$L:$L)</f>
        <v>0</v>
      </c>
      <c r="K325" s="154">
        <f>+NVL!$H325+NVL!$I325-NVL!$J325</f>
        <v>0</v>
      </c>
      <c r="L325" s="155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23.25" customHeight="1">
      <c r="A326" s="147">
        <f t="shared" si="1"/>
        <v>21</v>
      </c>
      <c r="B326" s="170"/>
      <c r="C326" s="167"/>
      <c r="D326" s="150"/>
      <c r="E326" s="331"/>
      <c r="F326" s="331"/>
      <c r="G326" s="331"/>
      <c r="H326" s="152"/>
      <c r="I326" s="153">
        <f>+SUMIF('NHẬP LIỆU'!$E:$E,NVL!$B326,'NHẬP LIỆU'!$K:$K)</f>
        <v>0</v>
      </c>
      <c r="J326" s="156">
        <f>+SUMIF('NHẬP LIỆU'!$E:$E,NVL!$B326,'NHẬP LIỆU'!$L:$L)</f>
        <v>0</v>
      </c>
      <c r="K326" s="154">
        <f>+NVL!$H326+NVL!$I326-NVL!$J326</f>
        <v>0</v>
      </c>
      <c r="L326" s="155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23.25" customHeight="1">
      <c r="A327" s="147">
        <f t="shared" si="1"/>
        <v>21</v>
      </c>
      <c r="B327" s="170"/>
      <c r="C327" s="167"/>
      <c r="D327" s="150"/>
      <c r="E327" s="331"/>
      <c r="F327" s="331"/>
      <c r="G327" s="331"/>
      <c r="H327" s="152"/>
      <c r="I327" s="153">
        <f>+SUMIF('NHẬP LIỆU'!$E:$E,NVL!$B327,'NHẬP LIỆU'!$K:$K)</f>
        <v>0</v>
      </c>
      <c r="J327" s="156">
        <f>+SUMIF('NHẬP LIỆU'!$E:$E,NVL!$B327,'NHẬP LIỆU'!$L:$L)</f>
        <v>0</v>
      </c>
      <c r="K327" s="154">
        <f>+NVL!$H327+NVL!$I327-NVL!$J327</f>
        <v>0</v>
      </c>
      <c r="L327" s="155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23.25" customHeight="1">
      <c r="A328" s="147">
        <f t="shared" si="1"/>
        <v>21</v>
      </c>
      <c r="B328" s="170"/>
      <c r="C328" s="167"/>
      <c r="D328" s="150"/>
      <c r="E328" s="331"/>
      <c r="F328" s="331"/>
      <c r="G328" s="331"/>
      <c r="H328" s="152"/>
      <c r="I328" s="153">
        <f>+SUMIF('NHẬP LIỆU'!$E:$E,NVL!$B328,'NHẬP LIỆU'!$K:$K)</f>
        <v>0</v>
      </c>
      <c r="J328" s="156">
        <f>+SUMIF('NHẬP LIỆU'!$E:$E,NVL!$B328,'NHẬP LIỆU'!$L:$L)</f>
        <v>0</v>
      </c>
      <c r="K328" s="154">
        <f>+NVL!$H328+NVL!$I328-NVL!$J328</f>
        <v>0</v>
      </c>
      <c r="L328" s="155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23.25" customHeight="1">
      <c r="A329" s="147">
        <f t="shared" si="1"/>
        <v>21</v>
      </c>
      <c r="B329" s="170"/>
      <c r="C329" s="167"/>
      <c r="D329" s="150"/>
      <c r="E329" s="331"/>
      <c r="F329" s="331"/>
      <c r="G329" s="331"/>
      <c r="H329" s="152"/>
      <c r="I329" s="153">
        <f>+SUMIF('NHẬP LIỆU'!$E:$E,NVL!$B329,'NHẬP LIỆU'!$K:$K)</f>
        <v>0</v>
      </c>
      <c r="J329" s="156">
        <f>+SUMIF('NHẬP LIỆU'!$E:$E,NVL!$B329,'NHẬP LIỆU'!$L:$L)</f>
        <v>0</v>
      </c>
      <c r="K329" s="154">
        <f>+NVL!$H329+NVL!$I329-NVL!$J329</f>
        <v>0</v>
      </c>
      <c r="L329" s="155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23.25" customHeight="1">
      <c r="A330" s="147">
        <f t="shared" si="1"/>
        <v>21</v>
      </c>
      <c r="B330" s="170"/>
      <c r="C330" s="167"/>
      <c r="D330" s="150"/>
      <c r="E330" s="331"/>
      <c r="F330" s="331"/>
      <c r="G330" s="331"/>
      <c r="H330" s="152"/>
      <c r="I330" s="153">
        <f>+SUMIF('NHẬP LIỆU'!$E:$E,NVL!$B330,'NHẬP LIỆU'!$K:$K)</f>
        <v>0</v>
      </c>
      <c r="J330" s="156">
        <f>+SUMIF('NHẬP LIỆU'!$E:$E,NVL!$B330,'NHẬP LIỆU'!$L:$L)</f>
        <v>0</v>
      </c>
      <c r="K330" s="154">
        <f>+NVL!$H330+NVL!$I330-NVL!$J330</f>
        <v>0</v>
      </c>
      <c r="L330" s="155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23.25" customHeight="1">
      <c r="A331" s="147">
        <f t="shared" si="1"/>
        <v>21</v>
      </c>
      <c r="B331" s="170"/>
      <c r="C331" s="167"/>
      <c r="D331" s="150"/>
      <c r="E331" s="331"/>
      <c r="F331" s="331"/>
      <c r="G331" s="331"/>
      <c r="H331" s="152"/>
      <c r="I331" s="153">
        <f>+SUMIF('NHẬP LIỆU'!$E:$E,NVL!$B331,'NHẬP LIỆU'!$K:$K)</f>
        <v>0</v>
      </c>
      <c r="J331" s="156">
        <f>+SUMIF('NHẬP LIỆU'!$E:$E,NVL!$B331,'NHẬP LIỆU'!$L:$L)</f>
        <v>0</v>
      </c>
      <c r="K331" s="154">
        <f>+NVL!$H331+NVL!$I331-NVL!$J331</f>
        <v>0</v>
      </c>
      <c r="L331" s="155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23.25" customHeight="1">
      <c r="A332" s="147">
        <f t="shared" si="1"/>
        <v>21</v>
      </c>
      <c r="B332" s="170"/>
      <c r="C332" s="167"/>
      <c r="D332" s="150"/>
      <c r="E332" s="331"/>
      <c r="F332" s="331"/>
      <c r="G332" s="331"/>
      <c r="H332" s="152"/>
      <c r="I332" s="153">
        <f>+SUMIF('NHẬP LIỆU'!$E:$E,NVL!$B332,'NHẬP LIỆU'!$K:$K)</f>
        <v>0</v>
      </c>
      <c r="J332" s="156">
        <f>+SUMIF('NHẬP LIỆU'!$E:$E,NVL!$B332,'NHẬP LIỆU'!$L:$L)</f>
        <v>0</v>
      </c>
      <c r="K332" s="154">
        <f>+NVL!$H332+NVL!$I332-NVL!$J332</f>
        <v>0</v>
      </c>
      <c r="L332" s="155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23.25" customHeight="1">
      <c r="A333" s="147">
        <f t="shared" si="1"/>
        <v>21</v>
      </c>
      <c r="B333" s="170"/>
      <c r="C333" s="167"/>
      <c r="D333" s="150"/>
      <c r="E333" s="331"/>
      <c r="F333" s="331"/>
      <c r="G333" s="331"/>
      <c r="H333" s="152"/>
      <c r="I333" s="153">
        <f>+SUMIF('NHẬP LIỆU'!$E:$E,NVL!$B333,'NHẬP LIỆU'!$K:$K)</f>
        <v>0</v>
      </c>
      <c r="J333" s="156">
        <f>+SUMIF('NHẬP LIỆU'!$E:$E,NVL!$B333,'NHẬP LIỆU'!$L:$L)</f>
        <v>0</v>
      </c>
      <c r="K333" s="154">
        <f>+NVL!$H333+NVL!$I333-NVL!$J333</f>
        <v>0</v>
      </c>
      <c r="L333" s="155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23.25" customHeight="1">
      <c r="A334" s="147">
        <f t="shared" si="1"/>
        <v>21</v>
      </c>
      <c r="B334" s="170"/>
      <c r="C334" s="167"/>
      <c r="D334" s="150"/>
      <c r="E334" s="331"/>
      <c r="F334" s="331"/>
      <c r="G334" s="331"/>
      <c r="H334" s="152"/>
      <c r="I334" s="153">
        <f>+SUMIF('NHẬP LIỆU'!$E:$E,NVL!$B334,'NHẬP LIỆU'!$K:$K)</f>
        <v>0</v>
      </c>
      <c r="J334" s="156">
        <f>+SUMIF('NHẬP LIỆU'!$E:$E,NVL!$B334,'NHẬP LIỆU'!$L:$L)</f>
        <v>0</v>
      </c>
      <c r="K334" s="154">
        <f>+NVL!$H334+NVL!$I334-NVL!$J334</f>
        <v>0</v>
      </c>
      <c r="L334" s="155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23.25" customHeight="1">
      <c r="A335" s="147">
        <f t="shared" si="1"/>
        <v>21</v>
      </c>
      <c r="B335" s="170"/>
      <c r="C335" s="167"/>
      <c r="D335" s="150"/>
      <c r="E335" s="331"/>
      <c r="F335" s="331"/>
      <c r="G335" s="331"/>
      <c r="H335" s="152"/>
      <c r="I335" s="153">
        <f>+SUMIF('NHẬP LIỆU'!$E:$E,NVL!$B335,'NHẬP LIỆU'!$K:$K)</f>
        <v>0</v>
      </c>
      <c r="J335" s="156">
        <f>+SUMIF('NHẬP LIỆU'!$E:$E,NVL!$B335,'NHẬP LIỆU'!$L:$L)</f>
        <v>0</v>
      </c>
      <c r="K335" s="154">
        <f>+NVL!$H335+NVL!$I335-NVL!$J335</f>
        <v>0</v>
      </c>
      <c r="L335" s="155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23.25" customHeight="1">
      <c r="A336" s="147">
        <f t="shared" si="1"/>
        <v>21</v>
      </c>
      <c r="B336" s="170"/>
      <c r="C336" s="167"/>
      <c r="D336" s="150"/>
      <c r="E336" s="331"/>
      <c r="F336" s="331"/>
      <c r="G336" s="331"/>
      <c r="H336" s="152"/>
      <c r="I336" s="153">
        <f>+SUMIF('NHẬP LIỆU'!$E:$E,NVL!$B336,'NHẬP LIỆU'!$K:$K)</f>
        <v>0</v>
      </c>
      <c r="J336" s="156">
        <f>+SUMIF('NHẬP LIỆU'!$E:$E,NVL!$B336,'NHẬP LIỆU'!$L:$L)</f>
        <v>0</v>
      </c>
      <c r="K336" s="154">
        <f>+NVL!$H336+NVL!$I336-NVL!$J336</f>
        <v>0</v>
      </c>
      <c r="L336" s="155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23.25" customHeight="1">
      <c r="A337" s="147">
        <f t="shared" si="1"/>
        <v>21</v>
      </c>
      <c r="B337" s="170"/>
      <c r="C337" s="167"/>
      <c r="D337" s="150"/>
      <c r="E337" s="331"/>
      <c r="F337" s="331"/>
      <c r="G337" s="331"/>
      <c r="H337" s="152"/>
      <c r="I337" s="153">
        <f>+SUMIF('NHẬP LIỆU'!$E:$E,NVL!$B337,'NHẬP LIỆU'!$K:$K)</f>
        <v>0</v>
      </c>
      <c r="J337" s="156">
        <f>+SUMIF('NHẬP LIỆU'!$E:$E,NVL!$B337,'NHẬP LIỆU'!$L:$L)</f>
        <v>0</v>
      </c>
      <c r="K337" s="154">
        <f>+NVL!$H337+NVL!$I337-NVL!$J337</f>
        <v>0</v>
      </c>
      <c r="L337" s="155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23.25" customHeight="1">
      <c r="A338" s="147">
        <f t="shared" si="1"/>
        <v>21</v>
      </c>
      <c r="B338" s="170"/>
      <c r="C338" s="167"/>
      <c r="D338" s="150"/>
      <c r="E338" s="331"/>
      <c r="F338" s="331"/>
      <c r="G338" s="331"/>
      <c r="H338" s="152"/>
      <c r="I338" s="153">
        <f>+SUMIF('NHẬP LIỆU'!$E:$E,NVL!$B338,'NHẬP LIỆU'!$K:$K)</f>
        <v>0</v>
      </c>
      <c r="J338" s="156">
        <f>+SUMIF('NHẬP LIỆU'!$E:$E,NVL!$B338,'NHẬP LIỆU'!$L:$L)</f>
        <v>0</v>
      </c>
      <c r="K338" s="154">
        <f>+NVL!$H338+NVL!$I338-NVL!$J338</f>
        <v>0</v>
      </c>
      <c r="L338" s="155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23.25" customHeight="1">
      <c r="A339" s="147">
        <f t="shared" si="1"/>
        <v>21</v>
      </c>
      <c r="B339" s="170"/>
      <c r="C339" s="167"/>
      <c r="D339" s="150"/>
      <c r="E339" s="331"/>
      <c r="F339" s="331"/>
      <c r="G339" s="331"/>
      <c r="H339" s="152"/>
      <c r="I339" s="153">
        <f>+SUMIF('NHẬP LIỆU'!$E:$E,NVL!$B339,'NHẬP LIỆU'!$K:$K)</f>
        <v>0</v>
      </c>
      <c r="J339" s="156">
        <f>+SUMIF('NHẬP LIỆU'!$E:$E,NVL!$B339,'NHẬP LIỆU'!$L:$L)</f>
        <v>0</v>
      </c>
      <c r="K339" s="154">
        <f>+NVL!$H339+NVL!$I339-NVL!$J339</f>
        <v>0</v>
      </c>
      <c r="L339" s="155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23.25" customHeight="1">
      <c r="A340" s="147">
        <f t="shared" si="1"/>
        <v>21</v>
      </c>
      <c r="B340" s="170"/>
      <c r="C340" s="167"/>
      <c r="D340" s="150"/>
      <c r="E340" s="331"/>
      <c r="F340" s="331"/>
      <c r="G340" s="331"/>
      <c r="H340" s="152"/>
      <c r="I340" s="153">
        <f>+SUMIF('NHẬP LIỆU'!$E:$E,NVL!$B340,'NHẬP LIỆU'!$K:$K)</f>
        <v>0</v>
      </c>
      <c r="J340" s="156">
        <f>+SUMIF('NHẬP LIỆU'!$E:$E,NVL!$B340,'NHẬP LIỆU'!$L:$L)</f>
        <v>0</v>
      </c>
      <c r="K340" s="154">
        <f>+NVL!$H340+NVL!$I340-NVL!$J340</f>
        <v>0</v>
      </c>
      <c r="L340" s="155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23.25" customHeight="1">
      <c r="A341" s="147">
        <f t="shared" si="1"/>
        <v>21</v>
      </c>
      <c r="B341" s="170"/>
      <c r="C341" s="167"/>
      <c r="D341" s="150"/>
      <c r="E341" s="331"/>
      <c r="F341" s="331"/>
      <c r="G341" s="331"/>
      <c r="H341" s="152"/>
      <c r="I341" s="153">
        <f>+SUMIF('NHẬP LIỆU'!$E:$E,NVL!$B341,'NHẬP LIỆU'!$K:$K)</f>
        <v>0</v>
      </c>
      <c r="J341" s="156">
        <f>+SUMIF('NHẬP LIỆU'!$E:$E,NVL!$B341,'NHẬP LIỆU'!$L:$L)</f>
        <v>0</v>
      </c>
      <c r="K341" s="154">
        <f>+NVL!$H341+NVL!$I341-NVL!$J341</f>
        <v>0</v>
      </c>
      <c r="L341" s="155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23.25" customHeight="1">
      <c r="A342" s="147">
        <f t="shared" si="1"/>
        <v>21</v>
      </c>
      <c r="B342" s="170"/>
      <c r="C342" s="167"/>
      <c r="D342" s="150"/>
      <c r="E342" s="331"/>
      <c r="F342" s="331"/>
      <c r="G342" s="331"/>
      <c r="H342" s="152"/>
      <c r="I342" s="153">
        <f>+SUMIF('NHẬP LIỆU'!$E:$E,NVL!$B342,'NHẬP LIỆU'!$K:$K)</f>
        <v>0</v>
      </c>
      <c r="J342" s="156">
        <f>+SUMIF('NHẬP LIỆU'!$E:$E,NVL!$B342,'NHẬP LIỆU'!$L:$L)</f>
        <v>0</v>
      </c>
      <c r="K342" s="154">
        <f>+NVL!$H342+NVL!$I342-NVL!$J342</f>
        <v>0</v>
      </c>
      <c r="L342" s="155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23.25" customHeight="1">
      <c r="A343" s="147">
        <f t="shared" si="1"/>
        <v>21</v>
      </c>
      <c r="B343" s="170"/>
      <c r="C343" s="167"/>
      <c r="D343" s="150"/>
      <c r="E343" s="331"/>
      <c r="F343" s="331"/>
      <c r="G343" s="331"/>
      <c r="H343" s="152"/>
      <c r="I343" s="153">
        <f>+SUMIF('NHẬP LIỆU'!$E:$E,NVL!$B343,'NHẬP LIỆU'!$K:$K)</f>
        <v>0</v>
      </c>
      <c r="J343" s="156">
        <f>+SUMIF('NHẬP LIỆU'!$E:$E,NVL!$B343,'NHẬP LIỆU'!$L:$L)</f>
        <v>0</v>
      </c>
      <c r="K343" s="154">
        <f>+NVL!$H343+NVL!$I343-NVL!$J343</f>
        <v>0</v>
      </c>
      <c r="L343" s="155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23.25" customHeight="1">
      <c r="A344" s="147">
        <f t="shared" si="1"/>
        <v>21</v>
      </c>
      <c r="B344" s="170"/>
      <c r="C344" s="167"/>
      <c r="D344" s="150"/>
      <c r="E344" s="331"/>
      <c r="F344" s="331"/>
      <c r="G344" s="331"/>
      <c r="H344" s="152"/>
      <c r="I344" s="153">
        <f>+SUMIF('NHẬP LIỆU'!$E:$E,NVL!$B344,'NHẬP LIỆU'!$K:$K)</f>
        <v>0</v>
      </c>
      <c r="J344" s="156">
        <f>+SUMIF('NHẬP LIỆU'!$E:$E,NVL!$B344,'NHẬP LIỆU'!$L:$L)</f>
        <v>0</v>
      </c>
      <c r="K344" s="154">
        <f>+NVL!$H344+NVL!$I344-NVL!$J344</f>
        <v>0</v>
      </c>
      <c r="L344" s="155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23.25" customHeight="1">
      <c r="A345" s="147">
        <f t="shared" si="1"/>
        <v>21</v>
      </c>
      <c r="B345" s="170"/>
      <c r="C345" s="167"/>
      <c r="D345" s="150"/>
      <c r="E345" s="331"/>
      <c r="F345" s="331"/>
      <c r="G345" s="331"/>
      <c r="H345" s="152"/>
      <c r="I345" s="153">
        <f>+SUMIF('NHẬP LIỆU'!$E:$E,NVL!$B345,'NHẬP LIỆU'!$K:$K)</f>
        <v>0</v>
      </c>
      <c r="J345" s="156">
        <f>+SUMIF('NHẬP LIỆU'!$E:$E,NVL!$B345,'NHẬP LIỆU'!$L:$L)</f>
        <v>0</v>
      </c>
      <c r="K345" s="154">
        <f>+NVL!$H345+NVL!$I345-NVL!$J345</f>
        <v>0</v>
      </c>
      <c r="L345" s="155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23.25" customHeight="1">
      <c r="A346" s="147">
        <f t="shared" si="1"/>
        <v>21</v>
      </c>
      <c r="B346" s="170"/>
      <c r="C346" s="167"/>
      <c r="D346" s="150"/>
      <c r="E346" s="331"/>
      <c r="F346" s="331"/>
      <c r="G346" s="331"/>
      <c r="H346" s="152"/>
      <c r="I346" s="153">
        <f>+SUMIF('NHẬP LIỆU'!$E:$E,NVL!$B346,'NHẬP LIỆU'!$K:$K)</f>
        <v>0</v>
      </c>
      <c r="J346" s="156">
        <f>+SUMIF('NHẬP LIỆU'!$E:$E,NVL!$B346,'NHẬP LIỆU'!$L:$L)</f>
        <v>0</v>
      </c>
      <c r="K346" s="154">
        <f>+NVL!$H346+NVL!$I346-NVL!$J346</f>
        <v>0</v>
      </c>
      <c r="L346" s="155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23.25" customHeight="1">
      <c r="A347" s="147">
        <f t="shared" si="1"/>
        <v>21</v>
      </c>
      <c r="B347" s="170"/>
      <c r="C347" s="167"/>
      <c r="D347" s="150"/>
      <c r="E347" s="331"/>
      <c r="F347" s="331"/>
      <c r="G347" s="331"/>
      <c r="H347" s="152"/>
      <c r="I347" s="153">
        <f>+SUMIF('NHẬP LIỆU'!$E:$E,NVL!$B347,'NHẬP LIỆU'!$K:$K)</f>
        <v>0</v>
      </c>
      <c r="J347" s="156">
        <f>+SUMIF('NHẬP LIỆU'!$E:$E,NVL!$B347,'NHẬP LIỆU'!$L:$L)</f>
        <v>0</v>
      </c>
      <c r="K347" s="154">
        <f>+NVL!$H347+NVL!$I347-NVL!$J347</f>
        <v>0</v>
      </c>
      <c r="L347" s="155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23.25" customHeight="1">
      <c r="A348" s="147">
        <f t="shared" si="1"/>
        <v>21</v>
      </c>
      <c r="B348" s="170"/>
      <c r="C348" s="167"/>
      <c r="D348" s="150"/>
      <c r="E348" s="331"/>
      <c r="F348" s="331"/>
      <c r="G348" s="331"/>
      <c r="H348" s="152"/>
      <c r="I348" s="153">
        <f>+SUMIF('NHẬP LIỆU'!$E:$E,NVL!$B348,'NHẬP LIỆU'!$K:$K)</f>
        <v>0</v>
      </c>
      <c r="J348" s="156">
        <f>+SUMIF('NHẬP LIỆU'!$E:$E,NVL!$B348,'NHẬP LIỆU'!$L:$L)</f>
        <v>0</v>
      </c>
      <c r="K348" s="154">
        <f>+NVL!$H348+NVL!$I348-NVL!$J348</f>
        <v>0</v>
      </c>
      <c r="L348" s="172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23.25" customHeight="1">
      <c r="A349" s="147">
        <f t="shared" si="1"/>
        <v>21</v>
      </c>
      <c r="B349" s="170"/>
      <c r="C349" s="167"/>
      <c r="D349" s="150"/>
      <c r="E349" s="331"/>
      <c r="F349" s="331"/>
      <c r="G349" s="331"/>
      <c r="H349" s="152"/>
      <c r="I349" s="153">
        <f>+SUMIF('NHẬP LIỆU'!$E:$E,NVL!$B349,'NHẬP LIỆU'!$K:$K)</f>
        <v>0</v>
      </c>
      <c r="J349" s="156">
        <f>+SUMIF('NHẬP LIỆU'!$E:$E,NVL!$B349,'NHẬP LIỆU'!$L:$L)</f>
        <v>0</v>
      </c>
      <c r="K349" s="154">
        <f>+NVL!$H349+NVL!$I349-NVL!$J349</f>
        <v>0</v>
      </c>
      <c r="L349" s="155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23.25" customHeight="1">
      <c r="A350" s="147">
        <f t="shared" si="1"/>
        <v>21</v>
      </c>
      <c r="B350" s="170"/>
      <c r="C350" s="167"/>
      <c r="D350" s="150"/>
      <c r="E350" s="331"/>
      <c r="F350" s="331"/>
      <c r="G350" s="331"/>
      <c r="H350" s="152"/>
      <c r="I350" s="153">
        <f>+SUMIF('NHẬP LIỆU'!$E:$E,NVL!$B350,'NHẬP LIỆU'!$K:$K)</f>
        <v>0</v>
      </c>
      <c r="J350" s="156">
        <f>+SUMIF('NHẬP LIỆU'!$E:$E,NVL!$B350,'NHẬP LIỆU'!$L:$L)</f>
        <v>0</v>
      </c>
      <c r="K350" s="154">
        <f>+NVL!$H350+NVL!$I350-NVL!$J350</f>
        <v>0</v>
      </c>
      <c r="L350" s="155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23.25" customHeight="1">
      <c r="A351" s="147">
        <f t="shared" si="1"/>
        <v>21</v>
      </c>
      <c r="B351" s="170"/>
      <c r="C351" s="167"/>
      <c r="D351" s="150"/>
      <c r="E351" s="331"/>
      <c r="F351" s="331"/>
      <c r="G351" s="331"/>
      <c r="H351" s="152"/>
      <c r="I351" s="153">
        <f>+SUMIF('NHẬP LIỆU'!$E:$E,NVL!$B351,'NHẬP LIỆU'!$K:$K)</f>
        <v>0</v>
      </c>
      <c r="J351" s="156">
        <f>+SUMIF('NHẬP LIỆU'!$E:$E,NVL!$B351,'NHẬP LIỆU'!$L:$L)</f>
        <v>0</v>
      </c>
      <c r="K351" s="154">
        <f>+NVL!$H351+NVL!$I351-NVL!$J351</f>
        <v>0</v>
      </c>
      <c r="L351" s="155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23.25" customHeight="1">
      <c r="A352" s="147">
        <f t="shared" si="1"/>
        <v>21</v>
      </c>
      <c r="B352" s="170"/>
      <c r="C352" s="167"/>
      <c r="D352" s="150"/>
      <c r="E352" s="331"/>
      <c r="F352" s="331"/>
      <c r="G352" s="331"/>
      <c r="H352" s="152"/>
      <c r="I352" s="153">
        <f>+SUMIF('NHẬP LIỆU'!$E:$E,NVL!$B352,'NHẬP LIỆU'!$K:$K)</f>
        <v>0</v>
      </c>
      <c r="J352" s="156">
        <f>+SUMIF('NHẬP LIỆU'!$E:$E,NVL!$B352,'NHẬP LIỆU'!$L:$L)</f>
        <v>0</v>
      </c>
      <c r="K352" s="154">
        <f>+NVL!$H352+NVL!$I352-NVL!$J352</f>
        <v>0</v>
      </c>
      <c r="L352" s="155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23.25" customHeight="1">
      <c r="A353" s="147">
        <f t="shared" si="1"/>
        <v>21</v>
      </c>
      <c r="B353" s="170"/>
      <c r="C353" s="167"/>
      <c r="D353" s="150"/>
      <c r="E353" s="331"/>
      <c r="F353" s="331"/>
      <c r="G353" s="331"/>
      <c r="H353" s="152"/>
      <c r="I353" s="153">
        <f>+SUMIF('NHẬP LIỆU'!$E:$E,NVL!$B353,'NHẬP LIỆU'!$K:$K)</f>
        <v>0</v>
      </c>
      <c r="J353" s="156">
        <f>+SUMIF('NHẬP LIỆU'!$E:$E,NVL!$B353,'NHẬP LIỆU'!$L:$L)</f>
        <v>0</v>
      </c>
      <c r="K353" s="154">
        <f>+NVL!$H353+NVL!$I353-NVL!$J353</f>
        <v>0</v>
      </c>
      <c r="L353" s="155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23.25" customHeight="1">
      <c r="A354" s="147">
        <f t="shared" si="1"/>
        <v>21</v>
      </c>
      <c r="B354" s="170"/>
      <c r="C354" s="167"/>
      <c r="D354" s="150"/>
      <c r="E354" s="331"/>
      <c r="F354" s="331"/>
      <c r="G354" s="331"/>
      <c r="H354" s="152"/>
      <c r="I354" s="153">
        <f>+SUMIF('NHẬP LIỆU'!$E:$E,NVL!$B354,'NHẬP LIỆU'!$K:$K)</f>
        <v>0</v>
      </c>
      <c r="J354" s="156">
        <f>+SUMIF('NHẬP LIỆU'!$E:$E,NVL!$B354,'NHẬP LIỆU'!$L:$L)</f>
        <v>0</v>
      </c>
      <c r="K354" s="154">
        <f>+NVL!$H354+NVL!$I354-NVL!$J354</f>
        <v>0</v>
      </c>
      <c r="L354" s="155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23.25" customHeight="1">
      <c r="A355" s="147">
        <f t="shared" si="1"/>
        <v>21</v>
      </c>
      <c r="B355" s="170"/>
      <c r="C355" s="167"/>
      <c r="D355" s="150"/>
      <c r="E355" s="331"/>
      <c r="F355" s="331"/>
      <c r="G355" s="331"/>
      <c r="H355" s="152"/>
      <c r="I355" s="153">
        <f>+SUMIF('NHẬP LIỆU'!$E:$E,NVL!$B355,'NHẬP LIỆU'!$K:$K)</f>
        <v>0</v>
      </c>
      <c r="J355" s="156">
        <f>+SUMIF('NHẬP LIỆU'!$E:$E,NVL!$B355,'NHẬP LIỆU'!$L:$L)</f>
        <v>0</v>
      </c>
      <c r="K355" s="154">
        <f>+NVL!$H355+NVL!$I355-NVL!$J355</f>
        <v>0</v>
      </c>
      <c r="L355" s="155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23.25" customHeight="1">
      <c r="A356" s="147">
        <f t="shared" si="1"/>
        <v>21</v>
      </c>
      <c r="B356" s="170"/>
      <c r="C356" s="167"/>
      <c r="D356" s="150"/>
      <c r="E356" s="331"/>
      <c r="F356" s="331"/>
      <c r="G356" s="331"/>
      <c r="H356" s="152"/>
      <c r="I356" s="153">
        <f>+SUMIF('NHẬP LIỆU'!$E:$E,NVL!$B356,'NHẬP LIỆU'!$K:$K)</f>
        <v>0</v>
      </c>
      <c r="J356" s="156">
        <f>+SUMIF('NHẬP LIỆU'!$E:$E,NVL!$B356,'NHẬP LIỆU'!$L:$L)</f>
        <v>0</v>
      </c>
      <c r="K356" s="154">
        <f>+NVL!$H356+NVL!$I356-NVL!$J356</f>
        <v>0</v>
      </c>
      <c r="L356" s="155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23.25" customHeight="1">
      <c r="A357" s="147">
        <f t="shared" si="1"/>
        <v>21</v>
      </c>
      <c r="B357" s="170"/>
      <c r="C357" s="167"/>
      <c r="D357" s="150"/>
      <c r="E357" s="331"/>
      <c r="F357" s="331"/>
      <c r="G357" s="331"/>
      <c r="H357" s="152"/>
      <c r="I357" s="153">
        <f>+SUMIF('NHẬP LIỆU'!$E:$E,NVL!$B357,'NHẬP LIỆU'!$K:$K)</f>
        <v>0</v>
      </c>
      <c r="J357" s="156">
        <f>+SUMIF('NHẬP LIỆU'!$E:$E,NVL!$B357,'NHẬP LIỆU'!$L:$L)</f>
        <v>0</v>
      </c>
      <c r="K357" s="154">
        <f>+NVL!$H357+NVL!$I357-NVL!$J357</f>
        <v>0</v>
      </c>
      <c r="L357" s="155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23.25" customHeight="1">
      <c r="A358" s="147">
        <f t="shared" si="1"/>
        <v>21</v>
      </c>
      <c r="B358" s="170"/>
      <c r="C358" s="167"/>
      <c r="D358" s="150"/>
      <c r="E358" s="331"/>
      <c r="F358" s="331"/>
      <c r="G358" s="331"/>
      <c r="H358" s="152"/>
      <c r="I358" s="153">
        <f>+SUMIF('NHẬP LIỆU'!$E:$E,NVL!$B358,'NHẬP LIỆU'!$K:$K)</f>
        <v>0</v>
      </c>
      <c r="J358" s="156">
        <f>+SUMIF('NHẬP LIỆU'!$E:$E,NVL!$B358,'NHẬP LIỆU'!$L:$L)</f>
        <v>0</v>
      </c>
      <c r="K358" s="154">
        <f>+NVL!$H358+NVL!$I358-NVL!$J358</f>
        <v>0</v>
      </c>
      <c r="L358" s="155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23.25" customHeight="1">
      <c r="A359" s="147">
        <f t="shared" si="1"/>
        <v>21</v>
      </c>
      <c r="B359" s="170"/>
      <c r="C359" s="167"/>
      <c r="D359" s="150"/>
      <c r="E359" s="331"/>
      <c r="F359" s="331"/>
      <c r="G359" s="331"/>
      <c r="H359" s="152"/>
      <c r="I359" s="153">
        <f>+SUMIF('NHẬP LIỆU'!$E:$E,NVL!$B359,'NHẬP LIỆU'!$K:$K)</f>
        <v>0</v>
      </c>
      <c r="J359" s="156">
        <f>+SUMIF('NHẬP LIỆU'!$E:$E,NVL!$B359,'NHẬP LIỆU'!$L:$L)</f>
        <v>0</v>
      </c>
      <c r="K359" s="154">
        <f>+NVL!$H359+NVL!$I359-NVL!$J359</f>
        <v>0</v>
      </c>
      <c r="L359" s="155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23.25" customHeight="1">
      <c r="A360" s="147">
        <f t="shared" si="1"/>
        <v>21</v>
      </c>
      <c r="B360" s="170"/>
      <c r="C360" s="167"/>
      <c r="D360" s="150"/>
      <c r="E360" s="331"/>
      <c r="F360" s="331"/>
      <c r="G360" s="331"/>
      <c r="H360" s="152"/>
      <c r="I360" s="153">
        <f>+SUMIF('NHẬP LIỆU'!$E:$E,NVL!$B360,'NHẬP LIỆU'!$K:$K)</f>
        <v>0</v>
      </c>
      <c r="J360" s="156">
        <f>+SUMIF('NHẬP LIỆU'!$E:$E,NVL!$B360,'NHẬP LIỆU'!$L:$L)</f>
        <v>0</v>
      </c>
      <c r="K360" s="154">
        <f>+NVL!$H360+NVL!$I360-NVL!$J360</f>
        <v>0</v>
      </c>
      <c r="L360" s="155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23.25" customHeight="1">
      <c r="A361" s="147">
        <f t="shared" si="1"/>
        <v>21</v>
      </c>
      <c r="B361" s="170"/>
      <c r="C361" s="167"/>
      <c r="D361" s="150"/>
      <c r="E361" s="331"/>
      <c r="F361" s="331"/>
      <c r="G361" s="331"/>
      <c r="H361" s="152"/>
      <c r="I361" s="153">
        <f>+SUMIF('NHẬP LIỆU'!$E:$E,NVL!$B361,'NHẬP LIỆU'!$K:$K)</f>
        <v>0</v>
      </c>
      <c r="J361" s="156">
        <f>+SUMIF('NHẬP LIỆU'!$E:$E,NVL!$B361,'NHẬP LIỆU'!$L:$L)</f>
        <v>0</v>
      </c>
      <c r="K361" s="154">
        <f>+NVL!$H361+NVL!$I361-NVL!$J361</f>
        <v>0</v>
      </c>
      <c r="L361" s="155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23.25" customHeight="1">
      <c r="A362" s="147">
        <f t="shared" si="1"/>
        <v>21</v>
      </c>
      <c r="B362" s="170"/>
      <c r="C362" s="167"/>
      <c r="D362" s="150"/>
      <c r="E362" s="331"/>
      <c r="F362" s="331"/>
      <c r="G362" s="331"/>
      <c r="H362" s="152"/>
      <c r="I362" s="153">
        <f>+SUMIF('NHẬP LIỆU'!$E:$E,NVL!$B362,'NHẬP LIỆU'!$K:$K)</f>
        <v>0</v>
      </c>
      <c r="J362" s="156">
        <f>+SUMIF('NHẬP LIỆU'!$E:$E,NVL!$B362,'NHẬP LIỆU'!$L:$L)</f>
        <v>0</v>
      </c>
      <c r="K362" s="154">
        <f>+NVL!$H362+NVL!$I362-NVL!$J362</f>
        <v>0</v>
      </c>
      <c r="L362" s="155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23.25" customHeight="1">
      <c r="A363" s="147">
        <f t="shared" si="1"/>
        <v>21</v>
      </c>
      <c r="B363" s="170"/>
      <c r="C363" s="167"/>
      <c r="D363" s="150"/>
      <c r="E363" s="331"/>
      <c r="F363" s="331"/>
      <c r="G363" s="331"/>
      <c r="H363" s="152"/>
      <c r="I363" s="153">
        <f>+SUMIF('NHẬP LIỆU'!$E:$E,NVL!$B363,'NHẬP LIỆU'!$K:$K)</f>
        <v>0</v>
      </c>
      <c r="J363" s="156">
        <f>+SUMIF('NHẬP LIỆU'!$E:$E,NVL!$B363,'NHẬP LIỆU'!$L:$L)</f>
        <v>0</v>
      </c>
      <c r="K363" s="154">
        <f>+NVL!$H363+NVL!$I363-NVL!$J363</f>
        <v>0</v>
      </c>
      <c r="L363" s="155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23.25" customHeight="1">
      <c r="A364" s="147">
        <f t="shared" si="1"/>
        <v>21</v>
      </c>
      <c r="B364" s="170"/>
      <c r="C364" s="167"/>
      <c r="D364" s="150"/>
      <c r="E364" s="331"/>
      <c r="F364" s="331"/>
      <c r="G364" s="331"/>
      <c r="H364" s="152"/>
      <c r="I364" s="153">
        <f>+SUMIF('NHẬP LIỆU'!$E:$E,NVL!$B364,'NHẬP LIỆU'!$K:$K)</f>
        <v>0</v>
      </c>
      <c r="J364" s="156">
        <f>+SUMIF('NHẬP LIỆU'!$E:$E,NVL!$B364,'NHẬP LIỆU'!$L:$L)</f>
        <v>0</v>
      </c>
      <c r="K364" s="154">
        <f>+NVL!$H364+NVL!$I364-NVL!$J364</f>
        <v>0</v>
      </c>
      <c r="L364" s="155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23.25" customHeight="1">
      <c r="A365" s="147">
        <f t="shared" si="1"/>
        <v>21</v>
      </c>
      <c r="B365" s="170"/>
      <c r="C365" s="167"/>
      <c r="D365" s="150"/>
      <c r="E365" s="331"/>
      <c r="F365" s="331"/>
      <c r="G365" s="331"/>
      <c r="H365" s="152"/>
      <c r="I365" s="153">
        <f>+SUMIF('NHẬP LIỆU'!$E:$E,NVL!$B365,'NHẬP LIỆU'!$K:$K)</f>
        <v>0</v>
      </c>
      <c r="J365" s="156">
        <f>+SUMIF('NHẬP LIỆU'!$E:$E,NVL!$B365,'NHẬP LIỆU'!$L:$L)</f>
        <v>0</v>
      </c>
      <c r="K365" s="154">
        <f>+NVL!$H365+NVL!$I365-NVL!$J365</f>
        <v>0</v>
      </c>
      <c r="L365" s="155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23.25" customHeight="1">
      <c r="A366" s="147">
        <f t="shared" si="1"/>
        <v>21</v>
      </c>
      <c r="B366" s="170"/>
      <c r="C366" s="167"/>
      <c r="D366" s="150"/>
      <c r="E366" s="331"/>
      <c r="F366" s="331"/>
      <c r="G366" s="331"/>
      <c r="H366" s="152"/>
      <c r="I366" s="153">
        <f>+SUMIF('NHẬP LIỆU'!$E:$E,NVL!$B366,'NHẬP LIỆU'!$K:$K)</f>
        <v>0</v>
      </c>
      <c r="J366" s="156">
        <f>+SUMIF('NHẬP LIỆU'!$E:$E,NVL!$B366,'NHẬP LIỆU'!$L:$L)</f>
        <v>0</v>
      </c>
      <c r="K366" s="154">
        <f>+NVL!$H366+NVL!$I366-NVL!$J366</f>
        <v>0</v>
      </c>
      <c r="L366" s="155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23.25" customHeight="1">
      <c r="A367" s="147">
        <f t="shared" si="1"/>
        <v>21</v>
      </c>
      <c r="B367" s="170"/>
      <c r="C367" s="167"/>
      <c r="D367" s="150"/>
      <c r="E367" s="331"/>
      <c r="F367" s="331"/>
      <c r="G367" s="331"/>
      <c r="H367" s="152"/>
      <c r="I367" s="153">
        <f>+SUMIF('NHẬP LIỆU'!$E:$E,NVL!$B367,'NHẬP LIỆU'!$K:$K)</f>
        <v>0</v>
      </c>
      <c r="J367" s="156">
        <f>+SUMIF('NHẬP LIỆU'!$E:$E,NVL!$B367,'NHẬP LIỆU'!$L:$L)</f>
        <v>0</v>
      </c>
      <c r="K367" s="154">
        <f>+NVL!$H367+NVL!$I367-NVL!$J367</f>
        <v>0</v>
      </c>
      <c r="L367" s="155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23.25" customHeight="1">
      <c r="A368" s="147">
        <f t="shared" si="1"/>
        <v>21</v>
      </c>
      <c r="B368" s="170"/>
      <c r="C368" s="167"/>
      <c r="D368" s="150"/>
      <c r="E368" s="331"/>
      <c r="F368" s="331"/>
      <c r="G368" s="331"/>
      <c r="H368" s="152"/>
      <c r="I368" s="153">
        <f>+SUMIF('NHẬP LIỆU'!$E:$E,NVL!$B368,'NHẬP LIỆU'!$K:$K)</f>
        <v>0</v>
      </c>
      <c r="J368" s="156">
        <f>+SUMIF('NHẬP LIỆU'!$E:$E,NVL!$B368,'NHẬP LIỆU'!$L:$L)</f>
        <v>0</v>
      </c>
      <c r="K368" s="154">
        <f>+NVL!$H368+NVL!$I368-NVL!$J368</f>
        <v>0</v>
      </c>
      <c r="L368" s="155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23.25" customHeight="1">
      <c r="A369" s="147">
        <f t="shared" si="1"/>
        <v>21</v>
      </c>
      <c r="B369" s="170"/>
      <c r="C369" s="167"/>
      <c r="D369" s="150"/>
      <c r="E369" s="331"/>
      <c r="F369" s="331"/>
      <c r="G369" s="331"/>
      <c r="H369" s="152"/>
      <c r="I369" s="153">
        <f>+SUMIF('NHẬP LIỆU'!$E:$E,NVL!$B369,'NHẬP LIỆU'!$K:$K)</f>
        <v>0</v>
      </c>
      <c r="J369" s="156">
        <f>+SUMIF('NHẬP LIỆU'!$E:$E,NVL!$B369,'NHẬP LIỆU'!$L:$L)</f>
        <v>0</v>
      </c>
      <c r="K369" s="154">
        <f>+NVL!$H369+NVL!$I369-NVL!$J369</f>
        <v>0</v>
      </c>
      <c r="L369" s="155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23.25" customHeight="1">
      <c r="A370" s="147">
        <f t="shared" si="1"/>
        <v>21</v>
      </c>
      <c r="B370" s="170"/>
      <c r="C370" s="167"/>
      <c r="D370" s="150"/>
      <c r="E370" s="331"/>
      <c r="F370" s="331"/>
      <c r="G370" s="331"/>
      <c r="H370" s="152"/>
      <c r="I370" s="153">
        <f>+SUMIF('NHẬP LIỆU'!$E:$E,NVL!$B370,'NHẬP LIỆU'!$K:$K)</f>
        <v>0</v>
      </c>
      <c r="J370" s="156">
        <f>+SUMIF('NHẬP LIỆU'!$E:$E,NVL!$B370,'NHẬP LIỆU'!$L:$L)</f>
        <v>0</v>
      </c>
      <c r="K370" s="154">
        <f>+NVL!$H370+NVL!$I370-NVL!$J370</f>
        <v>0</v>
      </c>
      <c r="L370" s="155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23.25" customHeight="1">
      <c r="A371" s="147">
        <f t="shared" si="1"/>
        <v>21</v>
      </c>
      <c r="B371" s="170"/>
      <c r="C371" s="167"/>
      <c r="D371" s="150"/>
      <c r="E371" s="331"/>
      <c r="F371" s="331"/>
      <c r="G371" s="331"/>
      <c r="H371" s="152"/>
      <c r="I371" s="153">
        <f>+SUMIF('NHẬP LIỆU'!$E:$E,NVL!$B371,'NHẬP LIỆU'!$K:$K)</f>
        <v>0</v>
      </c>
      <c r="J371" s="156">
        <f>+SUMIF('NHẬP LIỆU'!$E:$E,NVL!$B371,'NHẬP LIỆU'!$L:$L)</f>
        <v>0</v>
      </c>
      <c r="K371" s="154">
        <f>+NVL!$H371+NVL!$I371-NVL!$J371</f>
        <v>0</v>
      </c>
      <c r="L371" s="155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23.25" customHeight="1">
      <c r="A372" s="147">
        <f t="shared" si="1"/>
        <v>21</v>
      </c>
      <c r="B372" s="170"/>
      <c r="C372" s="167"/>
      <c r="D372" s="150"/>
      <c r="E372" s="331"/>
      <c r="F372" s="331"/>
      <c r="G372" s="331"/>
      <c r="H372" s="152"/>
      <c r="I372" s="153">
        <f>+SUMIF('NHẬP LIỆU'!$E:$E,NVL!$B372,'NHẬP LIỆU'!$K:$K)</f>
        <v>0</v>
      </c>
      <c r="J372" s="156">
        <f>+SUMIF('NHẬP LIỆU'!$E:$E,NVL!$B372,'NHẬP LIỆU'!$L:$L)</f>
        <v>0</v>
      </c>
      <c r="K372" s="154">
        <f>+NVL!$H372+NVL!$I372-NVL!$J372</f>
        <v>0</v>
      </c>
      <c r="L372" s="155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23.25" customHeight="1">
      <c r="A373" s="147">
        <f t="shared" si="1"/>
        <v>21</v>
      </c>
      <c r="B373" s="170"/>
      <c r="C373" s="167"/>
      <c r="D373" s="150"/>
      <c r="E373" s="331"/>
      <c r="F373" s="331"/>
      <c r="G373" s="331"/>
      <c r="H373" s="152"/>
      <c r="I373" s="153">
        <f>+SUMIF('NHẬP LIỆU'!$E:$E,NVL!$B373,'NHẬP LIỆU'!$K:$K)</f>
        <v>0</v>
      </c>
      <c r="J373" s="156">
        <f>+SUMIF('NHẬP LIỆU'!$E:$E,NVL!$B373,'NHẬP LIỆU'!$L:$L)</f>
        <v>0</v>
      </c>
      <c r="K373" s="154">
        <f>+NVL!$H373+NVL!$I373-NVL!$J373</f>
        <v>0</v>
      </c>
      <c r="L373" s="155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23.25" customHeight="1">
      <c r="A374" s="147">
        <f t="shared" si="1"/>
        <v>21</v>
      </c>
      <c r="B374" s="170"/>
      <c r="C374" s="167"/>
      <c r="D374" s="150"/>
      <c r="E374" s="331"/>
      <c r="F374" s="331"/>
      <c r="G374" s="331"/>
      <c r="H374" s="152"/>
      <c r="I374" s="153">
        <f>+SUMIF('NHẬP LIỆU'!$E:$E,NVL!$B374,'NHẬP LIỆU'!$K:$K)</f>
        <v>0</v>
      </c>
      <c r="J374" s="156">
        <f>+SUMIF('NHẬP LIỆU'!$E:$E,NVL!$B374,'NHẬP LIỆU'!$L:$L)</f>
        <v>0</v>
      </c>
      <c r="K374" s="154">
        <f>+NVL!$H374+NVL!$I374-NVL!$J374</f>
        <v>0</v>
      </c>
      <c r="L374" s="155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23.25" customHeight="1">
      <c r="A375" s="147">
        <f t="shared" si="1"/>
        <v>21</v>
      </c>
      <c r="B375" s="170"/>
      <c r="C375" s="167"/>
      <c r="D375" s="150"/>
      <c r="E375" s="331"/>
      <c r="F375" s="331"/>
      <c r="G375" s="331"/>
      <c r="H375" s="152"/>
      <c r="I375" s="153">
        <f>+SUMIF('NHẬP LIỆU'!$E:$E,NVL!$B375,'NHẬP LIỆU'!$K:$K)</f>
        <v>0</v>
      </c>
      <c r="J375" s="156">
        <f>+SUMIF('NHẬP LIỆU'!$E:$E,NVL!$B375,'NHẬP LIỆU'!$L:$L)</f>
        <v>0</v>
      </c>
      <c r="K375" s="154">
        <f>+NVL!$H375+NVL!$I375-NVL!$J375</f>
        <v>0</v>
      </c>
      <c r="L375" s="155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23.25" customHeight="1">
      <c r="A376" s="147">
        <f t="shared" si="1"/>
        <v>21</v>
      </c>
      <c r="B376" s="170"/>
      <c r="C376" s="167"/>
      <c r="D376" s="150"/>
      <c r="E376" s="331"/>
      <c r="F376" s="331"/>
      <c r="G376" s="331"/>
      <c r="H376" s="152"/>
      <c r="I376" s="153">
        <f>+SUMIF('NHẬP LIỆU'!$E:$E,NVL!$B376,'NHẬP LIỆU'!$K:$K)</f>
        <v>0</v>
      </c>
      <c r="J376" s="156">
        <f>+SUMIF('NHẬP LIỆU'!$E:$E,NVL!$B376,'NHẬP LIỆU'!$L:$L)</f>
        <v>0</v>
      </c>
      <c r="K376" s="154">
        <f>+NVL!$H376+NVL!$I376-NVL!$J376</f>
        <v>0</v>
      </c>
      <c r="L376" s="172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23.25" customHeight="1">
      <c r="A377" s="147">
        <f t="shared" si="1"/>
        <v>21</v>
      </c>
      <c r="B377" s="170"/>
      <c r="C377" s="167"/>
      <c r="D377" s="150"/>
      <c r="E377" s="331"/>
      <c r="F377" s="331"/>
      <c r="G377" s="331"/>
      <c r="H377" s="152"/>
      <c r="I377" s="153">
        <f>+SUMIF('NHẬP LIỆU'!$E:$E,NVL!$B377,'NHẬP LIỆU'!$K:$K)</f>
        <v>0</v>
      </c>
      <c r="J377" s="156">
        <f>+SUMIF('NHẬP LIỆU'!$E:$E,NVL!$B377,'NHẬP LIỆU'!$L:$L)</f>
        <v>0</v>
      </c>
      <c r="K377" s="154">
        <f>+NVL!$H377+NVL!$I377-NVL!$J377</f>
        <v>0</v>
      </c>
      <c r="L377" s="155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23.25" customHeight="1">
      <c r="A378" s="147">
        <f t="shared" si="1"/>
        <v>21</v>
      </c>
      <c r="B378" s="170"/>
      <c r="C378" s="167"/>
      <c r="D378" s="150"/>
      <c r="E378" s="331"/>
      <c r="F378" s="331"/>
      <c r="G378" s="331"/>
      <c r="H378" s="152"/>
      <c r="I378" s="153">
        <f>+SUMIF('NHẬP LIỆU'!$E:$E,NVL!$B378,'NHẬP LIỆU'!$K:$K)</f>
        <v>0</v>
      </c>
      <c r="J378" s="156">
        <f>+SUMIF('NHẬP LIỆU'!$E:$E,NVL!$B378,'NHẬP LIỆU'!$L:$L)</f>
        <v>0</v>
      </c>
      <c r="K378" s="154">
        <f>+NVL!$H378+NVL!$I378-NVL!$J378</f>
        <v>0</v>
      </c>
      <c r="L378" s="155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23.25" customHeight="1">
      <c r="A379" s="147">
        <f t="shared" si="1"/>
        <v>21</v>
      </c>
      <c r="B379" s="170"/>
      <c r="C379" s="167"/>
      <c r="D379" s="150"/>
      <c r="E379" s="331"/>
      <c r="F379" s="331"/>
      <c r="G379" s="331"/>
      <c r="H379" s="152"/>
      <c r="I379" s="153">
        <f>+SUMIF('NHẬP LIỆU'!$E:$E,NVL!$B379,'NHẬP LIỆU'!$K:$K)</f>
        <v>0</v>
      </c>
      <c r="J379" s="156">
        <f>+SUMIF('NHẬP LIỆU'!$E:$E,NVL!$B379,'NHẬP LIỆU'!$L:$L)</f>
        <v>0</v>
      </c>
      <c r="K379" s="154">
        <f>+NVL!$H379+NVL!$I379-NVL!$J379</f>
        <v>0</v>
      </c>
      <c r="L379" s="155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23.25" customHeight="1">
      <c r="A380" s="147">
        <f t="shared" si="1"/>
        <v>21</v>
      </c>
      <c r="B380" s="170"/>
      <c r="C380" s="167"/>
      <c r="D380" s="150"/>
      <c r="E380" s="331"/>
      <c r="F380" s="331"/>
      <c r="G380" s="331"/>
      <c r="H380" s="152"/>
      <c r="I380" s="153">
        <f>+SUMIF('NHẬP LIỆU'!$E:$E,NVL!$B380,'NHẬP LIỆU'!$K:$K)</f>
        <v>0</v>
      </c>
      <c r="J380" s="156">
        <f>+SUMIF('NHẬP LIỆU'!$E:$E,NVL!$B380,'NHẬP LIỆU'!$L:$L)</f>
        <v>0</v>
      </c>
      <c r="K380" s="154">
        <f>+NVL!$H380+NVL!$I380-NVL!$J380</f>
        <v>0</v>
      </c>
      <c r="L380" s="155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23.25" customHeight="1">
      <c r="A381" s="147">
        <f t="shared" si="1"/>
        <v>21</v>
      </c>
      <c r="B381" s="170"/>
      <c r="C381" s="167"/>
      <c r="D381" s="150"/>
      <c r="E381" s="331"/>
      <c r="F381" s="331"/>
      <c r="G381" s="331"/>
      <c r="H381" s="152"/>
      <c r="I381" s="153">
        <f>+SUMIF('NHẬP LIỆU'!$E:$E,NVL!$B381,'NHẬP LIỆU'!$K:$K)</f>
        <v>0</v>
      </c>
      <c r="J381" s="156">
        <f>+SUMIF('NHẬP LIỆU'!$E:$E,NVL!$B381,'NHẬP LIỆU'!$L:$L)</f>
        <v>0</v>
      </c>
      <c r="K381" s="154">
        <f>+NVL!$H381+NVL!$I381-NVL!$J381</f>
        <v>0</v>
      </c>
      <c r="L381" s="155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23.25" customHeight="1">
      <c r="A382" s="147">
        <f t="shared" si="1"/>
        <v>21</v>
      </c>
      <c r="B382" s="170"/>
      <c r="C382" s="167"/>
      <c r="D382" s="150"/>
      <c r="E382" s="331"/>
      <c r="F382" s="331"/>
      <c r="G382" s="331"/>
      <c r="H382" s="152"/>
      <c r="I382" s="153">
        <f>+SUMIF('NHẬP LIỆU'!$E:$E,NVL!$B382,'NHẬP LIỆU'!$K:$K)</f>
        <v>0</v>
      </c>
      <c r="J382" s="156">
        <f>+SUMIF('NHẬP LIỆU'!$E:$E,NVL!$B382,'NHẬP LIỆU'!$L:$L)</f>
        <v>0</v>
      </c>
      <c r="K382" s="154">
        <f>+NVL!$H382+NVL!$I382-NVL!$J382</f>
        <v>0</v>
      </c>
      <c r="L382" s="155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23.25" customHeight="1">
      <c r="A383" s="147">
        <f t="shared" si="1"/>
        <v>21</v>
      </c>
      <c r="B383" s="170"/>
      <c r="C383" s="167"/>
      <c r="D383" s="150"/>
      <c r="E383" s="331"/>
      <c r="F383" s="331"/>
      <c r="G383" s="331"/>
      <c r="H383" s="152"/>
      <c r="I383" s="153">
        <f>+SUMIF('NHẬP LIỆU'!$E:$E,NVL!$B383,'NHẬP LIỆU'!$K:$K)</f>
        <v>0</v>
      </c>
      <c r="J383" s="156">
        <f>+SUMIF('NHẬP LIỆU'!$E:$E,NVL!$B383,'NHẬP LIỆU'!$L:$L)</f>
        <v>0</v>
      </c>
      <c r="K383" s="154">
        <f>+NVL!$H383+NVL!$I383-NVL!$J383</f>
        <v>0</v>
      </c>
      <c r="L383" s="155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23.25" customHeight="1">
      <c r="A384" s="147">
        <f t="shared" si="1"/>
        <v>21</v>
      </c>
      <c r="B384" s="170"/>
      <c r="C384" s="167"/>
      <c r="D384" s="150"/>
      <c r="E384" s="331"/>
      <c r="F384" s="331"/>
      <c r="G384" s="331"/>
      <c r="H384" s="152"/>
      <c r="I384" s="153">
        <f>+SUMIF('NHẬP LIỆU'!$E:$E,NVL!$B384,'NHẬP LIỆU'!$K:$K)</f>
        <v>0</v>
      </c>
      <c r="J384" s="156">
        <f>+SUMIF('NHẬP LIỆU'!$E:$E,NVL!$B384,'NHẬP LIỆU'!$L:$L)</f>
        <v>0</v>
      </c>
      <c r="K384" s="154">
        <f>+NVL!$H384+NVL!$I384-NVL!$J384</f>
        <v>0</v>
      </c>
      <c r="L384" s="155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26.25" customHeight="1">
      <c r="A385" s="147">
        <f t="shared" si="1"/>
        <v>21</v>
      </c>
      <c r="B385" s="170"/>
      <c r="C385" s="167"/>
      <c r="D385" s="150"/>
      <c r="E385" s="331"/>
      <c r="F385" s="331"/>
      <c r="G385" s="331"/>
      <c r="H385" s="152"/>
      <c r="I385" s="153">
        <f>+SUMIF('NHẬP LIỆU'!$E:$E,NVL!$B385,'NHẬP LIỆU'!$K:$K)</f>
        <v>0</v>
      </c>
      <c r="J385" s="156">
        <f>+SUMIF('NHẬP LIỆU'!$E:$E,NVL!$B385,'NHẬP LIỆU'!$L:$L)</f>
        <v>0</v>
      </c>
      <c r="K385" s="154">
        <f>+NVL!$H385+NVL!$I385-NVL!$J385</f>
        <v>0</v>
      </c>
      <c r="L385" s="155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26.25" customHeight="1">
      <c r="A386" s="147">
        <f t="shared" si="1"/>
        <v>21</v>
      </c>
      <c r="B386" s="170"/>
      <c r="C386" s="149"/>
      <c r="D386" s="150"/>
      <c r="E386" s="333"/>
      <c r="F386" s="333"/>
      <c r="G386" s="333"/>
      <c r="H386" s="450"/>
      <c r="I386" s="153">
        <f>+SUMIF('NHẬP LIỆU'!$E:$E,NVL!$B386,'NHẬP LIỆU'!$K:$K)</f>
        <v>0</v>
      </c>
      <c r="J386" s="156">
        <f>+SUMIF('NHẬP LIỆU'!$E:$E,NVL!$B386,'NHẬP LIỆU'!$L:$L)</f>
        <v>0</v>
      </c>
      <c r="K386" s="154">
        <f>+NVL!$H386+NVL!$I386-NVL!$J386</f>
        <v>0</v>
      </c>
      <c r="L386" s="170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26.25" customHeight="1">
      <c r="A387" s="147">
        <f t="shared" si="1"/>
        <v>21</v>
      </c>
      <c r="B387" s="170"/>
      <c r="C387" s="149"/>
      <c r="D387" s="150"/>
      <c r="E387" s="333"/>
      <c r="F387" s="333"/>
      <c r="G387" s="333"/>
      <c r="H387" s="450"/>
      <c r="I387" s="153">
        <f>+SUMIF('NHẬP LIỆU'!$E:$E,NVL!$B387,'NHẬP LIỆU'!$K:$K)</f>
        <v>0</v>
      </c>
      <c r="J387" s="156">
        <f>+SUMIF('NHẬP LIỆU'!$E:$E,NVL!$B387,'NHẬP LIỆU'!$L:$L)</f>
        <v>0</v>
      </c>
      <c r="K387" s="154">
        <f>+NVL!$H387+NVL!$I387-NVL!$J387</f>
        <v>0</v>
      </c>
      <c r="L387" s="170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26.25" customHeight="1">
      <c r="A388" s="147">
        <f t="shared" si="1"/>
        <v>21</v>
      </c>
      <c r="B388" s="170"/>
      <c r="C388" s="149"/>
      <c r="D388" s="150"/>
      <c r="E388" s="333"/>
      <c r="F388" s="333"/>
      <c r="G388" s="333"/>
      <c r="H388" s="450"/>
      <c r="I388" s="153">
        <f>+SUMIF('NHẬP LIỆU'!$E:$E,NVL!$B388,'NHẬP LIỆU'!$K:$K)</f>
        <v>0</v>
      </c>
      <c r="J388" s="156">
        <f>+SUMIF('NHẬP LIỆU'!$E:$E,NVL!$B388,'NHẬP LIỆU'!$L:$L)</f>
        <v>0</v>
      </c>
      <c r="K388" s="154">
        <f>+NVL!$H388+NVL!$I388-NVL!$J388</f>
        <v>0</v>
      </c>
      <c r="L388" s="170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26.25" customHeight="1">
      <c r="A389" s="147">
        <f t="shared" si="1"/>
        <v>21</v>
      </c>
      <c r="B389" s="170"/>
      <c r="C389" s="149"/>
      <c r="D389" s="150"/>
      <c r="E389" s="333"/>
      <c r="F389" s="333"/>
      <c r="G389" s="333"/>
      <c r="H389" s="450"/>
      <c r="I389" s="153">
        <f>+SUMIF('NHẬP LIỆU'!$E:$E,NVL!$B389,'NHẬP LIỆU'!$K:$K)</f>
        <v>0</v>
      </c>
      <c r="J389" s="156">
        <f>+SUMIF('NHẬP LIỆU'!$E:$E,NVL!$B389,'NHẬP LIỆU'!$L:$L)</f>
        <v>0</v>
      </c>
      <c r="K389" s="154">
        <f>+NVL!$H389+NVL!$I389-NVL!$J389</f>
        <v>0</v>
      </c>
      <c r="L389" s="170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26.25" customHeight="1">
      <c r="A390" s="147">
        <f t="shared" si="1"/>
        <v>21</v>
      </c>
      <c r="B390" s="170"/>
      <c r="C390" s="149"/>
      <c r="D390" s="150"/>
      <c r="E390" s="333"/>
      <c r="F390" s="333"/>
      <c r="G390" s="333"/>
      <c r="H390" s="450"/>
      <c r="I390" s="153">
        <f>+SUMIF('NHẬP LIỆU'!$E:$E,NVL!$B390,'NHẬP LIỆU'!$K:$K)</f>
        <v>0</v>
      </c>
      <c r="J390" s="156">
        <f>+SUMIF('NHẬP LIỆU'!$E:$E,NVL!$B390,'NHẬP LIỆU'!$L:$L)</f>
        <v>0</v>
      </c>
      <c r="K390" s="154">
        <f>+NVL!$H390+NVL!$I390-NVL!$J390</f>
        <v>0</v>
      </c>
      <c r="L390" s="170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26.25" customHeight="1">
      <c r="A391" s="147">
        <f t="shared" si="1"/>
        <v>21</v>
      </c>
      <c r="B391" s="170"/>
      <c r="C391" s="149"/>
      <c r="D391" s="150"/>
      <c r="E391" s="333"/>
      <c r="F391" s="333"/>
      <c r="G391" s="333"/>
      <c r="H391" s="450"/>
      <c r="I391" s="153">
        <f>+SUMIF('NHẬP LIỆU'!$E:$E,NVL!$B391,'NHẬP LIỆU'!$K:$K)</f>
        <v>0</v>
      </c>
      <c r="J391" s="156">
        <f>+SUMIF('NHẬP LIỆU'!$E:$E,NVL!$B391,'NHẬP LIỆU'!$L:$L)</f>
        <v>0</v>
      </c>
      <c r="K391" s="154">
        <f>+NVL!$H391+NVL!$I391-NVL!$J391</f>
        <v>0</v>
      </c>
      <c r="L391" s="170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26.25" customHeight="1">
      <c r="A392" s="147">
        <f t="shared" si="1"/>
        <v>21</v>
      </c>
      <c r="B392" s="170"/>
      <c r="C392" s="149"/>
      <c r="D392" s="150"/>
      <c r="E392" s="333"/>
      <c r="F392" s="333"/>
      <c r="G392" s="333"/>
      <c r="H392" s="450"/>
      <c r="I392" s="153">
        <f>+SUMIF('NHẬP LIỆU'!$E:$E,NVL!$B392,'NHẬP LIỆU'!$K:$K)</f>
        <v>0</v>
      </c>
      <c r="J392" s="156">
        <f>+SUMIF('NHẬP LIỆU'!$E:$E,NVL!$B392,'NHẬP LIỆU'!$L:$L)</f>
        <v>0</v>
      </c>
      <c r="K392" s="154">
        <f>+NVL!$H392+NVL!$I392-NVL!$J392</f>
        <v>0</v>
      </c>
      <c r="L392" s="170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26.25" customHeight="1">
      <c r="A393" s="147">
        <f t="shared" si="1"/>
        <v>21</v>
      </c>
      <c r="B393" s="170"/>
      <c r="C393" s="167"/>
      <c r="D393" s="150"/>
      <c r="E393" s="331"/>
      <c r="F393" s="331"/>
      <c r="G393" s="331"/>
      <c r="H393" s="152"/>
      <c r="I393" s="153">
        <f>+SUMIF('NHẬP LIỆU'!$E:$E,NVL!$B393,'NHẬP LIỆU'!$K:$K)</f>
        <v>0</v>
      </c>
      <c r="J393" s="156">
        <f>+SUMIF('NHẬP LIỆU'!$E:$E,NVL!$B393,'NHẬP LIỆU'!$L:$L)</f>
        <v>0</v>
      </c>
      <c r="K393" s="154">
        <f>+NVL!$H393+NVL!$I393-NVL!$J393</f>
        <v>0</v>
      </c>
      <c r="L393" s="155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26.25" customHeight="1">
      <c r="A394" s="147">
        <f t="shared" si="1"/>
        <v>21</v>
      </c>
      <c r="B394" s="170"/>
      <c r="C394" s="167"/>
      <c r="D394" s="150"/>
      <c r="E394" s="331"/>
      <c r="F394" s="331"/>
      <c r="G394" s="331"/>
      <c r="H394" s="152"/>
      <c r="I394" s="153">
        <f>+SUMIF('NHẬP LIỆU'!$E:$E,NVL!$B394,'NHẬP LIỆU'!$K:$K)</f>
        <v>0</v>
      </c>
      <c r="J394" s="156">
        <f>+SUMIF('NHẬP LIỆU'!$E:$E,NVL!$B394,'NHẬP LIỆU'!$L:$L)</f>
        <v>0</v>
      </c>
      <c r="K394" s="154">
        <f>+NVL!$H394+NVL!$I394-NVL!$J394</f>
        <v>0</v>
      </c>
      <c r="L394" s="155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26.25" customHeight="1">
      <c r="A395" s="147">
        <f t="shared" si="1"/>
        <v>21</v>
      </c>
      <c r="B395" s="170"/>
      <c r="C395" s="167"/>
      <c r="D395" s="150"/>
      <c r="E395" s="331"/>
      <c r="F395" s="331"/>
      <c r="G395" s="331"/>
      <c r="H395" s="152"/>
      <c r="I395" s="153">
        <f>+SUMIF('NHẬP LIỆU'!$E:$E,NVL!$B395,'NHẬP LIỆU'!$K:$K)</f>
        <v>0</v>
      </c>
      <c r="J395" s="156">
        <f>+SUMIF('NHẬP LIỆU'!$E:$E,NVL!$B395,'NHẬP LIỆU'!$L:$L)</f>
        <v>0</v>
      </c>
      <c r="K395" s="154">
        <f>+NVL!$H395+NVL!$I395-NVL!$J395</f>
        <v>0</v>
      </c>
      <c r="L395" s="155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26.25" customHeight="1">
      <c r="A396" s="147">
        <f t="shared" si="1"/>
        <v>21</v>
      </c>
      <c r="B396" s="170"/>
      <c r="C396" s="167"/>
      <c r="D396" s="150"/>
      <c r="E396" s="331"/>
      <c r="F396" s="331"/>
      <c r="G396" s="331"/>
      <c r="H396" s="152"/>
      <c r="I396" s="153">
        <f>+SUMIF('NHẬP LIỆU'!$E:$E,NVL!$B396,'NHẬP LIỆU'!$K:$K)</f>
        <v>0</v>
      </c>
      <c r="J396" s="156">
        <f>+SUMIF('NHẬP LIỆU'!$E:$E,NVL!$B396,'NHẬP LIỆU'!$L:$L)</f>
        <v>0</v>
      </c>
      <c r="K396" s="154">
        <f>+NVL!$H396+NVL!$I396-NVL!$J396</f>
        <v>0</v>
      </c>
      <c r="L396" s="155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26.25" customHeight="1">
      <c r="A397" s="147">
        <f t="shared" si="1"/>
        <v>21</v>
      </c>
      <c r="B397" s="170"/>
      <c r="C397" s="167"/>
      <c r="D397" s="150"/>
      <c r="E397" s="331"/>
      <c r="F397" s="331"/>
      <c r="G397" s="331"/>
      <c r="H397" s="152"/>
      <c r="I397" s="153">
        <f>+SUMIF('NHẬP LIỆU'!$E:$E,NVL!$B397,'NHẬP LIỆU'!$K:$K)</f>
        <v>0</v>
      </c>
      <c r="J397" s="156">
        <f>+SUMIF('NHẬP LIỆU'!$E:$E,NVL!$B397,'NHẬP LIỆU'!$L:$L)</f>
        <v>0</v>
      </c>
      <c r="K397" s="154">
        <f>+NVL!$H397+NVL!$I397-NVL!$J397</f>
        <v>0</v>
      </c>
      <c r="L397" s="155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26.25" customHeight="1">
      <c r="A398" s="147">
        <f t="shared" si="1"/>
        <v>21</v>
      </c>
      <c r="B398" s="170"/>
      <c r="C398" s="167"/>
      <c r="D398" s="150"/>
      <c r="E398" s="331"/>
      <c r="F398" s="331"/>
      <c r="G398" s="331"/>
      <c r="H398" s="152"/>
      <c r="I398" s="153">
        <f>+SUMIF('NHẬP LIỆU'!$E:$E,NVL!$B398,'NHẬP LIỆU'!$K:$K)</f>
        <v>0</v>
      </c>
      <c r="J398" s="156">
        <f>+SUMIF('NHẬP LIỆU'!$E:$E,NVL!$B398,'NHẬP LIỆU'!$L:$L)</f>
        <v>0</v>
      </c>
      <c r="K398" s="154">
        <f>+NVL!$H398+NVL!$I398-NVL!$J398</f>
        <v>0</v>
      </c>
      <c r="L398" s="155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ht="23.25" customHeight="1">
      <c r="A399" s="147">
        <f t="shared" si="1"/>
        <v>21</v>
      </c>
      <c r="B399" s="170"/>
      <c r="C399" s="167"/>
      <c r="D399" s="150"/>
      <c r="E399" s="331"/>
      <c r="F399" s="331"/>
      <c r="G399" s="331"/>
      <c r="H399" s="152"/>
      <c r="I399" s="153">
        <f>+SUMIF('NHẬP LIỆU'!$E:$E,NVL!$B399,'NHẬP LIỆU'!$K:$K)</f>
        <v>0</v>
      </c>
      <c r="J399" s="156">
        <f>+SUMIF('NHẬP LIỆU'!$E:$E,NVL!$B399,'NHẬP LIỆU'!$L:$L)</f>
        <v>0</v>
      </c>
      <c r="K399" s="154">
        <f>+NVL!$H399+NVL!$I399-NVL!$J399</f>
        <v>0</v>
      </c>
      <c r="L399" s="155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ht="23.25" customHeight="1">
      <c r="A400" s="147">
        <f t="shared" si="1"/>
        <v>21</v>
      </c>
      <c r="B400" s="170"/>
      <c r="C400" s="167"/>
      <c r="D400" s="150"/>
      <c r="E400" s="331"/>
      <c r="F400" s="331"/>
      <c r="G400" s="331"/>
      <c r="H400" s="152"/>
      <c r="I400" s="153">
        <f>+SUMIF('NHẬP LIỆU'!$E:$E,NVL!$B400,'NHẬP LIỆU'!$K:$K)</f>
        <v>0</v>
      </c>
      <c r="J400" s="156">
        <f>+SUMIF('NHẬP LIỆU'!$E:$E,NVL!$B400,'NHẬP LIỆU'!$L:$L)</f>
        <v>0</v>
      </c>
      <c r="K400" s="154">
        <f>+NVL!$H400+NVL!$I400-NVL!$J400</f>
        <v>0</v>
      </c>
      <c r="L400" s="155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ht="23.25" customHeight="1">
      <c r="A401" s="147">
        <f t="shared" si="1"/>
        <v>21</v>
      </c>
      <c r="B401" s="170"/>
      <c r="C401" s="167"/>
      <c r="D401" s="150"/>
      <c r="E401" s="331"/>
      <c r="F401" s="331"/>
      <c r="G401" s="331"/>
      <c r="H401" s="152"/>
      <c r="I401" s="153">
        <f>+SUMIF('NHẬP LIỆU'!$E:$E,NVL!$B401,'NHẬP LIỆU'!$K:$K)</f>
        <v>0</v>
      </c>
      <c r="J401" s="156">
        <f>+SUMIF('NHẬP LIỆU'!$E:$E,NVL!$B401,'NHẬP LIỆU'!$L:$L)</f>
        <v>0</v>
      </c>
      <c r="K401" s="154">
        <f>+NVL!$H401+NVL!$I401-NVL!$J401</f>
        <v>0</v>
      </c>
      <c r="L401" s="155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ht="23.25" customHeight="1">
      <c r="A402" s="147">
        <f t="shared" si="1"/>
        <v>21</v>
      </c>
      <c r="B402" s="170"/>
      <c r="C402" s="167"/>
      <c r="D402" s="150"/>
      <c r="E402" s="331"/>
      <c r="F402" s="331"/>
      <c r="G402" s="331"/>
      <c r="H402" s="152"/>
      <c r="I402" s="153">
        <f>+SUMIF('NHẬP LIỆU'!$E:$E,NVL!$B402,'NHẬP LIỆU'!$K:$K)</f>
        <v>0</v>
      </c>
      <c r="J402" s="156">
        <f>+SUMIF('NHẬP LIỆU'!$E:$E,NVL!$B402,'NHẬP LIỆU'!$L:$L)</f>
        <v>0</v>
      </c>
      <c r="K402" s="154">
        <f>+NVL!$H402+NVL!$I402-NVL!$J402</f>
        <v>0</v>
      </c>
      <c r="L402" s="155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ht="23.25" customHeight="1">
      <c r="A403" s="147">
        <f t="shared" si="1"/>
        <v>21</v>
      </c>
      <c r="B403" s="170"/>
      <c r="C403" s="167"/>
      <c r="D403" s="150"/>
      <c r="E403" s="331"/>
      <c r="F403" s="331"/>
      <c r="G403" s="331"/>
      <c r="H403" s="152"/>
      <c r="I403" s="153">
        <f>+SUMIF('NHẬP LIỆU'!$E:$E,NVL!$B403,'NHẬP LIỆU'!$K:$K)</f>
        <v>0</v>
      </c>
      <c r="J403" s="156">
        <f>+SUMIF('NHẬP LIỆU'!$E:$E,NVL!$B403,'NHẬP LIỆU'!$L:$L)</f>
        <v>0</v>
      </c>
      <c r="K403" s="154">
        <f>+NVL!$H403+NVL!$I403-NVL!$J403</f>
        <v>0</v>
      </c>
      <c r="L403" s="155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ht="23.25" customHeight="1">
      <c r="A404" s="147">
        <f t="shared" si="1"/>
        <v>21</v>
      </c>
      <c r="B404" s="170"/>
      <c r="C404" s="167"/>
      <c r="D404" s="150"/>
      <c r="E404" s="331"/>
      <c r="F404" s="331"/>
      <c r="G404" s="331"/>
      <c r="H404" s="152"/>
      <c r="I404" s="153">
        <f>+SUMIF('NHẬP LIỆU'!$E:$E,NVL!$B404,'NHẬP LIỆU'!$K:$K)</f>
        <v>0</v>
      </c>
      <c r="J404" s="156">
        <f>+SUMIF('NHẬP LIỆU'!$E:$E,NVL!$B404,'NHẬP LIỆU'!$L:$L)</f>
        <v>0</v>
      </c>
      <c r="K404" s="154">
        <f>+NVL!$H404+NVL!$I404-NVL!$J404</f>
        <v>0</v>
      </c>
      <c r="L404" s="155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ht="23.25" customHeight="1">
      <c r="A405" s="147">
        <f t="shared" si="1"/>
        <v>21</v>
      </c>
      <c r="B405" s="170"/>
      <c r="C405" s="167"/>
      <c r="D405" s="150"/>
      <c r="E405" s="331"/>
      <c r="F405" s="331"/>
      <c r="G405" s="331"/>
      <c r="H405" s="152"/>
      <c r="I405" s="153">
        <f>+SUMIF('NHẬP LIỆU'!$E:$E,NVL!$B405,'NHẬP LIỆU'!$K:$K)</f>
        <v>0</v>
      </c>
      <c r="J405" s="156">
        <f>+SUMIF('NHẬP LIỆU'!$E:$E,NVL!$B405,'NHẬP LIỆU'!$L:$L)</f>
        <v>0</v>
      </c>
      <c r="K405" s="154">
        <f>+NVL!$H405+NVL!$I405-NVL!$J405</f>
        <v>0</v>
      </c>
      <c r="L405" s="155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ht="23.25" customHeight="1">
      <c r="A406" s="147">
        <f t="shared" si="1"/>
        <v>21</v>
      </c>
      <c r="B406" s="170"/>
      <c r="C406" s="167"/>
      <c r="D406" s="150"/>
      <c r="E406" s="331"/>
      <c r="F406" s="331"/>
      <c r="G406" s="331"/>
      <c r="H406" s="152"/>
      <c r="I406" s="153">
        <f>+SUMIF('NHẬP LIỆU'!$E:$E,NVL!$B406,'NHẬP LIỆU'!$K:$K)</f>
        <v>0</v>
      </c>
      <c r="J406" s="156">
        <f>+SUMIF('NHẬP LIỆU'!$E:$E,NVL!$B406,'NHẬP LIỆU'!$L:$L)</f>
        <v>0</v>
      </c>
      <c r="K406" s="154">
        <f>+NVL!$H406+NVL!$I406-NVL!$J406</f>
        <v>0</v>
      </c>
      <c r="L406" s="155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ht="23.25" customHeight="1">
      <c r="A407" s="147">
        <f t="shared" si="1"/>
        <v>21</v>
      </c>
      <c r="B407" s="170"/>
      <c r="C407" s="167"/>
      <c r="D407" s="150"/>
      <c r="E407" s="331"/>
      <c r="F407" s="331"/>
      <c r="G407" s="331"/>
      <c r="H407" s="152"/>
      <c r="I407" s="153">
        <f>+SUMIF('NHẬP LIỆU'!$E:$E,NVL!$B407,'NHẬP LIỆU'!$K:$K)</f>
        <v>0</v>
      </c>
      <c r="J407" s="156">
        <f>+SUMIF('NHẬP LIỆU'!$E:$E,NVL!$B407,'NHẬP LIỆU'!$L:$L)</f>
        <v>0</v>
      </c>
      <c r="K407" s="154">
        <f>+NVL!$H407+NVL!$I407-NVL!$J407</f>
        <v>0</v>
      </c>
      <c r="L407" s="155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ht="23.25" customHeight="1">
      <c r="A408" s="147">
        <f t="shared" si="1"/>
        <v>21</v>
      </c>
      <c r="B408" s="170"/>
      <c r="C408" s="167"/>
      <c r="D408" s="150"/>
      <c r="E408" s="331"/>
      <c r="F408" s="331"/>
      <c r="G408" s="331"/>
      <c r="H408" s="152"/>
      <c r="I408" s="153">
        <f>+SUMIF('NHẬP LIỆU'!$E:$E,NVL!$B408,'NHẬP LIỆU'!$K:$K)</f>
        <v>0</v>
      </c>
      <c r="J408" s="156">
        <f>+SUMIF('NHẬP LIỆU'!$E:$E,NVL!$B408,'NHẬP LIỆU'!$L:$L)</f>
        <v>0</v>
      </c>
      <c r="K408" s="154">
        <f>+NVL!$H408+NVL!$I408-NVL!$J408</f>
        <v>0</v>
      </c>
      <c r="L408" s="155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ht="23.25" customHeight="1">
      <c r="A409" s="147">
        <f t="shared" si="1"/>
        <v>21</v>
      </c>
      <c r="B409" s="170"/>
      <c r="C409" s="167"/>
      <c r="D409" s="150"/>
      <c r="E409" s="331"/>
      <c r="F409" s="331"/>
      <c r="G409" s="331"/>
      <c r="H409" s="152"/>
      <c r="I409" s="153">
        <f>+SUMIF('NHẬP LIỆU'!$E:$E,NVL!$B409,'NHẬP LIỆU'!$K:$K)</f>
        <v>0</v>
      </c>
      <c r="J409" s="156">
        <f>+SUMIF('NHẬP LIỆU'!$E:$E,NVL!$B409,'NHẬP LIỆU'!$L:$L)</f>
        <v>0</v>
      </c>
      <c r="K409" s="154">
        <f>+NVL!$H409+NVL!$I409-NVL!$J409</f>
        <v>0</v>
      </c>
      <c r="L409" s="155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ht="23.25" customHeight="1">
      <c r="A410" s="147">
        <f t="shared" si="1"/>
        <v>21</v>
      </c>
      <c r="B410" s="170"/>
      <c r="C410" s="167"/>
      <c r="D410" s="150"/>
      <c r="E410" s="331"/>
      <c r="F410" s="331"/>
      <c r="G410" s="331"/>
      <c r="H410" s="152"/>
      <c r="I410" s="153">
        <f>+SUMIF('NHẬP LIỆU'!$E:$E,NVL!$B410,'NHẬP LIỆU'!$K:$K)</f>
        <v>0</v>
      </c>
      <c r="J410" s="156">
        <f>+SUMIF('NHẬP LIỆU'!$E:$E,NVL!$B410,'NHẬP LIỆU'!$L:$L)</f>
        <v>0</v>
      </c>
      <c r="K410" s="154">
        <f>+NVL!$H410+NVL!$I410-NVL!$J410</f>
        <v>0</v>
      </c>
      <c r="L410" s="155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ht="23.25" customHeight="1">
      <c r="A411" s="147">
        <f t="shared" si="1"/>
        <v>21</v>
      </c>
      <c r="B411" s="170"/>
      <c r="C411" s="167"/>
      <c r="D411" s="150"/>
      <c r="E411" s="331"/>
      <c r="F411" s="331"/>
      <c r="G411" s="331"/>
      <c r="H411" s="152"/>
      <c r="I411" s="153">
        <f>+SUMIF('NHẬP LIỆU'!$E:$E,NVL!$B411,'NHẬP LIỆU'!$K:$K)</f>
        <v>0</v>
      </c>
      <c r="J411" s="156">
        <f>+SUMIF('NHẬP LIỆU'!$E:$E,NVL!$B411,'NHẬP LIỆU'!$L:$L)</f>
        <v>0</v>
      </c>
      <c r="K411" s="154">
        <f>+NVL!$H411+NVL!$I411-NVL!$J411</f>
        <v>0</v>
      </c>
      <c r="L411" s="155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ht="23.25" customHeight="1">
      <c r="A412" s="147">
        <f t="shared" si="1"/>
        <v>21</v>
      </c>
      <c r="B412" s="170"/>
      <c r="C412" s="167"/>
      <c r="D412" s="150"/>
      <c r="E412" s="331"/>
      <c r="F412" s="331"/>
      <c r="G412" s="331"/>
      <c r="H412" s="152"/>
      <c r="I412" s="153">
        <f>+SUMIF('NHẬP LIỆU'!$E:$E,NVL!$B412,'NHẬP LIỆU'!$K:$K)</f>
        <v>0</v>
      </c>
      <c r="J412" s="156">
        <f>+SUMIF('NHẬP LIỆU'!$E:$E,NVL!$B412,'NHẬP LIỆU'!$L:$L)</f>
        <v>0</v>
      </c>
      <c r="K412" s="154">
        <f>+NVL!$H412+NVL!$I412-NVL!$J412</f>
        <v>0</v>
      </c>
      <c r="L412" s="155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ht="23.25" customHeight="1">
      <c r="A413" s="147">
        <f t="shared" si="1"/>
        <v>21</v>
      </c>
      <c r="B413" s="170"/>
      <c r="C413" s="167"/>
      <c r="D413" s="150"/>
      <c r="E413" s="331"/>
      <c r="F413" s="331"/>
      <c r="G413" s="331"/>
      <c r="H413" s="152"/>
      <c r="I413" s="153">
        <f>+SUMIF('NHẬP LIỆU'!$E:$E,NVL!$B413,'NHẬP LIỆU'!$K:$K)</f>
        <v>0</v>
      </c>
      <c r="J413" s="156">
        <f>+SUMIF('NHẬP LIỆU'!$E:$E,NVL!$B413,'NHẬP LIỆU'!$L:$L)</f>
        <v>0</v>
      </c>
      <c r="K413" s="154">
        <f>+NVL!$H413+NVL!$I413-NVL!$J413</f>
        <v>0</v>
      </c>
      <c r="L413" s="155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ht="23.25" customHeight="1">
      <c r="A414" s="147">
        <f t="shared" si="1"/>
        <v>21</v>
      </c>
      <c r="B414" s="170"/>
      <c r="C414" s="167"/>
      <c r="D414" s="150"/>
      <c r="E414" s="331"/>
      <c r="F414" s="331"/>
      <c r="G414" s="331"/>
      <c r="H414" s="152"/>
      <c r="I414" s="153">
        <f>+SUMIF('NHẬP LIỆU'!$E:$E,NVL!$B414,'NHẬP LIỆU'!$K:$K)</f>
        <v>0</v>
      </c>
      <c r="J414" s="156">
        <f>+SUMIF('NHẬP LIỆU'!$E:$E,NVL!$B414,'NHẬP LIỆU'!$L:$L)</f>
        <v>0</v>
      </c>
      <c r="K414" s="154">
        <f>+NVL!$H414+NVL!$I414-NVL!$J414</f>
        <v>0</v>
      </c>
      <c r="L414" s="155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ht="23.25" customHeight="1">
      <c r="A415" s="147">
        <f t="shared" si="1"/>
        <v>21</v>
      </c>
      <c r="B415" s="170"/>
      <c r="C415" s="167"/>
      <c r="D415" s="150"/>
      <c r="E415" s="331"/>
      <c r="F415" s="331"/>
      <c r="G415" s="331"/>
      <c r="H415" s="152"/>
      <c r="I415" s="153">
        <f>+SUMIF('NHẬP LIỆU'!$E:$E,NVL!$B415,'NHẬP LIỆU'!$K:$K)</f>
        <v>0</v>
      </c>
      <c r="J415" s="156">
        <f>+SUMIF('NHẬP LIỆU'!$E:$E,NVL!$B415,'NHẬP LIỆU'!$L:$L)</f>
        <v>0</v>
      </c>
      <c r="K415" s="154">
        <f>+NVL!$H415+NVL!$I415-NVL!$J415</f>
        <v>0</v>
      </c>
      <c r="L415" s="155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ht="23.25" customHeight="1">
      <c r="A416" s="147">
        <f t="shared" si="1"/>
        <v>21</v>
      </c>
      <c r="B416" s="170"/>
      <c r="C416" s="167"/>
      <c r="D416" s="150"/>
      <c r="E416" s="331"/>
      <c r="F416" s="331"/>
      <c r="G416" s="331"/>
      <c r="H416" s="152"/>
      <c r="I416" s="153">
        <f>+SUMIF('NHẬP LIỆU'!$E:$E,NVL!$B416,'NHẬP LIỆU'!$K:$K)</f>
        <v>0</v>
      </c>
      <c r="J416" s="156">
        <f>+SUMIF('NHẬP LIỆU'!$E:$E,NVL!$B416,'NHẬP LIỆU'!$L:$L)</f>
        <v>0</v>
      </c>
      <c r="K416" s="154">
        <f>+NVL!$H416+NVL!$I416-NVL!$J416</f>
        <v>0</v>
      </c>
      <c r="L416" s="155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ht="23.25" customHeight="1">
      <c r="A417" s="147">
        <f t="shared" si="1"/>
        <v>21</v>
      </c>
      <c r="B417" s="170"/>
      <c r="C417" s="167"/>
      <c r="D417" s="150"/>
      <c r="E417" s="331"/>
      <c r="F417" s="331"/>
      <c r="G417" s="331"/>
      <c r="H417" s="152"/>
      <c r="I417" s="153">
        <f>+SUMIF('NHẬP LIỆU'!$E:$E,NVL!$B417,'NHẬP LIỆU'!$K:$K)</f>
        <v>0</v>
      </c>
      <c r="J417" s="156">
        <f>+SUMIF('NHẬP LIỆU'!$E:$E,NVL!$B417,'NHẬP LIỆU'!$L:$L)</f>
        <v>0</v>
      </c>
      <c r="K417" s="154">
        <f>+NVL!$H417+NVL!$I417-NVL!$J417</f>
        <v>0</v>
      </c>
      <c r="L417" s="172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ht="23.25" customHeight="1">
      <c r="A418" s="147">
        <f t="shared" si="1"/>
        <v>21</v>
      </c>
      <c r="B418" s="170"/>
      <c r="C418" s="167"/>
      <c r="D418" s="150"/>
      <c r="E418" s="331"/>
      <c r="F418" s="331"/>
      <c r="G418" s="331"/>
      <c r="H418" s="152"/>
      <c r="I418" s="153">
        <f>+SUMIF('NHẬP LIỆU'!$E:$E,NVL!$B418,'NHẬP LIỆU'!$K:$K)</f>
        <v>0</v>
      </c>
      <c r="J418" s="156">
        <f>+SUMIF('NHẬP LIỆU'!$E:$E,NVL!$B418,'NHẬP LIỆU'!$L:$L)</f>
        <v>0</v>
      </c>
      <c r="K418" s="154">
        <f>+NVL!$H418+NVL!$I418-NVL!$J418</f>
        <v>0</v>
      </c>
      <c r="L418" s="155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ht="23.25" customHeight="1">
      <c r="A419" s="147">
        <f t="shared" si="1"/>
        <v>21</v>
      </c>
      <c r="B419" s="170"/>
      <c r="C419" s="167"/>
      <c r="D419" s="150"/>
      <c r="E419" s="331"/>
      <c r="F419" s="331"/>
      <c r="G419" s="331"/>
      <c r="H419" s="152"/>
      <c r="I419" s="153">
        <f>+SUMIF('NHẬP LIỆU'!$E:$E,NVL!$B419,'NHẬP LIỆU'!$K:$K)</f>
        <v>0</v>
      </c>
      <c r="J419" s="156">
        <f>+SUMIF('NHẬP LIỆU'!$E:$E,NVL!$B419,'NHẬP LIỆU'!$L:$L)</f>
        <v>0</v>
      </c>
      <c r="K419" s="154">
        <f>+NVL!$H419+NVL!$I419-NVL!$J419</f>
        <v>0</v>
      </c>
      <c r="L419" s="155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ht="23.25" customHeight="1">
      <c r="A420" s="147">
        <f t="shared" si="1"/>
        <v>21</v>
      </c>
      <c r="B420" s="170"/>
      <c r="C420" s="167"/>
      <c r="D420" s="150"/>
      <c r="E420" s="331"/>
      <c r="F420" s="331"/>
      <c r="G420" s="331"/>
      <c r="H420" s="152"/>
      <c r="I420" s="153">
        <f>+SUMIF('NHẬP LIỆU'!$E:$E,NVL!$B420,'NHẬP LIỆU'!$K:$K)</f>
        <v>0</v>
      </c>
      <c r="J420" s="156">
        <f>+SUMIF('NHẬP LIỆU'!$E:$E,NVL!$B420,'NHẬP LIỆU'!$L:$L)</f>
        <v>0</v>
      </c>
      <c r="K420" s="154">
        <f>+NVL!$H420+NVL!$I420-NVL!$J420</f>
        <v>0</v>
      </c>
      <c r="L420" s="155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ht="23.25" customHeight="1">
      <c r="A421" s="147">
        <f t="shared" si="1"/>
        <v>21</v>
      </c>
      <c r="B421" s="170"/>
      <c r="C421" s="167"/>
      <c r="D421" s="150"/>
      <c r="E421" s="331"/>
      <c r="F421" s="331"/>
      <c r="G421" s="331"/>
      <c r="H421" s="152"/>
      <c r="I421" s="153">
        <f>+SUMIF('NHẬP LIỆU'!$E:$E,NVL!$B421,'NHẬP LIỆU'!$K:$K)</f>
        <v>0</v>
      </c>
      <c r="J421" s="156">
        <f>+SUMIF('NHẬP LIỆU'!$E:$E,NVL!$B421,'NHẬP LIỆU'!$L:$L)</f>
        <v>0</v>
      </c>
      <c r="K421" s="154">
        <f>+NVL!$H421+NVL!$I421-NVL!$J421</f>
        <v>0</v>
      </c>
      <c r="L421" s="155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ht="23.25" customHeight="1">
      <c r="A422" s="147">
        <f t="shared" si="1"/>
        <v>21</v>
      </c>
      <c r="B422" s="170"/>
      <c r="C422" s="167"/>
      <c r="D422" s="150"/>
      <c r="E422" s="331"/>
      <c r="F422" s="331"/>
      <c r="G422" s="331"/>
      <c r="H422" s="152"/>
      <c r="I422" s="153">
        <f>+SUMIF('NHẬP LIỆU'!$E:$E,NVL!$B422,'NHẬP LIỆU'!$K:$K)</f>
        <v>0</v>
      </c>
      <c r="J422" s="156">
        <f>+SUMIF('NHẬP LIỆU'!$E:$E,NVL!$B422,'NHẬP LIỆU'!$L:$L)</f>
        <v>0</v>
      </c>
      <c r="K422" s="154">
        <f>+NVL!$H422+NVL!$I422-NVL!$J422</f>
        <v>0</v>
      </c>
      <c r="L422" s="155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ht="23.25" customHeight="1">
      <c r="A423" s="147">
        <f t="shared" si="1"/>
        <v>21</v>
      </c>
      <c r="B423" s="170"/>
      <c r="C423" s="167"/>
      <c r="D423" s="150"/>
      <c r="E423" s="331"/>
      <c r="F423" s="331"/>
      <c r="G423" s="331"/>
      <c r="H423" s="152"/>
      <c r="I423" s="153">
        <f>+SUMIF('NHẬP LIỆU'!$E:$E,NVL!$B423,'NHẬP LIỆU'!$K:$K)</f>
        <v>0</v>
      </c>
      <c r="J423" s="156">
        <f>+SUMIF('NHẬP LIỆU'!$E:$E,NVL!$B423,'NHẬP LIỆU'!$L:$L)</f>
        <v>0</v>
      </c>
      <c r="K423" s="154">
        <f>+NVL!$H423+NVL!$I423-NVL!$J423</f>
        <v>0</v>
      </c>
      <c r="L423" s="155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ht="23.25" customHeight="1">
      <c r="A424" s="147">
        <f t="shared" si="1"/>
        <v>21</v>
      </c>
      <c r="B424" s="170"/>
      <c r="C424" s="167"/>
      <c r="D424" s="150"/>
      <c r="E424" s="331"/>
      <c r="F424" s="331"/>
      <c r="G424" s="331"/>
      <c r="H424" s="152"/>
      <c r="I424" s="153">
        <f>+SUMIF('NHẬP LIỆU'!$E:$E,NVL!$B424,'NHẬP LIỆU'!$K:$K)</f>
        <v>0</v>
      </c>
      <c r="J424" s="156">
        <f>+SUMIF('NHẬP LIỆU'!$E:$E,NVL!$B424,'NHẬP LIỆU'!$L:$L)</f>
        <v>0</v>
      </c>
      <c r="K424" s="154">
        <f>+NVL!$H424+NVL!$I424-NVL!$J424</f>
        <v>0</v>
      </c>
      <c r="L424" s="155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23.25" customHeight="1">
      <c r="A425" s="147">
        <f t="shared" si="1"/>
        <v>21</v>
      </c>
      <c r="B425" s="170"/>
      <c r="C425" s="167"/>
      <c r="D425" s="150"/>
      <c r="E425" s="331"/>
      <c r="F425" s="331"/>
      <c r="G425" s="331"/>
      <c r="H425" s="152"/>
      <c r="I425" s="153">
        <f>+SUMIF('NHẬP LIỆU'!$E:$E,NVL!$B425,'NHẬP LIỆU'!$K:$K)</f>
        <v>0</v>
      </c>
      <c r="J425" s="156">
        <f>+SUMIF('NHẬP LIỆU'!$E:$E,NVL!$B425,'NHẬP LIỆU'!$L:$L)</f>
        <v>0</v>
      </c>
      <c r="K425" s="154">
        <f>+NVL!$H425+NVL!$I425-NVL!$J425</f>
        <v>0</v>
      </c>
      <c r="L425" s="155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23.25" customHeight="1">
      <c r="A426" s="147">
        <f t="shared" si="1"/>
        <v>21</v>
      </c>
      <c r="B426" s="170"/>
      <c r="C426" s="167"/>
      <c r="D426" s="150"/>
      <c r="E426" s="331"/>
      <c r="F426" s="331"/>
      <c r="G426" s="331"/>
      <c r="H426" s="152"/>
      <c r="I426" s="153">
        <f>+SUMIF('NHẬP LIỆU'!$E:$E,NVL!$B426,'NHẬP LIỆU'!$K:$K)</f>
        <v>0</v>
      </c>
      <c r="J426" s="156">
        <f>+SUMIF('NHẬP LIỆU'!$E:$E,NVL!$B426,'NHẬP LIỆU'!$L:$L)</f>
        <v>0</v>
      </c>
      <c r="K426" s="154">
        <f>+NVL!$H426+NVL!$I426-NVL!$J426</f>
        <v>0</v>
      </c>
      <c r="L426" s="155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23.25" customHeight="1">
      <c r="A427" s="147">
        <f t="shared" si="1"/>
        <v>21</v>
      </c>
      <c r="B427" s="170"/>
      <c r="C427" s="167"/>
      <c r="D427" s="150"/>
      <c r="E427" s="331"/>
      <c r="F427" s="331"/>
      <c r="G427" s="331"/>
      <c r="H427" s="152"/>
      <c r="I427" s="153">
        <f>+SUMIF('NHẬP LIỆU'!$E:$E,NVL!$B427,'NHẬP LIỆU'!$K:$K)</f>
        <v>0</v>
      </c>
      <c r="J427" s="156">
        <f>+SUMIF('NHẬP LIỆU'!$E:$E,NVL!$B427,'NHẬP LIỆU'!$L:$L)</f>
        <v>0</v>
      </c>
      <c r="K427" s="154">
        <f>+NVL!$H427+NVL!$I427-NVL!$J427</f>
        <v>0</v>
      </c>
      <c r="L427" s="155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23.25" customHeight="1">
      <c r="A428" s="147">
        <f t="shared" si="1"/>
        <v>21</v>
      </c>
      <c r="B428" s="170"/>
      <c r="C428" s="167"/>
      <c r="D428" s="150"/>
      <c r="E428" s="331"/>
      <c r="F428" s="331"/>
      <c r="G428" s="331"/>
      <c r="H428" s="152"/>
      <c r="I428" s="153">
        <f>+SUMIF('NHẬP LIỆU'!$E:$E,NVL!$B428,'NHẬP LIỆU'!$K:$K)</f>
        <v>0</v>
      </c>
      <c r="J428" s="156">
        <f>+SUMIF('NHẬP LIỆU'!$E:$E,NVL!$B428,'NHẬP LIỆU'!$L:$L)</f>
        <v>0</v>
      </c>
      <c r="K428" s="154">
        <f>+NVL!$H428+NVL!$I428-NVL!$J428</f>
        <v>0</v>
      </c>
      <c r="L428" s="155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23.25" customHeight="1">
      <c r="A429" s="147">
        <f t="shared" si="1"/>
        <v>21</v>
      </c>
      <c r="B429" s="170"/>
      <c r="C429" s="167"/>
      <c r="D429" s="150"/>
      <c r="E429" s="331"/>
      <c r="F429" s="331"/>
      <c r="G429" s="331"/>
      <c r="H429" s="152"/>
      <c r="I429" s="153">
        <f>+SUMIF('NHẬP LIỆU'!$E:$E,NVL!$B429,'NHẬP LIỆU'!$K:$K)</f>
        <v>0</v>
      </c>
      <c r="J429" s="156">
        <f>+SUMIF('NHẬP LIỆU'!$E:$E,NVL!$B429,'NHẬP LIỆU'!$L:$L)</f>
        <v>0</v>
      </c>
      <c r="K429" s="154">
        <f>+NVL!$H429+NVL!$I429-NVL!$J429</f>
        <v>0</v>
      </c>
      <c r="L429" s="155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23.25" customHeight="1">
      <c r="A430" s="147">
        <f t="shared" si="1"/>
        <v>21</v>
      </c>
      <c r="B430" s="170"/>
      <c r="C430" s="167"/>
      <c r="D430" s="150"/>
      <c r="E430" s="331"/>
      <c r="F430" s="331"/>
      <c r="G430" s="331"/>
      <c r="H430" s="152"/>
      <c r="I430" s="153">
        <f>+SUMIF('NHẬP LIỆU'!$E:$E,NVL!$B430,'NHẬP LIỆU'!$K:$K)</f>
        <v>0</v>
      </c>
      <c r="J430" s="156">
        <f>+SUMIF('NHẬP LIỆU'!$E:$E,NVL!$B430,'NHẬP LIỆU'!$L:$L)</f>
        <v>0</v>
      </c>
      <c r="K430" s="154">
        <f>+NVL!$H430+NVL!$I430-NVL!$J430</f>
        <v>0</v>
      </c>
      <c r="L430" s="155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23.25" customHeight="1">
      <c r="A431" s="147">
        <f t="shared" si="1"/>
        <v>21</v>
      </c>
      <c r="B431" s="170"/>
      <c r="C431" s="167"/>
      <c r="D431" s="150"/>
      <c r="E431" s="331"/>
      <c r="F431" s="331"/>
      <c r="G431" s="331"/>
      <c r="H431" s="152"/>
      <c r="I431" s="153">
        <f>+SUMIF('NHẬP LIỆU'!$E:$E,NVL!$B431,'NHẬP LIỆU'!$K:$K)</f>
        <v>0</v>
      </c>
      <c r="J431" s="156">
        <f>+SUMIF('NHẬP LIỆU'!$E:$E,NVL!$B431,'NHẬP LIỆU'!$L:$L)</f>
        <v>0</v>
      </c>
      <c r="K431" s="154">
        <f>+NVL!$H431+NVL!$I431-NVL!$J431</f>
        <v>0</v>
      </c>
      <c r="L431" s="155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23.25" customHeight="1">
      <c r="A432" s="147">
        <f t="shared" si="1"/>
        <v>21</v>
      </c>
      <c r="B432" s="170"/>
      <c r="C432" s="167"/>
      <c r="D432" s="150"/>
      <c r="E432" s="331"/>
      <c r="F432" s="331"/>
      <c r="G432" s="331"/>
      <c r="H432" s="152"/>
      <c r="I432" s="153">
        <f>+SUMIF('NHẬP LIỆU'!$E:$E,NVL!$B432,'NHẬP LIỆU'!$K:$K)</f>
        <v>0</v>
      </c>
      <c r="J432" s="156">
        <f>+SUMIF('NHẬP LIỆU'!$E:$E,NVL!$B432,'NHẬP LIỆU'!$L:$L)</f>
        <v>0</v>
      </c>
      <c r="K432" s="154">
        <f>+NVL!$H432+NVL!$I432-NVL!$J432</f>
        <v>0</v>
      </c>
      <c r="L432" s="155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23.25" customHeight="1">
      <c r="A433" s="147">
        <f t="shared" si="1"/>
        <v>21</v>
      </c>
      <c r="B433" s="170"/>
      <c r="C433" s="167"/>
      <c r="D433" s="150"/>
      <c r="E433" s="331"/>
      <c r="F433" s="331"/>
      <c r="G433" s="331"/>
      <c r="H433" s="152"/>
      <c r="I433" s="153">
        <f>+SUMIF('NHẬP LIỆU'!$E:$E,NVL!$B433,'NHẬP LIỆU'!$K:$K)</f>
        <v>0</v>
      </c>
      <c r="J433" s="156">
        <f>+SUMIF('NHẬP LIỆU'!$E:$E,NVL!$B433,'NHẬP LIỆU'!$L:$L)</f>
        <v>0</v>
      </c>
      <c r="K433" s="154">
        <f>+NVL!$H433+NVL!$I433-NVL!$J433</f>
        <v>0</v>
      </c>
      <c r="L433" s="155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23.25" customHeight="1">
      <c r="A434" s="147">
        <f t="shared" si="1"/>
        <v>21</v>
      </c>
      <c r="B434" s="170"/>
      <c r="C434" s="167"/>
      <c r="D434" s="150"/>
      <c r="E434" s="331"/>
      <c r="F434" s="331"/>
      <c r="G434" s="331"/>
      <c r="H434" s="152"/>
      <c r="I434" s="153">
        <f>+SUMIF('NHẬP LIỆU'!$E:$E,NVL!$B434,'NHẬP LIỆU'!$K:$K)</f>
        <v>0</v>
      </c>
      <c r="J434" s="156">
        <f>+SUMIF('NHẬP LIỆU'!$E:$E,NVL!$B434,'NHẬP LIỆU'!$L:$L)</f>
        <v>0</v>
      </c>
      <c r="K434" s="154">
        <f>+NVL!$H434+NVL!$I434-NVL!$J434</f>
        <v>0</v>
      </c>
      <c r="L434" s="155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23.25" customHeight="1">
      <c r="A435" s="147">
        <f t="shared" si="1"/>
        <v>21</v>
      </c>
      <c r="B435" s="170"/>
      <c r="C435" s="167"/>
      <c r="D435" s="150"/>
      <c r="E435" s="331"/>
      <c r="F435" s="331"/>
      <c r="G435" s="331"/>
      <c r="H435" s="152"/>
      <c r="I435" s="153">
        <f>+SUMIF('NHẬP LIỆU'!$E:$E,NVL!$B435,'NHẬP LIỆU'!$K:$K)</f>
        <v>0</v>
      </c>
      <c r="J435" s="156">
        <f>+SUMIF('NHẬP LIỆU'!$E:$E,NVL!$B435,'NHẬP LIỆU'!$L:$L)</f>
        <v>0</v>
      </c>
      <c r="K435" s="154">
        <f>+NVL!$H435+NVL!$I435-NVL!$J435</f>
        <v>0</v>
      </c>
      <c r="L435" s="155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23.25" customHeight="1">
      <c r="A436" s="147">
        <f t="shared" si="1"/>
        <v>21</v>
      </c>
      <c r="B436" s="170"/>
      <c r="C436" s="167"/>
      <c r="D436" s="150"/>
      <c r="E436" s="331"/>
      <c r="F436" s="331"/>
      <c r="G436" s="331"/>
      <c r="H436" s="152"/>
      <c r="I436" s="153">
        <f>+SUMIF('NHẬP LIỆU'!$E:$E,NVL!$B436,'NHẬP LIỆU'!$K:$K)</f>
        <v>0</v>
      </c>
      <c r="J436" s="156">
        <f>+SUMIF('NHẬP LIỆU'!$E:$E,NVL!$B436,'NHẬP LIỆU'!$L:$L)</f>
        <v>0</v>
      </c>
      <c r="K436" s="154">
        <f>+NVL!$H436+NVL!$I436-NVL!$J436</f>
        <v>0</v>
      </c>
      <c r="L436" s="155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23.25" customHeight="1">
      <c r="A437" s="147">
        <f t="shared" si="1"/>
        <v>21</v>
      </c>
      <c r="B437" s="170"/>
      <c r="C437" s="167"/>
      <c r="D437" s="150"/>
      <c r="E437" s="331"/>
      <c r="F437" s="331"/>
      <c r="G437" s="331"/>
      <c r="H437" s="152"/>
      <c r="I437" s="153">
        <f>+SUMIF('NHẬP LIỆU'!$E:$E,NVL!$B437,'NHẬP LIỆU'!$K:$K)</f>
        <v>0</v>
      </c>
      <c r="J437" s="156">
        <f>+SUMIF('NHẬP LIỆU'!$E:$E,NVL!$B437,'NHẬP LIỆU'!$L:$L)</f>
        <v>0</v>
      </c>
      <c r="K437" s="154">
        <f>+NVL!$H437+NVL!$I437-NVL!$J437</f>
        <v>0</v>
      </c>
      <c r="L437" s="155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23.25" customHeight="1">
      <c r="A438" s="147">
        <f t="shared" si="1"/>
        <v>21</v>
      </c>
      <c r="B438" s="170"/>
      <c r="C438" s="167"/>
      <c r="D438" s="150"/>
      <c r="E438" s="331"/>
      <c r="F438" s="331"/>
      <c r="G438" s="331"/>
      <c r="H438" s="152"/>
      <c r="I438" s="153">
        <f>+SUMIF('NHẬP LIỆU'!$E:$E,NVL!$B438,'NHẬP LIỆU'!$K:$K)</f>
        <v>0</v>
      </c>
      <c r="J438" s="156">
        <f>+SUMIF('NHẬP LIỆU'!$E:$E,NVL!$B438,'NHẬP LIỆU'!$L:$L)</f>
        <v>0</v>
      </c>
      <c r="K438" s="154">
        <f>+NVL!$H438+NVL!$I438-NVL!$J438</f>
        <v>0</v>
      </c>
      <c r="L438" s="155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23.25" customHeight="1">
      <c r="A439" s="147">
        <f t="shared" si="1"/>
        <v>21</v>
      </c>
      <c r="B439" s="170"/>
      <c r="C439" s="167"/>
      <c r="D439" s="150"/>
      <c r="E439" s="331"/>
      <c r="F439" s="331"/>
      <c r="G439" s="331"/>
      <c r="H439" s="152"/>
      <c r="I439" s="153">
        <f>+SUMIF('NHẬP LIỆU'!$E:$E,NVL!$B439,'NHẬP LIỆU'!$K:$K)</f>
        <v>0</v>
      </c>
      <c r="J439" s="156">
        <f>+SUMIF('NHẬP LIỆU'!$E:$E,NVL!$B439,'NHẬP LIỆU'!$L:$L)</f>
        <v>0</v>
      </c>
      <c r="K439" s="154">
        <f>+NVL!$H439+NVL!$I439-NVL!$J439</f>
        <v>0</v>
      </c>
      <c r="L439" s="155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23.25" customHeight="1">
      <c r="A440" s="147">
        <f t="shared" si="1"/>
        <v>21</v>
      </c>
      <c r="B440" s="170"/>
      <c r="C440" s="167"/>
      <c r="D440" s="150"/>
      <c r="E440" s="331"/>
      <c r="F440" s="331"/>
      <c r="G440" s="331"/>
      <c r="H440" s="152"/>
      <c r="I440" s="153">
        <f>+SUMIF('NHẬP LIỆU'!$E:$E,NVL!$B440,'NHẬP LIỆU'!$K:$K)</f>
        <v>0</v>
      </c>
      <c r="J440" s="156">
        <f>+SUMIF('NHẬP LIỆU'!$E:$E,NVL!$B440,'NHẬP LIỆU'!$L:$L)</f>
        <v>0</v>
      </c>
      <c r="K440" s="154">
        <f>+NVL!$H440+NVL!$I440-NVL!$J440</f>
        <v>0</v>
      </c>
      <c r="L440" s="155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23.25" customHeight="1">
      <c r="A441" s="147">
        <f t="shared" si="1"/>
        <v>21</v>
      </c>
      <c r="B441" s="170"/>
      <c r="C441" s="167"/>
      <c r="D441" s="150"/>
      <c r="E441" s="331"/>
      <c r="F441" s="331"/>
      <c r="G441" s="331"/>
      <c r="H441" s="152"/>
      <c r="I441" s="153">
        <f>+SUMIF('NHẬP LIỆU'!$E:$E,NVL!$B441,'NHẬP LIỆU'!$K:$K)</f>
        <v>0</v>
      </c>
      <c r="J441" s="156">
        <f>+SUMIF('NHẬP LIỆU'!$E:$E,NVL!$B441,'NHẬP LIỆU'!$L:$L)</f>
        <v>0</v>
      </c>
      <c r="K441" s="154">
        <f>+NVL!$H441+NVL!$I441-NVL!$J441</f>
        <v>0</v>
      </c>
      <c r="L441" s="155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23.25" customHeight="1">
      <c r="A442" s="147">
        <f t="shared" si="1"/>
        <v>21</v>
      </c>
      <c r="B442" s="170"/>
      <c r="C442" s="167"/>
      <c r="D442" s="150"/>
      <c r="E442" s="331"/>
      <c r="F442" s="331"/>
      <c r="G442" s="331"/>
      <c r="H442" s="152"/>
      <c r="I442" s="153">
        <f>+SUMIF('NHẬP LIỆU'!$E:$E,NVL!$B442,'NHẬP LIỆU'!$K:$K)</f>
        <v>0</v>
      </c>
      <c r="J442" s="156">
        <f>+SUMIF('NHẬP LIỆU'!$E:$E,NVL!$B442,'NHẬP LIỆU'!$L:$L)</f>
        <v>0</v>
      </c>
      <c r="K442" s="154">
        <f>+NVL!$H442+NVL!$I442-NVL!$J442</f>
        <v>0</v>
      </c>
      <c r="L442" s="155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23.25" customHeight="1">
      <c r="A443" s="147">
        <f t="shared" si="1"/>
        <v>21</v>
      </c>
      <c r="B443" s="170"/>
      <c r="C443" s="167"/>
      <c r="D443" s="150"/>
      <c r="E443" s="331"/>
      <c r="F443" s="331"/>
      <c r="G443" s="331"/>
      <c r="H443" s="152"/>
      <c r="I443" s="153">
        <f>+SUMIF('NHẬP LIỆU'!$E:$E,NVL!$B443,'NHẬP LIỆU'!$K:$K)</f>
        <v>0</v>
      </c>
      <c r="J443" s="156">
        <f>+SUMIF('NHẬP LIỆU'!$E:$E,NVL!$B443,'NHẬP LIỆU'!$L:$L)</f>
        <v>0</v>
      </c>
      <c r="K443" s="154">
        <f>+NVL!$H443+NVL!$I443-NVL!$J443</f>
        <v>0</v>
      </c>
      <c r="L443" s="155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23.25" customHeight="1">
      <c r="A444" s="147">
        <f t="shared" si="1"/>
        <v>21</v>
      </c>
      <c r="B444" s="170"/>
      <c r="C444" s="167"/>
      <c r="D444" s="150"/>
      <c r="E444" s="331"/>
      <c r="F444" s="331"/>
      <c r="G444" s="331"/>
      <c r="H444" s="152"/>
      <c r="I444" s="153">
        <f>+SUMIF('NHẬP LIỆU'!$E:$E,NVL!$B444,'NHẬP LIỆU'!$K:$K)</f>
        <v>0</v>
      </c>
      <c r="J444" s="156">
        <f>+SUMIF('NHẬP LIỆU'!$E:$E,NVL!$B444,'NHẬP LIỆU'!$L:$L)</f>
        <v>0</v>
      </c>
      <c r="K444" s="154">
        <f>+NVL!$H444+NVL!$I444-NVL!$J444</f>
        <v>0</v>
      </c>
      <c r="L444" s="155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23.25" customHeight="1">
      <c r="A445" s="147">
        <f t="shared" si="1"/>
        <v>21</v>
      </c>
      <c r="B445" s="170"/>
      <c r="C445" s="167"/>
      <c r="D445" s="150"/>
      <c r="E445" s="331"/>
      <c r="F445" s="331"/>
      <c r="G445" s="331"/>
      <c r="H445" s="152"/>
      <c r="I445" s="153">
        <f>+SUMIF('NHẬP LIỆU'!$E:$E,NVL!$B445,'NHẬP LIỆU'!$K:$K)</f>
        <v>0</v>
      </c>
      <c r="J445" s="156">
        <f>+SUMIF('NHẬP LIỆU'!$E:$E,NVL!$B445,'NHẬP LIỆU'!$L:$L)</f>
        <v>0</v>
      </c>
      <c r="K445" s="154">
        <f>+NVL!$H445+NVL!$I445-NVL!$J445</f>
        <v>0</v>
      </c>
      <c r="L445" s="155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23.25" customHeight="1">
      <c r="A446" s="147">
        <f t="shared" si="1"/>
        <v>21</v>
      </c>
      <c r="B446" s="170"/>
      <c r="C446" s="167"/>
      <c r="D446" s="150"/>
      <c r="E446" s="331"/>
      <c r="F446" s="331"/>
      <c r="G446" s="331"/>
      <c r="H446" s="152"/>
      <c r="I446" s="153">
        <f>+SUMIF('NHẬP LIỆU'!$E:$E,NVL!$B446,'NHẬP LIỆU'!$K:$K)</f>
        <v>0</v>
      </c>
      <c r="J446" s="156">
        <f>+SUMIF('NHẬP LIỆU'!$E:$E,NVL!$B446,'NHẬP LIỆU'!$L:$L)</f>
        <v>0</v>
      </c>
      <c r="K446" s="154">
        <f>+NVL!$H446+NVL!$I446-NVL!$J446</f>
        <v>0</v>
      </c>
      <c r="L446" s="155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23.25" customHeight="1">
      <c r="A447" s="147">
        <f t="shared" si="1"/>
        <v>21</v>
      </c>
      <c r="B447" s="170"/>
      <c r="C447" s="167"/>
      <c r="D447" s="150"/>
      <c r="E447" s="331"/>
      <c r="F447" s="331"/>
      <c r="G447" s="331"/>
      <c r="H447" s="152"/>
      <c r="I447" s="153">
        <f>+SUMIF('NHẬP LIỆU'!$E:$E,NVL!$B447,'NHẬP LIỆU'!$K:$K)</f>
        <v>0</v>
      </c>
      <c r="J447" s="156">
        <f>+SUMIF('NHẬP LIỆU'!$E:$E,NVL!$B447,'NHẬP LIỆU'!$L:$L)</f>
        <v>0</v>
      </c>
      <c r="K447" s="154">
        <f>+NVL!$H447+NVL!$I447-NVL!$J447</f>
        <v>0</v>
      </c>
      <c r="L447" s="155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23.25" customHeight="1">
      <c r="A448" s="147">
        <f t="shared" si="1"/>
        <v>21</v>
      </c>
      <c r="B448" s="170"/>
      <c r="C448" s="167"/>
      <c r="D448" s="150"/>
      <c r="E448" s="331"/>
      <c r="F448" s="331"/>
      <c r="G448" s="331"/>
      <c r="H448" s="152"/>
      <c r="I448" s="153">
        <f>+SUMIF('NHẬP LIỆU'!$E:$E,NVL!$B448,'NHẬP LIỆU'!$K:$K)</f>
        <v>0</v>
      </c>
      <c r="J448" s="156">
        <f>+SUMIF('NHẬP LIỆU'!$E:$E,NVL!$B448,'NHẬP LIỆU'!$L:$L)</f>
        <v>0</v>
      </c>
      <c r="K448" s="154">
        <f>+NVL!$H448+NVL!$I448-NVL!$J448</f>
        <v>0</v>
      </c>
      <c r="L448" s="155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23.25" customHeight="1">
      <c r="A449" s="147">
        <f t="shared" si="1"/>
        <v>21</v>
      </c>
      <c r="B449" s="170"/>
      <c r="C449" s="167"/>
      <c r="D449" s="150"/>
      <c r="E449" s="331"/>
      <c r="F449" s="331"/>
      <c r="G449" s="331"/>
      <c r="H449" s="152"/>
      <c r="I449" s="153">
        <f>+SUMIF('NHẬP LIỆU'!$E:$E,NVL!$B449,'NHẬP LIỆU'!$K:$K)</f>
        <v>0</v>
      </c>
      <c r="J449" s="156">
        <f>+SUMIF('NHẬP LIỆU'!$E:$E,NVL!$B449,'NHẬP LIỆU'!$L:$L)</f>
        <v>0</v>
      </c>
      <c r="K449" s="154">
        <f>+NVL!$H449+NVL!$I449-NVL!$J449</f>
        <v>0</v>
      </c>
      <c r="L449" s="155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23.25" customHeight="1">
      <c r="A450" s="147">
        <f t="shared" si="1"/>
        <v>21</v>
      </c>
      <c r="B450" s="170"/>
      <c r="C450" s="167"/>
      <c r="D450" s="150"/>
      <c r="E450" s="331"/>
      <c r="F450" s="331"/>
      <c r="G450" s="331"/>
      <c r="H450" s="152"/>
      <c r="I450" s="153">
        <f>+SUMIF('NHẬP LIỆU'!$E:$E,NVL!$B450,'NHẬP LIỆU'!$K:$K)</f>
        <v>0</v>
      </c>
      <c r="J450" s="156">
        <f>+SUMIF('NHẬP LIỆU'!$E:$E,NVL!$B450,'NHẬP LIỆU'!$L:$L)</f>
        <v>0</v>
      </c>
      <c r="K450" s="154">
        <f>+NVL!$H450+NVL!$I450-NVL!$J450</f>
        <v>0</v>
      </c>
      <c r="L450" s="155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23.25" customHeight="1">
      <c r="A451" s="147">
        <f t="shared" si="1"/>
        <v>21</v>
      </c>
      <c r="B451" s="170"/>
      <c r="C451" s="167"/>
      <c r="D451" s="150"/>
      <c r="E451" s="331"/>
      <c r="F451" s="331"/>
      <c r="G451" s="331"/>
      <c r="H451" s="152"/>
      <c r="I451" s="153">
        <f>+SUMIF('NHẬP LIỆU'!$E:$E,NVL!$B451,'NHẬP LIỆU'!$K:$K)</f>
        <v>0</v>
      </c>
      <c r="J451" s="156">
        <f>+SUMIF('NHẬP LIỆU'!$E:$E,NVL!$B451,'NHẬP LIỆU'!$L:$L)</f>
        <v>0</v>
      </c>
      <c r="K451" s="154">
        <f>+NVL!$H451+NVL!$I451-NVL!$J451</f>
        <v>0</v>
      </c>
      <c r="L451" s="155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23.25" customHeight="1">
      <c r="A452" s="147">
        <f t="shared" si="1"/>
        <v>21</v>
      </c>
      <c r="B452" s="170"/>
      <c r="C452" s="167"/>
      <c r="D452" s="150"/>
      <c r="E452" s="331"/>
      <c r="F452" s="331"/>
      <c r="G452" s="331"/>
      <c r="H452" s="152"/>
      <c r="I452" s="153">
        <f>+SUMIF('NHẬP LIỆU'!$E:$E,NVL!$B452,'NHẬP LIỆU'!$K:$K)</f>
        <v>0</v>
      </c>
      <c r="J452" s="156">
        <f>+SUMIF('NHẬP LIỆU'!$E:$E,NVL!$B452,'NHẬP LIỆU'!$L:$L)</f>
        <v>0</v>
      </c>
      <c r="K452" s="154">
        <f>+NVL!$H452+NVL!$I452-NVL!$J452</f>
        <v>0</v>
      </c>
      <c r="L452" s="155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23.25" customHeight="1">
      <c r="A453" s="147">
        <f t="shared" si="1"/>
        <v>21</v>
      </c>
      <c r="B453" s="170"/>
      <c r="C453" s="167"/>
      <c r="D453" s="150"/>
      <c r="E453" s="331"/>
      <c r="F453" s="331"/>
      <c r="G453" s="331"/>
      <c r="H453" s="152"/>
      <c r="I453" s="153">
        <f>+SUMIF('NHẬP LIỆU'!$E:$E,NVL!$B453,'NHẬP LIỆU'!$K:$K)</f>
        <v>0</v>
      </c>
      <c r="J453" s="156">
        <f>+SUMIF('NHẬP LIỆU'!$E:$E,NVL!$B453,'NHẬP LIỆU'!$L:$L)</f>
        <v>0</v>
      </c>
      <c r="K453" s="154">
        <f>+NVL!$H453+NVL!$I453-NVL!$J453</f>
        <v>0</v>
      </c>
      <c r="L453" s="155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23.25" customHeight="1">
      <c r="A454" s="147">
        <f t="shared" si="1"/>
        <v>21</v>
      </c>
      <c r="B454" s="170"/>
      <c r="C454" s="167"/>
      <c r="D454" s="150"/>
      <c r="E454" s="331"/>
      <c r="F454" s="331"/>
      <c r="G454" s="331"/>
      <c r="H454" s="152"/>
      <c r="I454" s="153">
        <f>+SUMIF('NHẬP LIỆU'!$E:$E,NVL!$B454,'NHẬP LIỆU'!$K:$K)</f>
        <v>0</v>
      </c>
      <c r="J454" s="156">
        <f>+SUMIF('NHẬP LIỆU'!$E:$E,NVL!$B454,'NHẬP LIỆU'!$L:$L)</f>
        <v>0</v>
      </c>
      <c r="K454" s="154">
        <f>+NVL!$H454+NVL!$I454-NVL!$J454</f>
        <v>0</v>
      </c>
      <c r="L454" s="155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23.25" customHeight="1">
      <c r="A455" s="147">
        <f t="shared" si="1"/>
        <v>21</v>
      </c>
      <c r="B455" s="170"/>
      <c r="C455" s="167"/>
      <c r="D455" s="150"/>
      <c r="E455" s="331"/>
      <c r="F455" s="331"/>
      <c r="G455" s="331"/>
      <c r="H455" s="152"/>
      <c r="I455" s="153">
        <f>+SUMIF('NHẬP LIỆU'!$E:$E,NVL!$B455,'NHẬP LIỆU'!$K:$K)</f>
        <v>0</v>
      </c>
      <c r="J455" s="156">
        <f>+SUMIF('NHẬP LIỆU'!$E:$E,NVL!$B455,'NHẬP LIỆU'!$L:$L)</f>
        <v>0</v>
      </c>
      <c r="K455" s="154">
        <f>+NVL!$H455+NVL!$I455-NVL!$J455</f>
        <v>0</v>
      </c>
      <c r="L455" s="155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23.25" customHeight="1">
      <c r="A456" s="147">
        <f t="shared" si="1"/>
        <v>21</v>
      </c>
      <c r="B456" s="170"/>
      <c r="C456" s="167"/>
      <c r="D456" s="150"/>
      <c r="E456" s="331"/>
      <c r="F456" s="331"/>
      <c r="G456" s="331"/>
      <c r="H456" s="152"/>
      <c r="I456" s="153">
        <f>+SUMIF('NHẬP LIỆU'!$E:$E,NVL!$B456,'NHẬP LIỆU'!$K:$K)</f>
        <v>0</v>
      </c>
      <c r="J456" s="156">
        <f>+SUMIF('NHẬP LIỆU'!$E:$E,NVL!$B456,'NHẬP LIỆU'!$L:$L)</f>
        <v>0</v>
      </c>
      <c r="K456" s="154">
        <f>+NVL!$H456+NVL!$I456-NVL!$J456</f>
        <v>0</v>
      </c>
      <c r="L456" s="155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23.25" customHeight="1">
      <c r="A457" s="147">
        <f t="shared" si="1"/>
        <v>21</v>
      </c>
      <c r="B457" s="170"/>
      <c r="C457" s="167"/>
      <c r="D457" s="150"/>
      <c r="E457" s="331"/>
      <c r="F457" s="331"/>
      <c r="G457" s="331"/>
      <c r="H457" s="152"/>
      <c r="I457" s="153">
        <f>+SUMIF('NHẬP LIỆU'!$E:$E,NVL!$B457,'NHẬP LIỆU'!$K:$K)</f>
        <v>0</v>
      </c>
      <c r="J457" s="156">
        <f>+SUMIF('NHẬP LIỆU'!$E:$E,NVL!$B457,'NHẬP LIỆU'!$L:$L)</f>
        <v>0</v>
      </c>
      <c r="K457" s="154">
        <f>+NVL!$H457+NVL!$I457-NVL!$J457</f>
        <v>0</v>
      </c>
      <c r="L457" s="155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23.25" customHeight="1">
      <c r="A458" s="147">
        <f t="shared" si="1"/>
        <v>21</v>
      </c>
      <c r="B458" s="170"/>
      <c r="C458" s="167"/>
      <c r="D458" s="150"/>
      <c r="E458" s="331"/>
      <c r="F458" s="331"/>
      <c r="G458" s="331"/>
      <c r="H458" s="152"/>
      <c r="I458" s="153">
        <f>+SUMIF('NHẬP LIỆU'!$E:$E,NVL!$B458,'NHẬP LIỆU'!$K:$K)</f>
        <v>0</v>
      </c>
      <c r="J458" s="156">
        <f>+SUMIF('NHẬP LIỆU'!$E:$E,NVL!$B458,'NHẬP LIỆU'!$L:$L)</f>
        <v>0</v>
      </c>
      <c r="K458" s="154">
        <f>+NVL!$H458+NVL!$I458-NVL!$J458</f>
        <v>0</v>
      </c>
      <c r="L458" s="155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23.25" customHeight="1">
      <c r="A459" s="147">
        <f t="shared" si="1"/>
        <v>21</v>
      </c>
      <c r="B459" s="170"/>
      <c r="C459" s="167"/>
      <c r="D459" s="150"/>
      <c r="E459" s="331"/>
      <c r="F459" s="331"/>
      <c r="G459" s="331"/>
      <c r="H459" s="152"/>
      <c r="I459" s="153">
        <f>+SUMIF('NHẬP LIỆU'!$E:$E,NVL!$B459,'NHẬP LIỆU'!$K:$K)</f>
        <v>0</v>
      </c>
      <c r="J459" s="156">
        <f>+SUMIF('NHẬP LIỆU'!$E:$E,NVL!$B459,'NHẬP LIỆU'!$L:$L)</f>
        <v>0</v>
      </c>
      <c r="K459" s="154">
        <f>+NVL!$H459+NVL!$I459-NVL!$J459</f>
        <v>0</v>
      </c>
      <c r="L459" s="155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23.25" customHeight="1">
      <c r="A460" s="147">
        <f t="shared" si="1"/>
        <v>21</v>
      </c>
      <c r="B460" s="170"/>
      <c r="C460" s="167"/>
      <c r="D460" s="150"/>
      <c r="E460" s="331"/>
      <c r="F460" s="331"/>
      <c r="G460" s="331"/>
      <c r="H460" s="152"/>
      <c r="I460" s="153">
        <f>+SUMIF('NHẬP LIỆU'!$E:$E,NVL!$B460,'NHẬP LIỆU'!$K:$K)</f>
        <v>0</v>
      </c>
      <c r="J460" s="156">
        <f>+SUMIF('NHẬP LIỆU'!$E:$E,NVL!$B460,'NHẬP LIỆU'!$L:$L)</f>
        <v>0</v>
      </c>
      <c r="K460" s="154">
        <f>+NVL!$H460+NVL!$I460-NVL!$J460</f>
        <v>0</v>
      </c>
      <c r="L460" s="155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23.25" customHeight="1">
      <c r="A461" s="147">
        <f t="shared" si="1"/>
        <v>21</v>
      </c>
      <c r="B461" s="170"/>
      <c r="C461" s="167"/>
      <c r="D461" s="150"/>
      <c r="E461" s="331"/>
      <c r="F461" s="331"/>
      <c r="G461" s="331"/>
      <c r="H461" s="152"/>
      <c r="I461" s="153">
        <f>+SUMIF('NHẬP LIỆU'!$E:$E,NVL!$B461,'NHẬP LIỆU'!$K:$K)</f>
        <v>0</v>
      </c>
      <c r="J461" s="156">
        <f>+SUMIF('NHẬP LIỆU'!$E:$E,NVL!$B461,'NHẬP LIỆU'!$L:$L)</f>
        <v>0</v>
      </c>
      <c r="K461" s="154">
        <f>+NVL!$H461+NVL!$I461-NVL!$J461</f>
        <v>0</v>
      </c>
      <c r="L461" s="155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23.25" customHeight="1">
      <c r="A462" s="147">
        <f t="shared" si="1"/>
        <v>21</v>
      </c>
      <c r="B462" s="170"/>
      <c r="C462" s="167"/>
      <c r="D462" s="150"/>
      <c r="E462" s="331"/>
      <c r="F462" s="331"/>
      <c r="G462" s="331"/>
      <c r="H462" s="152"/>
      <c r="I462" s="153">
        <f>+SUMIF('NHẬP LIỆU'!$E:$E,NVL!$B462,'NHẬP LIỆU'!$K:$K)</f>
        <v>0</v>
      </c>
      <c r="J462" s="156">
        <f>+SUMIF('NHẬP LIỆU'!$E:$E,NVL!$B462,'NHẬP LIỆU'!$L:$L)</f>
        <v>0</v>
      </c>
      <c r="K462" s="154">
        <f>+NVL!$H462+NVL!$I462-NVL!$J462</f>
        <v>0</v>
      </c>
      <c r="L462" s="155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23.25" customHeight="1">
      <c r="A463" s="147">
        <f t="shared" si="1"/>
        <v>21</v>
      </c>
      <c r="B463" s="170"/>
      <c r="C463" s="167"/>
      <c r="D463" s="150"/>
      <c r="E463" s="331"/>
      <c r="F463" s="331"/>
      <c r="G463" s="331"/>
      <c r="H463" s="152"/>
      <c r="I463" s="153">
        <f>+SUMIF('NHẬP LIỆU'!$E:$E,NVL!$B463,'NHẬP LIỆU'!$K:$K)</f>
        <v>0</v>
      </c>
      <c r="J463" s="156">
        <f>+SUMIF('NHẬP LIỆU'!$E:$E,NVL!$B463,'NHẬP LIỆU'!$L:$L)</f>
        <v>0</v>
      </c>
      <c r="K463" s="154">
        <f>+NVL!$H463+NVL!$I463-NVL!$J463</f>
        <v>0</v>
      </c>
      <c r="L463" s="155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23.25" customHeight="1">
      <c r="A464" s="147">
        <f t="shared" si="1"/>
        <v>21</v>
      </c>
      <c r="B464" s="170"/>
      <c r="C464" s="167"/>
      <c r="D464" s="150"/>
      <c r="E464" s="331"/>
      <c r="F464" s="331"/>
      <c r="G464" s="331"/>
      <c r="H464" s="152"/>
      <c r="I464" s="153">
        <f>+SUMIF('NHẬP LIỆU'!$E:$E,NVL!$B464,'NHẬP LIỆU'!$K:$K)</f>
        <v>0</v>
      </c>
      <c r="J464" s="156">
        <f>+SUMIF('NHẬP LIỆU'!$E:$E,NVL!$B464,'NHẬP LIỆU'!$L:$L)</f>
        <v>0</v>
      </c>
      <c r="K464" s="154">
        <f>+NVL!$H464+NVL!$I464-NVL!$J464</f>
        <v>0</v>
      </c>
      <c r="L464" s="155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23.25" customHeight="1">
      <c r="A465" s="147">
        <f t="shared" si="1"/>
        <v>21</v>
      </c>
      <c r="B465" s="170"/>
      <c r="C465" s="167"/>
      <c r="D465" s="150"/>
      <c r="E465" s="331"/>
      <c r="F465" s="331"/>
      <c r="G465" s="331"/>
      <c r="H465" s="152"/>
      <c r="I465" s="153">
        <f>+SUMIF('NHẬP LIỆU'!$E:$E,NVL!$B465,'NHẬP LIỆU'!$K:$K)</f>
        <v>0</v>
      </c>
      <c r="J465" s="156">
        <f>+SUMIF('NHẬP LIỆU'!$E:$E,NVL!$B465,'NHẬP LIỆU'!$L:$L)</f>
        <v>0</v>
      </c>
      <c r="K465" s="154">
        <f>+NVL!$H465+NVL!$I465-NVL!$J465</f>
        <v>0</v>
      </c>
      <c r="L465" s="155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23.25" customHeight="1">
      <c r="A466" s="147">
        <f t="shared" si="1"/>
        <v>21</v>
      </c>
      <c r="B466" s="170"/>
      <c r="C466" s="167"/>
      <c r="D466" s="150"/>
      <c r="E466" s="331"/>
      <c r="F466" s="331"/>
      <c r="G466" s="331"/>
      <c r="H466" s="152"/>
      <c r="I466" s="153">
        <f>+SUMIF('NHẬP LIỆU'!$E:$E,NVL!$B466,'NHẬP LIỆU'!$K:$K)</f>
        <v>0</v>
      </c>
      <c r="J466" s="156">
        <f>+SUMIF('NHẬP LIỆU'!$E:$E,NVL!$B466,'NHẬP LIỆU'!$L:$L)</f>
        <v>0</v>
      </c>
      <c r="K466" s="154">
        <f>+NVL!$H466+NVL!$I466-NVL!$J466</f>
        <v>0</v>
      </c>
      <c r="L466" s="155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23.25" customHeight="1">
      <c r="A467" s="147">
        <f t="shared" si="1"/>
        <v>21</v>
      </c>
      <c r="B467" s="170"/>
      <c r="C467" s="167"/>
      <c r="D467" s="150"/>
      <c r="E467" s="331"/>
      <c r="F467" s="331"/>
      <c r="G467" s="331"/>
      <c r="H467" s="152"/>
      <c r="I467" s="153">
        <f>+SUMIF('NHẬP LIỆU'!$E:$E,NVL!$B467,'NHẬP LIỆU'!$K:$K)</f>
        <v>0</v>
      </c>
      <c r="J467" s="156">
        <f>+SUMIF('NHẬP LIỆU'!$E:$E,NVL!$B467,'NHẬP LIỆU'!$L:$L)</f>
        <v>0</v>
      </c>
      <c r="K467" s="154">
        <f>+NVL!$H467+NVL!$I467-NVL!$J467</f>
        <v>0</v>
      </c>
      <c r="L467" s="155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23.25" customHeight="1">
      <c r="A468" s="147">
        <f t="shared" si="1"/>
        <v>21</v>
      </c>
      <c r="B468" s="170"/>
      <c r="C468" s="167"/>
      <c r="D468" s="150"/>
      <c r="E468" s="331"/>
      <c r="F468" s="331"/>
      <c r="G468" s="331"/>
      <c r="H468" s="152"/>
      <c r="I468" s="153">
        <f>+SUMIF('NHẬP LIỆU'!$E:$E,NVL!$B468,'NHẬP LIỆU'!$K:$K)</f>
        <v>0</v>
      </c>
      <c r="J468" s="156">
        <f>+SUMIF('NHẬP LIỆU'!$E:$E,NVL!$B468,'NHẬP LIỆU'!$L:$L)</f>
        <v>0</v>
      </c>
      <c r="K468" s="154">
        <f>+NVL!$H468+NVL!$I468-NVL!$J468</f>
        <v>0</v>
      </c>
      <c r="L468" s="155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23.25" customHeight="1">
      <c r="A469" s="147">
        <f t="shared" si="1"/>
        <v>21</v>
      </c>
      <c r="B469" s="170"/>
      <c r="C469" s="167"/>
      <c r="D469" s="150"/>
      <c r="E469" s="331"/>
      <c r="F469" s="331"/>
      <c r="G469" s="331"/>
      <c r="H469" s="152"/>
      <c r="I469" s="153">
        <f>+SUMIF('NHẬP LIỆU'!$E:$E,NVL!$B469,'NHẬP LIỆU'!$K:$K)</f>
        <v>0</v>
      </c>
      <c r="J469" s="156">
        <f>+SUMIF('NHẬP LIỆU'!$E:$E,NVL!$B469,'NHẬP LIỆU'!$L:$L)</f>
        <v>0</v>
      </c>
      <c r="K469" s="154">
        <f>+NVL!$H469+NVL!$I469-NVL!$J469</f>
        <v>0</v>
      </c>
      <c r="L469" s="155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ht="23.25" customHeight="1">
      <c r="A470" s="147">
        <f t="shared" si="1"/>
        <v>21</v>
      </c>
      <c r="B470" s="170"/>
      <c r="C470" s="167"/>
      <c r="D470" s="150"/>
      <c r="E470" s="331"/>
      <c r="F470" s="331"/>
      <c r="G470" s="331"/>
      <c r="H470" s="152"/>
      <c r="I470" s="153">
        <f>+SUMIF('NHẬP LIỆU'!$E:$E,NVL!$B470,'NHẬP LIỆU'!$K:$K)</f>
        <v>0</v>
      </c>
      <c r="J470" s="156">
        <f>+SUMIF('NHẬP LIỆU'!$E:$E,NVL!$B470,'NHẬP LIỆU'!$L:$L)</f>
        <v>0</v>
      </c>
      <c r="K470" s="154">
        <f>+NVL!$H470+NVL!$I470-NVL!$J470</f>
        <v>0</v>
      </c>
      <c r="L470" s="155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ht="23.25" customHeight="1">
      <c r="A471" s="147">
        <f t="shared" si="1"/>
        <v>21</v>
      </c>
      <c r="B471" s="170"/>
      <c r="C471" s="167"/>
      <c r="D471" s="150"/>
      <c r="E471" s="331"/>
      <c r="F471" s="331"/>
      <c r="G471" s="331"/>
      <c r="H471" s="152"/>
      <c r="I471" s="153">
        <f>+SUMIF('NHẬP LIỆU'!$E:$E,NVL!$B471,'NHẬP LIỆU'!$K:$K)</f>
        <v>0</v>
      </c>
      <c r="J471" s="156">
        <f>+SUMIF('NHẬP LIỆU'!$E:$E,NVL!$B471,'NHẬP LIỆU'!$L:$L)</f>
        <v>0</v>
      </c>
      <c r="K471" s="154">
        <f>+NVL!$H471+NVL!$I471-NVL!$J471</f>
        <v>0</v>
      </c>
      <c r="L471" s="155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ht="23.25" customHeight="1">
      <c r="A472" s="147">
        <f t="shared" si="1"/>
        <v>21</v>
      </c>
      <c r="B472" s="170"/>
      <c r="C472" s="167"/>
      <c r="D472" s="150"/>
      <c r="E472" s="331"/>
      <c r="F472" s="331"/>
      <c r="G472" s="331"/>
      <c r="H472" s="152"/>
      <c r="I472" s="153">
        <f>+SUMIF('NHẬP LIỆU'!$E:$E,NVL!$B472,'NHẬP LIỆU'!$K:$K)</f>
        <v>0</v>
      </c>
      <c r="J472" s="156">
        <f>+SUMIF('NHẬP LIỆU'!$E:$E,NVL!$B472,'NHẬP LIỆU'!$L:$L)</f>
        <v>0</v>
      </c>
      <c r="K472" s="154">
        <f>+NVL!$H472+NVL!$I472-NVL!$J472</f>
        <v>0</v>
      </c>
      <c r="L472" s="155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23.25" customHeight="1">
      <c r="A473" s="147">
        <f t="shared" si="1"/>
        <v>21</v>
      </c>
      <c r="B473" s="170"/>
      <c r="C473" s="167"/>
      <c r="D473" s="150"/>
      <c r="E473" s="331"/>
      <c r="F473" s="331"/>
      <c r="G473" s="331"/>
      <c r="H473" s="152"/>
      <c r="I473" s="153">
        <f>+SUMIF('NHẬP LIỆU'!$E:$E,NVL!$B473,'NHẬP LIỆU'!$K:$K)</f>
        <v>0</v>
      </c>
      <c r="J473" s="156">
        <f>+SUMIF('NHẬP LIỆU'!$E:$E,NVL!$B473,'NHẬP LIỆU'!$L:$L)</f>
        <v>0</v>
      </c>
      <c r="K473" s="154">
        <f>+NVL!$H473+NVL!$I473-NVL!$J473</f>
        <v>0</v>
      </c>
      <c r="L473" s="155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23.25" customHeight="1">
      <c r="A474" s="147">
        <f t="shared" si="1"/>
        <v>21</v>
      </c>
      <c r="B474" s="170"/>
      <c r="C474" s="167"/>
      <c r="D474" s="150"/>
      <c r="E474" s="331"/>
      <c r="F474" s="331"/>
      <c r="G474" s="331"/>
      <c r="H474" s="152"/>
      <c r="I474" s="153">
        <f>+SUMIF('NHẬP LIỆU'!$E:$E,NVL!$B474,'NHẬP LIỆU'!$K:$K)</f>
        <v>0</v>
      </c>
      <c r="J474" s="156">
        <f>+SUMIF('NHẬP LIỆU'!$E:$E,NVL!$B474,'NHẬP LIỆU'!$L:$L)</f>
        <v>0</v>
      </c>
      <c r="K474" s="154">
        <f>+NVL!$H474+NVL!$I474-NVL!$J474</f>
        <v>0</v>
      </c>
      <c r="L474" s="155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23.25" customHeight="1">
      <c r="A475" s="147">
        <f t="shared" si="1"/>
        <v>21</v>
      </c>
      <c r="B475" s="170"/>
      <c r="C475" s="167"/>
      <c r="D475" s="150"/>
      <c r="E475" s="331"/>
      <c r="F475" s="331"/>
      <c r="G475" s="331"/>
      <c r="H475" s="152"/>
      <c r="I475" s="153">
        <f>+SUMIF('NHẬP LIỆU'!$E:$E,NVL!$B475,'NHẬP LIỆU'!$K:$K)</f>
        <v>0</v>
      </c>
      <c r="J475" s="156">
        <f>+SUMIF('NHẬP LIỆU'!$E:$E,NVL!$B475,'NHẬP LIỆU'!$L:$L)</f>
        <v>0</v>
      </c>
      <c r="K475" s="154">
        <f>+NVL!$H475+NVL!$I475-NVL!$J475</f>
        <v>0</v>
      </c>
      <c r="L475" s="155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23.25" customHeight="1">
      <c r="A476" s="147">
        <f t="shared" si="1"/>
        <v>21</v>
      </c>
      <c r="B476" s="170"/>
      <c r="C476" s="167"/>
      <c r="D476" s="150"/>
      <c r="E476" s="331"/>
      <c r="F476" s="331"/>
      <c r="G476" s="331"/>
      <c r="H476" s="152"/>
      <c r="I476" s="153">
        <f>+SUMIF('NHẬP LIỆU'!$E:$E,NVL!$B476,'NHẬP LIỆU'!$K:$K)</f>
        <v>0</v>
      </c>
      <c r="J476" s="156">
        <f>+SUMIF('NHẬP LIỆU'!$E:$E,NVL!$B476,'NHẬP LIỆU'!$L:$L)</f>
        <v>0</v>
      </c>
      <c r="K476" s="154">
        <f>+NVL!$H476+NVL!$I476-NVL!$J476</f>
        <v>0</v>
      </c>
      <c r="L476" s="155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23.25" customHeight="1">
      <c r="A477" s="147">
        <f t="shared" si="1"/>
        <v>21</v>
      </c>
      <c r="B477" s="170"/>
      <c r="C477" s="167"/>
      <c r="D477" s="150"/>
      <c r="E477" s="331"/>
      <c r="F477" s="331"/>
      <c r="G477" s="331"/>
      <c r="H477" s="152"/>
      <c r="I477" s="153">
        <f>+SUMIF('NHẬP LIỆU'!$E:$E,NVL!$B477,'NHẬP LIỆU'!$K:$K)</f>
        <v>0</v>
      </c>
      <c r="J477" s="156">
        <f>+SUMIF('NHẬP LIỆU'!$E:$E,NVL!$B477,'NHẬP LIỆU'!$L:$L)</f>
        <v>0</v>
      </c>
      <c r="K477" s="154">
        <f>+NVL!$H477+NVL!$I477-NVL!$J477</f>
        <v>0</v>
      </c>
      <c r="L477" s="155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23.25" customHeight="1">
      <c r="A478" s="147">
        <f t="shared" si="1"/>
        <v>21</v>
      </c>
      <c r="B478" s="170"/>
      <c r="C478" s="167"/>
      <c r="D478" s="150"/>
      <c r="E478" s="331"/>
      <c r="F478" s="331"/>
      <c r="G478" s="331"/>
      <c r="H478" s="152"/>
      <c r="I478" s="153">
        <f>+SUMIF('NHẬP LIỆU'!$E:$E,NVL!$B478,'NHẬP LIỆU'!$K:$K)</f>
        <v>0</v>
      </c>
      <c r="J478" s="156">
        <f>+SUMIF('NHẬP LIỆU'!$E:$E,NVL!$B478,'NHẬP LIỆU'!$L:$L)</f>
        <v>0</v>
      </c>
      <c r="K478" s="154">
        <f>+NVL!$H478+NVL!$I478-NVL!$J478</f>
        <v>0</v>
      </c>
      <c r="L478" s="155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23.25" customHeight="1">
      <c r="A479" s="147">
        <f t="shared" si="1"/>
        <v>21</v>
      </c>
      <c r="B479" s="170"/>
      <c r="C479" s="167"/>
      <c r="D479" s="150"/>
      <c r="E479" s="331"/>
      <c r="F479" s="331"/>
      <c r="G479" s="331"/>
      <c r="H479" s="152"/>
      <c r="I479" s="153">
        <f>+SUMIF('NHẬP LIỆU'!$E:$E,NVL!$B479,'NHẬP LIỆU'!$K:$K)</f>
        <v>0</v>
      </c>
      <c r="J479" s="156">
        <f>+SUMIF('NHẬP LIỆU'!$E:$E,NVL!$B479,'NHẬP LIỆU'!$L:$L)</f>
        <v>0</v>
      </c>
      <c r="K479" s="154">
        <f>+NVL!$H479+NVL!$I479-NVL!$J479</f>
        <v>0</v>
      </c>
      <c r="L479" s="155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23.25" customHeight="1">
      <c r="A480" s="147">
        <f t="shared" si="1"/>
        <v>21</v>
      </c>
      <c r="B480" s="170"/>
      <c r="C480" s="167"/>
      <c r="D480" s="150"/>
      <c r="E480" s="331"/>
      <c r="F480" s="331"/>
      <c r="G480" s="331"/>
      <c r="H480" s="152"/>
      <c r="I480" s="153">
        <f>+SUMIF('NHẬP LIỆU'!$E:$E,NVL!$B480,'NHẬP LIỆU'!$K:$K)</f>
        <v>0</v>
      </c>
      <c r="J480" s="156">
        <f>+SUMIF('NHẬP LIỆU'!$E:$E,NVL!$B480,'NHẬP LIỆU'!$L:$L)</f>
        <v>0</v>
      </c>
      <c r="K480" s="154">
        <f>+NVL!$H480+NVL!$I480-NVL!$J480</f>
        <v>0</v>
      </c>
      <c r="L480" s="155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23.25" customHeight="1">
      <c r="A481" s="147">
        <f t="shared" si="1"/>
        <v>21</v>
      </c>
      <c r="B481" s="170"/>
      <c r="C481" s="167"/>
      <c r="D481" s="150"/>
      <c r="E481" s="331"/>
      <c r="F481" s="331"/>
      <c r="G481" s="331"/>
      <c r="H481" s="152"/>
      <c r="I481" s="153">
        <f>+SUMIF('NHẬP LIỆU'!$E:$E,NVL!$B481,'NHẬP LIỆU'!$K:$K)</f>
        <v>0</v>
      </c>
      <c r="J481" s="156">
        <f>+SUMIF('NHẬP LIỆU'!$E:$E,NVL!$B481,'NHẬP LIỆU'!$L:$L)</f>
        <v>0</v>
      </c>
      <c r="K481" s="154">
        <f>+NVL!$H481+NVL!$I481-NVL!$J481</f>
        <v>0</v>
      </c>
      <c r="L481" s="155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23.25" customHeight="1">
      <c r="A482" s="147">
        <f t="shared" si="1"/>
        <v>21</v>
      </c>
      <c r="B482" s="170"/>
      <c r="C482" s="167"/>
      <c r="D482" s="150"/>
      <c r="E482" s="331"/>
      <c r="F482" s="331"/>
      <c r="G482" s="331"/>
      <c r="H482" s="152"/>
      <c r="I482" s="153">
        <f>+SUMIF('NHẬP LIỆU'!$E:$E,NVL!$B482,'NHẬP LIỆU'!$K:$K)</f>
        <v>0</v>
      </c>
      <c r="J482" s="156">
        <f>+SUMIF('NHẬP LIỆU'!$E:$E,NVL!$B482,'NHẬP LIỆU'!$L:$L)</f>
        <v>0</v>
      </c>
      <c r="K482" s="154">
        <f>+NVL!$H482+NVL!$I482-NVL!$J482</f>
        <v>0</v>
      </c>
      <c r="L482" s="172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23.25" customHeight="1">
      <c r="A483" s="147">
        <f t="shared" si="1"/>
        <v>21</v>
      </c>
      <c r="B483" s="170"/>
      <c r="C483" s="167"/>
      <c r="D483" s="150"/>
      <c r="E483" s="331"/>
      <c r="F483" s="331"/>
      <c r="G483" s="331"/>
      <c r="H483" s="152"/>
      <c r="I483" s="153">
        <f>+SUMIF('NHẬP LIỆU'!$E:$E,NVL!$B483,'NHẬP LIỆU'!$K:$K)</f>
        <v>0</v>
      </c>
      <c r="J483" s="156">
        <f>+SUMIF('NHẬP LIỆU'!$E:$E,NVL!$B483,'NHẬP LIỆU'!$L:$L)</f>
        <v>0</v>
      </c>
      <c r="K483" s="154">
        <f>+NVL!$H483+NVL!$I483-NVL!$J483</f>
        <v>0</v>
      </c>
      <c r="L483" s="155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23.25" customHeight="1">
      <c r="A484" s="147">
        <f t="shared" si="1"/>
        <v>21</v>
      </c>
      <c r="B484" s="170"/>
      <c r="C484" s="167"/>
      <c r="D484" s="150"/>
      <c r="E484" s="331"/>
      <c r="F484" s="331"/>
      <c r="G484" s="331"/>
      <c r="H484" s="152"/>
      <c r="I484" s="153">
        <f>+SUMIF('NHẬP LIỆU'!$E:$E,NVL!$B484,'NHẬP LIỆU'!$K:$K)</f>
        <v>0</v>
      </c>
      <c r="J484" s="156">
        <f>+SUMIF('NHẬP LIỆU'!$E:$E,NVL!$B484,'NHẬP LIỆU'!$L:$L)</f>
        <v>0</v>
      </c>
      <c r="K484" s="154">
        <f>+NVL!$H484+NVL!$I484-NVL!$J484</f>
        <v>0</v>
      </c>
      <c r="L484" s="155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23.25" customHeight="1">
      <c r="A485" s="147">
        <f t="shared" si="1"/>
        <v>21</v>
      </c>
      <c r="B485" s="170"/>
      <c r="C485" s="167"/>
      <c r="D485" s="150"/>
      <c r="E485" s="331"/>
      <c r="F485" s="331"/>
      <c r="G485" s="331"/>
      <c r="H485" s="152"/>
      <c r="I485" s="153">
        <f>+SUMIF('NHẬP LIỆU'!$E:$E,NVL!$B485,'NHẬP LIỆU'!$K:$K)</f>
        <v>0</v>
      </c>
      <c r="J485" s="156">
        <f>+SUMIF('NHẬP LIỆU'!$E:$E,NVL!$B485,'NHẬP LIỆU'!$L:$L)</f>
        <v>0</v>
      </c>
      <c r="K485" s="154">
        <f>+NVL!$H485+NVL!$I485-NVL!$J485</f>
        <v>0</v>
      </c>
      <c r="L485" s="155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23.25" customHeight="1">
      <c r="A486" s="147">
        <f t="shared" si="1"/>
        <v>21</v>
      </c>
      <c r="B486" s="170"/>
      <c r="C486" s="167"/>
      <c r="D486" s="150"/>
      <c r="E486" s="331"/>
      <c r="F486" s="331"/>
      <c r="G486" s="331"/>
      <c r="H486" s="152"/>
      <c r="I486" s="153">
        <f>+SUMIF('NHẬP LIỆU'!$E:$E,NVL!$B486,'NHẬP LIỆU'!$K:$K)</f>
        <v>0</v>
      </c>
      <c r="J486" s="156">
        <f>+SUMIF('NHẬP LIỆU'!$E:$E,NVL!$B486,'NHẬP LIỆU'!$L:$L)</f>
        <v>0</v>
      </c>
      <c r="K486" s="154">
        <f>+NVL!$H486+NVL!$I486-NVL!$J486</f>
        <v>0</v>
      </c>
      <c r="L486" s="155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23.25" customHeight="1">
      <c r="A487" s="147">
        <f t="shared" si="1"/>
        <v>21</v>
      </c>
      <c r="B487" s="170"/>
      <c r="C487" s="167"/>
      <c r="D487" s="150"/>
      <c r="E487" s="331"/>
      <c r="F487" s="331"/>
      <c r="G487" s="331"/>
      <c r="H487" s="152"/>
      <c r="I487" s="153">
        <f>+SUMIF('NHẬP LIỆU'!$E:$E,NVL!$B487,'NHẬP LIỆU'!$K:$K)</f>
        <v>0</v>
      </c>
      <c r="J487" s="156">
        <f>+SUMIF('NHẬP LIỆU'!$E:$E,NVL!$B487,'NHẬP LIỆU'!$L:$L)</f>
        <v>0</v>
      </c>
      <c r="K487" s="154">
        <f>+NVL!$H487+NVL!$I487-NVL!$J487</f>
        <v>0</v>
      </c>
      <c r="L487" s="155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23.25" customHeight="1">
      <c r="A488" s="147">
        <f t="shared" si="1"/>
        <v>21</v>
      </c>
      <c r="B488" s="170"/>
      <c r="C488" s="167"/>
      <c r="D488" s="150"/>
      <c r="E488" s="331"/>
      <c r="F488" s="331"/>
      <c r="G488" s="331"/>
      <c r="H488" s="152"/>
      <c r="I488" s="153">
        <f>+SUMIF('NHẬP LIỆU'!$E:$E,NVL!$B488,'NHẬP LIỆU'!$K:$K)</f>
        <v>0</v>
      </c>
      <c r="J488" s="156">
        <f>+SUMIF('NHẬP LIỆU'!$E:$E,NVL!$B488,'NHẬP LIỆU'!$L:$L)</f>
        <v>0</v>
      </c>
      <c r="K488" s="154">
        <f>+NVL!$H488+NVL!$I488-NVL!$J488</f>
        <v>0</v>
      </c>
      <c r="L488" s="155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23.25" customHeight="1">
      <c r="A489" s="147">
        <f t="shared" si="1"/>
        <v>21</v>
      </c>
      <c r="B489" s="170"/>
      <c r="C489" s="167"/>
      <c r="D489" s="150"/>
      <c r="E489" s="331"/>
      <c r="F489" s="331"/>
      <c r="G489" s="331"/>
      <c r="H489" s="152"/>
      <c r="I489" s="153">
        <f>+SUMIF('NHẬP LIỆU'!$E:$E,NVL!$B489,'NHẬP LIỆU'!$K:$K)</f>
        <v>0</v>
      </c>
      <c r="J489" s="156">
        <f>+SUMIF('NHẬP LIỆU'!$E:$E,NVL!$B489,'NHẬP LIỆU'!$L:$L)</f>
        <v>0</v>
      </c>
      <c r="K489" s="154">
        <f>+NVL!$H489+NVL!$I489-NVL!$J489</f>
        <v>0</v>
      </c>
      <c r="L489" s="155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23.25" customHeight="1">
      <c r="A490" s="147">
        <f t="shared" si="1"/>
        <v>21</v>
      </c>
      <c r="B490" s="170"/>
      <c r="C490" s="167"/>
      <c r="D490" s="150"/>
      <c r="E490" s="331"/>
      <c r="F490" s="331"/>
      <c r="G490" s="331"/>
      <c r="H490" s="152"/>
      <c r="I490" s="153">
        <f>+SUMIF('NHẬP LIỆU'!$E:$E,NVL!$B490,'NHẬP LIỆU'!$K:$K)</f>
        <v>0</v>
      </c>
      <c r="J490" s="156">
        <f>+SUMIF('NHẬP LIỆU'!$E:$E,NVL!$B490,'NHẬP LIỆU'!$L:$L)</f>
        <v>0</v>
      </c>
      <c r="K490" s="154">
        <f>+NVL!$H490+NVL!$I490-NVL!$J490</f>
        <v>0</v>
      </c>
      <c r="L490" s="155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23.25" customHeight="1">
      <c r="A491" s="147">
        <f t="shared" si="1"/>
        <v>21</v>
      </c>
      <c r="B491" s="170"/>
      <c r="C491" s="167"/>
      <c r="D491" s="150"/>
      <c r="E491" s="331"/>
      <c r="F491" s="331"/>
      <c r="G491" s="331"/>
      <c r="H491" s="152"/>
      <c r="I491" s="153">
        <f>+SUMIF('NHẬP LIỆU'!$E:$E,NVL!$B491,'NHẬP LIỆU'!$K:$K)</f>
        <v>0</v>
      </c>
      <c r="J491" s="156">
        <f>+SUMIF('NHẬP LIỆU'!$E:$E,NVL!$B491,'NHẬP LIỆU'!$L:$L)</f>
        <v>0</v>
      </c>
      <c r="K491" s="154">
        <f>+NVL!$H491+NVL!$I491-NVL!$J491</f>
        <v>0</v>
      </c>
      <c r="L491" s="155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23.25" customHeight="1">
      <c r="A492" s="147">
        <f t="shared" si="1"/>
        <v>21</v>
      </c>
      <c r="B492" s="170"/>
      <c r="C492" s="167"/>
      <c r="D492" s="150"/>
      <c r="E492" s="331"/>
      <c r="F492" s="331"/>
      <c r="G492" s="331"/>
      <c r="H492" s="152"/>
      <c r="I492" s="153">
        <f>+SUMIF('NHẬP LIỆU'!$E:$E,NVL!$B492,'NHẬP LIỆU'!$K:$K)</f>
        <v>0</v>
      </c>
      <c r="J492" s="156">
        <f>+SUMIF('NHẬP LIỆU'!$E:$E,NVL!$B492,'NHẬP LIỆU'!$L:$L)</f>
        <v>0</v>
      </c>
      <c r="K492" s="154">
        <f>+NVL!$H492+NVL!$I492-NVL!$J492</f>
        <v>0</v>
      </c>
      <c r="L492" s="155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23.25" customHeight="1">
      <c r="A493" s="147">
        <f t="shared" si="1"/>
        <v>21</v>
      </c>
      <c r="B493" s="170"/>
      <c r="C493" s="167"/>
      <c r="D493" s="150"/>
      <c r="E493" s="331"/>
      <c r="F493" s="331"/>
      <c r="G493" s="331"/>
      <c r="H493" s="152"/>
      <c r="I493" s="153">
        <f>+SUMIF('NHẬP LIỆU'!$E:$E,NVL!$B493,'NHẬP LIỆU'!$K:$K)</f>
        <v>0</v>
      </c>
      <c r="J493" s="156">
        <f>+SUMIF('NHẬP LIỆU'!$E:$E,NVL!$B493,'NHẬP LIỆU'!$L:$L)</f>
        <v>0</v>
      </c>
      <c r="K493" s="154">
        <f>+NVL!$H493+NVL!$I493-NVL!$J493</f>
        <v>0</v>
      </c>
      <c r="L493" s="155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23.25" customHeight="1">
      <c r="A494" s="147">
        <f t="shared" si="1"/>
        <v>21</v>
      </c>
      <c r="B494" s="170"/>
      <c r="C494" s="167"/>
      <c r="D494" s="150"/>
      <c r="E494" s="331"/>
      <c r="F494" s="331"/>
      <c r="G494" s="331"/>
      <c r="H494" s="152"/>
      <c r="I494" s="153">
        <f>+SUMIF('NHẬP LIỆU'!$E:$E,NVL!$B494,'NHẬP LIỆU'!$K:$K)</f>
        <v>0</v>
      </c>
      <c r="J494" s="156">
        <f>+SUMIF('NHẬP LIỆU'!$E:$E,NVL!$B494,'NHẬP LIỆU'!$L:$L)</f>
        <v>0</v>
      </c>
      <c r="K494" s="154">
        <f>+NVL!$H494+NVL!$I494-NVL!$J494</f>
        <v>0</v>
      </c>
      <c r="L494" s="155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23.25" customHeight="1">
      <c r="A495" s="147">
        <f t="shared" si="1"/>
        <v>21</v>
      </c>
      <c r="B495" s="170"/>
      <c r="C495" s="167"/>
      <c r="D495" s="150"/>
      <c r="E495" s="331"/>
      <c r="F495" s="331"/>
      <c r="G495" s="331"/>
      <c r="H495" s="152"/>
      <c r="I495" s="153">
        <f>+SUMIF('NHẬP LIỆU'!$E:$E,NVL!$B495,'NHẬP LIỆU'!$K:$K)</f>
        <v>0</v>
      </c>
      <c r="J495" s="156">
        <f>+SUMIF('NHẬP LIỆU'!$E:$E,NVL!$B495,'NHẬP LIỆU'!$L:$L)</f>
        <v>0</v>
      </c>
      <c r="K495" s="154">
        <f>+NVL!$H495+NVL!$I495-NVL!$J495</f>
        <v>0</v>
      </c>
      <c r="L495" s="155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23.25" customHeight="1">
      <c r="A496" s="147">
        <f t="shared" si="1"/>
        <v>21</v>
      </c>
      <c r="B496" s="170"/>
      <c r="C496" s="167"/>
      <c r="D496" s="150"/>
      <c r="E496" s="331"/>
      <c r="F496" s="331"/>
      <c r="G496" s="331"/>
      <c r="H496" s="152"/>
      <c r="I496" s="153">
        <f>+SUMIF('NHẬP LIỆU'!$E:$E,NVL!$B496,'NHẬP LIỆU'!$K:$K)</f>
        <v>0</v>
      </c>
      <c r="J496" s="156">
        <f>+SUMIF('NHẬP LIỆU'!$E:$E,NVL!$B496,'NHẬP LIỆU'!$L:$L)</f>
        <v>0</v>
      </c>
      <c r="K496" s="154">
        <f>+NVL!$H496+NVL!$I496-NVL!$J496</f>
        <v>0</v>
      </c>
      <c r="L496" s="155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23.25" customHeight="1">
      <c r="A497" s="147">
        <f t="shared" si="1"/>
        <v>21</v>
      </c>
      <c r="B497" s="170"/>
      <c r="C497" s="167"/>
      <c r="D497" s="150"/>
      <c r="E497" s="331"/>
      <c r="F497" s="331"/>
      <c r="G497" s="331"/>
      <c r="H497" s="152"/>
      <c r="I497" s="153">
        <f>+SUMIF('NHẬP LIỆU'!$E:$E,NVL!$B497,'NHẬP LIỆU'!$K:$K)</f>
        <v>0</v>
      </c>
      <c r="J497" s="156">
        <f>+SUMIF('NHẬP LIỆU'!$E:$E,NVL!$B497,'NHẬP LIỆU'!$L:$L)</f>
        <v>0</v>
      </c>
      <c r="K497" s="154">
        <f>+NVL!$H497+NVL!$I497-NVL!$J497</f>
        <v>0</v>
      </c>
      <c r="L497" s="155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23.25" customHeight="1">
      <c r="A498" s="147">
        <f t="shared" si="1"/>
        <v>21</v>
      </c>
      <c r="B498" s="170"/>
      <c r="C498" s="167"/>
      <c r="D498" s="150"/>
      <c r="E498" s="331"/>
      <c r="F498" s="331"/>
      <c r="G498" s="331"/>
      <c r="H498" s="152"/>
      <c r="I498" s="153">
        <f>+SUMIF('NHẬP LIỆU'!$E:$E,NVL!$B498,'NHẬP LIỆU'!$K:$K)</f>
        <v>0</v>
      </c>
      <c r="J498" s="156">
        <f>+SUMIF('NHẬP LIỆU'!$E:$E,NVL!$B498,'NHẬP LIỆU'!$L:$L)</f>
        <v>0</v>
      </c>
      <c r="K498" s="154">
        <f>+NVL!$H498+NVL!$I498-NVL!$J498</f>
        <v>0</v>
      </c>
      <c r="L498" s="155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23.25" customHeight="1">
      <c r="A499" s="147">
        <f t="shared" si="1"/>
        <v>21</v>
      </c>
      <c r="B499" s="170"/>
      <c r="C499" s="167"/>
      <c r="D499" s="150"/>
      <c r="E499" s="331"/>
      <c r="F499" s="331"/>
      <c r="G499" s="331"/>
      <c r="H499" s="152"/>
      <c r="I499" s="153">
        <f>+SUMIF('NHẬP LIỆU'!$E:$E,NVL!$B499,'NHẬP LIỆU'!$K:$K)</f>
        <v>0</v>
      </c>
      <c r="J499" s="156">
        <f>+SUMIF('NHẬP LIỆU'!$E:$E,NVL!$B499,'NHẬP LIỆU'!$L:$L)</f>
        <v>0</v>
      </c>
      <c r="K499" s="154">
        <f>+NVL!$H499+NVL!$I499-NVL!$J499</f>
        <v>0</v>
      </c>
      <c r="L499" s="155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23.25" customHeight="1">
      <c r="A500" s="147">
        <f t="shared" si="1"/>
        <v>21</v>
      </c>
      <c r="B500" s="170"/>
      <c r="C500" s="167"/>
      <c r="D500" s="150"/>
      <c r="E500" s="331"/>
      <c r="F500" s="331"/>
      <c r="G500" s="331"/>
      <c r="H500" s="152"/>
      <c r="I500" s="153">
        <f>+SUMIF('NHẬP LIỆU'!$E:$E,NVL!$B500,'NHẬP LIỆU'!$K:$K)</f>
        <v>0</v>
      </c>
      <c r="J500" s="156">
        <f>+SUMIF('NHẬP LIỆU'!$E:$E,NVL!$B500,'NHẬP LIỆU'!$L:$L)</f>
        <v>0</v>
      </c>
      <c r="K500" s="154">
        <f>+NVL!$H500+NVL!$I500-NVL!$J500</f>
        <v>0</v>
      </c>
      <c r="L500" s="155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23.25" customHeight="1">
      <c r="A501" s="147">
        <f t="shared" si="1"/>
        <v>21</v>
      </c>
      <c r="B501" s="170"/>
      <c r="C501" s="167"/>
      <c r="D501" s="150"/>
      <c r="E501" s="331"/>
      <c r="F501" s="331"/>
      <c r="G501" s="331"/>
      <c r="H501" s="152"/>
      <c r="I501" s="153">
        <f>+SUMIF('NHẬP LIỆU'!$E:$E,NVL!$B501,'NHẬP LIỆU'!$K:$K)</f>
        <v>0</v>
      </c>
      <c r="J501" s="156">
        <f>+SUMIF('NHẬP LIỆU'!$E:$E,NVL!$B501,'NHẬP LIỆU'!$L:$L)</f>
        <v>0</v>
      </c>
      <c r="K501" s="154">
        <f>+NVL!$H501+NVL!$I501-NVL!$J501</f>
        <v>0</v>
      </c>
      <c r="L501" s="155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23.25" customHeight="1">
      <c r="A502" s="147">
        <f t="shared" si="1"/>
        <v>21</v>
      </c>
      <c r="B502" s="170"/>
      <c r="C502" s="167"/>
      <c r="D502" s="150"/>
      <c r="E502" s="331"/>
      <c r="F502" s="331"/>
      <c r="G502" s="331"/>
      <c r="H502" s="152"/>
      <c r="I502" s="153">
        <f>+SUMIF('NHẬP LIỆU'!$E:$E,NVL!$B502,'NHẬP LIỆU'!$K:$K)</f>
        <v>0</v>
      </c>
      <c r="J502" s="156">
        <f>+SUMIF('NHẬP LIỆU'!$E:$E,NVL!$B502,'NHẬP LIỆU'!$L:$L)</f>
        <v>0</v>
      </c>
      <c r="K502" s="154">
        <f>+NVL!$H502+NVL!$I502-NVL!$J502</f>
        <v>0</v>
      </c>
      <c r="L502" s="155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23.25" customHeight="1">
      <c r="A503" s="147">
        <f t="shared" si="1"/>
        <v>21</v>
      </c>
      <c r="B503" s="170"/>
      <c r="C503" s="167"/>
      <c r="D503" s="150"/>
      <c r="E503" s="331"/>
      <c r="F503" s="331"/>
      <c r="G503" s="331"/>
      <c r="H503" s="152"/>
      <c r="I503" s="153">
        <f>+SUMIF('NHẬP LIỆU'!$E:$E,NVL!$B503,'NHẬP LIỆU'!$K:$K)</f>
        <v>0</v>
      </c>
      <c r="J503" s="156">
        <f>+SUMIF('NHẬP LIỆU'!$E:$E,NVL!$B503,'NHẬP LIỆU'!$L:$L)</f>
        <v>0</v>
      </c>
      <c r="K503" s="154">
        <f>+NVL!$H503+NVL!$I503-NVL!$J503</f>
        <v>0</v>
      </c>
      <c r="L503" s="155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23.25" customHeight="1">
      <c r="A504" s="147">
        <f t="shared" si="1"/>
        <v>21</v>
      </c>
      <c r="B504" s="170"/>
      <c r="C504" s="167"/>
      <c r="D504" s="150"/>
      <c r="E504" s="331"/>
      <c r="F504" s="331"/>
      <c r="G504" s="331"/>
      <c r="H504" s="152"/>
      <c r="I504" s="153">
        <f>+SUMIF('NHẬP LIỆU'!$E:$E,NVL!$B504,'NHẬP LIỆU'!$K:$K)</f>
        <v>0</v>
      </c>
      <c r="J504" s="156">
        <f>+SUMIF('NHẬP LIỆU'!$E:$E,NVL!$B504,'NHẬP LIỆU'!$L:$L)</f>
        <v>0</v>
      </c>
      <c r="K504" s="154">
        <f>+NVL!$H504+NVL!$I504-NVL!$J504</f>
        <v>0</v>
      </c>
      <c r="L504" s="155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23.25" customHeight="1">
      <c r="A505" s="147">
        <f t="shared" si="1"/>
        <v>21</v>
      </c>
      <c r="B505" s="170"/>
      <c r="C505" s="167"/>
      <c r="D505" s="150"/>
      <c r="E505" s="331"/>
      <c r="F505" s="331"/>
      <c r="G505" s="331"/>
      <c r="H505" s="152"/>
      <c r="I505" s="153">
        <f>+SUMIF('NHẬP LIỆU'!$E:$E,NVL!$B505,'NHẬP LIỆU'!$K:$K)</f>
        <v>0</v>
      </c>
      <c r="J505" s="156">
        <f>+SUMIF('NHẬP LIỆU'!$E:$E,NVL!$B505,'NHẬP LIỆU'!$L:$L)</f>
        <v>0</v>
      </c>
      <c r="K505" s="154">
        <f>+NVL!$H505+NVL!$I505-NVL!$J505</f>
        <v>0</v>
      </c>
      <c r="L505" s="155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23.25" customHeight="1">
      <c r="A506" s="147">
        <f t="shared" si="1"/>
        <v>21</v>
      </c>
      <c r="B506" s="170"/>
      <c r="C506" s="167"/>
      <c r="D506" s="150"/>
      <c r="E506" s="331"/>
      <c r="F506" s="331"/>
      <c r="G506" s="331"/>
      <c r="H506" s="152"/>
      <c r="I506" s="153">
        <f>+SUMIF('NHẬP LIỆU'!$E:$E,NVL!$B506,'NHẬP LIỆU'!$K:$K)</f>
        <v>0</v>
      </c>
      <c r="J506" s="156">
        <f>+SUMIF('NHẬP LIỆU'!$E:$E,NVL!$B506,'NHẬP LIỆU'!$L:$L)</f>
        <v>0</v>
      </c>
      <c r="K506" s="154">
        <f>+NVL!$H506+NVL!$I506-NVL!$J506</f>
        <v>0</v>
      </c>
      <c r="L506" s="155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23.25" customHeight="1">
      <c r="A507" s="147">
        <f t="shared" si="1"/>
        <v>21</v>
      </c>
      <c r="B507" s="170"/>
      <c r="C507" s="167"/>
      <c r="D507" s="150"/>
      <c r="E507" s="331"/>
      <c r="F507" s="331"/>
      <c r="G507" s="331"/>
      <c r="H507" s="152"/>
      <c r="I507" s="153">
        <f>+SUMIF('NHẬP LIỆU'!$E:$E,NVL!$B507,'NHẬP LIỆU'!$K:$K)</f>
        <v>0</v>
      </c>
      <c r="J507" s="156">
        <f>+SUMIF('NHẬP LIỆU'!$E:$E,NVL!$B507,'NHẬP LIỆU'!$L:$L)</f>
        <v>0</v>
      </c>
      <c r="K507" s="154">
        <f>+NVL!$H507+NVL!$I507-NVL!$J507</f>
        <v>0</v>
      </c>
      <c r="L507" s="155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23.25" customHeight="1">
      <c r="A508" s="147">
        <f t="shared" si="1"/>
        <v>21</v>
      </c>
      <c r="B508" s="170"/>
      <c r="C508" s="167"/>
      <c r="D508" s="150"/>
      <c r="E508" s="331"/>
      <c r="F508" s="331"/>
      <c r="G508" s="331"/>
      <c r="H508" s="152"/>
      <c r="I508" s="153">
        <f>+SUMIF('NHẬP LIỆU'!$E:$E,NVL!$B508,'NHẬP LIỆU'!$K:$K)</f>
        <v>0</v>
      </c>
      <c r="J508" s="156">
        <f>+SUMIF('NHẬP LIỆU'!$E:$E,NVL!$B508,'NHẬP LIỆU'!$L:$L)</f>
        <v>0</v>
      </c>
      <c r="K508" s="154">
        <f>+NVL!$H508+NVL!$I508-NVL!$J508</f>
        <v>0</v>
      </c>
      <c r="L508" s="155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23.25" customHeight="1">
      <c r="A509" s="147">
        <f t="shared" si="1"/>
        <v>21</v>
      </c>
      <c r="B509" s="170"/>
      <c r="C509" s="149"/>
      <c r="D509" s="150"/>
      <c r="E509" s="331"/>
      <c r="F509" s="331"/>
      <c r="G509" s="331"/>
      <c r="H509" s="152"/>
      <c r="I509" s="153">
        <f>+SUMIF('NHẬP LIỆU'!$E:$E,NVL!$B509,'NHẬP LIỆU'!$K:$K)</f>
        <v>0</v>
      </c>
      <c r="J509" s="156">
        <f>+SUMIF('NHẬP LIỆU'!$E:$E,NVL!$B509,'NHẬP LIỆU'!$L:$L)</f>
        <v>0</v>
      </c>
      <c r="K509" s="154">
        <f>+NVL!$H509+NVL!$I509-NVL!$J509</f>
        <v>0</v>
      </c>
      <c r="L509" s="172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23.25" customHeight="1">
      <c r="A510" s="147">
        <f t="shared" si="1"/>
        <v>21</v>
      </c>
      <c r="B510" s="170"/>
      <c r="C510" s="149"/>
      <c r="D510" s="150"/>
      <c r="E510" s="331"/>
      <c r="F510" s="331"/>
      <c r="G510" s="331"/>
      <c r="H510" s="152"/>
      <c r="I510" s="153">
        <f>+SUMIF('NHẬP LIỆU'!$E:$E,NVL!$B510,'NHẬP LIỆU'!$K:$K)</f>
        <v>0</v>
      </c>
      <c r="J510" s="156">
        <f>+SUMIF('NHẬP LIỆU'!$E:$E,NVL!$B510,'NHẬP LIỆU'!$L:$L)</f>
        <v>0</v>
      </c>
      <c r="K510" s="154">
        <f>+NVL!$H510+NVL!$I510-NVL!$J510</f>
        <v>0</v>
      </c>
      <c r="L510" s="155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23.25" customHeight="1">
      <c r="A511" s="147">
        <f t="shared" si="1"/>
        <v>21</v>
      </c>
      <c r="B511" s="170"/>
      <c r="C511" s="149"/>
      <c r="D511" s="150"/>
      <c r="E511" s="331"/>
      <c r="F511" s="331"/>
      <c r="G511" s="331"/>
      <c r="H511" s="152"/>
      <c r="I511" s="153">
        <f>+SUMIF('NHẬP LIỆU'!$E:$E,NVL!$B511,'NHẬP LIỆU'!$K:$K)</f>
        <v>0</v>
      </c>
      <c r="J511" s="156">
        <f>+SUMIF('NHẬP LIỆU'!$E:$E,NVL!$B511,'NHẬP LIỆU'!$L:$L)</f>
        <v>0</v>
      </c>
      <c r="K511" s="154">
        <f>+NVL!$H511+NVL!$I511-NVL!$J511</f>
        <v>0</v>
      </c>
      <c r="L511" s="155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23.25" customHeight="1">
      <c r="A512" s="147">
        <f t="shared" si="1"/>
        <v>21</v>
      </c>
      <c r="B512" s="170"/>
      <c r="C512" s="149"/>
      <c r="D512" s="150"/>
      <c r="E512" s="331"/>
      <c r="F512" s="331"/>
      <c r="G512" s="331"/>
      <c r="H512" s="152"/>
      <c r="I512" s="153">
        <f>+SUMIF('NHẬP LIỆU'!$E:$E,NVL!$B512,'NHẬP LIỆU'!$K:$K)</f>
        <v>0</v>
      </c>
      <c r="J512" s="156">
        <f>+SUMIF('NHẬP LIỆU'!$E:$E,NVL!$B512,'NHẬP LIỆU'!$L:$L)</f>
        <v>0</v>
      </c>
      <c r="K512" s="154">
        <f>+NVL!$H512+NVL!$I512-NVL!$J512</f>
        <v>0</v>
      </c>
      <c r="L512" s="155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23.25" customHeight="1">
      <c r="A513" s="147">
        <f t="shared" si="1"/>
        <v>21</v>
      </c>
      <c r="B513" s="170"/>
      <c r="C513" s="149"/>
      <c r="D513" s="150"/>
      <c r="E513" s="331"/>
      <c r="F513" s="331"/>
      <c r="G513" s="331"/>
      <c r="H513" s="152"/>
      <c r="I513" s="153">
        <f>+SUMIF('NHẬP LIỆU'!$E:$E,NVL!$B513,'NHẬP LIỆU'!$K:$K)</f>
        <v>0</v>
      </c>
      <c r="J513" s="156">
        <f>+SUMIF('NHẬP LIỆU'!$E:$E,NVL!$B513,'NHẬP LIỆU'!$L:$L)</f>
        <v>0</v>
      </c>
      <c r="K513" s="154">
        <f>+NVL!$H513+NVL!$I513-NVL!$J513</f>
        <v>0</v>
      </c>
      <c r="L513" s="155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23.25" customHeight="1">
      <c r="A514" s="147">
        <f t="shared" si="1"/>
        <v>21</v>
      </c>
      <c r="B514" s="170"/>
      <c r="C514" s="167"/>
      <c r="D514" s="150"/>
      <c r="E514" s="331"/>
      <c r="F514" s="331"/>
      <c r="G514" s="331"/>
      <c r="H514" s="152"/>
      <c r="I514" s="153">
        <f>+SUMIF('NHẬP LIỆU'!$E:$E,NVL!$B514,'NHẬP LIỆU'!$K:$K)</f>
        <v>0</v>
      </c>
      <c r="J514" s="156">
        <f>+SUMIF('NHẬP LIỆU'!$E:$E,NVL!$B514,'NHẬP LIỆU'!$L:$L)</f>
        <v>0</v>
      </c>
      <c r="K514" s="154">
        <f>+NVL!$H514+NVL!$I514-NVL!$J514</f>
        <v>0</v>
      </c>
      <c r="L514" s="155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23.25" customHeight="1">
      <c r="A515" s="147">
        <f t="shared" si="1"/>
        <v>21</v>
      </c>
      <c r="B515" s="170"/>
      <c r="C515" s="167"/>
      <c r="D515" s="150"/>
      <c r="E515" s="331"/>
      <c r="F515" s="331"/>
      <c r="G515" s="331"/>
      <c r="H515" s="152"/>
      <c r="I515" s="153">
        <f>+SUMIF('NHẬP LIỆU'!$E:$E,NVL!$B515,'NHẬP LIỆU'!$K:$K)</f>
        <v>0</v>
      </c>
      <c r="J515" s="156">
        <f>+SUMIF('NHẬP LIỆU'!$E:$E,NVL!$B515,'NHẬP LIỆU'!$L:$L)</f>
        <v>0</v>
      </c>
      <c r="K515" s="154">
        <f>+NVL!$H515+NVL!$I515-NVL!$J515</f>
        <v>0</v>
      </c>
      <c r="L515" s="155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23.25" customHeight="1">
      <c r="A516" s="147">
        <f t="shared" si="1"/>
        <v>21</v>
      </c>
      <c r="B516" s="170"/>
      <c r="C516" s="167"/>
      <c r="D516" s="150"/>
      <c r="E516" s="331"/>
      <c r="F516" s="331"/>
      <c r="G516" s="331"/>
      <c r="H516" s="152"/>
      <c r="I516" s="153">
        <f>+SUMIF('NHẬP LIỆU'!$E:$E,NVL!$B516,'NHẬP LIỆU'!$K:$K)</f>
        <v>0</v>
      </c>
      <c r="J516" s="156">
        <f>+SUMIF('NHẬP LIỆU'!$E:$E,NVL!$B516,'NHẬP LIỆU'!$L:$L)</f>
        <v>0</v>
      </c>
      <c r="K516" s="154">
        <f>+NVL!$H516+NVL!$I516-NVL!$J516</f>
        <v>0</v>
      </c>
      <c r="L516" s="155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23.25" customHeight="1">
      <c r="A517" s="147">
        <f t="shared" si="1"/>
        <v>21</v>
      </c>
      <c r="B517" s="170"/>
      <c r="C517" s="167"/>
      <c r="D517" s="150"/>
      <c r="E517" s="331"/>
      <c r="F517" s="331"/>
      <c r="G517" s="331"/>
      <c r="H517" s="152"/>
      <c r="I517" s="153">
        <f>+SUMIF('NHẬP LIỆU'!$E:$E,NVL!$B517,'NHẬP LIỆU'!$K:$K)</f>
        <v>0</v>
      </c>
      <c r="J517" s="156">
        <f>+SUMIF('NHẬP LIỆU'!$E:$E,NVL!$B517,'NHẬP LIỆU'!$L:$L)</f>
        <v>0</v>
      </c>
      <c r="K517" s="154">
        <f>+NVL!$H517+NVL!$I517-NVL!$J517</f>
        <v>0</v>
      </c>
      <c r="L517" s="155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23.25" customHeight="1">
      <c r="A518" s="147">
        <f t="shared" si="1"/>
        <v>21</v>
      </c>
      <c r="B518" s="170"/>
      <c r="C518" s="167"/>
      <c r="D518" s="150"/>
      <c r="E518" s="331"/>
      <c r="F518" s="331"/>
      <c r="G518" s="331"/>
      <c r="H518" s="152"/>
      <c r="I518" s="153">
        <f>+SUMIF('NHẬP LIỆU'!$E:$E,NVL!$B518,'NHẬP LIỆU'!$K:$K)</f>
        <v>0</v>
      </c>
      <c r="J518" s="156">
        <f>+SUMIF('NHẬP LIỆU'!$E:$E,NVL!$B518,'NHẬP LIỆU'!$L:$L)</f>
        <v>0</v>
      </c>
      <c r="K518" s="154">
        <f>+NVL!$H518+NVL!$I518-NVL!$J518</f>
        <v>0</v>
      </c>
      <c r="L518" s="155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23.25" customHeight="1">
      <c r="A519" s="147">
        <f t="shared" si="1"/>
        <v>21</v>
      </c>
      <c r="B519" s="170"/>
      <c r="C519" s="167"/>
      <c r="D519" s="150"/>
      <c r="E519" s="331"/>
      <c r="F519" s="331"/>
      <c r="G519" s="331"/>
      <c r="H519" s="152"/>
      <c r="I519" s="153">
        <f>+SUMIF('NHẬP LIỆU'!$E:$E,NVL!$B519,'NHẬP LIỆU'!$K:$K)</f>
        <v>0</v>
      </c>
      <c r="J519" s="156">
        <f>+SUMIF('NHẬP LIỆU'!$E:$E,NVL!$B519,'NHẬP LIỆU'!$L:$L)</f>
        <v>0</v>
      </c>
      <c r="K519" s="154">
        <f>+NVL!$H519+NVL!$I519-NVL!$J519</f>
        <v>0</v>
      </c>
      <c r="L519" s="155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23.25" customHeight="1">
      <c r="A520" s="147">
        <f t="shared" si="1"/>
        <v>21</v>
      </c>
      <c r="B520" s="170"/>
      <c r="C520" s="167"/>
      <c r="D520" s="150"/>
      <c r="E520" s="331"/>
      <c r="F520" s="331"/>
      <c r="G520" s="331"/>
      <c r="H520" s="152"/>
      <c r="I520" s="153">
        <f>+SUMIF('NHẬP LIỆU'!$E:$E,NVL!$B520,'NHẬP LIỆU'!$K:$K)</f>
        <v>0</v>
      </c>
      <c r="J520" s="156">
        <f>+SUMIF('NHẬP LIỆU'!$E:$E,NVL!$B520,'NHẬP LIỆU'!$L:$L)</f>
        <v>0</v>
      </c>
      <c r="K520" s="154">
        <f>+NVL!$H520+NVL!$I520-NVL!$J520</f>
        <v>0</v>
      </c>
      <c r="L520" s="155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23.25" customHeight="1">
      <c r="A521" s="147">
        <f t="shared" si="1"/>
        <v>21</v>
      </c>
      <c r="B521" s="170"/>
      <c r="C521" s="167"/>
      <c r="D521" s="150"/>
      <c r="E521" s="331"/>
      <c r="F521" s="331"/>
      <c r="G521" s="331"/>
      <c r="H521" s="152"/>
      <c r="I521" s="153">
        <f>+SUMIF('NHẬP LIỆU'!$E:$E,NVL!$B521,'NHẬP LIỆU'!$K:$K)</f>
        <v>0</v>
      </c>
      <c r="J521" s="156">
        <f>+SUMIF('NHẬP LIỆU'!$E:$E,NVL!$B521,'NHẬP LIỆU'!$L:$L)</f>
        <v>0</v>
      </c>
      <c r="K521" s="154">
        <f>+NVL!$H521+NVL!$I521-NVL!$J521</f>
        <v>0</v>
      </c>
      <c r="L521" s="155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23.25" customHeight="1">
      <c r="A522" s="147">
        <f t="shared" si="1"/>
        <v>21</v>
      </c>
      <c r="B522" s="170"/>
      <c r="C522" s="167"/>
      <c r="D522" s="150"/>
      <c r="E522" s="331"/>
      <c r="F522" s="331"/>
      <c r="G522" s="331"/>
      <c r="H522" s="152"/>
      <c r="I522" s="153">
        <f>+SUMIF('NHẬP LIỆU'!$E:$E,NVL!$B522,'NHẬP LIỆU'!$K:$K)</f>
        <v>0</v>
      </c>
      <c r="J522" s="156">
        <f>+SUMIF('NHẬP LIỆU'!$E:$E,NVL!$B522,'NHẬP LIỆU'!$L:$L)</f>
        <v>0</v>
      </c>
      <c r="K522" s="154">
        <f>+NVL!$H522+NVL!$I522-NVL!$J522</f>
        <v>0</v>
      </c>
      <c r="L522" s="155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23.25" customHeight="1">
      <c r="A523" s="147">
        <f t="shared" si="1"/>
        <v>21</v>
      </c>
      <c r="B523" s="170"/>
      <c r="C523" s="167"/>
      <c r="D523" s="150"/>
      <c r="E523" s="331"/>
      <c r="F523" s="331"/>
      <c r="G523" s="331"/>
      <c r="H523" s="152"/>
      <c r="I523" s="153">
        <f>+SUMIF('NHẬP LIỆU'!$E:$E,NVL!$B523,'NHẬP LIỆU'!$K:$K)</f>
        <v>0</v>
      </c>
      <c r="J523" s="156">
        <f>+SUMIF('NHẬP LIỆU'!$E:$E,NVL!$B523,'NHẬP LIỆU'!$L:$L)</f>
        <v>0</v>
      </c>
      <c r="K523" s="154">
        <f>+NVL!$H523+NVL!$I523-NVL!$J523</f>
        <v>0</v>
      </c>
      <c r="L523" s="155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23.25" customHeight="1">
      <c r="A524" s="147">
        <f t="shared" si="1"/>
        <v>21</v>
      </c>
      <c r="B524" s="170"/>
      <c r="C524" s="167"/>
      <c r="D524" s="150"/>
      <c r="E524" s="331"/>
      <c r="F524" s="331"/>
      <c r="G524" s="331"/>
      <c r="H524" s="152"/>
      <c r="I524" s="153">
        <f>+SUMIF('NHẬP LIỆU'!$E:$E,NVL!$B524,'NHẬP LIỆU'!$K:$K)</f>
        <v>0</v>
      </c>
      <c r="J524" s="156">
        <f>+SUMIF('NHẬP LIỆU'!$E:$E,NVL!$B524,'NHẬP LIỆU'!$L:$L)</f>
        <v>0</v>
      </c>
      <c r="K524" s="154">
        <f>+NVL!$H524+NVL!$I524-NVL!$J524</f>
        <v>0</v>
      </c>
      <c r="L524" s="155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23.25" customHeight="1">
      <c r="A525" s="147">
        <f t="shared" si="1"/>
        <v>21</v>
      </c>
      <c r="B525" s="170"/>
      <c r="C525" s="167"/>
      <c r="D525" s="150"/>
      <c r="E525" s="331"/>
      <c r="F525" s="331"/>
      <c r="G525" s="331"/>
      <c r="H525" s="152"/>
      <c r="I525" s="153">
        <f>+SUMIF('NHẬP LIỆU'!$E:$E,NVL!$B525,'NHẬP LIỆU'!$K:$K)</f>
        <v>0</v>
      </c>
      <c r="J525" s="156">
        <f>+SUMIF('NHẬP LIỆU'!$E:$E,NVL!$B525,'NHẬP LIỆU'!$L:$L)</f>
        <v>0</v>
      </c>
      <c r="K525" s="154">
        <f>+NVL!$H525+NVL!$I525-NVL!$J525</f>
        <v>0</v>
      </c>
      <c r="L525" s="155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23.25" customHeight="1">
      <c r="A526" s="147">
        <f t="shared" si="1"/>
        <v>21</v>
      </c>
      <c r="B526" s="170"/>
      <c r="C526" s="167"/>
      <c r="D526" s="150"/>
      <c r="E526" s="331"/>
      <c r="F526" s="331"/>
      <c r="G526" s="331"/>
      <c r="H526" s="152"/>
      <c r="I526" s="153">
        <f>+SUMIF('NHẬP LIỆU'!$E:$E,NVL!$B526,'NHẬP LIỆU'!$K:$K)</f>
        <v>0</v>
      </c>
      <c r="J526" s="156">
        <f>+SUMIF('NHẬP LIỆU'!$E:$E,NVL!$B526,'NHẬP LIỆU'!$L:$L)</f>
        <v>0</v>
      </c>
      <c r="K526" s="154">
        <f>+NVL!$H526+NVL!$I526-NVL!$J526</f>
        <v>0</v>
      </c>
      <c r="L526" s="155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23.25" customHeight="1">
      <c r="A527" s="147">
        <f t="shared" si="1"/>
        <v>21</v>
      </c>
      <c r="B527" s="170"/>
      <c r="C527" s="167"/>
      <c r="D527" s="150"/>
      <c r="E527" s="331"/>
      <c r="F527" s="331"/>
      <c r="G527" s="331"/>
      <c r="H527" s="152"/>
      <c r="I527" s="153">
        <f>+SUMIF('NHẬP LIỆU'!$E:$E,NVL!$B527,'NHẬP LIỆU'!$K:$K)</f>
        <v>0</v>
      </c>
      <c r="J527" s="156">
        <f>+SUMIF('NHẬP LIỆU'!$E:$E,NVL!$B527,'NHẬP LIỆU'!$L:$L)</f>
        <v>0</v>
      </c>
      <c r="K527" s="154">
        <f>+NVL!$H527+NVL!$I527-NVL!$J527</f>
        <v>0</v>
      </c>
      <c r="L527" s="155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23.25" customHeight="1">
      <c r="A528" s="147">
        <f t="shared" si="1"/>
        <v>21</v>
      </c>
      <c r="B528" s="170"/>
      <c r="C528" s="167"/>
      <c r="D528" s="150"/>
      <c r="E528" s="331"/>
      <c r="F528" s="331"/>
      <c r="G528" s="331"/>
      <c r="H528" s="152"/>
      <c r="I528" s="153">
        <f>+SUMIF('NHẬP LIỆU'!$E:$E,NVL!$B528,'NHẬP LIỆU'!$K:$K)</f>
        <v>0</v>
      </c>
      <c r="J528" s="156">
        <f>+SUMIF('NHẬP LIỆU'!$E:$E,NVL!$B528,'NHẬP LIỆU'!$L:$L)</f>
        <v>0</v>
      </c>
      <c r="K528" s="154">
        <f>+NVL!$H528+NVL!$I528-NVL!$J528</f>
        <v>0</v>
      </c>
      <c r="L528" s="155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23.25" customHeight="1">
      <c r="A529" s="147">
        <f t="shared" si="1"/>
        <v>21</v>
      </c>
      <c r="B529" s="170"/>
      <c r="C529" s="167"/>
      <c r="D529" s="150"/>
      <c r="E529" s="331"/>
      <c r="F529" s="331"/>
      <c r="G529" s="331"/>
      <c r="H529" s="152"/>
      <c r="I529" s="153">
        <f>+SUMIF('NHẬP LIỆU'!$E:$E,NVL!$B529,'NHẬP LIỆU'!$K:$K)</f>
        <v>0</v>
      </c>
      <c r="J529" s="156">
        <f>+SUMIF('NHẬP LIỆU'!$E:$E,NVL!$B529,'NHẬP LIỆU'!$L:$L)</f>
        <v>0</v>
      </c>
      <c r="K529" s="154">
        <f>+NVL!$H529+NVL!$I529-NVL!$J529</f>
        <v>0</v>
      </c>
      <c r="L529" s="155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23.25" customHeight="1">
      <c r="A530" s="147">
        <f t="shared" si="1"/>
        <v>21</v>
      </c>
      <c r="B530" s="170"/>
      <c r="C530" s="167"/>
      <c r="D530" s="150"/>
      <c r="E530" s="331"/>
      <c r="F530" s="331"/>
      <c r="G530" s="331"/>
      <c r="H530" s="152"/>
      <c r="I530" s="153">
        <f>+SUMIF('NHẬP LIỆU'!$E:$E,NVL!$B530,'NHẬP LIỆU'!$K:$K)</f>
        <v>0</v>
      </c>
      <c r="J530" s="156">
        <f>+SUMIF('NHẬP LIỆU'!$E:$E,NVL!$B530,'NHẬP LIỆU'!$L:$L)</f>
        <v>0</v>
      </c>
      <c r="K530" s="154">
        <f>+NVL!$H530+NVL!$I530-NVL!$J530</f>
        <v>0</v>
      </c>
      <c r="L530" s="155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23.25" customHeight="1">
      <c r="A531" s="147">
        <f t="shared" si="1"/>
        <v>21</v>
      </c>
      <c r="B531" s="170"/>
      <c r="C531" s="167"/>
      <c r="D531" s="150"/>
      <c r="E531" s="331"/>
      <c r="F531" s="331"/>
      <c r="G531" s="331"/>
      <c r="H531" s="152"/>
      <c r="I531" s="153">
        <f>+SUMIF('NHẬP LIỆU'!$E:$E,NVL!$B531,'NHẬP LIỆU'!$K:$K)</f>
        <v>0</v>
      </c>
      <c r="J531" s="156">
        <f>+SUMIF('NHẬP LIỆU'!$E:$E,NVL!$B531,'NHẬP LIỆU'!$L:$L)</f>
        <v>0</v>
      </c>
      <c r="K531" s="154">
        <f>+NVL!$H531+NVL!$I531-NVL!$J531</f>
        <v>0</v>
      </c>
      <c r="L531" s="155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23.25" customHeight="1">
      <c r="A532" s="147">
        <f t="shared" si="1"/>
        <v>21</v>
      </c>
      <c r="B532" s="170"/>
      <c r="C532" s="167"/>
      <c r="D532" s="150"/>
      <c r="E532" s="331"/>
      <c r="F532" s="331"/>
      <c r="G532" s="331"/>
      <c r="H532" s="152"/>
      <c r="I532" s="153">
        <f>+SUMIF('NHẬP LIỆU'!$E:$E,NVL!$B532,'NHẬP LIỆU'!$K:$K)</f>
        <v>0</v>
      </c>
      <c r="J532" s="156">
        <f>+SUMIF('NHẬP LIỆU'!$E:$E,NVL!$B532,'NHẬP LIỆU'!$L:$L)</f>
        <v>0</v>
      </c>
      <c r="K532" s="154">
        <f>+NVL!$H532+NVL!$I532-NVL!$J532</f>
        <v>0</v>
      </c>
      <c r="L532" s="155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23.25" customHeight="1">
      <c r="A533" s="147">
        <f t="shared" si="1"/>
        <v>21</v>
      </c>
      <c r="B533" s="170"/>
      <c r="C533" s="167"/>
      <c r="D533" s="150"/>
      <c r="E533" s="331"/>
      <c r="F533" s="331"/>
      <c r="G533" s="331"/>
      <c r="H533" s="152"/>
      <c r="I533" s="153">
        <f>+SUMIF('NHẬP LIỆU'!$E:$E,NVL!$B533,'NHẬP LIỆU'!$K:$K)</f>
        <v>0</v>
      </c>
      <c r="J533" s="156">
        <f>+SUMIF('NHẬP LIỆU'!$E:$E,NVL!$B533,'NHẬP LIỆU'!$L:$L)</f>
        <v>0</v>
      </c>
      <c r="K533" s="154">
        <f>+NVL!$H533+NVL!$I533-NVL!$J533</f>
        <v>0</v>
      </c>
      <c r="L533" s="155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23.25" customHeight="1">
      <c r="A534" s="147">
        <f t="shared" si="1"/>
        <v>21</v>
      </c>
      <c r="B534" s="170"/>
      <c r="C534" s="167"/>
      <c r="D534" s="150"/>
      <c r="E534" s="331"/>
      <c r="F534" s="331"/>
      <c r="G534" s="331"/>
      <c r="H534" s="152"/>
      <c r="I534" s="153">
        <f>+SUMIF('NHẬP LIỆU'!$E:$E,NVL!$B534,'NHẬP LIỆU'!$K:$K)</f>
        <v>0</v>
      </c>
      <c r="J534" s="156">
        <f>+SUMIF('NHẬP LIỆU'!$E:$E,NVL!$B534,'NHẬP LIỆU'!$L:$L)</f>
        <v>0</v>
      </c>
      <c r="K534" s="154">
        <f>+NVL!$H534+NVL!$I534-NVL!$J534</f>
        <v>0</v>
      </c>
      <c r="L534" s="155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23.25" customHeight="1">
      <c r="A535" s="147">
        <f t="shared" si="1"/>
        <v>21</v>
      </c>
      <c r="B535" s="170"/>
      <c r="C535" s="167"/>
      <c r="D535" s="150"/>
      <c r="E535" s="331"/>
      <c r="F535" s="331"/>
      <c r="G535" s="331"/>
      <c r="H535" s="152"/>
      <c r="I535" s="153">
        <f>+SUMIF('NHẬP LIỆU'!$E:$E,NVL!$B535,'NHẬP LIỆU'!$K:$K)</f>
        <v>0</v>
      </c>
      <c r="J535" s="156">
        <f>+SUMIF('NHẬP LIỆU'!$E:$E,NVL!$B535,'NHẬP LIỆU'!$L:$L)</f>
        <v>0</v>
      </c>
      <c r="K535" s="154">
        <f>+NVL!$H535+NVL!$I535-NVL!$J535</f>
        <v>0</v>
      </c>
      <c r="L535" s="155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23.25" customHeight="1">
      <c r="A536" s="147">
        <f t="shared" si="1"/>
        <v>21</v>
      </c>
      <c r="B536" s="170"/>
      <c r="C536" s="167"/>
      <c r="D536" s="150"/>
      <c r="E536" s="331"/>
      <c r="F536" s="331"/>
      <c r="G536" s="331"/>
      <c r="H536" s="152"/>
      <c r="I536" s="153">
        <f>+SUMIF('NHẬP LIỆU'!$E:$E,NVL!$B536,'NHẬP LIỆU'!$K:$K)</f>
        <v>0</v>
      </c>
      <c r="J536" s="156">
        <f>+SUMIF('NHẬP LIỆU'!$E:$E,NVL!$B536,'NHẬP LIỆU'!$L:$L)</f>
        <v>0</v>
      </c>
      <c r="K536" s="154">
        <f>+NVL!$H536+NVL!$I536-NVL!$J536</f>
        <v>0</v>
      </c>
      <c r="L536" s="155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23.25" customHeight="1">
      <c r="A537" s="147">
        <f t="shared" si="1"/>
        <v>21</v>
      </c>
      <c r="B537" s="170"/>
      <c r="C537" s="167"/>
      <c r="D537" s="150"/>
      <c r="E537" s="331"/>
      <c r="F537" s="331"/>
      <c r="G537" s="331"/>
      <c r="H537" s="152"/>
      <c r="I537" s="153">
        <f>+SUMIF('NHẬP LIỆU'!$E:$E,NVL!$B537,'NHẬP LIỆU'!$K:$K)</f>
        <v>0</v>
      </c>
      <c r="J537" s="156">
        <f>+SUMIF('NHẬP LIỆU'!$E:$E,NVL!$B537,'NHẬP LIỆU'!$L:$L)</f>
        <v>0</v>
      </c>
      <c r="K537" s="154">
        <f>+NVL!$H537+NVL!$I537-NVL!$J537</f>
        <v>0</v>
      </c>
      <c r="L537" s="155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23.25" customHeight="1">
      <c r="A538" s="147">
        <f t="shared" si="1"/>
        <v>21</v>
      </c>
      <c r="B538" s="170"/>
      <c r="C538" s="167"/>
      <c r="D538" s="150"/>
      <c r="E538" s="331"/>
      <c r="F538" s="331"/>
      <c r="G538" s="331"/>
      <c r="H538" s="152"/>
      <c r="I538" s="153">
        <f>+SUMIF('NHẬP LIỆU'!$E:$E,NVL!$B538,'NHẬP LIỆU'!$K:$K)</f>
        <v>0</v>
      </c>
      <c r="J538" s="156">
        <f>+SUMIF('NHẬP LIỆU'!$E:$E,NVL!$B538,'NHẬP LIỆU'!$L:$L)</f>
        <v>0</v>
      </c>
      <c r="K538" s="154">
        <f>+NVL!$H538+NVL!$I538-NVL!$J538</f>
        <v>0</v>
      </c>
      <c r="L538" s="155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23.25" customHeight="1">
      <c r="A539" s="147">
        <f t="shared" si="1"/>
        <v>21</v>
      </c>
      <c r="B539" s="170"/>
      <c r="C539" s="167"/>
      <c r="D539" s="150"/>
      <c r="E539" s="331"/>
      <c r="F539" s="331"/>
      <c r="G539" s="331"/>
      <c r="H539" s="152"/>
      <c r="I539" s="153">
        <f>+SUMIF('NHẬP LIỆU'!$E:$E,NVL!$B539,'NHẬP LIỆU'!$K:$K)</f>
        <v>0</v>
      </c>
      <c r="J539" s="156">
        <f>+SUMIF('NHẬP LIỆU'!$E:$E,NVL!$B539,'NHẬP LIỆU'!$L:$L)</f>
        <v>0</v>
      </c>
      <c r="K539" s="154">
        <f>+NVL!$H539+NVL!$I539-NVL!$J539</f>
        <v>0</v>
      </c>
      <c r="L539" s="155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23.25" customHeight="1">
      <c r="A540" s="147">
        <f t="shared" si="1"/>
        <v>21</v>
      </c>
      <c r="B540" s="170"/>
      <c r="C540" s="167"/>
      <c r="D540" s="150"/>
      <c r="E540" s="331"/>
      <c r="F540" s="331"/>
      <c r="G540" s="331"/>
      <c r="H540" s="152"/>
      <c r="I540" s="153">
        <f>+SUMIF('NHẬP LIỆU'!$E:$E,NVL!$B540,'NHẬP LIỆU'!$K:$K)</f>
        <v>0</v>
      </c>
      <c r="J540" s="156">
        <f>+SUMIF('NHẬP LIỆU'!$E:$E,NVL!$B540,'NHẬP LIỆU'!$L:$L)</f>
        <v>0</v>
      </c>
      <c r="K540" s="154">
        <f>+NVL!$H540+NVL!$I540-NVL!$J540</f>
        <v>0</v>
      </c>
      <c r="L540" s="155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23.25" customHeight="1">
      <c r="A541" s="147">
        <f t="shared" si="1"/>
        <v>21</v>
      </c>
      <c r="B541" s="170"/>
      <c r="C541" s="167"/>
      <c r="D541" s="150"/>
      <c r="E541" s="331"/>
      <c r="F541" s="331"/>
      <c r="G541" s="331"/>
      <c r="H541" s="152"/>
      <c r="I541" s="153">
        <f>+SUMIF('NHẬP LIỆU'!$E:$E,NVL!$B541,'NHẬP LIỆU'!$K:$K)</f>
        <v>0</v>
      </c>
      <c r="J541" s="156">
        <f>+SUMIF('NHẬP LIỆU'!$E:$E,NVL!$B541,'NHẬP LIỆU'!$L:$L)</f>
        <v>0</v>
      </c>
      <c r="K541" s="154">
        <f>+NVL!$H541+NVL!$I541-NVL!$J541</f>
        <v>0</v>
      </c>
      <c r="L541" s="155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23.25" customHeight="1">
      <c r="A542" s="147">
        <f t="shared" si="1"/>
        <v>21</v>
      </c>
      <c r="B542" s="170"/>
      <c r="C542" s="167"/>
      <c r="D542" s="150"/>
      <c r="E542" s="331"/>
      <c r="F542" s="331"/>
      <c r="G542" s="331"/>
      <c r="H542" s="152"/>
      <c r="I542" s="153">
        <f>+SUMIF('NHẬP LIỆU'!$E:$E,NVL!$B542,'NHẬP LIỆU'!$K:$K)</f>
        <v>0</v>
      </c>
      <c r="J542" s="156">
        <f>+SUMIF('NHẬP LIỆU'!$E:$E,NVL!$B542,'NHẬP LIỆU'!$L:$L)</f>
        <v>0</v>
      </c>
      <c r="K542" s="154">
        <f>+NVL!$H542+NVL!$I542-NVL!$J542</f>
        <v>0</v>
      </c>
      <c r="L542" s="155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23.25" customHeight="1">
      <c r="A543" s="147">
        <f t="shared" si="1"/>
        <v>21</v>
      </c>
      <c r="B543" s="170"/>
      <c r="C543" s="167"/>
      <c r="D543" s="150"/>
      <c r="E543" s="331"/>
      <c r="F543" s="331"/>
      <c r="G543" s="331"/>
      <c r="H543" s="152"/>
      <c r="I543" s="153">
        <f>+SUMIF('NHẬP LIỆU'!$E:$E,NVL!$B543,'NHẬP LIỆU'!$K:$K)</f>
        <v>0</v>
      </c>
      <c r="J543" s="156">
        <f>+SUMIF('NHẬP LIỆU'!$E:$E,NVL!$B543,'NHẬP LIỆU'!$L:$L)</f>
        <v>0</v>
      </c>
      <c r="K543" s="154">
        <f>+NVL!$H543+NVL!$I543-NVL!$J543</f>
        <v>0</v>
      </c>
      <c r="L543" s="155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23.25" customHeight="1">
      <c r="A544" s="147">
        <f t="shared" si="1"/>
        <v>21</v>
      </c>
      <c r="B544" s="170"/>
      <c r="C544" s="167"/>
      <c r="D544" s="150"/>
      <c r="E544" s="331"/>
      <c r="F544" s="331"/>
      <c r="G544" s="331"/>
      <c r="H544" s="152"/>
      <c r="I544" s="153">
        <f>+SUMIF('NHẬP LIỆU'!$E:$E,NVL!$B544,'NHẬP LIỆU'!$K:$K)</f>
        <v>0</v>
      </c>
      <c r="J544" s="156">
        <f>+SUMIF('NHẬP LIỆU'!$E:$E,NVL!$B544,'NHẬP LIỆU'!$L:$L)</f>
        <v>0</v>
      </c>
      <c r="K544" s="154">
        <f>+NVL!$H544+NVL!$I544-NVL!$J544</f>
        <v>0</v>
      </c>
      <c r="L544" s="155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23.25" customHeight="1">
      <c r="A545" s="147">
        <f t="shared" si="1"/>
        <v>21</v>
      </c>
      <c r="B545" s="170"/>
      <c r="C545" s="167"/>
      <c r="D545" s="150"/>
      <c r="E545" s="331"/>
      <c r="F545" s="331"/>
      <c r="G545" s="331"/>
      <c r="H545" s="152"/>
      <c r="I545" s="153">
        <f>+SUMIF('NHẬP LIỆU'!$E:$E,NVL!$B545,'NHẬP LIỆU'!$K:$K)</f>
        <v>0</v>
      </c>
      <c r="J545" s="156">
        <f>+SUMIF('NHẬP LIỆU'!$E:$E,NVL!$B545,'NHẬP LIỆU'!$L:$L)</f>
        <v>0</v>
      </c>
      <c r="K545" s="154">
        <f>+NVL!$H545+NVL!$I545-NVL!$J545</f>
        <v>0</v>
      </c>
      <c r="L545" s="155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23.25" customHeight="1">
      <c r="A546" s="147">
        <f t="shared" si="1"/>
        <v>21</v>
      </c>
      <c r="B546" s="170"/>
      <c r="C546" s="167"/>
      <c r="D546" s="150"/>
      <c r="E546" s="331"/>
      <c r="F546" s="331"/>
      <c r="G546" s="331"/>
      <c r="H546" s="152"/>
      <c r="I546" s="153">
        <f>+SUMIF('NHẬP LIỆU'!$E:$E,NVL!$B546,'NHẬP LIỆU'!$K:$K)</f>
        <v>0</v>
      </c>
      <c r="J546" s="156">
        <f>+SUMIF('NHẬP LIỆU'!$E:$E,NVL!$B546,'NHẬP LIỆU'!$L:$L)</f>
        <v>0</v>
      </c>
      <c r="K546" s="154">
        <f>+NVL!$H546+NVL!$I546-NVL!$J546</f>
        <v>0</v>
      </c>
      <c r="L546" s="155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23.25" customHeight="1">
      <c r="A547" s="147">
        <f t="shared" si="1"/>
        <v>21</v>
      </c>
      <c r="B547" s="170"/>
      <c r="C547" s="167"/>
      <c r="D547" s="150"/>
      <c r="E547" s="331"/>
      <c r="F547" s="331"/>
      <c r="G547" s="331"/>
      <c r="H547" s="152"/>
      <c r="I547" s="153">
        <f>+SUMIF('NHẬP LIỆU'!$E:$E,NVL!$B547,'NHẬP LIỆU'!$K:$K)</f>
        <v>0</v>
      </c>
      <c r="J547" s="156">
        <f>+SUMIF('NHẬP LIỆU'!$E:$E,NVL!$B547,'NHẬP LIỆU'!$L:$L)</f>
        <v>0</v>
      </c>
      <c r="K547" s="154">
        <f>+NVL!$H547+NVL!$I547-NVL!$J547</f>
        <v>0</v>
      </c>
      <c r="L547" s="155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23.25" customHeight="1">
      <c r="A548" s="147">
        <f t="shared" si="1"/>
        <v>21</v>
      </c>
      <c r="B548" s="170"/>
      <c r="C548" s="167"/>
      <c r="D548" s="150"/>
      <c r="E548" s="331"/>
      <c r="F548" s="331"/>
      <c r="G548" s="331"/>
      <c r="H548" s="152"/>
      <c r="I548" s="153">
        <f>+SUMIF('NHẬP LIỆU'!$E:$E,NVL!$B548,'NHẬP LIỆU'!$K:$K)</f>
        <v>0</v>
      </c>
      <c r="J548" s="156">
        <f>+SUMIF('NHẬP LIỆU'!$E:$E,NVL!$B548,'NHẬP LIỆU'!$L:$L)</f>
        <v>0</v>
      </c>
      <c r="K548" s="154">
        <f>+NVL!$H548+NVL!$I548-NVL!$J548</f>
        <v>0</v>
      </c>
      <c r="L548" s="155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23.25" customHeight="1">
      <c r="A549" s="147">
        <f t="shared" si="1"/>
        <v>21</v>
      </c>
      <c r="B549" s="170"/>
      <c r="C549" s="167"/>
      <c r="D549" s="150"/>
      <c r="E549" s="331"/>
      <c r="F549" s="331"/>
      <c r="G549" s="331"/>
      <c r="H549" s="152"/>
      <c r="I549" s="153">
        <f>+SUMIF('NHẬP LIỆU'!$E:$E,NVL!$B549,'NHẬP LIỆU'!$K:$K)</f>
        <v>0</v>
      </c>
      <c r="J549" s="156">
        <f>+SUMIF('NHẬP LIỆU'!$E:$E,NVL!$B549,'NHẬP LIỆU'!$L:$L)</f>
        <v>0</v>
      </c>
      <c r="K549" s="154">
        <f>+NVL!$H549+NVL!$I549-NVL!$J549</f>
        <v>0</v>
      </c>
      <c r="L549" s="155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23.25" customHeight="1">
      <c r="A550" s="147">
        <f t="shared" si="1"/>
        <v>21</v>
      </c>
      <c r="B550" s="170"/>
      <c r="C550" s="167"/>
      <c r="D550" s="150"/>
      <c r="E550" s="331"/>
      <c r="F550" s="331"/>
      <c r="G550" s="331"/>
      <c r="H550" s="152"/>
      <c r="I550" s="153">
        <f>+SUMIF('NHẬP LIỆU'!$E:$E,NVL!$B550,'NHẬP LIỆU'!$K:$K)</f>
        <v>0</v>
      </c>
      <c r="J550" s="156">
        <f>+SUMIF('NHẬP LIỆU'!$E:$E,NVL!$B550,'NHẬP LIỆU'!$L:$L)</f>
        <v>0</v>
      </c>
      <c r="K550" s="154">
        <f>+NVL!$H550+NVL!$I550-NVL!$J550</f>
        <v>0</v>
      </c>
      <c r="L550" s="155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23.25" customHeight="1">
      <c r="A551" s="147">
        <f t="shared" si="1"/>
        <v>21</v>
      </c>
      <c r="B551" s="170"/>
      <c r="C551" s="167"/>
      <c r="D551" s="150"/>
      <c r="E551" s="331"/>
      <c r="F551" s="331"/>
      <c r="G551" s="331"/>
      <c r="H551" s="152"/>
      <c r="I551" s="153">
        <f>+SUMIF('NHẬP LIỆU'!$E:$E,NVL!$B551,'NHẬP LIỆU'!$K:$K)</f>
        <v>0</v>
      </c>
      <c r="J551" s="156">
        <f>+SUMIF('NHẬP LIỆU'!$E:$E,NVL!$B551,'NHẬP LIỆU'!$L:$L)</f>
        <v>0</v>
      </c>
      <c r="K551" s="154">
        <f>+NVL!$H551+NVL!$I551-NVL!$J551</f>
        <v>0</v>
      </c>
      <c r="L551" s="155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23.25" customHeight="1">
      <c r="A552" s="147">
        <f t="shared" si="1"/>
        <v>21</v>
      </c>
      <c r="B552" s="170"/>
      <c r="C552" s="167"/>
      <c r="D552" s="150"/>
      <c r="E552" s="331"/>
      <c r="F552" s="331"/>
      <c r="G552" s="331"/>
      <c r="H552" s="152"/>
      <c r="I552" s="153">
        <f>+SUMIF('NHẬP LIỆU'!$E:$E,NVL!$B552,'NHẬP LIỆU'!$K:$K)</f>
        <v>0</v>
      </c>
      <c r="J552" s="156">
        <f>+SUMIF('NHẬP LIỆU'!$E:$E,NVL!$B552,'NHẬP LIỆU'!$L:$L)</f>
        <v>0</v>
      </c>
      <c r="K552" s="154">
        <f>+NVL!$H552+NVL!$I552-NVL!$J552</f>
        <v>0</v>
      </c>
      <c r="L552" s="155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23.25" customHeight="1">
      <c r="A553" s="147">
        <f t="shared" si="1"/>
        <v>21</v>
      </c>
      <c r="B553" s="170"/>
      <c r="C553" s="167"/>
      <c r="D553" s="150"/>
      <c r="E553" s="331"/>
      <c r="F553" s="331"/>
      <c r="G553" s="331"/>
      <c r="H553" s="152"/>
      <c r="I553" s="153">
        <f>+SUMIF('NHẬP LIỆU'!$E:$E,NVL!$B553,'NHẬP LIỆU'!$K:$K)</f>
        <v>0</v>
      </c>
      <c r="J553" s="156">
        <f>+SUMIF('NHẬP LIỆU'!$E:$E,NVL!$B553,'NHẬP LIỆU'!$L:$L)</f>
        <v>0</v>
      </c>
      <c r="K553" s="154">
        <f>+NVL!$H553+NVL!$I553-NVL!$J553</f>
        <v>0</v>
      </c>
      <c r="L553" s="155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23.25" customHeight="1">
      <c r="A554" s="147">
        <f t="shared" si="1"/>
        <v>21</v>
      </c>
      <c r="B554" s="170"/>
      <c r="C554" s="167"/>
      <c r="D554" s="150"/>
      <c r="E554" s="331"/>
      <c r="F554" s="331"/>
      <c r="G554" s="331"/>
      <c r="H554" s="152"/>
      <c r="I554" s="153">
        <f>+SUMIF('NHẬP LIỆU'!$E:$E,NVL!$B554,'NHẬP LIỆU'!$K:$K)</f>
        <v>0</v>
      </c>
      <c r="J554" s="156">
        <f>+SUMIF('NHẬP LIỆU'!$E:$E,NVL!$B554,'NHẬP LIỆU'!$L:$L)</f>
        <v>0</v>
      </c>
      <c r="K554" s="154">
        <f>+NVL!$H554+NVL!$I554-NVL!$J554</f>
        <v>0</v>
      </c>
      <c r="L554" s="155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23.25" customHeight="1">
      <c r="A555" s="147">
        <f t="shared" si="1"/>
        <v>21</v>
      </c>
      <c r="B555" s="170"/>
      <c r="C555" s="167"/>
      <c r="D555" s="150"/>
      <c r="E555" s="331"/>
      <c r="F555" s="331"/>
      <c r="G555" s="331"/>
      <c r="H555" s="152"/>
      <c r="I555" s="153">
        <f>+SUMIF('NHẬP LIỆU'!$E:$E,NVL!$B555,'NHẬP LIỆU'!$K:$K)</f>
        <v>0</v>
      </c>
      <c r="J555" s="156">
        <f>+SUMIF('NHẬP LIỆU'!$E:$E,NVL!$B555,'NHẬP LIỆU'!$L:$L)</f>
        <v>0</v>
      </c>
      <c r="K555" s="154">
        <f>+NVL!$H555+NVL!$I555-NVL!$J555</f>
        <v>0</v>
      </c>
      <c r="L555" s="155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23.25" customHeight="1">
      <c r="A556" s="147">
        <f t="shared" si="1"/>
        <v>21</v>
      </c>
      <c r="B556" s="170"/>
      <c r="C556" s="167"/>
      <c r="D556" s="150"/>
      <c r="E556" s="331"/>
      <c r="F556" s="331"/>
      <c r="G556" s="331"/>
      <c r="H556" s="152"/>
      <c r="I556" s="153">
        <f>+SUMIF('NHẬP LIỆU'!$E:$E,NVL!$B556,'NHẬP LIỆU'!$K:$K)</f>
        <v>0</v>
      </c>
      <c r="J556" s="156">
        <f>+SUMIF('NHẬP LIỆU'!$E:$E,NVL!$B556,'NHẬP LIỆU'!$L:$L)</f>
        <v>0</v>
      </c>
      <c r="K556" s="154">
        <f>+NVL!$H556+NVL!$I556-NVL!$J556</f>
        <v>0</v>
      </c>
      <c r="L556" s="155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23.25" customHeight="1">
      <c r="A557" s="147">
        <f t="shared" si="1"/>
        <v>21</v>
      </c>
      <c r="B557" s="170"/>
      <c r="C557" s="167"/>
      <c r="D557" s="150"/>
      <c r="E557" s="331"/>
      <c r="F557" s="331"/>
      <c r="G557" s="331"/>
      <c r="H557" s="152"/>
      <c r="I557" s="153">
        <f>+SUMIF('NHẬP LIỆU'!$E:$E,NVL!$B557,'NHẬP LIỆU'!$K:$K)</f>
        <v>0</v>
      </c>
      <c r="J557" s="156">
        <f>+SUMIF('NHẬP LIỆU'!$E:$E,NVL!$B557,'NHẬP LIỆU'!$L:$L)</f>
        <v>0</v>
      </c>
      <c r="K557" s="154">
        <f>+NVL!$H557+NVL!$I557-NVL!$J557</f>
        <v>0</v>
      </c>
      <c r="L557" s="155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23.25" customHeight="1">
      <c r="A558" s="147">
        <f t="shared" si="1"/>
        <v>21</v>
      </c>
      <c r="B558" s="170"/>
      <c r="C558" s="167"/>
      <c r="D558" s="150"/>
      <c r="E558" s="331"/>
      <c r="F558" s="331"/>
      <c r="G558" s="331"/>
      <c r="H558" s="152"/>
      <c r="I558" s="153">
        <f>+SUMIF('NHẬP LIỆU'!$E:$E,NVL!$B558,'NHẬP LIỆU'!$K:$K)</f>
        <v>0</v>
      </c>
      <c r="J558" s="156">
        <f>+SUMIF('NHẬP LIỆU'!$E:$E,NVL!$B558,'NHẬP LIỆU'!$L:$L)</f>
        <v>0</v>
      </c>
      <c r="K558" s="154">
        <f>+NVL!$H558+NVL!$I558-NVL!$J558</f>
        <v>0</v>
      </c>
      <c r="L558" s="155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23.25" customHeight="1">
      <c r="A559" s="147">
        <f t="shared" si="1"/>
        <v>21</v>
      </c>
      <c r="B559" s="170"/>
      <c r="C559" s="167"/>
      <c r="D559" s="150"/>
      <c r="E559" s="331"/>
      <c r="F559" s="331"/>
      <c r="G559" s="331"/>
      <c r="H559" s="152"/>
      <c r="I559" s="153">
        <f>+SUMIF('NHẬP LIỆU'!$E:$E,NVL!$B559,'NHẬP LIỆU'!$K:$K)</f>
        <v>0</v>
      </c>
      <c r="J559" s="156">
        <f>+SUMIF('NHẬP LIỆU'!$E:$E,NVL!$B559,'NHẬP LIỆU'!$L:$L)</f>
        <v>0</v>
      </c>
      <c r="K559" s="154">
        <f>+NVL!$H559+NVL!$I559-NVL!$J559</f>
        <v>0</v>
      </c>
      <c r="L559" s="155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23.25" customHeight="1">
      <c r="A560" s="147">
        <f t="shared" si="1"/>
        <v>21</v>
      </c>
      <c r="B560" s="170"/>
      <c r="C560" s="167"/>
      <c r="D560" s="150"/>
      <c r="E560" s="331"/>
      <c r="F560" s="331"/>
      <c r="G560" s="331"/>
      <c r="H560" s="152"/>
      <c r="I560" s="153">
        <f>+SUMIF('NHẬP LIỆU'!$E:$E,NVL!$B560,'NHẬP LIỆU'!$K:$K)</f>
        <v>0</v>
      </c>
      <c r="J560" s="156">
        <f>+SUMIF('NHẬP LIỆU'!$E:$E,NVL!$B560,'NHẬP LIỆU'!$L:$L)</f>
        <v>0</v>
      </c>
      <c r="K560" s="154">
        <f>+NVL!$H560+NVL!$I560-NVL!$J560</f>
        <v>0</v>
      </c>
      <c r="L560" s="155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23.25" customHeight="1">
      <c r="A561" s="147">
        <f t="shared" si="1"/>
        <v>21</v>
      </c>
      <c r="B561" s="170"/>
      <c r="C561" s="167"/>
      <c r="D561" s="150"/>
      <c r="E561" s="331"/>
      <c r="F561" s="331"/>
      <c r="G561" s="331"/>
      <c r="H561" s="152"/>
      <c r="I561" s="153">
        <f>+SUMIF('NHẬP LIỆU'!$E:$E,NVL!$B561,'NHẬP LIỆU'!$K:$K)</f>
        <v>0</v>
      </c>
      <c r="J561" s="156">
        <f>+SUMIF('NHẬP LIỆU'!$E:$E,NVL!$B561,'NHẬP LIỆU'!$L:$L)</f>
        <v>0</v>
      </c>
      <c r="K561" s="154">
        <f>+NVL!$H561+NVL!$I561-NVL!$J561</f>
        <v>0</v>
      </c>
      <c r="L561" s="155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23.25" customHeight="1">
      <c r="A562" s="147">
        <f t="shared" si="1"/>
        <v>21</v>
      </c>
      <c r="B562" s="170"/>
      <c r="C562" s="167"/>
      <c r="D562" s="150"/>
      <c r="E562" s="331"/>
      <c r="F562" s="331"/>
      <c r="G562" s="331"/>
      <c r="H562" s="152"/>
      <c r="I562" s="153">
        <f>+SUMIF('NHẬP LIỆU'!$E:$E,NVL!$B562,'NHẬP LIỆU'!$K:$K)</f>
        <v>0</v>
      </c>
      <c r="J562" s="156">
        <f>+SUMIF('NHẬP LIỆU'!$E:$E,NVL!$B562,'NHẬP LIỆU'!$L:$L)</f>
        <v>0</v>
      </c>
      <c r="K562" s="154">
        <f>+NVL!$H562+NVL!$I562-NVL!$J562</f>
        <v>0</v>
      </c>
      <c r="L562" s="155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23.25" customHeight="1">
      <c r="A563" s="147">
        <f t="shared" si="1"/>
        <v>21</v>
      </c>
      <c r="B563" s="170"/>
      <c r="C563" s="167"/>
      <c r="D563" s="150"/>
      <c r="E563" s="331"/>
      <c r="F563" s="331"/>
      <c r="G563" s="331"/>
      <c r="H563" s="152"/>
      <c r="I563" s="153">
        <f>+SUMIF('NHẬP LIỆU'!$E:$E,NVL!$B563,'NHẬP LIỆU'!$K:$K)</f>
        <v>0</v>
      </c>
      <c r="J563" s="156">
        <f>+SUMIF('NHẬP LIỆU'!$E:$E,NVL!$B563,'NHẬP LIỆU'!$L:$L)</f>
        <v>0</v>
      </c>
      <c r="K563" s="154">
        <f>+NVL!$H563+NVL!$I563-NVL!$J563</f>
        <v>0</v>
      </c>
      <c r="L563" s="155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23.25" customHeight="1">
      <c r="A564" s="147">
        <f t="shared" si="1"/>
        <v>21</v>
      </c>
      <c r="B564" s="170"/>
      <c r="C564" s="167"/>
      <c r="D564" s="150"/>
      <c r="E564" s="331"/>
      <c r="F564" s="331"/>
      <c r="G564" s="331"/>
      <c r="H564" s="152"/>
      <c r="I564" s="153">
        <f>+SUMIF('NHẬP LIỆU'!$E:$E,NVL!$B564,'NHẬP LIỆU'!$K:$K)</f>
        <v>0</v>
      </c>
      <c r="J564" s="156">
        <f>+SUMIF('NHẬP LIỆU'!$E:$E,NVL!$B564,'NHẬP LIỆU'!$L:$L)</f>
        <v>0</v>
      </c>
      <c r="K564" s="154">
        <f>+NVL!$H564+NVL!$I564-NVL!$J564</f>
        <v>0</v>
      </c>
      <c r="L564" s="155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23.25" customHeight="1">
      <c r="A565" s="147">
        <f t="shared" si="1"/>
        <v>21</v>
      </c>
      <c r="B565" s="170"/>
      <c r="C565" s="167"/>
      <c r="D565" s="150"/>
      <c r="E565" s="331"/>
      <c r="F565" s="331"/>
      <c r="G565" s="331"/>
      <c r="H565" s="152"/>
      <c r="I565" s="153">
        <f>+SUMIF('NHẬP LIỆU'!$E:$E,NVL!$B565,'NHẬP LIỆU'!$K:$K)</f>
        <v>0</v>
      </c>
      <c r="J565" s="156">
        <f>+SUMIF('NHẬP LIỆU'!$E:$E,NVL!$B565,'NHẬP LIỆU'!$L:$L)</f>
        <v>0</v>
      </c>
      <c r="K565" s="154">
        <f>+NVL!$H565+NVL!$I565-NVL!$J565</f>
        <v>0</v>
      </c>
      <c r="L565" s="155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23.25" customHeight="1">
      <c r="A566" s="147">
        <f t="shared" si="1"/>
        <v>21</v>
      </c>
      <c r="B566" s="170"/>
      <c r="C566" s="167"/>
      <c r="D566" s="150"/>
      <c r="E566" s="331"/>
      <c r="F566" s="331"/>
      <c r="G566" s="331"/>
      <c r="H566" s="152"/>
      <c r="I566" s="153">
        <f>+SUMIF('NHẬP LIỆU'!$E:$E,NVL!$B566,'NHẬP LIỆU'!$K:$K)</f>
        <v>0</v>
      </c>
      <c r="J566" s="156">
        <f>+SUMIF('NHẬP LIỆU'!$E:$E,NVL!$B566,'NHẬP LIỆU'!$L:$L)</f>
        <v>0</v>
      </c>
      <c r="K566" s="154">
        <f>+NVL!$H566+NVL!$I566-NVL!$J566</f>
        <v>0</v>
      </c>
      <c r="L566" s="155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23.25" customHeight="1">
      <c r="A567" s="147">
        <f t="shared" si="1"/>
        <v>21</v>
      </c>
      <c r="B567" s="170"/>
      <c r="C567" s="167"/>
      <c r="D567" s="150"/>
      <c r="E567" s="331"/>
      <c r="F567" s="331"/>
      <c r="G567" s="331"/>
      <c r="H567" s="152"/>
      <c r="I567" s="153">
        <f>+SUMIF('NHẬP LIỆU'!$E:$E,NVL!$B567,'NHẬP LIỆU'!$K:$K)</f>
        <v>0</v>
      </c>
      <c r="J567" s="156">
        <f>+SUMIF('NHẬP LIỆU'!$E:$E,NVL!$B567,'NHẬP LIỆU'!$L:$L)</f>
        <v>0</v>
      </c>
      <c r="K567" s="154">
        <f>+NVL!$H567+NVL!$I567-NVL!$J567</f>
        <v>0</v>
      </c>
      <c r="L567" s="155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23.25" customHeight="1">
      <c r="A568" s="147">
        <f t="shared" si="1"/>
        <v>21</v>
      </c>
      <c r="B568" s="170"/>
      <c r="C568" s="167"/>
      <c r="D568" s="150"/>
      <c r="E568" s="331"/>
      <c r="F568" s="331"/>
      <c r="G568" s="331"/>
      <c r="H568" s="152"/>
      <c r="I568" s="153">
        <f>+SUMIF('NHẬP LIỆU'!$E:$E,NVL!$B568,'NHẬP LIỆU'!$K:$K)</f>
        <v>0</v>
      </c>
      <c r="J568" s="156">
        <f>+SUMIF('NHẬP LIỆU'!$E:$E,NVL!$B568,'NHẬP LIỆU'!$L:$L)</f>
        <v>0</v>
      </c>
      <c r="K568" s="154">
        <f>+NVL!$H568+NVL!$I568-NVL!$J568</f>
        <v>0</v>
      </c>
      <c r="L568" s="155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23.25" customHeight="1">
      <c r="A569" s="147">
        <f t="shared" si="1"/>
        <v>21</v>
      </c>
      <c r="B569" s="170"/>
      <c r="C569" s="167"/>
      <c r="D569" s="150"/>
      <c r="E569" s="331"/>
      <c r="F569" s="331"/>
      <c r="G569" s="331"/>
      <c r="H569" s="152"/>
      <c r="I569" s="153">
        <f>+SUMIF('NHẬP LIỆU'!$E:$E,NVL!$B569,'NHẬP LIỆU'!$K:$K)</f>
        <v>0</v>
      </c>
      <c r="J569" s="156">
        <f>+SUMIF('NHẬP LIỆU'!$E:$E,NVL!$B569,'NHẬP LIỆU'!$L:$L)</f>
        <v>0</v>
      </c>
      <c r="K569" s="154">
        <f>+NVL!$H569+NVL!$I569-NVL!$J569</f>
        <v>0</v>
      </c>
      <c r="L569" s="155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23.25" customHeight="1">
      <c r="A570" s="147">
        <f t="shared" si="1"/>
        <v>21</v>
      </c>
      <c r="B570" s="170"/>
      <c r="C570" s="167"/>
      <c r="D570" s="150"/>
      <c r="E570" s="331"/>
      <c r="F570" s="331"/>
      <c r="G570" s="331"/>
      <c r="H570" s="152"/>
      <c r="I570" s="153">
        <f>+SUMIF('NHẬP LIỆU'!$E:$E,NVL!$B570,'NHẬP LIỆU'!$K:$K)</f>
        <v>0</v>
      </c>
      <c r="J570" s="156">
        <f>+SUMIF('NHẬP LIỆU'!$E:$E,NVL!$B570,'NHẬP LIỆU'!$L:$L)</f>
        <v>0</v>
      </c>
      <c r="K570" s="154">
        <f>+NVL!$H570+NVL!$I570-NVL!$J570</f>
        <v>0</v>
      </c>
      <c r="L570" s="155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23.25" customHeight="1">
      <c r="A571" s="147">
        <f t="shared" si="1"/>
        <v>21</v>
      </c>
      <c r="B571" s="170"/>
      <c r="C571" s="167"/>
      <c r="D571" s="150"/>
      <c r="E571" s="331"/>
      <c r="F571" s="331"/>
      <c r="G571" s="331"/>
      <c r="H571" s="152"/>
      <c r="I571" s="153">
        <f>+SUMIF('NHẬP LIỆU'!$E:$E,NVL!$B571,'NHẬP LIỆU'!$K:$K)</f>
        <v>0</v>
      </c>
      <c r="J571" s="156">
        <f>+SUMIF('NHẬP LIỆU'!$E:$E,NVL!$B571,'NHẬP LIỆU'!$L:$L)</f>
        <v>0</v>
      </c>
      <c r="K571" s="154">
        <f>+NVL!$H571+NVL!$I571-NVL!$J571</f>
        <v>0</v>
      </c>
      <c r="L571" s="155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23.25" customHeight="1">
      <c r="A572" s="147">
        <f t="shared" si="1"/>
        <v>21</v>
      </c>
      <c r="B572" s="170"/>
      <c r="C572" s="167"/>
      <c r="D572" s="150"/>
      <c r="E572" s="331"/>
      <c r="F572" s="331"/>
      <c r="G572" s="331"/>
      <c r="H572" s="152"/>
      <c r="I572" s="153">
        <f>+SUMIF('NHẬP LIỆU'!$E:$E,NVL!$B572,'NHẬP LIỆU'!$K:$K)</f>
        <v>0</v>
      </c>
      <c r="J572" s="156">
        <f>+SUMIF('NHẬP LIỆU'!$E:$E,NVL!$B572,'NHẬP LIỆU'!$L:$L)</f>
        <v>0</v>
      </c>
      <c r="K572" s="154">
        <f>+NVL!$H572+NVL!$I572-NVL!$J572</f>
        <v>0</v>
      </c>
      <c r="L572" s="155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23.25" customHeight="1">
      <c r="A573" s="147">
        <f t="shared" si="1"/>
        <v>21</v>
      </c>
      <c r="B573" s="170"/>
      <c r="C573" s="167"/>
      <c r="D573" s="150"/>
      <c r="E573" s="331"/>
      <c r="F573" s="331"/>
      <c r="G573" s="331"/>
      <c r="H573" s="152"/>
      <c r="I573" s="153">
        <f>+SUMIF('NHẬP LIỆU'!$E:$E,NVL!$B573,'NHẬP LIỆU'!$K:$K)</f>
        <v>0</v>
      </c>
      <c r="J573" s="156">
        <f>+SUMIF('NHẬP LIỆU'!$E:$E,NVL!$B573,'NHẬP LIỆU'!$L:$L)</f>
        <v>0</v>
      </c>
      <c r="K573" s="154">
        <f>+NVL!$H573+NVL!$I573-NVL!$J573</f>
        <v>0</v>
      </c>
      <c r="L573" s="155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23.25" customHeight="1">
      <c r="A574" s="147">
        <f t="shared" si="1"/>
        <v>21</v>
      </c>
      <c r="B574" s="170"/>
      <c r="C574" s="167"/>
      <c r="D574" s="150"/>
      <c r="E574" s="331"/>
      <c r="F574" s="331"/>
      <c r="G574" s="331"/>
      <c r="H574" s="152"/>
      <c r="I574" s="153">
        <f>+SUMIF('NHẬP LIỆU'!$E:$E,NVL!$B574,'NHẬP LIỆU'!$K:$K)</f>
        <v>0</v>
      </c>
      <c r="J574" s="156">
        <f>+SUMIF('NHẬP LIỆU'!$E:$E,NVL!$B574,'NHẬP LIỆU'!$L:$L)</f>
        <v>0</v>
      </c>
      <c r="K574" s="154">
        <f>+NVL!$H574+NVL!$I574-NVL!$J574</f>
        <v>0</v>
      </c>
      <c r="L574" s="155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23.25" customHeight="1">
      <c r="A575" s="147">
        <f t="shared" si="1"/>
        <v>21</v>
      </c>
      <c r="B575" s="170"/>
      <c r="C575" s="167"/>
      <c r="D575" s="150"/>
      <c r="E575" s="331"/>
      <c r="F575" s="331"/>
      <c r="G575" s="331"/>
      <c r="H575" s="152"/>
      <c r="I575" s="153">
        <f>+SUMIF('NHẬP LIỆU'!$E:$E,NVL!$B575,'NHẬP LIỆU'!$K:$K)</f>
        <v>0</v>
      </c>
      <c r="J575" s="156">
        <f>+SUMIF('NHẬP LIỆU'!$E:$E,NVL!$B575,'NHẬP LIỆU'!$L:$L)</f>
        <v>0</v>
      </c>
      <c r="K575" s="154">
        <f>+NVL!$H575+NVL!$I575-NVL!$J575</f>
        <v>0</v>
      </c>
      <c r="L575" s="155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23.25" customHeight="1">
      <c r="A576" s="147">
        <f t="shared" si="1"/>
        <v>21</v>
      </c>
      <c r="B576" s="170"/>
      <c r="C576" s="167"/>
      <c r="D576" s="150"/>
      <c r="E576" s="331"/>
      <c r="F576" s="331"/>
      <c r="G576" s="331"/>
      <c r="H576" s="152"/>
      <c r="I576" s="153">
        <f>+SUMIF('NHẬP LIỆU'!$E:$E,NVL!$B576,'NHẬP LIỆU'!$K:$K)</f>
        <v>0</v>
      </c>
      <c r="J576" s="156">
        <f>+SUMIF('NHẬP LIỆU'!$E:$E,NVL!$B576,'NHẬP LIỆU'!$L:$L)</f>
        <v>0</v>
      </c>
      <c r="K576" s="154">
        <f>+NVL!$H576+NVL!$I576-NVL!$J576</f>
        <v>0</v>
      </c>
      <c r="L576" s="155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23.25" customHeight="1">
      <c r="A577" s="147">
        <f t="shared" si="1"/>
        <v>21</v>
      </c>
      <c r="B577" s="170"/>
      <c r="C577" s="167"/>
      <c r="D577" s="150"/>
      <c r="E577" s="331"/>
      <c r="F577" s="331"/>
      <c r="G577" s="331"/>
      <c r="H577" s="152"/>
      <c r="I577" s="153">
        <f>+SUMIF('NHẬP LIỆU'!$E:$E,NVL!$B577,'NHẬP LIỆU'!$K:$K)</f>
        <v>0</v>
      </c>
      <c r="J577" s="156">
        <f>+SUMIF('NHẬP LIỆU'!$E:$E,NVL!$B577,'NHẬP LIỆU'!$L:$L)</f>
        <v>0</v>
      </c>
      <c r="K577" s="154">
        <f>+NVL!$H577+NVL!$I577-NVL!$J577</f>
        <v>0</v>
      </c>
      <c r="L577" s="155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23.25" customHeight="1">
      <c r="A578" s="147">
        <f t="shared" si="1"/>
        <v>21</v>
      </c>
      <c r="B578" s="170"/>
      <c r="C578" s="167"/>
      <c r="D578" s="150"/>
      <c r="E578" s="331"/>
      <c r="F578" s="331"/>
      <c r="G578" s="331"/>
      <c r="H578" s="152"/>
      <c r="I578" s="153">
        <f>+SUMIF('NHẬP LIỆU'!$E:$E,NVL!$B578,'NHẬP LIỆU'!$K:$K)</f>
        <v>0</v>
      </c>
      <c r="J578" s="156">
        <f>+SUMIF('NHẬP LIỆU'!$E:$E,NVL!$B578,'NHẬP LIỆU'!$L:$L)</f>
        <v>0</v>
      </c>
      <c r="K578" s="154">
        <f>+NVL!$H578+NVL!$I578-NVL!$J578</f>
        <v>0</v>
      </c>
      <c r="L578" s="155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23.25" customHeight="1">
      <c r="A579" s="147">
        <f t="shared" si="1"/>
        <v>21</v>
      </c>
      <c r="B579" s="170"/>
      <c r="C579" s="167"/>
      <c r="D579" s="150"/>
      <c r="E579" s="331"/>
      <c r="F579" s="331"/>
      <c r="G579" s="331"/>
      <c r="H579" s="152"/>
      <c r="I579" s="153">
        <f>+SUMIF('NHẬP LIỆU'!$E:$E,NVL!$B579,'NHẬP LIỆU'!$K:$K)</f>
        <v>0</v>
      </c>
      <c r="J579" s="156">
        <f>+SUMIF('NHẬP LIỆU'!$E:$E,NVL!$B579,'NHẬP LIỆU'!$L:$L)</f>
        <v>0</v>
      </c>
      <c r="K579" s="154">
        <f>+NVL!$H579+NVL!$I579-NVL!$J579</f>
        <v>0</v>
      </c>
      <c r="L579" s="155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23.25" customHeight="1">
      <c r="A580" s="147">
        <f t="shared" si="1"/>
        <v>21</v>
      </c>
      <c r="B580" s="170"/>
      <c r="C580" s="167"/>
      <c r="D580" s="150"/>
      <c r="E580" s="331"/>
      <c r="F580" s="331"/>
      <c r="G580" s="331"/>
      <c r="H580" s="152"/>
      <c r="I580" s="153">
        <f>+SUMIF('NHẬP LIỆU'!$E:$E,NVL!$B580,'NHẬP LIỆU'!$K:$K)</f>
        <v>0</v>
      </c>
      <c r="J580" s="156">
        <f>+SUMIF('NHẬP LIỆU'!$E:$E,NVL!$B580,'NHẬP LIỆU'!$L:$L)</f>
        <v>0</v>
      </c>
      <c r="K580" s="154">
        <f>+NVL!$H580+NVL!$I580-NVL!$J580</f>
        <v>0</v>
      </c>
      <c r="L580" s="155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23.25" customHeight="1">
      <c r="A581" s="147">
        <f t="shared" si="1"/>
        <v>21</v>
      </c>
      <c r="B581" s="170"/>
      <c r="C581" s="167"/>
      <c r="D581" s="150"/>
      <c r="E581" s="331"/>
      <c r="F581" s="331"/>
      <c r="G581" s="331"/>
      <c r="H581" s="152"/>
      <c r="I581" s="153">
        <f>+SUMIF('NHẬP LIỆU'!$E:$E,NVL!$B581,'NHẬP LIỆU'!$K:$K)</f>
        <v>0</v>
      </c>
      <c r="J581" s="156">
        <f>+SUMIF('NHẬP LIỆU'!$E:$E,NVL!$B581,'NHẬP LIỆU'!$L:$L)</f>
        <v>0</v>
      </c>
      <c r="K581" s="154">
        <f>+NVL!$H581+NVL!$I581-NVL!$J581</f>
        <v>0</v>
      </c>
      <c r="L581" s="155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23.25" customHeight="1">
      <c r="A582" s="147">
        <f t="shared" si="1"/>
        <v>21</v>
      </c>
      <c r="B582" s="170"/>
      <c r="C582" s="167"/>
      <c r="D582" s="150"/>
      <c r="E582" s="331"/>
      <c r="F582" s="331"/>
      <c r="G582" s="331"/>
      <c r="H582" s="152"/>
      <c r="I582" s="153">
        <f>+SUMIF('NHẬP LIỆU'!$E:$E,NVL!$B582,'NHẬP LIỆU'!$K:$K)</f>
        <v>0</v>
      </c>
      <c r="J582" s="156">
        <f>+SUMIF('NHẬP LIỆU'!$E:$E,NVL!$B582,'NHẬP LIỆU'!$L:$L)</f>
        <v>0</v>
      </c>
      <c r="K582" s="154">
        <f>+NVL!$H582+NVL!$I582-NVL!$J582</f>
        <v>0</v>
      </c>
      <c r="L582" s="155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23.25" customHeight="1">
      <c r="A583" s="147">
        <f t="shared" si="1"/>
        <v>21</v>
      </c>
      <c r="B583" s="170"/>
      <c r="C583" s="167"/>
      <c r="D583" s="150"/>
      <c r="E583" s="331"/>
      <c r="F583" s="331"/>
      <c r="G583" s="331"/>
      <c r="H583" s="152"/>
      <c r="I583" s="153">
        <f>+SUMIF('NHẬP LIỆU'!$E:$E,NVL!$B583,'NHẬP LIỆU'!$K:$K)</f>
        <v>0</v>
      </c>
      <c r="J583" s="156">
        <f>+SUMIF('NHẬP LIỆU'!$E:$E,NVL!$B583,'NHẬP LIỆU'!$L:$L)</f>
        <v>0</v>
      </c>
      <c r="K583" s="154">
        <f>+NVL!$H583+NVL!$I583-NVL!$J583</f>
        <v>0</v>
      </c>
      <c r="L583" s="155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23.25" customHeight="1">
      <c r="A584" s="147">
        <f t="shared" si="1"/>
        <v>21</v>
      </c>
      <c r="B584" s="170"/>
      <c r="C584" s="167"/>
      <c r="D584" s="150"/>
      <c r="E584" s="331"/>
      <c r="F584" s="331"/>
      <c r="G584" s="331"/>
      <c r="H584" s="152"/>
      <c r="I584" s="153">
        <f>+SUMIF('NHẬP LIỆU'!$E:$E,NVL!$B584,'NHẬP LIỆU'!$K:$K)</f>
        <v>0</v>
      </c>
      <c r="J584" s="156">
        <f>+SUMIF('NHẬP LIỆU'!$E:$E,NVL!$B584,'NHẬP LIỆU'!$L:$L)</f>
        <v>0</v>
      </c>
      <c r="K584" s="154">
        <f>+NVL!$H584+NVL!$I584-NVL!$J584</f>
        <v>0</v>
      </c>
      <c r="L584" s="155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23.25" customHeight="1">
      <c r="A585" s="147">
        <f t="shared" si="1"/>
        <v>21</v>
      </c>
      <c r="B585" s="170"/>
      <c r="C585" s="167"/>
      <c r="D585" s="150"/>
      <c r="E585" s="331"/>
      <c r="F585" s="331"/>
      <c r="G585" s="331"/>
      <c r="H585" s="152"/>
      <c r="I585" s="153">
        <f>+SUMIF('NHẬP LIỆU'!$E:$E,NVL!$B585,'NHẬP LIỆU'!$K:$K)</f>
        <v>0</v>
      </c>
      <c r="J585" s="156">
        <f>+SUMIF('NHẬP LIỆU'!$E:$E,NVL!$B585,'NHẬP LIỆU'!$L:$L)</f>
        <v>0</v>
      </c>
      <c r="K585" s="154">
        <f>+NVL!$H585+NVL!$I585-NVL!$J585</f>
        <v>0</v>
      </c>
      <c r="L585" s="155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23.25" customHeight="1">
      <c r="A586" s="147">
        <f t="shared" si="1"/>
        <v>21</v>
      </c>
      <c r="B586" s="170"/>
      <c r="C586" s="167"/>
      <c r="D586" s="150"/>
      <c r="E586" s="331"/>
      <c r="F586" s="331"/>
      <c r="G586" s="331"/>
      <c r="H586" s="152"/>
      <c r="I586" s="153">
        <f>+SUMIF('NHẬP LIỆU'!$E:$E,NVL!$B586,'NHẬP LIỆU'!$K:$K)</f>
        <v>0</v>
      </c>
      <c r="J586" s="156">
        <f>+SUMIF('NHẬP LIỆU'!$E:$E,NVL!$B586,'NHẬP LIỆU'!$L:$L)</f>
        <v>0</v>
      </c>
      <c r="K586" s="154">
        <f>+NVL!$H586+NVL!$I586-NVL!$J586</f>
        <v>0</v>
      </c>
      <c r="L586" s="155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23.25" customHeight="1">
      <c r="A587" s="147">
        <f t="shared" si="1"/>
        <v>21</v>
      </c>
      <c r="B587" s="170"/>
      <c r="C587" s="167"/>
      <c r="D587" s="150"/>
      <c r="E587" s="331"/>
      <c r="F587" s="331"/>
      <c r="G587" s="331"/>
      <c r="H587" s="152"/>
      <c r="I587" s="153">
        <f>+SUMIF('NHẬP LIỆU'!$E:$E,NVL!$B587,'NHẬP LIỆU'!$K:$K)</f>
        <v>0</v>
      </c>
      <c r="J587" s="156">
        <f>+SUMIF('NHẬP LIỆU'!$E:$E,NVL!$B587,'NHẬP LIỆU'!$L:$L)</f>
        <v>0</v>
      </c>
      <c r="K587" s="154">
        <f>+NVL!$H587+NVL!$I587-NVL!$J587</f>
        <v>0</v>
      </c>
      <c r="L587" s="155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23.25" customHeight="1">
      <c r="A588" s="147">
        <f t="shared" si="1"/>
        <v>21</v>
      </c>
      <c r="B588" s="170"/>
      <c r="C588" s="167"/>
      <c r="D588" s="150"/>
      <c r="E588" s="331"/>
      <c r="F588" s="331"/>
      <c r="G588" s="331"/>
      <c r="H588" s="152"/>
      <c r="I588" s="153">
        <f>+SUMIF('NHẬP LIỆU'!$E:$E,NVL!$B588,'NHẬP LIỆU'!$K:$K)</f>
        <v>0</v>
      </c>
      <c r="J588" s="156">
        <f>+SUMIF('NHẬP LIỆU'!$E:$E,NVL!$B588,'NHẬP LIỆU'!$L:$L)</f>
        <v>0</v>
      </c>
      <c r="K588" s="154">
        <f>+NVL!$H588+NVL!$I588-NVL!$J588</f>
        <v>0</v>
      </c>
      <c r="L588" s="155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23.25" customHeight="1">
      <c r="A589" s="147">
        <f t="shared" si="1"/>
        <v>21</v>
      </c>
      <c r="B589" s="170"/>
      <c r="C589" s="167"/>
      <c r="D589" s="150"/>
      <c r="E589" s="331"/>
      <c r="F589" s="331"/>
      <c r="G589" s="331"/>
      <c r="H589" s="152"/>
      <c r="I589" s="153">
        <f>+SUMIF('NHẬP LIỆU'!$E:$E,NVL!$B589,'NHẬP LIỆU'!$K:$K)</f>
        <v>0</v>
      </c>
      <c r="J589" s="156">
        <f>+SUMIF('NHẬP LIỆU'!$E:$E,NVL!$B589,'NHẬP LIỆU'!$L:$L)</f>
        <v>0</v>
      </c>
      <c r="K589" s="154">
        <f>+NVL!$H589+NVL!$I589-NVL!$J589</f>
        <v>0</v>
      </c>
      <c r="L589" s="155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23.25" customHeight="1">
      <c r="A590" s="147">
        <f t="shared" si="1"/>
        <v>21</v>
      </c>
      <c r="B590" s="170"/>
      <c r="C590" s="167"/>
      <c r="D590" s="150"/>
      <c r="E590" s="331"/>
      <c r="F590" s="331"/>
      <c r="G590" s="331"/>
      <c r="H590" s="152"/>
      <c r="I590" s="153">
        <f>+SUMIF('NHẬP LIỆU'!$E:$E,NVL!$B590,'NHẬP LIỆU'!$K:$K)</f>
        <v>0</v>
      </c>
      <c r="J590" s="156">
        <f>+SUMIF('NHẬP LIỆU'!$E:$E,NVL!$B590,'NHẬP LIỆU'!$L:$L)</f>
        <v>0</v>
      </c>
      <c r="K590" s="154">
        <f>+NVL!$H590+NVL!$I590-NVL!$J590</f>
        <v>0</v>
      </c>
      <c r="L590" s="155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23.25" customHeight="1">
      <c r="A591" s="147">
        <f t="shared" si="1"/>
        <v>21</v>
      </c>
      <c r="B591" s="170"/>
      <c r="C591" s="167"/>
      <c r="D591" s="150"/>
      <c r="E591" s="331"/>
      <c r="F591" s="331"/>
      <c r="G591" s="331"/>
      <c r="H591" s="152"/>
      <c r="I591" s="153">
        <f>+SUMIF('NHẬP LIỆU'!$E:$E,NVL!$B591,'NHẬP LIỆU'!$K:$K)</f>
        <v>0</v>
      </c>
      <c r="J591" s="156">
        <f>+SUMIF('NHẬP LIỆU'!$E:$E,NVL!$B591,'NHẬP LIỆU'!$L:$L)</f>
        <v>0</v>
      </c>
      <c r="K591" s="154">
        <f>+NVL!$H591+NVL!$I591-NVL!$J591</f>
        <v>0</v>
      </c>
      <c r="L591" s="155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23.25" customHeight="1">
      <c r="A592" s="147">
        <f t="shared" si="1"/>
        <v>21</v>
      </c>
      <c r="B592" s="170"/>
      <c r="C592" s="167"/>
      <c r="D592" s="150"/>
      <c r="E592" s="331"/>
      <c r="F592" s="331"/>
      <c r="G592" s="331"/>
      <c r="H592" s="152"/>
      <c r="I592" s="153">
        <f>+SUMIF('NHẬP LIỆU'!$E:$E,NVL!$B592,'NHẬP LIỆU'!$K:$K)</f>
        <v>0</v>
      </c>
      <c r="J592" s="156">
        <f>+SUMIF('NHẬP LIỆU'!$E:$E,NVL!$B592,'NHẬP LIỆU'!$L:$L)</f>
        <v>0</v>
      </c>
      <c r="K592" s="154">
        <f>+NVL!$H592+NVL!$I592-NVL!$J592</f>
        <v>0</v>
      </c>
      <c r="L592" s="155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23.25" customHeight="1">
      <c r="A593" s="147">
        <f t="shared" si="1"/>
        <v>21</v>
      </c>
      <c r="B593" s="170"/>
      <c r="C593" s="167"/>
      <c r="D593" s="150"/>
      <c r="E593" s="331"/>
      <c r="F593" s="331"/>
      <c r="G593" s="331"/>
      <c r="H593" s="152"/>
      <c r="I593" s="153">
        <f>+SUMIF('NHẬP LIỆU'!$E:$E,NVL!$B593,'NHẬP LIỆU'!$K:$K)</f>
        <v>0</v>
      </c>
      <c r="J593" s="156">
        <f>+SUMIF('NHẬP LIỆU'!$E:$E,NVL!$B593,'NHẬP LIỆU'!$L:$L)</f>
        <v>0</v>
      </c>
      <c r="K593" s="154">
        <f>+NVL!$H593+NVL!$I593-NVL!$J593</f>
        <v>0</v>
      </c>
      <c r="L593" s="155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23.25" customHeight="1">
      <c r="A594" s="147">
        <f t="shared" si="1"/>
        <v>21</v>
      </c>
      <c r="B594" s="170"/>
      <c r="C594" s="167"/>
      <c r="D594" s="150"/>
      <c r="E594" s="331"/>
      <c r="F594" s="331"/>
      <c r="G594" s="331"/>
      <c r="H594" s="152"/>
      <c r="I594" s="153">
        <f>+SUMIF('NHẬP LIỆU'!$E:$E,NVL!$B594,'NHẬP LIỆU'!$K:$K)</f>
        <v>0</v>
      </c>
      <c r="J594" s="156">
        <f>+SUMIF('NHẬP LIỆU'!$E:$E,NVL!$B594,'NHẬP LIỆU'!$L:$L)</f>
        <v>0</v>
      </c>
      <c r="K594" s="154">
        <f>+NVL!$H594+NVL!$I594-NVL!$J594</f>
        <v>0</v>
      </c>
      <c r="L594" s="155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23.25" customHeight="1">
      <c r="A595" s="147">
        <f t="shared" si="1"/>
        <v>21</v>
      </c>
      <c r="B595" s="170"/>
      <c r="C595" s="167"/>
      <c r="D595" s="150"/>
      <c r="E595" s="331"/>
      <c r="F595" s="331"/>
      <c r="G595" s="331"/>
      <c r="H595" s="152"/>
      <c r="I595" s="153">
        <f>+SUMIF('NHẬP LIỆU'!$E:$E,NVL!$B595,'NHẬP LIỆU'!$K:$K)</f>
        <v>0</v>
      </c>
      <c r="J595" s="156">
        <f>+SUMIF('NHẬP LIỆU'!$E:$E,NVL!$B595,'NHẬP LIỆU'!$L:$L)</f>
        <v>0</v>
      </c>
      <c r="K595" s="154">
        <f>+NVL!$H595+NVL!$I595-NVL!$J595</f>
        <v>0</v>
      </c>
      <c r="L595" s="155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23.25" customHeight="1">
      <c r="A596" s="147">
        <f t="shared" si="1"/>
        <v>21</v>
      </c>
      <c r="B596" s="170"/>
      <c r="C596" s="167"/>
      <c r="D596" s="150"/>
      <c r="E596" s="331"/>
      <c r="F596" s="331"/>
      <c r="G596" s="331"/>
      <c r="H596" s="152"/>
      <c r="I596" s="153">
        <f>+SUMIF('NHẬP LIỆU'!$E:$E,NVL!$B596,'NHẬP LIỆU'!$K:$K)</f>
        <v>0</v>
      </c>
      <c r="J596" s="156">
        <f>+SUMIF('NHẬP LIỆU'!$E:$E,NVL!$B596,'NHẬP LIỆU'!$L:$L)</f>
        <v>0</v>
      </c>
      <c r="K596" s="154">
        <f>+NVL!$H596+NVL!$I596-NVL!$J596</f>
        <v>0</v>
      </c>
      <c r="L596" s="155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23.25" customHeight="1">
      <c r="A597" s="147">
        <f t="shared" si="1"/>
        <v>21</v>
      </c>
      <c r="B597" s="170"/>
      <c r="C597" s="167"/>
      <c r="D597" s="150"/>
      <c r="E597" s="331"/>
      <c r="F597" s="331"/>
      <c r="G597" s="331"/>
      <c r="H597" s="152"/>
      <c r="I597" s="153">
        <f>+SUMIF('NHẬP LIỆU'!$E:$E,NVL!$B597,'NHẬP LIỆU'!$K:$K)</f>
        <v>0</v>
      </c>
      <c r="J597" s="156">
        <f>+SUMIF('NHẬP LIỆU'!$E:$E,NVL!$B597,'NHẬP LIỆU'!$L:$L)</f>
        <v>0</v>
      </c>
      <c r="K597" s="154">
        <f>+NVL!$H597+NVL!$I597-NVL!$J597</f>
        <v>0</v>
      </c>
      <c r="L597" s="155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23.25" customHeight="1">
      <c r="A598" s="147">
        <f t="shared" si="1"/>
        <v>21</v>
      </c>
      <c r="B598" s="170"/>
      <c r="C598" s="167"/>
      <c r="D598" s="150"/>
      <c r="E598" s="331"/>
      <c r="F598" s="331"/>
      <c r="G598" s="331"/>
      <c r="H598" s="152"/>
      <c r="I598" s="153">
        <f>+SUMIF('NHẬP LIỆU'!$E:$E,NVL!$B598,'NHẬP LIỆU'!$K:$K)</f>
        <v>0</v>
      </c>
      <c r="J598" s="156">
        <f>+SUMIF('NHẬP LIỆU'!$E:$E,NVL!$B598,'NHẬP LIỆU'!$L:$L)</f>
        <v>0</v>
      </c>
      <c r="K598" s="154">
        <f>+NVL!$H598+NVL!$I598-NVL!$J598</f>
        <v>0</v>
      </c>
      <c r="L598" s="155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23.25" customHeight="1">
      <c r="A599" s="147">
        <f t="shared" si="1"/>
        <v>21</v>
      </c>
      <c r="B599" s="170"/>
      <c r="C599" s="167"/>
      <c r="D599" s="150"/>
      <c r="E599" s="331"/>
      <c r="F599" s="331"/>
      <c r="G599" s="331"/>
      <c r="H599" s="152"/>
      <c r="I599" s="153">
        <f>+SUMIF('NHẬP LIỆU'!$E:$E,NVL!$B599,'NHẬP LIỆU'!$K:$K)</f>
        <v>0</v>
      </c>
      <c r="J599" s="156">
        <f>+SUMIF('NHẬP LIỆU'!$E:$E,NVL!$B599,'NHẬP LIỆU'!$L:$L)</f>
        <v>0</v>
      </c>
      <c r="K599" s="154">
        <f>+NVL!$H599+NVL!$I599-NVL!$J599</f>
        <v>0</v>
      </c>
      <c r="L599" s="155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23.25" customHeight="1">
      <c r="A600" s="147">
        <f t="shared" si="1"/>
        <v>21</v>
      </c>
      <c r="B600" s="170"/>
      <c r="C600" s="167"/>
      <c r="D600" s="150"/>
      <c r="E600" s="331"/>
      <c r="F600" s="331"/>
      <c r="G600" s="331"/>
      <c r="H600" s="152"/>
      <c r="I600" s="153">
        <f>+SUMIF('NHẬP LIỆU'!$E:$E,NVL!$B600,'NHẬP LIỆU'!$K:$K)</f>
        <v>0</v>
      </c>
      <c r="J600" s="156">
        <f>+SUMIF('NHẬP LIỆU'!$E:$E,NVL!$B600,'NHẬP LIỆU'!$L:$L)</f>
        <v>0</v>
      </c>
      <c r="K600" s="154">
        <f>+NVL!$H600+NVL!$I600-NVL!$J600</f>
        <v>0</v>
      </c>
      <c r="L600" s="155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23.25" customHeight="1">
      <c r="A601" s="147">
        <f t="shared" si="1"/>
        <v>21</v>
      </c>
      <c r="B601" s="170"/>
      <c r="C601" s="167"/>
      <c r="D601" s="150"/>
      <c r="E601" s="331"/>
      <c r="F601" s="331"/>
      <c r="G601" s="331"/>
      <c r="H601" s="152"/>
      <c r="I601" s="153">
        <f>+SUMIF('NHẬP LIỆU'!$E:$E,NVL!$B601,'NHẬP LIỆU'!$K:$K)</f>
        <v>0</v>
      </c>
      <c r="J601" s="156">
        <f>+SUMIF('NHẬP LIỆU'!$E:$E,NVL!$B601,'NHẬP LIỆU'!$L:$L)</f>
        <v>0</v>
      </c>
      <c r="K601" s="154">
        <f>+NVL!$H601+NVL!$I601-NVL!$J601</f>
        <v>0</v>
      </c>
      <c r="L601" s="172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23.25" customHeight="1">
      <c r="A602" s="147">
        <f t="shared" si="1"/>
        <v>21</v>
      </c>
      <c r="B602" s="170"/>
      <c r="C602" s="167"/>
      <c r="D602" s="150"/>
      <c r="E602" s="331"/>
      <c r="F602" s="331"/>
      <c r="G602" s="331"/>
      <c r="H602" s="152"/>
      <c r="I602" s="153">
        <f>+SUMIF('NHẬP LIỆU'!$E:$E,NVL!$B602,'NHẬP LIỆU'!$K:$K)</f>
        <v>0</v>
      </c>
      <c r="J602" s="156">
        <f>+SUMIF('NHẬP LIỆU'!$E:$E,NVL!$B602,'NHẬP LIỆU'!$L:$L)</f>
        <v>0</v>
      </c>
      <c r="K602" s="154">
        <f>+NVL!$H602+NVL!$I602-NVL!$J602</f>
        <v>0</v>
      </c>
      <c r="L602" s="155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23.25" customHeight="1">
      <c r="A603" s="147">
        <f t="shared" si="1"/>
        <v>21</v>
      </c>
      <c r="B603" s="170"/>
      <c r="C603" s="167"/>
      <c r="D603" s="150"/>
      <c r="E603" s="331"/>
      <c r="F603" s="331"/>
      <c r="G603" s="331"/>
      <c r="H603" s="152"/>
      <c r="I603" s="153">
        <f>+SUMIF('NHẬP LIỆU'!$E:$E,NVL!$B603,'NHẬP LIỆU'!$K:$K)</f>
        <v>0</v>
      </c>
      <c r="J603" s="156">
        <f>+SUMIF('NHẬP LIỆU'!$E:$E,NVL!$B603,'NHẬP LIỆU'!$L:$L)</f>
        <v>0</v>
      </c>
      <c r="K603" s="154">
        <f>+NVL!$H603+NVL!$I603-NVL!$J603</f>
        <v>0</v>
      </c>
      <c r="L603" s="155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23.25" customHeight="1">
      <c r="A604" s="147">
        <f t="shared" si="1"/>
        <v>21</v>
      </c>
      <c r="B604" s="170"/>
      <c r="C604" s="167"/>
      <c r="D604" s="150"/>
      <c r="E604" s="331"/>
      <c r="F604" s="331"/>
      <c r="G604" s="331"/>
      <c r="H604" s="152"/>
      <c r="I604" s="153">
        <f>+SUMIF('NHẬP LIỆU'!$E:$E,NVL!$B604,'NHẬP LIỆU'!$K:$K)</f>
        <v>0</v>
      </c>
      <c r="J604" s="156">
        <f>+SUMIF('NHẬP LIỆU'!$E:$E,NVL!$B604,'NHẬP LIỆU'!$L:$L)</f>
        <v>0</v>
      </c>
      <c r="K604" s="154">
        <f>+NVL!$H604+NVL!$I604-NVL!$J604</f>
        <v>0</v>
      </c>
      <c r="L604" s="155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23.25" customHeight="1">
      <c r="A605" s="147">
        <f t="shared" si="1"/>
        <v>21</v>
      </c>
      <c r="B605" s="170"/>
      <c r="C605" s="167"/>
      <c r="D605" s="150"/>
      <c r="E605" s="331"/>
      <c r="F605" s="331"/>
      <c r="G605" s="331"/>
      <c r="H605" s="152"/>
      <c r="I605" s="153">
        <f>+SUMIF('NHẬP LIỆU'!$E:$E,NVL!$B605,'NHẬP LIỆU'!$K:$K)</f>
        <v>0</v>
      </c>
      <c r="J605" s="156">
        <f>+SUMIF('NHẬP LIỆU'!$E:$E,NVL!$B605,'NHẬP LIỆU'!$L:$L)</f>
        <v>0</v>
      </c>
      <c r="K605" s="154">
        <f>+NVL!$H605+NVL!$I605-NVL!$J605</f>
        <v>0</v>
      </c>
      <c r="L605" s="155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23.25" customHeight="1">
      <c r="A606" s="147">
        <f t="shared" si="1"/>
        <v>21</v>
      </c>
      <c r="B606" s="170"/>
      <c r="C606" s="167"/>
      <c r="D606" s="150"/>
      <c r="E606" s="331"/>
      <c r="F606" s="331"/>
      <c r="G606" s="331"/>
      <c r="H606" s="152"/>
      <c r="I606" s="153">
        <f>+SUMIF('NHẬP LIỆU'!$E:$E,NVL!$B606,'NHẬP LIỆU'!$K:$K)</f>
        <v>0</v>
      </c>
      <c r="J606" s="156">
        <f>+SUMIF('NHẬP LIỆU'!$E:$E,NVL!$B606,'NHẬP LIỆU'!$L:$L)</f>
        <v>0</v>
      </c>
      <c r="K606" s="154">
        <f>+NVL!$H606+NVL!$I606-NVL!$J606</f>
        <v>0</v>
      </c>
      <c r="L606" s="155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23.25" customHeight="1">
      <c r="A607" s="147">
        <f t="shared" si="1"/>
        <v>21</v>
      </c>
      <c r="B607" s="170"/>
      <c r="C607" s="167"/>
      <c r="D607" s="150"/>
      <c r="E607" s="331"/>
      <c r="F607" s="331"/>
      <c r="G607" s="331"/>
      <c r="H607" s="152"/>
      <c r="I607" s="153">
        <f>+SUMIF('NHẬP LIỆU'!$E:$E,NVL!$B607,'NHẬP LIỆU'!$K:$K)</f>
        <v>0</v>
      </c>
      <c r="J607" s="156">
        <f>+SUMIF('NHẬP LIỆU'!$E:$E,NVL!$B607,'NHẬP LIỆU'!$L:$L)</f>
        <v>0</v>
      </c>
      <c r="K607" s="154">
        <f>+NVL!$H607+NVL!$I607-NVL!$J607</f>
        <v>0</v>
      </c>
      <c r="L607" s="155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23.25" customHeight="1">
      <c r="A608" s="147">
        <f t="shared" si="1"/>
        <v>21</v>
      </c>
      <c r="B608" s="170"/>
      <c r="C608" s="167"/>
      <c r="D608" s="150"/>
      <c r="E608" s="331"/>
      <c r="F608" s="331"/>
      <c r="G608" s="331"/>
      <c r="H608" s="152"/>
      <c r="I608" s="153">
        <f>+SUMIF('NHẬP LIỆU'!$E:$E,NVL!$B608,'NHẬP LIỆU'!$K:$K)</f>
        <v>0</v>
      </c>
      <c r="J608" s="156">
        <f>+SUMIF('NHẬP LIỆU'!$E:$E,NVL!$B608,'NHẬP LIỆU'!$L:$L)</f>
        <v>0</v>
      </c>
      <c r="K608" s="154">
        <f>+NVL!$H608+NVL!$I608-NVL!$J608</f>
        <v>0</v>
      </c>
      <c r="L608" s="155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23.25" customHeight="1">
      <c r="A609" s="147">
        <f t="shared" si="1"/>
        <v>21</v>
      </c>
      <c r="B609" s="170"/>
      <c r="C609" s="167"/>
      <c r="D609" s="150"/>
      <c r="E609" s="331"/>
      <c r="F609" s="331"/>
      <c r="G609" s="331"/>
      <c r="H609" s="152"/>
      <c r="I609" s="153">
        <f>+SUMIF('NHẬP LIỆU'!$E:$E,NVL!$B609,'NHẬP LIỆU'!$K:$K)</f>
        <v>0</v>
      </c>
      <c r="J609" s="156">
        <f>+SUMIF('NHẬP LIỆU'!$E:$E,NVL!$B609,'NHẬP LIỆU'!$L:$L)</f>
        <v>0</v>
      </c>
      <c r="K609" s="154">
        <f>+NVL!$H609+NVL!$I609-NVL!$J609</f>
        <v>0</v>
      </c>
      <c r="L609" s="155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23.25" customHeight="1">
      <c r="A610" s="147">
        <f t="shared" si="1"/>
        <v>21</v>
      </c>
      <c r="B610" s="170"/>
      <c r="C610" s="167"/>
      <c r="D610" s="150"/>
      <c r="E610" s="331"/>
      <c r="F610" s="331"/>
      <c r="G610" s="331"/>
      <c r="H610" s="152"/>
      <c r="I610" s="153">
        <f>+SUMIF('NHẬP LIỆU'!$E:$E,NVL!$B610,'NHẬP LIỆU'!$K:$K)</f>
        <v>0</v>
      </c>
      <c r="J610" s="156">
        <f>+SUMIF('NHẬP LIỆU'!$E:$E,NVL!$B610,'NHẬP LIỆU'!$L:$L)</f>
        <v>0</v>
      </c>
      <c r="K610" s="154">
        <f>+NVL!$H610+NVL!$I610-NVL!$J610</f>
        <v>0</v>
      </c>
      <c r="L610" s="155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23.25" customHeight="1">
      <c r="A611" s="147">
        <f t="shared" si="1"/>
        <v>21</v>
      </c>
      <c r="B611" s="170"/>
      <c r="C611" s="167"/>
      <c r="D611" s="150"/>
      <c r="E611" s="331"/>
      <c r="F611" s="331"/>
      <c r="G611" s="331"/>
      <c r="H611" s="152"/>
      <c r="I611" s="153">
        <f>+SUMIF('NHẬP LIỆU'!$E:$E,NVL!$B611,'NHẬP LIỆU'!$K:$K)</f>
        <v>0</v>
      </c>
      <c r="J611" s="156">
        <f>+SUMIF('NHẬP LIỆU'!$E:$E,NVL!$B611,'NHẬP LIỆU'!$L:$L)</f>
        <v>0</v>
      </c>
      <c r="K611" s="154">
        <f>+NVL!$H611+NVL!$I611-NVL!$J611</f>
        <v>0</v>
      </c>
      <c r="L611" s="155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5.75" customHeight="1">
      <c r="A612" s="147">
        <f t="shared" si="1"/>
        <v>21</v>
      </c>
      <c r="B612" s="170"/>
      <c r="C612" s="470"/>
      <c r="D612" s="471"/>
      <c r="E612" s="472"/>
      <c r="F612" s="472"/>
      <c r="G612" s="472"/>
      <c r="H612" s="473"/>
      <c r="I612" s="474">
        <f>+SUMIF('NHẬP LIỆU'!$E:$E,NVL!$B612,'NHẬP LIỆU'!$K:$K)</f>
        <v>0</v>
      </c>
      <c r="J612" s="475">
        <f>+SUMIF('NHẬP LIỆU'!$E:$E,NVL!$B612,'NHẬP LIỆU'!$L:$L)</f>
        <v>0</v>
      </c>
      <c r="K612" s="154">
        <f>+NVL!$H612+NVL!$I612-NVL!$J612</f>
        <v>0</v>
      </c>
      <c r="L612" s="476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5.75" customHeight="1">
      <c r="A613" s="123"/>
      <c r="B613" s="477"/>
      <c r="C613" s="10"/>
      <c r="D613" s="124"/>
      <c r="E613" s="125"/>
      <c r="F613" s="125"/>
      <c r="G613" s="125"/>
      <c r="H613" s="478"/>
      <c r="I613" s="166"/>
      <c r="J613" s="169"/>
      <c r="K613" s="129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5.75" customHeight="1">
      <c r="A614" s="123"/>
      <c r="B614" s="477"/>
      <c r="C614" s="10"/>
      <c r="D614" s="124"/>
      <c r="E614" s="125"/>
      <c r="F614" s="125"/>
      <c r="G614" s="125"/>
      <c r="H614" s="478"/>
      <c r="I614" s="166"/>
      <c r="J614" s="169"/>
      <c r="K614" s="129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5.75" customHeight="1">
      <c r="A615" s="123"/>
      <c r="B615" s="477"/>
      <c r="C615" s="10"/>
      <c r="D615" s="124"/>
      <c r="E615" s="125"/>
      <c r="F615" s="125"/>
      <c r="G615" s="125"/>
      <c r="H615" s="478"/>
      <c r="I615" s="166"/>
      <c r="J615" s="169"/>
      <c r="K615" s="129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5.75" customHeight="1">
      <c r="A616" s="123"/>
      <c r="B616" s="477"/>
      <c r="C616" s="10"/>
      <c r="D616" s="124"/>
      <c r="E616" s="125"/>
      <c r="F616" s="125"/>
      <c r="G616" s="125"/>
      <c r="H616" s="478"/>
      <c r="I616" s="479"/>
      <c r="J616" s="169"/>
      <c r="K616" s="129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5.75" customHeight="1">
      <c r="A617" s="123"/>
      <c r="B617" s="477"/>
      <c r="C617" s="10"/>
      <c r="D617" s="124"/>
      <c r="E617" s="125"/>
      <c r="F617" s="125"/>
      <c r="G617" s="125"/>
      <c r="H617" s="478"/>
      <c r="I617" s="166"/>
      <c r="J617" s="169"/>
      <c r="K617" s="129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5.75" customHeight="1">
      <c r="A618" s="123"/>
      <c r="B618" s="477"/>
      <c r="C618" s="10"/>
      <c r="D618" s="124"/>
      <c r="E618" s="125"/>
      <c r="F618" s="125"/>
      <c r="G618" s="125"/>
      <c r="H618" s="478"/>
      <c r="I618" s="166"/>
      <c r="J618" s="169"/>
      <c r="K618" s="129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5.75" customHeight="1">
      <c r="A619" s="123"/>
      <c r="B619" s="480"/>
      <c r="C619" s="10"/>
      <c r="D619" s="124"/>
      <c r="E619" s="125"/>
      <c r="F619" s="125"/>
      <c r="G619" s="125"/>
      <c r="H619" s="478"/>
      <c r="I619" s="166"/>
      <c r="J619" s="169"/>
      <c r="K619" s="129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5.75" customHeight="1">
      <c r="A620" s="123"/>
      <c r="B620" s="480"/>
      <c r="C620" s="10"/>
      <c r="D620" s="124"/>
      <c r="E620" s="125"/>
      <c r="F620" s="125"/>
      <c r="G620" s="125"/>
      <c r="H620" s="478"/>
      <c r="I620" s="166"/>
      <c r="J620" s="169"/>
      <c r="K620" s="129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5.75" customHeight="1">
      <c r="A621" s="123"/>
      <c r="B621" s="480"/>
      <c r="C621" s="10"/>
      <c r="D621" s="124"/>
      <c r="E621" s="125"/>
      <c r="F621" s="125"/>
      <c r="G621" s="125"/>
      <c r="H621" s="478"/>
      <c r="I621" s="166"/>
      <c r="J621" s="481"/>
      <c r="K621" s="129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5.75" customHeight="1">
      <c r="A622" s="123"/>
      <c r="B622" s="480"/>
      <c r="C622" s="10"/>
      <c r="D622" s="124"/>
      <c r="E622" s="125"/>
      <c r="F622" s="125"/>
      <c r="G622" s="125"/>
      <c r="H622" s="478"/>
      <c r="I622" s="166"/>
      <c r="J622" s="169"/>
      <c r="K622" s="129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5.75" customHeight="1">
      <c r="A623" s="123"/>
      <c r="B623" s="480"/>
      <c r="C623" s="10"/>
      <c r="D623" s="124"/>
      <c r="E623" s="125"/>
      <c r="F623" s="125"/>
      <c r="G623" s="125"/>
      <c r="H623" s="478"/>
      <c r="I623" s="166"/>
      <c r="J623" s="169"/>
      <c r="K623" s="129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5.75" customHeight="1">
      <c r="A624" s="123"/>
      <c r="B624" s="477"/>
      <c r="C624" s="10"/>
      <c r="D624" s="124"/>
      <c r="E624" s="125"/>
      <c r="F624" s="125"/>
      <c r="G624" s="125"/>
      <c r="H624" s="478"/>
      <c r="I624" s="166"/>
      <c r="J624" s="169"/>
      <c r="K624" s="129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5.75" customHeight="1">
      <c r="A625" s="123"/>
      <c r="B625" s="477"/>
      <c r="C625" s="10"/>
      <c r="D625" s="124"/>
      <c r="E625" s="125"/>
      <c r="F625" s="125"/>
      <c r="G625" s="125"/>
      <c r="H625" s="478"/>
      <c r="I625" s="166"/>
      <c r="J625" s="169"/>
      <c r="K625" s="129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5.75" customHeight="1">
      <c r="A626" s="123"/>
      <c r="B626" s="477"/>
      <c r="C626" s="10"/>
      <c r="D626" s="124"/>
      <c r="E626" s="125"/>
      <c r="F626" s="125"/>
      <c r="G626" s="125"/>
      <c r="H626" s="478"/>
      <c r="I626" s="166"/>
      <c r="J626" s="169"/>
      <c r="K626" s="129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5.75" customHeight="1">
      <c r="A627" s="123"/>
      <c r="B627" s="123"/>
      <c r="C627" s="10"/>
      <c r="D627" s="124"/>
      <c r="E627" s="125"/>
      <c r="F627" s="125"/>
      <c r="G627" s="125"/>
      <c r="H627" s="478"/>
      <c r="I627" s="166"/>
      <c r="J627" s="169"/>
      <c r="K627" s="129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5.75" customHeight="1">
      <c r="A628" s="123"/>
      <c r="B628" s="123"/>
      <c r="C628" s="10"/>
      <c r="D628" s="124"/>
      <c r="E628" s="125"/>
      <c r="F628" s="125"/>
      <c r="G628" s="125"/>
      <c r="H628" s="478"/>
      <c r="I628" s="166"/>
      <c r="J628" s="169"/>
      <c r="K628" s="129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5.75" customHeight="1">
      <c r="A629" s="123"/>
      <c r="B629" s="123"/>
      <c r="C629" s="10"/>
      <c r="D629" s="124"/>
      <c r="E629" s="125"/>
      <c r="F629" s="125"/>
      <c r="G629" s="125"/>
      <c r="H629" s="478"/>
      <c r="I629" s="166"/>
      <c r="J629" s="169"/>
      <c r="K629" s="129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5.75" customHeight="1">
      <c r="A630" s="123"/>
      <c r="B630" s="123"/>
      <c r="C630" s="10"/>
      <c r="D630" s="124"/>
      <c r="E630" s="125"/>
      <c r="F630" s="125"/>
      <c r="G630" s="125"/>
      <c r="H630" s="478"/>
      <c r="I630" s="166"/>
      <c r="J630" s="169"/>
      <c r="K630" s="129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5.75" customHeight="1">
      <c r="A631" s="123"/>
      <c r="B631" s="123"/>
      <c r="C631" s="10"/>
      <c r="D631" s="124"/>
      <c r="E631" s="125"/>
      <c r="F631" s="125"/>
      <c r="G631" s="125"/>
      <c r="H631" s="478"/>
      <c r="I631" s="166"/>
      <c r="J631" s="169"/>
      <c r="K631" s="129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5.75" customHeight="1">
      <c r="A632" s="123"/>
      <c r="B632" s="123"/>
      <c r="C632" s="10"/>
      <c r="D632" s="124"/>
      <c r="E632" s="125"/>
      <c r="F632" s="125"/>
      <c r="G632" s="125"/>
      <c r="H632" s="478"/>
      <c r="I632" s="166"/>
      <c r="J632" s="169"/>
      <c r="K632" s="129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5.75" customHeight="1">
      <c r="A633" s="123"/>
      <c r="B633" s="123"/>
      <c r="C633" s="10"/>
      <c r="D633" s="124"/>
      <c r="E633" s="125"/>
      <c r="F633" s="125"/>
      <c r="G633" s="125"/>
      <c r="H633" s="478"/>
      <c r="I633" s="166"/>
      <c r="J633" s="169"/>
      <c r="K633" s="129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5.75" customHeight="1">
      <c r="A634" s="123"/>
      <c r="B634" s="123"/>
      <c r="C634" s="10"/>
      <c r="D634" s="124"/>
      <c r="E634" s="125"/>
      <c r="F634" s="125"/>
      <c r="G634" s="125"/>
      <c r="H634" s="478"/>
      <c r="I634" s="166"/>
      <c r="J634" s="169"/>
      <c r="K634" s="129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5.75" customHeight="1">
      <c r="A635" s="123"/>
      <c r="B635" s="123"/>
      <c r="C635" s="10"/>
      <c r="D635" s="124"/>
      <c r="E635" s="125"/>
      <c r="F635" s="125"/>
      <c r="G635" s="125"/>
      <c r="H635" s="478"/>
      <c r="I635" s="166"/>
      <c r="J635" s="169"/>
      <c r="K635" s="129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5.75" customHeight="1">
      <c r="A636" s="123"/>
      <c r="B636" s="123"/>
      <c r="C636" s="10"/>
      <c r="D636" s="124"/>
      <c r="E636" s="125"/>
      <c r="F636" s="125"/>
      <c r="G636" s="125"/>
      <c r="H636" s="478"/>
      <c r="I636" s="166"/>
      <c r="J636" s="169"/>
      <c r="K636" s="129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5.75" customHeight="1">
      <c r="A637" s="123"/>
      <c r="B637" s="123"/>
      <c r="C637" s="10"/>
      <c r="D637" s="124"/>
      <c r="E637" s="125"/>
      <c r="F637" s="125"/>
      <c r="G637" s="125"/>
      <c r="H637" s="478"/>
      <c r="I637" s="166"/>
      <c r="J637" s="169"/>
      <c r="K637" s="129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5.75" customHeight="1">
      <c r="A638" s="123"/>
      <c r="B638" s="123"/>
      <c r="C638" s="10"/>
      <c r="D638" s="124"/>
      <c r="E638" s="125"/>
      <c r="F638" s="125"/>
      <c r="G638" s="125"/>
      <c r="H638" s="478"/>
      <c r="I638" s="166"/>
      <c r="J638" s="169"/>
      <c r="K638" s="129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5.75" customHeight="1">
      <c r="A639" s="123"/>
      <c r="B639" s="123"/>
      <c r="C639" s="10"/>
      <c r="D639" s="124"/>
      <c r="E639" s="125"/>
      <c r="F639" s="125"/>
      <c r="G639" s="125"/>
      <c r="H639" s="478"/>
      <c r="I639" s="166"/>
      <c r="J639" s="169"/>
      <c r="K639" s="129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5.75" customHeight="1">
      <c r="A640" s="123"/>
      <c r="B640" s="123"/>
      <c r="C640" s="10"/>
      <c r="D640" s="124"/>
      <c r="E640" s="125"/>
      <c r="F640" s="125"/>
      <c r="G640" s="125"/>
      <c r="H640" s="478"/>
      <c r="I640" s="166"/>
      <c r="J640" s="169"/>
      <c r="K640" s="129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5.75" customHeight="1">
      <c r="A641" s="123"/>
      <c r="B641" s="123"/>
      <c r="C641" s="10"/>
      <c r="D641" s="124"/>
      <c r="E641" s="125"/>
      <c r="F641" s="125"/>
      <c r="G641" s="125"/>
      <c r="H641" s="478"/>
      <c r="I641" s="166"/>
      <c r="J641" s="169"/>
      <c r="K641" s="129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5.75" customHeight="1">
      <c r="A642" s="123"/>
      <c r="B642" s="123"/>
      <c r="C642" s="10"/>
      <c r="D642" s="124"/>
      <c r="E642" s="125"/>
      <c r="F642" s="125"/>
      <c r="G642" s="125"/>
      <c r="H642" s="478"/>
      <c r="I642" s="166"/>
      <c r="J642" s="169"/>
      <c r="K642" s="129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5.75" customHeight="1">
      <c r="A643" s="123"/>
      <c r="B643" s="123"/>
      <c r="C643" s="10"/>
      <c r="D643" s="124"/>
      <c r="E643" s="125"/>
      <c r="F643" s="125"/>
      <c r="G643" s="125"/>
      <c r="H643" s="478"/>
      <c r="I643" s="166"/>
      <c r="J643" s="169"/>
      <c r="K643" s="129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5.75" customHeight="1">
      <c r="A644" s="123"/>
      <c r="B644" s="123"/>
      <c r="C644" s="10"/>
      <c r="D644" s="124"/>
      <c r="E644" s="125"/>
      <c r="F644" s="125"/>
      <c r="G644" s="125"/>
      <c r="H644" s="478"/>
      <c r="I644" s="166"/>
      <c r="J644" s="169"/>
      <c r="K644" s="129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5.75" customHeight="1">
      <c r="A645" s="123"/>
      <c r="B645" s="123"/>
      <c r="C645" s="10"/>
      <c r="D645" s="124"/>
      <c r="E645" s="125"/>
      <c r="F645" s="125"/>
      <c r="G645" s="125"/>
      <c r="H645" s="478"/>
      <c r="I645" s="166"/>
      <c r="J645" s="169"/>
      <c r="K645" s="129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5.75" customHeight="1">
      <c r="A646" s="123"/>
      <c r="B646" s="123"/>
      <c r="C646" s="10"/>
      <c r="D646" s="124"/>
      <c r="E646" s="125"/>
      <c r="F646" s="125"/>
      <c r="G646" s="125"/>
      <c r="H646" s="478"/>
      <c r="I646" s="166"/>
      <c r="J646" s="169"/>
      <c r="K646" s="129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5.75" customHeight="1">
      <c r="A647" s="123"/>
      <c r="B647" s="123"/>
      <c r="C647" s="10"/>
      <c r="D647" s="124"/>
      <c r="E647" s="125"/>
      <c r="F647" s="125"/>
      <c r="G647" s="125"/>
      <c r="H647" s="478"/>
      <c r="I647" s="166"/>
      <c r="J647" s="169"/>
      <c r="K647" s="129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5.75" customHeight="1">
      <c r="A648" s="123"/>
      <c r="B648" s="123"/>
      <c r="C648" s="10"/>
      <c r="D648" s="124"/>
      <c r="E648" s="125"/>
      <c r="F648" s="125"/>
      <c r="G648" s="125"/>
      <c r="H648" s="478"/>
      <c r="I648" s="166"/>
      <c r="J648" s="169"/>
      <c r="K648" s="129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5.75" customHeight="1">
      <c r="A649" s="123"/>
      <c r="B649" s="123"/>
      <c r="C649" s="10"/>
      <c r="D649" s="124"/>
      <c r="E649" s="125"/>
      <c r="F649" s="125"/>
      <c r="G649" s="125"/>
      <c r="H649" s="478"/>
      <c r="I649" s="166"/>
      <c r="J649" s="169"/>
      <c r="K649" s="129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5.75" customHeight="1">
      <c r="A650" s="123"/>
      <c r="B650" s="123"/>
      <c r="C650" s="10"/>
      <c r="D650" s="124"/>
      <c r="E650" s="125"/>
      <c r="F650" s="125"/>
      <c r="G650" s="125"/>
      <c r="H650" s="478"/>
      <c r="I650" s="166"/>
      <c r="J650" s="169"/>
      <c r="K650" s="129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5.75" customHeight="1">
      <c r="A651" s="123"/>
      <c r="B651" s="123"/>
      <c r="C651" s="10"/>
      <c r="D651" s="124"/>
      <c r="E651" s="125"/>
      <c r="F651" s="125"/>
      <c r="G651" s="125"/>
      <c r="H651" s="478"/>
      <c r="I651" s="166"/>
      <c r="J651" s="169"/>
      <c r="K651" s="129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5.75" customHeight="1">
      <c r="A652" s="123"/>
      <c r="B652" s="123"/>
      <c r="C652" s="10"/>
      <c r="D652" s="124"/>
      <c r="E652" s="125"/>
      <c r="F652" s="125"/>
      <c r="G652" s="125"/>
      <c r="H652" s="478"/>
      <c r="I652" s="166"/>
      <c r="J652" s="169"/>
      <c r="K652" s="129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5.75" customHeight="1">
      <c r="A653" s="123"/>
      <c r="B653" s="123"/>
      <c r="C653" s="10"/>
      <c r="D653" s="124"/>
      <c r="E653" s="125"/>
      <c r="F653" s="125"/>
      <c r="G653" s="125"/>
      <c r="H653" s="478"/>
      <c r="I653" s="166"/>
      <c r="J653" s="169"/>
      <c r="K653" s="129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5.75" customHeight="1">
      <c r="A654" s="123"/>
      <c r="B654" s="123"/>
      <c r="C654" s="10"/>
      <c r="D654" s="124"/>
      <c r="E654" s="125"/>
      <c r="F654" s="125"/>
      <c r="G654" s="125"/>
      <c r="H654" s="478"/>
      <c r="I654" s="166"/>
      <c r="J654" s="169"/>
      <c r="K654" s="129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5.75" customHeight="1">
      <c r="A655" s="123"/>
      <c r="B655" s="123"/>
      <c r="C655" s="10"/>
      <c r="D655" s="124"/>
      <c r="E655" s="125"/>
      <c r="F655" s="125"/>
      <c r="G655" s="125"/>
      <c r="H655" s="478"/>
      <c r="I655" s="166"/>
      <c r="J655" s="169"/>
      <c r="K655" s="129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5.75" customHeight="1">
      <c r="A656" s="123"/>
      <c r="B656" s="123"/>
      <c r="C656" s="10"/>
      <c r="D656" s="124"/>
      <c r="E656" s="125"/>
      <c r="F656" s="125"/>
      <c r="G656" s="125"/>
      <c r="H656" s="478"/>
      <c r="I656" s="166"/>
      <c r="J656" s="169"/>
      <c r="K656" s="129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5.75" customHeight="1">
      <c r="A657" s="123"/>
      <c r="B657" s="123"/>
      <c r="C657" s="10"/>
      <c r="D657" s="124"/>
      <c r="E657" s="125"/>
      <c r="F657" s="125"/>
      <c r="G657" s="125"/>
      <c r="H657" s="478"/>
      <c r="I657" s="166"/>
      <c r="J657" s="169"/>
      <c r="K657" s="129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5.75" customHeight="1">
      <c r="A658" s="123"/>
      <c r="B658" s="123"/>
      <c r="C658" s="10"/>
      <c r="D658" s="124"/>
      <c r="E658" s="125"/>
      <c r="F658" s="125"/>
      <c r="G658" s="125"/>
      <c r="H658" s="478"/>
      <c r="I658" s="166"/>
      <c r="J658" s="169"/>
      <c r="K658" s="129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5.75" customHeight="1">
      <c r="A659" s="123"/>
      <c r="B659" s="123"/>
      <c r="C659" s="10"/>
      <c r="D659" s="124"/>
      <c r="E659" s="125"/>
      <c r="F659" s="125"/>
      <c r="G659" s="125"/>
      <c r="H659" s="478"/>
      <c r="I659" s="166"/>
      <c r="J659" s="169"/>
      <c r="K659" s="129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5.75" customHeight="1">
      <c r="A660" s="123"/>
      <c r="B660" s="123"/>
      <c r="C660" s="10"/>
      <c r="D660" s="124"/>
      <c r="E660" s="125"/>
      <c r="F660" s="125"/>
      <c r="G660" s="125"/>
      <c r="H660" s="478"/>
      <c r="I660" s="166"/>
      <c r="J660" s="169"/>
      <c r="K660" s="129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5.75" customHeight="1">
      <c r="A661" s="123"/>
      <c r="B661" s="123"/>
      <c r="C661" s="10"/>
      <c r="D661" s="124"/>
      <c r="E661" s="125"/>
      <c r="F661" s="125"/>
      <c r="G661" s="125"/>
      <c r="H661" s="478"/>
      <c r="I661" s="166"/>
      <c r="J661" s="169"/>
      <c r="K661" s="129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5.75" customHeight="1">
      <c r="A662" s="123"/>
      <c r="B662" s="123"/>
      <c r="C662" s="10"/>
      <c r="D662" s="124"/>
      <c r="E662" s="125"/>
      <c r="F662" s="125"/>
      <c r="G662" s="125"/>
      <c r="H662" s="478"/>
      <c r="I662" s="166"/>
      <c r="J662" s="169"/>
      <c r="K662" s="129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5.75" customHeight="1">
      <c r="A663" s="123"/>
      <c r="B663" s="123"/>
      <c r="C663" s="10"/>
      <c r="D663" s="124"/>
      <c r="E663" s="125"/>
      <c r="F663" s="125"/>
      <c r="G663" s="125"/>
      <c r="H663" s="478"/>
      <c r="I663" s="166"/>
      <c r="J663" s="169"/>
      <c r="K663" s="129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5.75" customHeight="1">
      <c r="A664" s="123"/>
      <c r="B664" s="123"/>
      <c r="C664" s="10"/>
      <c r="D664" s="124"/>
      <c r="E664" s="125"/>
      <c r="F664" s="125"/>
      <c r="G664" s="125"/>
      <c r="H664" s="478"/>
      <c r="I664" s="166"/>
      <c r="J664" s="169"/>
      <c r="K664" s="129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5.75" customHeight="1">
      <c r="A665" s="123"/>
      <c r="B665" s="123"/>
      <c r="C665" s="10"/>
      <c r="D665" s="124"/>
      <c r="E665" s="125"/>
      <c r="F665" s="125"/>
      <c r="G665" s="125"/>
      <c r="H665" s="478"/>
      <c r="I665" s="166"/>
      <c r="J665" s="169"/>
      <c r="K665" s="129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5.75" customHeight="1">
      <c r="A666" s="123"/>
      <c r="B666" s="123"/>
      <c r="C666" s="10"/>
      <c r="D666" s="124"/>
      <c r="E666" s="125"/>
      <c r="F666" s="125"/>
      <c r="G666" s="125"/>
      <c r="H666" s="478"/>
      <c r="I666" s="166"/>
      <c r="J666" s="169"/>
      <c r="K666" s="129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5.75" customHeight="1">
      <c r="A667" s="123"/>
      <c r="B667" s="123"/>
      <c r="C667" s="10"/>
      <c r="D667" s="124"/>
      <c r="E667" s="125"/>
      <c r="F667" s="125"/>
      <c r="G667" s="125"/>
      <c r="H667" s="478"/>
      <c r="I667" s="166"/>
      <c r="J667" s="169"/>
      <c r="K667" s="129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5.75" customHeight="1">
      <c r="A668" s="123"/>
      <c r="B668" s="123"/>
      <c r="C668" s="10"/>
      <c r="D668" s="124"/>
      <c r="E668" s="125"/>
      <c r="F668" s="125"/>
      <c r="G668" s="125"/>
      <c r="H668" s="478"/>
      <c r="I668" s="166"/>
      <c r="J668" s="169"/>
      <c r="K668" s="129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5.75" customHeight="1">
      <c r="A669" s="123"/>
      <c r="B669" s="123"/>
      <c r="C669" s="10"/>
      <c r="D669" s="124"/>
      <c r="E669" s="125"/>
      <c r="F669" s="125"/>
      <c r="G669" s="125"/>
      <c r="H669" s="478"/>
      <c r="I669" s="166"/>
      <c r="J669" s="169"/>
      <c r="K669" s="129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5.75" customHeight="1">
      <c r="A670" s="123"/>
      <c r="B670" s="123"/>
      <c r="C670" s="10"/>
      <c r="D670" s="124"/>
      <c r="E670" s="125"/>
      <c r="F670" s="125"/>
      <c r="G670" s="125"/>
      <c r="H670" s="478"/>
      <c r="I670" s="166"/>
      <c r="J670" s="169"/>
      <c r="K670" s="129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5.75" customHeight="1">
      <c r="A671" s="123"/>
      <c r="B671" s="123"/>
      <c r="C671" s="10"/>
      <c r="D671" s="124"/>
      <c r="E671" s="125"/>
      <c r="F671" s="125"/>
      <c r="G671" s="125"/>
      <c r="H671" s="478"/>
      <c r="I671" s="166"/>
      <c r="J671" s="169"/>
      <c r="K671" s="129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5.75" customHeight="1">
      <c r="A672" s="123"/>
      <c r="B672" s="123"/>
      <c r="C672" s="10"/>
      <c r="D672" s="124"/>
      <c r="E672" s="125"/>
      <c r="F672" s="125"/>
      <c r="G672" s="125"/>
      <c r="H672" s="478"/>
      <c r="I672" s="166"/>
      <c r="J672" s="169"/>
      <c r="K672" s="129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5.75" customHeight="1">
      <c r="A673" s="123"/>
      <c r="B673" s="123"/>
      <c r="C673" s="10"/>
      <c r="D673" s="124"/>
      <c r="E673" s="125"/>
      <c r="F673" s="125"/>
      <c r="G673" s="125"/>
      <c r="H673" s="478"/>
      <c r="I673" s="166"/>
      <c r="J673" s="169"/>
      <c r="K673" s="129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5.75" customHeight="1">
      <c r="A674" s="123"/>
      <c r="B674" s="123"/>
      <c r="C674" s="10"/>
      <c r="D674" s="124"/>
      <c r="E674" s="125"/>
      <c r="F674" s="125"/>
      <c r="G674" s="125"/>
      <c r="H674" s="478"/>
      <c r="I674" s="166"/>
      <c r="J674" s="169"/>
      <c r="K674" s="129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5.75" customHeight="1">
      <c r="A675" s="123"/>
      <c r="B675" s="123"/>
      <c r="C675" s="10"/>
      <c r="D675" s="124"/>
      <c r="E675" s="125"/>
      <c r="F675" s="125"/>
      <c r="G675" s="125"/>
      <c r="H675" s="478"/>
      <c r="I675" s="166"/>
      <c r="J675" s="169"/>
      <c r="K675" s="129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5.75" customHeight="1">
      <c r="A676" s="123"/>
      <c r="B676" s="123"/>
      <c r="C676" s="10"/>
      <c r="D676" s="124"/>
      <c r="E676" s="125"/>
      <c r="F676" s="125"/>
      <c r="G676" s="125"/>
      <c r="H676" s="478"/>
      <c r="I676" s="166"/>
      <c r="J676" s="169"/>
      <c r="K676" s="129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5.75" customHeight="1">
      <c r="A677" s="123"/>
      <c r="B677" s="123"/>
      <c r="C677" s="10"/>
      <c r="D677" s="124"/>
      <c r="E677" s="125"/>
      <c r="F677" s="125"/>
      <c r="G677" s="125"/>
      <c r="H677" s="478"/>
      <c r="I677" s="166"/>
      <c r="J677" s="169"/>
      <c r="K677" s="129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5.75" customHeight="1">
      <c r="A678" s="123"/>
      <c r="B678" s="123"/>
      <c r="C678" s="10"/>
      <c r="D678" s="124"/>
      <c r="E678" s="125"/>
      <c r="F678" s="125"/>
      <c r="G678" s="125"/>
      <c r="H678" s="478"/>
      <c r="I678" s="166"/>
      <c r="J678" s="169"/>
      <c r="K678" s="129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5.75" customHeight="1">
      <c r="A679" s="123"/>
      <c r="B679" s="123"/>
      <c r="C679" s="10"/>
      <c r="D679" s="124"/>
      <c r="E679" s="125"/>
      <c r="F679" s="125"/>
      <c r="G679" s="125"/>
      <c r="H679" s="478"/>
      <c r="I679" s="166"/>
      <c r="J679" s="169"/>
      <c r="K679" s="129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5.75" customHeight="1">
      <c r="A680" s="123"/>
      <c r="B680" s="123"/>
      <c r="C680" s="10"/>
      <c r="D680" s="124"/>
      <c r="E680" s="125"/>
      <c r="F680" s="125"/>
      <c r="G680" s="125"/>
      <c r="H680" s="478"/>
      <c r="I680" s="166"/>
      <c r="J680" s="169"/>
      <c r="K680" s="129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5.75" customHeight="1">
      <c r="A681" s="123"/>
      <c r="B681" s="123"/>
      <c r="C681" s="10"/>
      <c r="D681" s="124"/>
      <c r="E681" s="125"/>
      <c r="F681" s="125"/>
      <c r="G681" s="125"/>
      <c r="H681" s="478"/>
      <c r="I681" s="166"/>
      <c r="J681" s="169"/>
      <c r="K681" s="129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5.75" customHeight="1">
      <c r="A682" s="123"/>
      <c r="B682" s="123"/>
      <c r="C682" s="10"/>
      <c r="D682" s="124"/>
      <c r="E682" s="125"/>
      <c r="F682" s="125"/>
      <c r="G682" s="125"/>
      <c r="H682" s="478"/>
      <c r="I682" s="166"/>
      <c r="J682" s="169"/>
      <c r="K682" s="129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5.75" customHeight="1">
      <c r="A683" s="123"/>
      <c r="B683" s="123"/>
      <c r="C683" s="10"/>
      <c r="D683" s="124"/>
      <c r="E683" s="125"/>
      <c r="F683" s="125"/>
      <c r="G683" s="125"/>
      <c r="H683" s="478"/>
      <c r="I683" s="166"/>
      <c r="J683" s="169"/>
      <c r="K683" s="129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5.75" customHeight="1">
      <c r="A684" s="123"/>
      <c r="B684" s="123"/>
      <c r="C684" s="10"/>
      <c r="D684" s="124"/>
      <c r="E684" s="125"/>
      <c r="F684" s="125"/>
      <c r="G684" s="125"/>
      <c r="H684" s="478"/>
      <c r="I684" s="166"/>
      <c r="J684" s="169"/>
      <c r="K684" s="129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5.75" customHeight="1">
      <c r="A685" s="123"/>
      <c r="B685" s="123"/>
      <c r="C685" s="10"/>
      <c r="D685" s="124"/>
      <c r="E685" s="125"/>
      <c r="F685" s="125"/>
      <c r="G685" s="125"/>
      <c r="H685" s="478"/>
      <c r="I685" s="166"/>
      <c r="J685" s="169"/>
      <c r="K685" s="129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5.75" customHeight="1">
      <c r="A686" s="123"/>
      <c r="B686" s="123"/>
      <c r="C686" s="10"/>
      <c r="D686" s="124"/>
      <c r="E686" s="125"/>
      <c r="F686" s="125"/>
      <c r="G686" s="125"/>
      <c r="H686" s="478"/>
      <c r="I686" s="166"/>
      <c r="J686" s="169"/>
      <c r="K686" s="129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5.75" customHeight="1">
      <c r="A687" s="123"/>
      <c r="B687" s="123"/>
      <c r="C687" s="10"/>
      <c r="D687" s="124"/>
      <c r="E687" s="125"/>
      <c r="F687" s="125"/>
      <c r="G687" s="125"/>
      <c r="H687" s="478"/>
      <c r="I687" s="166"/>
      <c r="J687" s="169"/>
      <c r="K687" s="129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5.75" customHeight="1">
      <c r="A688" s="123"/>
      <c r="B688" s="123"/>
      <c r="C688" s="10"/>
      <c r="D688" s="124"/>
      <c r="E688" s="125"/>
      <c r="F688" s="125"/>
      <c r="G688" s="125"/>
      <c r="H688" s="478"/>
      <c r="I688" s="166"/>
      <c r="J688" s="169"/>
      <c r="K688" s="129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5.75" customHeight="1">
      <c r="A689" s="123"/>
      <c r="B689" s="123"/>
      <c r="C689" s="10"/>
      <c r="D689" s="124"/>
      <c r="E689" s="125"/>
      <c r="F689" s="125"/>
      <c r="G689" s="125"/>
      <c r="H689" s="478"/>
      <c r="I689" s="166"/>
      <c r="J689" s="169"/>
      <c r="K689" s="129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5.75" customHeight="1">
      <c r="A690" s="123"/>
      <c r="B690" s="123"/>
      <c r="C690" s="10"/>
      <c r="D690" s="124"/>
      <c r="E690" s="125"/>
      <c r="F690" s="125"/>
      <c r="G690" s="125"/>
      <c r="H690" s="478"/>
      <c r="I690" s="166"/>
      <c r="J690" s="169"/>
      <c r="K690" s="129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5.75" customHeight="1">
      <c r="A691" s="123"/>
      <c r="B691" s="123"/>
      <c r="C691" s="10"/>
      <c r="D691" s="124"/>
      <c r="E691" s="125"/>
      <c r="F691" s="125"/>
      <c r="G691" s="125"/>
      <c r="H691" s="478"/>
      <c r="I691" s="166"/>
      <c r="J691" s="169"/>
      <c r="K691" s="129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5.75" customHeight="1">
      <c r="A692" s="123"/>
      <c r="B692" s="123"/>
      <c r="C692" s="10"/>
      <c r="D692" s="124"/>
      <c r="E692" s="125"/>
      <c r="F692" s="125"/>
      <c r="G692" s="125"/>
      <c r="H692" s="478"/>
      <c r="I692" s="166"/>
      <c r="J692" s="169"/>
      <c r="K692" s="129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5.75" customHeight="1">
      <c r="A693" s="123"/>
      <c r="B693" s="123"/>
      <c r="C693" s="10"/>
      <c r="D693" s="124"/>
      <c r="E693" s="125"/>
      <c r="F693" s="125"/>
      <c r="G693" s="125"/>
      <c r="H693" s="478"/>
      <c r="I693" s="166"/>
      <c r="J693" s="169"/>
      <c r="K693" s="129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5.75" customHeight="1">
      <c r="A694" s="123"/>
      <c r="B694" s="123"/>
      <c r="C694" s="10"/>
      <c r="D694" s="124"/>
      <c r="E694" s="125"/>
      <c r="F694" s="125"/>
      <c r="G694" s="125"/>
      <c r="H694" s="478"/>
      <c r="I694" s="166"/>
      <c r="J694" s="169"/>
      <c r="K694" s="129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5.75" customHeight="1">
      <c r="A695" s="123"/>
      <c r="B695" s="123"/>
      <c r="C695" s="10"/>
      <c r="D695" s="124"/>
      <c r="E695" s="125"/>
      <c r="F695" s="125"/>
      <c r="G695" s="125"/>
      <c r="H695" s="478"/>
      <c r="I695" s="166"/>
      <c r="J695" s="169"/>
      <c r="K695" s="129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5.75" customHeight="1">
      <c r="A696" s="123"/>
      <c r="B696" s="123"/>
      <c r="C696" s="10"/>
      <c r="D696" s="124"/>
      <c r="E696" s="125"/>
      <c r="F696" s="125"/>
      <c r="G696" s="125"/>
      <c r="H696" s="478"/>
      <c r="I696" s="166"/>
      <c r="J696" s="169"/>
      <c r="K696" s="129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5.75" customHeight="1">
      <c r="A697" s="123"/>
      <c r="B697" s="123"/>
      <c r="C697" s="10"/>
      <c r="D697" s="124"/>
      <c r="E697" s="125"/>
      <c r="F697" s="125"/>
      <c r="G697" s="125"/>
      <c r="H697" s="478"/>
      <c r="I697" s="166"/>
      <c r="J697" s="169"/>
      <c r="K697" s="129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5.75" customHeight="1">
      <c r="A698" s="123"/>
      <c r="B698" s="123"/>
      <c r="C698" s="10"/>
      <c r="D698" s="124"/>
      <c r="E698" s="125"/>
      <c r="F698" s="125"/>
      <c r="G698" s="125"/>
      <c r="H698" s="478"/>
      <c r="I698" s="166"/>
      <c r="J698" s="169"/>
      <c r="K698" s="129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5.75" customHeight="1">
      <c r="A699" s="123"/>
      <c r="B699" s="123"/>
      <c r="C699" s="10"/>
      <c r="D699" s="124"/>
      <c r="E699" s="125"/>
      <c r="F699" s="125"/>
      <c r="G699" s="125"/>
      <c r="H699" s="478"/>
      <c r="I699" s="166"/>
      <c r="J699" s="169"/>
      <c r="K699" s="129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5.75" customHeight="1">
      <c r="A700" s="123"/>
      <c r="B700" s="123"/>
      <c r="C700" s="10"/>
      <c r="D700" s="124"/>
      <c r="E700" s="125"/>
      <c r="F700" s="125"/>
      <c r="G700" s="125"/>
      <c r="H700" s="478"/>
      <c r="I700" s="166"/>
      <c r="J700" s="169"/>
      <c r="K700" s="129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5.75" customHeight="1">
      <c r="A701" s="123"/>
      <c r="B701" s="123"/>
      <c r="C701" s="10"/>
      <c r="D701" s="124"/>
      <c r="E701" s="125"/>
      <c r="F701" s="125"/>
      <c r="G701" s="125"/>
      <c r="H701" s="478"/>
      <c r="I701" s="166"/>
      <c r="J701" s="169"/>
      <c r="K701" s="129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5.75" customHeight="1">
      <c r="A702" s="123"/>
      <c r="B702" s="123"/>
      <c r="C702" s="10"/>
      <c r="D702" s="124"/>
      <c r="E702" s="125"/>
      <c r="F702" s="125"/>
      <c r="G702" s="125"/>
      <c r="H702" s="478"/>
      <c r="I702" s="166"/>
      <c r="J702" s="169"/>
      <c r="K702" s="129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5.75" customHeight="1">
      <c r="A703" s="123"/>
      <c r="B703" s="123"/>
      <c r="C703" s="10"/>
      <c r="D703" s="124"/>
      <c r="E703" s="125"/>
      <c r="F703" s="125"/>
      <c r="G703" s="125"/>
      <c r="H703" s="478"/>
      <c r="I703" s="166"/>
      <c r="J703" s="169"/>
      <c r="K703" s="129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5.75" customHeight="1">
      <c r="A704" s="123"/>
      <c r="B704" s="123"/>
      <c r="C704" s="10"/>
      <c r="D704" s="124"/>
      <c r="E704" s="125"/>
      <c r="F704" s="125"/>
      <c r="G704" s="125"/>
      <c r="H704" s="478"/>
      <c r="I704" s="166"/>
      <c r="J704" s="169"/>
      <c r="K704" s="129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5.75" customHeight="1">
      <c r="A705" s="123"/>
      <c r="B705" s="123"/>
      <c r="C705" s="10"/>
      <c r="D705" s="124"/>
      <c r="E705" s="125"/>
      <c r="F705" s="125"/>
      <c r="G705" s="125"/>
      <c r="H705" s="478"/>
      <c r="I705" s="166"/>
      <c r="J705" s="169"/>
      <c r="K705" s="129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5.75" customHeight="1">
      <c r="A706" s="123"/>
      <c r="B706" s="123"/>
      <c r="C706" s="10"/>
      <c r="D706" s="124"/>
      <c r="E706" s="125"/>
      <c r="F706" s="125"/>
      <c r="G706" s="125"/>
      <c r="H706" s="478"/>
      <c r="I706" s="166"/>
      <c r="J706" s="169"/>
      <c r="K706" s="129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5.75" customHeight="1">
      <c r="A707" s="123"/>
      <c r="B707" s="123"/>
      <c r="C707" s="10"/>
      <c r="D707" s="124"/>
      <c r="E707" s="125"/>
      <c r="F707" s="125"/>
      <c r="G707" s="125"/>
      <c r="H707" s="478"/>
      <c r="I707" s="166"/>
      <c r="J707" s="169"/>
      <c r="K707" s="129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5.75" customHeight="1">
      <c r="A708" s="123"/>
      <c r="B708" s="123"/>
      <c r="C708" s="10"/>
      <c r="D708" s="124"/>
      <c r="E708" s="125"/>
      <c r="F708" s="125"/>
      <c r="G708" s="125"/>
      <c r="H708" s="478"/>
      <c r="I708" s="166"/>
      <c r="J708" s="169"/>
      <c r="K708" s="129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5.75" customHeight="1">
      <c r="A709" s="123"/>
      <c r="B709" s="123"/>
      <c r="C709" s="10"/>
      <c r="D709" s="124"/>
      <c r="E709" s="125"/>
      <c r="F709" s="125"/>
      <c r="G709" s="125"/>
      <c r="H709" s="478"/>
      <c r="I709" s="166"/>
      <c r="J709" s="169"/>
      <c r="K709" s="129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5.75" customHeight="1">
      <c r="A710" s="123"/>
      <c r="B710" s="123"/>
      <c r="C710" s="10"/>
      <c r="D710" s="124"/>
      <c r="E710" s="125"/>
      <c r="F710" s="125"/>
      <c r="G710" s="125"/>
      <c r="H710" s="478"/>
      <c r="I710" s="166"/>
      <c r="J710" s="169"/>
      <c r="K710" s="129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5.75" customHeight="1">
      <c r="A711" s="123"/>
      <c r="B711" s="123"/>
      <c r="C711" s="10"/>
      <c r="D711" s="124"/>
      <c r="E711" s="125"/>
      <c r="F711" s="125"/>
      <c r="G711" s="125"/>
      <c r="H711" s="478"/>
      <c r="I711" s="166"/>
      <c r="J711" s="169"/>
      <c r="K711" s="129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5.75" customHeight="1">
      <c r="A712" s="123"/>
      <c r="B712" s="123"/>
      <c r="C712" s="10"/>
      <c r="D712" s="124"/>
      <c r="E712" s="125"/>
      <c r="F712" s="125"/>
      <c r="G712" s="125"/>
      <c r="H712" s="478"/>
      <c r="I712" s="166"/>
      <c r="J712" s="169"/>
      <c r="K712" s="129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5.75" customHeight="1">
      <c r="A713" s="123"/>
      <c r="B713" s="123"/>
      <c r="C713" s="10"/>
      <c r="D713" s="124"/>
      <c r="E713" s="125"/>
      <c r="F713" s="125"/>
      <c r="G713" s="125"/>
      <c r="H713" s="478"/>
      <c r="I713" s="166"/>
      <c r="J713" s="169"/>
      <c r="K713" s="129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5.75" customHeight="1">
      <c r="A714" s="123"/>
      <c r="B714" s="123"/>
      <c r="C714" s="10"/>
      <c r="D714" s="124"/>
      <c r="E714" s="125"/>
      <c r="F714" s="125"/>
      <c r="G714" s="125"/>
      <c r="H714" s="478"/>
      <c r="I714" s="166"/>
      <c r="J714" s="169"/>
      <c r="K714" s="129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5.75" customHeight="1">
      <c r="A715" s="123"/>
      <c r="B715" s="123"/>
      <c r="C715" s="10"/>
      <c r="D715" s="124"/>
      <c r="E715" s="125"/>
      <c r="F715" s="125"/>
      <c r="G715" s="125"/>
      <c r="H715" s="478"/>
      <c r="I715" s="166"/>
      <c r="J715" s="169"/>
      <c r="K715" s="129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5.75" customHeight="1">
      <c r="A716" s="123"/>
      <c r="B716" s="123"/>
      <c r="C716" s="10"/>
      <c r="D716" s="124"/>
      <c r="E716" s="125"/>
      <c r="F716" s="125"/>
      <c r="G716" s="125"/>
      <c r="H716" s="478"/>
      <c r="I716" s="166"/>
      <c r="J716" s="169"/>
      <c r="K716" s="129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5.75" customHeight="1">
      <c r="A717" s="123"/>
      <c r="B717" s="123"/>
      <c r="C717" s="10"/>
      <c r="D717" s="124"/>
      <c r="E717" s="125"/>
      <c r="F717" s="125"/>
      <c r="G717" s="125"/>
      <c r="H717" s="478"/>
      <c r="I717" s="166"/>
      <c r="J717" s="169"/>
      <c r="K717" s="129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5.75" customHeight="1">
      <c r="A718" s="123"/>
      <c r="B718" s="123"/>
      <c r="C718" s="10"/>
      <c r="D718" s="124"/>
      <c r="E718" s="125"/>
      <c r="F718" s="125"/>
      <c r="G718" s="125"/>
      <c r="H718" s="478"/>
      <c r="I718" s="166"/>
      <c r="J718" s="169"/>
      <c r="K718" s="129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5.75" customHeight="1">
      <c r="A719" s="123"/>
      <c r="B719" s="123"/>
      <c r="C719" s="10"/>
      <c r="D719" s="124"/>
      <c r="E719" s="125"/>
      <c r="F719" s="125"/>
      <c r="G719" s="125"/>
      <c r="H719" s="478"/>
      <c r="I719" s="166"/>
      <c r="J719" s="169"/>
      <c r="K719" s="129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5.75" customHeight="1">
      <c r="A720" s="123"/>
      <c r="B720" s="123"/>
      <c r="C720" s="10"/>
      <c r="D720" s="124"/>
      <c r="E720" s="125"/>
      <c r="F720" s="125"/>
      <c r="G720" s="125"/>
      <c r="H720" s="478"/>
      <c r="I720" s="166"/>
      <c r="J720" s="169"/>
      <c r="K720" s="129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5.75" customHeight="1">
      <c r="A721" s="123"/>
      <c r="B721" s="123"/>
      <c r="C721" s="10"/>
      <c r="D721" s="124"/>
      <c r="E721" s="125"/>
      <c r="F721" s="125"/>
      <c r="G721" s="125"/>
      <c r="H721" s="478"/>
      <c r="I721" s="166"/>
      <c r="J721" s="169"/>
      <c r="K721" s="129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5.75" customHeight="1">
      <c r="A722" s="123"/>
      <c r="B722" s="123"/>
      <c r="C722" s="10"/>
      <c r="D722" s="124"/>
      <c r="E722" s="125"/>
      <c r="F722" s="125"/>
      <c r="G722" s="125"/>
      <c r="H722" s="478"/>
      <c r="I722" s="166"/>
      <c r="J722" s="169"/>
      <c r="K722" s="129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5.75" customHeight="1">
      <c r="A723" s="123"/>
      <c r="B723" s="123"/>
      <c r="C723" s="10"/>
      <c r="D723" s="124"/>
      <c r="E723" s="125"/>
      <c r="F723" s="125"/>
      <c r="G723" s="125"/>
      <c r="H723" s="478"/>
      <c r="I723" s="166"/>
      <c r="J723" s="169"/>
      <c r="K723" s="129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5.75" customHeight="1">
      <c r="A724" s="123"/>
      <c r="B724" s="123"/>
      <c r="C724" s="10"/>
      <c r="D724" s="124"/>
      <c r="E724" s="125"/>
      <c r="F724" s="125"/>
      <c r="G724" s="125"/>
      <c r="H724" s="478"/>
      <c r="I724" s="166"/>
      <c r="J724" s="169"/>
      <c r="K724" s="129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5.75" customHeight="1">
      <c r="A725" s="123"/>
      <c r="B725" s="123"/>
      <c r="C725" s="10"/>
      <c r="D725" s="124"/>
      <c r="E725" s="125"/>
      <c r="F725" s="125"/>
      <c r="G725" s="125"/>
      <c r="H725" s="478"/>
      <c r="I725" s="166"/>
      <c r="J725" s="169"/>
      <c r="K725" s="129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5.75" customHeight="1">
      <c r="A726" s="123"/>
      <c r="B726" s="123"/>
      <c r="C726" s="10"/>
      <c r="D726" s="124"/>
      <c r="E726" s="125"/>
      <c r="F726" s="125"/>
      <c r="G726" s="125"/>
      <c r="H726" s="478"/>
      <c r="I726" s="166"/>
      <c r="J726" s="169"/>
      <c r="K726" s="129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5.75" customHeight="1">
      <c r="A727" s="123"/>
      <c r="B727" s="123"/>
      <c r="C727" s="10"/>
      <c r="D727" s="124"/>
      <c r="E727" s="125"/>
      <c r="F727" s="125"/>
      <c r="G727" s="125"/>
      <c r="H727" s="478"/>
      <c r="I727" s="166"/>
      <c r="J727" s="169"/>
      <c r="K727" s="129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5.75" customHeight="1">
      <c r="A728" s="123"/>
      <c r="B728" s="123"/>
      <c r="C728" s="10"/>
      <c r="D728" s="124"/>
      <c r="E728" s="125"/>
      <c r="F728" s="125"/>
      <c r="G728" s="125"/>
      <c r="H728" s="478"/>
      <c r="I728" s="166"/>
      <c r="J728" s="169"/>
      <c r="K728" s="129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5.75" customHeight="1">
      <c r="A729" s="123"/>
      <c r="B729" s="123"/>
      <c r="C729" s="10"/>
      <c r="D729" s="124"/>
      <c r="E729" s="125"/>
      <c r="F729" s="125"/>
      <c r="G729" s="125"/>
      <c r="H729" s="478"/>
      <c r="I729" s="166"/>
      <c r="J729" s="169"/>
      <c r="K729" s="129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5.75" customHeight="1">
      <c r="A730" s="123"/>
      <c r="B730" s="123"/>
      <c r="C730" s="10"/>
      <c r="D730" s="124"/>
      <c r="E730" s="125"/>
      <c r="F730" s="125"/>
      <c r="G730" s="125"/>
      <c r="H730" s="478"/>
      <c r="I730" s="166"/>
      <c r="J730" s="169"/>
      <c r="K730" s="129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5.75" customHeight="1">
      <c r="A731" s="123"/>
      <c r="B731" s="123"/>
      <c r="C731" s="10"/>
      <c r="D731" s="124"/>
      <c r="E731" s="125"/>
      <c r="F731" s="125"/>
      <c r="G731" s="125"/>
      <c r="H731" s="478"/>
      <c r="I731" s="166"/>
      <c r="J731" s="169"/>
      <c r="K731" s="129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5.75" customHeight="1">
      <c r="A732" s="123"/>
      <c r="B732" s="123"/>
      <c r="C732" s="10"/>
      <c r="D732" s="124"/>
      <c r="E732" s="125"/>
      <c r="F732" s="125"/>
      <c r="G732" s="125"/>
      <c r="H732" s="478"/>
      <c r="I732" s="166"/>
      <c r="J732" s="169"/>
      <c r="K732" s="129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5.75" customHeight="1">
      <c r="A733" s="123"/>
      <c r="B733" s="123"/>
      <c r="C733" s="10"/>
      <c r="D733" s="124"/>
      <c r="E733" s="125"/>
      <c r="F733" s="125"/>
      <c r="G733" s="125"/>
      <c r="H733" s="478"/>
      <c r="I733" s="166"/>
      <c r="J733" s="169"/>
      <c r="K733" s="129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5.75" customHeight="1">
      <c r="A734" s="123"/>
      <c r="B734" s="123"/>
      <c r="C734" s="10"/>
      <c r="D734" s="124"/>
      <c r="E734" s="125"/>
      <c r="F734" s="125"/>
      <c r="G734" s="125"/>
      <c r="H734" s="478"/>
      <c r="I734" s="166"/>
      <c r="J734" s="169"/>
      <c r="K734" s="129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5.75" customHeight="1">
      <c r="A735" s="123"/>
      <c r="B735" s="123"/>
      <c r="C735" s="10"/>
      <c r="D735" s="124"/>
      <c r="E735" s="125"/>
      <c r="F735" s="125"/>
      <c r="G735" s="125"/>
      <c r="H735" s="478"/>
      <c r="I735" s="166"/>
      <c r="J735" s="169"/>
      <c r="K735" s="129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5.75" customHeight="1">
      <c r="A736" s="123"/>
      <c r="B736" s="123"/>
      <c r="C736" s="10"/>
      <c r="D736" s="124"/>
      <c r="E736" s="125"/>
      <c r="F736" s="125"/>
      <c r="G736" s="125"/>
      <c r="H736" s="478"/>
      <c r="I736" s="166"/>
      <c r="J736" s="169"/>
      <c r="K736" s="129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5.75" customHeight="1">
      <c r="A737" s="123"/>
      <c r="B737" s="123"/>
      <c r="C737" s="10"/>
      <c r="D737" s="124"/>
      <c r="E737" s="125"/>
      <c r="F737" s="125"/>
      <c r="G737" s="125"/>
      <c r="H737" s="478"/>
      <c r="I737" s="166"/>
      <c r="J737" s="169"/>
      <c r="K737" s="129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5.75" customHeight="1">
      <c r="A738" s="123"/>
      <c r="B738" s="123"/>
      <c r="C738" s="10"/>
      <c r="D738" s="124"/>
      <c r="E738" s="125"/>
      <c r="F738" s="125"/>
      <c r="G738" s="125"/>
      <c r="H738" s="478"/>
      <c r="I738" s="166"/>
      <c r="J738" s="169"/>
      <c r="K738" s="129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5.75" customHeight="1">
      <c r="A739" s="123"/>
      <c r="B739" s="123"/>
      <c r="C739" s="10"/>
      <c r="D739" s="124"/>
      <c r="E739" s="125"/>
      <c r="F739" s="125"/>
      <c r="G739" s="125"/>
      <c r="H739" s="478"/>
      <c r="I739" s="166"/>
      <c r="J739" s="169"/>
      <c r="K739" s="129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5.75" customHeight="1">
      <c r="A740" s="123"/>
      <c r="B740" s="123"/>
      <c r="C740" s="10"/>
      <c r="D740" s="124"/>
      <c r="E740" s="125"/>
      <c r="F740" s="125"/>
      <c r="G740" s="125"/>
      <c r="H740" s="478"/>
      <c r="I740" s="166"/>
      <c r="J740" s="169"/>
      <c r="K740" s="129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5.75" customHeight="1">
      <c r="A741" s="123"/>
      <c r="B741" s="123"/>
      <c r="C741" s="10"/>
      <c r="D741" s="124"/>
      <c r="E741" s="125"/>
      <c r="F741" s="125"/>
      <c r="G741" s="125"/>
      <c r="H741" s="478"/>
      <c r="I741" s="166"/>
      <c r="J741" s="169"/>
      <c r="K741" s="129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5.75" customHeight="1">
      <c r="A742" s="123"/>
      <c r="B742" s="123"/>
      <c r="C742" s="10"/>
      <c r="D742" s="124"/>
      <c r="E742" s="125"/>
      <c r="F742" s="125"/>
      <c r="G742" s="125"/>
      <c r="H742" s="478"/>
      <c r="I742" s="166"/>
      <c r="J742" s="169"/>
      <c r="K742" s="129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5.75" customHeight="1">
      <c r="A743" s="123"/>
      <c r="B743" s="123"/>
      <c r="C743" s="10"/>
      <c r="D743" s="124"/>
      <c r="E743" s="125"/>
      <c r="F743" s="125"/>
      <c r="G743" s="125"/>
      <c r="H743" s="478"/>
      <c r="I743" s="166"/>
      <c r="J743" s="169"/>
      <c r="K743" s="129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5.75" customHeight="1">
      <c r="A744" s="123"/>
      <c r="B744" s="123"/>
      <c r="C744" s="10"/>
      <c r="D744" s="124"/>
      <c r="E744" s="125"/>
      <c r="F744" s="125"/>
      <c r="G744" s="125"/>
      <c r="H744" s="478"/>
      <c r="I744" s="166"/>
      <c r="J744" s="169"/>
      <c r="K744" s="129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5.75" customHeight="1">
      <c r="A745" s="123"/>
      <c r="B745" s="123"/>
      <c r="C745" s="10"/>
      <c r="D745" s="124"/>
      <c r="E745" s="125"/>
      <c r="F745" s="125"/>
      <c r="G745" s="125"/>
      <c r="H745" s="478"/>
      <c r="I745" s="166"/>
      <c r="J745" s="169"/>
      <c r="K745" s="129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5.75" customHeight="1">
      <c r="A746" s="123"/>
      <c r="B746" s="123"/>
      <c r="C746" s="10"/>
      <c r="D746" s="124"/>
      <c r="E746" s="125"/>
      <c r="F746" s="125"/>
      <c r="G746" s="125"/>
      <c r="H746" s="478"/>
      <c r="I746" s="166"/>
      <c r="J746" s="169"/>
      <c r="K746" s="129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5.75" customHeight="1">
      <c r="A747" s="123"/>
      <c r="B747" s="123"/>
      <c r="C747" s="10"/>
      <c r="D747" s="124"/>
      <c r="E747" s="125"/>
      <c r="F747" s="125"/>
      <c r="G747" s="125"/>
      <c r="H747" s="478"/>
      <c r="I747" s="166"/>
      <c r="J747" s="169"/>
      <c r="K747" s="129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5.75" customHeight="1">
      <c r="A748" s="123"/>
      <c r="B748" s="123"/>
      <c r="C748" s="10"/>
      <c r="D748" s="124"/>
      <c r="E748" s="125"/>
      <c r="F748" s="125"/>
      <c r="G748" s="125"/>
      <c r="H748" s="478"/>
      <c r="I748" s="166"/>
      <c r="J748" s="169"/>
      <c r="K748" s="129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5.75" customHeight="1">
      <c r="A749" s="123"/>
      <c r="B749" s="123"/>
      <c r="C749" s="10"/>
      <c r="D749" s="124"/>
      <c r="E749" s="125"/>
      <c r="F749" s="125"/>
      <c r="G749" s="125"/>
      <c r="H749" s="478"/>
      <c r="I749" s="166"/>
      <c r="J749" s="169"/>
      <c r="K749" s="129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5.75" customHeight="1">
      <c r="A750" s="123"/>
      <c r="B750" s="123"/>
      <c r="C750" s="10"/>
      <c r="D750" s="124"/>
      <c r="E750" s="125"/>
      <c r="F750" s="125"/>
      <c r="G750" s="125"/>
      <c r="H750" s="478"/>
      <c r="I750" s="166"/>
      <c r="J750" s="169"/>
      <c r="K750" s="129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5.75" customHeight="1">
      <c r="A751" s="123"/>
      <c r="B751" s="123"/>
      <c r="C751" s="10"/>
      <c r="D751" s="124"/>
      <c r="E751" s="125"/>
      <c r="F751" s="125"/>
      <c r="G751" s="125"/>
      <c r="H751" s="478"/>
      <c r="I751" s="166"/>
      <c r="J751" s="169"/>
      <c r="K751" s="129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5.75" customHeight="1">
      <c r="A752" s="123"/>
      <c r="B752" s="123"/>
      <c r="C752" s="10"/>
      <c r="D752" s="124"/>
      <c r="E752" s="125"/>
      <c r="F752" s="125"/>
      <c r="G752" s="125"/>
      <c r="H752" s="478"/>
      <c r="I752" s="166"/>
      <c r="J752" s="169"/>
      <c r="K752" s="129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5.75" customHeight="1">
      <c r="A753" s="123"/>
      <c r="B753" s="123"/>
      <c r="C753" s="10"/>
      <c r="D753" s="124"/>
      <c r="E753" s="125"/>
      <c r="F753" s="125"/>
      <c r="G753" s="125"/>
      <c r="H753" s="478"/>
      <c r="I753" s="166"/>
      <c r="J753" s="169"/>
      <c r="K753" s="129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5.75" customHeight="1">
      <c r="A754" s="123"/>
      <c r="B754" s="123"/>
      <c r="C754" s="10"/>
      <c r="D754" s="124"/>
      <c r="E754" s="125"/>
      <c r="F754" s="125"/>
      <c r="G754" s="125"/>
      <c r="H754" s="478"/>
      <c r="I754" s="166"/>
      <c r="J754" s="169"/>
      <c r="K754" s="129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5.75" customHeight="1">
      <c r="A755" s="123"/>
      <c r="B755" s="123"/>
      <c r="C755" s="10"/>
      <c r="D755" s="124"/>
      <c r="E755" s="125"/>
      <c r="F755" s="125"/>
      <c r="G755" s="125"/>
      <c r="H755" s="478"/>
      <c r="I755" s="166"/>
      <c r="J755" s="169"/>
      <c r="K755" s="129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5.75" customHeight="1">
      <c r="A756" s="123"/>
      <c r="B756" s="123"/>
      <c r="C756" s="10"/>
      <c r="D756" s="124"/>
      <c r="E756" s="125"/>
      <c r="F756" s="125"/>
      <c r="G756" s="125"/>
      <c r="H756" s="478"/>
      <c r="I756" s="166"/>
      <c r="J756" s="169"/>
      <c r="K756" s="129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5.75" customHeight="1">
      <c r="A757" s="123"/>
      <c r="B757" s="123"/>
      <c r="C757" s="10"/>
      <c r="D757" s="124"/>
      <c r="E757" s="125"/>
      <c r="F757" s="125"/>
      <c r="G757" s="125"/>
      <c r="H757" s="478"/>
      <c r="I757" s="166"/>
      <c r="J757" s="169"/>
      <c r="K757" s="129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5.75" customHeight="1">
      <c r="A758" s="123"/>
      <c r="B758" s="123"/>
      <c r="C758" s="10"/>
      <c r="D758" s="124"/>
      <c r="E758" s="125"/>
      <c r="F758" s="125"/>
      <c r="G758" s="125"/>
      <c r="H758" s="478"/>
      <c r="I758" s="166"/>
      <c r="J758" s="169"/>
      <c r="K758" s="129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5.75" customHeight="1">
      <c r="A759" s="123"/>
      <c r="B759" s="123"/>
      <c r="C759" s="10"/>
      <c r="D759" s="124"/>
      <c r="E759" s="125"/>
      <c r="F759" s="125"/>
      <c r="G759" s="125"/>
      <c r="H759" s="478"/>
      <c r="I759" s="166"/>
      <c r="J759" s="169"/>
      <c r="K759" s="129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5.75" customHeight="1">
      <c r="A760" s="123"/>
      <c r="B760" s="123"/>
      <c r="C760" s="10"/>
      <c r="D760" s="124"/>
      <c r="E760" s="125"/>
      <c r="F760" s="125"/>
      <c r="G760" s="125"/>
      <c r="H760" s="478"/>
      <c r="I760" s="166"/>
      <c r="J760" s="169"/>
      <c r="K760" s="129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5.75" customHeight="1">
      <c r="A761" s="123"/>
      <c r="B761" s="123"/>
      <c r="C761" s="10"/>
      <c r="D761" s="124"/>
      <c r="E761" s="125"/>
      <c r="F761" s="125"/>
      <c r="G761" s="125"/>
      <c r="H761" s="478"/>
      <c r="I761" s="166"/>
      <c r="J761" s="169"/>
      <c r="K761" s="129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5.75" customHeight="1">
      <c r="A762" s="123"/>
      <c r="B762" s="123"/>
      <c r="C762" s="10"/>
      <c r="D762" s="124"/>
      <c r="E762" s="125"/>
      <c r="F762" s="125"/>
      <c r="G762" s="125"/>
      <c r="H762" s="478"/>
      <c r="I762" s="166"/>
      <c r="J762" s="169"/>
      <c r="K762" s="129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5.75" customHeight="1">
      <c r="A763" s="123"/>
      <c r="B763" s="123"/>
      <c r="C763" s="10"/>
      <c r="D763" s="124"/>
      <c r="E763" s="125"/>
      <c r="F763" s="125"/>
      <c r="G763" s="125"/>
      <c r="H763" s="478"/>
      <c r="I763" s="166"/>
      <c r="J763" s="169"/>
      <c r="K763" s="129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5.75" customHeight="1">
      <c r="A764" s="123"/>
      <c r="B764" s="123"/>
      <c r="C764" s="10"/>
      <c r="D764" s="124"/>
      <c r="E764" s="125"/>
      <c r="F764" s="125"/>
      <c r="G764" s="125"/>
      <c r="H764" s="478"/>
      <c r="I764" s="166"/>
      <c r="J764" s="169"/>
      <c r="K764" s="129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5.75" customHeight="1">
      <c r="A765" s="123"/>
      <c r="B765" s="123"/>
      <c r="C765" s="10"/>
      <c r="D765" s="124"/>
      <c r="E765" s="125"/>
      <c r="F765" s="125"/>
      <c r="G765" s="125"/>
      <c r="H765" s="478"/>
      <c r="I765" s="166"/>
      <c r="J765" s="169"/>
      <c r="K765" s="129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5.75" customHeight="1">
      <c r="A766" s="123"/>
      <c r="B766" s="123"/>
      <c r="C766" s="10"/>
      <c r="D766" s="124"/>
      <c r="E766" s="125"/>
      <c r="F766" s="125"/>
      <c r="G766" s="125"/>
      <c r="H766" s="478"/>
      <c r="I766" s="166"/>
      <c r="J766" s="169"/>
      <c r="K766" s="129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5.75" customHeight="1">
      <c r="A767" s="123"/>
      <c r="B767" s="123"/>
      <c r="C767" s="10"/>
      <c r="D767" s="124"/>
      <c r="E767" s="125"/>
      <c r="F767" s="125"/>
      <c r="G767" s="125"/>
      <c r="H767" s="478"/>
      <c r="I767" s="166"/>
      <c r="J767" s="169"/>
      <c r="K767" s="129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5.75" customHeight="1">
      <c r="A768" s="123"/>
      <c r="B768" s="123"/>
      <c r="C768" s="10"/>
      <c r="D768" s="124"/>
      <c r="E768" s="125"/>
      <c r="F768" s="125"/>
      <c r="G768" s="125"/>
      <c r="H768" s="478"/>
      <c r="I768" s="166"/>
      <c r="J768" s="169"/>
      <c r="K768" s="129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5.75" customHeight="1">
      <c r="A769" s="123"/>
      <c r="B769" s="123"/>
      <c r="C769" s="10"/>
      <c r="D769" s="124"/>
      <c r="E769" s="125"/>
      <c r="F769" s="125"/>
      <c r="G769" s="125"/>
      <c r="H769" s="478"/>
      <c r="I769" s="166"/>
      <c r="J769" s="169"/>
      <c r="K769" s="129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5.75" customHeight="1">
      <c r="A770" s="123"/>
      <c r="B770" s="123"/>
      <c r="C770" s="10"/>
      <c r="D770" s="124"/>
      <c r="E770" s="125"/>
      <c r="F770" s="125"/>
      <c r="G770" s="125"/>
      <c r="H770" s="478"/>
      <c r="I770" s="166"/>
      <c r="J770" s="169"/>
      <c r="K770" s="129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5.75" customHeight="1">
      <c r="A771" s="123"/>
      <c r="B771" s="123"/>
      <c r="C771" s="10"/>
      <c r="D771" s="124"/>
      <c r="E771" s="125"/>
      <c r="F771" s="125"/>
      <c r="G771" s="125"/>
      <c r="H771" s="478"/>
      <c r="I771" s="166"/>
      <c r="J771" s="169"/>
      <c r="K771" s="129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5.75" customHeight="1">
      <c r="A772" s="123"/>
      <c r="B772" s="123"/>
      <c r="C772" s="10"/>
      <c r="D772" s="124"/>
      <c r="E772" s="125"/>
      <c r="F772" s="125"/>
      <c r="G772" s="125"/>
      <c r="H772" s="478"/>
      <c r="I772" s="166"/>
      <c r="J772" s="169"/>
      <c r="K772" s="129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5.75" customHeight="1">
      <c r="A773" s="123"/>
      <c r="B773" s="123"/>
      <c r="C773" s="10"/>
      <c r="D773" s="124"/>
      <c r="E773" s="125"/>
      <c r="F773" s="125"/>
      <c r="G773" s="125"/>
      <c r="H773" s="478"/>
      <c r="I773" s="166"/>
      <c r="J773" s="169"/>
      <c r="K773" s="129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5.75" customHeight="1">
      <c r="A774" s="123"/>
      <c r="B774" s="123"/>
      <c r="C774" s="10"/>
      <c r="D774" s="124"/>
      <c r="E774" s="125"/>
      <c r="F774" s="125"/>
      <c r="G774" s="125"/>
      <c r="H774" s="478"/>
      <c r="I774" s="166"/>
      <c r="J774" s="169"/>
      <c r="K774" s="129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5.75" customHeight="1">
      <c r="A775" s="123"/>
      <c r="B775" s="123"/>
      <c r="C775" s="10"/>
      <c r="D775" s="124"/>
      <c r="E775" s="125"/>
      <c r="F775" s="125"/>
      <c r="G775" s="125"/>
      <c r="H775" s="478"/>
      <c r="I775" s="166"/>
      <c r="J775" s="169"/>
      <c r="K775" s="129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5.75" customHeight="1">
      <c r="A776" s="123"/>
      <c r="B776" s="123"/>
      <c r="C776" s="10"/>
      <c r="D776" s="124"/>
      <c r="E776" s="125"/>
      <c r="F776" s="125"/>
      <c r="G776" s="125"/>
      <c r="H776" s="478"/>
      <c r="I776" s="166"/>
      <c r="J776" s="169"/>
      <c r="K776" s="129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5.75" customHeight="1">
      <c r="A777" s="123"/>
      <c r="B777" s="123"/>
      <c r="C777" s="10"/>
      <c r="D777" s="124"/>
      <c r="E777" s="125"/>
      <c r="F777" s="125"/>
      <c r="G777" s="125"/>
      <c r="H777" s="478"/>
      <c r="I777" s="166"/>
      <c r="J777" s="169"/>
      <c r="K777" s="129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5.75" customHeight="1">
      <c r="A778" s="123"/>
      <c r="B778" s="123"/>
      <c r="C778" s="10"/>
      <c r="D778" s="124"/>
      <c r="E778" s="125"/>
      <c r="F778" s="125"/>
      <c r="G778" s="125"/>
      <c r="H778" s="478"/>
      <c r="I778" s="166"/>
      <c r="J778" s="169"/>
      <c r="K778" s="129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5.75" customHeight="1">
      <c r="A779" s="123"/>
      <c r="B779" s="123"/>
      <c r="C779" s="10"/>
      <c r="D779" s="124"/>
      <c r="E779" s="125"/>
      <c r="F779" s="125"/>
      <c r="G779" s="125"/>
      <c r="H779" s="478"/>
      <c r="I779" s="166"/>
      <c r="J779" s="169"/>
      <c r="K779" s="129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5.75" customHeight="1">
      <c r="A780" s="123"/>
      <c r="B780" s="123"/>
      <c r="C780" s="10"/>
      <c r="D780" s="124"/>
      <c r="E780" s="125"/>
      <c r="F780" s="125"/>
      <c r="G780" s="125"/>
      <c r="H780" s="478"/>
      <c r="I780" s="166"/>
      <c r="J780" s="169"/>
      <c r="K780" s="129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5.75" customHeight="1">
      <c r="A781" s="123"/>
      <c r="B781" s="123"/>
      <c r="C781" s="10"/>
      <c r="D781" s="124"/>
      <c r="E781" s="125"/>
      <c r="F781" s="125"/>
      <c r="G781" s="125"/>
      <c r="H781" s="478"/>
      <c r="I781" s="166"/>
      <c r="J781" s="169"/>
      <c r="K781" s="129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5.75" customHeight="1">
      <c r="A782" s="123"/>
      <c r="B782" s="123"/>
      <c r="C782" s="10"/>
      <c r="D782" s="124"/>
      <c r="E782" s="125"/>
      <c r="F782" s="125"/>
      <c r="G782" s="125"/>
      <c r="H782" s="478"/>
      <c r="I782" s="166"/>
      <c r="J782" s="169"/>
      <c r="K782" s="129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5.75" customHeight="1">
      <c r="A783" s="123"/>
      <c r="B783" s="123"/>
      <c r="C783" s="10"/>
      <c r="D783" s="124"/>
      <c r="E783" s="125"/>
      <c r="F783" s="125"/>
      <c r="G783" s="125"/>
      <c r="H783" s="478"/>
      <c r="I783" s="166"/>
      <c r="J783" s="169"/>
      <c r="K783" s="129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5.75" customHeight="1">
      <c r="A784" s="123"/>
      <c r="B784" s="123"/>
      <c r="C784" s="10"/>
      <c r="D784" s="124"/>
      <c r="E784" s="125"/>
      <c r="F784" s="125"/>
      <c r="G784" s="125"/>
      <c r="H784" s="478"/>
      <c r="I784" s="166"/>
      <c r="J784" s="169"/>
      <c r="K784" s="129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5.75" customHeight="1">
      <c r="A785" s="123"/>
      <c r="B785" s="123"/>
      <c r="C785" s="10"/>
      <c r="D785" s="124"/>
      <c r="E785" s="125"/>
      <c r="F785" s="125"/>
      <c r="G785" s="125"/>
      <c r="H785" s="478"/>
      <c r="I785" s="166"/>
      <c r="J785" s="169"/>
      <c r="K785" s="129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5.75" customHeight="1">
      <c r="A786" s="123"/>
      <c r="B786" s="123"/>
      <c r="C786" s="10"/>
      <c r="D786" s="124"/>
      <c r="E786" s="125"/>
      <c r="F786" s="125"/>
      <c r="G786" s="125"/>
      <c r="H786" s="478"/>
      <c r="I786" s="166"/>
      <c r="J786" s="169"/>
      <c r="K786" s="129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5.75" customHeight="1">
      <c r="A787" s="123"/>
      <c r="B787" s="123"/>
      <c r="C787" s="10"/>
      <c r="D787" s="124"/>
      <c r="E787" s="125"/>
      <c r="F787" s="125"/>
      <c r="G787" s="125"/>
      <c r="H787" s="478"/>
      <c r="I787" s="166"/>
      <c r="J787" s="169"/>
      <c r="K787" s="129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5.75" customHeight="1">
      <c r="A788" s="123"/>
      <c r="B788" s="123"/>
      <c r="C788" s="10"/>
      <c r="D788" s="124"/>
      <c r="E788" s="125"/>
      <c r="F788" s="125"/>
      <c r="G788" s="125"/>
      <c r="H788" s="478"/>
      <c r="I788" s="166"/>
      <c r="J788" s="169"/>
      <c r="K788" s="129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5.75" customHeight="1">
      <c r="A789" s="123"/>
      <c r="B789" s="123"/>
      <c r="C789" s="10"/>
      <c r="D789" s="124"/>
      <c r="E789" s="125"/>
      <c r="F789" s="125"/>
      <c r="G789" s="125"/>
      <c r="H789" s="478"/>
      <c r="I789" s="166"/>
      <c r="J789" s="169"/>
      <c r="K789" s="129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5.75" customHeight="1">
      <c r="A790" s="123"/>
      <c r="B790" s="123"/>
      <c r="C790" s="10"/>
      <c r="D790" s="124"/>
      <c r="E790" s="125"/>
      <c r="F790" s="125"/>
      <c r="G790" s="125"/>
      <c r="H790" s="478"/>
      <c r="I790" s="166"/>
      <c r="J790" s="169"/>
      <c r="K790" s="129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5.75" customHeight="1">
      <c r="A791" s="123"/>
      <c r="B791" s="123"/>
      <c r="C791" s="10"/>
      <c r="D791" s="124"/>
      <c r="E791" s="125"/>
      <c r="F791" s="125"/>
      <c r="G791" s="125"/>
      <c r="H791" s="478"/>
      <c r="I791" s="166"/>
      <c r="J791" s="169"/>
      <c r="K791" s="129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5.75" customHeight="1">
      <c r="A792" s="123"/>
      <c r="B792" s="123"/>
      <c r="C792" s="10"/>
      <c r="D792" s="124"/>
      <c r="E792" s="125"/>
      <c r="F792" s="125"/>
      <c r="G792" s="125"/>
      <c r="H792" s="478"/>
      <c r="I792" s="166"/>
      <c r="J792" s="169"/>
      <c r="K792" s="129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5.75" customHeight="1">
      <c r="A793" s="123"/>
      <c r="B793" s="123"/>
      <c r="C793" s="10"/>
      <c r="D793" s="124"/>
      <c r="E793" s="125"/>
      <c r="F793" s="125"/>
      <c r="G793" s="125"/>
      <c r="H793" s="478"/>
      <c r="I793" s="166"/>
      <c r="J793" s="169"/>
      <c r="K793" s="129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5.75" customHeight="1">
      <c r="A794" s="123"/>
      <c r="B794" s="123"/>
      <c r="C794" s="10"/>
      <c r="D794" s="124"/>
      <c r="E794" s="125"/>
      <c r="F794" s="125"/>
      <c r="G794" s="125"/>
      <c r="H794" s="478"/>
      <c r="I794" s="166"/>
      <c r="J794" s="169"/>
      <c r="K794" s="129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5.75" customHeight="1">
      <c r="A795" s="123"/>
      <c r="B795" s="123"/>
      <c r="C795" s="10"/>
      <c r="D795" s="124"/>
      <c r="E795" s="125"/>
      <c r="F795" s="125"/>
      <c r="G795" s="125"/>
      <c r="H795" s="478"/>
      <c r="I795" s="166"/>
      <c r="J795" s="169"/>
      <c r="K795" s="129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5.75" customHeight="1">
      <c r="A796" s="123"/>
      <c r="B796" s="123"/>
      <c r="C796" s="10"/>
      <c r="D796" s="124"/>
      <c r="E796" s="125"/>
      <c r="F796" s="125"/>
      <c r="G796" s="125"/>
      <c r="H796" s="478"/>
      <c r="I796" s="166"/>
      <c r="J796" s="169"/>
      <c r="K796" s="129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5.75" customHeight="1">
      <c r="A797" s="123"/>
      <c r="B797" s="123"/>
      <c r="C797" s="10"/>
      <c r="D797" s="124"/>
      <c r="E797" s="125"/>
      <c r="F797" s="125"/>
      <c r="G797" s="125"/>
      <c r="H797" s="478"/>
      <c r="I797" s="166"/>
      <c r="J797" s="169"/>
      <c r="K797" s="129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5.75" customHeight="1">
      <c r="A798" s="123"/>
      <c r="B798" s="123"/>
      <c r="C798" s="10"/>
      <c r="D798" s="124"/>
      <c r="E798" s="125"/>
      <c r="F798" s="125"/>
      <c r="G798" s="125"/>
      <c r="H798" s="478"/>
      <c r="I798" s="166"/>
      <c r="J798" s="169"/>
      <c r="K798" s="129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5.75" customHeight="1">
      <c r="A799" s="123"/>
      <c r="B799" s="123"/>
      <c r="C799" s="10"/>
      <c r="D799" s="124"/>
      <c r="E799" s="125"/>
      <c r="F799" s="125"/>
      <c r="G799" s="125"/>
      <c r="H799" s="478"/>
      <c r="I799" s="166"/>
      <c r="J799" s="169"/>
      <c r="K799" s="129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5.75" customHeight="1">
      <c r="A800" s="123"/>
      <c r="B800" s="123"/>
      <c r="C800" s="10"/>
      <c r="D800" s="124"/>
      <c r="E800" s="125"/>
      <c r="F800" s="125"/>
      <c r="G800" s="125"/>
      <c r="H800" s="478"/>
      <c r="I800" s="166"/>
      <c r="J800" s="169"/>
      <c r="K800" s="129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5.75" customHeight="1">
      <c r="A801" s="123"/>
      <c r="B801" s="123"/>
      <c r="C801" s="10"/>
      <c r="D801" s="124"/>
      <c r="E801" s="125"/>
      <c r="F801" s="125"/>
      <c r="G801" s="125"/>
      <c r="H801" s="478"/>
      <c r="I801" s="166"/>
      <c r="J801" s="169"/>
      <c r="K801" s="129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5.75" customHeight="1">
      <c r="A802" s="123"/>
      <c r="B802" s="123"/>
      <c r="C802" s="10"/>
      <c r="D802" s="124"/>
      <c r="E802" s="125"/>
      <c r="F802" s="125"/>
      <c r="G802" s="125"/>
      <c r="H802" s="478"/>
      <c r="I802" s="166"/>
      <c r="J802" s="169"/>
      <c r="K802" s="129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5.75" customHeight="1">
      <c r="A803" s="123"/>
      <c r="B803" s="123"/>
      <c r="C803" s="10"/>
      <c r="D803" s="124"/>
      <c r="E803" s="125"/>
      <c r="F803" s="125"/>
      <c r="G803" s="125"/>
      <c r="H803" s="478"/>
      <c r="I803" s="166"/>
      <c r="J803" s="169"/>
      <c r="K803" s="129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5.75" customHeight="1">
      <c r="A804" s="123"/>
      <c r="B804" s="123"/>
      <c r="C804" s="10"/>
      <c r="D804" s="124"/>
      <c r="E804" s="125"/>
      <c r="F804" s="125"/>
      <c r="G804" s="125"/>
      <c r="H804" s="478"/>
      <c r="I804" s="166"/>
      <c r="J804" s="169"/>
      <c r="K804" s="129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5.75" customHeight="1">
      <c r="A805" s="123"/>
      <c r="B805" s="123"/>
      <c r="C805" s="10"/>
      <c r="D805" s="124"/>
      <c r="E805" s="125"/>
      <c r="F805" s="125"/>
      <c r="G805" s="125"/>
      <c r="H805" s="478"/>
      <c r="I805" s="166"/>
      <c r="J805" s="169"/>
      <c r="K805" s="129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5.75" customHeight="1">
      <c r="A806" s="123"/>
      <c r="B806" s="123"/>
      <c r="C806" s="10"/>
      <c r="D806" s="124"/>
      <c r="E806" s="125"/>
      <c r="F806" s="125"/>
      <c r="G806" s="125"/>
      <c r="H806" s="478"/>
      <c r="I806" s="166"/>
      <c r="J806" s="169"/>
      <c r="K806" s="129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5.75" customHeight="1">
      <c r="A807" s="123"/>
      <c r="B807" s="123"/>
      <c r="C807" s="10"/>
      <c r="D807" s="124"/>
      <c r="E807" s="125"/>
      <c r="F807" s="125"/>
      <c r="G807" s="125"/>
      <c r="H807" s="478"/>
      <c r="I807" s="166"/>
      <c r="J807" s="169"/>
      <c r="K807" s="129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5.75" customHeight="1">
      <c r="A808" s="123"/>
      <c r="B808" s="123"/>
      <c r="C808" s="10"/>
      <c r="D808" s="124"/>
      <c r="E808" s="125"/>
      <c r="F808" s="125"/>
      <c r="G808" s="125"/>
      <c r="H808" s="478"/>
      <c r="I808" s="166"/>
      <c r="J808" s="169"/>
      <c r="K808" s="129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5.75" customHeight="1">
      <c r="A809" s="123"/>
      <c r="B809" s="123"/>
      <c r="C809" s="10"/>
      <c r="D809" s="124"/>
      <c r="E809" s="125"/>
      <c r="F809" s="125"/>
      <c r="G809" s="125"/>
      <c r="H809" s="478"/>
      <c r="I809" s="166"/>
      <c r="J809" s="169"/>
      <c r="K809" s="129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5.75" customHeight="1">
      <c r="A810" s="123"/>
      <c r="B810" s="123"/>
      <c r="C810" s="10"/>
      <c r="D810" s="124"/>
      <c r="E810" s="125"/>
      <c r="F810" s="125"/>
      <c r="G810" s="125"/>
      <c r="H810" s="478"/>
      <c r="I810" s="166"/>
      <c r="J810" s="169"/>
      <c r="K810" s="129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5.75" customHeight="1">
      <c r="A811" s="123"/>
      <c r="B811" s="123"/>
      <c r="C811" s="10"/>
      <c r="D811" s="124"/>
      <c r="E811" s="125"/>
      <c r="F811" s="125"/>
      <c r="G811" s="125"/>
      <c r="H811" s="478"/>
      <c r="I811" s="166"/>
      <c r="J811" s="169"/>
      <c r="K811" s="129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5.75" customHeight="1">
      <c r="A812" s="123"/>
      <c r="B812" s="123"/>
      <c r="C812" s="10"/>
      <c r="D812" s="124"/>
      <c r="E812" s="125"/>
      <c r="F812" s="125"/>
      <c r="G812" s="125"/>
      <c r="H812" s="478"/>
      <c r="I812" s="166"/>
      <c r="J812" s="169"/>
      <c r="K812" s="129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5.75" customHeight="1">
      <c r="A813" s="123"/>
      <c r="B813" s="123"/>
      <c r="C813" s="10"/>
      <c r="D813" s="124"/>
      <c r="E813" s="125"/>
      <c r="F813" s="125"/>
      <c r="G813" s="125"/>
      <c r="H813" s="478"/>
      <c r="I813" s="166"/>
      <c r="J813" s="169"/>
      <c r="K813" s="129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5.75" customHeight="1">
      <c r="A814" s="123"/>
      <c r="B814" s="123"/>
      <c r="C814" s="10"/>
      <c r="D814" s="124"/>
      <c r="E814" s="125"/>
      <c r="F814" s="125"/>
      <c r="G814" s="125"/>
      <c r="H814" s="478"/>
      <c r="I814" s="166"/>
      <c r="J814" s="169"/>
      <c r="K814" s="129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5.75" customHeight="1">
      <c r="A815" s="123"/>
      <c r="B815" s="123"/>
      <c r="C815" s="10"/>
      <c r="D815" s="124"/>
      <c r="E815" s="125"/>
      <c r="F815" s="125"/>
      <c r="G815" s="125"/>
      <c r="H815" s="478"/>
      <c r="I815" s="166"/>
      <c r="J815" s="169"/>
      <c r="K815" s="129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5.75" customHeight="1">
      <c r="A816" s="123"/>
      <c r="B816" s="123"/>
      <c r="C816" s="10"/>
      <c r="D816" s="124"/>
      <c r="E816" s="125"/>
      <c r="F816" s="125"/>
      <c r="G816" s="125"/>
      <c r="H816" s="478"/>
      <c r="I816" s="166"/>
      <c r="J816" s="169"/>
      <c r="K816" s="129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5.75" customHeight="1">
      <c r="A817" s="123"/>
      <c r="B817" s="123"/>
      <c r="C817" s="10"/>
      <c r="D817" s="124"/>
      <c r="E817" s="125"/>
      <c r="F817" s="125"/>
      <c r="G817" s="125"/>
      <c r="H817" s="478"/>
      <c r="I817" s="166"/>
      <c r="J817" s="169"/>
      <c r="K817" s="129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5.75" customHeight="1">
      <c r="A818" s="123"/>
      <c r="B818" s="123"/>
      <c r="C818" s="10"/>
      <c r="D818" s="124"/>
      <c r="E818" s="125"/>
      <c r="F818" s="125"/>
      <c r="G818" s="125"/>
      <c r="H818" s="478"/>
      <c r="I818" s="166"/>
      <c r="J818" s="169"/>
      <c r="K818" s="129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5.75" customHeight="1">
      <c r="A819" s="123"/>
      <c r="B819" s="123"/>
      <c r="C819" s="10"/>
      <c r="D819" s="124"/>
      <c r="E819" s="125"/>
      <c r="F819" s="125"/>
      <c r="G819" s="125"/>
      <c r="H819" s="478"/>
      <c r="I819" s="166"/>
      <c r="J819" s="169"/>
      <c r="K819" s="129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5.75" customHeight="1">
      <c r="A820" s="123"/>
      <c r="B820" s="123"/>
      <c r="C820" s="10"/>
      <c r="D820" s="124"/>
      <c r="E820" s="125"/>
      <c r="F820" s="125"/>
      <c r="G820" s="125"/>
      <c r="H820" s="478"/>
      <c r="I820" s="166"/>
      <c r="J820" s="169"/>
      <c r="K820" s="129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5.75" customHeight="1">
      <c r="A821" s="123"/>
      <c r="B821" s="123"/>
      <c r="C821" s="10"/>
      <c r="D821" s="124"/>
      <c r="E821" s="125"/>
      <c r="F821" s="125"/>
      <c r="G821" s="125"/>
      <c r="H821" s="478"/>
      <c r="I821" s="166"/>
      <c r="J821" s="169"/>
      <c r="K821" s="129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5.75" customHeight="1">
      <c r="A822" s="123"/>
      <c r="B822" s="123"/>
      <c r="C822" s="10"/>
      <c r="D822" s="124"/>
      <c r="E822" s="125"/>
      <c r="F822" s="125"/>
      <c r="G822" s="125"/>
      <c r="H822" s="478"/>
      <c r="I822" s="166"/>
      <c r="J822" s="169"/>
      <c r="K822" s="129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5.75" customHeight="1">
      <c r="A823" s="123"/>
      <c r="B823" s="123"/>
      <c r="C823" s="10"/>
      <c r="D823" s="124"/>
      <c r="E823" s="125"/>
      <c r="F823" s="125"/>
      <c r="G823" s="125"/>
      <c r="H823" s="478"/>
      <c r="I823" s="166"/>
      <c r="J823" s="169"/>
      <c r="K823" s="129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5.75" customHeight="1">
      <c r="A824" s="123"/>
      <c r="B824" s="123"/>
      <c r="C824" s="10"/>
      <c r="D824" s="124"/>
      <c r="E824" s="125"/>
      <c r="F824" s="125"/>
      <c r="G824" s="125"/>
      <c r="H824" s="478"/>
      <c r="I824" s="166"/>
      <c r="J824" s="169"/>
      <c r="K824" s="129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5.75" customHeight="1">
      <c r="A825" s="123"/>
      <c r="B825" s="123"/>
      <c r="C825" s="10"/>
      <c r="D825" s="124"/>
      <c r="E825" s="125"/>
      <c r="F825" s="125"/>
      <c r="G825" s="125"/>
      <c r="H825" s="478"/>
      <c r="I825" s="166"/>
      <c r="J825" s="169"/>
      <c r="K825" s="129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5.75" customHeight="1">
      <c r="A826" s="123"/>
      <c r="B826" s="123"/>
      <c r="C826" s="10"/>
      <c r="D826" s="124"/>
      <c r="E826" s="125"/>
      <c r="F826" s="125"/>
      <c r="G826" s="125"/>
      <c r="H826" s="478"/>
      <c r="I826" s="166"/>
      <c r="J826" s="169"/>
      <c r="K826" s="129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5.75" customHeight="1">
      <c r="A827" s="123"/>
      <c r="B827" s="123"/>
      <c r="C827" s="10"/>
      <c r="D827" s="124"/>
      <c r="E827" s="125"/>
      <c r="F827" s="125"/>
      <c r="G827" s="125"/>
      <c r="H827" s="478"/>
      <c r="I827" s="166"/>
      <c r="J827" s="169"/>
      <c r="K827" s="129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5.75" customHeight="1">
      <c r="A828" s="123"/>
      <c r="B828" s="123"/>
      <c r="C828" s="10"/>
      <c r="D828" s="124"/>
      <c r="E828" s="125"/>
      <c r="F828" s="125"/>
      <c r="G828" s="125"/>
      <c r="H828" s="478"/>
      <c r="I828" s="166"/>
      <c r="J828" s="169"/>
      <c r="K828" s="129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5.75" customHeight="1">
      <c r="A829" s="123"/>
      <c r="B829" s="123"/>
      <c r="C829" s="10"/>
      <c r="D829" s="124"/>
      <c r="E829" s="125"/>
      <c r="F829" s="125"/>
      <c r="G829" s="125"/>
      <c r="H829" s="478"/>
      <c r="I829" s="166"/>
      <c r="J829" s="169"/>
      <c r="K829" s="129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5.75" customHeight="1">
      <c r="A830" s="123"/>
      <c r="B830" s="123"/>
      <c r="C830" s="10"/>
      <c r="D830" s="124"/>
      <c r="E830" s="125"/>
      <c r="F830" s="125"/>
      <c r="G830" s="125"/>
      <c r="H830" s="478"/>
      <c r="I830" s="166"/>
      <c r="J830" s="169"/>
      <c r="K830" s="129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5.75" customHeight="1">
      <c r="A831" s="123"/>
      <c r="B831" s="123"/>
      <c r="C831" s="10"/>
      <c r="D831" s="124"/>
      <c r="E831" s="125"/>
      <c r="F831" s="125"/>
      <c r="G831" s="125"/>
      <c r="H831" s="478"/>
      <c r="I831" s="166"/>
      <c r="J831" s="169"/>
      <c r="K831" s="129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5.75" customHeight="1">
      <c r="A832" s="123"/>
      <c r="B832" s="123"/>
      <c r="C832" s="10"/>
      <c r="D832" s="124"/>
      <c r="E832" s="125"/>
      <c r="F832" s="125"/>
      <c r="G832" s="125"/>
      <c r="H832" s="478"/>
      <c r="I832" s="166"/>
      <c r="J832" s="169"/>
      <c r="K832" s="129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5.75" customHeight="1">
      <c r="A833" s="123"/>
      <c r="B833" s="123"/>
      <c r="C833" s="10"/>
      <c r="D833" s="124"/>
      <c r="E833" s="125"/>
      <c r="F833" s="125"/>
      <c r="G833" s="125"/>
      <c r="H833" s="478"/>
      <c r="I833" s="166"/>
      <c r="J833" s="169"/>
      <c r="K833" s="129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5.75" customHeight="1">
      <c r="A834" s="123"/>
      <c r="B834" s="123"/>
      <c r="C834" s="10"/>
      <c r="D834" s="124"/>
      <c r="E834" s="125"/>
      <c r="F834" s="125"/>
      <c r="G834" s="125"/>
      <c r="H834" s="478"/>
      <c r="I834" s="166"/>
      <c r="J834" s="169"/>
      <c r="K834" s="129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5.75" customHeight="1">
      <c r="A835" s="123"/>
      <c r="B835" s="123"/>
      <c r="C835" s="10"/>
      <c r="D835" s="124"/>
      <c r="E835" s="125"/>
      <c r="F835" s="125"/>
      <c r="G835" s="125"/>
      <c r="H835" s="478"/>
      <c r="I835" s="166"/>
      <c r="J835" s="169"/>
      <c r="K835" s="129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5.75" customHeight="1">
      <c r="A836" s="123"/>
      <c r="B836" s="123"/>
      <c r="C836" s="10"/>
      <c r="D836" s="124"/>
      <c r="E836" s="125"/>
      <c r="F836" s="125"/>
      <c r="G836" s="125"/>
      <c r="H836" s="478"/>
      <c r="I836" s="166"/>
      <c r="J836" s="169"/>
      <c r="K836" s="129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5.75" customHeight="1">
      <c r="A837" s="123"/>
      <c r="B837" s="123"/>
      <c r="C837" s="10"/>
      <c r="D837" s="124"/>
      <c r="E837" s="125"/>
      <c r="F837" s="125"/>
      <c r="G837" s="125"/>
      <c r="H837" s="478"/>
      <c r="I837" s="166"/>
      <c r="J837" s="169"/>
      <c r="K837" s="129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5.75" customHeight="1">
      <c r="A838" s="123"/>
      <c r="B838" s="123"/>
      <c r="C838" s="10"/>
      <c r="D838" s="124"/>
      <c r="E838" s="125"/>
      <c r="F838" s="125"/>
      <c r="G838" s="125"/>
      <c r="H838" s="478"/>
      <c r="I838" s="166"/>
      <c r="J838" s="169"/>
      <c r="K838" s="129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5.75" customHeight="1">
      <c r="A839" s="123"/>
      <c r="B839" s="123"/>
      <c r="C839" s="10"/>
      <c r="D839" s="124"/>
      <c r="E839" s="125"/>
      <c r="F839" s="125"/>
      <c r="G839" s="125"/>
      <c r="H839" s="478"/>
      <c r="I839" s="166"/>
      <c r="J839" s="169"/>
      <c r="K839" s="129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5.75" customHeight="1">
      <c r="A840" s="123"/>
      <c r="B840" s="123"/>
      <c r="C840" s="10"/>
      <c r="D840" s="124"/>
      <c r="E840" s="125"/>
      <c r="F840" s="125"/>
      <c r="G840" s="125"/>
      <c r="H840" s="478"/>
      <c r="I840" s="166"/>
      <c r="J840" s="169"/>
      <c r="K840" s="129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5.75" customHeight="1">
      <c r="A841" s="123"/>
      <c r="B841" s="123"/>
      <c r="C841" s="10"/>
      <c r="D841" s="124"/>
      <c r="E841" s="125"/>
      <c r="F841" s="125"/>
      <c r="G841" s="125"/>
      <c r="H841" s="478"/>
      <c r="I841" s="166"/>
      <c r="J841" s="169"/>
      <c r="K841" s="129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5.75" customHeight="1">
      <c r="A842" s="123"/>
      <c r="B842" s="123"/>
      <c r="C842" s="10"/>
      <c r="D842" s="124"/>
      <c r="E842" s="125"/>
      <c r="F842" s="125"/>
      <c r="G842" s="125"/>
      <c r="H842" s="478"/>
      <c r="I842" s="166"/>
      <c r="J842" s="169"/>
      <c r="K842" s="129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5.75" customHeight="1">
      <c r="A843" s="123"/>
      <c r="B843" s="123"/>
      <c r="C843" s="10"/>
      <c r="D843" s="124"/>
      <c r="E843" s="125"/>
      <c r="F843" s="125"/>
      <c r="G843" s="125"/>
      <c r="H843" s="478"/>
      <c r="I843" s="166"/>
      <c r="J843" s="169"/>
      <c r="K843" s="129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5.75" customHeight="1">
      <c r="A844" s="123"/>
      <c r="B844" s="123"/>
      <c r="C844" s="10"/>
      <c r="D844" s="124"/>
      <c r="E844" s="125"/>
      <c r="F844" s="125"/>
      <c r="G844" s="125"/>
      <c r="H844" s="478"/>
      <c r="I844" s="166"/>
      <c r="J844" s="169"/>
      <c r="K844" s="129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5.75" customHeight="1">
      <c r="A845" s="123"/>
      <c r="B845" s="123"/>
      <c r="C845" s="10"/>
      <c r="D845" s="124"/>
      <c r="E845" s="125"/>
      <c r="F845" s="125"/>
      <c r="G845" s="125"/>
      <c r="H845" s="478"/>
      <c r="I845" s="166"/>
      <c r="J845" s="169"/>
      <c r="K845" s="129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5.75" customHeight="1">
      <c r="A846" s="123"/>
      <c r="B846" s="123"/>
      <c r="C846" s="10"/>
      <c r="D846" s="124"/>
      <c r="E846" s="125"/>
      <c r="F846" s="125"/>
      <c r="G846" s="125"/>
      <c r="H846" s="478"/>
      <c r="I846" s="166"/>
      <c r="J846" s="169"/>
      <c r="K846" s="129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5.75" customHeight="1">
      <c r="A847" s="123"/>
      <c r="B847" s="123"/>
      <c r="C847" s="10"/>
      <c r="D847" s="124"/>
      <c r="E847" s="125"/>
      <c r="F847" s="125"/>
      <c r="G847" s="125"/>
      <c r="H847" s="478"/>
      <c r="I847" s="166"/>
      <c r="J847" s="169"/>
      <c r="K847" s="129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5.75" customHeight="1">
      <c r="A848" s="123"/>
      <c r="B848" s="123"/>
      <c r="C848" s="10"/>
      <c r="D848" s="124"/>
      <c r="E848" s="125"/>
      <c r="F848" s="125"/>
      <c r="G848" s="125"/>
      <c r="H848" s="478"/>
      <c r="I848" s="166"/>
      <c r="J848" s="169"/>
      <c r="K848" s="129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5.75" customHeight="1">
      <c r="A849" s="123"/>
      <c r="B849" s="123"/>
      <c r="C849" s="10"/>
      <c r="D849" s="124"/>
      <c r="E849" s="125"/>
      <c r="F849" s="125"/>
      <c r="G849" s="125"/>
      <c r="H849" s="478"/>
      <c r="I849" s="166"/>
      <c r="J849" s="169"/>
      <c r="K849" s="129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5.75" customHeight="1">
      <c r="A850" s="123"/>
      <c r="B850" s="123"/>
      <c r="C850" s="10"/>
      <c r="D850" s="124"/>
      <c r="E850" s="125"/>
      <c r="F850" s="125"/>
      <c r="G850" s="125"/>
      <c r="H850" s="478"/>
      <c r="I850" s="166"/>
      <c r="J850" s="169"/>
      <c r="K850" s="129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5.75" customHeight="1">
      <c r="A851" s="123"/>
      <c r="B851" s="123"/>
      <c r="C851" s="10"/>
      <c r="D851" s="124"/>
      <c r="E851" s="125"/>
      <c r="F851" s="125"/>
      <c r="G851" s="125"/>
      <c r="H851" s="478"/>
      <c r="I851" s="166"/>
      <c r="J851" s="169"/>
      <c r="K851" s="129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5.75" customHeight="1">
      <c r="A852" s="123"/>
      <c r="B852" s="123"/>
      <c r="C852" s="10"/>
      <c r="D852" s="124"/>
      <c r="E852" s="125"/>
      <c r="F852" s="125"/>
      <c r="G852" s="125"/>
      <c r="H852" s="478"/>
      <c r="I852" s="166"/>
      <c r="J852" s="169"/>
      <c r="K852" s="129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5.75" customHeight="1">
      <c r="A853" s="123"/>
      <c r="B853" s="123"/>
      <c r="C853" s="10"/>
      <c r="D853" s="124"/>
      <c r="E853" s="125"/>
      <c r="F853" s="125"/>
      <c r="G853" s="125"/>
      <c r="H853" s="478"/>
      <c r="I853" s="166"/>
      <c r="J853" s="169"/>
      <c r="K853" s="129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5.75" customHeight="1">
      <c r="A854" s="123"/>
      <c r="B854" s="123"/>
      <c r="C854" s="10"/>
      <c r="D854" s="124"/>
      <c r="E854" s="125"/>
      <c r="F854" s="125"/>
      <c r="G854" s="125"/>
      <c r="H854" s="478"/>
      <c r="I854" s="166"/>
      <c r="J854" s="169"/>
      <c r="K854" s="129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5.75" customHeight="1">
      <c r="A855" s="123"/>
      <c r="B855" s="123"/>
      <c r="C855" s="10"/>
      <c r="D855" s="124"/>
      <c r="E855" s="125"/>
      <c r="F855" s="125"/>
      <c r="G855" s="125"/>
      <c r="H855" s="478"/>
      <c r="I855" s="166"/>
      <c r="J855" s="169"/>
      <c r="K855" s="129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5.75" customHeight="1">
      <c r="A856" s="123"/>
      <c r="B856" s="123"/>
      <c r="C856" s="10"/>
      <c r="D856" s="124"/>
      <c r="E856" s="125"/>
      <c r="F856" s="125"/>
      <c r="G856" s="125"/>
      <c r="H856" s="478"/>
      <c r="I856" s="166"/>
      <c r="J856" s="169"/>
      <c r="K856" s="129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5.75" customHeight="1">
      <c r="A857" s="123"/>
      <c r="B857" s="123"/>
      <c r="C857" s="10"/>
      <c r="D857" s="124"/>
      <c r="E857" s="125"/>
      <c r="F857" s="125"/>
      <c r="G857" s="125"/>
      <c r="H857" s="478"/>
      <c r="I857" s="166"/>
      <c r="J857" s="169"/>
      <c r="K857" s="129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5.75" customHeight="1">
      <c r="A858" s="123"/>
      <c r="B858" s="123"/>
      <c r="C858" s="10"/>
      <c r="D858" s="124"/>
      <c r="E858" s="125"/>
      <c r="F858" s="125"/>
      <c r="G858" s="125"/>
      <c r="H858" s="478"/>
      <c r="I858" s="166"/>
      <c r="J858" s="169"/>
      <c r="K858" s="129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5.75" customHeight="1">
      <c r="A859" s="123"/>
      <c r="B859" s="123"/>
      <c r="C859" s="10"/>
      <c r="D859" s="124"/>
      <c r="E859" s="125"/>
      <c r="F859" s="125"/>
      <c r="G859" s="125"/>
      <c r="H859" s="478"/>
      <c r="I859" s="166"/>
      <c r="J859" s="169"/>
      <c r="K859" s="129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5.75" customHeight="1">
      <c r="A860" s="123"/>
      <c r="B860" s="123"/>
      <c r="C860" s="10"/>
      <c r="D860" s="124"/>
      <c r="E860" s="125"/>
      <c r="F860" s="125"/>
      <c r="G860" s="125"/>
      <c r="H860" s="478"/>
      <c r="I860" s="166"/>
      <c r="J860" s="169"/>
      <c r="K860" s="129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5.75" customHeight="1">
      <c r="A861" s="123"/>
      <c r="B861" s="123"/>
      <c r="C861" s="10"/>
      <c r="D861" s="124"/>
      <c r="E861" s="125"/>
      <c r="F861" s="125"/>
      <c r="G861" s="125"/>
      <c r="H861" s="478"/>
      <c r="I861" s="166"/>
      <c r="J861" s="169"/>
      <c r="K861" s="129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5.75" customHeight="1">
      <c r="A862" s="123"/>
      <c r="B862" s="123"/>
      <c r="C862" s="10"/>
      <c r="D862" s="124"/>
      <c r="E862" s="125"/>
      <c r="F862" s="125"/>
      <c r="G862" s="125"/>
      <c r="H862" s="478"/>
      <c r="I862" s="166"/>
      <c r="J862" s="169"/>
      <c r="K862" s="129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5.75" customHeight="1">
      <c r="A863" s="123"/>
      <c r="B863" s="123"/>
      <c r="C863" s="10"/>
      <c r="D863" s="124"/>
      <c r="E863" s="125"/>
      <c r="F863" s="125"/>
      <c r="G863" s="125"/>
      <c r="H863" s="478"/>
      <c r="I863" s="166"/>
      <c r="J863" s="169"/>
      <c r="K863" s="129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5.75" customHeight="1">
      <c r="A864" s="123"/>
      <c r="B864" s="123"/>
      <c r="C864" s="10"/>
      <c r="D864" s="124"/>
      <c r="E864" s="125"/>
      <c r="F864" s="125"/>
      <c r="G864" s="125"/>
      <c r="H864" s="478"/>
      <c r="I864" s="166"/>
      <c r="J864" s="169"/>
      <c r="K864" s="129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5.75" customHeight="1">
      <c r="A865" s="123"/>
      <c r="B865" s="123"/>
      <c r="C865" s="10"/>
      <c r="D865" s="124"/>
      <c r="E865" s="125"/>
      <c r="F865" s="125"/>
      <c r="G865" s="125"/>
      <c r="H865" s="478"/>
      <c r="I865" s="166"/>
      <c r="J865" s="169"/>
      <c r="K865" s="129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5.75" customHeight="1">
      <c r="A866" s="123"/>
      <c r="B866" s="123"/>
      <c r="C866" s="10"/>
      <c r="D866" s="124"/>
      <c r="E866" s="125"/>
      <c r="F866" s="125"/>
      <c r="G866" s="125"/>
      <c r="H866" s="478"/>
      <c r="I866" s="166"/>
      <c r="J866" s="169"/>
      <c r="K866" s="129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5.75" customHeight="1">
      <c r="A867" s="123"/>
      <c r="B867" s="123"/>
      <c r="C867" s="10"/>
      <c r="D867" s="124"/>
      <c r="E867" s="125"/>
      <c r="F867" s="125"/>
      <c r="G867" s="125"/>
      <c r="H867" s="478"/>
      <c r="I867" s="166"/>
      <c r="J867" s="169"/>
      <c r="K867" s="129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5.75" customHeight="1">
      <c r="A868" s="123"/>
      <c r="B868" s="123"/>
      <c r="C868" s="10"/>
      <c r="D868" s="124"/>
      <c r="E868" s="125"/>
      <c r="F868" s="125"/>
      <c r="G868" s="125"/>
      <c r="H868" s="478"/>
      <c r="I868" s="166"/>
      <c r="J868" s="169"/>
      <c r="K868" s="129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5.75" customHeight="1">
      <c r="A869" s="123"/>
      <c r="B869" s="123"/>
      <c r="C869" s="10"/>
      <c r="D869" s="124"/>
      <c r="E869" s="125"/>
      <c r="F869" s="125"/>
      <c r="G869" s="125"/>
      <c r="H869" s="478"/>
      <c r="I869" s="166"/>
      <c r="J869" s="169"/>
      <c r="K869" s="129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5.75" customHeight="1">
      <c r="A870" s="123"/>
      <c r="B870" s="123"/>
      <c r="C870" s="10"/>
      <c r="D870" s="124"/>
      <c r="E870" s="125"/>
      <c r="F870" s="125"/>
      <c r="G870" s="125"/>
      <c r="H870" s="478"/>
      <c r="I870" s="166"/>
      <c r="J870" s="169"/>
      <c r="K870" s="129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5.75" customHeight="1">
      <c r="A871" s="123"/>
      <c r="B871" s="123"/>
      <c r="C871" s="10"/>
      <c r="D871" s="124"/>
      <c r="E871" s="125"/>
      <c r="F871" s="125"/>
      <c r="G871" s="125"/>
      <c r="H871" s="478"/>
      <c r="I871" s="166"/>
      <c r="J871" s="169"/>
      <c r="K871" s="129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5.75" customHeight="1">
      <c r="A872" s="123"/>
      <c r="B872" s="123"/>
      <c r="C872" s="10"/>
      <c r="D872" s="124"/>
      <c r="E872" s="125"/>
      <c r="F872" s="125"/>
      <c r="G872" s="125"/>
      <c r="H872" s="478"/>
      <c r="I872" s="166"/>
      <c r="J872" s="169"/>
      <c r="K872" s="129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5.75" customHeight="1">
      <c r="A873" s="123"/>
      <c r="B873" s="123"/>
      <c r="C873" s="10"/>
      <c r="D873" s="124"/>
      <c r="E873" s="125"/>
      <c r="F873" s="125"/>
      <c r="G873" s="125"/>
      <c r="H873" s="478"/>
      <c r="I873" s="166"/>
      <c r="J873" s="169"/>
      <c r="K873" s="129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5.75" customHeight="1">
      <c r="A874" s="123"/>
      <c r="B874" s="123"/>
      <c r="C874" s="10"/>
      <c r="D874" s="124"/>
      <c r="E874" s="125"/>
      <c r="F874" s="125"/>
      <c r="G874" s="125"/>
      <c r="H874" s="478"/>
      <c r="I874" s="166"/>
      <c r="J874" s="169"/>
      <c r="K874" s="129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5.75" customHeight="1">
      <c r="A875" s="123"/>
      <c r="B875" s="123"/>
      <c r="C875" s="10"/>
      <c r="D875" s="124"/>
      <c r="E875" s="125"/>
      <c r="F875" s="125"/>
      <c r="G875" s="125"/>
      <c r="H875" s="478"/>
      <c r="I875" s="166"/>
      <c r="J875" s="169"/>
      <c r="K875" s="129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5.75" customHeight="1">
      <c r="A876" s="123"/>
      <c r="B876" s="123"/>
      <c r="C876" s="10"/>
      <c r="D876" s="124"/>
      <c r="E876" s="125"/>
      <c r="F876" s="125"/>
      <c r="G876" s="125"/>
      <c r="H876" s="478"/>
      <c r="I876" s="166"/>
      <c r="J876" s="169"/>
      <c r="K876" s="129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5.75" customHeight="1">
      <c r="A877" s="123"/>
      <c r="B877" s="123"/>
      <c r="C877" s="10"/>
      <c r="D877" s="124"/>
      <c r="E877" s="125"/>
      <c r="F877" s="125"/>
      <c r="G877" s="125"/>
      <c r="H877" s="478"/>
      <c r="I877" s="166"/>
      <c r="J877" s="169"/>
      <c r="K877" s="129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5.75" customHeight="1">
      <c r="A878" s="123"/>
      <c r="B878" s="123"/>
      <c r="C878" s="10"/>
      <c r="D878" s="124"/>
      <c r="E878" s="125"/>
      <c r="F878" s="125"/>
      <c r="G878" s="125"/>
      <c r="H878" s="478"/>
      <c r="I878" s="166"/>
      <c r="J878" s="169"/>
      <c r="K878" s="129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5.75" customHeight="1">
      <c r="A879" s="123"/>
      <c r="B879" s="123"/>
      <c r="C879" s="10"/>
      <c r="D879" s="124"/>
      <c r="E879" s="125"/>
      <c r="F879" s="125"/>
      <c r="G879" s="125"/>
      <c r="H879" s="478"/>
      <c r="I879" s="166"/>
      <c r="J879" s="169"/>
      <c r="K879" s="129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5.75" customHeight="1">
      <c r="A880" s="123"/>
      <c r="B880" s="123"/>
      <c r="C880" s="10"/>
      <c r="D880" s="124"/>
      <c r="E880" s="125"/>
      <c r="F880" s="125"/>
      <c r="G880" s="125"/>
      <c r="H880" s="478"/>
      <c r="I880" s="166"/>
      <c r="J880" s="169"/>
      <c r="K880" s="129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5.75" customHeight="1">
      <c r="A881" s="123"/>
      <c r="B881" s="123"/>
      <c r="C881" s="10"/>
      <c r="D881" s="124"/>
      <c r="E881" s="125"/>
      <c r="F881" s="125"/>
      <c r="G881" s="125"/>
      <c r="H881" s="478"/>
      <c r="I881" s="166"/>
      <c r="J881" s="169"/>
      <c r="K881" s="129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5.75" customHeight="1">
      <c r="A882" s="123"/>
      <c r="B882" s="123"/>
      <c r="C882" s="10"/>
      <c r="D882" s="124"/>
      <c r="E882" s="125"/>
      <c r="F882" s="125"/>
      <c r="G882" s="125"/>
      <c r="H882" s="478"/>
      <c r="I882" s="166"/>
      <c r="J882" s="169"/>
      <c r="K882" s="129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5.75" customHeight="1">
      <c r="A883" s="123"/>
      <c r="B883" s="123"/>
      <c r="C883" s="10"/>
      <c r="D883" s="124"/>
      <c r="E883" s="125"/>
      <c r="F883" s="125"/>
      <c r="G883" s="125"/>
      <c r="H883" s="478"/>
      <c r="I883" s="166"/>
      <c r="J883" s="169"/>
      <c r="K883" s="129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5.75" customHeight="1">
      <c r="A884" s="123"/>
      <c r="B884" s="123"/>
      <c r="C884" s="10"/>
      <c r="D884" s="124"/>
      <c r="E884" s="125"/>
      <c r="F884" s="125"/>
      <c r="G884" s="125"/>
      <c r="H884" s="478"/>
      <c r="I884" s="166"/>
      <c r="J884" s="169"/>
      <c r="K884" s="129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5.75" customHeight="1">
      <c r="A885" s="123"/>
      <c r="B885" s="123"/>
      <c r="C885" s="10"/>
      <c r="D885" s="124"/>
      <c r="E885" s="125"/>
      <c r="F885" s="125"/>
      <c r="G885" s="125"/>
      <c r="H885" s="478"/>
      <c r="I885" s="166"/>
      <c r="J885" s="169"/>
      <c r="K885" s="129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5.75" customHeight="1">
      <c r="A886" s="123"/>
      <c r="B886" s="123"/>
      <c r="C886" s="10"/>
      <c r="D886" s="124"/>
      <c r="E886" s="125"/>
      <c r="F886" s="125"/>
      <c r="G886" s="125"/>
      <c r="H886" s="478"/>
      <c r="I886" s="166"/>
      <c r="J886" s="169"/>
      <c r="K886" s="129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5.75" customHeight="1">
      <c r="A887" s="123"/>
      <c r="B887" s="123"/>
      <c r="C887" s="10"/>
      <c r="D887" s="124"/>
      <c r="E887" s="125"/>
      <c r="F887" s="125"/>
      <c r="G887" s="125"/>
      <c r="H887" s="478"/>
      <c r="I887" s="166"/>
      <c r="J887" s="169"/>
      <c r="K887" s="129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5.75" customHeight="1">
      <c r="A888" s="123"/>
      <c r="B888" s="123"/>
      <c r="C888" s="10"/>
      <c r="D888" s="124"/>
      <c r="E888" s="125"/>
      <c r="F888" s="125"/>
      <c r="G888" s="125"/>
      <c r="H888" s="478"/>
      <c r="I888" s="166"/>
      <c r="J888" s="169"/>
      <c r="K888" s="129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5.75" customHeight="1">
      <c r="A889" s="123"/>
      <c r="B889" s="123"/>
      <c r="C889" s="10"/>
      <c r="D889" s="124"/>
      <c r="E889" s="125"/>
      <c r="F889" s="125"/>
      <c r="G889" s="125"/>
      <c r="H889" s="478"/>
      <c r="I889" s="166"/>
      <c r="J889" s="169"/>
      <c r="K889" s="129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5.75" customHeight="1">
      <c r="A890" s="123"/>
      <c r="B890" s="123"/>
      <c r="C890" s="10"/>
      <c r="D890" s="124"/>
      <c r="E890" s="125"/>
      <c r="F890" s="125"/>
      <c r="G890" s="125"/>
      <c r="H890" s="478"/>
      <c r="I890" s="166"/>
      <c r="J890" s="169"/>
      <c r="K890" s="129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5.75" customHeight="1">
      <c r="A891" s="123"/>
      <c r="B891" s="123"/>
      <c r="C891" s="10"/>
      <c r="D891" s="124"/>
      <c r="E891" s="125"/>
      <c r="F891" s="125"/>
      <c r="G891" s="125"/>
      <c r="H891" s="478"/>
      <c r="I891" s="166"/>
      <c r="J891" s="169"/>
      <c r="K891" s="129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5.75" customHeight="1">
      <c r="A892" s="123"/>
      <c r="B892" s="123"/>
      <c r="C892" s="10"/>
      <c r="D892" s="124"/>
      <c r="E892" s="125"/>
      <c r="F892" s="125"/>
      <c r="G892" s="125"/>
      <c r="H892" s="478"/>
      <c r="I892" s="166"/>
      <c r="J892" s="169"/>
      <c r="K892" s="129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5.75" customHeight="1">
      <c r="A893" s="123"/>
      <c r="B893" s="123"/>
      <c r="C893" s="10"/>
      <c r="D893" s="124"/>
      <c r="E893" s="125"/>
      <c r="F893" s="125"/>
      <c r="G893" s="125"/>
      <c r="H893" s="478"/>
      <c r="I893" s="166"/>
      <c r="J893" s="169"/>
      <c r="K893" s="129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5.75" customHeight="1">
      <c r="A894" s="123"/>
      <c r="B894" s="123"/>
      <c r="C894" s="10"/>
      <c r="D894" s="124"/>
      <c r="E894" s="125"/>
      <c r="F894" s="125"/>
      <c r="G894" s="125"/>
      <c r="H894" s="478"/>
      <c r="I894" s="166"/>
      <c r="J894" s="169"/>
      <c r="K894" s="129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5.75" customHeight="1">
      <c r="A895" s="123"/>
      <c r="B895" s="123"/>
      <c r="C895" s="10"/>
      <c r="D895" s="124"/>
      <c r="E895" s="125"/>
      <c r="F895" s="125"/>
      <c r="G895" s="125"/>
      <c r="H895" s="478"/>
      <c r="I895" s="166"/>
      <c r="J895" s="169"/>
      <c r="K895" s="129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5.75" customHeight="1">
      <c r="A896" s="123"/>
      <c r="B896" s="123"/>
      <c r="C896" s="10"/>
      <c r="D896" s="124"/>
      <c r="E896" s="125"/>
      <c r="F896" s="125"/>
      <c r="G896" s="125"/>
      <c r="H896" s="478"/>
      <c r="I896" s="166"/>
      <c r="J896" s="169"/>
      <c r="K896" s="129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5.75" customHeight="1">
      <c r="A897" s="123"/>
      <c r="B897" s="123"/>
      <c r="C897" s="10"/>
      <c r="D897" s="124"/>
      <c r="E897" s="125"/>
      <c r="F897" s="125"/>
      <c r="G897" s="125"/>
      <c r="H897" s="478"/>
      <c r="I897" s="166"/>
      <c r="J897" s="169"/>
      <c r="K897" s="129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5.75" customHeight="1">
      <c r="A898" s="123"/>
      <c r="B898" s="123"/>
      <c r="C898" s="10"/>
      <c r="D898" s="124"/>
      <c r="E898" s="125"/>
      <c r="F898" s="125"/>
      <c r="G898" s="125"/>
      <c r="H898" s="478"/>
      <c r="I898" s="166"/>
      <c r="J898" s="169"/>
      <c r="K898" s="129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5.75" customHeight="1">
      <c r="A899" s="123"/>
      <c r="B899" s="123"/>
      <c r="C899" s="10"/>
      <c r="D899" s="124"/>
      <c r="E899" s="125"/>
      <c r="F899" s="125"/>
      <c r="G899" s="125"/>
      <c r="H899" s="478"/>
      <c r="I899" s="166"/>
      <c r="J899" s="169"/>
      <c r="K899" s="129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5.75" customHeight="1">
      <c r="A900" s="123"/>
      <c r="B900" s="123"/>
      <c r="C900" s="10"/>
      <c r="D900" s="124"/>
      <c r="E900" s="125"/>
      <c r="F900" s="125"/>
      <c r="G900" s="125"/>
      <c r="H900" s="478"/>
      <c r="I900" s="166"/>
      <c r="J900" s="169"/>
      <c r="K900" s="129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5.75" customHeight="1">
      <c r="A901" s="123"/>
      <c r="B901" s="123"/>
      <c r="C901" s="10"/>
      <c r="D901" s="124"/>
      <c r="E901" s="125"/>
      <c r="F901" s="125"/>
      <c r="G901" s="125"/>
      <c r="H901" s="478"/>
      <c r="I901" s="166"/>
      <c r="J901" s="169"/>
      <c r="K901" s="129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5.75" customHeight="1">
      <c r="A902" s="123"/>
      <c r="B902" s="123"/>
      <c r="C902" s="10"/>
      <c r="D902" s="124"/>
      <c r="E902" s="125"/>
      <c r="F902" s="125"/>
      <c r="G902" s="125"/>
      <c r="H902" s="478"/>
      <c r="I902" s="166"/>
      <c r="J902" s="169"/>
      <c r="K902" s="129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5.75" customHeight="1">
      <c r="A903" s="123"/>
      <c r="B903" s="123"/>
      <c r="C903" s="10"/>
      <c r="D903" s="124"/>
      <c r="E903" s="125"/>
      <c r="F903" s="125"/>
      <c r="G903" s="125"/>
      <c r="H903" s="478"/>
      <c r="I903" s="166"/>
      <c r="J903" s="169"/>
      <c r="K903" s="129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5.75" customHeight="1">
      <c r="A904" s="123"/>
      <c r="B904" s="123"/>
      <c r="C904" s="10"/>
      <c r="D904" s="124"/>
      <c r="E904" s="125"/>
      <c r="F904" s="125"/>
      <c r="G904" s="125"/>
      <c r="H904" s="478"/>
      <c r="I904" s="166"/>
      <c r="J904" s="169"/>
      <c r="K904" s="129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5.75" customHeight="1">
      <c r="A905" s="123"/>
      <c r="B905" s="123"/>
      <c r="C905" s="10"/>
      <c r="D905" s="124"/>
      <c r="E905" s="125"/>
      <c r="F905" s="125"/>
      <c r="G905" s="125"/>
      <c r="H905" s="478"/>
      <c r="I905" s="166"/>
      <c r="J905" s="169"/>
      <c r="K905" s="129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5.75" customHeight="1">
      <c r="A906" s="123"/>
      <c r="B906" s="123"/>
      <c r="C906" s="10"/>
      <c r="D906" s="124"/>
      <c r="E906" s="125"/>
      <c r="F906" s="125"/>
      <c r="G906" s="125"/>
      <c r="H906" s="478"/>
      <c r="I906" s="166"/>
      <c r="J906" s="169"/>
      <c r="K906" s="129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5.75" customHeight="1">
      <c r="A907" s="123"/>
      <c r="B907" s="123"/>
      <c r="C907" s="10"/>
      <c r="D907" s="124"/>
      <c r="E907" s="125"/>
      <c r="F907" s="125"/>
      <c r="G907" s="125"/>
      <c r="H907" s="478"/>
      <c r="I907" s="166"/>
      <c r="J907" s="169"/>
      <c r="K907" s="129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5.75" customHeight="1">
      <c r="A908" s="123"/>
      <c r="B908" s="123"/>
      <c r="C908" s="10"/>
      <c r="D908" s="124"/>
      <c r="E908" s="125"/>
      <c r="F908" s="125"/>
      <c r="G908" s="125"/>
      <c r="H908" s="478"/>
      <c r="I908" s="166"/>
      <c r="J908" s="169"/>
      <c r="K908" s="129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5.75" customHeight="1">
      <c r="A909" s="123"/>
      <c r="B909" s="123"/>
      <c r="C909" s="10"/>
      <c r="D909" s="124"/>
      <c r="E909" s="125"/>
      <c r="F909" s="125"/>
      <c r="G909" s="125"/>
      <c r="H909" s="478"/>
      <c r="I909" s="166"/>
      <c r="J909" s="169"/>
      <c r="K909" s="129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5.75" customHeight="1">
      <c r="A910" s="123"/>
      <c r="B910" s="123"/>
      <c r="C910" s="10"/>
      <c r="D910" s="124"/>
      <c r="E910" s="125"/>
      <c r="F910" s="125"/>
      <c r="G910" s="125"/>
      <c r="H910" s="478"/>
      <c r="I910" s="166"/>
      <c r="J910" s="169"/>
      <c r="K910" s="129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5.75" customHeight="1">
      <c r="A911" s="123"/>
      <c r="B911" s="123"/>
      <c r="C911" s="10"/>
      <c r="D911" s="124"/>
      <c r="E911" s="125"/>
      <c r="F911" s="125"/>
      <c r="G911" s="125"/>
      <c r="H911" s="478"/>
      <c r="I911" s="166"/>
      <c r="J911" s="169"/>
      <c r="K911" s="129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5.75" customHeight="1">
      <c r="A912" s="123"/>
      <c r="B912" s="123"/>
      <c r="C912" s="10"/>
      <c r="D912" s="124"/>
      <c r="E912" s="125"/>
      <c r="F912" s="125"/>
      <c r="G912" s="125"/>
      <c r="H912" s="478"/>
      <c r="I912" s="166"/>
      <c r="J912" s="169"/>
      <c r="K912" s="129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5.75" customHeight="1">
      <c r="A913" s="123"/>
      <c r="B913" s="123"/>
      <c r="C913" s="10"/>
      <c r="D913" s="124"/>
      <c r="E913" s="125"/>
      <c r="F913" s="125"/>
      <c r="G913" s="125"/>
      <c r="H913" s="478"/>
      <c r="I913" s="166"/>
      <c r="J913" s="169"/>
      <c r="K913" s="129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5.75" customHeight="1">
      <c r="A914" s="123"/>
      <c r="B914" s="123"/>
      <c r="C914" s="10"/>
      <c r="D914" s="124"/>
      <c r="E914" s="125"/>
      <c r="F914" s="125"/>
      <c r="G914" s="125"/>
      <c r="H914" s="478"/>
      <c r="I914" s="166"/>
      <c r="J914" s="169"/>
      <c r="K914" s="129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5.75" customHeight="1">
      <c r="A915" s="123"/>
      <c r="B915" s="123"/>
      <c r="C915" s="10"/>
      <c r="D915" s="124"/>
      <c r="E915" s="125"/>
      <c r="F915" s="125"/>
      <c r="G915" s="125"/>
      <c r="H915" s="478"/>
      <c r="I915" s="166"/>
      <c r="J915" s="169"/>
      <c r="K915" s="129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5.75" customHeight="1">
      <c r="A916" s="123"/>
      <c r="B916" s="123"/>
      <c r="C916" s="10"/>
      <c r="D916" s="124"/>
      <c r="E916" s="125"/>
      <c r="F916" s="125"/>
      <c r="G916" s="125"/>
      <c r="H916" s="478"/>
      <c r="I916" s="166"/>
      <c r="J916" s="169"/>
      <c r="K916" s="129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5.75" customHeight="1">
      <c r="A917" s="123"/>
      <c r="B917" s="123"/>
      <c r="C917" s="10"/>
      <c r="D917" s="124"/>
      <c r="E917" s="125"/>
      <c r="F917" s="125"/>
      <c r="G917" s="125"/>
      <c r="H917" s="478"/>
      <c r="I917" s="166"/>
      <c r="J917" s="169"/>
      <c r="K917" s="129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5.75" customHeight="1">
      <c r="A918" s="123"/>
      <c r="B918" s="123"/>
      <c r="C918" s="10"/>
      <c r="D918" s="124"/>
      <c r="E918" s="125"/>
      <c r="F918" s="125"/>
      <c r="G918" s="125"/>
      <c r="H918" s="478"/>
      <c r="I918" s="166"/>
      <c r="J918" s="169"/>
      <c r="K918" s="129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5.75" customHeight="1">
      <c r="A919" s="123"/>
      <c r="B919" s="123"/>
      <c r="C919" s="10"/>
      <c r="D919" s="124"/>
      <c r="E919" s="125"/>
      <c r="F919" s="125"/>
      <c r="G919" s="125"/>
      <c r="H919" s="478"/>
      <c r="I919" s="166"/>
      <c r="J919" s="169"/>
      <c r="K919" s="129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5.75" customHeight="1">
      <c r="A920" s="123"/>
      <c r="B920" s="123"/>
      <c r="C920" s="10"/>
      <c r="D920" s="124"/>
      <c r="E920" s="125"/>
      <c r="F920" s="125"/>
      <c r="G920" s="125"/>
      <c r="H920" s="478"/>
      <c r="I920" s="166"/>
      <c r="J920" s="169"/>
      <c r="K920" s="129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5.75" customHeight="1">
      <c r="A921" s="123"/>
      <c r="B921" s="123"/>
      <c r="C921" s="10"/>
      <c r="D921" s="124"/>
      <c r="E921" s="125"/>
      <c r="F921" s="125"/>
      <c r="G921" s="125"/>
      <c r="H921" s="478"/>
      <c r="I921" s="166"/>
      <c r="J921" s="169"/>
      <c r="K921" s="129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5.75" customHeight="1">
      <c r="A922" s="123"/>
      <c r="B922" s="123"/>
      <c r="C922" s="10"/>
      <c r="D922" s="124"/>
      <c r="E922" s="125"/>
      <c r="F922" s="125"/>
      <c r="G922" s="125"/>
      <c r="H922" s="478"/>
      <c r="I922" s="166"/>
      <c r="J922" s="169"/>
      <c r="K922" s="129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5.75" customHeight="1">
      <c r="A923" s="123"/>
      <c r="B923" s="123"/>
      <c r="C923" s="10"/>
      <c r="D923" s="124"/>
      <c r="E923" s="125"/>
      <c r="F923" s="125"/>
      <c r="G923" s="125"/>
      <c r="H923" s="478"/>
      <c r="I923" s="166"/>
      <c r="J923" s="169"/>
      <c r="K923" s="129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5.75" customHeight="1">
      <c r="A924" s="123"/>
      <c r="B924" s="123"/>
      <c r="C924" s="10"/>
      <c r="D924" s="124"/>
      <c r="E924" s="125"/>
      <c r="F924" s="125"/>
      <c r="G924" s="125"/>
      <c r="H924" s="478"/>
      <c r="I924" s="166"/>
      <c r="J924" s="169"/>
      <c r="K924" s="129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5.75" customHeight="1">
      <c r="A925" s="123"/>
      <c r="B925" s="123"/>
      <c r="C925" s="10"/>
      <c r="D925" s="124"/>
      <c r="E925" s="125"/>
      <c r="F925" s="125"/>
      <c r="G925" s="125"/>
      <c r="H925" s="478"/>
      <c r="I925" s="166"/>
      <c r="J925" s="169"/>
      <c r="K925" s="129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5.75" customHeight="1">
      <c r="A926" s="123"/>
      <c r="B926" s="123"/>
      <c r="C926" s="10"/>
      <c r="D926" s="124"/>
      <c r="E926" s="125"/>
      <c r="F926" s="125"/>
      <c r="G926" s="125"/>
      <c r="H926" s="478"/>
      <c r="I926" s="166"/>
      <c r="J926" s="169"/>
      <c r="K926" s="129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5.75" customHeight="1">
      <c r="A927" s="123"/>
      <c r="B927" s="123"/>
      <c r="C927" s="10"/>
      <c r="D927" s="124"/>
      <c r="E927" s="125"/>
      <c r="F927" s="125"/>
      <c r="G927" s="125"/>
      <c r="H927" s="478"/>
      <c r="I927" s="166"/>
      <c r="J927" s="169"/>
      <c r="K927" s="129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5.75" customHeight="1">
      <c r="A928" s="123"/>
      <c r="B928" s="123"/>
      <c r="C928" s="10"/>
      <c r="D928" s="124"/>
      <c r="E928" s="125"/>
      <c r="F928" s="125"/>
      <c r="G928" s="125"/>
      <c r="H928" s="478"/>
      <c r="I928" s="166"/>
      <c r="J928" s="169"/>
      <c r="K928" s="129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5.75" customHeight="1">
      <c r="A929" s="123"/>
      <c r="B929" s="123"/>
      <c r="C929" s="10"/>
      <c r="D929" s="124"/>
      <c r="E929" s="125"/>
      <c r="F929" s="125"/>
      <c r="G929" s="125"/>
      <c r="H929" s="478"/>
      <c r="I929" s="166"/>
      <c r="J929" s="169"/>
      <c r="K929" s="129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5.75" customHeight="1">
      <c r="A930" s="123"/>
      <c r="B930" s="123"/>
      <c r="C930" s="10"/>
      <c r="D930" s="124"/>
      <c r="E930" s="125"/>
      <c r="F930" s="125"/>
      <c r="G930" s="125"/>
      <c r="H930" s="478"/>
      <c r="I930" s="166"/>
      <c r="J930" s="169"/>
      <c r="K930" s="129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5.75" customHeight="1">
      <c r="A931" s="123"/>
      <c r="B931" s="123"/>
      <c r="C931" s="10"/>
      <c r="D931" s="124"/>
      <c r="E931" s="125"/>
      <c r="F931" s="125"/>
      <c r="G931" s="125"/>
      <c r="H931" s="478"/>
      <c r="I931" s="166"/>
      <c r="J931" s="169"/>
      <c r="K931" s="129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5.75" customHeight="1">
      <c r="A932" s="123"/>
      <c r="B932" s="123"/>
      <c r="C932" s="10"/>
      <c r="D932" s="124"/>
      <c r="E932" s="125"/>
      <c r="F932" s="125"/>
      <c r="G932" s="125"/>
      <c r="H932" s="478"/>
      <c r="I932" s="166"/>
      <c r="J932" s="169"/>
      <c r="K932" s="129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5.75" customHeight="1">
      <c r="A933" s="123"/>
      <c r="B933" s="123"/>
      <c r="C933" s="10"/>
      <c r="D933" s="124"/>
      <c r="E933" s="125"/>
      <c r="F933" s="125"/>
      <c r="G933" s="125"/>
      <c r="H933" s="478"/>
      <c r="I933" s="166"/>
      <c r="J933" s="169"/>
      <c r="K933" s="129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5.75" customHeight="1">
      <c r="A934" s="123"/>
      <c r="B934" s="123"/>
      <c r="C934" s="10"/>
      <c r="D934" s="124"/>
      <c r="E934" s="125"/>
      <c r="F934" s="125"/>
      <c r="G934" s="125"/>
      <c r="H934" s="478"/>
      <c r="I934" s="166"/>
      <c r="J934" s="169"/>
      <c r="K934" s="129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5.75" customHeight="1">
      <c r="A935" s="123"/>
      <c r="B935" s="123"/>
      <c r="C935" s="10"/>
      <c r="D935" s="124"/>
      <c r="E935" s="125"/>
      <c r="F935" s="125"/>
      <c r="G935" s="125"/>
      <c r="H935" s="478"/>
      <c r="I935" s="166"/>
      <c r="J935" s="169"/>
      <c r="K935" s="129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5.75" customHeight="1">
      <c r="A936" s="123"/>
      <c r="B936" s="123"/>
      <c r="C936" s="10"/>
      <c r="D936" s="124"/>
      <c r="E936" s="125"/>
      <c r="F936" s="125"/>
      <c r="G936" s="125"/>
      <c r="H936" s="478"/>
      <c r="I936" s="166"/>
      <c r="J936" s="169"/>
      <c r="K936" s="129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5.75" customHeight="1">
      <c r="A937" s="123"/>
      <c r="B937" s="123"/>
      <c r="C937" s="10"/>
      <c r="D937" s="124"/>
      <c r="E937" s="125"/>
      <c r="F937" s="125"/>
      <c r="G937" s="125"/>
      <c r="H937" s="478"/>
      <c r="I937" s="166"/>
      <c r="J937" s="169"/>
      <c r="K937" s="129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5.75" customHeight="1">
      <c r="A938" s="123"/>
      <c r="B938" s="123"/>
      <c r="C938" s="10"/>
      <c r="D938" s="124"/>
      <c r="E938" s="125"/>
      <c r="F938" s="125"/>
      <c r="G938" s="125"/>
      <c r="H938" s="478"/>
      <c r="I938" s="166"/>
      <c r="J938" s="169"/>
      <c r="K938" s="129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5.75" customHeight="1">
      <c r="A939" s="123"/>
      <c r="B939" s="123"/>
      <c r="C939" s="10"/>
      <c r="D939" s="124"/>
      <c r="E939" s="125"/>
      <c r="F939" s="125"/>
      <c r="G939" s="125"/>
      <c r="H939" s="478"/>
      <c r="I939" s="166"/>
      <c r="J939" s="169"/>
      <c r="K939" s="129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5.75" customHeight="1">
      <c r="A940" s="123"/>
      <c r="B940" s="123"/>
      <c r="C940" s="10"/>
      <c r="D940" s="124"/>
      <c r="E940" s="125"/>
      <c r="F940" s="125"/>
      <c r="G940" s="125"/>
      <c r="H940" s="478"/>
      <c r="I940" s="166"/>
      <c r="J940" s="169"/>
      <c r="K940" s="129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5.75" customHeight="1">
      <c r="A941" s="123"/>
      <c r="B941" s="123"/>
      <c r="C941" s="10"/>
      <c r="D941" s="124"/>
      <c r="E941" s="125"/>
      <c r="F941" s="125"/>
      <c r="G941" s="125"/>
      <c r="H941" s="478"/>
      <c r="I941" s="166"/>
      <c r="J941" s="169"/>
      <c r="K941" s="129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5.75" customHeight="1">
      <c r="A942" s="123"/>
      <c r="B942" s="123"/>
      <c r="C942" s="10"/>
      <c r="D942" s="124"/>
      <c r="E942" s="125"/>
      <c r="F942" s="125"/>
      <c r="G942" s="125"/>
      <c r="H942" s="478"/>
      <c r="I942" s="166"/>
      <c r="J942" s="169"/>
      <c r="K942" s="129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5.75" customHeight="1">
      <c r="A943" s="123"/>
      <c r="B943" s="123"/>
      <c r="C943" s="10"/>
      <c r="D943" s="124"/>
      <c r="E943" s="125"/>
      <c r="F943" s="125"/>
      <c r="G943" s="125"/>
      <c r="H943" s="478"/>
      <c r="I943" s="166"/>
      <c r="J943" s="169"/>
      <c r="K943" s="129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5.75" customHeight="1">
      <c r="A944" s="123"/>
      <c r="B944" s="123"/>
      <c r="C944" s="10"/>
      <c r="D944" s="124"/>
      <c r="E944" s="125"/>
      <c r="F944" s="125"/>
      <c r="G944" s="125"/>
      <c r="H944" s="478"/>
      <c r="I944" s="166"/>
      <c r="J944" s="169"/>
      <c r="K944" s="129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5.75" customHeight="1">
      <c r="A945" s="123"/>
      <c r="B945" s="123"/>
      <c r="C945" s="10"/>
      <c r="D945" s="124"/>
      <c r="E945" s="125"/>
      <c r="F945" s="125"/>
      <c r="G945" s="125"/>
      <c r="H945" s="478"/>
      <c r="I945" s="166"/>
      <c r="J945" s="169"/>
      <c r="K945" s="129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5.75" customHeight="1">
      <c r="A946" s="123"/>
      <c r="B946" s="123"/>
      <c r="C946" s="10"/>
      <c r="D946" s="124"/>
      <c r="E946" s="125"/>
      <c r="F946" s="125"/>
      <c r="G946" s="125"/>
      <c r="H946" s="478"/>
      <c r="I946" s="166"/>
      <c r="J946" s="169"/>
      <c r="K946" s="129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5.75" customHeight="1">
      <c r="A947" s="123"/>
      <c r="B947" s="123"/>
      <c r="C947" s="10"/>
      <c r="D947" s="124"/>
      <c r="E947" s="125"/>
      <c r="F947" s="125"/>
      <c r="G947" s="125"/>
      <c r="H947" s="478"/>
      <c r="I947" s="166"/>
      <c r="J947" s="169"/>
      <c r="K947" s="129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5.75" customHeight="1">
      <c r="A948" s="123"/>
      <c r="B948" s="123"/>
      <c r="C948" s="10"/>
      <c r="D948" s="124"/>
      <c r="E948" s="125"/>
      <c r="F948" s="125"/>
      <c r="G948" s="125"/>
      <c r="H948" s="478"/>
      <c r="I948" s="166"/>
      <c r="J948" s="169"/>
      <c r="K948" s="129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5.75" customHeight="1">
      <c r="A949" s="123"/>
      <c r="B949" s="123"/>
      <c r="C949" s="10"/>
      <c r="D949" s="124"/>
      <c r="E949" s="125"/>
      <c r="F949" s="125"/>
      <c r="G949" s="125"/>
      <c r="H949" s="478"/>
      <c r="I949" s="166"/>
      <c r="J949" s="169"/>
      <c r="K949" s="129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5.75" customHeight="1">
      <c r="A950" s="123"/>
      <c r="B950" s="123"/>
      <c r="C950" s="10"/>
      <c r="D950" s="124"/>
      <c r="E950" s="125"/>
      <c r="F950" s="125"/>
      <c r="G950" s="125"/>
      <c r="H950" s="478"/>
      <c r="I950" s="166"/>
      <c r="J950" s="169"/>
      <c r="K950" s="129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5.75" customHeight="1">
      <c r="A951" s="123"/>
      <c r="B951" s="123"/>
      <c r="C951" s="10"/>
      <c r="D951" s="124"/>
      <c r="E951" s="125"/>
      <c r="F951" s="125"/>
      <c r="G951" s="125"/>
      <c r="H951" s="478"/>
      <c r="I951" s="166"/>
      <c r="J951" s="169"/>
      <c r="K951" s="129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5.75" customHeight="1">
      <c r="A952" s="123"/>
      <c r="B952" s="123"/>
      <c r="C952" s="10"/>
      <c r="D952" s="124"/>
      <c r="E952" s="125"/>
      <c r="F952" s="125"/>
      <c r="G952" s="125"/>
      <c r="H952" s="478"/>
      <c r="I952" s="166"/>
      <c r="J952" s="169"/>
      <c r="K952" s="129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5.75" customHeight="1">
      <c r="A953" s="123"/>
      <c r="B953" s="123"/>
      <c r="C953" s="10"/>
      <c r="D953" s="124"/>
      <c r="E953" s="125"/>
      <c r="F953" s="125"/>
      <c r="G953" s="125"/>
      <c r="H953" s="478"/>
      <c r="I953" s="166"/>
      <c r="J953" s="169"/>
      <c r="K953" s="129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5.75" customHeight="1">
      <c r="A954" s="123"/>
      <c r="B954" s="123"/>
      <c r="C954" s="10"/>
      <c r="D954" s="124"/>
      <c r="E954" s="125"/>
      <c r="F954" s="125"/>
      <c r="G954" s="125"/>
      <c r="H954" s="478"/>
      <c r="I954" s="166"/>
      <c r="J954" s="169"/>
      <c r="K954" s="129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5.75" customHeight="1">
      <c r="A955" s="123"/>
      <c r="B955" s="123"/>
      <c r="C955" s="10"/>
      <c r="D955" s="124"/>
      <c r="E955" s="125"/>
      <c r="F955" s="125"/>
      <c r="G955" s="125"/>
      <c r="H955" s="478"/>
      <c r="I955" s="166"/>
      <c r="J955" s="169"/>
      <c r="K955" s="129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5.75" customHeight="1">
      <c r="A956" s="123"/>
      <c r="B956" s="123"/>
      <c r="C956" s="10"/>
      <c r="D956" s="124"/>
      <c r="E956" s="125"/>
      <c r="F956" s="125"/>
      <c r="G956" s="125"/>
      <c r="H956" s="478"/>
      <c r="I956" s="166"/>
      <c r="J956" s="169"/>
      <c r="K956" s="129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5.75" customHeight="1">
      <c r="A957" s="123"/>
      <c r="B957" s="123"/>
      <c r="C957" s="10"/>
      <c r="D957" s="124"/>
      <c r="E957" s="125"/>
      <c r="F957" s="125"/>
      <c r="G957" s="125"/>
      <c r="H957" s="478"/>
      <c r="I957" s="166"/>
      <c r="J957" s="169"/>
      <c r="K957" s="129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5.75" customHeight="1">
      <c r="A958" s="123"/>
      <c r="B958" s="123"/>
      <c r="C958" s="10"/>
      <c r="D958" s="124"/>
      <c r="E958" s="125"/>
      <c r="F958" s="125"/>
      <c r="G958" s="125"/>
      <c r="H958" s="478"/>
      <c r="I958" s="166"/>
      <c r="J958" s="169"/>
      <c r="K958" s="129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5.75" customHeight="1">
      <c r="A959" s="123"/>
      <c r="B959" s="123"/>
      <c r="C959" s="10"/>
      <c r="D959" s="124"/>
      <c r="E959" s="125"/>
      <c r="F959" s="125"/>
      <c r="G959" s="125"/>
      <c r="H959" s="478"/>
      <c r="I959" s="166"/>
      <c r="J959" s="169"/>
      <c r="K959" s="129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5.75" customHeight="1">
      <c r="A960" s="123"/>
      <c r="B960" s="123"/>
      <c r="C960" s="10"/>
      <c r="D960" s="124"/>
      <c r="E960" s="125"/>
      <c r="F960" s="125"/>
      <c r="G960" s="125"/>
      <c r="H960" s="478"/>
      <c r="I960" s="166"/>
      <c r="J960" s="169"/>
      <c r="K960" s="129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5.75" customHeight="1">
      <c r="A961" s="123"/>
      <c r="B961" s="123"/>
      <c r="C961" s="10"/>
      <c r="D961" s="124"/>
      <c r="E961" s="125"/>
      <c r="F961" s="125"/>
      <c r="G961" s="125"/>
      <c r="H961" s="478"/>
      <c r="I961" s="166"/>
      <c r="J961" s="169"/>
      <c r="K961" s="129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5.75" customHeight="1">
      <c r="A962" s="123"/>
      <c r="B962" s="123"/>
      <c r="C962" s="10"/>
      <c r="D962" s="124"/>
      <c r="E962" s="125"/>
      <c r="F962" s="125"/>
      <c r="G962" s="125"/>
      <c r="H962" s="478"/>
      <c r="I962" s="166"/>
      <c r="J962" s="169"/>
      <c r="K962" s="129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15.75" customHeight="1">
      <c r="A963" s="123"/>
      <c r="B963" s="123"/>
      <c r="C963" s="10"/>
      <c r="D963" s="124"/>
      <c r="E963" s="125"/>
      <c r="F963" s="125"/>
      <c r="G963" s="125"/>
      <c r="H963" s="478"/>
      <c r="I963" s="166"/>
      <c r="J963" s="169"/>
      <c r="K963" s="129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15.75" customHeight="1">
      <c r="A964" s="123"/>
      <c r="B964" s="123"/>
      <c r="C964" s="10"/>
      <c r="D964" s="124"/>
      <c r="E964" s="125"/>
      <c r="F964" s="125"/>
      <c r="G964" s="125"/>
      <c r="H964" s="478"/>
      <c r="I964" s="166"/>
      <c r="J964" s="169"/>
      <c r="K964" s="129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15.75" customHeight="1">
      <c r="A965" s="123"/>
      <c r="B965" s="123"/>
      <c r="C965" s="10"/>
      <c r="D965" s="124"/>
      <c r="E965" s="125"/>
      <c r="F965" s="125"/>
      <c r="G965" s="125"/>
      <c r="H965" s="478"/>
      <c r="I965" s="166"/>
      <c r="J965" s="169"/>
      <c r="K965" s="129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15.75" customHeight="1">
      <c r="A966" s="123"/>
      <c r="B966" s="123"/>
      <c r="C966" s="10"/>
      <c r="D966" s="124"/>
      <c r="E966" s="125"/>
      <c r="F966" s="125"/>
      <c r="G966" s="125"/>
      <c r="H966" s="478"/>
      <c r="I966" s="166"/>
      <c r="J966" s="169"/>
      <c r="K966" s="129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15.75" customHeight="1">
      <c r="A967" s="123"/>
      <c r="B967" s="123"/>
      <c r="C967" s="10"/>
      <c r="D967" s="124"/>
      <c r="E967" s="125"/>
      <c r="F967" s="125"/>
      <c r="G967" s="125"/>
      <c r="H967" s="478"/>
      <c r="I967" s="166"/>
      <c r="J967" s="169"/>
      <c r="K967" s="129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15.75" customHeight="1">
      <c r="A968" s="123"/>
      <c r="B968" s="123"/>
      <c r="C968" s="10"/>
      <c r="D968" s="124"/>
      <c r="E968" s="125"/>
      <c r="F968" s="125"/>
      <c r="G968" s="125"/>
      <c r="H968" s="478"/>
      <c r="I968" s="166"/>
      <c r="J968" s="169"/>
      <c r="K968" s="129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15.75" customHeight="1">
      <c r="A969" s="123"/>
      <c r="B969" s="123"/>
      <c r="C969" s="10"/>
      <c r="D969" s="124"/>
      <c r="E969" s="125"/>
      <c r="F969" s="125"/>
      <c r="G969" s="125"/>
      <c r="H969" s="478"/>
      <c r="I969" s="166"/>
      <c r="J969" s="169"/>
      <c r="K969" s="129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15.75" customHeight="1">
      <c r="A970" s="123"/>
      <c r="B970" s="123"/>
      <c r="C970" s="10"/>
      <c r="D970" s="124"/>
      <c r="E970" s="125"/>
      <c r="F970" s="125"/>
      <c r="G970" s="125"/>
      <c r="H970" s="478"/>
      <c r="I970" s="166"/>
      <c r="J970" s="169"/>
      <c r="K970" s="129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15.75" customHeight="1">
      <c r="A971" s="123"/>
      <c r="B971" s="123"/>
      <c r="C971" s="10"/>
      <c r="D971" s="124"/>
      <c r="E971" s="125"/>
      <c r="F971" s="125"/>
      <c r="G971" s="125"/>
      <c r="H971" s="478"/>
      <c r="I971" s="166"/>
      <c r="J971" s="169"/>
      <c r="K971" s="129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15.75" customHeight="1">
      <c r="A972" s="123"/>
      <c r="B972" s="123"/>
      <c r="C972" s="10"/>
      <c r="D972" s="124"/>
      <c r="E972" s="125"/>
      <c r="F972" s="125"/>
      <c r="G972" s="125"/>
      <c r="H972" s="478"/>
      <c r="I972" s="166"/>
      <c r="J972" s="169"/>
      <c r="K972" s="129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15.75" customHeight="1">
      <c r="A973" s="123"/>
      <c r="B973" s="123"/>
      <c r="C973" s="10"/>
      <c r="D973" s="124"/>
      <c r="E973" s="125"/>
      <c r="F973" s="125"/>
      <c r="G973" s="125"/>
      <c r="H973" s="478"/>
      <c r="I973" s="166"/>
      <c r="J973" s="169"/>
      <c r="K973" s="129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15.75" customHeight="1">
      <c r="A974" s="123"/>
      <c r="B974" s="123"/>
      <c r="C974" s="10"/>
      <c r="D974" s="124"/>
      <c r="E974" s="125"/>
      <c r="F974" s="125"/>
      <c r="G974" s="125"/>
      <c r="H974" s="478"/>
      <c r="I974" s="166"/>
      <c r="J974" s="169"/>
      <c r="K974" s="129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15.75" customHeight="1">
      <c r="A975" s="123"/>
      <c r="B975" s="123"/>
      <c r="C975" s="10"/>
      <c r="D975" s="124"/>
      <c r="E975" s="125"/>
      <c r="F975" s="125"/>
      <c r="G975" s="125"/>
      <c r="H975" s="478"/>
      <c r="I975" s="166"/>
      <c r="J975" s="169"/>
      <c r="K975" s="129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15.75" customHeight="1">
      <c r="A976" s="123"/>
      <c r="B976" s="123"/>
      <c r="C976" s="10"/>
      <c r="D976" s="124"/>
      <c r="E976" s="125"/>
      <c r="F976" s="125"/>
      <c r="G976" s="125"/>
      <c r="H976" s="478"/>
      <c r="I976" s="166"/>
      <c r="J976" s="169"/>
      <c r="K976" s="129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15.75" customHeight="1">
      <c r="A977" s="123"/>
      <c r="B977" s="123"/>
      <c r="C977" s="10"/>
      <c r="D977" s="124"/>
      <c r="E977" s="125"/>
      <c r="F977" s="125"/>
      <c r="G977" s="125"/>
      <c r="H977" s="478"/>
      <c r="I977" s="166"/>
      <c r="J977" s="169"/>
      <c r="K977" s="129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15.75" customHeight="1">
      <c r="A978" s="123"/>
      <c r="B978" s="123"/>
      <c r="C978" s="10"/>
      <c r="D978" s="124"/>
      <c r="E978" s="125"/>
      <c r="F978" s="125"/>
      <c r="G978" s="125"/>
      <c r="H978" s="478"/>
      <c r="I978" s="166"/>
      <c r="J978" s="169"/>
      <c r="K978" s="129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15.75" customHeight="1">
      <c r="A979" s="123"/>
      <c r="B979" s="123"/>
      <c r="C979" s="10"/>
      <c r="D979" s="124"/>
      <c r="E979" s="125"/>
      <c r="F979" s="125"/>
      <c r="G979" s="125"/>
      <c r="H979" s="478"/>
      <c r="I979" s="166"/>
      <c r="J979" s="169"/>
      <c r="K979" s="129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15.75" customHeight="1">
      <c r="A980" s="123"/>
      <c r="B980" s="123"/>
      <c r="C980" s="10"/>
      <c r="D980" s="124"/>
      <c r="E980" s="125"/>
      <c r="F980" s="125"/>
      <c r="G980" s="125"/>
      <c r="H980" s="478"/>
      <c r="I980" s="166"/>
      <c r="J980" s="169"/>
      <c r="K980" s="129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15.75" customHeight="1">
      <c r="A981" s="123"/>
      <c r="B981" s="123"/>
      <c r="C981" s="10"/>
      <c r="D981" s="124"/>
      <c r="E981" s="125"/>
      <c r="F981" s="125"/>
      <c r="G981" s="125"/>
      <c r="H981" s="478"/>
      <c r="I981" s="166"/>
      <c r="J981" s="169"/>
      <c r="K981" s="129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15.75" customHeight="1">
      <c r="A982" s="123"/>
      <c r="B982" s="123"/>
      <c r="C982" s="10"/>
      <c r="D982" s="124"/>
      <c r="E982" s="125"/>
      <c r="F982" s="125"/>
      <c r="G982" s="125"/>
      <c r="H982" s="478"/>
      <c r="I982" s="166"/>
      <c r="J982" s="169"/>
      <c r="K982" s="129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15.75" customHeight="1">
      <c r="A983" s="123"/>
      <c r="B983" s="123"/>
      <c r="C983" s="10"/>
      <c r="D983" s="124"/>
      <c r="E983" s="125"/>
      <c r="F983" s="125"/>
      <c r="G983" s="125"/>
      <c r="H983" s="478"/>
      <c r="I983" s="166"/>
      <c r="J983" s="169"/>
      <c r="K983" s="129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ht="15.75" customHeight="1">
      <c r="A984" s="123"/>
      <c r="B984" s="123"/>
      <c r="C984" s="10"/>
      <c r="D984" s="124"/>
      <c r="E984" s="125"/>
      <c r="F984" s="125"/>
      <c r="G984" s="125"/>
      <c r="H984" s="478"/>
      <c r="I984" s="166"/>
      <c r="J984" s="169"/>
      <c r="K984" s="129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ht="15.75" customHeight="1">
      <c r="A985" s="123"/>
      <c r="B985" s="123"/>
      <c r="C985" s="10"/>
      <c r="D985" s="124"/>
      <c r="E985" s="125"/>
      <c r="F985" s="125"/>
      <c r="G985" s="125"/>
      <c r="H985" s="478"/>
      <c r="I985" s="166"/>
      <c r="J985" s="169"/>
      <c r="K985" s="129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ht="15.75" customHeight="1">
      <c r="A986" s="123"/>
      <c r="B986" s="123"/>
      <c r="C986" s="10"/>
      <c r="D986" s="124"/>
      <c r="E986" s="125"/>
      <c r="F986" s="125"/>
      <c r="G986" s="125"/>
      <c r="H986" s="478"/>
      <c r="I986" s="166"/>
      <c r="J986" s="169"/>
      <c r="K986" s="129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ht="15.75" customHeight="1">
      <c r="A987" s="123"/>
      <c r="B987" s="123"/>
      <c r="C987" s="10"/>
      <c r="D987" s="124"/>
      <c r="E987" s="125"/>
      <c r="F987" s="125"/>
      <c r="G987" s="125"/>
      <c r="H987" s="478"/>
      <c r="I987" s="166"/>
      <c r="J987" s="169"/>
      <c r="K987" s="129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ht="15.75" customHeight="1">
      <c r="A988" s="123"/>
      <c r="B988" s="123"/>
      <c r="C988" s="10"/>
      <c r="D988" s="124"/>
      <c r="E988" s="125"/>
      <c r="F988" s="125"/>
      <c r="G988" s="125"/>
      <c r="H988" s="478"/>
      <c r="I988" s="166"/>
      <c r="J988" s="169"/>
      <c r="K988" s="129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ht="15.75" customHeight="1">
      <c r="A989" s="123"/>
      <c r="B989" s="123"/>
      <c r="C989" s="10"/>
      <c r="D989" s="124"/>
      <c r="E989" s="125"/>
      <c r="F989" s="125"/>
      <c r="G989" s="125"/>
      <c r="H989" s="478"/>
      <c r="I989" s="166"/>
      <c r="J989" s="169"/>
      <c r="K989" s="129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ht="15.75" customHeight="1">
      <c r="A990" s="123"/>
      <c r="B990" s="123"/>
      <c r="C990" s="10"/>
      <c r="D990" s="124"/>
      <c r="E990" s="125"/>
      <c r="F990" s="125"/>
      <c r="G990" s="125"/>
      <c r="H990" s="478"/>
      <c r="I990" s="166"/>
      <c r="J990" s="169"/>
      <c r="K990" s="129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ht="15.75" customHeight="1">
      <c r="A991" s="123"/>
      <c r="B991" s="123"/>
      <c r="C991" s="10"/>
      <c r="D991" s="124"/>
      <c r="E991" s="125"/>
      <c r="F991" s="125"/>
      <c r="G991" s="125"/>
      <c r="H991" s="478"/>
      <c r="I991" s="166"/>
      <c r="J991" s="169"/>
      <c r="K991" s="129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ht="15.75" customHeight="1">
      <c r="A992" s="123"/>
      <c r="B992" s="123"/>
      <c r="C992" s="10"/>
      <c r="D992" s="124"/>
      <c r="E992" s="125"/>
      <c r="F992" s="125"/>
      <c r="G992" s="125"/>
      <c r="H992" s="478"/>
      <c r="I992" s="166"/>
      <c r="J992" s="169"/>
      <c r="K992" s="129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ht="15.75" customHeight="1">
      <c r="A993" s="123"/>
      <c r="B993" s="123"/>
      <c r="C993" s="10"/>
      <c r="D993" s="124"/>
      <c r="E993" s="125"/>
      <c r="F993" s="125"/>
      <c r="G993" s="125"/>
      <c r="H993" s="478"/>
      <c r="I993" s="166"/>
      <c r="J993" s="169"/>
      <c r="K993" s="129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ht="15.75" customHeight="1">
      <c r="A994" s="123"/>
      <c r="B994" s="123"/>
      <c r="C994" s="10"/>
      <c r="D994" s="124"/>
      <c r="E994" s="125"/>
      <c r="F994" s="125"/>
      <c r="G994" s="125"/>
      <c r="H994" s="478"/>
      <c r="I994" s="166"/>
      <c r="J994" s="169"/>
      <c r="K994" s="129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ht="15.75" customHeight="1">
      <c r="A995" s="123"/>
      <c r="B995" s="123"/>
      <c r="C995" s="10"/>
      <c r="D995" s="124"/>
      <c r="E995" s="125"/>
      <c r="F995" s="125"/>
      <c r="G995" s="125"/>
      <c r="H995" s="478"/>
      <c r="I995" s="166"/>
      <c r="J995" s="169"/>
      <c r="K995" s="129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ht="15.75" customHeight="1">
      <c r="A996" s="123"/>
      <c r="B996" s="123"/>
      <c r="C996" s="10"/>
      <c r="D996" s="124"/>
      <c r="E996" s="125"/>
      <c r="F996" s="125"/>
      <c r="G996" s="125"/>
      <c r="H996" s="478"/>
      <c r="I996" s="166"/>
      <c r="J996" s="169"/>
      <c r="K996" s="129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ht="15.75" customHeight="1">
      <c r="A997" s="123"/>
      <c r="B997" s="123"/>
      <c r="C997" s="10"/>
      <c r="D997" s="124"/>
      <c r="E997" s="125"/>
      <c r="F997" s="125"/>
      <c r="G997" s="125"/>
      <c r="H997" s="478"/>
      <c r="I997" s="166"/>
      <c r="J997" s="169"/>
      <c r="K997" s="129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ht="15.75" customHeight="1">
      <c r="A998" s="123"/>
      <c r="B998" s="123"/>
      <c r="C998" s="10"/>
      <c r="D998" s="124"/>
      <c r="E998" s="125"/>
      <c r="F998" s="125"/>
      <c r="G998" s="125"/>
      <c r="H998" s="478"/>
      <c r="I998" s="166"/>
      <c r="J998" s="169"/>
      <c r="K998" s="129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ht="15.75" customHeight="1">
      <c r="A999" s="123"/>
      <c r="B999" s="123"/>
      <c r="C999" s="10"/>
      <c r="D999" s="124"/>
      <c r="E999" s="125"/>
      <c r="F999" s="125"/>
      <c r="G999" s="125"/>
      <c r="H999" s="478"/>
      <c r="I999" s="166"/>
      <c r="J999" s="169"/>
      <c r="K999" s="129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ht="15.75" customHeight="1">
      <c r="A1000" s="123"/>
      <c r="B1000" s="123"/>
      <c r="C1000" s="10"/>
      <c r="D1000" s="124"/>
      <c r="E1000" s="125"/>
      <c r="F1000" s="125"/>
      <c r="G1000" s="125"/>
      <c r="H1000" s="478"/>
      <c r="I1000" s="166"/>
      <c r="J1000" s="169"/>
      <c r="K1000" s="129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customSheetViews>
    <customSheetView guid="{F465A061-9A41-48E1-8CC6-5990C98916DA}" filter="1" showAutoFilter="1">
      <autoFilter ref="$A$10:$L$612"/>
    </customSheetView>
  </customSheetViews>
  <mergeCells count="1">
    <mergeCell ref="A8:L8"/>
  </mergeCells>
  <conditionalFormatting sqref="B12">
    <cfRule type="colorScale" priority="1">
      <colorScale>
        <cfvo type="min"/>
        <cfvo type="max"/>
        <color rgb="FFF8696B"/>
        <color rgb="FFFCFCFF"/>
      </colorScale>
    </cfRule>
  </conditionalFormatting>
  <conditionalFormatting sqref="B12">
    <cfRule type="colorScale" priority="2">
      <colorScale>
        <cfvo type="min"/>
        <cfvo type="max"/>
        <color rgb="FF63BE7B"/>
        <color rgb="FFFFEF9C"/>
      </colorScale>
    </cfRule>
  </conditionalFormatting>
  <conditionalFormatting sqref="B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">
    <cfRule type="colorScale" priority="4">
      <colorScale>
        <cfvo type="min"/>
        <cfvo type="max"/>
        <color rgb="FFF8696B"/>
        <color rgb="FFFCFCFF"/>
      </colorScale>
    </cfRule>
  </conditionalFormatting>
  <conditionalFormatting sqref="B16">
    <cfRule type="colorScale" priority="5">
      <colorScale>
        <cfvo type="min"/>
        <cfvo type="max"/>
        <color rgb="FF63BE7B"/>
        <color rgb="FFFFEF9C"/>
      </colorScale>
    </cfRule>
  </conditionalFormatting>
  <conditionalFormatting sqref="B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">
    <cfRule type="colorScale" priority="7">
      <colorScale>
        <cfvo type="min"/>
        <cfvo type="max"/>
        <color rgb="FFF8696B"/>
        <color rgb="FFFCFCFF"/>
      </colorScale>
    </cfRule>
  </conditionalFormatting>
  <conditionalFormatting sqref="B21">
    <cfRule type="colorScale" priority="8">
      <colorScale>
        <cfvo type="min"/>
        <cfvo type="max"/>
        <color rgb="FF63BE7B"/>
        <color rgb="FFFFEF9C"/>
      </colorScale>
    </cfRule>
  </conditionalFormatting>
  <conditionalFormatting sqref="B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 B13:B15 B17:B20 B22:B58">
    <cfRule type="colorScale" priority="10">
      <colorScale>
        <cfvo type="min"/>
        <cfvo type="max"/>
        <color rgb="FFF8696B"/>
        <color rgb="FFFCFCFF"/>
      </colorScale>
    </cfRule>
  </conditionalFormatting>
  <conditionalFormatting sqref="B11 B13:B15 B17:B20 B22:B58">
    <cfRule type="colorScale" priority="11">
      <colorScale>
        <cfvo type="min"/>
        <cfvo type="max"/>
        <color rgb="FF63BE7B"/>
        <color rgb="FFFFEF9C"/>
      </colorScale>
    </cfRule>
  </conditionalFormatting>
  <conditionalFormatting sqref="B11 B13:B15 B17:B20 B22:B5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9">
    <cfRule type="colorScale" priority="13">
      <colorScale>
        <cfvo type="min"/>
        <cfvo type="max"/>
        <color rgb="FFF8696B"/>
        <color rgb="FFFCFCFF"/>
      </colorScale>
    </cfRule>
  </conditionalFormatting>
  <conditionalFormatting sqref="B59">
    <cfRule type="colorScale" priority="14">
      <colorScale>
        <cfvo type="min"/>
        <cfvo type="max"/>
        <color rgb="FF63BE7B"/>
        <color rgb="FFFFEF9C"/>
      </colorScale>
    </cfRule>
  </conditionalFormatting>
  <conditionalFormatting sqref="B5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9">
    <cfRule type="colorScale" priority="16">
      <colorScale>
        <cfvo type="min"/>
        <cfvo type="max"/>
        <color rgb="FF63BE7B"/>
        <color rgb="FFFFEF9C"/>
      </colorScale>
    </cfRule>
  </conditionalFormatting>
  <conditionalFormatting sqref="B60:B63">
    <cfRule type="colorScale" priority="17">
      <colorScale>
        <cfvo type="min"/>
        <cfvo type="max"/>
        <color rgb="FFF8696B"/>
        <color rgb="FFFCFCFF"/>
      </colorScale>
    </cfRule>
  </conditionalFormatting>
  <conditionalFormatting sqref="B60:B63">
    <cfRule type="colorScale" priority="18">
      <colorScale>
        <cfvo type="min"/>
        <cfvo type="max"/>
        <color rgb="FF63BE7B"/>
        <color rgb="FFFFEF9C"/>
      </colorScale>
    </cfRule>
  </conditionalFormatting>
  <conditionalFormatting sqref="B60:B6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0:B63">
    <cfRule type="colorScale" priority="20">
      <colorScale>
        <cfvo type="min"/>
        <cfvo type="max"/>
        <color rgb="FF63BE7B"/>
        <color rgb="FFFFEF9C"/>
      </colorScale>
    </cfRule>
  </conditionalFormatting>
  <conditionalFormatting sqref="B64:B67">
    <cfRule type="colorScale" priority="21">
      <colorScale>
        <cfvo type="min"/>
        <cfvo type="max"/>
        <color rgb="FFF8696B"/>
        <color rgb="FFFCFCFF"/>
      </colorScale>
    </cfRule>
  </conditionalFormatting>
  <conditionalFormatting sqref="B64:B67">
    <cfRule type="colorScale" priority="22">
      <colorScale>
        <cfvo type="min"/>
        <cfvo type="max"/>
        <color rgb="FF63BE7B"/>
        <color rgb="FFFFEF9C"/>
      </colorScale>
    </cfRule>
  </conditionalFormatting>
  <conditionalFormatting sqref="B64:B6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4:B67">
    <cfRule type="colorScale" priority="24">
      <colorScale>
        <cfvo type="min"/>
        <cfvo type="max"/>
        <color rgb="FF63BE7B"/>
        <color rgb="FFFFEF9C"/>
      </colorScale>
    </cfRule>
  </conditionalFormatting>
  <conditionalFormatting sqref="B68:B69 B81">
    <cfRule type="colorScale" priority="25">
      <colorScale>
        <cfvo type="min"/>
        <cfvo type="max"/>
        <color rgb="FFF8696B"/>
        <color rgb="FFFCFCFF"/>
      </colorScale>
    </cfRule>
  </conditionalFormatting>
  <conditionalFormatting sqref="B68:B69 B81">
    <cfRule type="colorScale" priority="26">
      <colorScale>
        <cfvo type="min"/>
        <cfvo type="max"/>
        <color rgb="FF63BE7B"/>
        <color rgb="FFFFEF9C"/>
      </colorScale>
    </cfRule>
  </conditionalFormatting>
  <conditionalFormatting sqref="B68:B69 B8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8:B69 B81">
    <cfRule type="colorScale" priority="28">
      <colorScale>
        <cfvo type="min"/>
        <cfvo type="max"/>
        <color rgb="FF63BE7B"/>
        <color rgb="FFFFEF9C"/>
      </colorScale>
    </cfRule>
  </conditionalFormatting>
  <conditionalFormatting sqref="B70:B74">
    <cfRule type="colorScale" priority="29">
      <colorScale>
        <cfvo type="min"/>
        <cfvo type="max"/>
        <color rgb="FFF8696B"/>
        <color rgb="FFFCFCFF"/>
      </colorScale>
    </cfRule>
  </conditionalFormatting>
  <conditionalFormatting sqref="B70:B74">
    <cfRule type="colorScale" priority="30">
      <colorScale>
        <cfvo type="min"/>
        <cfvo type="max"/>
        <color rgb="FF63BE7B"/>
        <color rgb="FFFFEF9C"/>
      </colorScale>
    </cfRule>
  </conditionalFormatting>
  <conditionalFormatting sqref="B70:B7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0:B74">
    <cfRule type="colorScale" priority="32">
      <colorScale>
        <cfvo type="min"/>
        <cfvo type="max"/>
        <color rgb="FF63BE7B"/>
        <color rgb="FFFFEF9C"/>
      </colorScale>
    </cfRule>
  </conditionalFormatting>
  <conditionalFormatting sqref="B75:B80 C75">
    <cfRule type="colorScale" priority="33">
      <colorScale>
        <cfvo type="min"/>
        <cfvo type="max"/>
        <color rgb="FF63BE7B"/>
        <color rgb="FFFFEF9C"/>
      </colorScale>
    </cfRule>
  </conditionalFormatting>
  <conditionalFormatting sqref="B75:B80">
    <cfRule type="colorScale" priority="34">
      <colorScale>
        <cfvo type="min"/>
        <cfvo type="max"/>
        <color rgb="FFF8696B"/>
        <color rgb="FFFCFCFF"/>
      </colorScale>
    </cfRule>
  </conditionalFormatting>
  <conditionalFormatting sqref="B75:B80">
    <cfRule type="colorScale" priority="35">
      <colorScale>
        <cfvo type="min"/>
        <cfvo type="max"/>
        <color rgb="FF63BE7B"/>
        <color rgb="FFFFEF9C"/>
      </colorScale>
    </cfRule>
  </conditionalFormatting>
  <conditionalFormatting sqref="B75:B8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2:B83">
    <cfRule type="colorScale" priority="37">
      <colorScale>
        <cfvo type="min"/>
        <cfvo type="max"/>
        <color rgb="FFF8696B"/>
        <color rgb="FFFCFCFF"/>
      </colorScale>
    </cfRule>
  </conditionalFormatting>
  <conditionalFormatting sqref="B82:B83">
    <cfRule type="colorScale" priority="38">
      <colorScale>
        <cfvo type="min"/>
        <cfvo type="max"/>
        <color rgb="FF63BE7B"/>
        <color rgb="FFFFEF9C"/>
      </colorScale>
    </cfRule>
  </conditionalFormatting>
  <conditionalFormatting sqref="B82:B8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2:B83">
    <cfRule type="colorScale" priority="40">
      <colorScale>
        <cfvo type="min"/>
        <cfvo type="max"/>
        <color rgb="FF63BE7B"/>
        <color rgb="FFFFEF9C"/>
      </colorScale>
    </cfRule>
  </conditionalFormatting>
  <conditionalFormatting sqref="B83 B85:B123">
    <cfRule type="colorScale" priority="41">
      <colorScale>
        <cfvo type="min"/>
        <cfvo type="max"/>
        <color rgb="FFF8696B"/>
        <color rgb="FFFCFCFF"/>
      </colorScale>
    </cfRule>
  </conditionalFormatting>
  <conditionalFormatting sqref="B83 B85:B123">
    <cfRule type="colorScale" priority="42">
      <colorScale>
        <cfvo type="min"/>
        <cfvo type="max"/>
        <color rgb="FF63BE7B"/>
        <color rgb="FFFFEF9C"/>
      </colorScale>
    </cfRule>
  </conditionalFormatting>
  <conditionalFormatting sqref="B83 B85:B12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 B85:B123">
    <cfRule type="colorScale" priority="44">
      <colorScale>
        <cfvo type="min"/>
        <cfvo type="max"/>
        <color rgb="FF63BE7B"/>
        <color rgb="FFFFEF9C"/>
      </colorScale>
    </cfRule>
  </conditionalFormatting>
  <conditionalFormatting sqref="B10 B627:B1000">
    <cfRule type="colorScale" priority="45">
      <colorScale>
        <cfvo type="min"/>
        <cfvo type="max"/>
        <color rgb="FFF8696B"/>
        <color rgb="FFFCFCFF"/>
      </colorScale>
    </cfRule>
  </conditionalFormatting>
  <conditionalFormatting sqref="B12:C12">
    <cfRule type="colorScale" priority="46">
      <colorScale>
        <cfvo type="min"/>
        <cfvo type="max"/>
        <color rgb="FF63BE7B"/>
        <color rgb="FFFFEF9C"/>
      </colorScale>
    </cfRule>
  </conditionalFormatting>
  <conditionalFormatting sqref="B16:C16">
    <cfRule type="colorScale" priority="47">
      <colorScale>
        <cfvo type="min"/>
        <cfvo type="max"/>
        <color rgb="FF63BE7B"/>
        <color rgb="FFFFEF9C"/>
      </colorScale>
    </cfRule>
  </conditionalFormatting>
  <conditionalFormatting sqref="B21:C21">
    <cfRule type="colorScale" priority="48">
      <colorScale>
        <cfvo type="min"/>
        <cfvo type="max"/>
        <color rgb="FF63BE7B"/>
        <color rgb="FFFFEF9C"/>
      </colorScale>
    </cfRule>
  </conditionalFormatting>
  <conditionalFormatting sqref="B10:G10">
    <cfRule type="colorScale" priority="49">
      <colorScale>
        <cfvo type="min"/>
        <cfvo type="max"/>
        <color rgb="FF63BE7B"/>
        <color rgb="FFFFEF9C"/>
      </colorScale>
    </cfRule>
  </conditionalFormatting>
  <conditionalFormatting sqref="B11:C11 B13:C15 B17:C20 B22:C31 B32:B58 C32:C74">
    <cfRule type="colorScale" priority="50">
      <colorScale>
        <cfvo type="min"/>
        <cfvo type="max"/>
        <color rgb="FF63BE7B"/>
        <color rgb="FFFFEF9C"/>
      </colorScale>
    </cfRule>
  </conditionalFormatting>
  <conditionalFormatting sqref="C76:C131">
    <cfRule type="colorScale" priority="51">
      <colorScale>
        <cfvo type="min"/>
        <cfvo type="max"/>
        <color rgb="FF63BE7B"/>
        <color rgb="FFFFEF9C"/>
      </colorScale>
    </cfRule>
  </conditionalFormatting>
  <conditionalFormatting sqref="B10:G10 B627:H1000 C613:H626">
    <cfRule type="colorScale" priority="52">
      <colorScale>
        <cfvo type="min"/>
        <cfvo type="max"/>
        <color rgb="FF63BE7B"/>
        <color rgb="FFFFEF9C"/>
      </colorScale>
    </cfRule>
  </conditionalFormatting>
  <conditionalFormatting sqref="B10:G10 I10:J10">
    <cfRule type="colorScale" priority="53">
      <colorScale>
        <cfvo type="min"/>
        <cfvo type="max"/>
        <color rgb="FF63BE7B"/>
        <color rgb="FFFFEF9C"/>
      </colorScale>
    </cfRule>
  </conditionalFormatting>
  <conditionalFormatting sqref="K10">
    <cfRule type="colorScale" priority="54">
      <colorScale>
        <cfvo type="min"/>
        <cfvo type="max"/>
        <color rgb="FF63BE7B"/>
        <color rgb="FFFFEF9C"/>
      </colorScale>
    </cfRule>
  </conditionalFormatting>
  <conditionalFormatting sqref="L10">
    <cfRule type="colorScale" priority="55">
      <colorScale>
        <cfvo type="min"/>
        <cfvo type="max"/>
        <color rgb="FF63BE7B"/>
        <color rgb="FFFFEF9C"/>
      </colorScale>
    </cfRule>
  </conditionalFormatting>
  <printOptions/>
  <pageMargins bottom="0.236220472440945" footer="0.0" header="0.0" left="0.38" right="0.2" top="0.15748031496063"/>
  <pageSetup paperSize="9" scale="80" orientation="landscape"/>
  <headerFooter>
    <oddHeader/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4.43" defaultRowHeight="15.0"/>
  <cols>
    <col customWidth="1" min="1" max="1" width="6.29"/>
    <col customWidth="1" min="2" max="2" width="22.14"/>
    <col customWidth="1" min="3" max="3" width="31.71"/>
    <col customWidth="1" min="4" max="4" width="6.86"/>
    <col customWidth="1" min="5" max="5" width="9.29"/>
    <col customWidth="1" min="6" max="7" width="11.86"/>
    <col customWidth="1" min="8" max="8" width="12.86"/>
    <col customWidth="1" min="9" max="9" width="36.86"/>
    <col customWidth="1" min="10" max="11" width="9.14"/>
    <col customWidth="1" min="12" max="12" width="20.43"/>
    <col customWidth="1" min="13" max="26" width="8.71"/>
  </cols>
  <sheetData>
    <row r="1" ht="33.75" customHeight="1">
      <c r="A1" s="171"/>
      <c r="B1" s="171"/>
      <c r="C1" s="173" t="s">
        <v>232</v>
      </c>
      <c r="H1" s="174"/>
      <c r="I1" s="171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ht="29.25" customHeight="1">
      <c r="A2" s="171"/>
      <c r="B2" s="171"/>
      <c r="C2" s="171"/>
      <c r="D2" s="171"/>
      <c r="E2" s="174"/>
      <c r="F2" s="174"/>
      <c r="G2" s="174"/>
      <c r="H2" s="176">
        <f>+SUBTOTAL(9,$H$4:$H$63)</f>
        <v>14366.13922</v>
      </c>
      <c r="I2" s="171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ht="54.0" customHeight="1">
      <c r="A3" s="177" t="s">
        <v>3</v>
      </c>
      <c r="B3" s="178" t="s">
        <v>197</v>
      </c>
      <c r="C3" s="178" t="s">
        <v>48</v>
      </c>
      <c r="D3" s="178" t="s">
        <v>32</v>
      </c>
      <c r="E3" s="179" t="s">
        <v>233</v>
      </c>
      <c r="F3" s="180" t="s">
        <v>71</v>
      </c>
      <c r="G3" s="180" t="s">
        <v>72</v>
      </c>
      <c r="H3" s="181" t="s">
        <v>234</v>
      </c>
      <c r="I3" s="182" t="s">
        <v>59</v>
      </c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ht="29.25" customHeight="1">
      <c r="A4" s="183">
        <f t="shared" ref="A4:A17" si="1">+ROW()-3</f>
        <v>1</v>
      </c>
      <c r="B4" s="184" t="s">
        <v>107</v>
      </c>
      <c r="C4" s="184" t="s">
        <v>235</v>
      </c>
      <c r="D4" s="185" t="s">
        <v>236</v>
      </c>
      <c r="E4" s="185">
        <v>3.0</v>
      </c>
      <c r="F4" s="185">
        <f>+SUMIF('NHẬP LIỆU'!$E:$E,'VẬT TƯ'!B4,'NHẬP LIỆU'!$K:$K)</f>
        <v>446</v>
      </c>
      <c r="G4" s="185">
        <f>+SUMIF('NHẬP LIỆU'!$E:$E,'VẬT TƯ'!B4,'NHẬP LIỆU'!$L:$L)</f>
        <v>447</v>
      </c>
      <c r="H4" s="186">
        <f t="shared" ref="H4:H17" si="2">+E4+F4-G4</f>
        <v>2</v>
      </c>
      <c r="I4" s="187"/>
      <c r="J4" s="175"/>
      <c r="K4" s="175"/>
      <c r="L4" s="175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</row>
    <row r="5" ht="27.75" customHeight="1">
      <c r="A5" s="189">
        <f t="shared" si="1"/>
        <v>2</v>
      </c>
      <c r="B5" s="190" t="s">
        <v>127</v>
      </c>
      <c r="C5" s="190" t="s">
        <v>238</v>
      </c>
      <c r="D5" s="191" t="s">
        <v>236</v>
      </c>
      <c r="E5" s="191">
        <v>0.0</v>
      </c>
      <c r="F5" s="191">
        <f>+SUMIF('NHẬP LIỆU'!$E:$E,'VẬT TƯ'!B5,'NHẬP LIỆU'!$K:$K)</f>
        <v>712</v>
      </c>
      <c r="G5" s="191">
        <f>+SUMIF('NHẬP LIỆU'!$E:$E,'VẬT TƯ'!B5,'NHẬP LIỆU'!$L:$L)</f>
        <v>662</v>
      </c>
      <c r="H5" s="186">
        <f t="shared" si="2"/>
        <v>50</v>
      </c>
      <c r="I5" s="192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ht="26.25" customHeight="1">
      <c r="A6" s="189">
        <f t="shared" si="1"/>
        <v>3</v>
      </c>
      <c r="B6" s="190" t="s">
        <v>156</v>
      </c>
      <c r="C6" s="190" t="s">
        <v>240</v>
      </c>
      <c r="D6" s="191" t="s">
        <v>241</v>
      </c>
      <c r="E6" s="191">
        <v>0.0</v>
      </c>
      <c r="F6" s="191">
        <f>+SUMIF('NHẬP LIỆU'!$E:$E,'VẬT TƯ'!B6,'NHẬP LIỆU'!$K:$K)</f>
        <v>1200</v>
      </c>
      <c r="G6" s="191">
        <f>+SUMIF('NHẬP LIỆU'!$E:$E,'VẬT TƯ'!B6,'NHẬP LIỆU'!$L:$L)</f>
        <v>1200</v>
      </c>
      <c r="H6" s="186">
        <f t="shared" si="2"/>
        <v>0</v>
      </c>
      <c r="I6" s="192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ht="26.25" customHeight="1">
      <c r="A7" s="189">
        <f t="shared" si="1"/>
        <v>4</v>
      </c>
      <c r="B7" s="190" t="s">
        <v>182</v>
      </c>
      <c r="C7" s="190" t="s">
        <v>244</v>
      </c>
      <c r="D7" s="191" t="s">
        <v>241</v>
      </c>
      <c r="E7" s="191">
        <v>0.0</v>
      </c>
      <c r="F7" s="191">
        <f>+SUMIF('NHẬP LIỆU'!$E:$E,'VẬT TƯ'!B7,'NHẬP LIỆU'!$K:$K)</f>
        <v>34000</v>
      </c>
      <c r="G7" s="191">
        <f>+SUMIF('NHẬP LIỆU'!$E:$E,'VẬT TƯ'!B7,'NHẬP LIỆU'!$L:$L)</f>
        <v>24702</v>
      </c>
      <c r="H7" s="186">
        <f t="shared" si="2"/>
        <v>9298</v>
      </c>
      <c r="I7" s="192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ht="26.25" customHeight="1">
      <c r="A8" s="189">
        <f t="shared" si="1"/>
        <v>5</v>
      </c>
      <c r="B8" s="190" t="s">
        <v>245</v>
      </c>
      <c r="C8" s="190" t="s">
        <v>246</v>
      </c>
      <c r="D8" s="191" t="s">
        <v>241</v>
      </c>
      <c r="E8" s="191">
        <v>0.0</v>
      </c>
      <c r="F8" s="191">
        <f>+SUMIF('NHẬP LIỆU'!$E:$E,'VẬT TƯ'!B8,'NHẬP LIỆU'!$K:$K)</f>
        <v>260</v>
      </c>
      <c r="G8" s="191">
        <f>+SUMIF('NHẬP LIỆU'!$E:$E,'VẬT TƯ'!B8,'NHẬP LIỆU'!$L:$L)</f>
        <v>260</v>
      </c>
      <c r="H8" s="186">
        <f t="shared" si="2"/>
        <v>0</v>
      </c>
      <c r="I8" s="192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ht="26.25" customHeight="1">
      <c r="A9" s="189">
        <f t="shared" si="1"/>
        <v>6</v>
      </c>
      <c r="B9" s="190" t="s">
        <v>183</v>
      </c>
      <c r="C9" s="190" t="s">
        <v>247</v>
      </c>
      <c r="D9" s="191" t="s">
        <v>241</v>
      </c>
      <c r="E9" s="191">
        <v>0.0</v>
      </c>
      <c r="F9" s="191">
        <f>+SUMIF('NHẬP LIỆU'!$E:$E,'VẬT TƯ'!B9,'NHẬP LIỆU'!$K:$K)</f>
        <v>14000</v>
      </c>
      <c r="G9" s="191">
        <f>+SUMIF('NHẬP LIỆU'!$E:$E,'VẬT TƯ'!B9,'NHẬP LIỆU'!$L:$L)</f>
        <v>13850</v>
      </c>
      <c r="H9" s="186">
        <f t="shared" si="2"/>
        <v>150</v>
      </c>
      <c r="I9" s="192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ht="26.25" customHeight="1">
      <c r="A10" s="189">
        <f t="shared" si="1"/>
        <v>7</v>
      </c>
      <c r="B10" s="190" t="s">
        <v>184</v>
      </c>
      <c r="C10" s="190" t="s">
        <v>248</v>
      </c>
      <c r="D10" s="191" t="s">
        <v>241</v>
      </c>
      <c r="E10" s="191">
        <v>0.0</v>
      </c>
      <c r="F10" s="191">
        <f>+SUMIF('NHẬP LIỆU'!$E:$E,'VẬT TƯ'!B10,'NHẬP LIỆU'!$K:$K)</f>
        <v>16500</v>
      </c>
      <c r="G10" s="191">
        <f>+SUMIF('NHẬP LIỆU'!$E:$E,'VẬT TƯ'!B10,'NHẬP LIỆU'!$L:$L)</f>
        <v>14729</v>
      </c>
      <c r="H10" s="186">
        <f t="shared" si="2"/>
        <v>1771</v>
      </c>
      <c r="I10" s="192"/>
      <c r="J10" s="175"/>
      <c r="K10" s="175">
        <f>1.1*1.1*0.23</f>
        <v>0.2783</v>
      </c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ht="26.25" customHeight="1">
      <c r="A11" s="189">
        <f t="shared" si="1"/>
        <v>8</v>
      </c>
      <c r="B11" s="190" t="s">
        <v>204</v>
      </c>
      <c r="C11" s="190" t="s">
        <v>250</v>
      </c>
      <c r="D11" s="191" t="s">
        <v>241</v>
      </c>
      <c r="E11" s="191">
        <v>0.0</v>
      </c>
      <c r="F11" s="191">
        <f>+SUMIF('NHẬP LIỆU'!$E:$E,'VẬT TƯ'!B11,'NHẬP LIỆU'!$K:$K)</f>
        <v>5000</v>
      </c>
      <c r="G11" s="191">
        <f>+SUMIF('NHẬP LIỆU'!$E:$E,'VẬT TƯ'!B11,'NHẬP LIỆU'!$L:$L)</f>
        <v>3605</v>
      </c>
      <c r="H11" s="186">
        <f t="shared" si="2"/>
        <v>1395</v>
      </c>
      <c r="I11" s="192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ht="26.25" customHeight="1">
      <c r="A12" s="189">
        <f t="shared" si="1"/>
        <v>9</v>
      </c>
      <c r="B12" s="190" t="s">
        <v>97</v>
      </c>
      <c r="C12" s="190" t="s">
        <v>252</v>
      </c>
      <c r="D12" s="191" t="s">
        <v>241</v>
      </c>
      <c r="E12" s="191">
        <v>0.0</v>
      </c>
      <c r="F12" s="191">
        <f>+SUMIF('NHẬP LIỆU'!$E:$E,'VẬT TƯ'!B12,'NHẬP LIỆU'!$K:$K)</f>
        <v>436</v>
      </c>
      <c r="G12" s="191">
        <f>+SUMIF('NHẬP LIỆU'!$E:$E,'VẬT TƯ'!B12,'NHẬP LIỆU'!$L:$L)</f>
        <v>370</v>
      </c>
      <c r="H12" s="186">
        <f t="shared" si="2"/>
        <v>66</v>
      </c>
      <c r="I12" s="190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ht="26.25" customHeight="1">
      <c r="A13" s="189">
        <f t="shared" si="1"/>
        <v>10</v>
      </c>
      <c r="B13" s="190" t="s">
        <v>115</v>
      </c>
      <c r="C13" s="190" t="s">
        <v>253</v>
      </c>
      <c r="D13" s="191" t="s">
        <v>206</v>
      </c>
      <c r="E13" s="191">
        <v>36.62</v>
      </c>
      <c r="F13" s="191">
        <f>+SUMIF('NHẬP LIỆU'!$E:$E,'VẬT TƯ'!B13,'NHẬP LIỆU'!$K:$K)</f>
        <v>640.2</v>
      </c>
      <c r="G13" s="191">
        <f>+SUMIF('NHẬP LIỆU'!$E:$E,'VẬT TƯ'!B13,'NHẬP LIỆU'!$L:$L)</f>
        <v>566.62875</v>
      </c>
      <c r="H13" s="186">
        <f t="shared" si="2"/>
        <v>110.19125</v>
      </c>
      <c r="I13" s="192" t="s">
        <v>254</v>
      </c>
      <c r="J13" s="175"/>
      <c r="K13" s="194">
        <f>+'VẬT TƯ'!$H13/4.4</f>
        <v>25.04346591</v>
      </c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26.25" customHeight="1">
      <c r="A14" s="189">
        <f t="shared" si="1"/>
        <v>11</v>
      </c>
      <c r="B14" s="190" t="s">
        <v>110</v>
      </c>
      <c r="C14" s="190" t="s">
        <v>255</v>
      </c>
      <c r="D14" s="191" t="s">
        <v>206</v>
      </c>
      <c r="E14" s="191">
        <v>0.0</v>
      </c>
      <c r="F14" s="191">
        <f>+SUMIF('NHẬP LIỆU'!$E:$E,'VẬT TƯ'!B14,'NHẬP LIỆU'!$K:$K)</f>
        <v>1562</v>
      </c>
      <c r="G14" s="191">
        <f>+SUMIF('NHẬP LIỆU'!$E:$E,'VẬT TƯ'!B14,'NHẬP LIỆU'!$L:$L)</f>
        <v>1084</v>
      </c>
      <c r="H14" s="186">
        <f t="shared" si="2"/>
        <v>478</v>
      </c>
      <c r="I14" s="192" t="s">
        <v>256</v>
      </c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26.25" customHeight="1">
      <c r="A15" s="189">
        <f t="shared" si="1"/>
        <v>12</v>
      </c>
      <c r="B15" s="190" t="s">
        <v>96</v>
      </c>
      <c r="C15" s="190" t="s">
        <v>257</v>
      </c>
      <c r="D15" s="191" t="s">
        <v>206</v>
      </c>
      <c r="E15" s="191">
        <v>0.0</v>
      </c>
      <c r="F15" s="191">
        <f>+SUMIF('NHẬP LIỆU'!$E:$E,'VẬT TƯ'!B15,'NHẬP LIỆU'!$K:$K)</f>
        <v>1157</v>
      </c>
      <c r="G15" s="191">
        <f>+SUMIF('NHẬP LIỆU'!$E:$E,'VẬT TƯ'!B15,'NHẬP LIỆU'!$L:$L)</f>
        <v>808.5399716</v>
      </c>
      <c r="H15" s="186">
        <f t="shared" si="2"/>
        <v>348.4600284</v>
      </c>
      <c r="I15" s="192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ht="26.25" customHeight="1">
      <c r="A16" s="189">
        <f t="shared" si="1"/>
        <v>13</v>
      </c>
      <c r="B16" s="190" t="s">
        <v>112</v>
      </c>
      <c r="C16" s="190" t="s">
        <v>258</v>
      </c>
      <c r="D16" s="191" t="s">
        <v>206</v>
      </c>
      <c r="E16" s="191">
        <v>112.31</v>
      </c>
      <c r="F16" s="191">
        <f>+SUMIF('NHẬP LIỆU'!$E:$E,'VẬT TƯ'!B16,'NHẬP LIỆU'!$K:$K)</f>
        <v>700</v>
      </c>
      <c r="G16" s="191">
        <f>+SUMIF('NHẬP LIỆU'!$E:$E,'VẬT TƯ'!B16,'NHẬP LIỆU'!$L:$L)</f>
        <v>781.37206</v>
      </c>
      <c r="H16" s="186">
        <f t="shared" si="2"/>
        <v>30.93794</v>
      </c>
      <c r="I16" s="192" t="s">
        <v>259</v>
      </c>
      <c r="J16" s="175"/>
      <c r="K16" s="194">
        <f>+'VẬT TƯ'!$H16/20</f>
        <v>1.546897</v>
      </c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ht="26.25" customHeight="1">
      <c r="A17" s="195">
        <f t="shared" si="1"/>
        <v>14</v>
      </c>
      <c r="B17" s="195" t="s">
        <v>260</v>
      </c>
      <c r="C17" s="195" t="s">
        <v>261</v>
      </c>
      <c r="D17" s="196" t="s">
        <v>206</v>
      </c>
      <c r="E17" s="196">
        <v>0.0</v>
      </c>
      <c r="F17" s="196">
        <f>+SUMIF('NHẬP LIỆU'!$E:$E,'VẬT TƯ'!B17,'NHẬP LIỆU'!$K:$K)</f>
        <v>990.55</v>
      </c>
      <c r="G17" s="196">
        <f>+SUMIF('NHẬP LIỆU'!$E:$E,'VẬT TƯ'!B17,'NHẬP LIỆU'!$L:$L)</f>
        <v>324</v>
      </c>
      <c r="H17" s="197">
        <f t="shared" si="2"/>
        <v>666.55</v>
      </c>
      <c r="I17" s="19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ht="26.25" customHeight="1">
      <c r="A18" s="171"/>
      <c r="B18" s="171"/>
      <c r="C18" s="171"/>
      <c r="D18" s="171"/>
      <c r="E18" s="174"/>
      <c r="F18" s="174"/>
      <c r="G18" s="174"/>
      <c r="H18" s="174"/>
      <c r="I18" s="171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ht="26.25" customHeight="1">
      <c r="A19" s="171"/>
      <c r="B19" s="171"/>
      <c r="C19" s="171"/>
      <c r="D19" s="171"/>
      <c r="E19" s="174"/>
      <c r="F19" s="174"/>
      <c r="G19" s="174"/>
      <c r="H19" s="198"/>
      <c r="I19" s="171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ht="26.25" customHeight="1">
      <c r="A20" s="171"/>
      <c r="B20" s="171"/>
      <c r="C20" s="171"/>
      <c r="D20" s="171"/>
      <c r="E20" s="174"/>
      <c r="F20" s="174"/>
      <c r="G20" s="174"/>
      <c r="H20" s="174"/>
      <c r="I20" s="171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ht="26.25" customHeight="1">
      <c r="A21" s="171"/>
      <c r="B21" s="171"/>
      <c r="C21" s="171"/>
      <c r="D21" s="171"/>
      <c r="E21" s="174"/>
      <c r="F21" s="174"/>
      <c r="G21" s="174"/>
      <c r="H21" s="174"/>
      <c r="I21" s="171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ht="26.25" customHeight="1">
      <c r="A22" s="171"/>
      <c r="B22" s="171"/>
      <c r="C22" s="171"/>
      <c r="D22" s="171"/>
      <c r="E22" s="174"/>
      <c r="F22" s="174"/>
      <c r="G22" s="174"/>
      <c r="H22" s="174"/>
      <c r="I22" s="171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ht="26.25" customHeight="1">
      <c r="A23" s="171"/>
      <c r="B23" s="171"/>
      <c r="C23" s="171"/>
      <c r="D23" s="171"/>
      <c r="E23" s="174"/>
      <c r="F23" s="174"/>
      <c r="G23" s="174"/>
      <c r="H23" s="174"/>
      <c r="I23" s="171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ht="26.25" customHeight="1">
      <c r="A24" s="171"/>
      <c r="B24" s="171"/>
      <c r="C24" s="171"/>
      <c r="D24" s="171"/>
      <c r="E24" s="174"/>
      <c r="F24" s="174"/>
      <c r="G24" s="174"/>
      <c r="H24" s="174"/>
      <c r="I24" s="171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ht="26.25" customHeight="1">
      <c r="A25" s="171"/>
      <c r="B25" s="171"/>
      <c r="C25" s="171"/>
      <c r="D25" s="171"/>
      <c r="E25" s="174"/>
      <c r="F25" s="174"/>
      <c r="G25" s="174"/>
      <c r="H25" s="174"/>
      <c r="I25" s="171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ht="26.25" customHeight="1">
      <c r="A26" s="171"/>
      <c r="B26" s="171"/>
      <c r="C26" s="171"/>
      <c r="D26" s="171"/>
      <c r="E26" s="174"/>
      <c r="F26" s="174"/>
      <c r="G26" s="174"/>
      <c r="H26" s="174"/>
      <c r="I26" s="171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ht="26.25" customHeight="1">
      <c r="A27" s="171"/>
      <c r="B27" s="171"/>
      <c r="C27" s="171"/>
      <c r="D27" s="171"/>
      <c r="E27" s="174"/>
      <c r="F27" s="174"/>
      <c r="G27" s="174"/>
      <c r="H27" s="174"/>
      <c r="I27" s="171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ht="26.25" customHeight="1">
      <c r="A28" s="171"/>
      <c r="B28" s="171"/>
      <c r="C28" s="171"/>
      <c r="D28" s="171"/>
      <c r="E28" s="174"/>
      <c r="F28" s="174"/>
      <c r="G28" s="174"/>
      <c r="H28" s="174"/>
      <c r="I28" s="171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ht="26.25" customHeight="1">
      <c r="A29" s="171"/>
      <c r="B29" s="171"/>
      <c r="C29" s="171"/>
      <c r="D29" s="171"/>
      <c r="E29" s="174"/>
      <c r="F29" s="174"/>
      <c r="G29" s="174"/>
      <c r="H29" s="174"/>
      <c r="I29" s="171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ht="26.25" customHeight="1">
      <c r="A30" s="171"/>
      <c r="B30" s="171"/>
      <c r="C30" s="171"/>
      <c r="D30" s="171"/>
      <c r="E30" s="174"/>
      <c r="F30" s="174"/>
      <c r="G30" s="174"/>
      <c r="H30" s="174"/>
      <c r="I30" s="171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ht="26.25" customHeight="1">
      <c r="A31" s="171"/>
      <c r="B31" s="171"/>
      <c r="C31" s="171"/>
      <c r="D31" s="171"/>
      <c r="E31" s="174"/>
      <c r="F31" s="174"/>
      <c r="G31" s="174"/>
      <c r="H31" s="174"/>
      <c r="I31" s="171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26.25" customHeight="1">
      <c r="A32" s="171"/>
      <c r="B32" s="171"/>
      <c r="C32" s="171"/>
      <c r="D32" s="171"/>
      <c r="E32" s="174"/>
      <c r="F32" s="174"/>
      <c r="G32" s="174"/>
      <c r="H32" s="174"/>
      <c r="I32" s="171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ht="26.25" customHeight="1">
      <c r="A33" s="171"/>
      <c r="B33" s="171"/>
      <c r="C33" s="171"/>
      <c r="D33" s="171"/>
      <c r="E33" s="174"/>
      <c r="F33" s="174"/>
      <c r="G33" s="174"/>
      <c r="H33" s="174"/>
      <c r="I33" s="171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ht="26.25" customHeight="1">
      <c r="A34" s="171"/>
      <c r="B34" s="171"/>
      <c r="C34" s="171"/>
      <c r="D34" s="171"/>
      <c r="E34" s="174"/>
      <c r="F34" s="174"/>
      <c r="G34" s="174"/>
      <c r="H34" s="174"/>
      <c r="I34" s="171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ht="26.25" customHeight="1">
      <c r="A35" s="171"/>
      <c r="B35" s="171"/>
      <c r="C35" s="171"/>
      <c r="D35" s="171"/>
      <c r="E35" s="174"/>
      <c r="F35" s="174"/>
      <c r="G35" s="174"/>
      <c r="H35" s="174"/>
      <c r="I35" s="171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ht="26.25" customHeight="1">
      <c r="A36" s="171"/>
      <c r="B36" s="171"/>
      <c r="C36" s="171"/>
      <c r="D36" s="171"/>
      <c r="E36" s="174"/>
      <c r="F36" s="174"/>
      <c r="G36" s="174"/>
      <c r="H36" s="174"/>
      <c r="I36" s="171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ht="26.25" customHeight="1">
      <c r="A37" s="171"/>
      <c r="B37" s="171"/>
      <c r="C37" s="171"/>
      <c r="D37" s="171"/>
      <c r="E37" s="174"/>
      <c r="F37" s="174"/>
      <c r="G37" s="174"/>
      <c r="H37" s="174"/>
      <c r="I37" s="171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ht="26.25" customHeight="1">
      <c r="A38" s="171"/>
      <c r="B38" s="171"/>
      <c r="C38" s="171"/>
      <c r="D38" s="171"/>
      <c r="E38" s="174"/>
      <c r="F38" s="174"/>
      <c r="G38" s="174"/>
      <c r="H38" s="174"/>
      <c r="I38" s="171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ht="26.25" customHeight="1">
      <c r="A39" s="171"/>
      <c r="B39" s="171"/>
      <c r="C39" s="171"/>
      <c r="D39" s="171"/>
      <c r="E39" s="174"/>
      <c r="F39" s="174"/>
      <c r="G39" s="174"/>
      <c r="H39" s="174"/>
      <c r="I39" s="171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ht="26.25" customHeight="1">
      <c r="A40" s="171"/>
      <c r="B40" s="171"/>
      <c r="C40" s="171"/>
      <c r="D40" s="171"/>
      <c r="E40" s="174"/>
      <c r="F40" s="174"/>
      <c r="G40" s="174"/>
      <c r="H40" s="174"/>
      <c r="I40" s="171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ht="26.25" customHeight="1">
      <c r="A41" s="171"/>
      <c r="B41" s="171"/>
      <c r="C41" s="171"/>
      <c r="D41" s="171"/>
      <c r="E41" s="174"/>
      <c r="F41" s="174"/>
      <c r="G41" s="174"/>
      <c r="H41" s="174"/>
      <c r="I41" s="171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ht="26.25" customHeight="1">
      <c r="A42" s="171"/>
      <c r="B42" s="171"/>
      <c r="C42" s="171"/>
      <c r="D42" s="171"/>
      <c r="E42" s="174"/>
      <c r="F42" s="174"/>
      <c r="G42" s="174"/>
      <c r="H42" s="174"/>
      <c r="I42" s="171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ht="26.25" customHeight="1">
      <c r="A43" s="171"/>
      <c r="B43" s="171"/>
      <c r="C43" s="171"/>
      <c r="D43" s="171"/>
      <c r="E43" s="174"/>
      <c r="F43" s="174"/>
      <c r="G43" s="174"/>
      <c r="H43" s="174"/>
      <c r="I43" s="171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ht="26.25" customHeight="1">
      <c r="A44" s="171"/>
      <c r="B44" s="171"/>
      <c r="C44" s="171"/>
      <c r="D44" s="171"/>
      <c r="E44" s="174"/>
      <c r="F44" s="174"/>
      <c r="G44" s="174"/>
      <c r="H44" s="174"/>
      <c r="I44" s="171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ht="26.25" customHeight="1">
      <c r="A45" s="171"/>
      <c r="B45" s="171"/>
      <c r="C45" s="171"/>
      <c r="D45" s="171"/>
      <c r="E45" s="174"/>
      <c r="F45" s="174"/>
      <c r="G45" s="174"/>
      <c r="H45" s="174"/>
      <c r="I45" s="171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ht="26.25" customHeight="1">
      <c r="A46" s="171"/>
      <c r="B46" s="171"/>
      <c r="C46" s="171"/>
      <c r="D46" s="171"/>
      <c r="E46" s="174"/>
      <c r="F46" s="174"/>
      <c r="G46" s="174"/>
      <c r="H46" s="174"/>
      <c r="I46" s="171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ht="26.25" customHeight="1">
      <c r="A47" s="171"/>
      <c r="B47" s="171"/>
      <c r="C47" s="171"/>
      <c r="D47" s="171"/>
      <c r="E47" s="174"/>
      <c r="F47" s="174"/>
      <c r="G47" s="174"/>
      <c r="H47" s="174"/>
      <c r="I47" s="171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26.25" customHeight="1">
      <c r="A48" s="171"/>
      <c r="B48" s="171"/>
      <c r="C48" s="171"/>
      <c r="D48" s="171"/>
      <c r="E48" s="174"/>
      <c r="F48" s="174"/>
      <c r="G48" s="174"/>
      <c r="H48" s="174"/>
      <c r="I48" s="171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26.25" customHeight="1">
      <c r="A49" s="171"/>
      <c r="B49" s="171"/>
      <c r="C49" s="171"/>
      <c r="D49" s="171"/>
      <c r="E49" s="174"/>
      <c r="F49" s="174"/>
      <c r="G49" s="174"/>
      <c r="H49" s="174"/>
      <c r="I49" s="171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26.25" customHeight="1">
      <c r="A50" s="171"/>
      <c r="B50" s="171"/>
      <c r="C50" s="171"/>
      <c r="D50" s="171"/>
      <c r="E50" s="174"/>
      <c r="F50" s="174"/>
      <c r="G50" s="174"/>
      <c r="H50" s="174"/>
      <c r="I50" s="171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26.25" customHeight="1">
      <c r="A51" s="171"/>
      <c r="B51" s="171"/>
      <c r="C51" s="171"/>
      <c r="D51" s="171"/>
      <c r="E51" s="174"/>
      <c r="F51" s="174"/>
      <c r="G51" s="174"/>
      <c r="H51" s="174"/>
      <c r="I51" s="171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26.25" customHeight="1">
      <c r="A52" s="171"/>
      <c r="B52" s="171"/>
      <c r="C52" s="171"/>
      <c r="D52" s="171"/>
      <c r="E52" s="174"/>
      <c r="F52" s="174"/>
      <c r="G52" s="174"/>
      <c r="H52" s="174"/>
      <c r="I52" s="171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15.75" customHeight="1">
      <c r="A53" s="171"/>
      <c r="B53" s="171"/>
      <c r="C53" s="171"/>
      <c r="D53" s="171"/>
      <c r="E53" s="174"/>
      <c r="F53" s="174"/>
      <c r="G53" s="174"/>
      <c r="H53" s="174"/>
      <c r="I53" s="171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15.75" customHeight="1">
      <c r="A54" s="171"/>
      <c r="B54" s="171"/>
      <c r="C54" s="171"/>
      <c r="D54" s="171"/>
      <c r="E54" s="174"/>
      <c r="F54" s="174"/>
      <c r="G54" s="174"/>
      <c r="H54" s="174"/>
      <c r="I54" s="171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15.75" customHeight="1">
      <c r="A55" s="171"/>
      <c r="B55" s="171"/>
      <c r="C55" s="171"/>
      <c r="D55" s="171"/>
      <c r="E55" s="174"/>
      <c r="F55" s="174"/>
      <c r="G55" s="174"/>
      <c r="H55" s="174"/>
      <c r="I55" s="171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15.75" customHeight="1">
      <c r="A56" s="171"/>
      <c r="B56" s="171"/>
      <c r="C56" s="171"/>
      <c r="D56" s="171"/>
      <c r="E56" s="174"/>
      <c r="F56" s="174"/>
      <c r="G56" s="174"/>
      <c r="H56" s="174"/>
      <c r="I56" s="171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15.75" customHeight="1">
      <c r="A57" s="171"/>
      <c r="B57" s="171"/>
      <c r="C57" s="171"/>
      <c r="D57" s="171"/>
      <c r="E57" s="174"/>
      <c r="F57" s="174"/>
      <c r="G57" s="174"/>
      <c r="H57" s="174"/>
      <c r="I57" s="171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15.75" customHeight="1">
      <c r="A58" s="171"/>
      <c r="B58" s="171"/>
      <c r="C58" s="171"/>
      <c r="D58" s="171"/>
      <c r="E58" s="174"/>
      <c r="F58" s="174"/>
      <c r="G58" s="174"/>
      <c r="H58" s="174"/>
      <c r="I58" s="171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15.75" customHeight="1">
      <c r="A59" s="171"/>
      <c r="B59" s="171"/>
      <c r="C59" s="171"/>
      <c r="D59" s="171"/>
      <c r="E59" s="174"/>
      <c r="F59" s="174"/>
      <c r="G59" s="174"/>
      <c r="H59" s="174"/>
      <c r="I59" s="171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15.75" customHeight="1">
      <c r="A60" s="171"/>
      <c r="B60" s="171"/>
      <c r="C60" s="171"/>
      <c r="D60" s="171"/>
      <c r="E60" s="174"/>
      <c r="F60" s="174"/>
      <c r="G60" s="174"/>
      <c r="H60" s="174"/>
      <c r="I60" s="171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15.75" customHeight="1">
      <c r="A61" s="171"/>
      <c r="B61" s="171"/>
      <c r="C61" s="171"/>
      <c r="D61" s="171"/>
      <c r="E61" s="174"/>
      <c r="F61" s="174"/>
      <c r="G61" s="174"/>
      <c r="H61" s="174"/>
      <c r="I61" s="171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15.75" customHeight="1">
      <c r="A62" s="171"/>
      <c r="B62" s="171"/>
      <c r="C62" s="171"/>
      <c r="D62" s="171"/>
      <c r="E62" s="174"/>
      <c r="F62" s="174"/>
      <c r="G62" s="174"/>
      <c r="H62" s="174"/>
      <c r="I62" s="171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15.75" customHeight="1">
      <c r="A63" s="171"/>
      <c r="B63" s="171"/>
      <c r="C63" s="171"/>
      <c r="D63" s="171"/>
      <c r="E63" s="174"/>
      <c r="F63" s="174"/>
      <c r="G63" s="174"/>
      <c r="H63" s="174"/>
      <c r="I63" s="171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15.75" customHeight="1">
      <c r="A64" s="171"/>
      <c r="B64" s="171"/>
      <c r="C64" s="171"/>
      <c r="D64" s="171"/>
      <c r="E64" s="174"/>
      <c r="F64" s="174"/>
      <c r="G64" s="174"/>
      <c r="H64" s="174"/>
      <c r="I64" s="171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15.75" customHeight="1">
      <c r="A65" s="171"/>
      <c r="B65" s="171"/>
      <c r="C65" s="171"/>
      <c r="D65" s="171"/>
      <c r="E65" s="174"/>
      <c r="F65" s="174"/>
      <c r="G65" s="174"/>
      <c r="H65" s="174"/>
      <c r="I65" s="171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15.75" customHeight="1">
      <c r="A66" s="171"/>
      <c r="B66" s="171"/>
      <c r="C66" s="171"/>
      <c r="D66" s="171"/>
      <c r="E66" s="174"/>
      <c r="F66" s="174"/>
      <c r="G66" s="174"/>
      <c r="H66" s="174"/>
      <c r="I66" s="171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15.75" customHeight="1">
      <c r="A67" s="171"/>
      <c r="B67" s="171"/>
      <c r="C67" s="171"/>
      <c r="D67" s="171"/>
      <c r="E67" s="174"/>
      <c r="F67" s="174"/>
      <c r="G67" s="174"/>
      <c r="H67" s="174"/>
      <c r="I67" s="171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15.75" customHeight="1">
      <c r="A68" s="171"/>
      <c r="B68" s="171"/>
      <c r="C68" s="171"/>
      <c r="D68" s="171"/>
      <c r="E68" s="174"/>
      <c r="F68" s="174"/>
      <c r="G68" s="174"/>
      <c r="H68" s="174"/>
      <c r="I68" s="171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15.75" customHeight="1">
      <c r="A69" s="171"/>
      <c r="B69" s="171"/>
      <c r="C69" s="171"/>
      <c r="D69" s="171"/>
      <c r="E69" s="174"/>
      <c r="F69" s="174"/>
      <c r="G69" s="174"/>
      <c r="H69" s="174"/>
      <c r="I69" s="171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15.75" customHeight="1">
      <c r="A70" s="171"/>
      <c r="B70" s="171"/>
      <c r="C70" s="171"/>
      <c r="D70" s="171"/>
      <c r="E70" s="174"/>
      <c r="F70" s="174"/>
      <c r="G70" s="174"/>
      <c r="H70" s="174"/>
      <c r="I70" s="171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15.75" customHeight="1">
      <c r="A71" s="171"/>
      <c r="B71" s="171"/>
      <c r="C71" s="171"/>
      <c r="D71" s="171"/>
      <c r="E71" s="174"/>
      <c r="F71" s="174"/>
      <c r="G71" s="174"/>
      <c r="H71" s="174"/>
      <c r="I71" s="171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15.75" customHeight="1">
      <c r="A72" s="171"/>
      <c r="B72" s="171"/>
      <c r="C72" s="171"/>
      <c r="D72" s="171"/>
      <c r="E72" s="174"/>
      <c r="F72" s="174"/>
      <c r="G72" s="174"/>
      <c r="H72" s="174"/>
      <c r="I72" s="171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15.75" customHeight="1">
      <c r="A73" s="171"/>
      <c r="B73" s="171"/>
      <c r="C73" s="171"/>
      <c r="D73" s="171"/>
      <c r="E73" s="174"/>
      <c r="F73" s="174"/>
      <c r="G73" s="174"/>
      <c r="H73" s="174"/>
      <c r="I73" s="171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15.75" customHeight="1">
      <c r="A74" s="171"/>
      <c r="B74" s="171"/>
      <c r="C74" s="171"/>
      <c r="D74" s="171"/>
      <c r="E74" s="174"/>
      <c r="F74" s="174"/>
      <c r="G74" s="174"/>
      <c r="H74" s="174"/>
      <c r="I74" s="171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15.75" customHeight="1">
      <c r="A75" s="171"/>
      <c r="B75" s="171"/>
      <c r="C75" s="171"/>
      <c r="D75" s="171"/>
      <c r="E75" s="174"/>
      <c r="F75" s="174"/>
      <c r="G75" s="174"/>
      <c r="H75" s="174"/>
      <c r="I75" s="171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15.75" customHeight="1">
      <c r="A76" s="171"/>
      <c r="B76" s="171"/>
      <c r="C76" s="171"/>
      <c r="D76" s="171"/>
      <c r="E76" s="174"/>
      <c r="F76" s="174"/>
      <c r="G76" s="174"/>
      <c r="H76" s="174"/>
      <c r="I76" s="171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15.75" customHeight="1">
      <c r="A77" s="171"/>
      <c r="B77" s="171"/>
      <c r="C77" s="171"/>
      <c r="D77" s="171"/>
      <c r="E77" s="174"/>
      <c r="F77" s="174"/>
      <c r="G77" s="174"/>
      <c r="H77" s="174"/>
      <c r="I77" s="171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15.75" customHeight="1">
      <c r="A78" s="171"/>
      <c r="B78" s="171"/>
      <c r="C78" s="171"/>
      <c r="D78" s="171"/>
      <c r="E78" s="174"/>
      <c r="F78" s="174"/>
      <c r="G78" s="174"/>
      <c r="H78" s="174"/>
      <c r="I78" s="171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15.75" customHeight="1">
      <c r="A79" s="171"/>
      <c r="B79" s="171"/>
      <c r="C79" s="171"/>
      <c r="D79" s="171"/>
      <c r="E79" s="174"/>
      <c r="F79" s="174"/>
      <c r="G79" s="174"/>
      <c r="H79" s="174"/>
      <c r="I79" s="171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15.75" customHeight="1">
      <c r="A80" s="171"/>
      <c r="B80" s="171"/>
      <c r="C80" s="171"/>
      <c r="D80" s="171"/>
      <c r="E80" s="174"/>
      <c r="F80" s="174"/>
      <c r="G80" s="174"/>
      <c r="H80" s="174"/>
      <c r="I80" s="171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15.75" customHeight="1">
      <c r="A81" s="171"/>
      <c r="B81" s="171"/>
      <c r="C81" s="171"/>
      <c r="D81" s="171"/>
      <c r="E81" s="174"/>
      <c r="F81" s="174"/>
      <c r="G81" s="174"/>
      <c r="H81" s="174"/>
      <c r="I81" s="171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15.75" customHeight="1">
      <c r="A82" s="171"/>
      <c r="B82" s="171"/>
      <c r="C82" s="171"/>
      <c r="D82" s="171"/>
      <c r="E82" s="174"/>
      <c r="F82" s="174"/>
      <c r="G82" s="174"/>
      <c r="H82" s="174"/>
      <c r="I82" s="171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15.75" customHeight="1">
      <c r="A83" s="171"/>
      <c r="B83" s="171"/>
      <c r="C83" s="171"/>
      <c r="D83" s="171"/>
      <c r="E83" s="174"/>
      <c r="F83" s="174"/>
      <c r="G83" s="174"/>
      <c r="H83" s="174"/>
      <c r="I83" s="171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15.75" customHeight="1">
      <c r="A84" s="171"/>
      <c r="B84" s="171"/>
      <c r="C84" s="171"/>
      <c r="D84" s="171"/>
      <c r="E84" s="174"/>
      <c r="F84" s="174"/>
      <c r="G84" s="174"/>
      <c r="H84" s="174"/>
      <c r="I84" s="171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15.75" customHeight="1">
      <c r="A85" s="171"/>
      <c r="B85" s="171"/>
      <c r="C85" s="171"/>
      <c r="D85" s="171"/>
      <c r="E85" s="174"/>
      <c r="F85" s="174"/>
      <c r="G85" s="174"/>
      <c r="H85" s="174"/>
      <c r="I85" s="171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15.75" customHeight="1">
      <c r="A86" s="171"/>
      <c r="B86" s="171"/>
      <c r="C86" s="171"/>
      <c r="D86" s="171"/>
      <c r="E86" s="174"/>
      <c r="F86" s="174"/>
      <c r="G86" s="174"/>
      <c r="H86" s="174"/>
      <c r="I86" s="171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15.75" customHeight="1">
      <c r="A87" s="171"/>
      <c r="B87" s="171"/>
      <c r="C87" s="171"/>
      <c r="D87" s="171"/>
      <c r="E87" s="174"/>
      <c r="F87" s="174"/>
      <c r="G87" s="174"/>
      <c r="H87" s="174"/>
      <c r="I87" s="171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15.75" customHeight="1">
      <c r="A88" s="171"/>
      <c r="B88" s="171"/>
      <c r="C88" s="171"/>
      <c r="D88" s="171"/>
      <c r="E88" s="174"/>
      <c r="F88" s="174"/>
      <c r="G88" s="174"/>
      <c r="H88" s="174"/>
      <c r="I88" s="171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15.75" customHeight="1">
      <c r="A89" s="171"/>
      <c r="B89" s="171"/>
      <c r="C89" s="171"/>
      <c r="D89" s="171"/>
      <c r="E89" s="174"/>
      <c r="F89" s="174"/>
      <c r="G89" s="174"/>
      <c r="H89" s="174"/>
      <c r="I89" s="171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15.75" customHeight="1">
      <c r="A90" s="171"/>
      <c r="B90" s="171"/>
      <c r="C90" s="171"/>
      <c r="D90" s="171"/>
      <c r="E90" s="174"/>
      <c r="F90" s="174"/>
      <c r="G90" s="174"/>
      <c r="H90" s="174"/>
      <c r="I90" s="171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15.75" customHeight="1">
      <c r="A91" s="171"/>
      <c r="B91" s="171"/>
      <c r="C91" s="171"/>
      <c r="D91" s="171"/>
      <c r="E91" s="174"/>
      <c r="F91" s="174"/>
      <c r="G91" s="174"/>
      <c r="H91" s="174"/>
      <c r="I91" s="171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15.75" customHeight="1">
      <c r="A92" s="171"/>
      <c r="B92" s="171"/>
      <c r="C92" s="171"/>
      <c r="D92" s="171"/>
      <c r="E92" s="174"/>
      <c r="F92" s="174"/>
      <c r="G92" s="174"/>
      <c r="H92" s="174"/>
      <c r="I92" s="171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15.75" customHeight="1">
      <c r="A93" s="171"/>
      <c r="B93" s="171"/>
      <c r="C93" s="171"/>
      <c r="D93" s="171"/>
      <c r="E93" s="174"/>
      <c r="F93" s="174"/>
      <c r="G93" s="174"/>
      <c r="H93" s="174"/>
      <c r="I93" s="171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15.75" customHeight="1">
      <c r="A94" s="171"/>
      <c r="B94" s="171"/>
      <c r="C94" s="171"/>
      <c r="D94" s="171"/>
      <c r="E94" s="174"/>
      <c r="F94" s="174"/>
      <c r="G94" s="174"/>
      <c r="H94" s="174"/>
      <c r="I94" s="171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15.75" customHeight="1">
      <c r="A95" s="171"/>
      <c r="B95" s="171"/>
      <c r="C95" s="171"/>
      <c r="D95" s="171"/>
      <c r="E95" s="174"/>
      <c r="F95" s="174"/>
      <c r="G95" s="174"/>
      <c r="H95" s="174"/>
      <c r="I95" s="171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15.75" customHeight="1">
      <c r="A96" s="171"/>
      <c r="B96" s="171"/>
      <c r="C96" s="171"/>
      <c r="D96" s="171"/>
      <c r="E96" s="174"/>
      <c r="F96" s="174"/>
      <c r="G96" s="174"/>
      <c r="H96" s="174"/>
      <c r="I96" s="171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15.75" customHeight="1">
      <c r="A97" s="171"/>
      <c r="B97" s="171"/>
      <c r="C97" s="171"/>
      <c r="D97" s="171"/>
      <c r="E97" s="174"/>
      <c r="F97" s="174"/>
      <c r="G97" s="174"/>
      <c r="H97" s="174"/>
      <c r="I97" s="171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15.75" customHeight="1">
      <c r="A98" s="171"/>
      <c r="B98" s="171"/>
      <c r="C98" s="171"/>
      <c r="D98" s="171"/>
      <c r="E98" s="174"/>
      <c r="F98" s="174"/>
      <c r="G98" s="174"/>
      <c r="H98" s="174"/>
      <c r="I98" s="171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15.75" customHeight="1">
      <c r="A99" s="171"/>
      <c r="B99" s="171"/>
      <c r="C99" s="171"/>
      <c r="D99" s="171"/>
      <c r="E99" s="174"/>
      <c r="F99" s="174"/>
      <c r="G99" s="174"/>
      <c r="H99" s="174"/>
      <c r="I99" s="171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15.75" customHeight="1">
      <c r="A100" s="171"/>
      <c r="B100" s="171"/>
      <c r="C100" s="171"/>
      <c r="D100" s="171"/>
      <c r="E100" s="174"/>
      <c r="F100" s="174"/>
      <c r="G100" s="174"/>
      <c r="H100" s="174"/>
      <c r="I100" s="171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15.75" customHeight="1">
      <c r="A101" s="171"/>
      <c r="B101" s="171"/>
      <c r="C101" s="171"/>
      <c r="D101" s="171"/>
      <c r="E101" s="174"/>
      <c r="F101" s="174"/>
      <c r="G101" s="174"/>
      <c r="H101" s="174"/>
      <c r="I101" s="171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15.75" customHeight="1">
      <c r="A102" s="171"/>
      <c r="B102" s="171"/>
      <c r="C102" s="171"/>
      <c r="D102" s="171"/>
      <c r="E102" s="174"/>
      <c r="F102" s="174"/>
      <c r="G102" s="174"/>
      <c r="H102" s="174"/>
      <c r="I102" s="171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15.75" customHeight="1">
      <c r="A103" s="171"/>
      <c r="B103" s="171"/>
      <c r="C103" s="171"/>
      <c r="D103" s="171"/>
      <c r="E103" s="174"/>
      <c r="F103" s="174"/>
      <c r="G103" s="174"/>
      <c r="H103" s="174"/>
      <c r="I103" s="171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5.75" customHeight="1">
      <c r="A104" s="171"/>
      <c r="B104" s="171"/>
      <c r="C104" s="171"/>
      <c r="D104" s="171"/>
      <c r="E104" s="174"/>
      <c r="F104" s="174"/>
      <c r="G104" s="174"/>
      <c r="H104" s="174"/>
      <c r="I104" s="171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5.75" customHeight="1">
      <c r="A105" s="171"/>
      <c r="B105" s="171"/>
      <c r="C105" s="171"/>
      <c r="D105" s="171"/>
      <c r="E105" s="174"/>
      <c r="F105" s="174"/>
      <c r="G105" s="174"/>
      <c r="H105" s="174"/>
      <c r="I105" s="171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5.75" customHeight="1">
      <c r="A106" s="171"/>
      <c r="B106" s="171"/>
      <c r="C106" s="171"/>
      <c r="D106" s="171"/>
      <c r="E106" s="174"/>
      <c r="F106" s="174"/>
      <c r="G106" s="174"/>
      <c r="H106" s="174"/>
      <c r="I106" s="171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5.75" customHeight="1">
      <c r="A107" s="171"/>
      <c r="B107" s="171"/>
      <c r="C107" s="171"/>
      <c r="D107" s="171"/>
      <c r="E107" s="174"/>
      <c r="F107" s="174"/>
      <c r="G107" s="174"/>
      <c r="H107" s="174"/>
      <c r="I107" s="171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5.75" customHeight="1">
      <c r="A108" s="171"/>
      <c r="B108" s="171"/>
      <c r="C108" s="171"/>
      <c r="D108" s="171"/>
      <c r="E108" s="174"/>
      <c r="F108" s="174"/>
      <c r="G108" s="174"/>
      <c r="H108" s="174"/>
      <c r="I108" s="171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5.75" customHeight="1">
      <c r="A109" s="171"/>
      <c r="B109" s="171"/>
      <c r="C109" s="171"/>
      <c r="D109" s="171"/>
      <c r="E109" s="174"/>
      <c r="F109" s="174"/>
      <c r="G109" s="174"/>
      <c r="H109" s="174"/>
      <c r="I109" s="171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5.75" customHeight="1">
      <c r="A110" s="171"/>
      <c r="B110" s="171"/>
      <c r="C110" s="171"/>
      <c r="D110" s="171"/>
      <c r="E110" s="174"/>
      <c r="F110" s="174"/>
      <c r="G110" s="174"/>
      <c r="H110" s="174"/>
      <c r="I110" s="171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5.75" customHeight="1">
      <c r="A111" s="171"/>
      <c r="B111" s="171"/>
      <c r="C111" s="171"/>
      <c r="D111" s="171"/>
      <c r="E111" s="174"/>
      <c r="F111" s="174"/>
      <c r="G111" s="174"/>
      <c r="H111" s="174"/>
      <c r="I111" s="171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5.75" customHeight="1">
      <c r="A112" s="171"/>
      <c r="B112" s="171"/>
      <c r="C112" s="171"/>
      <c r="D112" s="171"/>
      <c r="E112" s="174"/>
      <c r="F112" s="174"/>
      <c r="G112" s="174"/>
      <c r="H112" s="174"/>
      <c r="I112" s="171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5.75" customHeight="1">
      <c r="A113" s="171"/>
      <c r="B113" s="171"/>
      <c r="C113" s="171"/>
      <c r="D113" s="171"/>
      <c r="E113" s="174"/>
      <c r="F113" s="174"/>
      <c r="G113" s="174"/>
      <c r="H113" s="174"/>
      <c r="I113" s="171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5.75" customHeight="1">
      <c r="A114" s="171"/>
      <c r="B114" s="171"/>
      <c r="C114" s="171"/>
      <c r="D114" s="171"/>
      <c r="E114" s="174"/>
      <c r="F114" s="174"/>
      <c r="G114" s="174"/>
      <c r="H114" s="174"/>
      <c r="I114" s="171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5.75" customHeight="1">
      <c r="A115" s="171"/>
      <c r="B115" s="171"/>
      <c r="C115" s="171"/>
      <c r="D115" s="171"/>
      <c r="E115" s="174"/>
      <c r="F115" s="174"/>
      <c r="G115" s="174"/>
      <c r="H115" s="174"/>
      <c r="I115" s="171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5.75" customHeight="1">
      <c r="A116" s="171"/>
      <c r="B116" s="171"/>
      <c r="C116" s="171"/>
      <c r="D116" s="171"/>
      <c r="E116" s="174"/>
      <c r="F116" s="174"/>
      <c r="G116" s="174"/>
      <c r="H116" s="174"/>
      <c r="I116" s="171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5.75" customHeight="1">
      <c r="A117" s="171"/>
      <c r="B117" s="171"/>
      <c r="C117" s="171"/>
      <c r="D117" s="171"/>
      <c r="E117" s="174"/>
      <c r="F117" s="174"/>
      <c r="G117" s="174"/>
      <c r="H117" s="174"/>
      <c r="I117" s="171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5.75" customHeight="1">
      <c r="A118" s="171"/>
      <c r="B118" s="171"/>
      <c r="C118" s="171"/>
      <c r="D118" s="171"/>
      <c r="E118" s="174"/>
      <c r="F118" s="174"/>
      <c r="G118" s="174"/>
      <c r="H118" s="174"/>
      <c r="I118" s="171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5.75" customHeight="1">
      <c r="A119" s="171"/>
      <c r="B119" s="171"/>
      <c r="C119" s="171"/>
      <c r="D119" s="171"/>
      <c r="E119" s="174"/>
      <c r="F119" s="174"/>
      <c r="G119" s="174"/>
      <c r="H119" s="174"/>
      <c r="I119" s="171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5.75" customHeight="1">
      <c r="A120" s="171"/>
      <c r="B120" s="171"/>
      <c r="C120" s="171"/>
      <c r="D120" s="171"/>
      <c r="E120" s="174"/>
      <c r="F120" s="174"/>
      <c r="G120" s="174"/>
      <c r="H120" s="174"/>
      <c r="I120" s="171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5.75" customHeight="1">
      <c r="A121" s="171"/>
      <c r="B121" s="171"/>
      <c r="C121" s="171"/>
      <c r="D121" s="171"/>
      <c r="E121" s="174"/>
      <c r="F121" s="174"/>
      <c r="G121" s="174"/>
      <c r="H121" s="174"/>
      <c r="I121" s="171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5.75" customHeight="1">
      <c r="A122" s="171"/>
      <c r="B122" s="171"/>
      <c r="C122" s="171"/>
      <c r="D122" s="171"/>
      <c r="E122" s="174"/>
      <c r="F122" s="174"/>
      <c r="G122" s="174"/>
      <c r="H122" s="174"/>
      <c r="I122" s="171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5.75" customHeight="1">
      <c r="A123" s="171"/>
      <c r="B123" s="171"/>
      <c r="C123" s="171"/>
      <c r="D123" s="171"/>
      <c r="E123" s="174"/>
      <c r="F123" s="174"/>
      <c r="G123" s="174"/>
      <c r="H123" s="174"/>
      <c r="I123" s="171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5.75" customHeight="1">
      <c r="A124" s="171"/>
      <c r="B124" s="171"/>
      <c r="C124" s="171"/>
      <c r="D124" s="171"/>
      <c r="E124" s="174"/>
      <c r="F124" s="174"/>
      <c r="G124" s="174"/>
      <c r="H124" s="174"/>
      <c r="I124" s="171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5.75" customHeight="1">
      <c r="A125" s="171"/>
      <c r="B125" s="171"/>
      <c r="C125" s="171"/>
      <c r="D125" s="171"/>
      <c r="E125" s="174"/>
      <c r="F125" s="174"/>
      <c r="G125" s="174"/>
      <c r="H125" s="174"/>
      <c r="I125" s="171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5.75" customHeight="1">
      <c r="A126" s="171"/>
      <c r="B126" s="171"/>
      <c r="C126" s="171"/>
      <c r="D126" s="171"/>
      <c r="E126" s="174"/>
      <c r="F126" s="174"/>
      <c r="G126" s="174"/>
      <c r="H126" s="174"/>
      <c r="I126" s="171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5.75" customHeight="1">
      <c r="A127" s="171"/>
      <c r="B127" s="171"/>
      <c r="C127" s="171"/>
      <c r="D127" s="171"/>
      <c r="E127" s="174"/>
      <c r="F127" s="174"/>
      <c r="G127" s="174"/>
      <c r="H127" s="174"/>
      <c r="I127" s="171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5.75" customHeight="1">
      <c r="A128" s="171"/>
      <c r="B128" s="171"/>
      <c r="C128" s="171"/>
      <c r="D128" s="171"/>
      <c r="E128" s="174"/>
      <c r="F128" s="174"/>
      <c r="G128" s="174"/>
      <c r="H128" s="174"/>
      <c r="I128" s="171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5.75" customHeight="1">
      <c r="A129" s="171"/>
      <c r="B129" s="171"/>
      <c r="C129" s="171"/>
      <c r="D129" s="171"/>
      <c r="E129" s="174"/>
      <c r="F129" s="174"/>
      <c r="G129" s="174"/>
      <c r="H129" s="174"/>
      <c r="I129" s="171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5.75" customHeight="1">
      <c r="A130" s="171"/>
      <c r="B130" s="171"/>
      <c r="C130" s="171"/>
      <c r="D130" s="171"/>
      <c r="E130" s="174"/>
      <c r="F130" s="174"/>
      <c r="G130" s="174"/>
      <c r="H130" s="174"/>
      <c r="I130" s="171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5.75" customHeight="1">
      <c r="A131" s="171"/>
      <c r="B131" s="171"/>
      <c r="C131" s="171"/>
      <c r="D131" s="171"/>
      <c r="E131" s="174"/>
      <c r="F131" s="174"/>
      <c r="G131" s="174"/>
      <c r="H131" s="174"/>
      <c r="I131" s="171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5.75" customHeight="1">
      <c r="A132" s="171"/>
      <c r="B132" s="171"/>
      <c r="C132" s="171"/>
      <c r="D132" s="171"/>
      <c r="E132" s="174"/>
      <c r="F132" s="174"/>
      <c r="G132" s="174"/>
      <c r="H132" s="174"/>
      <c r="I132" s="171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5.75" customHeight="1">
      <c r="A133" s="171"/>
      <c r="B133" s="171"/>
      <c r="C133" s="171"/>
      <c r="D133" s="171"/>
      <c r="E133" s="174"/>
      <c r="F133" s="174"/>
      <c r="G133" s="174"/>
      <c r="H133" s="174"/>
      <c r="I133" s="171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5.75" customHeight="1">
      <c r="A134" s="171"/>
      <c r="B134" s="171"/>
      <c r="C134" s="171"/>
      <c r="D134" s="171"/>
      <c r="E134" s="174"/>
      <c r="F134" s="174"/>
      <c r="G134" s="174"/>
      <c r="H134" s="174"/>
      <c r="I134" s="171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5.75" customHeight="1">
      <c r="A135" s="171"/>
      <c r="B135" s="171"/>
      <c r="C135" s="171"/>
      <c r="D135" s="171"/>
      <c r="E135" s="174"/>
      <c r="F135" s="174"/>
      <c r="G135" s="174"/>
      <c r="H135" s="174"/>
      <c r="I135" s="171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5.75" customHeight="1">
      <c r="A136" s="171"/>
      <c r="B136" s="171"/>
      <c r="C136" s="171"/>
      <c r="D136" s="171"/>
      <c r="E136" s="174"/>
      <c r="F136" s="174"/>
      <c r="G136" s="174"/>
      <c r="H136" s="174"/>
      <c r="I136" s="171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5.75" customHeight="1">
      <c r="A137" s="171"/>
      <c r="B137" s="171"/>
      <c r="C137" s="171"/>
      <c r="D137" s="171"/>
      <c r="E137" s="174"/>
      <c r="F137" s="174"/>
      <c r="G137" s="174"/>
      <c r="H137" s="174"/>
      <c r="I137" s="171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5.75" customHeight="1">
      <c r="A138" s="171"/>
      <c r="B138" s="171"/>
      <c r="C138" s="171"/>
      <c r="D138" s="171"/>
      <c r="E138" s="174"/>
      <c r="F138" s="174"/>
      <c r="G138" s="174"/>
      <c r="H138" s="174"/>
      <c r="I138" s="171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5.75" customHeight="1">
      <c r="A139" s="171"/>
      <c r="B139" s="171"/>
      <c r="C139" s="171"/>
      <c r="D139" s="171"/>
      <c r="E139" s="174"/>
      <c r="F139" s="174"/>
      <c r="G139" s="174"/>
      <c r="H139" s="174"/>
      <c r="I139" s="171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5.75" customHeight="1">
      <c r="A140" s="171"/>
      <c r="B140" s="171"/>
      <c r="C140" s="171"/>
      <c r="D140" s="171"/>
      <c r="E140" s="174"/>
      <c r="F140" s="174"/>
      <c r="G140" s="174"/>
      <c r="H140" s="174"/>
      <c r="I140" s="171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5.75" customHeight="1">
      <c r="A141" s="171"/>
      <c r="B141" s="171"/>
      <c r="C141" s="171"/>
      <c r="D141" s="171"/>
      <c r="E141" s="174"/>
      <c r="F141" s="174"/>
      <c r="G141" s="174"/>
      <c r="H141" s="174"/>
      <c r="I141" s="171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5.75" customHeight="1">
      <c r="A142" s="171"/>
      <c r="B142" s="171"/>
      <c r="C142" s="171"/>
      <c r="D142" s="171"/>
      <c r="E142" s="174"/>
      <c r="F142" s="174"/>
      <c r="G142" s="174"/>
      <c r="H142" s="174"/>
      <c r="I142" s="171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5.75" customHeight="1">
      <c r="A143" s="171"/>
      <c r="B143" s="171"/>
      <c r="C143" s="171"/>
      <c r="D143" s="171"/>
      <c r="E143" s="174"/>
      <c r="F143" s="174"/>
      <c r="G143" s="174"/>
      <c r="H143" s="174"/>
      <c r="I143" s="171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5.75" customHeight="1">
      <c r="A144" s="171"/>
      <c r="B144" s="171"/>
      <c r="C144" s="171"/>
      <c r="D144" s="171"/>
      <c r="E144" s="174"/>
      <c r="F144" s="174"/>
      <c r="G144" s="174"/>
      <c r="H144" s="174"/>
      <c r="I144" s="171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5.75" customHeight="1">
      <c r="A145" s="171"/>
      <c r="B145" s="171"/>
      <c r="C145" s="171"/>
      <c r="D145" s="171"/>
      <c r="E145" s="174"/>
      <c r="F145" s="174"/>
      <c r="G145" s="174"/>
      <c r="H145" s="174"/>
      <c r="I145" s="171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5.75" customHeight="1">
      <c r="A146" s="171"/>
      <c r="B146" s="171"/>
      <c r="C146" s="171"/>
      <c r="D146" s="171"/>
      <c r="E146" s="174"/>
      <c r="F146" s="174"/>
      <c r="G146" s="174"/>
      <c r="H146" s="174"/>
      <c r="I146" s="171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5.75" customHeight="1">
      <c r="A147" s="171"/>
      <c r="B147" s="171"/>
      <c r="C147" s="171"/>
      <c r="D147" s="171"/>
      <c r="E147" s="174"/>
      <c r="F147" s="174"/>
      <c r="G147" s="174"/>
      <c r="H147" s="174"/>
      <c r="I147" s="171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5.75" customHeight="1">
      <c r="A148" s="171"/>
      <c r="B148" s="171"/>
      <c r="C148" s="171"/>
      <c r="D148" s="171"/>
      <c r="E148" s="174"/>
      <c r="F148" s="174"/>
      <c r="G148" s="174"/>
      <c r="H148" s="174"/>
      <c r="I148" s="171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5.75" customHeight="1">
      <c r="A149" s="171"/>
      <c r="B149" s="171"/>
      <c r="C149" s="171"/>
      <c r="D149" s="171"/>
      <c r="E149" s="174"/>
      <c r="F149" s="174"/>
      <c r="G149" s="174"/>
      <c r="H149" s="174"/>
      <c r="I149" s="171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5.75" customHeight="1">
      <c r="A150" s="171"/>
      <c r="B150" s="171"/>
      <c r="C150" s="171"/>
      <c r="D150" s="171"/>
      <c r="E150" s="174"/>
      <c r="F150" s="174"/>
      <c r="G150" s="174"/>
      <c r="H150" s="174"/>
      <c r="I150" s="171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5.75" customHeight="1">
      <c r="A151" s="171"/>
      <c r="B151" s="171"/>
      <c r="C151" s="171"/>
      <c r="D151" s="171"/>
      <c r="E151" s="174"/>
      <c r="F151" s="174"/>
      <c r="G151" s="174"/>
      <c r="H151" s="174"/>
      <c r="I151" s="171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5.75" customHeight="1">
      <c r="A152" s="171"/>
      <c r="B152" s="171"/>
      <c r="C152" s="171"/>
      <c r="D152" s="171"/>
      <c r="E152" s="174"/>
      <c r="F152" s="174"/>
      <c r="G152" s="174"/>
      <c r="H152" s="174"/>
      <c r="I152" s="171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5.75" customHeight="1">
      <c r="A153" s="171"/>
      <c r="B153" s="171"/>
      <c r="C153" s="171"/>
      <c r="D153" s="171"/>
      <c r="E153" s="174"/>
      <c r="F153" s="174"/>
      <c r="G153" s="174"/>
      <c r="H153" s="174"/>
      <c r="I153" s="171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5.75" customHeight="1">
      <c r="A154" s="171"/>
      <c r="B154" s="171"/>
      <c r="C154" s="171"/>
      <c r="D154" s="171"/>
      <c r="E154" s="174"/>
      <c r="F154" s="174"/>
      <c r="G154" s="174"/>
      <c r="H154" s="174"/>
      <c r="I154" s="171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5.75" customHeight="1">
      <c r="A155" s="171"/>
      <c r="B155" s="171"/>
      <c r="C155" s="171"/>
      <c r="D155" s="171"/>
      <c r="E155" s="174"/>
      <c r="F155" s="174"/>
      <c r="G155" s="174"/>
      <c r="H155" s="174"/>
      <c r="I155" s="171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5.75" customHeight="1">
      <c r="A156" s="171"/>
      <c r="B156" s="171"/>
      <c r="C156" s="171"/>
      <c r="D156" s="171"/>
      <c r="E156" s="174"/>
      <c r="F156" s="174"/>
      <c r="G156" s="174"/>
      <c r="H156" s="174"/>
      <c r="I156" s="171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5.75" customHeight="1">
      <c r="A157" s="171"/>
      <c r="B157" s="171"/>
      <c r="C157" s="171"/>
      <c r="D157" s="171"/>
      <c r="E157" s="174"/>
      <c r="F157" s="174"/>
      <c r="G157" s="174"/>
      <c r="H157" s="174"/>
      <c r="I157" s="171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5.75" customHeight="1">
      <c r="A158" s="171"/>
      <c r="B158" s="171"/>
      <c r="C158" s="171"/>
      <c r="D158" s="171"/>
      <c r="E158" s="174"/>
      <c r="F158" s="174"/>
      <c r="G158" s="174"/>
      <c r="H158" s="174"/>
      <c r="I158" s="171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5.75" customHeight="1">
      <c r="A159" s="171"/>
      <c r="B159" s="171"/>
      <c r="C159" s="171"/>
      <c r="D159" s="171"/>
      <c r="E159" s="174"/>
      <c r="F159" s="174"/>
      <c r="G159" s="174"/>
      <c r="H159" s="174"/>
      <c r="I159" s="171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5.75" customHeight="1">
      <c r="A160" s="171"/>
      <c r="B160" s="171"/>
      <c r="C160" s="171"/>
      <c r="D160" s="171"/>
      <c r="E160" s="174"/>
      <c r="F160" s="174"/>
      <c r="G160" s="174"/>
      <c r="H160" s="174"/>
      <c r="I160" s="171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5.75" customHeight="1">
      <c r="A161" s="171"/>
      <c r="B161" s="171"/>
      <c r="C161" s="171"/>
      <c r="D161" s="171"/>
      <c r="E161" s="174"/>
      <c r="F161" s="174"/>
      <c r="G161" s="174"/>
      <c r="H161" s="174"/>
      <c r="I161" s="171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5.75" customHeight="1">
      <c r="A162" s="171"/>
      <c r="B162" s="171"/>
      <c r="C162" s="171"/>
      <c r="D162" s="171"/>
      <c r="E162" s="174"/>
      <c r="F162" s="174"/>
      <c r="G162" s="174"/>
      <c r="H162" s="174"/>
      <c r="I162" s="171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5.75" customHeight="1">
      <c r="A163" s="171"/>
      <c r="B163" s="171"/>
      <c r="C163" s="171"/>
      <c r="D163" s="171"/>
      <c r="E163" s="174"/>
      <c r="F163" s="174"/>
      <c r="G163" s="174"/>
      <c r="H163" s="174"/>
      <c r="I163" s="171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5.75" customHeight="1">
      <c r="A164" s="171"/>
      <c r="B164" s="171"/>
      <c r="C164" s="171"/>
      <c r="D164" s="171"/>
      <c r="E164" s="174"/>
      <c r="F164" s="174"/>
      <c r="G164" s="174"/>
      <c r="H164" s="174"/>
      <c r="I164" s="171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5.75" customHeight="1">
      <c r="A165" s="171"/>
      <c r="B165" s="171"/>
      <c r="C165" s="171"/>
      <c r="D165" s="171"/>
      <c r="E165" s="174"/>
      <c r="F165" s="174"/>
      <c r="G165" s="174"/>
      <c r="H165" s="174"/>
      <c r="I165" s="171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5.75" customHeight="1">
      <c r="A166" s="171"/>
      <c r="B166" s="171"/>
      <c r="C166" s="171"/>
      <c r="D166" s="171"/>
      <c r="E166" s="174"/>
      <c r="F166" s="174"/>
      <c r="G166" s="174"/>
      <c r="H166" s="174"/>
      <c r="I166" s="171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5.75" customHeight="1">
      <c r="A167" s="171"/>
      <c r="B167" s="171"/>
      <c r="C167" s="171"/>
      <c r="D167" s="171"/>
      <c r="E167" s="174"/>
      <c r="F167" s="174"/>
      <c r="G167" s="174"/>
      <c r="H167" s="174"/>
      <c r="I167" s="171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5.75" customHeight="1">
      <c r="A168" s="171"/>
      <c r="B168" s="171"/>
      <c r="C168" s="171"/>
      <c r="D168" s="171"/>
      <c r="E168" s="174"/>
      <c r="F168" s="174"/>
      <c r="G168" s="174"/>
      <c r="H168" s="174"/>
      <c r="I168" s="171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5.75" customHeight="1">
      <c r="A169" s="171"/>
      <c r="B169" s="171"/>
      <c r="C169" s="171"/>
      <c r="D169" s="171"/>
      <c r="E169" s="174"/>
      <c r="F169" s="174"/>
      <c r="G169" s="174"/>
      <c r="H169" s="174"/>
      <c r="I169" s="171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5.75" customHeight="1">
      <c r="A170" s="171"/>
      <c r="B170" s="171"/>
      <c r="C170" s="171"/>
      <c r="D170" s="171"/>
      <c r="E170" s="174"/>
      <c r="F170" s="174"/>
      <c r="G170" s="174"/>
      <c r="H170" s="174"/>
      <c r="I170" s="171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5.75" customHeight="1">
      <c r="A171" s="171"/>
      <c r="B171" s="171"/>
      <c r="C171" s="171"/>
      <c r="D171" s="171"/>
      <c r="E171" s="174"/>
      <c r="F171" s="174"/>
      <c r="G171" s="174"/>
      <c r="H171" s="174"/>
      <c r="I171" s="171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5.75" customHeight="1">
      <c r="A172" s="171"/>
      <c r="B172" s="171"/>
      <c r="C172" s="171"/>
      <c r="D172" s="171"/>
      <c r="E172" s="174"/>
      <c r="F172" s="174"/>
      <c r="G172" s="174"/>
      <c r="H172" s="174"/>
      <c r="I172" s="171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5.75" customHeight="1">
      <c r="A173" s="171"/>
      <c r="B173" s="171"/>
      <c r="C173" s="171"/>
      <c r="D173" s="171"/>
      <c r="E173" s="174"/>
      <c r="F173" s="174"/>
      <c r="G173" s="174"/>
      <c r="H173" s="174"/>
      <c r="I173" s="171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5.75" customHeight="1">
      <c r="A174" s="171"/>
      <c r="B174" s="171"/>
      <c r="C174" s="171"/>
      <c r="D174" s="171"/>
      <c r="E174" s="174"/>
      <c r="F174" s="174"/>
      <c r="G174" s="174"/>
      <c r="H174" s="174"/>
      <c r="I174" s="171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5.75" customHeight="1">
      <c r="A175" s="171"/>
      <c r="B175" s="171"/>
      <c r="C175" s="171"/>
      <c r="D175" s="171"/>
      <c r="E175" s="174"/>
      <c r="F175" s="174"/>
      <c r="G175" s="174"/>
      <c r="H175" s="174"/>
      <c r="I175" s="171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5.75" customHeight="1">
      <c r="A176" s="171"/>
      <c r="B176" s="171"/>
      <c r="C176" s="171"/>
      <c r="D176" s="171"/>
      <c r="E176" s="174"/>
      <c r="F176" s="174"/>
      <c r="G176" s="174"/>
      <c r="H176" s="174"/>
      <c r="I176" s="171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5.75" customHeight="1">
      <c r="A177" s="171"/>
      <c r="B177" s="171"/>
      <c r="C177" s="171"/>
      <c r="D177" s="171"/>
      <c r="E177" s="174"/>
      <c r="F177" s="174"/>
      <c r="G177" s="174"/>
      <c r="H177" s="174"/>
      <c r="I177" s="171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5.75" customHeight="1">
      <c r="A178" s="171"/>
      <c r="B178" s="171"/>
      <c r="C178" s="171"/>
      <c r="D178" s="171"/>
      <c r="E178" s="174"/>
      <c r="F178" s="174"/>
      <c r="G178" s="174"/>
      <c r="H178" s="174"/>
      <c r="I178" s="171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5.75" customHeight="1">
      <c r="A179" s="171"/>
      <c r="B179" s="171"/>
      <c r="C179" s="171"/>
      <c r="D179" s="171"/>
      <c r="E179" s="174"/>
      <c r="F179" s="174"/>
      <c r="G179" s="174"/>
      <c r="H179" s="174"/>
      <c r="I179" s="171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5.75" customHeight="1">
      <c r="A180" s="171"/>
      <c r="B180" s="171"/>
      <c r="C180" s="171"/>
      <c r="D180" s="171"/>
      <c r="E180" s="174"/>
      <c r="F180" s="174"/>
      <c r="G180" s="174"/>
      <c r="H180" s="174"/>
      <c r="I180" s="171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5.75" customHeight="1">
      <c r="A181" s="171"/>
      <c r="B181" s="171"/>
      <c r="C181" s="171"/>
      <c r="D181" s="171"/>
      <c r="E181" s="174"/>
      <c r="F181" s="174"/>
      <c r="G181" s="174"/>
      <c r="H181" s="174"/>
      <c r="I181" s="171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5.75" customHeight="1">
      <c r="A182" s="171"/>
      <c r="B182" s="171"/>
      <c r="C182" s="171"/>
      <c r="D182" s="171"/>
      <c r="E182" s="174"/>
      <c r="F182" s="174"/>
      <c r="G182" s="174"/>
      <c r="H182" s="174"/>
      <c r="I182" s="171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5.75" customHeight="1">
      <c r="A183" s="171"/>
      <c r="B183" s="171"/>
      <c r="C183" s="171"/>
      <c r="D183" s="171"/>
      <c r="E183" s="174"/>
      <c r="F183" s="174"/>
      <c r="G183" s="174"/>
      <c r="H183" s="174"/>
      <c r="I183" s="171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5.75" customHeight="1">
      <c r="A184" s="171"/>
      <c r="B184" s="171"/>
      <c r="C184" s="171"/>
      <c r="D184" s="171"/>
      <c r="E184" s="174"/>
      <c r="F184" s="174"/>
      <c r="G184" s="174"/>
      <c r="H184" s="174"/>
      <c r="I184" s="171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5.75" customHeight="1">
      <c r="A185" s="171"/>
      <c r="B185" s="171"/>
      <c r="C185" s="171"/>
      <c r="D185" s="171"/>
      <c r="E185" s="174"/>
      <c r="F185" s="174"/>
      <c r="G185" s="174"/>
      <c r="H185" s="174"/>
      <c r="I185" s="171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5.75" customHeight="1">
      <c r="A186" s="171"/>
      <c r="B186" s="171"/>
      <c r="C186" s="171"/>
      <c r="D186" s="171"/>
      <c r="E186" s="174"/>
      <c r="F186" s="174"/>
      <c r="G186" s="174"/>
      <c r="H186" s="174"/>
      <c r="I186" s="171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5.75" customHeight="1">
      <c r="A187" s="171"/>
      <c r="B187" s="171"/>
      <c r="C187" s="171"/>
      <c r="D187" s="171"/>
      <c r="E187" s="174"/>
      <c r="F187" s="174"/>
      <c r="G187" s="174"/>
      <c r="H187" s="174"/>
      <c r="I187" s="171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5.75" customHeight="1">
      <c r="A188" s="171"/>
      <c r="B188" s="171"/>
      <c r="C188" s="171"/>
      <c r="D188" s="171"/>
      <c r="E188" s="174"/>
      <c r="F188" s="174"/>
      <c r="G188" s="174"/>
      <c r="H188" s="174"/>
      <c r="I188" s="171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5.75" customHeight="1">
      <c r="A189" s="171"/>
      <c r="B189" s="171"/>
      <c r="C189" s="171"/>
      <c r="D189" s="171"/>
      <c r="E189" s="174"/>
      <c r="F189" s="174"/>
      <c r="G189" s="174"/>
      <c r="H189" s="174"/>
      <c r="I189" s="171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5.75" customHeight="1">
      <c r="A190" s="171"/>
      <c r="B190" s="171"/>
      <c r="C190" s="171"/>
      <c r="D190" s="171"/>
      <c r="E190" s="174"/>
      <c r="F190" s="174"/>
      <c r="G190" s="174"/>
      <c r="H190" s="174"/>
      <c r="I190" s="171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5.75" customHeight="1">
      <c r="A191" s="171"/>
      <c r="B191" s="171"/>
      <c r="C191" s="171"/>
      <c r="D191" s="171"/>
      <c r="E191" s="174"/>
      <c r="F191" s="174"/>
      <c r="G191" s="174"/>
      <c r="H191" s="174"/>
      <c r="I191" s="171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5.75" customHeight="1">
      <c r="A192" s="171"/>
      <c r="B192" s="171"/>
      <c r="C192" s="171"/>
      <c r="D192" s="171"/>
      <c r="E192" s="174"/>
      <c r="F192" s="174"/>
      <c r="G192" s="174"/>
      <c r="H192" s="174"/>
      <c r="I192" s="171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5.75" customHeight="1">
      <c r="A193" s="171"/>
      <c r="B193" s="171"/>
      <c r="C193" s="171"/>
      <c r="D193" s="171"/>
      <c r="E193" s="174"/>
      <c r="F193" s="174"/>
      <c r="G193" s="174"/>
      <c r="H193" s="174"/>
      <c r="I193" s="171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5.75" customHeight="1">
      <c r="A194" s="171"/>
      <c r="B194" s="171"/>
      <c r="C194" s="171"/>
      <c r="D194" s="171"/>
      <c r="E194" s="174"/>
      <c r="F194" s="174"/>
      <c r="G194" s="174"/>
      <c r="H194" s="174"/>
      <c r="I194" s="171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5.75" customHeight="1">
      <c r="A195" s="171"/>
      <c r="B195" s="171"/>
      <c r="C195" s="171"/>
      <c r="D195" s="171"/>
      <c r="E195" s="174"/>
      <c r="F195" s="174"/>
      <c r="G195" s="174"/>
      <c r="H195" s="174"/>
      <c r="I195" s="171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5.75" customHeight="1">
      <c r="A196" s="171"/>
      <c r="B196" s="171"/>
      <c r="C196" s="171"/>
      <c r="D196" s="171"/>
      <c r="E196" s="174"/>
      <c r="F196" s="174"/>
      <c r="G196" s="174"/>
      <c r="H196" s="174"/>
      <c r="I196" s="171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5.75" customHeight="1">
      <c r="A197" s="171"/>
      <c r="B197" s="171"/>
      <c r="C197" s="171"/>
      <c r="D197" s="171"/>
      <c r="E197" s="174"/>
      <c r="F197" s="174"/>
      <c r="G197" s="174"/>
      <c r="H197" s="174"/>
      <c r="I197" s="171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5.75" customHeight="1">
      <c r="A198" s="171"/>
      <c r="B198" s="171"/>
      <c r="C198" s="171"/>
      <c r="D198" s="171"/>
      <c r="E198" s="174"/>
      <c r="F198" s="174"/>
      <c r="G198" s="174"/>
      <c r="H198" s="174"/>
      <c r="I198" s="171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5.75" customHeight="1">
      <c r="A199" s="171"/>
      <c r="B199" s="171"/>
      <c r="C199" s="171"/>
      <c r="D199" s="171"/>
      <c r="E199" s="174"/>
      <c r="F199" s="174"/>
      <c r="G199" s="174"/>
      <c r="H199" s="174"/>
      <c r="I199" s="171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5.75" customHeight="1">
      <c r="A200" s="171"/>
      <c r="B200" s="171"/>
      <c r="C200" s="171"/>
      <c r="D200" s="171"/>
      <c r="E200" s="174"/>
      <c r="F200" s="174"/>
      <c r="G200" s="174"/>
      <c r="H200" s="174"/>
      <c r="I200" s="171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5.75" customHeight="1">
      <c r="A201" s="171"/>
      <c r="B201" s="171"/>
      <c r="C201" s="171"/>
      <c r="D201" s="171"/>
      <c r="E201" s="174"/>
      <c r="F201" s="174"/>
      <c r="G201" s="174"/>
      <c r="H201" s="174"/>
      <c r="I201" s="171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5.75" customHeight="1">
      <c r="A202" s="171"/>
      <c r="B202" s="171"/>
      <c r="C202" s="171"/>
      <c r="D202" s="171"/>
      <c r="E202" s="174"/>
      <c r="F202" s="174"/>
      <c r="G202" s="174"/>
      <c r="H202" s="174"/>
      <c r="I202" s="171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5.75" customHeight="1">
      <c r="A203" s="171"/>
      <c r="B203" s="171"/>
      <c r="C203" s="171"/>
      <c r="D203" s="171"/>
      <c r="E203" s="174"/>
      <c r="F203" s="174"/>
      <c r="G203" s="174"/>
      <c r="H203" s="174"/>
      <c r="I203" s="171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5.75" customHeight="1">
      <c r="A204" s="171"/>
      <c r="B204" s="171"/>
      <c r="C204" s="171"/>
      <c r="D204" s="171"/>
      <c r="E204" s="174"/>
      <c r="F204" s="174"/>
      <c r="G204" s="174"/>
      <c r="H204" s="174"/>
      <c r="I204" s="171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5.75" customHeight="1">
      <c r="A205" s="171"/>
      <c r="B205" s="171"/>
      <c r="C205" s="171"/>
      <c r="D205" s="171"/>
      <c r="E205" s="174"/>
      <c r="F205" s="174"/>
      <c r="G205" s="174"/>
      <c r="H205" s="174"/>
      <c r="I205" s="171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5.75" customHeight="1">
      <c r="A206" s="171"/>
      <c r="B206" s="171"/>
      <c r="C206" s="171"/>
      <c r="D206" s="171"/>
      <c r="E206" s="174"/>
      <c r="F206" s="174"/>
      <c r="G206" s="174"/>
      <c r="H206" s="174"/>
      <c r="I206" s="171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5.75" customHeight="1">
      <c r="A207" s="171"/>
      <c r="B207" s="171"/>
      <c r="C207" s="171"/>
      <c r="D207" s="171"/>
      <c r="E207" s="174"/>
      <c r="F207" s="174"/>
      <c r="G207" s="174"/>
      <c r="H207" s="174"/>
      <c r="I207" s="171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5.75" customHeight="1">
      <c r="A208" s="171"/>
      <c r="B208" s="171"/>
      <c r="C208" s="171"/>
      <c r="D208" s="171"/>
      <c r="E208" s="174"/>
      <c r="F208" s="174"/>
      <c r="G208" s="174"/>
      <c r="H208" s="174"/>
      <c r="I208" s="171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5.75" customHeight="1">
      <c r="A209" s="171"/>
      <c r="B209" s="171"/>
      <c r="C209" s="171"/>
      <c r="D209" s="171"/>
      <c r="E209" s="174"/>
      <c r="F209" s="174"/>
      <c r="G209" s="174"/>
      <c r="H209" s="174"/>
      <c r="I209" s="171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5.75" customHeight="1">
      <c r="A210" s="171"/>
      <c r="B210" s="171"/>
      <c r="C210" s="171"/>
      <c r="D210" s="171"/>
      <c r="E210" s="174"/>
      <c r="F210" s="174"/>
      <c r="G210" s="174"/>
      <c r="H210" s="174"/>
      <c r="I210" s="171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5.75" customHeight="1">
      <c r="A211" s="171"/>
      <c r="B211" s="171"/>
      <c r="C211" s="171"/>
      <c r="D211" s="171"/>
      <c r="E211" s="174"/>
      <c r="F211" s="174"/>
      <c r="G211" s="174"/>
      <c r="H211" s="174"/>
      <c r="I211" s="171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5.75" customHeight="1">
      <c r="A212" s="171"/>
      <c r="B212" s="171"/>
      <c r="C212" s="171"/>
      <c r="D212" s="171"/>
      <c r="E212" s="174"/>
      <c r="F212" s="174"/>
      <c r="G212" s="174"/>
      <c r="H212" s="174"/>
      <c r="I212" s="171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5.75" customHeight="1">
      <c r="A213" s="171"/>
      <c r="B213" s="171"/>
      <c r="C213" s="171"/>
      <c r="D213" s="171"/>
      <c r="E213" s="174"/>
      <c r="F213" s="174"/>
      <c r="G213" s="174"/>
      <c r="H213" s="174"/>
      <c r="I213" s="171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5.75" customHeight="1">
      <c r="A214" s="171"/>
      <c r="B214" s="171"/>
      <c r="C214" s="171"/>
      <c r="D214" s="171"/>
      <c r="E214" s="174"/>
      <c r="F214" s="174"/>
      <c r="G214" s="174"/>
      <c r="H214" s="174"/>
      <c r="I214" s="171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5.75" customHeight="1">
      <c r="A215" s="171"/>
      <c r="B215" s="171"/>
      <c r="C215" s="171"/>
      <c r="D215" s="171"/>
      <c r="E215" s="174"/>
      <c r="F215" s="174"/>
      <c r="G215" s="174"/>
      <c r="H215" s="174"/>
      <c r="I215" s="171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5.75" customHeight="1">
      <c r="A216" s="171"/>
      <c r="B216" s="171"/>
      <c r="C216" s="171"/>
      <c r="D216" s="171"/>
      <c r="E216" s="174"/>
      <c r="F216" s="174"/>
      <c r="G216" s="174"/>
      <c r="H216" s="174"/>
      <c r="I216" s="171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5.75" customHeight="1">
      <c r="A217" s="171"/>
      <c r="B217" s="171"/>
      <c r="C217" s="171"/>
      <c r="D217" s="171"/>
      <c r="E217" s="174"/>
      <c r="F217" s="174"/>
      <c r="G217" s="174"/>
      <c r="H217" s="174"/>
      <c r="I217" s="171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5.75" customHeight="1">
      <c r="A218" s="171"/>
      <c r="B218" s="171"/>
      <c r="C218" s="171"/>
      <c r="D218" s="171"/>
      <c r="E218" s="174"/>
      <c r="F218" s="174"/>
      <c r="G218" s="174"/>
      <c r="H218" s="174"/>
      <c r="I218" s="171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5.75" customHeight="1">
      <c r="A219" s="171"/>
      <c r="B219" s="171"/>
      <c r="C219" s="171"/>
      <c r="D219" s="171"/>
      <c r="E219" s="174"/>
      <c r="F219" s="174"/>
      <c r="G219" s="174"/>
      <c r="H219" s="174"/>
      <c r="I219" s="171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5.75" customHeight="1">
      <c r="A220" s="171"/>
      <c r="B220" s="171"/>
      <c r="C220" s="171"/>
      <c r="D220" s="171"/>
      <c r="E220" s="174"/>
      <c r="F220" s="174"/>
      <c r="G220" s="174"/>
      <c r="H220" s="174"/>
      <c r="I220" s="171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5.75" customHeight="1">
      <c r="A221" s="171"/>
      <c r="B221" s="171"/>
      <c r="C221" s="171"/>
      <c r="D221" s="171"/>
      <c r="E221" s="174"/>
      <c r="F221" s="174"/>
      <c r="G221" s="174"/>
      <c r="H221" s="174"/>
      <c r="I221" s="171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5.75" customHeight="1">
      <c r="A222" s="171"/>
      <c r="B222" s="171"/>
      <c r="C222" s="171"/>
      <c r="D222" s="171"/>
      <c r="E222" s="174"/>
      <c r="F222" s="174"/>
      <c r="G222" s="174"/>
      <c r="H222" s="174"/>
      <c r="I222" s="171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5.75" customHeight="1">
      <c r="A223" s="171"/>
      <c r="B223" s="171"/>
      <c r="C223" s="171"/>
      <c r="D223" s="171"/>
      <c r="E223" s="174"/>
      <c r="F223" s="174"/>
      <c r="G223" s="174"/>
      <c r="H223" s="174"/>
      <c r="I223" s="171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5.75" customHeight="1">
      <c r="A224" s="171"/>
      <c r="B224" s="171"/>
      <c r="C224" s="171"/>
      <c r="D224" s="171"/>
      <c r="E224" s="174"/>
      <c r="F224" s="174"/>
      <c r="G224" s="174"/>
      <c r="H224" s="174"/>
      <c r="I224" s="171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5.75" customHeight="1">
      <c r="A225" s="171"/>
      <c r="B225" s="171"/>
      <c r="C225" s="171"/>
      <c r="D225" s="171"/>
      <c r="E225" s="174"/>
      <c r="F225" s="174"/>
      <c r="G225" s="174"/>
      <c r="H225" s="174"/>
      <c r="I225" s="171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5.75" customHeight="1">
      <c r="A226" s="171"/>
      <c r="B226" s="171"/>
      <c r="C226" s="171"/>
      <c r="D226" s="171"/>
      <c r="E226" s="174"/>
      <c r="F226" s="174"/>
      <c r="G226" s="174"/>
      <c r="H226" s="174"/>
      <c r="I226" s="171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5.75" customHeight="1">
      <c r="A227" s="171"/>
      <c r="B227" s="171"/>
      <c r="C227" s="171"/>
      <c r="D227" s="171"/>
      <c r="E227" s="174"/>
      <c r="F227" s="174"/>
      <c r="G227" s="174"/>
      <c r="H227" s="174"/>
      <c r="I227" s="171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5.75" customHeight="1">
      <c r="A228" s="171"/>
      <c r="B228" s="171"/>
      <c r="C228" s="171"/>
      <c r="D228" s="171"/>
      <c r="E228" s="174"/>
      <c r="F228" s="174"/>
      <c r="G228" s="174"/>
      <c r="H228" s="174"/>
      <c r="I228" s="171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5.75" customHeight="1">
      <c r="A229" s="171"/>
      <c r="B229" s="171"/>
      <c r="C229" s="171"/>
      <c r="D229" s="171"/>
      <c r="E229" s="174"/>
      <c r="F229" s="174"/>
      <c r="G229" s="174"/>
      <c r="H229" s="174"/>
      <c r="I229" s="171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5.75" customHeight="1">
      <c r="A230" s="171"/>
      <c r="B230" s="171"/>
      <c r="C230" s="171"/>
      <c r="D230" s="171"/>
      <c r="E230" s="174"/>
      <c r="F230" s="174"/>
      <c r="G230" s="174"/>
      <c r="H230" s="174"/>
      <c r="I230" s="171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ht="15.75" customHeight="1">
      <c r="A231" s="171"/>
      <c r="B231" s="171"/>
      <c r="C231" s="171"/>
      <c r="D231" s="171"/>
      <c r="E231" s="174"/>
      <c r="F231" s="174"/>
      <c r="G231" s="174"/>
      <c r="H231" s="174"/>
      <c r="I231" s="171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ht="15.75" customHeight="1">
      <c r="A232" s="171"/>
      <c r="B232" s="171"/>
      <c r="C232" s="171"/>
      <c r="D232" s="171"/>
      <c r="E232" s="174"/>
      <c r="F232" s="174"/>
      <c r="G232" s="174"/>
      <c r="H232" s="174"/>
      <c r="I232" s="171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ht="15.75" customHeight="1">
      <c r="A233" s="171"/>
      <c r="B233" s="171"/>
      <c r="C233" s="171"/>
      <c r="D233" s="171"/>
      <c r="E233" s="174"/>
      <c r="F233" s="174"/>
      <c r="G233" s="174"/>
      <c r="H233" s="174"/>
      <c r="I233" s="171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ht="15.75" customHeight="1">
      <c r="A234" s="171"/>
      <c r="B234" s="171"/>
      <c r="C234" s="171"/>
      <c r="D234" s="171"/>
      <c r="E234" s="174"/>
      <c r="F234" s="174"/>
      <c r="G234" s="174"/>
      <c r="H234" s="174"/>
      <c r="I234" s="171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ht="15.75" customHeight="1">
      <c r="A235" s="171"/>
      <c r="B235" s="171"/>
      <c r="C235" s="171"/>
      <c r="D235" s="171"/>
      <c r="E235" s="174"/>
      <c r="F235" s="174"/>
      <c r="G235" s="174"/>
      <c r="H235" s="174"/>
      <c r="I235" s="171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ht="15.75" customHeight="1">
      <c r="A236" s="171"/>
      <c r="B236" s="171"/>
      <c r="C236" s="171"/>
      <c r="D236" s="171"/>
      <c r="E236" s="174"/>
      <c r="F236" s="174"/>
      <c r="G236" s="174"/>
      <c r="H236" s="174"/>
      <c r="I236" s="171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ht="15.75" customHeight="1">
      <c r="A237" s="171"/>
      <c r="B237" s="171"/>
      <c r="C237" s="171"/>
      <c r="D237" s="171"/>
      <c r="E237" s="174"/>
      <c r="F237" s="174"/>
      <c r="G237" s="174"/>
      <c r="H237" s="174"/>
      <c r="I237" s="171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ht="15.75" customHeight="1">
      <c r="A238" s="171"/>
      <c r="B238" s="171"/>
      <c r="C238" s="171"/>
      <c r="D238" s="171"/>
      <c r="E238" s="174"/>
      <c r="F238" s="174"/>
      <c r="G238" s="174"/>
      <c r="H238" s="174"/>
      <c r="I238" s="171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ht="15.75" customHeight="1">
      <c r="A239" s="171"/>
      <c r="B239" s="171"/>
      <c r="C239" s="171"/>
      <c r="D239" s="171"/>
      <c r="E239" s="174"/>
      <c r="F239" s="174"/>
      <c r="G239" s="174"/>
      <c r="H239" s="174"/>
      <c r="I239" s="171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ht="15.75" customHeight="1">
      <c r="A240" s="171"/>
      <c r="B240" s="171"/>
      <c r="C240" s="171"/>
      <c r="D240" s="171"/>
      <c r="E240" s="174"/>
      <c r="F240" s="174"/>
      <c r="G240" s="174"/>
      <c r="H240" s="174"/>
      <c r="I240" s="171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ht="15.75" customHeight="1">
      <c r="A241" s="171"/>
      <c r="B241" s="171"/>
      <c r="C241" s="171"/>
      <c r="D241" s="171"/>
      <c r="E241" s="174"/>
      <c r="F241" s="174"/>
      <c r="G241" s="174"/>
      <c r="H241" s="174"/>
      <c r="I241" s="171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ht="15.75" customHeight="1">
      <c r="A242" s="171"/>
      <c r="B242" s="171"/>
      <c r="C242" s="171"/>
      <c r="D242" s="171"/>
      <c r="E242" s="174"/>
      <c r="F242" s="174"/>
      <c r="G242" s="174"/>
      <c r="H242" s="174"/>
      <c r="I242" s="171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ht="15.75" customHeight="1">
      <c r="A243" s="171"/>
      <c r="B243" s="171"/>
      <c r="C243" s="171"/>
      <c r="D243" s="171"/>
      <c r="E243" s="174"/>
      <c r="F243" s="174"/>
      <c r="G243" s="174"/>
      <c r="H243" s="174"/>
      <c r="I243" s="171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ht="15.75" customHeight="1">
      <c r="A244" s="171"/>
      <c r="B244" s="171"/>
      <c r="C244" s="171"/>
      <c r="D244" s="171"/>
      <c r="E244" s="174"/>
      <c r="F244" s="174"/>
      <c r="G244" s="174"/>
      <c r="H244" s="174"/>
      <c r="I244" s="171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ht="15.75" customHeight="1">
      <c r="A245" s="171"/>
      <c r="B245" s="171"/>
      <c r="C245" s="171"/>
      <c r="D245" s="171"/>
      <c r="E245" s="174"/>
      <c r="F245" s="174"/>
      <c r="G245" s="174"/>
      <c r="H245" s="174"/>
      <c r="I245" s="171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ht="15.75" customHeight="1">
      <c r="A246" s="171"/>
      <c r="B246" s="171"/>
      <c r="C246" s="171"/>
      <c r="D246" s="171"/>
      <c r="E246" s="174"/>
      <c r="F246" s="174"/>
      <c r="G246" s="174"/>
      <c r="H246" s="174"/>
      <c r="I246" s="171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ht="15.75" customHeight="1">
      <c r="A247" s="171"/>
      <c r="B247" s="171"/>
      <c r="C247" s="171"/>
      <c r="D247" s="171"/>
      <c r="E247" s="174"/>
      <c r="F247" s="174"/>
      <c r="G247" s="174"/>
      <c r="H247" s="174"/>
      <c r="I247" s="171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ht="15.75" customHeight="1">
      <c r="A248" s="171"/>
      <c r="B248" s="171"/>
      <c r="C248" s="171"/>
      <c r="D248" s="171"/>
      <c r="E248" s="174"/>
      <c r="F248" s="174"/>
      <c r="G248" s="174"/>
      <c r="H248" s="174"/>
      <c r="I248" s="171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ht="15.75" customHeight="1">
      <c r="A249" s="171"/>
      <c r="B249" s="171"/>
      <c r="C249" s="171"/>
      <c r="D249" s="171"/>
      <c r="E249" s="174"/>
      <c r="F249" s="174"/>
      <c r="G249" s="174"/>
      <c r="H249" s="174"/>
      <c r="I249" s="171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ht="15.75" customHeight="1">
      <c r="A250" s="171"/>
      <c r="B250" s="171"/>
      <c r="C250" s="171"/>
      <c r="D250" s="171"/>
      <c r="E250" s="174"/>
      <c r="F250" s="174"/>
      <c r="G250" s="174"/>
      <c r="H250" s="174"/>
      <c r="I250" s="171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ht="15.75" customHeight="1">
      <c r="A251" s="171"/>
      <c r="B251" s="171"/>
      <c r="C251" s="171"/>
      <c r="D251" s="171"/>
      <c r="E251" s="174"/>
      <c r="F251" s="174"/>
      <c r="G251" s="174"/>
      <c r="H251" s="174"/>
      <c r="I251" s="171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ht="15.75" customHeight="1">
      <c r="A252" s="171"/>
      <c r="B252" s="171"/>
      <c r="C252" s="171"/>
      <c r="D252" s="171"/>
      <c r="E252" s="174"/>
      <c r="F252" s="174"/>
      <c r="G252" s="174"/>
      <c r="H252" s="174"/>
      <c r="I252" s="171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ht="15.75" customHeight="1">
      <c r="A253" s="171"/>
      <c r="B253" s="171"/>
      <c r="C253" s="171"/>
      <c r="D253" s="171"/>
      <c r="E253" s="174"/>
      <c r="F253" s="174"/>
      <c r="G253" s="174"/>
      <c r="H253" s="174"/>
      <c r="I253" s="171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ht="15.75" customHeight="1">
      <c r="A254" s="171"/>
      <c r="B254" s="171"/>
      <c r="C254" s="171"/>
      <c r="D254" s="171"/>
      <c r="E254" s="174"/>
      <c r="F254" s="174"/>
      <c r="G254" s="174"/>
      <c r="H254" s="174"/>
      <c r="I254" s="171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ht="15.75" customHeight="1">
      <c r="A255" s="171"/>
      <c r="B255" s="171"/>
      <c r="C255" s="171"/>
      <c r="D255" s="171"/>
      <c r="E255" s="174"/>
      <c r="F255" s="174"/>
      <c r="G255" s="174"/>
      <c r="H255" s="174"/>
      <c r="I255" s="171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ht="15.75" customHeight="1">
      <c r="A256" s="171"/>
      <c r="B256" s="171"/>
      <c r="C256" s="171"/>
      <c r="D256" s="171"/>
      <c r="E256" s="174"/>
      <c r="F256" s="174"/>
      <c r="G256" s="174"/>
      <c r="H256" s="174"/>
      <c r="I256" s="171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ht="15.75" customHeight="1">
      <c r="A257" s="171"/>
      <c r="B257" s="171"/>
      <c r="C257" s="171"/>
      <c r="D257" s="171"/>
      <c r="E257" s="174"/>
      <c r="F257" s="174"/>
      <c r="G257" s="174"/>
      <c r="H257" s="174"/>
      <c r="I257" s="171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ht="15.75" customHeight="1">
      <c r="A258" s="171"/>
      <c r="B258" s="171"/>
      <c r="C258" s="171"/>
      <c r="D258" s="171"/>
      <c r="E258" s="174"/>
      <c r="F258" s="174"/>
      <c r="G258" s="174"/>
      <c r="H258" s="174"/>
      <c r="I258" s="171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ht="15.75" customHeight="1">
      <c r="A259" s="171"/>
      <c r="B259" s="171"/>
      <c r="C259" s="171"/>
      <c r="D259" s="171"/>
      <c r="E259" s="174"/>
      <c r="F259" s="174"/>
      <c r="G259" s="174"/>
      <c r="H259" s="174"/>
      <c r="I259" s="171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ht="15.75" customHeight="1">
      <c r="A260" s="171"/>
      <c r="B260" s="171"/>
      <c r="C260" s="171"/>
      <c r="D260" s="171"/>
      <c r="E260" s="174"/>
      <c r="F260" s="174"/>
      <c r="G260" s="174"/>
      <c r="H260" s="174"/>
      <c r="I260" s="171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ht="15.75" customHeight="1">
      <c r="A261" s="171"/>
      <c r="B261" s="171"/>
      <c r="C261" s="171"/>
      <c r="D261" s="171"/>
      <c r="E261" s="174"/>
      <c r="F261" s="174"/>
      <c r="G261" s="174"/>
      <c r="H261" s="174"/>
      <c r="I261" s="171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ht="15.75" customHeight="1">
      <c r="A262" s="171"/>
      <c r="B262" s="171"/>
      <c r="C262" s="171"/>
      <c r="D262" s="171"/>
      <c r="E262" s="174"/>
      <c r="F262" s="174"/>
      <c r="G262" s="174"/>
      <c r="H262" s="174"/>
      <c r="I262" s="171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ht="15.75" customHeight="1">
      <c r="A263" s="171"/>
      <c r="B263" s="171"/>
      <c r="C263" s="171"/>
      <c r="D263" s="171"/>
      <c r="E263" s="174"/>
      <c r="F263" s="174"/>
      <c r="G263" s="174"/>
      <c r="H263" s="174"/>
      <c r="I263" s="171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ht="15.75" customHeight="1">
      <c r="A264" s="171"/>
      <c r="B264" s="171"/>
      <c r="C264" s="171"/>
      <c r="D264" s="171"/>
      <c r="E264" s="174"/>
      <c r="F264" s="174"/>
      <c r="G264" s="174"/>
      <c r="H264" s="174"/>
      <c r="I264" s="171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ht="15.75" customHeight="1">
      <c r="A265" s="171"/>
      <c r="B265" s="171"/>
      <c r="C265" s="171"/>
      <c r="D265" s="171"/>
      <c r="E265" s="174"/>
      <c r="F265" s="174"/>
      <c r="G265" s="174"/>
      <c r="H265" s="174"/>
      <c r="I265" s="171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ht="15.75" customHeight="1">
      <c r="A266" s="171"/>
      <c r="B266" s="171"/>
      <c r="C266" s="171"/>
      <c r="D266" s="171"/>
      <c r="E266" s="174"/>
      <c r="F266" s="174"/>
      <c r="G266" s="174"/>
      <c r="H266" s="174"/>
      <c r="I266" s="171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ht="15.75" customHeight="1">
      <c r="A267" s="171"/>
      <c r="B267" s="171"/>
      <c r="C267" s="171"/>
      <c r="D267" s="171"/>
      <c r="E267" s="174"/>
      <c r="F267" s="174"/>
      <c r="G267" s="174"/>
      <c r="H267" s="174"/>
      <c r="I267" s="171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ht="15.75" customHeight="1">
      <c r="A268" s="171"/>
      <c r="B268" s="171"/>
      <c r="C268" s="171"/>
      <c r="D268" s="171"/>
      <c r="E268" s="174"/>
      <c r="F268" s="174"/>
      <c r="G268" s="174"/>
      <c r="H268" s="174"/>
      <c r="I268" s="171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ht="15.75" customHeight="1">
      <c r="A269" s="171"/>
      <c r="B269" s="171"/>
      <c r="C269" s="171"/>
      <c r="D269" s="171"/>
      <c r="E269" s="174"/>
      <c r="F269" s="174"/>
      <c r="G269" s="174"/>
      <c r="H269" s="174"/>
      <c r="I269" s="171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ht="15.75" customHeight="1">
      <c r="A270" s="171"/>
      <c r="B270" s="171"/>
      <c r="C270" s="171"/>
      <c r="D270" s="171"/>
      <c r="E270" s="174"/>
      <c r="F270" s="174"/>
      <c r="G270" s="174"/>
      <c r="H270" s="174"/>
      <c r="I270" s="171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ht="15.75" customHeight="1">
      <c r="A271" s="171"/>
      <c r="B271" s="171"/>
      <c r="C271" s="171"/>
      <c r="D271" s="171"/>
      <c r="E271" s="174"/>
      <c r="F271" s="174"/>
      <c r="G271" s="174"/>
      <c r="H271" s="174"/>
      <c r="I271" s="171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ht="15.75" customHeight="1">
      <c r="A272" s="171"/>
      <c r="B272" s="171"/>
      <c r="C272" s="171"/>
      <c r="D272" s="171"/>
      <c r="E272" s="174"/>
      <c r="F272" s="174"/>
      <c r="G272" s="174"/>
      <c r="H272" s="174"/>
      <c r="I272" s="171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ht="15.75" customHeight="1">
      <c r="A273" s="171"/>
      <c r="B273" s="171"/>
      <c r="C273" s="171"/>
      <c r="D273" s="171"/>
      <c r="E273" s="174"/>
      <c r="F273" s="174"/>
      <c r="G273" s="174"/>
      <c r="H273" s="174"/>
      <c r="I273" s="171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ht="15.75" customHeight="1">
      <c r="A274" s="171"/>
      <c r="B274" s="171"/>
      <c r="C274" s="171"/>
      <c r="D274" s="171"/>
      <c r="E274" s="174"/>
      <c r="F274" s="174"/>
      <c r="G274" s="174"/>
      <c r="H274" s="174"/>
      <c r="I274" s="171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ht="15.75" customHeight="1">
      <c r="A275" s="171"/>
      <c r="B275" s="171"/>
      <c r="C275" s="171"/>
      <c r="D275" s="171"/>
      <c r="E275" s="174"/>
      <c r="F275" s="174"/>
      <c r="G275" s="174"/>
      <c r="H275" s="174"/>
      <c r="I275" s="171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ht="15.75" customHeight="1">
      <c r="A276" s="171"/>
      <c r="B276" s="171"/>
      <c r="C276" s="171"/>
      <c r="D276" s="171"/>
      <c r="E276" s="174"/>
      <c r="F276" s="174"/>
      <c r="G276" s="174"/>
      <c r="H276" s="174"/>
      <c r="I276" s="171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ht="15.75" customHeight="1">
      <c r="A277" s="171"/>
      <c r="B277" s="171"/>
      <c r="C277" s="171"/>
      <c r="D277" s="171"/>
      <c r="E277" s="174"/>
      <c r="F277" s="174"/>
      <c r="G277" s="174"/>
      <c r="H277" s="174"/>
      <c r="I277" s="171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ht="15.75" customHeight="1">
      <c r="A278" s="171"/>
      <c r="B278" s="171"/>
      <c r="C278" s="171"/>
      <c r="D278" s="171"/>
      <c r="E278" s="174"/>
      <c r="F278" s="174"/>
      <c r="G278" s="174"/>
      <c r="H278" s="174"/>
      <c r="I278" s="171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ht="15.75" customHeight="1">
      <c r="A279" s="171"/>
      <c r="B279" s="171"/>
      <c r="C279" s="171"/>
      <c r="D279" s="171"/>
      <c r="E279" s="174"/>
      <c r="F279" s="174"/>
      <c r="G279" s="174"/>
      <c r="H279" s="174"/>
      <c r="I279" s="171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ht="15.75" customHeight="1">
      <c r="A280" s="171"/>
      <c r="B280" s="171"/>
      <c r="C280" s="171"/>
      <c r="D280" s="171"/>
      <c r="E280" s="174"/>
      <c r="F280" s="174"/>
      <c r="G280" s="174"/>
      <c r="H280" s="174"/>
      <c r="I280" s="171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ht="15.75" customHeight="1">
      <c r="A281" s="171"/>
      <c r="B281" s="171"/>
      <c r="C281" s="171"/>
      <c r="D281" s="171"/>
      <c r="E281" s="174"/>
      <c r="F281" s="174"/>
      <c r="G281" s="174"/>
      <c r="H281" s="174"/>
      <c r="I281" s="171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ht="15.75" customHeight="1">
      <c r="A282" s="171"/>
      <c r="B282" s="171"/>
      <c r="C282" s="171"/>
      <c r="D282" s="171"/>
      <c r="E282" s="174"/>
      <c r="F282" s="174"/>
      <c r="G282" s="174"/>
      <c r="H282" s="174"/>
      <c r="I282" s="171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ht="15.75" customHeight="1">
      <c r="A283" s="171"/>
      <c r="B283" s="171"/>
      <c r="C283" s="171"/>
      <c r="D283" s="171"/>
      <c r="E283" s="174"/>
      <c r="F283" s="174"/>
      <c r="G283" s="174"/>
      <c r="H283" s="174"/>
      <c r="I283" s="171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ht="15.75" customHeight="1">
      <c r="A284" s="171"/>
      <c r="B284" s="171"/>
      <c r="C284" s="171"/>
      <c r="D284" s="171"/>
      <c r="E284" s="174"/>
      <c r="F284" s="174"/>
      <c r="G284" s="174"/>
      <c r="H284" s="174"/>
      <c r="I284" s="171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ht="15.75" customHeight="1">
      <c r="A285" s="171"/>
      <c r="B285" s="171"/>
      <c r="C285" s="171"/>
      <c r="D285" s="171"/>
      <c r="E285" s="174"/>
      <c r="F285" s="174"/>
      <c r="G285" s="174"/>
      <c r="H285" s="174"/>
      <c r="I285" s="171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ht="15.75" customHeight="1">
      <c r="A286" s="171"/>
      <c r="B286" s="171"/>
      <c r="C286" s="171"/>
      <c r="D286" s="171"/>
      <c r="E286" s="174"/>
      <c r="F286" s="174"/>
      <c r="G286" s="174"/>
      <c r="H286" s="174"/>
      <c r="I286" s="171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ht="15.75" customHeight="1">
      <c r="A287" s="171"/>
      <c r="B287" s="171"/>
      <c r="C287" s="171"/>
      <c r="D287" s="171"/>
      <c r="E287" s="174"/>
      <c r="F287" s="174"/>
      <c r="G287" s="174"/>
      <c r="H287" s="174"/>
      <c r="I287" s="171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ht="15.75" customHeight="1">
      <c r="A288" s="171"/>
      <c r="B288" s="171"/>
      <c r="C288" s="171"/>
      <c r="D288" s="171"/>
      <c r="E288" s="174"/>
      <c r="F288" s="174"/>
      <c r="G288" s="174"/>
      <c r="H288" s="174"/>
      <c r="I288" s="171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ht="15.75" customHeight="1">
      <c r="A289" s="171"/>
      <c r="B289" s="171"/>
      <c r="C289" s="171"/>
      <c r="D289" s="171"/>
      <c r="E289" s="174"/>
      <c r="F289" s="174"/>
      <c r="G289" s="174"/>
      <c r="H289" s="174"/>
      <c r="I289" s="171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ht="15.75" customHeight="1">
      <c r="A290" s="171"/>
      <c r="B290" s="171"/>
      <c r="C290" s="171"/>
      <c r="D290" s="171"/>
      <c r="E290" s="174"/>
      <c r="F290" s="174"/>
      <c r="G290" s="174"/>
      <c r="H290" s="174"/>
      <c r="I290" s="171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ht="15.75" customHeight="1">
      <c r="A291" s="171"/>
      <c r="B291" s="171"/>
      <c r="C291" s="171"/>
      <c r="D291" s="171"/>
      <c r="E291" s="174"/>
      <c r="F291" s="174"/>
      <c r="G291" s="174"/>
      <c r="H291" s="174"/>
      <c r="I291" s="171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ht="15.75" customHeight="1">
      <c r="A292" s="171"/>
      <c r="B292" s="171"/>
      <c r="C292" s="171"/>
      <c r="D292" s="171"/>
      <c r="E292" s="174"/>
      <c r="F292" s="174"/>
      <c r="G292" s="174"/>
      <c r="H292" s="174"/>
      <c r="I292" s="171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ht="15.75" customHeight="1">
      <c r="A293" s="171"/>
      <c r="B293" s="171"/>
      <c r="C293" s="171"/>
      <c r="D293" s="171"/>
      <c r="E293" s="174"/>
      <c r="F293" s="174"/>
      <c r="G293" s="174"/>
      <c r="H293" s="174"/>
      <c r="I293" s="171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ht="15.75" customHeight="1">
      <c r="A294" s="171"/>
      <c r="B294" s="171"/>
      <c r="C294" s="171"/>
      <c r="D294" s="171"/>
      <c r="E294" s="174"/>
      <c r="F294" s="174"/>
      <c r="G294" s="174"/>
      <c r="H294" s="174"/>
      <c r="I294" s="171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ht="15.75" customHeight="1">
      <c r="A295" s="171"/>
      <c r="B295" s="171"/>
      <c r="C295" s="171"/>
      <c r="D295" s="171"/>
      <c r="E295" s="174"/>
      <c r="F295" s="174"/>
      <c r="G295" s="174"/>
      <c r="H295" s="174"/>
      <c r="I295" s="171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ht="15.75" customHeight="1">
      <c r="A296" s="171"/>
      <c r="B296" s="171"/>
      <c r="C296" s="171"/>
      <c r="D296" s="171"/>
      <c r="E296" s="174"/>
      <c r="F296" s="174"/>
      <c r="G296" s="174"/>
      <c r="H296" s="174"/>
      <c r="I296" s="171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ht="15.75" customHeight="1">
      <c r="A297" s="171"/>
      <c r="B297" s="171"/>
      <c r="C297" s="171"/>
      <c r="D297" s="171"/>
      <c r="E297" s="174"/>
      <c r="F297" s="174"/>
      <c r="G297" s="174"/>
      <c r="H297" s="174"/>
      <c r="I297" s="171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ht="15.75" customHeight="1">
      <c r="A298" s="171"/>
      <c r="B298" s="171"/>
      <c r="C298" s="171"/>
      <c r="D298" s="171"/>
      <c r="E298" s="174"/>
      <c r="F298" s="174"/>
      <c r="G298" s="174"/>
      <c r="H298" s="174"/>
      <c r="I298" s="171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ht="15.75" customHeight="1">
      <c r="A299" s="171"/>
      <c r="B299" s="171"/>
      <c r="C299" s="171"/>
      <c r="D299" s="171"/>
      <c r="E299" s="174"/>
      <c r="F299" s="174"/>
      <c r="G299" s="174"/>
      <c r="H299" s="174"/>
      <c r="I299" s="171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ht="15.75" customHeight="1">
      <c r="A300" s="171"/>
      <c r="B300" s="171"/>
      <c r="C300" s="171"/>
      <c r="D300" s="171"/>
      <c r="E300" s="174"/>
      <c r="F300" s="174"/>
      <c r="G300" s="174"/>
      <c r="H300" s="174"/>
      <c r="I300" s="171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ht="15.75" customHeight="1">
      <c r="A301" s="171"/>
      <c r="B301" s="171"/>
      <c r="C301" s="171"/>
      <c r="D301" s="171"/>
      <c r="E301" s="174"/>
      <c r="F301" s="174"/>
      <c r="G301" s="174"/>
      <c r="H301" s="174"/>
      <c r="I301" s="171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ht="15.75" customHeight="1">
      <c r="A302" s="171"/>
      <c r="B302" s="171"/>
      <c r="C302" s="171"/>
      <c r="D302" s="171"/>
      <c r="E302" s="174"/>
      <c r="F302" s="174"/>
      <c r="G302" s="174"/>
      <c r="H302" s="174"/>
      <c r="I302" s="171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ht="15.75" customHeight="1">
      <c r="A303" s="171"/>
      <c r="B303" s="171"/>
      <c r="C303" s="171"/>
      <c r="D303" s="171"/>
      <c r="E303" s="174"/>
      <c r="F303" s="174"/>
      <c r="G303" s="174"/>
      <c r="H303" s="174"/>
      <c r="I303" s="171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ht="15.75" customHeight="1">
      <c r="A304" s="171"/>
      <c r="B304" s="171"/>
      <c r="C304" s="171"/>
      <c r="D304" s="171"/>
      <c r="E304" s="174"/>
      <c r="F304" s="174"/>
      <c r="G304" s="174"/>
      <c r="H304" s="174"/>
      <c r="I304" s="171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ht="15.75" customHeight="1">
      <c r="A305" s="171"/>
      <c r="B305" s="171"/>
      <c r="C305" s="171"/>
      <c r="D305" s="171"/>
      <c r="E305" s="174"/>
      <c r="F305" s="174"/>
      <c r="G305" s="174"/>
      <c r="H305" s="174"/>
      <c r="I305" s="171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ht="15.75" customHeight="1">
      <c r="A306" s="171"/>
      <c r="B306" s="171"/>
      <c r="C306" s="171"/>
      <c r="D306" s="171"/>
      <c r="E306" s="174"/>
      <c r="F306" s="174"/>
      <c r="G306" s="174"/>
      <c r="H306" s="174"/>
      <c r="I306" s="171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ht="15.75" customHeight="1">
      <c r="A307" s="171"/>
      <c r="B307" s="171"/>
      <c r="C307" s="171"/>
      <c r="D307" s="171"/>
      <c r="E307" s="174"/>
      <c r="F307" s="174"/>
      <c r="G307" s="174"/>
      <c r="H307" s="174"/>
      <c r="I307" s="171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ht="15.75" customHeight="1">
      <c r="A308" s="171"/>
      <c r="B308" s="171"/>
      <c r="C308" s="171"/>
      <c r="D308" s="171"/>
      <c r="E308" s="174"/>
      <c r="F308" s="174"/>
      <c r="G308" s="174"/>
      <c r="H308" s="174"/>
      <c r="I308" s="171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ht="15.75" customHeight="1">
      <c r="A309" s="171"/>
      <c r="B309" s="171"/>
      <c r="C309" s="171"/>
      <c r="D309" s="171"/>
      <c r="E309" s="174"/>
      <c r="F309" s="174"/>
      <c r="G309" s="174"/>
      <c r="H309" s="174"/>
      <c r="I309" s="171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ht="15.75" customHeight="1">
      <c r="A310" s="171"/>
      <c r="B310" s="171"/>
      <c r="C310" s="171"/>
      <c r="D310" s="171"/>
      <c r="E310" s="174"/>
      <c r="F310" s="174"/>
      <c r="G310" s="174"/>
      <c r="H310" s="174"/>
      <c r="I310" s="171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ht="15.75" customHeight="1">
      <c r="A311" s="171"/>
      <c r="B311" s="171"/>
      <c r="C311" s="171"/>
      <c r="D311" s="171"/>
      <c r="E311" s="174"/>
      <c r="F311" s="174"/>
      <c r="G311" s="174"/>
      <c r="H311" s="174"/>
      <c r="I311" s="171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ht="15.75" customHeight="1">
      <c r="A312" s="171"/>
      <c r="B312" s="171"/>
      <c r="C312" s="171"/>
      <c r="D312" s="171"/>
      <c r="E312" s="174"/>
      <c r="F312" s="174"/>
      <c r="G312" s="174"/>
      <c r="H312" s="174"/>
      <c r="I312" s="171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ht="15.75" customHeight="1">
      <c r="A313" s="171"/>
      <c r="B313" s="171"/>
      <c r="C313" s="171"/>
      <c r="D313" s="171"/>
      <c r="E313" s="174"/>
      <c r="F313" s="174"/>
      <c r="G313" s="174"/>
      <c r="H313" s="174"/>
      <c r="I313" s="171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ht="15.75" customHeight="1">
      <c r="A314" s="171"/>
      <c r="B314" s="171"/>
      <c r="C314" s="171"/>
      <c r="D314" s="171"/>
      <c r="E314" s="174"/>
      <c r="F314" s="174"/>
      <c r="G314" s="174"/>
      <c r="H314" s="174"/>
      <c r="I314" s="171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ht="15.75" customHeight="1">
      <c r="A315" s="171"/>
      <c r="B315" s="171"/>
      <c r="C315" s="171"/>
      <c r="D315" s="171"/>
      <c r="E315" s="174"/>
      <c r="F315" s="174"/>
      <c r="G315" s="174"/>
      <c r="H315" s="174"/>
      <c r="I315" s="171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ht="15.75" customHeight="1">
      <c r="A316" s="171"/>
      <c r="B316" s="171"/>
      <c r="C316" s="171"/>
      <c r="D316" s="171"/>
      <c r="E316" s="174"/>
      <c r="F316" s="174"/>
      <c r="G316" s="174"/>
      <c r="H316" s="174"/>
      <c r="I316" s="171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ht="15.75" customHeight="1">
      <c r="A317" s="171"/>
      <c r="B317" s="171"/>
      <c r="C317" s="171"/>
      <c r="D317" s="171"/>
      <c r="E317" s="174"/>
      <c r="F317" s="174"/>
      <c r="G317" s="174"/>
      <c r="H317" s="174"/>
      <c r="I317" s="171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ht="15.75" customHeight="1">
      <c r="A318" s="171"/>
      <c r="B318" s="171"/>
      <c r="C318" s="171"/>
      <c r="D318" s="171"/>
      <c r="E318" s="174"/>
      <c r="F318" s="174"/>
      <c r="G318" s="174"/>
      <c r="H318" s="174"/>
      <c r="I318" s="171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ht="15.75" customHeight="1">
      <c r="A319" s="171"/>
      <c r="B319" s="171"/>
      <c r="C319" s="171"/>
      <c r="D319" s="171"/>
      <c r="E319" s="174"/>
      <c r="F319" s="174"/>
      <c r="G319" s="174"/>
      <c r="H319" s="174"/>
      <c r="I319" s="171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ht="15.75" customHeight="1">
      <c r="A320" s="171"/>
      <c r="B320" s="171"/>
      <c r="C320" s="171"/>
      <c r="D320" s="171"/>
      <c r="E320" s="174"/>
      <c r="F320" s="174"/>
      <c r="G320" s="174"/>
      <c r="H320" s="174"/>
      <c r="I320" s="171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ht="15.75" customHeight="1">
      <c r="A321" s="171"/>
      <c r="B321" s="171"/>
      <c r="C321" s="171"/>
      <c r="D321" s="171"/>
      <c r="E321" s="174"/>
      <c r="F321" s="174"/>
      <c r="G321" s="174"/>
      <c r="H321" s="174"/>
      <c r="I321" s="171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ht="15.75" customHeight="1">
      <c r="A322" s="171"/>
      <c r="B322" s="171"/>
      <c r="C322" s="171"/>
      <c r="D322" s="171"/>
      <c r="E322" s="174"/>
      <c r="F322" s="174"/>
      <c r="G322" s="174"/>
      <c r="H322" s="174"/>
      <c r="I322" s="171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ht="15.75" customHeight="1">
      <c r="A323" s="171"/>
      <c r="B323" s="171"/>
      <c r="C323" s="171"/>
      <c r="D323" s="171"/>
      <c r="E323" s="174"/>
      <c r="F323" s="174"/>
      <c r="G323" s="174"/>
      <c r="H323" s="174"/>
      <c r="I323" s="171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ht="15.75" customHeight="1">
      <c r="A324" s="171"/>
      <c r="B324" s="171"/>
      <c r="C324" s="171"/>
      <c r="D324" s="171"/>
      <c r="E324" s="174"/>
      <c r="F324" s="174"/>
      <c r="G324" s="174"/>
      <c r="H324" s="174"/>
      <c r="I324" s="171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ht="15.75" customHeight="1">
      <c r="A325" s="171"/>
      <c r="B325" s="171"/>
      <c r="C325" s="171"/>
      <c r="D325" s="171"/>
      <c r="E325" s="174"/>
      <c r="F325" s="174"/>
      <c r="G325" s="174"/>
      <c r="H325" s="174"/>
      <c r="I325" s="171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ht="15.75" customHeight="1">
      <c r="A326" s="171"/>
      <c r="B326" s="171"/>
      <c r="C326" s="171"/>
      <c r="D326" s="171"/>
      <c r="E326" s="174"/>
      <c r="F326" s="174"/>
      <c r="G326" s="174"/>
      <c r="H326" s="174"/>
      <c r="I326" s="171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ht="15.75" customHeight="1">
      <c r="A327" s="171"/>
      <c r="B327" s="171"/>
      <c r="C327" s="171"/>
      <c r="D327" s="171"/>
      <c r="E327" s="174"/>
      <c r="F327" s="174"/>
      <c r="G327" s="174"/>
      <c r="H327" s="174"/>
      <c r="I327" s="171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ht="15.75" customHeight="1">
      <c r="A328" s="171"/>
      <c r="B328" s="171"/>
      <c r="C328" s="171"/>
      <c r="D328" s="171"/>
      <c r="E328" s="174"/>
      <c r="F328" s="174"/>
      <c r="G328" s="174"/>
      <c r="H328" s="174"/>
      <c r="I328" s="171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ht="15.75" customHeight="1">
      <c r="A329" s="171"/>
      <c r="B329" s="171"/>
      <c r="C329" s="171"/>
      <c r="D329" s="171"/>
      <c r="E329" s="174"/>
      <c r="F329" s="174"/>
      <c r="G329" s="174"/>
      <c r="H329" s="174"/>
      <c r="I329" s="171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ht="15.75" customHeight="1">
      <c r="A330" s="171"/>
      <c r="B330" s="171"/>
      <c r="C330" s="171"/>
      <c r="D330" s="171"/>
      <c r="E330" s="174"/>
      <c r="F330" s="174"/>
      <c r="G330" s="174"/>
      <c r="H330" s="174"/>
      <c r="I330" s="171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ht="15.75" customHeight="1">
      <c r="A331" s="171"/>
      <c r="B331" s="171"/>
      <c r="C331" s="171"/>
      <c r="D331" s="171"/>
      <c r="E331" s="174"/>
      <c r="F331" s="174"/>
      <c r="G331" s="174"/>
      <c r="H331" s="174"/>
      <c r="I331" s="171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ht="15.75" customHeight="1">
      <c r="A332" s="171"/>
      <c r="B332" s="171"/>
      <c r="C332" s="171"/>
      <c r="D332" s="171"/>
      <c r="E332" s="174"/>
      <c r="F332" s="174"/>
      <c r="G332" s="174"/>
      <c r="H332" s="174"/>
      <c r="I332" s="171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ht="15.75" customHeight="1">
      <c r="A333" s="171"/>
      <c r="B333" s="171"/>
      <c r="C333" s="171"/>
      <c r="D333" s="171"/>
      <c r="E333" s="174"/>
      <c r="F333" s="174"/>
      <c r="G333" s="174"/>
      <c r="H333" s="174"/>
      <c r="I333" s="171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ht="15.75" customHeight="1">
      <c r="A334" s="171"/>
      <c r="B334" s="171"/>
      <c r="C334" s="171"/>
      <c r="D334" s="171"/>
      <c r="E334" s="174"/>
      <c r="F334" s="174"/>
      <c r="G334" s="174"/>
      <c r="H334" s="174"/>
      <c r="I334" s="171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ht="15.75" customHeight="1">
      <c r="A335" s="171"/>
      <c r="B335" s="171"/>
      <c r="C335" s="171"/>
      <c r="D335" s="171"/>
      <c r="E335" s="174"/>
      <c r="F335" s="174"/>
      <c r="G335" s="174"/>
      <c r="H335" s="174"/>
      <c r="I335" s="171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ht="15.75" customHeight="1">
      <c r="A336" s="171"/>
      <c r="B336" s="171"/>
      <c r="C336" s="171"/>
      <c r="D336" s="171"/>
      <c r="E336" s="174"/>
      <c r="F336" s="174"/>
      <c r="G336" s="174"/>
      <c r="H336" s="174"/>
      <c r="I336" s="171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ht="15.75" customHeight="1">
      <c r="A337" s="171"/>
      <c r="B337" s="171"/>
      <c r="C337" s="171"/>
      <c r="D337" s="171"/>
      <c r="E337" s="174"/>
      <c r="F337" s="174"/>
      <c r="G337" s="174"/>
      <c r="H337" s="174"/>
      <c r="I337" s="171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ht="15.75" customHeight="1">
      <c r="A338" s="171"/>
      <c r="B338" s="171"/>
      <c r="C338" s="171"/>
      <c r="D338" s="171"/>
      <c r="E338" s="174"/>
      <c r="F338" s="174"/>
      <c r="G338" s="174"/>
      <c r="H338" s="174"/>
      <c r="I338" s="171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ht="15.75" customHeight="1">
      <c r="A339" s="171"/>
      <c r="B339" s="171"/>
      <c r="C339" s="171"/>
      <c r="D339" s="171"/>
      <c r="E339" s="174"/>
      <c r="F339" s="174"/>
      <c r="G339" s="174"/>
      <c r="H339" s="174"/>
      <c r="I339" s="171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ht="15.75" customHeight="1">
      <c r="A340" s="171"/>
      <c r="B340" s="171"/>
      <c r="C340" s="171"/>
      <c r="D340" s="171"/>
      <c r="E340" s="174"/>
      <c r="F340" s="174"/>
      <c r="G340" s="174"/>
      <c r="H340" s="174"/>
      <c r="I340" s="171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ht="15.75" customHeight="1">
      <c r="A341" s="171"/>
      <c r="B341" s="171"/>
      <c r="C341" s="171"/>
      <c r="D341" s="171"/>
      <c r="E341" s="174"/>
      <c r="F341" s="174"/>
      <c r="G341" s="174"/>
      <c r="H341" s="174"/>
      <c r="I341" s="171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ht="15.75" customHeight="1">
      <c r="A342" s="171"/>
      <c r="B342" s="171"/>
      <c r="C342" s="171"/>
      <c r="D342" s="171"/>
      <c r="E342" s="174"/>
      <c r="F342" s="174"/>
      <c r="G342" s="174"/>
      <c r="H342" s="174"/>
      <c r="I342" s="171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ht="15.75" customHeight="1">
      <c r="A343" s="171"/>
      <c r="B343" s="171"/>
      <c r="C343" s="171"/>
      <c r="D343" s="171"/>
      <c r="E343" s="174"/>
      <c r="F343" s="174"/>
      <c r="G343" s="174"/>
      <c r="H343" s="174"/>
      <c r="I343" s="171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ht="15.75" customHeight="1">
      <c r="A344" s="171"/>
      <c r="B344" s="171"/>
      <c r="C344" s="171"/>
      <c r="D344" s="171"/>
      <c r="E344" s="174"/>
      <c r="F344" s="174"/>
      <c r="G344" s="174"/>
      <c r="H344" s="174"/>
      <c r="I344" s="171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ht="15.75" customHeight="1">
      <c r="A345" s="171"/>
      <c r="B345" s="171"/>
      <c r="C345" s="171"/>
      <c r="D345" s="171"/>
      <c r="E345" s="174"/>
      <c r="F345" s="174"/>
      <c r="G345" s="174"/>
      <c r="H345" s="174"/>
      <c r="I345" s="171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ht="15.75" customHeight="1">
      <c r="A346" s="171"/>
      <c r="B346" s="171"/>
      <c r="C346" s="171"/>
      <c r="D346" s="171"/>
      <c r="E346" s="174"/>
      <c r="F346" s="174"/>
      <c r="G346" s="174"/>
      <c r="H346" s="174"/>
      <c r="I346" s="171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ht="15.75" customHeight="1">
      <c r="A347" s="171"/>
      <c r="B347" s="171"/>
      <c r="C347" s="171"/>
      <c r="D347" s="171"/>
      <c r="E347" s="174"/>
      <c r="F347" s="174"/>
      <c r="G347" s="174"/>
      <c r="H347" s="174"/>
      <c r="I347" s="171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ht="15.75" customHeight="1">
      <c r="A348" s="171"/>
      <c r="B348" s="171"/>
      <c r="C348" s="171"/>
      <c r="D348" s="171"/>
      <c r="E348" s="174"/>
      <c r="F348" s="174"/>
      <c r="G348" s="174"/>
      <c r="H348" s="174"/>
      <c r="I348" s="171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ht="15.75" customHeight="1">
      <c r="A349" s="171"/>
      <c r="B349" s="171"/>
      <c r="C349" s="171"/>
      <c r="D349" s="171"/>
      <c r="E349" s="174"/>
      <c r="F349" s="174"/>
      <c r="G349" s="174"/>
      <c r="H349" s="174"/>
      <c r="I349" s="171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ht="15.75" customHeight="1">
      <c r="A350" s="171"/>
      <c r="B350" s="171"/>
      <c r="C350" s="171"/>
      <c r="D350" s="171"/>
      <c r="E350" s="174"/>
      <c r="F350" s="174"/>
      <c r="G350" s="174"/>
      <c r="H350" s="174"/>
      <c r="I350" s="171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ht="15.75" customHeight="1">
      <c r="A351" s="171"/>
      <c r="B351" s="171"/>
      <c r="C351" s="171"/>
      <c r="D351" s="171"/>
      <c r="E351" s="174"/>
      <c r="F351" s="174"/>
      <c r="G351" s="174"/>
      <c r="H351" s="174"/>
      <c r="I351" s="171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ht="15.75" customHeight="1">
      <c r="A352" s="171"/>
      <c r="B352" s="171"/>
      <c r="C352" s="171"/>
      <c r="D352" s="171"/>
      <c r="E352" s="174"/>
      <c r="F352" s="174"/>
      <c r="G352" s="174"/>
      <c r="H352" s="174"/>
      <c r="I352" s="171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ht="15.75" customHeight="1">
      <c r="A353" s="171"/>
      <c r="B353" s="171"/>
      <c r="C353" s="171"/>
      <c r="D353" s="171"/>
      <c r="E353" s="174"/>
      <c r="F353" s="174"/>
      <c r="G353" s="174"/>
      <c r="H353" s="174"/>
      <c r="I353" s="171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ht="15.75" customHeight="1">
      <c r="A354" s="171"/>
      <c r="B354" s="171"/>
      <c r="C354" s="171"/>
      <c r="D354" s="171"/>
      <c r="E354" s="174"/>
      <c r="F354" s="174"/>
      <c r="G354" s="174"/>
      <c r="H354" s="174"/>
      <c r="I354" s="171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ht="15.75" customHeight="1">
      <c r="A355" s="171"/>
      <c r="B355" s="171"/>
      <c r="C355" s="171"/>
      <c r="D355" s="171"/>
      <c r="E355" s="174"/>
      <c r="F355" s="174"/>
      <c r="G355" s="174"/>
      <c r="H355" s="174"/>
      <c r="I355" s="171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ht="15.75" customHeight="1">
      <c r="A356" s="171"/>
      <c r="B356" s="171"/>
      <c r="C356" s="171"/>
      <c r="D356" s="171"/>
      <c r="E356" s="174"/>
      <c r="F356" s="174"/>
      <c r="G356" s="174"/>
      <c r="H356" s="174"/>
      <c r="I356" s="171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ht="15.75" customHeight="1">
      <c r="A357" s="171"/>
      <c r="B357" s="171"/>
      <c r="C357" s="171"/>
      <c r="D357" s="171"/>
      <c r="E357" s="174"/>
      <c r="F357" s="174"/>
      <c r="G357" s="174"/>
      <c r="H357" s="174"/>
      <c r="I357" s="171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ht="15.75" customHeight="1">
      <c r="A358" s="171"/>
      <c r="B358" s="171"/>
      <c r="C358" s="171"/>
      <c r="D358" s="171"/>
      <c r="E358" s="174"/>
      <c r="F358" s="174"/>
      <c r="G358" s="174"/>
      <c r="H358" s="174"/>
      <c r="I358" s="171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ht="15.75" customHeight="1">
      <c r="A359" s="171"/>
      <c r="B359" s="171"/>
      <c r="C359" s="171"/>
      <c r="D359" s="171"/>
      <c r="E359" s="174"/>
      <c r="F359" s="174"/>
      <c r="G359" s="174"/>
      <c r="H359" s="174"/>
      <c r="I359" s="171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ht="15.75" customHeight="1">
      <c r="A360" s="171"/>
      <c r="B360" s="171"/>
      <c r="C360" s="171"/>
      <c r="D360" s="171"/>
      <c r="E360" s="174"/>
      <c r="F360" s="174"/>
      <c r="G360" s="174"/>
      <c r="H360" s="174"/>
      <c r="I360" s="171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ht="15.75" customHeight="1">
      <c r="A361" s="171"/>
      <c r="B361" s="171"/>
      <c r="C361" s="171"/>
      <c r="D361" s="171"/>
      <c r="E361" s="174"/>
      <c r="F361" s="174"/>
      <c r="G361" s="174"/>
      <c r="H361" s="174"/>
      <c r="I361" s="171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ht="15.75" customHeight="1">
      <c r="A362" s="171"/>
      <c r="B362" s="171"/>
      <c r="C362" s="171"/>
      <c r="D362" s="171"/>
      <c r="E362" s="174"/>
      <c r="F362" s="174"/>
      <c r="G362" s="174"/>
      <c r="H362" s="174"/>
      <c r="I362" s="171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ht="15.75" customHeight="1">
      <c r="A363" s="171"/>
      <c r="B363" s="171"/>
      <c r="C363" s="171"/>
      <c r="D363" s="171"/>
      <c r="E363" s="174"/>
      <c r="F363" s="174"/>
      <c r="G363" s="174"/>
      <c r="H363" s="174"/>
      <c r="I363" s="171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ht="15.75" customHeight="1">
      <c r="A364" s="171"/>
      <c r="B364" s="171"/>
      <c r="C364" s="171"/>
      <c r="D364" s="171"/>
      <c r="E364" s="174"/>
      <c r="F364" s="174"/>
      <c r="G364" s="174"/>
      <c r="H364" s="174"/>
      <c r="I364" s="171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ht="15.75" customHeight="1">
      <c r="A365" s="171"/>
      <c r="B365" s="171"/>
      <c r="C365" s="171"/>
      <c r="D365" s="171"/>
      <c r="E365" s="174"/>
      <c r="F365" s="174"/>
      <c r="G365" s="174"/>
      <c r="H365" s="174"/>
      <c r="I365" s="171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ht="15.75" customHeight="1">
      <c r="A366" s="171"/>
      <c r="B366" s="171"/>
      <c r="C366" s="171"/>
      <c r="D366" s="171"/>
      <c r="E366" s="174"/>
      <c r="F366" s="174"/>
      <c r="G366" s="174"/>
      <c r="H366" s="174"/>
      <c r="I366" s="171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ht="15.75" customHeight="1">
      <c r="A367" s="171"/>
      <c r="B367" s="171"/>
      <c r="C367" s="171"/>
      <c r="D367" s="171"/>
      <c r="E367" s="174"/>
      <c r="F367" s="174"/>
      <c r="G367" s="174"/>
      <c r="H367" s="174"/>
      <c r="I367" s="171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ht="15.75" customHeight="1">
      <c r="A368" s="171"/>
      <c r="B368" s="171"/>
      <c r="C368" s="171"/>
      <c r="D368" s="171"/>
      <c r="E368" s="174"/>
      <c r="F368" s="174"/>
      <c r="G368" s="174"/>
      <c r="H368" s="174"/>
      <c r="I368" s="171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ht="15.75" customHeight="1">
      <c r="A369" s="171"/>
      <c r="B369" s="171"/>
      <c r="C369" s="171"/>
      <c r="D369" s="171"/>
      <c r="E369" s="174"/>
      <c r="F369" s="174"/>
      <c r="G369" s="174"/>
      <c r="H369" s="174"/>
      <c r="I369" s="171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ht="15.75" customHeight="1">
      <c r="A370" s="171"/>
      <c r="B370" s="171"/>
      <c r="C370" s="171"/>
      <c r="D370" s="171"/>
      <c r="E370" s="174"/>
      <c r="F370" s="174"/>
      <c r="G370" s="174"/>
      <c r="H370" s="174"/>
      <c r="I370" s="171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ht="15.75" customHeight="1">
      <c r="A371" s="171"/>
      <c r="B371" s="171"/>
      <c r="C371" s="171"/>
      <c r="D371" s="171"/>
      <c r="E371" s="174"/>
      <c r="F371" s="174"/>
      <c r="G371" s="174"/>
      <c r="H371" s="174"/>
      <c r="I371" s="171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ht="15.75" customHeight="1">
      <c r="A372" s="171"/>
      <c r="B372" s="171"/>
      <c r="C372" s="171"/>
      <c r="D372" s="171"/>
      <c r="E372" s="174"/>
      <c r="F372" s="174"/>
      <c r="G372" s="174"/>
      <c r="H372" s="174"/>
      <c r="I372" s="171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ht="15.75" customHeight="1">
      <c r="A373" s="171"/>
      <c r="B373" s="171"/>
      <c r="C373" s="171"/>
      <c r="D373" s="171"/>
      <c r="E373" s="174"/>
      <c r="F373" s="174"/>
      <c r="G373" s="174"/>
      <c r="H373" s="174"/>
      <c r="I373" s="171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ht="15.75" customHeight="1">
      <c r="A374" s="171"/>
      <c r="B374" s="171"/>
      <c r="C374" s="171"/>
      <c r="D374" s="171"/>
      <c r="E374" s="174"/>
      <c r="F374" s="174"/>
      <c r="G374" s="174"/>
      <c r="H374" s="174"/>
      <c r="I374" s="171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ht="15.75" customHeight="1">
      <c r="A375" s="171"/>
      <c r="B375" s="171"/>
      <c r="C375" s="171"/>
      <c r="D375" s="171"/>
      <c r="E375" s="174"/>
      <c r="F375" s="174"/>
      <c r="G375" s="174"/>
      <c r="H375" s="174"/>
      <c r="I375" s="171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ht="15.75" customHeight="1">
      <c r="A376" s="171"/>
      <c r="B376" s="171"/>
      <c r="C376" s="171"/>
      <c r="D376" s="171"/>
      <c r="E376" s="174"/>
      <c r="F376" s="174"/>
      <c r="G376" s="174"/>
      <c r="H376" s="174"/>
      <c r="I376" s="171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ht="15.75" customHeight="1">
      <c r="A377" s="171"/>
      <c r="B377" s="171"/>
      <c r="C377" s="171"/>
      <c r="D377" s="171"/>
      <c r="E377" s="174"/>
      <c r="F377" s="174"/>
      <c r="G377" s="174"/>
      <c r="H377" s="174"/>
      <c r="I377" s="171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ht="15.75" customHeight="1">
      <c r="A378" s="171"/>
      <c r="B378" s="171"/>
      <c r="C378" s="171"/>
      <c r="D378" s="171"/>
      <c r="E378" s="174"/>
      <c r="F378" s="174"/>
      <c r="G378" s="174"/>
      <c r="H378" s="174"/>
      <c r="I378" s="171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ht="15.75" customHeight="1">
      <c r="A379" s="171"/>
      <c r="B379" s="171"/>
      <c r="C379" s="171"/>
      <c r="D379" s="171"/>
      <c r="E379" s="174"/>
      <c r="F379" s="174"/>
      <c r="G379" s="174"/>
      <c r="H379" s="174"/>
      <c r="I379" s="171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ht="15.75" customHeight="1">
      <c r="A380" s="171"/>
      <c r="B380" s="171"/>
      <c r="C380" s="171"/>
      <c r="D380" s="171"/>
      <c r="E380" s="174"/>
      <c r="F380" s="174"/>
      <c r="G380" s="174"/>
      <c r="H380" s="174"/>
      <c r="I380" s="171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ht="15.75" customHeight="1">
      <c r="A381" s="171"/>
      <c r="B381" s="171"/>
      <c r="C381" s="171"/>
      <c r="D381" s="171"/>
      <c r="E381" s="174"/>
      <c r="F381" s="174"/>
      <c r="G381" s="174"/>
      <c r="H381" s="174"/>
      <c r="I381" s="171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ht="15.75" customHeight="1">
      <c r="A382" s="171"/>
      <c r="B382" s="171"/>
      <c r="C382" s="171"/>
      <c r="D382" s="171"/>
      <c r="E382" s="174"/>
      <c r="F382" s="174"/>
      <c r="G382" s="174"/>
      <c r="H382" s="174"/>
      <c r="I382" s="171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ht="15.75" customHeight="1">
      <c r="A383" s="171"/>
      <c r="B383" s="171"/>
      <c r="C383" s="171"/>
      <c r="D383" s="171"/>
      <c r="E383" s="174"/>
      <c r="F383" s="174"/>
      <c r="G383" s="174"/>
      <c r="H383" s="174"/>
      <c r="I383" s="171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ht="15.75" customHeight="1">
      <c r="A384" s="171"/>
      <c r="B384" s="171"/>
      <c r="C384" s="171"/>
      <c r="D384" s="171"/>
      <c r="E384" s="174"/>
      <c r="F384" s="174"/>
      <c r="G384" s="174"/>
      <c r="H384" s="174"/>
      <c r="I384" s="171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ht="15.75" customHeight="1">
      <c r="A385" s="171"/>
      <c r="B385" s="171"/>
      <c r="C385" s="171"/>
      <c r="D385" s="171"/>
      <c r="E385" s="174"/>
      <c r="F385" s="174"/>
      <c r="G385" s="174"/>
      <c r="H385" s="174"/>
      <c r="I385" s="171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ht="15.75" customHeight="1">
      <c r="A386" s="171"/>
      <c r="B386" s="171"/>
      <c r="C386" s="171"/>
      <c r="D386" s="171"/>
      <c r="E386" s="174"/>
      <c r="F386" s="174"/>
      <c r="G386" s="174"/>
      <c r="H386" s="174"/>
      <c r="I386" s="171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ht="15.75" customHeight="1">
      <c r="A387" s="171"/>
      <c r="B387" s="171"/>
      <c r="C387" s="171"/>
      <c r="D387" s="171"/>
      <c r="E387" s="174"/>
      <c r="F387" s="174"/>
      <c r="G387" s="174"/>
      <c r="H387" s="174"/>
      <c r="I387" s="171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ht="15.75" customHeight="1">
      <c r="A388" s="171"/>
      <c r="B388" s="171"/>
      <c r="C388" s="171"/>
      <c r="D388" s="171"/>
      <c r="E388" s="174"/>
      <c r="F388" s="174"/>
      <c r="G388" s="174"/>
      <c r="H388" s="174"/>
      <c r="I388" s="171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ht="15.75" customHeight="1">
      <c r="A389" s="171"/>
      <c r="B389" s="171"/>
      <c r="C389" s="171"/>
      <c r="D389" s="171"/>
      <c r="E389" s="174"/>
      <c r="F389" s="174"/>
      <c r="G389" s="174"/>
      <c r="H389" s="174"/>
      <c r="I389" s="171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ht="15.75" customHeight="1">
      <c r="A390" s="171"/>
      <c r="B390" s="171"/>
      <c r="C390" s="171"/>
      <c r="D390" s="171"/>
      <c r="E390" s="174"/>
      <c r="F390" s="174"/>
      <c r="G390" s="174"/>
      <c r="H390" s="174"/>
      <c r="I390" s="171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ht="15.75" customHeight="1">
      <c r="A391" s="171"/>
      <c r="B391" s="171"/>
      <c r="C391" s="171"/>
      <c r="D391" s="171"/>
      <c r="E391" s="174"/>
      <c r="F391" s="174"/>
      <c r="G391" s="174"/>
      <c r="H391" s="174"/>
      <c r="I391" s="171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ht="15.75" customHeight="1">
      <c r="A392" s="171"/>
      <c r="B392" s="171"/>
      <c r="C392" s="171"/>
      <c r="D392" s="171"/>
      <c r="E392" s="174"/>
      <c r="F392" s="174"/>
      <c r="G392" s="174"/>
      <c r="H392" s="174"/>
      <c r="I392" s="171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ht="15.75" customHeight="1">
      <c r="A393" s="171"/>
      <c r="B393" s="171"/>
      <c r="C393" s="171"/>
      <c r="D393" s="171"/>
      <c r="E393" s="174"/>
      <c r="F393" s="174"/>
      <c r="G393" s="174"/>
      <c r="H393" s="174"/>
      <c r="I393" s="171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ht="15.75" customHeight="1">
      <c r="A394" s="171"/>
      <c r="B394" s="171"/>
      <c r="C394" s="171"/>
      <c r="D394" s="171"/>
      <c r="E394" s="174"/>
      <c r="F394" s="174"/>
      <c r="G394" s="174"/>
      <c r="H394" s="174"/>
      <c r="I394" s="171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ht="15.75" customHeight="1">
      <c r="A395" s="171"/>
      <c r="B395" s="171"/>
      <c r="C395" s="171"/>
      <c r="D395" s="171"/>
      <c r="E395" s="174"/>
      <c r="F395" s="174"/>
      <c r="G395" s="174"/>
      <c r="H395" s="174"/>
      <c r="I395" s="171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ht="15.75" customHeight="1">
      <c r="A396" s="171"/>
      <c r="B396" s="171"/>
      <c r="C396" s="171"/>
      <c r="D396" s="171"/>
      <c r="E396" s="174"/>
      <c r="F396" s="174"/>
      <c r="G396" s="174"/>
      <c r="H396" s="174"/>
      <c r="I396" s="171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ht="15.75" customHeight="1">
      <c r="A397" s="171"/>
      <c r="B397" s="171"/>
      <c r="C397" s="171"/>
      <c r="D397" s="171"/>
      <c r="E397" s="174"/>
      <c r="F397" s="174"/>
      <c r="G397" s="174"/>
      <c r="H397" s="174"/>
      <c r="I397" s="171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ht="15.75" customHeight="1">
      <c r="A398" s="171"/>
      <c r="B398" s="171"/>
      <c r="C398" s="171"/>
      <c r="D398" s="171"/>
      <c r="E398" s="174"/>
      <c r="F398" s="174"/>
      <c r="G398" s="174"/>
      <c r="H398" s="174"/>
      <c r="I398" s="171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ht="15.75" customHeight="1">
      <c r="A399" s="171"/>
      <c r="B399" s="171"/>
      <c r="C399" s="171"/>
      <c r="D399" s="171"/>
      <c r="E399" s="174"/>
      <c r="F399" s="174"/>
      <c r="G399" s="174"/>
      <c r="H399" s="174"/>
      <c r="I399" s="171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ht="15.75" customHeight="1">
      <c r="A400" s="171"/>
      <c r="B400" s="171"/>
      <c r="C400" s="171"/>
      <c r="D400" s="171"/>
      <c r="E400" s="174"/>
      <c r="F400" s="174"/>
      <c r="G400" s="174"/>
      <c r="H400" s="174"/>
      <c r="I400" s="171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ht="15.75" customHeight="1">
      <c r="A401" s="171"/>
      <c r="B401" s="171"/>
      <c r="C401" s="171"/>
      <c r="D401" s="171"/>
      <c r="E401" s="174"/>
      <c r="F401" s="174"/>
      <c r="G401" s="174"/>
      <c r="H401" s="174"/>
      <c r="I401" s="171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ht="15.75" customHeight="1">
      <c r="A402" s="171"/>
      <c r="B402" s="171"/>
      <c r="C402" s="171"/>
      <c r="D402" s="171"/>
      <c r="E402" s="174"/>
      <c r="F402" s="174"/>
      <c r="G402" s="174"/>
      <c r="H402" s="174"/>
      <c r="I402" s="171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ht="15.75" customHeight="1">
      <c r="A403" s="171"/>
      <c r="B403" s="171"/>
      <c r="C403" s="171"/>
      <c r="D403" s="171"/>
      <c r="E403" s="174"/>
      <c r="F403" s="174"/>
      <c r="G403" s="174"/>
      <c r="H403" s="174"/>
      <c r="I403" s="171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ht="15.75" customHeight="1">
      <c r="A404" s="171"/>
      <c r="B404" s="171"/>
      <c r="C404" s="171"/>
      <c r="D404" s="171"/>
      <c r="E404" s="174"/>
      <c r="F404" s="174"/>
      <c r="G404" s="174"/>
      <c r="H404" s="174"/>
      <c r="I404" s="171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ht="15.75" customHeight="1">
      <c r="A405" s="171"/>
      <c r="B405" s="171"/>
      <c r="C405" s="171"/>
      <c r="D405" s="171"/>
      <c r="E405" s="174"/>
      <c r="F405" s="174"/>
      <c r="G405" s="174"/>
      <c r="H405" s="174"/>
      <c r="I405" s="171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ht="15.75" customHeight="1">
      <c r="A406" s="171"/>
      <c r="B406" s="171"/>
      <c r="C406" s="171"/>
      <c r="D406" s="171"/>
      <c r="E406" s="174"/>
      <c r="F406" s="174"/>
      <c r="G406" s="174"/>
      <c r="H406" s="174"/>
      <c r="I406" s="171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ht="15.75" customHeight="1">
      <c r="A407" s="171"/>
      <c r="B407" s="171"/>
      <c r="C407" s="171"/>
      <c r="D407" s="171"/>
      <c r="E407" s="174"/>
      <c r="F407" s="174"/>
      <c r="G407" s="174"/>
      <c r="H407" s="174"/>
      <c r="I407" s="171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ht="15.75" customHeight="1">
      <c r="A408" s="171"/>
      <c r="B408" s="171"/>
      <c r="C408" s="171"/>
      <c r="D408" s="171"/>
      <c r="E408" s="174"/>
      <c r="F408" s="174"/>
      <c r="G408" s="174"/>
      <c r="H408" s="174"/>
      <c r="I408" s="171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ht="15.75" customHeight="1">
      <c r="A409" s="171"/>
      <c r="B409" s="171"/>
      <c r="C409" s="171"/>
      <c r="D409" s="171"/>
      <c r="E409" s="174"/>
      <c r="F409" s="174"/>
      <c r="G409" s="174"/>
      <c r="H409" s="174"/>
      <c r="I409" s="171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ht="15.75" customHeight="1">
      <c r="A410" s="171"/>
      <c r="B410" s="171"/>
      <c r="C410" s="171"/>
      <c r="D410" s="171"/>
      <c r="E410" s="174"/>
      <c r="F410" s="174"/>
      <c r="G410" s="174"/>
      <c r="H410" s="174"/>
      <c r="I410" s="171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ht="15.75" customHeight="1">
      <c r="A411" s="171"/>
      <c r="B411" s="171"/>
      <c r="C411" s="171"/>
      <c r="D411" s="171"/>
      <c r="E411" s="174"/>
      <c r="F411" s="174"/>
      <c r="G411" s="174"/>
      <c r="H411" s="174"/>
      <c r="I411" s="171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ht="15.75" customHeight="1">
      <c r="A412" s="171"/>
      <c r="B412" s="171"/>
      <c r="C412" s="171"/>
      <c r="D412" s="171"/>
      <c r="E412" s="174"/>
      <c r="F412" s="174"/>
      <c r="G412" s="174"/>
      <c r="H412" s="174"/>
      <c r="I412" s="171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ht="15.75" customHeight="1">
      <c r="A413" s="171"/>
      <c r="B413" s="171"/>
      <c r="C413" s="171"/>
      <c r="D413" s="171"/>
      <c r="E413" s="174"/>
      <c r="F413" s="174"/>
      <c r="G413" s="174"/>
      <c r="H413" s="174"/>
      <c r="I413" s="171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ht="15.75" customHeight="1">
      <c r="A414" s="171"/>
      <c r="B414" s="171"/>
      <c r="C414" s="171"/>
      <c r="D414" s="171"/>
      <c r="E414" s="174"/>
      <c r="F414" s="174"/>
      <c r="G414" s="174"/>
      <c r="H414" s="174"/>
      <c r="I414" s="171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ht="15.75" customHeight="1">
      <c r="A415" s="171"/>
      <c r="B415" s="171"/>
      <c r="C415" s="171"/>
      <c r="D415" s="171"/>
      <c r="E415" s="174"/>
      <c r="F415" s="174"/>
      <c r="G415" s="174"/>
      <c r="H415" s="174"/>
      <c r="I415" s="171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ht="15.75" customHeight="1">
      <c r="A416" s="171"/>
      <c r="B416" s="171"/>
      <c r="C416" s="171"/>
      <c r="D416" s="171"/>
      <c r="E416" s="174"/>
      <c r="F416" s="174"/>
      <c r="G416" s="174"/>
      <c r="H416" s="174"/>
      <c r="I416" s="171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ht="15.75" customHeight="1">
      <c r="A417" s="171"/>
      <c r="B417" s="171"/>
      <c r="C417" s="171"/>
      <c r="D417" s="171"/>
      <c r="E417" s="174"/>
      <c r="F417" s="174"/>
      <c r="G417" s="174"/>
      <c r="H417" s="174"/>
      <c r="I417" s="171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ht="15.75" customHeight="1">
      <c r="A418" s="171"/>
      <c r="B418" s="171"/>
      <c r="C418" s="171"/>
      <c r="D418" s="171"/>
      <c r="E418" s="174"/>
      <c r="F418" s="174"/>
      <c r="G418" s="174"/>
      <c r="H418" s="174"/>
      <c r="I418" s="171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ht="15.75" customHeight="1">
      <c r="A419" s="171"/>
      <c r="B419" s="171"/>
      <c r="C419" s="171"/>
      <c r="D419" s="171"/>
      <c r="E419" s="174"/>
      <c r="F419" s="174"/>
      <c r="G419" s="174"/>
      <c r="H419" s="174"/>
      <c r="I419" s="171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ht="15.75" customHeight="1">
      <c r="A420" s="171"/>
      <c r="B420" s="171"/>
      <c r="C420" s="171"/>
      <c r="D420" s="171"/>
      <c r="E420" s="174"/>
      <c r="F420" s="174"/>
      <c r="G420" s="174"/>
      <c r="H420" s="174"/>
      <c r="I420" s="171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ht="15.75" customHeight="1">
      <c r="A421" s="171"/>
      <c r="B421" s="171"/>
      <c r="C421" s="171"/>
      <c r="D421" s="171"/>
      <c r="E421" s="174"/>
      <c r="F421" s="174"/>
      <c r="G421" s="174"/>
      <c r="H421" s="174"/>
      <c r="I421" s="171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ht="15.75" customHeight="1">
      <c r="A422" s="171"/>
      <c r="B422" s="171"/>
      <c r="C422" s="171"/>
      <c r="D422" s="171"/>
      <c r="E422" s="174"/>
      <c r="F422" s="174"/>
      <c r="G422" s="174"/>
      <c r="H422" s="174"/>
      <c r="I422" s="171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ht="15.75" customHeight="1">
      <c r="A423" s="171"/>
      <c r="B423" s="171"/>
      <c r="C423" s="171"/>
      <c r="D423" s="171"/>
      <c r="E423" s="174"/>
      <c r="F423" s="174"/>
      <c r="G423" s="174"/>
      <c r="H423" s="174"/>
      <c r="I423" s="171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ht="15.75" customHeight="1">
      <c r="A424" s="171"/>
      <c r="B424" s="171"/>
      <c r="C424" s="171"/>
      <c r="D424" s="171"/>
      <c r="E424" s="174"/>
      <c r="F424" s="174"/>
      <c r="G424" s="174"/>
      <c r="H424" s="174"/>
      <c r="I424" s="171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ht="15.75" customHeight="1">
      <c r="A425" s="171"/>
      <c r="B425" s="171"/>
      <c r="C425" s="171"/>
      <c r="D425" s="171"/>
      <c r="E425" s="174"/>
      <c r="F425" s="174"/>
      <c r="G425" s="174"/>
      <c r="H425" s="174"/>
      <c r="I425" s="171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ht="15.75" customHeight="1">
      <c r="A426" s="171"/>
      <c r="B426" s="171"/>
      <c r="C426" s="171"/>
      <c r="D426" s="171"/>
      <c r="E426" s="174"/>
      <c r="F426" s="174"/>
      <c r="G426" s="174"/>
      <c r="H426" s="174"/>
      <c r="I426" s="171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ht="15.75" customHeight="1">
      <c r="A427" s="171"/>
      <c r="B427" s="171"/>
      <c r="C427" s="171"/>
      <c r="D427" s="171"/>
      <c r="E427" s="174"/>
      <c r="F427" s="174"/>
      <c r="G427" s="174"/>
      <c r="H427" s="174"/>
      <c r="I427" s="171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ht="15.75" customHeight="1">
      <c r="A428" s="171"/>
      <c r="B428" s="171"/>
      <c r="C428" s="171"/>
      <c r="D428" s="171"/>
      <c r="E428" s="174"/>
      <c r="F428" s="174"/>
      <c r="G428" s="174"/>
      <c r="H428" s="174"/>
      <c r="I428" s="171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ht="15.75" customHeight="1">
      <c r="A429" s="171"/>
      <c r="B429" s="171"/>
      <c r="C429" s="171"/>
      <c r="D429" s="171"/>
      <c r="E429" s="174"/>
      <c r="F429" s="174"/>
      <c r="G429" s="174"/>
      <c r="H429" s="174"/>
      <c r="I429" s="171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ht="15.75" customHeight="1">
      <c r="A430" s="171"/>
      <c r="B430" s="171"/>
      <c r="C430" s="171"/>
      <c r="D430" s="171"/>
      <c r="E430" s="174"/>
      <c r="F430" s="174"/>
      <c r="G430" s="174"/>
      <c r="H430" s="174"/>
      <c r="I430" s="171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ht="15.75" customHeight="1">
      <c r="A431" s="171"/>
      <c r="B431" s="171"/>
      <c r="C431" s="171"/>
      <c r="D431" s="171"/>
      <c r="E431" s="174"/>
      <c r="F431" s="174"/>
      <c r="G431" s="174"/>
      <c r="H431" s="174"/>
      <c r="I431" s="171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ht="15.75" customHeight="1">
      <c r="A432" s="171"/>
      <c r="B432" s="171"/>
      <c r="C432" s="171"/>
      <c r="D432" s="171"/>
      <c r="E432" s="174"/>
      <c r="F432" s="174"/>
      <c r="G432" s="174"/>
      <c r="H432" s="174"/>
      <c r="I432" s="171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ht="15.75" customHeight="1">
      <c r="A433" s="171"/>
      <c r="B433" s="171"/>
      <c r="C433" s="171"/>
      <c r="D433" s="171"/>
      <c r="E433" s="174"/>
      <c r="F433" s="174"/>
      <c r="G433" s="174"/>
      <c r="H433" s="174"/>
      <c r="I433" s="171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ht="15.75" customHeight="1">
      <c r="A434" s="171"/>
      <c r="B434" s="171"/>
      <c r="C434" s="171"/>
      <c r="D434" s="171"/>
      <c r="E434" s="174"/>
      <c r="F434" s="174"/>
      <c r="G434" s="174"/>
      <c r="H434" s="174"/>
      <c r="I434" s="171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ht="15.75" customHeight="1">
      <c r="A435" s="171"/>
      <c r="B435" s="171"/>
      <c r="C435" s="171"/>
      <c r="D435" s="171"/>
      <c r="E435" s="174"/>
      <c r="F435" s="174"/>
      <c r="G435" s="174"/>
      <c r="H435" s="174"/>
      <c r="I435" s="171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ht="15.75" customHeight="1">
      <c r="A436" s="171"/>
      <c r="B436" s="171"/>
      <c r="C436" s="171"/>
      <c r="D436" s="171"/>
      <c r="E436" s="174"/>
      <c r="F436" s="174"/>
      <c r="G436" s="174"/>
      <c r="H436" s="174"/>
      <c r="I436" s="171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ht="15.75" customHeight="1">
      <c r="A437" s="171"/>
      <c r="B437" s="171"/>
      <c r="C437" s="171"/>
      <c r="D437" s="171"/>
      <c r="E437" s="174"/>
      <c r="F437" s="174"/>
      <c r="G437" s="174"/>
      <c r="H437" s="174"/>
      <c r="I437" s="171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ht="15.75" customHeight="1">
      <c r="A438" s="171"/>
      <c r="B438" s="171"/>
      <c r="C438" s="171"/>
      <c r="D438" s="171"/>
      <c r="E438" s="174"/>
      <c r="F438" s="174"/>
      <c r="G438" s="174"/>
      <c r="H438" s="174"/>
      <c r="I438" s="171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ht="15.75" customHeight="1">
      <c r="A439" s="171"/>
      <c r="B439" s="171"/>
      <c r="C439" s="171"/>
      <c r="D439" s="171"/>
      <c r="E439" s="174"/>
      <c r="F439" s="174"/>
      <c r="G439" s="174"/>
      <c r="H439" s="174"/>
      <c r="I439" s="171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ht="15.75" customHeight="1">
      <c r="A440" s="171"/>
      <c r="B440" s="171"/>
      <c r="C440" s="171"/>
      <c r="D440" s="171"/>
      <c r="E440" s="174"/>
      <c r="F440" s="174"/>
      <c r="G440" s="174"/>
      <c r="H440" s="174"/>
      <c r="I440" s="171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ht="15.75" customHeight="1">
      <c r="A441" s="171"/>
      <c r="B441" s="171"/>
      <c r="C441" s="171"/>
      <c r="D441" s="171"/>
      <c r="E441" s="174"/>
      <c r="F441" s="174"/>
      <c r="G441" s="174"/>
      <c r="H441" s="174"/>
      <c r="I441" s="171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ht="15.75" customHeight="1">
      <c r="A442" s="171"/>
      <c r="B442" s="171"/>
      <c r="C442" s="171"/>
      <c r="D442" s="171"/>
      <c r="E442" s="174"/>
      <c r="F442" s="174"/>
      <c r="G442" s="174"/>
      <c r="H442" s="174"/>
      <c r="I442" s="171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ht="15.75" customHeight="1">
      <c r="A443" s="171"/>
      <c r="B443" s="171"/>
      <c r="C443" s="171"/>
      <c r="D443" s="171"/>
      <c r="E443" s="174"/>
      <c r="F443" s="174"/>
      <c r="G443" s="174"/>
      <c r="H443" s="174"/>
      <c r="I443" s="171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ht="15.75" customHeight="1">
      <c r="A444" s="171"/>
      <c r="B444" s="171"/>
      <c r="C444" s="171"/>
      <c r="D444" s="171"/>
      <c r="E444" s="174"/>
      <c r="F444" s="174"/>
      <c r="G444" s="174"/>
      <c r="H444" s="174"/>
      <c r="I444" s="171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ht="15.75" customHeight="1">
      <c r="A445" s="171"/>
      <c r="B445" s="171"/>
      <c r="C445" s="171"/>
      <c r="D445" s="171"/>
      <c r="E445" s="174"/>
      <c r="F445" s="174"/>
      <c r="G445" s="174"/>
      <c r="H445" s="174"/>
      <c r="I445" s="171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ht="15.75" customHeight="1">
      <c r="A446" s="171"/>
      <c r="B446" s="171"/>
      <c r="C446" s="171"/>
      <c r="D446" s="171"/>
      <c r="E446" s="174"/>
      <c r="F446" s="174"/>
      <c r="G446" s="174"/>
      <c r="H446" s="174"/>
      <c r="I446" s="171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ht="15.75" customHeight="1">
      <c r="A447" s="171"/>
      <c r="B447" s="171"/>
      <c r="C447" s="171"/>
      <c r="D447" s="171"/>
      <c r="E447" s="174"/>
      <c r="F447" s="174"/>
      <c r="G447" s="174"/>
      <c r="H447" s="174"/>
      <c r="I447" s="171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ht="15.75" customHeight="1">
      <c r="A448" s="171"/>
      <c r="B448" s="171"/>
      <c r="C448" s="171"/>
      <c r="D448" s="171"/>
      <c r="E448" s="174"/>
      <c r="F448" s="174"/>
      <c r="G448" s="174"/>
      <c r="H448" s="174"/>
      <c r="I448" s="171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ht="15.75" customHeight="1">
      <c r="A449" s="171"/>
      <c r="B449" s="171"/>
      <c r="C449" s="171"/>
      <c r="D449" s="171"/>
      <c r="E449" s="174"/>
      <c r="F449" s="174"/>
      <c r="G449" s="174"/>
      <c r="H449" s="174"/>
      <c r="I449" s="171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ht="15.75" customHeight="1">
      <c r="A450" s="171"/>
      <c r="B450" s="171"/>
      <c r="C450" s="171"/>
      <c r="D450" s="171"/>
      <c r="E450" s="174"/>
      <c r="F450" s="174"/>
      <c r="G450" s="174"/>
      <c r="H450" s="174"/>
      <c r="I450" s="171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ht="15.75" customHeight="1">
      <c r="A451" s="171"/>
      <c r="B451" s="171"/>
      <c r="C451" s="171"/>
      <c r="D451" s="171"/>
      <c r="E451" s="174"/>
      <c r="F451" s="174"/>
      <c r="G451" s="174"/>
      <c r="H451" s="174"/>
      <c r="I451" s="171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ht="15.75" customHeight="1">
      <c r="A452" s="171"/>
      <c r="B452" s="171"/>
      <c r="C452" s="171"/>
      <c r="D452" s="171"/>
      <c r="E452" s="174"/>
      <c r="F452" s="174"/>
      <c r="G452" s="174"/>
      <c r="H452" s="174"/>
      <c r="I452" s="171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ht="15.75" customHeight="1">
      <c r="A453" s="171"/>
      <c r="B453" s="171"/>
      <c r="C453" s="171"/>
      <c r="D453" s="171"/>
      <c r="E453" s="174"/>
      <c r="F453" s="174"/>
      <c r="G453" s="174"/>
      <c r="H453" s="174"/>
      <c r="I453" s="171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ht="15.75" customHeight="1">
      <c r="A454" s="171"/>
      <c r="B454" s="171"/>
      <c r="C454" s="171"/>
      <c r="D454" s="171"/>
      <c r="E454" s="174"/>
      <c r="F454" s="174"/>
      <c r="G454" s="174"/>
      <c r="H454" s="174"/>
      <c r="I454" s="171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ht="15.75" customHeight="1">
      <c r="A455" s="171"/>
      <c r="B455" s="171"/>
      <c r="C455" s="171"/>
      <c r="D455" s="171"/>
      <c r="E455" s="174"/>
      <c r="F455" s="174"/>
      <c r="G455" s="174"/>
      <c r="H455" s="174"/>
      <c r="I455" s="171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ht="15.75" customHeight="1">
      <c r="A456" s="171"/>
      <c r="B456" s="171"/>
      <c r="C456" s="171"/>
      <c r="D456" s="171"/>
      <c r="E456" s="174"/>
      <c r="F456" s="174"/>
      <c r="G456" s="174"/>
      <c r="H456" s="174"/>
      <c r="I456" s="171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ht="15.75" customHeight="1">
      <c r="A457" s="171"/>
      <c r="B457" s="171"/>
      <c r="C457" s="171"/>
      <c r="D457" s="171"/>
      <c r="E457" s="174"/>
      <c r="F457" s="174"/>
      <c r="G457" s="174"/>
      <c r="H457" s="174"/>
      <c r="I457" s="171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ht="15.75" customHeight="1">
      <c r="A458" s="171"/>
      <c r="B458" s="171"/>
      <c r="C458" s="171"/>
      <c r="D458" s="171"/>
      <c r="E458" s="174"/>
      <c r="F458" s="174"/>
      <c r="G458" s="174"/>
      <c r="H458" s="174"/>
      <c r="I458" s="171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ht="15.75" customHeight="1">
      <c r="A459" s="171"/>
      <c r="B459" s="171"/>
      <c r="C459" s="171"/>
      <c r="D459" s="171"/>
      <c r="E459" s="174"/>
      <c r="F459" s="174"/>
      <c r="G459" s="174"/>
      <c r="H459" s="174"/>
      <c r="I459" s="171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ht="15.75" customHeight="1">
      <c r="A460" s="171"/>
      <c r="B460" s="171"/>
      <c r="C460" s="171"/>
      <c r="D460" s="171"/>
      <c r="E460" s="174"/>
      <c r="F460" s="174"/>
      <c r="G460" s="174"/>
      <c r="H460" s="174"/>
      <c r="I460" s="171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ht="15.75" customHeight="1">
      <c r="A461" s="171"/>
      <c r="B461" s="171"/>
      <c r="C461" s="171"/>
      <c r="D461" s="171"/>
      <c r="E461" s="174"/>
      <c r="F461" s="174"/>
      <c r="G461" s="174"/>
      <c r="H461" s="174"/>
      <c r="I461" s="171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ht="15.75" customHeight="1">
      <c r="A462" s="171"/>
      <c r="B462" s="171"/>
      <c r="C462" s="171"/>
      <c r="D462" s="171"/>
      <c r="E462" s="174"/>
      <c r="F462" s="174"/>
      <c r="G462" s="174"/>
      <c r="H462" s="174"/>
      <c r="I462" s="171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ht="15.75" customHeight="1">
      <c r="A463" s="171"/>
      <c r="B463" s="171"/>
      <c r="C463" s="171"/>
      <c r="D463" s="171"/>
      <c r="E463" s="174"/>
      <c r="F463" s="174"/>
      <c r="G463" s="174"/>
      <c r="H463" s="174"/>
      <c r="I463" s="171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ht="15.75" customHeight="1">
      <c r="A464" s="171"/>
      <c r="B464" s="171"/>
      <c r="C464" s="171"/>
      <c r="D464" s="171"/>
      <c r="E464" s="174"/>
      <c r="F464" s="174"/>
      <c r="G464" s="174"/>
      <c r="H464" s="174"/>
      <c r="I464" s="171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ht="15.75" customHeight="1">
      <c r="A465" s="171"/>
      <c r="B465" s="171"/>
      <c r="C465" s="171"/>
      <c r="D465" s="171"/>
      <c r="E465" s="174"/>
      <c r="F465" s="174"/>
      <c r="G465" s="174"/>
      <c r="H465" s="174"/>
      <c r="I465" s="171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ht="15.75" customHeight="1">
      <c r="A466" s="171"/>
      <c r="B466" s="171"/>
      <c r="C466" s="171"/>
      <c r="D466" s="171"/>
      <c r="E466" s="174"/>
      <c r="F466" s="174"/>
      <c r="G466" s="174"/>
      <c r="H466" s="174"/>
      <c r="I466" s="171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ht="15.75" customHeight="1">
      <c r="A467" s="171"/>
      <c r="B467" s="171"/>
      <c r="C467" s="171"/>
      <c r="D467" s="171"/>
      <c r="E467" s="174"/>
      <c r="F467" s="174"/>
      <c r="G467" s="174"/>
      <c r="H467" s="174"/>
      <c r="I467" s="171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ht="15.75" customHeight="1">
      <c r="A468" s="171"/>
      <c r="B468" s="171"/>
      <c r="C468" s="171"/>
      <c r="D468" s="171"/>
      <c r="E468" s="174"/>
      <c r="F468" s="174"/>
      <c r="G468" s="174"/>
      <c r="H468" s="174"/>
      <c r="I468" s="171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ht="15.75" customHeight="1">
      <c r="A469" s="171"/>
      <c r="B469" s="171"/>
      <c r="C469" s="171"/>
      <c r="D469" s="171"/>
      <c r="E469" s="174"/>
      <c r="F469" s="174"/>
      <c r="G469" s="174"/>
      <c r="H469" s="174"/>
      <c r="I469" s="171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ht="15.75" customHeight="1">
      <c r="A470" s="171"/>
      <c r="B470" s="171"/>
      <c r="C470" s="171"/>
      <c r="D470" s="171"/>
      <c r="E470" s="174"/>
      <c r="F470" s="174"/>
      <c r="G470" s="174"/>
      <c r="H470" s="174"/>
      <c r="I470" s="171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ht="15.75" customHeight="1">
      <c r="A471" s="171"/>
      <c r="B471" s="171"/>
      <c r="C471" s="171"/>
      <c r="D471" s="171"/>
      <c r="E471" s="174"/>
      <c r="F471" s="174"/>
      <c r="G471" s="174"/>
      <c r="H471" s="174"/>
      <c r="I471" s="171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ht="15.75" customHeight="1">
      <c r="A472" s="171"/>
      <c r="B472" s="171"/>
      <c r="C472" s="171"/>
      <c r="D472" s="171"/>
      <c r="E472" s="174"/>
      <c r="F472" s="174"/>
      <c r="G472" s="174"/>
      <c r="H472" s="174"/>
      <c r="I472" s="171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ht="15.75" customHeight="1">
      <c r="A473" s="171"/>
      <c r="B473" s="171"/>
      <c r="C473" s="171"/>
      <c r="D473" s="171"/>
      <c r="E473" s="174"/>
      <c r="F473" s="174"/>
      <c r="G473" s="174"/>
      <c r="H473" s="174"/>
      <c r="I473" s="171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ht="15.75" customHeight="1">
      <c r="A474" s="171"/>
      <c r="B474" s="171"/>
      <c r="C474" s="171"/>
      <c r="D474" s="171"/>
      <c r="E474" s="174"/>
      <c r="F474" s="174"/>
      <c r="G474" s="174"/>
      <c r="H474" s="174"/>
      <c r="I474" s="171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ht="15.75" customHeight="1">
      <c r="A475" s="171"/>
      <c r="B475" s="171"/>
      <c r="C475" s="171"/>
      <c r="D475" s="171"/>
      <c r="E475" s="174"/>
      <c r="F475" s="174"/>
      <c r="G475" s="174"/>
      <c r="H475" s="174"/>
      <c r="I475" s="171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ht="15.75" customHeight="1">
      <c r="A476" s="171"/>
      <c r="B476" s="171"/>
      <c r="C476" s="171"/>
      <c r="D476" s="171"/>
      <c r="E476" s="174"/>
      <c r="F476" s="174"/>
      <c r="G476" s="174"/>
      <c r="H476" s="174"/>
      <c r="I476" s="171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ht="15.75" customHeight="1">
      <c r="A477" s="171"/>
      <c r="B477" s="171"/>
      <c r="C477" s="171"/>
      <c r="D477" s="171"/>
      <c r="E477" s="174"/>
      <c r="F477" s="174"/>
      <c r="G477" s="174"/>
      <c r="H477" s="174"/>
      <c r="I477" s="171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ht="15.75" customHeight="1">
      <c r="A478" s="171"/>
      <c r="B478" s="171"/>
      <c r="C478" s="171"/>
      <c r="D478" s="171"/>
      <c r="E478" s="174"/>
      <c r="F478" s="174"/>
      <c r="G478" s="174"/>
      <c r="H478" s="174"/>
      <c r="I478" s="171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ht="15.75" customHeight="1">
      <c r="A479" s="171"/>
      <c r="B479" s="171"/>
      <c r="C479" s="171"/>
      <c r="D479" s="171"/>
      <c r="E479" s="174"/>
      <c r="F479" s="174"/>
      <c r="G479" s="174"/>
      <c r="H479" s="174"/>
      <c r="I479" s="171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ht="15.75" customHeight="1">
      <c r="A480" s="171"/>
      <c r="B480" s="171"/>
      <c r="C480" s="171"/>
      <c r="D480" s="171"/>
      <c r="E480" s="174"/>
      <c r="F480" s="174"/>
      <c r="G480" s="174"/>
      <c r="H480" s="174"/>
      <c r="I480" s="171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ht="15.75" customHeight="1">
      <c r="A481" s="171"/>
      <c r="B481" s="171"/>
      <c r="C481" s="171"/>
      <c r="D481" s="171"/>
      <c r="E481" s="174"/>
      <c r="F481" s="174"/>
      <c r="G481" s="174"/>
      <c r="H481" s="174"/>
      <c r="I481" s="171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ht="15.75" customHeight="1">
      <c r="A482" s="171"/>
      <c r="B482" s="171"/>
      <c r="C482" s="171"/>
      <c r="D482" s="171"/>
      <c r="E482" s="174"/>
      <c r="F482" s="174"/>
      <c r="G482" s="174"/>
      <c r="H482" s="174"/>
      <c r="I482" s="171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ht="15.75" customHeight="1">
      <c r="A483" s="171"/>
      <c r="B483" s="171"/>
      <c r="C483" s="171"/>
      <c r="D483" s="171"/>
      <c r="E483" s="174"/>
      <c r="F483" s="174"/>
      <c r="G483" s="174"/>
      <c r="H483" s="174"/>
      <c r="I483" s="171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ht="15.75" customHeight="1">
      <c r="A484" s="171"/>
      <c r="B484" s="171"/>
      <c r="C484" s="171"/>
      <c r="D484" s="171"/>
      <c r="E484" s="174"/>
      <c r="F484" s="174"/>
      <c r="G484" s="174"/>
      <c r="H484" s="174"/>
      <c r="I484" s="171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ht="15.75" customHeight="1">
      <c r="A485" s="171"/>
      <c r="B485" s="171"/>
      <c r="C485" s="171"/>
      <c r="D485" s="171"/>
      <c r="E485" s="174"/>
      <c r="F485" s="174"/>
      <c r="G485" s="174"/>
      <c r="H485" s="174"/>
      <c r="I485" s="171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ht="15.75" customHeight="1">
      <c r="A486" s="171"/>
      <c r="B486" s="171"/>
      <c r="C486" s="171"/>
      <c r="D486" s="171"/>
      <c r="E486" s="174"/>
      <c r="F486" s="174"/>
      <c r="G486" s="174"/>
      <c r="H486" s="174"/>
      <c r="I486" s="171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ht="15.75" customHeight="1">
      <c r="A487" s="171"/>
      <c r="B487" s="171"/>
      <c r="C487" s="171"/>
      <c r="D487" s="171"/>
      <c r="E487" s="174"/>
      <c r="F487" s="174"/>
      <c r="G487" s="174"/>
      <c r="H487" s="174"/>
      <c r="I487" s="171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ht="15.75" customHeight="1">
      <c r="A488" s="171"/>
      <c r="B488" s="171"/>
      <c r="C488" s="171"/>
      <c r="D488" s="171"/>
      <c r="E488" s="174"/>
      <c r="F488" s="174"/>
      <c r="G488" s="174"/>
      <c r="H488" s="174"/>
      <c r="I488" s="171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ht="15.75" customHeight="1">
      <c r="A489" s="171"/>
      <c r="B489" s="171"/>
      <c r="C489" s="171"/>
      <c r="D489" s="171"/>
      <c r="E489" s="174"/>
      <c r="F489" s="174"/>
      <c r="G489" s="174"/>
      <c r="H489" s="174"/>
      <c r="I489" s="171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ht="15.75" customHeight="1">
      <c r="A490" s="171"/>
      <c r="B490" s="171"/>
      <c r="C490" s="171"/>
      <c r="D490" s="171"/>
      <c r="E490" s="174"/>
      <c r="F490" s="174"/>
      <c r="G490" s="174"/>
      <c r="H490" s="174"/>
      <c r="I490" s="171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ht="15.75" customHeight="1">
      <c r="A491" s="171"/>
      <c r="B491" s="171"/>
      <c r="C491" s="171"/>
      <c r="D491" s="171"/>
      <c r="E491" s="174"/>
      <c r="F491" s="174"/>
      <c r="G491" s="174"/>
      <c r="H491" s="174"/>
      <c r="I491" s="171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ht="15.75" customHeight="1">
      <c r="A492" s="171"/>
      <c r="B492" s="171"/>
      <c r="C492" s="171"/>
      <c r="D492" s="171"/>
      <c r="E492" s="174"/>
      <c r="F492" s="174"/>
      <c r="G492" s="174"/>
      <c r="H492" s="174"/>
      <c r="I492" s="171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ht="15.75" customHeight="1">
      <c r="A493" s="171"/>
      <c r="B493" s="171"/>
      <c r="C493" s="171"/>
      <c r="D493" s="171"/>
      <c r="E493" s="174"/>
      <c r="F493" s="174"/>
      <c r="G493" s="174"/>
      <c r="H493" s="174"/>
      <c r="I493" s="171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ht="15.75" customHeight="1">
      <c r="A494" s="171"/>
      <c r="B494" s="171"/>
      <c r="C494" s="171"/>
      <c r="D494" s="171"/>
      <c r="E494" s="174"/>
      <c r="F494" s="174"/>
      <c r="G494" s="174"/>
      <c r="H494" s="174"/>
      <c r="I494" s="171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ht="15.75" customHeight="1">
      <c r="A495" s="171"/>
      <c r="B495" s="171"/>
      <c r="C495" s="171"/>
      <c r="D495" s="171"/>
      <c r="E495" s="174"/>
      <c r="F495" s="174"/>
      <c r="G495" s="174"/>
      <c r="H495" s="174"/>
      <c r="I495" s="171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ht="15.75" customHeight="1">
      <c r="A496" s="171"/>
      <c r="B496" s="171"/>
      <c r="C496" s="171"/>
      <c r="D496" s="171"/>
      <c r="E496" s="174"/>
      <c r="F496" s="174"/>
      <c r="G496" s="174"/>
      <c r="H496" s="174"/>
      <c r="I496" s="171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ht="15.75" customHeight="1">
      <c r="A497" s="171"/>
      <c r="B497" s="171"/>
      <c r="C497" s="171"/>
      <c r="D497" s="171"/>
      <c r="E497" s="174"/>
      <c r="F497" s="174"/>
      <c r="G497" s="174"/>
      <c r="H497" s="174"/>
      <c r="I497" s="171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ht="15.75" customHeight="1">
      <c r="A498" s="171"/>
      <c r="B498" s="171"/>
      <c r="C498" s="171"/>
      <c r="D498" s="171"/>
      <c r="E498" s="174"/>
      <c r="F498" s="174"/>
      <c r="G498" s="174"/>
      <c r="H498" s="174"/>
      <c r="I498" s="171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ht="15.75" customHeight="1">
      <c r="A499" s="171"/>
      <c r="B499" s="171"/>
      <c r="C499" s="171"/>
      <c r="D499" s="171"/>
      <c r="E499" s="174"/>
      <c r="F499" s="174"/>
      <c r="G499" s="174"/>
      <c r="H499" s="174"/>
      <c r="I499" s="171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ht="15.75" customHeight="1">
      <c r="A500" s="171"/>
      <c r="B500" s="171"/>
      <c r="C500" s="171"/>
      <c r="D500" s="171"/>
      <c r="E500" s="174"/>
      <c r="F500" s="174"/>
      <c r="G500" s="174"/>
      <c r="H500" s="174"/>
      <c r="I500" s="171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ht="15.75" customHeight="1">
      <c r="A501" s="171"/>
      <c r="B501" s="171"/>
      <c r="C501" s="171"/>
      <c r="D501" s="171"/>
      <c r="E501" s="174"/>
      <c r="F501" s="174"/>
      <c r="G501" s="174"/>
      <c r="H501" s="174"/>
      <c r="I501" s="171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ht="15.75" customHeight="1">
      <c r="A502" s="171"/>
      <c r="B502" s="171"/>
      <c r="C502" s="171"/>
      <c r="D502" s="171"/>
      <c r="E502" s="174"/>
      <c r="F502" s="174"/>
      <c r="G502" s="174"/>
      <c r="H502" s="174"/>
      <c r="I502" s="171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ht="15.75" customHeight="1">
      <c r="A503" s="171"/>
      <c r="B503" s="171"/>
      <c r="C503" s="171"/>
      <c r="D503" s="171"/>
      <c r="E503" s="174"/>
      <c r="F503" s="174"/>
      <c r="G503" s="174"/>
      <c r="H503" s="174"/>
      <c r="I503" s="171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ht="15.75" customHeight="1">
      <c r="A504" s="171"/>
      <c r="B504" s="171"/>
      <c r="C504" s="171"/>
      <c r="D504" s="171"/>
      <c r="E504" s="174"/>
      <c r="F504" s="174"/>
      <c r="G504" s="174"/>
      <c r="H504" s="174"/>
      <c r="I504" s="171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ht="15.75" customHeight="1">
      <c r="A505" s="171"/>
      <c r="B505" s="171"/>
      <c r="C505" s="171"/>
      <c r="D505" s="171"/>
      <c r="E505" s="174"/>
      <c r="F505" s="174"/>
      <c r="G505" s="174"/>
      <c r="H505" s="174"/>
      <c r="I505" s="171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ht="15.75" customHeight="1">
      <c r="A506" s="171"/>
      <c r="B506" s="171"/>
      <c r="C506" s="171"/>
      <c r="D506" s="171"/>
      <c r="E506" s="174"/>
      <c r="F506" s="174"/>
      <c r="G506" s="174"/>
      <c r="H506" s="174"/>
      <c r="I506" s="171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ht="15.75" customHeight="1">
      <c r="A507" s="171"/>
      <c r="B507" s="171"/>
      <c r="C507" s="171"/>
      <c r="D507" s="171"/>
      <c r="E507" s="174"/>
      <c r="F507" s="174"/>
      <c r="G507" s="174"/>
      <c r="H507" s="174"/>
      <c r="I507" s="171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ht="15.75" customHeight="1">
      <c r="A508" s="171"/>
      <c r="B508" s="171"/>
      <c r="C508" s="171"/>
      <c r="D508" s="171"/>
      <c r="E508" s="174"/>
      <c r="F508" s="174"/>
      <c r="G508" s="174"/>
      <c r="H508" s="174"/>
      <c r="I508" s="171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ht="15.75" customHeight="1">
      <c r="A509" s="171"/>
      <c r="B509" s="171"/>
      <c r="C509" s="171"/>
      <c r="D509" s="171"/>
      <c r="E509" s="174"/>
      <c r="F509" s="174"/>
      <c r="G509" s="174"/>
      <c r="H509" s="174"/>
      <c r="I509" s="171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ht="15.75" customHeight="1">
      <c r="A510" s="171"/>
      <c r="B510" s="171"/>
      <c r="C510" s="171"/>
      <c r="D510" s="171"/>
      <c r="E510" s="174"/>
      <c r="F510" s="174"/>
      <c r="G510" s="174"/>
      <c r="H510" s="174"/>
      <c r="I510" s="171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ht="15.75" customHeight="1">
      <c r="A511" s="171"/>
      <c r="B511" s="171"/>
      <c r="C511" s="171"/>
      <c r="D511" s="171"/>
      <c r="E511" s="174"/>
      <c r="F511" s="174"/>
      <c r="G511" s="174"/>
      <c r="H511" s="174"/>
      <c r="I511" s="171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ht="15.75" customHeight="1">
      <c r="A512" s="171"/>
      <c r="B512" s="171"/>
      <c r="C512" s="171"/>
      <c r="D512" s="171"/>
      <c r="E512" s="174"/>
      <c r="F512" s="174"/>
      <c r="G512" s="174"/>
      <c r="H512" s="174"/>
      <c r="I512" s="171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ht="15.75" customHeight="1">
      <c r="A513" s="171"/>
      <c r="B513" s="171"/>
      <c r="C513" s="171"/>
      <c r="D513" s="171"/>
      <c r="E513" s="174"/>
      <c r="F513" s="174"/>
      <c r="G513" s="174"/>
      <c r="H513" s="174"/>
      <c r="I513" s="171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ht="15.75" customHeight="1">
      <c r="A514" s="171"/>
      <c r="B514" s="171"/>
      <c r="C514" s="171"/>
      <c r="D514" s="171"/>
      <c r="E514" s="174"/>
      <c r="F514" s="174"/>
      <c r="G514" s="174"/>
      <c r="H514" s="174"/>
      <c r="I514" s="171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ht="15.75" customHeight="1">
      <c r="A515" s="171"/>
      <c r="B515" s="171"/>
      <c r="C515" s="171"/>
      <c r="D515" s="171"/>
      <c r="E515" s="174"/>
      <c r="F515" s="174"/>
      <c r="G515" s="174"/>
      <c r="H515" s="174"/>
      <c r="I515" s="171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ht="15.75" customHeight="1">
      <c r="A516" s="171"/>
      <c r="B516" s="171"/>
      <c r="C516" s="171"/>
      <c r="D516" s="171"/>
      <c r="E516" s="174"/>
      <c r="F516" s="174"/>
      <c r="G516" s="174"/>
      <c r="H516" s="174"/>
      <c r="I516" s="171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ht="15.75" customHeight="1">
      <c r="A517" s="171"/>
      <c r="B517" s="171"/>
      <c r="C517" s="171"/>
      <c r="D517" s="171"/>
      <c r="E517" s="174"/>
      <c r="F517" s="174"/>
      <c r="G517" s="174"/>
      <c r="H517" s="174"/>
      <c r="I517" s="171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ht="15.75" customHeight="1">
      <c r="A518" s="171"/>
      <c r="B518" s="171"/>
      <c r="C518" s="171"/>
      <c r="D518" s="171"/>
      <c r="E518" s="174"/>
      <c r="F518" s="174"/>
      <c r="G518" s="174"/>
      <c r="H518" s="174"/>
      <c r="I518" s="171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ht="15.75" customHeight="1">
      <c r="A519" s="171"/>
      <c r="B519" s="171"/>
      <c r="C519" s="171"/>
      <c r="D519" s="171"/>
      <c r="E519" s="174"/>
      <c r="F519" s="174"/>
      <c r="G519" s="174"/>
      <c r="H519" s="174"/>
      <c r="I519" s="171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ht="15.75" customHeight="1">
      <c r="A520" s="171"/>
      <c r="B520" s="171"/>
      <c r="C520" s="171"/>
      <c r="D520" s="171"/>
      <c r="E520" s="174"/>
      <c r="F520" s="174"/>
      <c r="G520" s="174"/>
      <c r="H520" s="174"/>
      <c r="I520" s="171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ht="15.75" customHeight="1">
      <c r="A521" s="171"/>
      <c r="B521" s="171"/>
      <c r="C521" s="171"/>
      <c r="D521" s="171"/>
      <c r="E521" s="174"/>
      <c r="F521" s="174"/>
      <c r="G521" s="174"/>
      <c r="H521" s="174"/>
      <c r="I521" s="171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ht="15.75" customHeight="1">
      <c r="A522" s="171"/>
      <c r="B522" s="171"/>
      <c r="C522" s="171"/>
      <c r="D522" s="171"/>
      <c r="E522" s="174"/>
      <c r="F522" s="174"/>
      <c r="G522" s="174"/>
      <c r="H522" s="174"/>
      <c r="I522" s="171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ht="15.75" customHeight="1">
      <c r="A523" s="171"/>
      <c r="B523" s="171"/>
      <c r="C523" s="171"/>
      <c r="D523" s="171"/>
      <c r="E523" s="174"/>
      <c r="F523" s="174"/>
      <c r="G523" s="174"/>
      <c r="H523" s="174"/>
      <c r="I523" s="171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ht="15.75" customHeight="1">
      <c r="A524" s="171"/>
      <c r="B524" s="171"/>
      <c r="C524" s="171"/>
      <c r="D524" s="171"/>
      <c r="E524" s="174"/>
      <c r="F524" s="174"/>
      <c r="G524" s="174"/>
      <c r="H524" s="174"/>
      <c r="I524" s="171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ht="15.75" customHeight="1">
      <c r="A525" s="171"/>
      <c r="B525" s="171"/>
      <c r="C525" s="171"/>
      <c r="D525" s="171"/>
      <c r="E525" s="174"/>
      <c r="F525" s="174"/>
      <c r="G525" s="174"/>
      <c r="H525" s="174"/>
      <c r="I525" s="171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ht="15.75" customHeight="1">
      <c r="A526" s="171"/>
      <c r="B526" s="171"/>
      <c r="C526" s="171"/>
      <c r="D526" s="171"/>
      <c r="E526" s="174"/>
      <c r="F526" s="174"/>
      <c r="G526" s="174"/>
      <c r="H526" s="174"/>
      <c r="I526" s="171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ht="15.75" customHeight="1">
      <c r="A527" s="171"/>
      <c r="B527" s="171"/>
      <c r="C527" s="171"/>
      <c r="D527" s="171"/>
      <c r="E527" s="174"/>
      <c r="F527" s="174"/>
      <c r="G527" s="174"/>
      <c r="H527" s="174"/>
      <c r="I527" s="171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ht="15.75" customHeight="1">
      <c r="A528" s="171"/>
      <c r="B528" s="171"/>
      <c r="C528" s="171"/>
      <c r="D528" s="171"/>
      <c r="E528" s="174"/>
      <c r="F528" s="174"/>
      <c r="G528" s="174"/>
      <c r="H528" s="174"/>
      <c r="I528" s="171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ht="15.75" customHeight="1">
      <c r="A529" s="171"/>
      <c r="B529" s="171"/>
      <c r="C529" s="171"/>
      <c r="D529" s="171"/>
      <c r="E529" s="174"/>
      <c r="F529" s="174"/>
      <c r="G529" s="174"/>
      <c r="H529" s="174"/>
      <c r="I529" s="171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ht="15.75" customHeight="1">
      <c r="A530" s="171"/>
      <c r="B530" s="171"/>
      <c r="C530" s="171"/>
      <c r="D530" s="171"/>
      <c r="E530" s="174"/>
      <c r="F530" s="174"/>
      <c r="G530" s="174"/>
      <c r="H530" s="174"/>
      <c r="I530" s="171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ht="15.75" customHeight="1">
      <c r="A531" s="171"/>
      <c r="B531" s="171"/>
      <c r="C531" s="171"/>
      <c r="D531" s="171"/>
      <c r="E531" s="174"/>
      <c r="F531" s="174"/>
      <c r="G531" s="174"/>
      <c r="H531" s="174"/>
      <c r="I531" s="171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ht="15.75" customHeight="1">
      <c r="A532" s="171"/>
      <c r="B532" s="171"/>
      <c r="C532" s="171"/>
      <c r="D532" s="171"/>
      <c r="E532" s="174"/>
      <c r="F532" s="174"/>
      <c r="G532" s="174"/>
      <c r="H532" s="174"/>
      <c r="I532" s="171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ht="15.75" customHeight="1">
      <c r="A533" s="171"/>
      <c r="B533" s="171"/>
      <c r="C533" s="171"/>
      <c r="D533" s="171"/>
      <c r="E533" s="174"/>
      <c r="F533" s="174"/>
      <c r="G533" s="174"/>
      <c r="H533" s="174"/>
      <c r="I533" s="171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ht="15.75" customHeight="1">
      <c r="A534" s="171"/>
      <c r="B534" s="171"/>
      <c r="C534" s="171"/>
      <c r="D534" s="171"/>
      <c r="E534" s="174"/>
      <c r="F534" s="174"/>
      <c r="G534" s="174"/>
      <c r="H534" s="174"/>
      <c r="I534" s="171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ht="15.75" customHeight="1">
      <c r="A535" s="171"/>
      <c r="B535" s="171"/>
      <c r="C535" s="171"/>
      <c r="D535" s="171"/>
      <c r="E535" s="174"/>
      <c r="F535" s="174"/>
      <c r="G535" s="174"/>
      <c r="H535" s="174"/>
      <c r="I535" s="171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ht="15.75" customHeight="1">
      <c r="A536" s="171"/>
      <c r="B536" s="171"/>
      <c r="C536" s="171"/>
      <c r="D536" s="171"/>
      <c r="E536" s="174"/>
      <c r="F536" s="174"/>
      <c r="G536" s="174"/>
      <c r="H536" s="174"/>
      <c r="I536" s="171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ht="15.75" customHeight="1">
      <c r="A537" s="171"/>
      <c r="B537" s="171"/>
      <c r="C537" s="171"/>
      <c r="D537" s="171"/>
      <c r="E537" s="174"/>
      <c r="F537" s="174"/>
      <c r="G537" s="174"/>
      <c r="H537" s="174"/>
      <c r="I537" s="171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ht="15.75" customHeight="1">
      <c r="A538" s="171"/>
      <c r="B538" s="171"/>
      <c r="C538" s="171"/>
      <c r="D538" s="171"/>
      <c r="E538" s="174"/>
      <c r="F538" s="174"/>
      <c r="G538" s="174"/>
      <c r="H538" s="174"/>
      <c r="I538" s="171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ht="15.75" customHeight="1">
      <c r="A539" s="171"/>
      <c r="B539" s="171"/>
      <c r="C539" s="171"/>
      <c r="D539" s="171"/>
      <c r="E539" s="174"/>
      <c r="F539" s="174"/>
      <c r="G539" s="174"/>
      <c r="H539" s="174"/>
      <c r="I539" s="171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ht="15.75" customHeight="1">
      <c r="A540" s="171"/>
      <c r="B540" s="171"/>
      <c r="C540" s="171"/>
      <c r="D540" s="171"/>
      <c r="E540" s="174"/>
      <c r="F540" s="174"/>
      <c r="G540" s="174"/>
      <c r="H540" s="174"/>
      <c r="I540" s="171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ht="15.75" customHeight="1">
      <c r="A541" s="171"/>
      <c r="B541" s="171"/>
      <c r="C541" s="171"/>
      <c r="D541" s="171"/>
      <c r="E541" s="174"/>
      <c r="F541" s="174"/>
      <c r="G541" s="174"/>
      <c r="H541" s="174"/>
      <c r="I541" s="171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ht="15.75" customHeight="1">
      <c r="A542" s="171"/>
      <c r="B542" s="171"/>
      <c r="C542" s="171"/>
      <c r="D542" s="171"/>
      <c r="E542" s="174"/>
      <c r="F542" s="174"/>
      <c r="G542" s="174"/>
      <c r="H542" s="174"/>
      <c r="I542" s="171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ht="15.75" customHeight="1">
      <c r="A543" s="171"/>
      <c r="B543" s="171"/>
      <c r="C543" s="171"/>
      <c r="D543" s="171"/>
      <c r="E543" s="174"/>
      <c r="F543" s="174"/>
      <c r="G543" s="174"/>
      <c r="H543" s="174"/>
      <c r="I543" s="171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ht="15.75" customHeight="1">
      <c r="A544" s="171"/>
      <c r="B544" s="171"/>
      <c r="C544" s="171"/>
      <c r="D544" s="171"/>
      <c r="E544" s="174"/>
      <c r="F544" s="174"/>
      <c r="G544" s="174"/>
      <c r="H544" s="174"/>
      <c r="I544" s="171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ht="15.75" customHeight="1">
      <c r="A545" s="171"/>
      <c r="B545" s="171"/>
      <c r="C545" s="171"/>
      <c r="D545" s="171"/>
      <c r="E545" s="174"/>
      <c r="F545" s="174"/>
      <c r="G545" s="174"/>
      <c r="H545" s="174"/>
      <c r="I545" s="171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ht="15.75" customHeight="1">
      <c r="A546" s="171"/>
      <c r="B546" s="171"/>
      <c r="C546" s="171"/>
      <c r="D546" s="171"/>
      <c r="E546" s="174"/>
      <c r="F546" s="174"/>
      <c r="G546" s="174"/>
      <c r="H546" s="174"/>
      <c r="I546" s="171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ht="15.75" customHeight="1">
      <c r="A547" s="171"/>
      <c r="B547" s="171"/>
      <c r="C547" s="171"/>
      <c r="D547" s="171"/>
      <c r="E547" s="174"/>
      <c r="F547" s="174"/>
      <c r="G547" s="174"/>
      <c r="H547" s="174"/>
      <c r="I547" s="171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ht="15.75" customHeight="1">
      <c r="A548" s="171"/>
      <c r="B548" s="171"/>
      <c r="C548" s="171"/>
      <c r="D548" s="171"/>
      <c r="E548" s="174"/>
      <c r="F548" s="174"/>
      <c r="G548" s="174"/>
      <c r="H548" s="174"/>
      <c r="I548" s="171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ht="15.75" customHeight="1">
      <c r="A549" s="171"/>
      <c r="B549" s="171"/>
      <c r="C549" s="171"/>
      <c r="D549" s="171"/>
      <c r="E549" s="174"/>
      <c r="F549" s="174"/>
      <c r="G549" s="174"/>
      <c r="H549" s="174"/>
      <c r="I549" s="171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ht="15.75" customHeight="1">
      <c r="A550" s="171"/>
      <c r="B550" s="171"/>
      <c r="C550" s="171"/>
      <c r="D550" s="171"/>
      <c r="E550" s="174"/>
      <c r="F550" s="174"/>
      <c r="G550" s="174"/>
      <c r="H550" s="174"/>
      <c r="I550" s="171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ht="15.75" customHeight="1">
      <c r="A551" s="171"/>
      <c r="B551" s="171"/>
      <c r="C551" s="171"/>
      <c r="D551" s="171"/>
      <c r="E551" s="174"/>
      <c r="F551" s="174"/>
      <c r="G551" s="174"/>
      <c r="H551" s="174"/>
      <c r="I551" s="171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ht="15.75" customHeight="1">
      <c r="A552" s="171"/>
      <c r="B552" s="171"/>
      <c r="C552" s="171"/>
      <c r="D552" s="171"/>
      <c r="E552" s="174"/>
      <c r="F552" s="174"/>
      <c r="G552" s="174"/>
      <c r="H552" s="174"/>
      <c r="I552" s="171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ht="15.75" customHeight="1">
      <c r="A553" s="171"/>
      <c r="B553" s="171"/>
      <c r="C553" s="171"/>
      <c r="D553" s="171"/>
      <c r="E553" s="174"/>
      <c r="F553" s="174"/>
      <c r="G553" s="174"/>
      <c r="H553" s="174"/>
      <c r="I553" s="171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ht="15.75" customHeight="1">
      <c r="A554" s="171"/>
      <c r="B554" s="171"/>
      <c r="C554" s="171"/>
      <c r="D554" s="171"/>
      <c r="E554" s="174"/>
      <c r="F554" s="174"/>
      <c r="G554" s="174"/>
      <c r="H554" s="174"/>
      <c r="I554" s="171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ht="15.75" customHeight="1">
      <c r="A555" s="171"/>
      <c r="B555" s="171"/>
      <c r="C555" s="171"/>
      <c r="D555" s="171"/>
      <c r="E555" s="174"/>
      <c r="F555" s="174"/>
      <c r="G555" s="174"/>
      <c r="H555" s="174"/>
      <c r="I555" s="171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ht="15.75" customHeight="1">
      <c r="A556" s="171"/>
      <c r="B556" s="171"/>
      <c r="C556" s="171"/>
      <c r="D556" s="171"/>
      <c r="E556" s="174"/>
      <c r="F556" s="174"/>
      <c r="G556" s="174"/>
      <c r="H556" s="174"/>
      <c r="I556" s="171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ht="15.75" customHeight="1">
      <c r="A557" s="171"/>
      <c r="B557" s="171"/>
      <c r="C557" s="171"/>
      <c r="D557" s="171"/>
      <c r="E557" s="174"/>
      <c r="F557" s="174"/>
      <c r="G557" s="174"/>
      <c r="H557" s="174"/>
      <c r="I557" s="171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ht="15.75" customHeight="1">
      <c r="A558" s="171"/>
      <c r="B558" s="171"/>
      <c r="C558" s="171"/>
      <c r="D558" s="171"/>
      <c r="E558" s="174"/>
      <c r="F558" s="174"/>
      <c r="G558" s="174"/>
      <c r="H558" s="174"/>
      <c r="I558" s="171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ht="15.75" customHeight="1">
      <c r="A559" s="171"/>
      <c r="B559" s="171"/>
      <c r="C559" s="171"/>
      <c r="D559" s="171"/>
      <c r="E559" s="174"/>
      <c r="F559" s="174"/>
      <c r="G559" s="174"/>
      <c r="H559" s="174"/>
      <c r="I559" s="171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ht="15.75" customHeight="1">
      <c r="A560" s="171"/>
      <c r="B560" s="171"/>
      <c r="C560" s="171"/>
      <c r="D560" s="171"/>
      <c r="E560" s="174"/>
      <c r="F560" s="174"/>
      <c r="G560" s="174"/>
      <c r="H560" s="174"/>
      <c r="I560" s="171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ht="15.75" customHeight="1">
      <c r="A561" s="171"/>
      <c r="B561" s="171"/>
      <c r="C561" s="171"/>
      <c r="D561" s="171"/>
      <c r="E561" s="174"/>
      <c r="F561" s="174"/>
      <c r="G561" s="174"/>
      <c r="H561" s="174"/>
      <c r="I561" s="171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ht="15.75" customHeight="1">
      <c r="A562" s="171"/>
      <c r="B562" s="171"/>
      <c r="C562" s="171"/>
      <c r="D562" s="171"/>
      <c r="E562" s="174"/>
      <c r="F562" s="174"/>
      <c r="G562" s="174"/>
      <c r="H562" s="174"/>
      <c r="I562" s="171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ht="15.75" customHeight="1">
      <c r="A563" s="171"/>
      <c r="B563" s="171"/>
      <c r="C563" s="171"/>
      <c r="D563" s="171"/>
      <c r="E563" s="174"/>
      <c r="F563" s="174"/>
      <c r="G563" s="174"/>
      <c r="H563" s="174"/>
      <c r="I563" s="171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ht="15.75" customHeight="1">
      <c r="A564" s="171"/>
      <c r="B564" s="171"/>
      <c r="C564" s="171"/>
      <c r="D564" s="171"/>
      <c r="E564" s="174"/>
      <c r="F564" s="174"/>
      <c r="G564" s="174"/>
      <c r="H564" s="174"/>
      <c r="I564" s="171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ht="15.75" customHeight="1">
      <c r="A565" s="171"/>
      <c r="B565" s="171"/>
      <c r="C565" s="171"/>
      <c r="D565" s="171"/>
      <c r="E565" s="174"/>
      <c r="F565" s="174"/>
      <c r="G565" s="174"/>
      <c r="H565" s="174"/>
      <c r="I565" s="171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ht="15.75" customHeight="1">
      <c r="A566" s="171"/>
      <c r="B566" s="171"/>
      <c r="C566" s="171"/>
      <c r="D566" s="171"/>
      <c r="E566" s="174"/>
      <c r="F566" s="174"/>
      <c r="G566" s="174"/>
      <c r="H566" s="174"/>
      <c r="I566" s="171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ht="15.75" customHeight="1">
      <c r="A567" s="171"/>
      <c r="B567" s="171"/>
      <c r="C567" s="171"/>
      <c r="D567" s="171"/>
      <c r="E567" s="174"/>
      <c r="F567" s="174"/>
      <c r="G567" s="174"/>
      <c r="H567" s="174"/>
      <c r="I567" s="171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ht="15.75" customHeight="1">
      <c r="A568" s="171"/>
      <c r="B568" s="171"/>
      <c r="C568" s="171"/>
      <c r="D568" s="171"/>
      <c r="E568" s="174"/>
      <c r="F568" s="174"/>
      <c r="G568" s="174"/>
      <c r="H568" s="174"/>
      <c r="I568" s="171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ht="15.75" customHeight="1">
      <c r="A569" s="171"/>
      <c r="B569" s="171"/>
      <c r="C569" s="171"/>
      <c r="D569" s="171"/>
      <c r="E569" s="174"/>
      <c r="F569" s="174"/>
      <c r="G569" s="174"/>
      <c r="H569" s="174"/>
      <c r="I569" s="171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ht="15.75" customHeight="1">
      <c r="A570" s="171"/>
      <c r="B570" s="171"/>
      <c r="C570" s="171"/>
      <c r="D570" s="171"/>
      <c r="E570" s="174"/>
      <c r="F570" s="174"/>
      <c r="G570" s="174"/>
      <c r="H570" s="174"/>
      <c r="I570" s="171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ht="15.75" customHeight="1">
      <c r="A571" s="171"/>
      <c r="B571" s="171"/>
      <c r="C571" s="171"/>
      <c r="D571" s="171"/>
      <c r="E571" s="174"/>
      <c r="F571" s="174"/>
      <c r="G571" s="174"/>
      <c r="H571" s="174"/>
      <c r="I571" s="171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ht="15.75" customHeight="1">
      <c r="A572" s="171"/>
      <c r="B572" s="171"/>
      <c r="C572" s="171"/>
      <c r="D572" s="171"/>
      <c r="E572" s="174"/>
      <c r="F572" s="174"/>
      <c r="G572" s="174"/>
      <c r="H572" s="174"/>
      <c r="I572" s="171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ht="15.75" customHeight="1">
      <c r="A573" s="171"/>
      <c r="B573" s="171"/>
      <c r="C573" s="171"/>
      <c r="D573" s="171"/>
      <c r="E573" s="174"/>
      <c r="F573" s="174"/>
      <c r="G573" s="174"/>
      <c r="H573" s="174"/>
      <c r="I573" s="171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ht="15.75" customHeight="1">
      <c r="A574" s="171"/>
      <c r="B574" s="171"/>
      <c r="C574" s="171"/>
      <c r="D574" s="171"/>
      <c r="E574" s="174"/>
      <c r="F574" s="174"/>
      <c r="G574" s="174"/>
      <c r="H574" s="174"/>
      <c r="I574" s="171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ht="15.75" customHeight="1">
      <c r="A575" s="171"/>
      <c r="B575" s="171"/>
      <c r="C575" s="171"/>
      <c r="D575" s="171"/>
      <c r="E575" s="174"/>
      <c r="F575" s="174"/>
      <c r="G575" s="174"/>
      <c r="H575" s="174"/>
      <c r="I575" s="171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ht="15.75" customHeight="1">
      <c r="A576" s="171"/>
      <c r="B576" s="171"/>
      <c r="C576" s="171"/>
      <c r="D576" s="171"/>
      <c r="E576" s="174"/>
      <c r="F576" s="174"/>
      <c r="G576" s="174"/>
      <c r="H576" s="174"/>
      <c r="I576" s="171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ht="15.75" customHeight="1">
      <c r="A577" s="171"/>
      <c r="B577" s="171"/>
      <c r="C577" s="171"/>
      <c r="D577" s="171"/>
      <c r="E577" s="174"/>
      <c r="F577" s="174"/>
      <c r="G577" s="174"/>
      <c r="H577" s="174"/>
      <c r="I577" s="171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ht="15.75" customHeight="1">
      <c r="A578" s="171"/>
      <c r="B578" s="171"/>
      <c r="C578" s="171"/>
      <c r="D578" s="171"/>
      <c r="E578" s="174"/>
      <c r="F578" s="174"/>
      <c r="G578" s="174"/>
      <c r="H578" s="174"/>
      <c r="I578" s="171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ht="15.75" customHeight="1">
      <c r="A579" s="171"/>
      <c r="B579" s="171"/>
      <c r="C579" s="171"/>
      <c r="D579" s="171"/>
      <c r="E579" s="174"/>
      <c r="F579" s="174"/>
      <c r="G579" s="174"/>
      <c r="H579" s="174"/>
      <c r="I579" s="171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ht="15.75" customHeight="1">
      <c r="A580" s="171"/>
      <c r="B580" s="171"/>
      <c r="C580" s="171"/>
      <c r="D580" s="171"/>
      <c r="E580" s="174"/>
      <c r="F580" s="174"/>
      <c r="G580" s="174"/>
      <c r="H580" s="174"/>
      <c r="I580" s="171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ht="15.75" customHeight="1">
      <c r="A581" s="171"/>
      <c r="B581" s="171"/>
      <c r="C581" s="171"/>
      <c r="D581" s="171"/>
      <c r="E581" s="174"/>
      <c r="F581" s="174"/>
      <c r="G581" s="174"/>
      <c r="H581" s="174"/>
      <c r="I581" s="171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ht="15.75" customHeight="1">
      <c r="A582" s="171"/>
      <c r="B582" s="171"/>
      <c r="C582" s="171"/>
      <c r="D582" s="171"/>
      <c r="E582" s="174"/>
      <c r="F582" s="174"/>
      <c r="G582" s="174"/>
      <c r="H582" s="174"/>
      <c r="I582" s="171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ht="15.75" customHeight="1">
      <c r="A583" s="171"/>
      <c r="B583" s="171"/>
      <c r="C583" s="171"/>
      <c r="D583" s="171"/>
      <c r="E583" s="174"/>
      <c r="F583" s="174"/>
      <c r="G583" s="174"/>
      <c r="H583" s="174"/>
      <c r="I583" s="171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ht="15.75" customHeight="1">
      <c r="A584" s="171"/>
      <c r="B584" s="171"/>
      <c r="C584" s="171"/>
      <c r="D584" s="171"/>
      <c r="E584" s="174"/>
      <c r="F584" s="174"/>
      <c r="G584" s="174"/>
      <c r="H584" s="174"/>
      <c r="I584" s="171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ht="15.75" customHeight="1">
      <c r="A585" s="171"/>
      <c r="B585" s="171"/>
      <c r="C585" s="171"/>
      <c r="D585" s="171"/>
      <c r="E585" s="174"/>
      <c r="F585" s="174"/>
      <c r="G585" s="174"/>
      <c r="H585" s="174"/>
      <c r="I585" s="171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ht="15.75" customHeight="1">
      <c r="A586" s="171"/>
      <c r="B586" s="171"/>
      <c r="C586" s="171"/>
      <c r="D586" s="171"/>
      <c r="E586" s="174"/>
      <c r="F586" s="174"/>
      <c r="G586" s="174"/>
      <c r="H586" s="174"/>
      <c r="I586" s="171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ht="15.75" customHeight="1">
      <c r="A587" s="171"/>
      <c r="B587" s="171"/>
      <c r="C587" s="171"/>
      <c r="D587" s="171"/>
      <c r="E587" s="174"/>
      <c r="F587" s="174"/>
      <c r="G587" s="174"/>
      <c r="H587" s="174"/>
      <c r="I587" s="171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ht="15.75" customHeight="1">
      <c r="A588" s="171"/>
      <c r="B588" s="171"/>
      <c r="C588" s="171"/>
      <c r="D588" s="171"/>
      <c r="E588" s="174"/>
      <c r="F588" s="174"/>
      <c r="G588" s="174"/>
      <c r="H588" s="174"/>
      <c r="I588" s="171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ht="15.75" customHeight="1">
      <c r="A589" s="171"/>
      <c r="B589" s="171"/>
      <c r="C589" s="171"/>
      <c r="D589" s="171"/>
      <c r="E589" s="174"/>
      <c r="F589" s="174"/>
      <c r="G589" s="174"/>
      <c r="H589" s="174"/>
      <c r="I589" s="171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ht="15.75" customHeight="1">
      <c r="A590" s="171"/>
      <c r="B590" s="171"/>
      <c r="C590" s="171"/>
      <c r="D590" s="171"/>
      <c r="E590" s="174"/>
      <c r="F590" s="174"/>
      <c r="G590" s="174"/>
      <c r="H590" s="174"/>
      <c r="I590" s="171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ht="15.75" customHeight="1">
      <c r="A591" s="171"/>
      <c r="B591" s="171"/>
      <c r="C591" s="171"/>
      <c r="D591" s="171"/>
      <c r="E591" s="174"/>
      <c r="F591" s="174"/>
      <c r="G591" s="174"/>
      <c r="H591" s="174"/>
      <c r="I591" s="171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ht="15.75" customHeight="1">
      <c r="A592" s="171"/>
      <c r="B592" s="171"/>
      <c r="C592" s="171"/>
      <c r="D592" s="171"/>
      <c r="E592" s="174"/>
      <c r="F592" s="174"/>
      <c r="G592" s="174"/>
      <c r="H592" s="174"/>
      <c r="I592" s="171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ht="15.75" customHeight="1">
      <c r="A593" s="171"/>
      <c r="B593" s="171"/>
      <c r="C593" s="171"/>
      <c r="D593" s="171"/>
      <c r="E593" s="174"/>
      <c r="F593" s="174"/>
      <c r="G593" s="174"/>
      <c r="H593" s="174"/>
      <c r="I593" s="171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ht="15.75" customHeight="1">
      <c r="A594" s="171"/>
      <c r="B594" s="171"/>
      <c r="C594" s="171"/>
      <c r="D594" s="171"/>
      <c r="E594" s="174"/>
      <c r="F594" s="174"/>
      <c r="G594" s="174"/>
      <c r="H594" s="174"/>
      <c r="I594" s="171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ht="15.75" customHeight="1">
      <c r="A595" s="171"/>
      <c r="B595" s="171"/>
      <c r="C595" s="171"/>
      <c r="D595" s="171"/>
      <c r="E595" s="174"/>
      <c r="F595" s="174"/>
      <c r="G595" s="174"/>
      <c r="H595" s="174"/>
      <c r="I595" s="171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ht="15.75" customHeight="1">
      <c r="A596" s="171"/>
      <c r="B596" s="171"/>
      <c r="C596" s="171"/>
      <c r="D596" s="171"/>
      <c r="E596" s="174"/>
      <c r="F596" s="174"/>
      <c r="G596" s="174"/>
      <c r="H596" s="174"/>
      <c r="I596" s="171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ht="15.75" customHeight="1">
      <c r="A597" s="171"/>
      <c r="B597" s="171"/>
      <c r="C597" s="171"/>
      <c r="D597" s="171"/>
      <c r="E597" s="174"/>
      <c r="F597" s="174"/>
      <c r="G597" s="174"/>
      <c r="H597" s="174"/>
      <c r="I597" s="171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ht="15.75" customHeight="1">
      <c r="A598" s="171"/>
      <c r="B598" s="171"/>
      <c r="C598" s="171"/>
      <c r="D598" s="171"/>
      <c r="E598" s="174"/>
      <c r="F598" s="174"/>
      <c r="G598" s="174"/>
      <c r="H598" s="174"/>
      <c r="I598" s="171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ht="15.75" customHeight="1">
      <c r="A599" s="171"/>
      <c r="B599" s="171"/>
      <c r="C599" s="171"/>
      <c r="D599" s="171"/>
      <c r="E599" s="174"/>
      <c r="F599" s="174"/>
      <c r="G599" s="174"/>
      <c r="H599" s="174"/>
      <c r="I599" s="171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ht="15.75" customHeight="1">
      <c r="A600" s="171"/>
      <c r="B600" s="171"/>
      <c r="C600" s="171"/>
      <c r="D600" s="171"/>
      <c r="E600" s="174"/>
      <c r="F600" s="174"/>
      <c r="G600" s="174"/>
      <c r="H600" s="174"/>
      <c r="I600" s="171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ht="15.75" customHeight="1">
      <c r="A601" s="171"/>
      <c r="B601" s="171"/>
      <c r="C601" s="171"/>
      <c r="D601" s="171"/>
      <c r="E601" s="174"/>
      <c r="F601" s="174"/>
      <c r="G601" s="174"/>
      <c r="H601" s="174"/>
      <c r="I601" s="171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ht="15.75" customHeight="1">
      <c r="A602" s="171"/>
      <c r="B602" s="171"/>
      <c r="C602" s="171"/>
      <c r="D602" s="171"/>
      <c r="E602" s="174"/>
      <c r="F602" s="174"/>
      <c r="G602" s="174"/>
      <c r="H602" s="174"/>
      <c r="I602" s="171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ht="15.75" customHeight="1">
      <c r="A603" s="171"/>
      <c r="B603" s="171"/>
      <c r="C603" s="171"/>
      <c r="D603" s="171"/>
      <c r="E603" s="174"/>
      <c r="F603" s="174"/>
      <c r="G603" s="174"/>
      <c r="H603" s="174"/>
      <c r="I603" s="171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ht="15.75" customHeight="1">
      <c r="A604" s="171"/>
      <c r="B604" s="171"/>
      <c r="C604" s="171"/>
      <c r="D604" s="171"/>
      <c r="E604" s="174"/>
      <c r="F604" s="174"/>
      <c r="G604" s="174"/>
      <c r="H604" s="174"/>
      <c r="I604" s="171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ht="15.75" customHeight="1">
      <c r="A605" s="171"/>
      <c r="B605" s="171"/>
      <c r="C605" s="171"/>
      <c r="D605" s="171"/>
      <c r="E605" s="174"/>
      <c r="F605" s="174"/>
      <c r="G605" s="174"/>
      <c r="H605" s="174"/>
      <c r="I605" s="171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ht="15.75" customHeight="1">
      <c r="A606" s="171"/>
      <c r="B606" s="171"/>
      <c r="C606" s="171"/>
      <c r="D606" s="171"/>
      <c r="E606" s="174"/>
      <c r="F606" s="174"/>
      <c r="G606" s="174"/>
      <c r="H606" s="174"/>
      <c r="I606" s="171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ht="15.75" customHeight="1">
      <c r="A607" s="171"/>
      <c r="B607" s="171"/>
      <c r="C607" s="171"/>
      <c r="D607" s="171"/>
      <c r="E607" s="174"/>
      <c r="F607" s="174"/>
      <c r="G607" s="174"/>
      <c r="H607" s="174"/>
      <c r="I607" s="171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ht="15.75" customHeight="1">
      <c r="A608" s="171"/>
      <c r="B608" s="171"/>
      <c r="C608" s="171"/>
      <c r="D608" s="171"/>
      <c r="E608" s="174"/>
      <c r="F608" s="174"/>
      <c r="G608" s="174"/>
      <c r="H608" s="174"/>
      <c r="I608" s="171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ht="15.75" customHeight="1">
      <c r="A609" s="171"/>
      <c r="B609" s="171"/>
      <c r="C609" s="171"/>
      <c r="D609" s="171"/>
      <c r="E609" s="174"/>
      <c r="F609" s="174"/>
      <c r="G609" s="174"/>
      <c r="H609" s="174"/>
      <c r="I609" s="171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ht="15.75" customHeight="1">
      <c r="A610" s="171"/>
      <c r="B610" s="171"/>
      <c r="C610" s="171"/>
      <c r="D610" s="171"/>
      <c r="E610" s="174"/>
      <c r="F610" s="174"/>
      <c r="G610" s="174"/>
      <c r="H610" s="174"/>
      <c r="I610" s="171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ht="15.75" customHeight="1">
      <c r="A611" s="171"/>
      <c r="B611" s="171"/>
      <c r="C611" s="171"/>
      <c r="D611" s="171"/>
      <c r="E611" s="174"/>
      <c r="F611" s="174"/>
      <c r="G611" s="174"/>
      <c r="H611" s="174"/>
      <c r="I611" s="171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ht="15.75" customHeight="1">
      <c r="A612" s="171"/>
      <c r="B612" s="171"/>
      <c r="C612" s="171"/>
      <c r="D612" s="171"/>
      <c r="E612" s="174"/>
      <c r="F612" s="174"/>
      <c r="G612" s="174"/>
      <c r="H612" s="174"/>
      <c r="I612" s="171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ht="15.75" customHeight="1">
      <c r="A613" s="171"/>
      <c r="B613" s="171"/>
      <c r="C613" s="171"/>
      <c r="D613" s="171"/>
      <c r="E613" s="174"/>
      <c r="F613" s="174"/>
      <c r="G613" s="174"/>
      <c r="H613" s="174"/>
      <c r="I613" s="171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ht="15.75" customHeight="1">
      <c r="A614" s="171"/>
      <c r="B614" s="171"/>
      <c r="C614" s="171"/>
      <c r="D614" s="171"/>
      <c r="E614" s="174"/>
      <c r="F614" s="174"/>
      <c r="G614" s="174"/>
      <c r="H614" s="174"/>
      <c r="I614" s="171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ht="15.75" customHeight="1">
      <c r="A615" s="171"/>
      <c r="B615" s="171"/>
      <c r="C615" s="171"/>
      <c r="D615" s="171"/>
      <c r="E615" s="174"/>
      <c r="F615" s="174"/>
      <c r="G615" s="174"/>
      <c r="H615" s="174"/>
      <c r="I615" s="171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ht="15.75" customHeight="1">
      <c r="A616" s="171"/>
      <c r="B616" s="171"/>
      <c r="C616" s="171"/>
      <c r="D616" s="171"/>
      <c r="E616" s="174"/>
      <c r="F616" s="174"/>
      <c r="G616" s="174"/>
      <c r="H616" s="174"/>
      <c r="I616" s="171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ht="15.75" customHeight="1">
      <c r="A617" s="171"/>
      <c r="B617" s="171"/>
      <c r="C617" s="171"/>
      <c r="D617" s="171"/>
      <c r="E617" s="174"/>
      <c r="F617" s="174"/>
      <c r="G617" s="174"/>
      <c r="H617" s="174"/>
      <c r="I617" s="171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ht="15.75" customHeight="1">
      <c r="A618" s="171"/>
      <c r="B618" s="171"/>
      <c r="C618" s="171"/>
      <c r="D618" s="171"/>
      <c r="E618" s="174"/>
      <c r="F618" s="174"/>
      <c r="G618" s="174"/>
      <c r="H618" s="174"/>
      <c r="I618" s="171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ht="15.75" customHeight="1">
      <c r="A619" s="171"/>
      <c r="B619" s="171"/>
      <c r="C619" s="171"/>
      <c r="D619" s="171"/>
      <c r="E619" s="174"/>
      <c r="F619" s="174"/>
      <c r="G619" s="174"/>
      <c r="H619" s="174"/>
      <c r="I619" s="171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ht="15.75" customHeight="1">
      <c r="A620" s="171"/>
      <c r="B620" s="171"/>
      <c r="C620" s="171"/>
      <c r="D620" s="171"/>
      <c r="E620" s="174"/>
      <c r="F620" s="174"/>
      <c r="G620" s="174"/>
      <c r="H620" s="174"/>
      <c r="I620" s="171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ht="15.75" customHeight="1">
      <c r="A621" s="171"/>
      <c r="B621" s="171"/>
      <c r="C621" s="171"/>
      <c r="D621" s="171"/>
      <c r="E621" s="174"/>
      <c r="F621" s="174"/>
      <c r="G621" s="174"/>
      <c r="H621" s="174"/>
      <c r="I621" s="171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ht="15.75" customHeight="1">
      <c r="A622" s="171"/>
      <c r="B622" s="171"/>
      <c r="C622" s="171"/>
      <c r="D622" s="171"/>
      <c r="E622" s="174"/>
      <c r="F622" s="174"/>
      <c r="G622" s="174"/>
      <c r="H622" s="174"/>
      <c r="I622" s="171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ht="15.75" customHeight="1">
      <c r="A623" s="171"/>
      <c r="B623" s="171"/>
      <c r="C623" s="171"/>
      <c r="D623" s="171"/>
      <c r="E623" s="174"/>
      <c r="F623" s="174"/>
      <c r="G623" s="174"/>
      <c r="H623" s="174"/>
      <c r="I623" s="171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ht="15.75" customHeight="1">
      <c r="A624" s="171"/>
      <c r="B624" s="171"/>
      <c r="C624" s="171"/>
      <c r="D624" s="171"/>
      <c r="E624" s="174"/>
      <c r="F624" s="174"/>
      <c r="G624" s="174"/>
      <c r="H624" s="174"/>
      <c r="I624" s="171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ht="15.75" customHeight="1">
      <c r="A625" s="171"/>
      <c r="B625" s="171"/>
      <c r="C625" s="171"/>
      <c r="D625" s="171"/>
      <c r="E625" s="174"/>
      <c r="F625" s="174"/>
      <c r="G625" s="174"/>
      <c r="H625" s="174"/>
      <c r="I625" s="171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ht="15.75" customHeight="1">
      <c r="A626" s="171"/>
      <c r="B626" s="171"/>
      <c r="C626" s="171"/>
      <c r="D626" s="171"/>
      <c r="E626" s="174"/>
      <c r="F626" s="174"/>
      <c r="G626" s="174"/>
      <c r="H626" s="174"/>
      <c r="I626" s="171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ht="15.75" customHeight="1">
      <c r="A627" s="171"/>
      <c r="B627" s="171"/>
      <c r="C627" s="171"/>
      <c r="D627" s="171"/>
      <c r="E627" s="174"/>
      <c r="F627" s="174"/>
      <c r="G627" s="174"/>
      <c r="H627" s="174"/>
      <c r="I627" s="171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ht="15.75" customHeight="1">
      <c r="A628" s="171"/>
      <c r="B628" s="171"/>
      <c r="C628" s="171"/>
      <c r="D628" s="171"/>
      <c r="E628" s="174"/>
      <c r="F628" s="174"/>
      <c r="G628" s="174"/>
      <c r="H628" s="174"/>
      <c r="I628" s="171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ht="15.75" customHeight="1">
      <c r="A629" s="171"/>
      <c r="B629" s="171"/>
      <c r="C629" s="171"/>
      <c r="D629" s="171"/>
      <c r="E629" s="174"/>
      <c r="F629" s="174"/>
      <c r="G629" s="174"/>
      <c r="H629" s="174"/>
      <c r="I629" s="171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ht="15.75" customHeight="1">
      <c r="A630" s="171"/>
      <c r="B630" s="171"/>
      <c r="C630" s="171"/>
      <c r="D630" s="171"/>
      <c r="E630" s="174"/>
      <c r="F630" s="174"/>
      <c r="G630" s="174"/>
      <c r="H630" s="174"/>
      <c r="I630" s="171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ht="15.75" customHeight="1">
      <c r="A631" s="171"/>
      <c r="B631" s="171"/>
      <c r="C631" s="171"/>
      <c r="D631" s="171"/>
      <c r="E631" s="174"/>
      <c r="F631" s="174"/>
      <c r="G631" s="174"/>
      <c r="H631" s="174"/>
      <c r="I631" s="171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ht="15.75" customHeight="1">
      <c r="A632" s="171"/>
      <c r="B632" s="171"/>
      <c r="C632" s="171"/>
      <c r="D632" s="171"/>
      <c r="E632" s="174"/>
      <c r="F632" s="174"/>
      <c r="G632" s="174"/>
      <c r="H632" s="174"/>
      <c r="I632" s="171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ht="15.75" customHeight="1">
      <c r="A633" s="171"/>
      <c r="B633" s="171"/>
      <c r="C633" s="171"/>
      <c r="D633" s="171"/>
      <c r="E633" s="174"/>
      <c r="F633" s="174"/>
      <c r="G633" s="174"/>
      <c r="H633" s="174"/>
      <c r="I633" s="171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ht="15.75" customHeight="1">
      <c r="A634" s="171"/>
      <c r="B634" s="171"/>
      <c r="C634" s="171"/>
      <c r="D634" s="171"/>
      <c r="E634" s="174"/>
      <c r="F634" s="174"/>
      <c r="G634" s="174"/>
      <c r="H634" s="174"/>
      <c r="I634" s="171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ht="15.75" customHeight="1">
      <c r="A635" s="171"/>
      <c r="B635" s="171"/>
      <c r="C635" s="171"/>
      <c r="D635" s="171"/>
      <c r="E635" s="174"/>
      <c r="F635" s="174"/>
      <c r="G635" s="174"/>
      <c r="H635" s="174"/>
      <c r="I635" s="171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ht="15.75" customHeight="1">
      <c r="A636" s="171"/>
      <c r="B636" s="171"/>
      <c r="C636" s="171"/>
      <c r="D636" s="171"/>
      <c r="E636" s="174"/>
      <c r="F636" s="174"/>
      <c r="G636" s="174"/>
      <c r="H636" s="174"/>
      <c r="I636" s="171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ht="15.75" customHeight="1">
      <c r="A637" s="171"/>
      <c r="B637" s="171"/>
      <c r="C637" s="171"/>
      <c r="D637" s="171"/>
      <c r="E637" s="174"/>
      <c r="F637" s="174"/>
      <c r="G637" s="174"/>
      <c r="H637" s="174"/>
      <c r="I637" s="171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ht="15.75" customHeight="1">
      <c r="A638" s="171"/>
      <c r="B638" s="171"/>
      <c r="C638" s="171"/>
      <c r="D638" s="171"/>
      <c r="E638" s="174"/>
      <c r="F638" s="174"/>
      <c r="G638" s="174"/>
      <c r="H638" s="174"/>
      <c r="I638" s="171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ht="15.75" customHeight="1">
      <c r="A639" s="171"/>
      <c r="B639" s="171"/>
      <c r="C639" s="171"/>
      <c r="D639" s="171"/>
      <c r="E639" s="174"/>
      <c r="F639" s="174"/>
      <c r="G639" s="174"/>
      <c r="H639" s="174"/>
      <c r="I639" s="171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ht="15.75" customHeight="1">
      <c r="A640" s="171"/>
      <c r="B640" s="171"/>
      <c r="C640" s="171"/>
      <c r="D640" s="171"/>
      <c r="E640" s="174"/>
      <c r="F640" s="174"/>
      <c r="G640" s="174"/>
      <c r="H640" s="174"/>
      <c r="I640" s="171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ht="15.75" customHeight="1">
      <c r="A641" s="171"/>
      <c r="B641" s="171"/>
      <c r="C641" s="171"/>
      <c r="D641" s="171"/>
      <c r="E641" s="174"/>
      <c r="F641" s="174"/>
      <c r="G641" s="174"/>
      <c r="H641" s="174"/>
      <c r="I641" s="171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ht="15.75" customHeight="1">
      <c r="A642" s="171"/>
      <c r="B642" s="171"/>
      <c r="C642" s="171"/>
      <c r="D642" s="171"/>
      <c r="E642" s="174"/>
      <c r="F642" s="174"/>
      <c r="G642" s="174"/>
      <c r="H642" s="174"/>
      <c r="I642" s="171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ht="15.75" customHeight="1">
      <c r="A643" s="171"/>
      <c r="B643" s="171"/>
      <c r="C643" s="171"/>
      <c r="D643" s="171"/>
      <c r="E643" s="174"/>
      <c r="F643" s="174"/>
      <c r="G643" s="174"/>
      <c r="H643" s="174"/>
      <c r="I643" s="171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ht="15.75" customHeight="1">
      <c r="A644" s="171"/>
      <c r="B644" s="171"/>
      <c r="C644" s="171"/>
      <c r="D644" s="171"/>
      <c r="E644" s="174"/>
      <c r="F644" s="174"/>
      <c r="G644" s="174"/>
      <c r="H644" s="174"/>
      <c r="I644" s="171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ht="15.75" customHeight="1">
      <c r="A645" s="171"/>
      <c r="B645" s="171"/>
      <c r="C645" s="171"/>
      <c r="D645" s="171"/>
      <c r="E645" s="174"/>
      <c r="F645" s="174"/>
      <c r="G645" s="174"/>
      <c r="H645" s="174"/>
      <c r="I645" s="171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ht="15.75" customHeight="1">
      <c r="A646" s="171"/>
      <c r="B646" s="171"/>
      <c r="C646" s="171"/>
      <c r="D646" s="171"/>
      <c r="E646" s="174"/>
      <c r="F646" s="174"/>
      <c r="G646" s="174"/>
      <c r="H646" s="174"/>
      <c r="I646" s="171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ht="15.75" customHeight="1">
      <c r="A647" s="171"/>
      <c r="B647" s="171"/>
      <c r="C647" s="171"/>
      <c r="D647" s="171"/>
      <c r="E647" s="174"/>
      <c r="F647" s="174"/>
      <c r="G647" s="174"/>
      <c r="H647" s="174"/>
      <c r="I647" s="171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ht="15.75" customHeight="1">
      <c r="A648" s="171"/>
      <c r="B648" s="171"/>
      <c r="C648" s="171"/>
      <c r="D648" s="171"/>
      <c r="E648" s="174"/>
      <c r="F648" s="174"/>
      <c r="G648" s="174"/>
      <c r="H648" s="174"/>
      <c r="I648" s="171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ht="15.75" customHeight="1">
      <c r="A649" s="171"/>
      <c r="B649" s="171"/>
      <c r="C649" s="171"/>
      <c r="D649" s="171"/>
      <c r="E649" s="174"/>
      <c r="F649" s="174"/>
      <c r="G649" s="174"/>
      <c r="H649" s="174"/>
      <c r="I649" s="171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ht="15.75" customHeight="1">
      <c r="A650" s="171"/>
      <c r="B650" s="171"/>
      <c r="C650" s="171"/>
      <c r="D650" s="171"/>
      <c r="E650" s="174"/>
      <c r="F650" s="174"/>
      <c r="G650" s="174"/>
      <c r="H650" s="174"/>
      <c r="I650" s="171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ht="15.75" customHeight="1">
      <c r="A651" s="171"/>
      <c r="B651" s="171"/>
      <c r="C651" s="171"/>
      <c r="D651" s="171"/>
      <c r="E651" s="174"/>
      <c r="F651" s="174"/>
      <c r="G651" s="174"/>
      <c r="H651" s="174"/>
      <c r="I651" s="171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5.75" customHeight="1">
      <c r="A652" s="171"/>
      <c r="B652" s="171"/>
      <c r="C652" s="171"/>
      <c r="D652" s="171"/>
      <c r="E652" s="174"/>
      <c r="F652" s="174"/>
      <c r="G652" s="174"/>
      <c r="H652" s="174"/>
      <c r="I652" s="171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5.75" customHeight="1">
      <c r="A653" s="171"/>
      <c r="B653" s="171"/>
      <c r="C653" s="171"/>
      <c r="D653" s="171"/>
      <c r="E653" s="174"/>
      <c r="F653" s="174"/>
      <c r="G653" s="174"/>
      <c r="H653" s="174"/>
      <c r="I653" s="171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5.75" customHeight="1">
      <c r="A654" s="171"/>
      <c r="B654" s="171"/>
      <c r="C654" s="171"/>
      <c r="D654" s="171"/>
      <c r="E654" s="174"/>
      <c r="F654" s="174"/>
      <c r="G654" s="174"/>
      <c r="H654" s="174"/>
      <c r="I654" s="171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5.75" customHeight="1">
      <c r="A655" s="171"/>
      <c r="B655" s="171"/>
      <c r="C655" s="171"/>
      <c r="D655" s="171"/>
      <c r="E655" s="174"/>
      <c r="F655" s="174"/>
      <c r="G655" s="174"/>
      <c r="H655" s="174"/>
      <c r="I655" s="171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5.75" customHeight="1">
      <c r="A656" s="171"/>
      <c r="B656" s="171"/>
      <c r="C656" s="171"/>
      <c r="D656" s="171"/>
      <c r="E656" s="174"/>
      <c r="F656" s="174"/>
      <c r="G656" s="174"/>
      <c r="H656" s="174"/>
      <c r="I656" s="171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5.75" customHeight="1">
      <c r="A657" s="171"/>
      <c r="B657" s="171"/>
      <c r="C657" s="171"/>
      <c r="D657" s="171"/>
      <c r="E657" s="174"/>
      <c r="F657" s="174"/>
      <c r="G657" s="174"/>
      <c r="H657" s="174"/>
      <c r="I657" s="171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5.75" customHeight="1">
      <c r="A658" s="171"/>
      <c r="B658" s="171"/>
      <c r="C658" s="171"/>
      <c r="D658" s="171"/>
      <c r="E658" s="174"/>
      <c r="F658" s="174"/>
      <c r="G658" s="174"/>
      <c r="H658" s="174"/>
      <c r="I658" s="171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5.75" customHeight="1">
      <c r="A659" s="171"/>
      <c r="B659" s="171"/>
      <c r="C659" s="171"/>
      <c r="D659" s="171"/>
      <c r="E659" s="174"/>
      <c r="F659" s="174"/>
      <c r="G659" s="174"/>
      <c r="H659" s="174"/>
      <c r="I659" s="171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5.75" customHeight="1">
      <c r="A660" s="171"/>
      <c r="B660" s="171"/>
      <c r="C660" s="171"/>
      <c r="D660" s="171"/>
      <c r="E660" s="174"/>
      <c r="F660" s="174"/>
      <c r="G660" s="174"/>
      <c r="H660" s="174"/>
      <c r="I660" s="171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5.75" customHeight="1">
      <c r="A661" s="171"/>
      <c r="B661" s="171"/>
      <c r="C661" s="171"/>
      <c r="D661" s="171"/>
      <c r="E661" s="174"/>
      <c r="F661" s="174"/>
      <c r="G661" s="174"/>
      <c r="H661" s="174"/>
      <c r="I661" s="171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5.75" customHeight="1">
      <c r="A662" s="171"/>
      <c r="B662" s="171"/>
      <c r="C662" s="171"/>
      <c r="D662" s="171"/>
      <c r="E662" s="174"/>
      <c r="F662" s="174"/>
      <c r="G662" s="174"/>
      <c r="H662" s="174"/>
      <c r="I662" s="171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5.75" customHeight="1">
      <c r="A663" s="171"/>
      <c r="B663" s="171"/>
      <c r="C663" s="171"/>
      <c r="D663" s="171"/>
      <c r="E663" s="174"/>
      <c r="F663" s="174"/>
      <c r="G663" s="174"/>
      <c r="H663" s="174"/>
      <c r="I663" s="171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5.75" customHeight="1">
      <c r="A664" s="171"/>
      <c r="B664" s="171"/>
      <c r="C664" s="171"/>
      <c r="D664" s="171"/>
      <c r="E664" s="174"/>
      <c r="F664" s="174"/>
      <c r="G664" s="174"/>
      <c r="H664" s="174"/>
      <c r="I664" s="171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5.75" customHeight="1">
      <c r="A665" s="171"/>
      <c r="B665" s="171"/>
      <c r="C665" s="171"/>
      <c r="D665" s="171"/>
      <c r="E665" s="174"/>
      <c r="F665" s="174"/>
      <c r="G665" s="174"/>
      <c r="H665" s="174"/>
      <c r="I665" s="171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5.75" customHeight="1">
      <c r="A666" s="171"/>
      <c r="B666" s="171"/>
      <c r="C666" s="171"/>
      <c r="D666" s="171"/>
      <c r="E666" s="174"/>
      <c r="F666" s="174"/>
      <c r="G666" s="174"/>
      <c r="H666" s="174"/>
      <c r="I666" s="171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5.75" customHeight="1">
      <c r="A667" s="171"/>
      <c r="B667" s="171"/>
      <c r="C667" s="171"/>
      <c r="D667" s="171"/>
      <c r="E667" s="174"/>
      <c r="F667" s="174"/>
      <c r="G667" s="174"/>
      <c r="H667" s="174"/>
      <c r="I667" s="171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5.75" customHeight="1">
      <c r="A668" s="171"/>
      <c r="B668" s="171"/>
      <c r="C668" s="171"/>
      <c r="D668" s="171"/>
      <c r="E668" s="174"/>
      <c r="F668" s="174"/>
      <c r="G668" s="174"/>
      <c r="H668" s="174"/>
      <c r="I668" s="171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5.75" customHeight="1">
      <c r="A669" s="171"/>
      <c r="B669" s="171"/>
      <c r="C669" s="171"/>
      <c r="D669" s="171"/>
      <c r="E669" s="174"/>
      <c r="F669" s="174"/>
      <c r="G669" s="174"/>
      <c r="H669" s="174"/>
      <c r="I669" s="171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5.75" customHeight="1">
      <c r="A670" s="171"/>
      <c r="B670" s="171"/>
      <c r="C670" s="171"/>
      <c r="D670" s="171"/>
      <c r="E670" s="174"/>
      <c r="F670" s="174"/>
      <c r="G670" s="174"/>
      <c r="H670" s="174"/>
      <c r="I670" s="171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5.75" customHeight="1">
      <c r="A671" s="171"/>
      <c r="B671" s="171"/>
      <c r="C671" s="171"/>
      <c r="D671" s="171"/>
      <c r="E671" s="174"/>
      <c r="F671" s="174"/>
      <c r="G671" s="174"/>
      <c r="H671" s="174"/>
      <c r="I671" s="171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5.75" customHeight="1">
      <c r="A672" s="171"/>
      <c r="B672" s="171"/>
      <c r="C672" s="171"/>
      <c r="D672" s="171"/>
      <c r="E672" s="174"/>
      <c r="F672" s="174"/>
      <c r="G672" s="174"/>
      <c r="H672" s="174"/>
      <c r="I672" s="171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5.75" customHeight="1">
      <c r="A673" s="171"/>
      <c r="B673" s="171"/>
      <c r="C673" s="171"/>
      <c r="D673" s="171"/>
      <c r="E673" s="174"/>
      <c r="F673" s="174"/>
      <c r="G673" s="174"/>
      <c r="H673" s="174"/>
      <c r="I673" s="171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5.75" customHeight="1">
      <c r="A674" s="171"/>
      <c r="B674" s="171"/>
      <c r="C674" s="171"/>
      <c r="D674" s="171"/>
      <c r="E674" s="174"/>
      <c r="F674" s="174"/>
      <c r="G674" s="174"/>
      <c r="H674" s="174"/>
      <c r="I674" s="171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5.75" customHeight="1">
      <c r="A675" s="171"/>
      <c r="B675" s="171"/>
      <c r="C675" s="171"/>
      <c r="D675" s="171"/>
      <c r="E675" s="174"/>
      <c r="F675" s="174"/>
      <c r="G675" s="174"/>
      <c r="H675" s="174"/>
      <c r="I675" s="171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5.75" customHeight="1">
      <c r="A676" s="171"/>
      <c r="B676" s="171"/>
      <c r="C676" s="171"/>
      <c r="D676" s="171"/>
      <c r="E676" s="174"/>
      <c r="F676" s="174"/>
      <c r="G676" s="174"/>
      <c r="H676" s="174"/>
      <c r="I676" s="171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5.75" customHeight="1">
      <c r="A677" s="171"/>
      <c r="B677" s="171"/>
      <c r="C677" s="171"/>
      <c r="D677" s="171"/>
      <c r="E677" s="174"/>
      <c r="F677" s="174"/>
      <c r="G677" s="174"/>
      <c r="H677" s="174"/>
      <c r="I677" s="171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5.75" customHeight="1">
      <c r="A678" s="171"/>
      <c r="B678" s="171"/>
      <c r="C678" s="171"/>
      <c r="D678" s="171"/>
      <c r="E678" s="174"/>
      <c r="F678" s="174"/>
      <c r="G678" s="174"/>
      <c r="H678" s="174"/>
      <c r="I678" s="171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5.75" customHeight="1">
      <c r="A679" s="171"/>
      <c r="B679" s="171"/>
      <c r="C679" s="171"/>
      <c r="D679" s="171"/>
      <c r="E679" s="174"/>
      <c r="F679" s="174"/>
      <c r="G679" s="174"/>
      <c r="H679" s="174"/>
      <c r="I679" s="171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5.75" customHeight="1">
      <c r="A680" s="171"/>
      <c r="B680" s="171"/>
      <c r="C680" s="171"/>
      <c r="D680" s="171"/>
      <c r="E680" s="174"/>
      <c r="F680" s="174"/>
      <c r="G680" s="174"/>
      <c r="H680" s="174"/>
      <c r="I680" s="171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5.75" customHeight="1">
      <c r="A681" s="171"/>
      <c r="B681" s="171"/>
      <c r="C681" s="171"/>
      <c r="D681" s="171"/>
      <c r="E681" s="174"/>
      <c r="F681" s="174"/>
      <c r="G681" s="174"/>
      <c r="H681" s="174"/>
      <c r="I681" s="171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5.75" customHeight="1">
      <c r="A682" s="171"/>
      <c r="B682" s="171"/>
      <c r="C682" s="171"/>
      <c r="D682" s="171"/>
      <c r="E682" s="174"/>
      <c r="F682" s="174"/>
      <c r="G682" s="174"/>
      <c r="H682" s="174"/>
      <c r="I682" s="171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5.75" customHeight="1">
      <c r="A683" s="171"/>
      <c r="B683" s="171"/>
      <c r="C683" s="171"/>
      <c r="D683" s="171"/>
      <c r="E683" s="174"/>
      <c r="F683" s="174"/>
      <c r="G683" s="174"/>
      <c r="H683" s="174"/>
      <c r="I683" s="171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5.75" customHeight="1">
      <c r="A684" s="171"/>
      <c r="B684" s="171"/>
      <c r="C684" s="171"/>
      <c r="D684" s="171"/>
      <c r="E684" s="174"/>
      <c r="F684" s="174"/>
      <c r="G684" s="174"/>
      <c r="H684" s="174"/>
      <c r="I684" s="171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5.75" customHeight="1">
      <c r="A685" s="171"/>
      <c r="B685" s="171"/>
      <c r="C685" s="171"/>
      <c r="D685" s="171"/>
      <c r="E685" s="174"/>
      <c r="F685" s="174"/>
      <c r="G685" s="174"/>
      <c r="H685" s="174"/>
      <c r="I685" s="171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5.75" customHeight="1">
      <c r="A686" s="171"/>
      <c r="B686" s="171"/>
      <c r="C686" s="171"/>
      <c r="D686" s="171"/>
      <c r="E686" s="174"/>
      <c r="F686" s="174"/>
      <c r="G686" s="174"/>
      <c r="H686" s="174"/>
      <c r="I686" s="171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5.75" customHeight="1">
      <c r="A687" s="171"/>
      <c r="B687" s="171"/>
      <c r="C687" s="171"/>
      <c r="D687" s="171"/>
      <c r="E687" s="174"/>
      <c r="F687" s="174"/>
      <c r="G687" s="174"/>
      <c r="H687" s="174"/>
      <c r="I687" s="171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5.75" customHeight="1">
      <c r="A688" s="171"/>
      <c r="B688" s="171"/>
      <c r="C688" s="171"/>
      <c r="D688" s="171"/>
      <c r="E688" s="174"/>
      <c r="F688" s="174"/>
      <c r="G688" s="174"/>
      <c r="H688" s="174"/>
      <c r="I688" s="171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5.75" customHeight="1">
      <c r="A689" s="171"/>
      <c r="B689" s="171"/>
      <c r="C689" s="171"/>
      <c r="D689" s="171"/>
      <c r="E689" s="174"/>
      <c r="F689" s="174"/>
      <c r="G689" s="174"/>
      <c r="H689" s="174"/>
      <c r="I689" s="171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5.75" customHeight="1">
      <c r="A690" s="171"/>
      <c r="B690" s="171"/>
      <c r="C690" s="171"/>
      <c r="D690" s="171"/>
      <c r="E690" s="174"/>
      <c r="F690" s="174"/>
      <c r="G690" s="174"/>
      <c r="H690" s="174"/>
      <c r="I690" s="171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5.75" customHeight="1">
      <c r="A691" s="171"/>
      <c r="B691" s="171"/>
      <c r="C691" s="171"/>
      <c r="D691" s="171"/>
      <c r="E691" s="174"/>
      <c r="F691" s="174"/>
      <c r="G691" s="174"/>
      <c r="H691" s="174"/>
      <c r="I691" s="171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5.75" customHeight="1">
      <c r="A692" s="171"/>
      <c r="B692" s="171"/>
      <c r="C692" s="171"/>
      <c r="D692" s="171"/>
      <c r="E692" s="174"/>
      <c r="F692" s="174"/>
      <c r="G692" s="174"/>
      <c r="H692" s="174"/>
      <c r="I692" s="171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5.75" customHeight="1">
      <c r="A693" s="171"/>
      <c r="B693" s="171"/>
      <c r="C693" s="171"/>
      <c r="D693" s="171"/>
      <c r="E693" s="174"/>
      <c r="F693" s="174"/>
      <c r="G693" s="174"/>
      <c r="H693" s="174"/>
      <c r="I693" s="171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5.75" customHeight="1">
      <c r="A694" s="171"/>
      <c r="B694" s="171"/>
      <c r="C694" s="171"/>
      <c r="D694" s="171"/>
      <c r="E694" s="174"/>
      <c r="F694" s="174"/>
      <c r="G694" s="174"/>
      <c r="H694" s="174"/>
      <c r="I694" s="171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5.75" customHeight="1">
      <c r="A695" s="171"/>
      <c r="B695" s="171"/>
      <c r="C695" s="171"/>
      <c r="D695" s="171"/>
      <c r="E695" s="174"/>
      <c r="F695" s="174"/>
      <c r="G695" s="174"/>
      <c r="H695" s="174"/>
      <c r="I695" s="171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5.75" customHeight="1">
      <c r="A696" s="171"/>
      <c r="B696" s="171"/>
      <c r="C696" s="171"/>
      <c r="D696" s="171"/>
      <c r="E696" s="174"/>
      <c r="F696" s="174"/>
      <c r="G696" s="174"/>
      <c r="H696" s="174"/>
      <c r="I696" s="171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5.75" customHeight="1">
      <c r="A697" s="171"/>
      <c r="B697" s="171"/>
      <c r="C697" s="171"/>
      <c r="D697" s="171"/>
      <c r="E697" s="174"/>
      <c r="F697" s="174"/>
      <c r="G697" s="174"/>
      <c r="H697" s="174"/>
      <c r="I697" s="171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5.75" customHeight="1">
      <c r="A698" s="171"/>
      <c r="B698" s="171"/>
      <c r="C698" s="171"/>
      <c r="D698" s="171"/>
      <c r="E698" s="174"/>
      <c r="F698" s="174"/>
      <c r="G698" s="174"/>
      <c r="H698" s="174"/>
      <c r="I698" s="171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5.75" customHeight="1">
      <c r="A699" s="171"/>
      <c r="B699" s="171"/>
      <c r="C699" s="171"/>
      <c r="D699" s="171"/>
      <c r="E699" s="174"/>
      <c r="F699" s="174"/>
      <c r="G699" s="174"/>
      <c r="H699" s="174"/>
      <c r="I699" s="171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5.75" customHeight="1">
      <c r="A700" s="171"/>
      <c r="B700" s="171"/>
      <c r="C700" s="171"/>
      <c r="D700" s="171"/>
      <c r="E700" s="174"/>
      <c r="F700" s="174"/>
      <c r="G700" s="174"/>
      <c r="H700" s="174"/>
      <c r="I700" s="171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5.75" customHeight="1">
      <c r="A701" s="171"/>
      <c r="B701" s="171"/>
      <c r="C701" s="171"/>
      <c r="D701" s="171"/>
      <c r="E701" s="174"/>
      <c r="F701" s="174"/>
      <c r="G701" s="174"/>
      <c r="H701" s="174"/>
      <c r="I701" s="171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5.75" customHeight="1">
      <c r="A702" s="171"/>
      <c r="B702" s="171"/>
      <c r="C702" s="171"/>
      <c r="D702" s="171"/>
      <c r="E702" s="174"/>
      <c r="F702" s="174"/>
      <c r="G702" s="174"/>
      <c r="H702" s="174"/>
      <c r="I702" s="171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5.75" customHeight="1">
      <c r="A703" s="171"/>
      <c r="B703" s="171"/>
      <c r="C703" s="171"/>
      <c r="D703" s="171"/>
      <c r="E703" s="174"/>
      <c r="F703" s="174"/>
      <c r="G703" s="174"/>
      <c r="H703" s="174"/>
      <c r="I703" s="171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5.75" customHeight="1">
      <c r="A704" s="171"/>
      <c r="B704" s="171"/>
      <c r="C704" s="171"/>
      <c r="D704" s="171"/>
      <c r="E704" s="174"/>
      <c r="F704" s="174"/>
      <c r="G704" s="174"/>
      <c r="H704" s="174"/>
      <c r="I704" s="171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5.75" customHeight="1">
      <c r="A705" s="171"/>
      <c r="B705" s="171"/>
      <c r="C705" s="171"/>
      <c r="D705" s="171"/>
      <c r="E705" s="174"/>
      <c r="F705" s="174"/>
      <c r="G705" s="174"/>
      <c r="H705" s="174"/>
      <c r="I705" s="171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5.75" customHeight="1">
      <c r="A706" s="171"/>
      <c r="B706" s="171"/>
      <c r="C706" s="171"/>
      <c r="D706" s="171"/>
      <c r="E706" s="174"/>
      <c r="F706" s="174"/>
      <c r="G706" s="174"/>
      <c r="H706" s="174"/>
      <c r="I706" s="171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5.75" customHeight="1">
      <c r="A707" s="171"/>
      <c r="B707" s="171"/>
      <c r="C707" s="171"/>
      <c r="D707" s="171"/>
      <c r="E707" s="174"/>
      <c r="F707" s="174"/>
      <c r="G707" s="174"/>
      <c r="H707" s="174"/>
      <c r="I707" s="171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5.75" customHeight="1">
      <c r="A708" s="171"/>
      <c r="B708" s="171"/>
      <c r="C708" s="171"/>
      <c r="D708" s="171"/>
      <c r="E708" s="174"/>
      <c r="F708" s="174"/>
      <c r="G708" s="174"/>
      <c r="H708" s="174"/>
      <c r="I708" s="171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5.75" customHeight="1">
      <c r="A709" s="171"/>
      <c r="B709" s="171"/>
      <c r="C709" s="171"/>
      <c r="D709" s="171"/>
      <c r="E709" s="174"/>
      <c r="F709" s="174"/>
      <c r="G709" s="174"/>
      <c r="H709" s="174"/>
      <c r="I709" s="171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5.75" customHeight="1">
      <c r="A710" s="171"/>
      <c r="B710" s="171"/>
      <c r="C710" s="171"/>
      <c r="D710" s="171"/>
      <c r="E710" s="174"/>
      <c r="F710" s="174"/>
      <c r="G710" s="174"/>
      <c r="H710" s="174"/>
      <c r="I710" s="171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5.75" customHeight="1">
      <c r="A711" s="171"/>
      <c r="B711" s="171"/>
      <c r="C711" s="171"/>
      <c r="D711" s="171"/>
      <c r="E711" s="174"/>
      <c r="F711" s="174"/>
      <c r="G711" s="174"/>
      <c r="H711" s="174"/>
      <c r="I711" s="171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5.75" customHeight="1">
      <c r="A712" s="171"/>
      <c r="B712" s="171"/>
      <c r="C712" s="171"/>
      <c r="D712" s="171"/>
      <c r="E712" s="174"/>
      <c r="F712" s="174"/>
      <c r="G712" s="174"/>
      <c r="H712" s="174"/>
      <c r="I712" s="171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5.75" customHeight="1">
      <c r="A713" s="171"/>
      <c r="B713" s="171"/>
      <c r="C713" s="171"/>
      <c r="D713" s="171"/>
      <c r="E713" s="174"/>
      <c r="F713" s="174"/>
      <c r="G713" s="174"/>
      <c r="H713" s="174"/>
      <c r="I713" s="171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5.75" customHeight="1">
      <c r="A714" s="171"/>
      <c r="B714" s="171"/>
      <c r="C714" s="171"/>
      <c r="D714" s="171"/>
      <c r="E714" s="174"/>
      <c r="F714" s="174"/>
      <c r="G714" s="174"/>
      <c r="H714" s="174"/>
      <c r="I714" s="171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5.75" customHeight="1">
      <c r="A715" s="171"/>
      <c r="B715" s="171"/>
      <c r="C715" s="171"/>
      <c r="D715" s="171"/>
      <c r="E715" s="174"/>
      <c r="F715" s="174"/>
      <c r="G715" s="174"/>
      <c r="H715" s="174"/>
      <c r="I715" s="171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5.75" customHeight="1">
      <c r="A716" s="171"/>
      <c r="B716" s="171"/>
      <c r="C716" s="171"/>
      <c r="D716" s="171"/>
      <c r="E716" s="174"/>
      <c r="F716" s="174"/>
      <c r="G716" s="174"/>
      <c r="H716" s="174"/>
      <c r="I716" s="171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5.75" customHeight="1">
      <c r="A717" s="171"/>
      <c r="B717" s="171"/>
      <c r="C717" s="171"/>
      <c r="D717" s="171"/>
      <c r="E717" s="174"/>
      <c r="F717" s="174"/>
      <c r="G717" s="174"/>
      <c r="H717" s="174"/>
      <c r="I717" s="171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5.75" customHeight="1">
      <c r="A718" s="171"/>
      <c r="B718" s="171"/>
      <c r="C718" s="171"/>
      <c r="D718" s="171"/>
      <c r="E718" s="174"/>
      <c r="F718" s="174"/>
      <c r="G718" s="174"/>
      <c r="H718" s="174"/>
      <c r="I718" s="171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5.75" customHeight="1">
      <c r="A719" s="171"/>
      <c r="B719" s="171"/>
      <c r="C719" s="171"/>
      <c r="D719" s="171"/>
      <c r="E719" s="174"/>
      <c r="F719" s="174"/>
      <c r="G719" s="174"/>
      <c r="H719" s="174"/>
      <c r="I719" s="171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5.75" customHeight="1">
      <c r="A720" s="171"/>
      <c r="B720" s="171"/>
      <c r="C720" s="171"/>
      <c r="D720" s="171"/>
      <c r="E720" s="174"/>
      <c r="F720" s="174"/>
      <c r="G720" s="174"/>
      <c r="H720" s="174"/>
      <c r="I720" s="171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5.75" customHeight="1">
      <c r="A721" s="171"/>
      <c r="B721" s="171"/>
      <c r="C721" s="171"/>
      <c r="D721" s="171"/>
      <c r="E721" s="174"/>
      <c r="F721" s="174"/>
      <c r="G721" s="174"/>
      <c r="H721" s="174"/>
      <c r="I721" s="171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5.75" customHeight="1">
      <c r="A722" s="171"/>
      <c r="B722" s="171"/>
      <c r="C722" s="171"/>
      <c r="D722" s="171"/>
      <c r="E722" s="174"/>
      <c r="F722" s="174"/>
      <c r="G722" s="174"/>
      <c r="H722" s="174"/>
      <c r="I722" s="171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5.75" customHeight="1">
      <c r="A723" s="171"/>
      <c r="B723" s="171"/>
      <c r="C723" s="171"/>
      <c r="D723" s="171"/>
      <c r="E723" s="174"/>
      <c r="F723" s="174"/>
      <c r="G723" s="174"/>
      <c r="H723" s="174"/>
      <c r="I723" s="171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5.75" customHeight="1">
      <c r="A724" s="171"/>
      <c r="B724" s="171"/>
      <c r="C724" s="171"/>
      <c r="D724" s="171"/>
      <c r="E724" s="174"/>
      <c r="F724" s="174"/>
      <c r="G724" s="174"/>
      <c r="H724" s="174"/>
      <c r="I724" s="171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5.75" customHeight="1">
      <c r="A725" s="171"/>
      <c r="B725" s="171"/>
      <c r="C725" s="171"/>
      <c r="D725" s="171"/>
      <c r="E725" s="174"/>
      <c r="F725" s="174"/>
      <c r="G725" s="174"/>
      <c r="H725" s="174"/>
      <c r="I725" s="171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5.75" customHeight="1">
      <c r="A726" s="171"/>
      <c r="B726" s="171"/>
      <c r="C726" s="171"/>
      <c r="D726" s="171"/>
      <c r="E726" s="174"/>
      <c r="F726" s="174"/>
      <c r="G726" s="174"/>
      <c r="H726" s="174"/>
      <c r="I726" s="171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5.75" customHeight="1">
      <c r="A727" s="171"/>
      <c r="B727" s="171"/>
      <c r="C727" s="171"/>
      <c r="D727" s="171"/>
      <c r="E727" s="174"/>
      <c r="F727" s="174"/>
      <c r="G727" s="174"/>
      <c r="H727" s="174"/>
      <c r="I727" s="171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5.75" customHeight="1">
      <c r="A728" s="171"/>
      <c r="B728" s="171"/>
      <c r="C728" s="171"/>
      <c r="D728" s="171"/>
      <c r="E728" s="174"/>
      <c r="F728" s="174"/>
      <c r="G728" s="174"/>
      <c r="H728" s="174"/>
      <c r="I728" s="171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5.75" customHeight="1">
      <c r="A729" s="171"/>
      <c r="B729" s="171"/>
      <c r="C729" s="171"/>
      <c r="D729" s="171"/>
      <c r="E729" s="174"/>
      <c r="F729" s="174"/>
      <c r="G729" s="174"/>
      <c r="H729" s="174"/>
      <c r="I729" s="171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5.75" customHeight="1">
      <c r="A730" s="171"/>
      <c r="B730" s="171"/>
      <c r="C730" s="171"/>
      <c r="D730" s="171"/>
      <c r="E730" s="174"/>
      <c r="F730" s="174"/>
      <c r="G730" s="174"/>
      <c r="H730" s="174"/>
      <c r="I730" s="171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5.75" customHeight="1">
      <c r="A731" s="171"/>
      <c r="B731" s="171"/>
      <c r="C731" s="171"/>
      <c r="D731" s="171"/>
      <c r="E731" s="174"/>
      <c r="F731" s="174"/>
      <c r="G731" s="174"/>
      <c r="H731" s="174"/>
      <c r="I731" s="171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5.75" customHeight="1">
      <c r="A732" s="171"/>
      <c r="B732" s="171"/>
      <c r="C732" s="171"/>
      <c r="D732" s="171"/>
      <c r="E732" s="174"/>
      <c r="F732" s="174"/>
      <c r="G732" s="174"/>
      <c r="H732" s="174"/>
      <c r="I732" s="171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5.75" customHeight="1">
      <c r="A733" s="171"/>
      <c r="B733" s="171"/>
      <c r="C733" s="171"/>
      <c r="D733" s="171"/>
      <c r="E733" s="174"/>
      <c r="F733" s="174"/>
      <c r="G733" s="174"/>
      <c r="H733" s="174"/>
      <c r="I733" s="171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5.75" customHeight="1">
      <c r="A734" s="171"/>
      <c r="B734" s="171"/>
      <c r="C734" s="171"/>
      <c r="D734" s="171"/>
      <c r="E734" s="174"/>
      <c r="F734" s="174"/>
      <c r="G734" s="174"/>
      <c r="H734" s="174"/>
      <c r="I734" s="171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5.75" customHeight="1">
      <c r="A735" s="171"/>
      <c r="B735" s="171"/>
      <c r="C735" s="171"/>
      <c r="D735" s="171"/>
      <c r="E735" s="174"/>
      <c r="F735" s="174"/>
      <c r="G735" s="174"/>
      <c r="H735" s="174"/>
      <c r="I735" s="171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5.75" customHeight="1">
      <c r="A736" s="171"/>
      <c r="B736" s="171"/>
      <c r="C736" s="171"/>
      <c r="D736" s="171"/>
      <c r="E736" s="174"/>
      <c r="F736" s="174"/>
      <c r="G736" s="174"/>
      <c r="H736" s="174"/>
      <c r="I736" s="171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5.75" customHeight="1">
      <c r="A737" s="171"/>
      <c r="B737" s="171"/>
      <c r="C737" s="171"/>
      <c r="D737" s="171"/>
      <c r="E737" s="174"/>
      <c r="F737" s="174"/>
      <c r="G737" s="174"/>
      <c r="H737" s="174"/>
      <c r="I737" s="171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5.75" customHeight="1">
      <c r="A738" s="171"/>
      <c r="B738" s="171"/>
      <c r="C738" s="171"/>
      <c r="D738" s="171"/>
      <c r="E738" s="174"/>
      <c r="F738" s="174"/>
      <c r="G738" s="174"/>
      <c r="H738" s="174"/>
      <c r="I738" s="171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5.75" customHeight="1">
      <c r="A739" s="171"/>
      <c r="B739" s="171"/>
      <c r="C739" s="171"/>
      <c r="D739" s="171"/>
      <c r="E739" s="174"/>
      <c r="F739" s="174"/>
      <c r="G739" s="174"/>
      <c r="H739" s="174"/>
      <c r="I739" s="171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5.75" customHeight="1">
      <c r="A740" s="171"/>
      <c r="B740" s="171"/>
      <c r="C740" s="171"/>
      <c r="D740" s="171"/>
      <c r="E740" s="174"/>
      <c r="F740" s="174"/>
      <c r="G740" s="174"/>
      <c r="H740" s="174"/>
      <c r="I740" s="171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5.75" customHeight="1">
      <c r="A741" s="171"/>
      <c r="B741" s="171"/>
      <c r="C741" s="171"/>
      <c r="D741" s="171"/>
      <c r="E741" s="174"/>
      <c r="F741" s="174"/>
      <c r="G741" s="174"/>
      <c r="H741" s="174"/>
      <c r="I741" s="171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5.75" customHeight="1">
      <c r="A742" s="171"/>
      <c r="B742" s="171"/>
      <c r="C742" s="171"/>
      <c r="D742" s="171"/>
      <c r="E742" s="174"/>
      <c r="F742" s="174"/>
      <c r="G742" s="174"/>
      <c r="H742" s="174"/>
      <c r="I742" s="171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5.75" customHeight="1">
      <c r="A743" s="171"/>
      <c r="B743" s="171"/>
      <c r="C743" s="171"/>
      <c r="D743" s="171"/>
      <c r="E743" s="174"/>
      <c r="F743" s="174"/>
      <c r="G743" s="174"/>
      <c r="H743" s="174"/>
      <c r="I743" s="171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5.75" customHeight="1">
      <c r="A744" s="171"/>
      <c r="B744" s="171"/>
      <c r="C744" s="171"/>
      <c r="D744" s="171"/>
      <c r="E744" s="174"/>
      <c r="F744" s="174"/>
      <c r="G744" s="174"/>
      <c r="H744" s="174"/>
      <c r="I744" s="171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5.75" customHeight="1">
      <c r="A745" s="171"/>
      <c r="B745" s="171"/>
      <c r="C745" s="171"/>
      <c r="D745" s="171"/>
      <c r="E745" s="174"/>
      <c r="F745" s="174"/>
      <c r="G745" s="174"/>
      <c r="H745" s="174"/>
      <c r="I745" s="171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5.75" customHeight="1">
      <c r="A746" s="171"/>
      <c r="B746" s="171"/>
      <c r="C746" s="171"/>
      <c r="D746" s="171"/>
      <c r="E746" s="174"/>
      <c r="F746" s="174"/>
      <c r="G746" s="174"/>
      <c r="H746" s="174"/>
      <c r="I746" s="171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5.75" customHeight="1">
      <c r="A747" s="171"/>
      <c r="B747" s="171"/>
      <c r="C747" s="171"/>
      <c r="D747" s="171"/>
      <c r="E747" s="174"/>
      <c r="F747" s="174"/>
      <c r="G747" s="174"/>
      <c r="H747" s="174"/>
      <c r="I747" s="171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5.75" customHeight="1">
      <c r="A748" s="171"/>
      <c r="B748" s="171"/>
      <c r="C748" s="171"/>
      <c r="D748" s="171"/>
      <c r="E748" s="174"/>
      <c r="F748" s="174"/>
      <c r="G748" s="174"/>
      <c r="H748" s="174"/>
      <c r="I748" s="171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5.75" customHeight="1">
      <c r="A749" s="171"/>
      <c r="B749" s="171"/>
      <c r="C749" s="171"/>
      <c r="D749" s="171"/>
      <c r="E749" s="174"/>
      <c r="F749" s="174"/>
      <c r="G749" s="174"/>
      <c r="H749" s="174"/>
      <c r="I749" s="171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5.75" customHeight="1">
      <c r="A750" s="171"/>
      <c r="B750" s="171"/>
      <c r="C750" s="171"/>
      <c r="D750" s="171"/>
      <c r="E750" s="174"/>
      <c r="F750" s="174"/>
      <c r="G750" s="174"/>
      <c r="H750" s="174"/>
      <c r="I750" s="171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5.75" customHeight="1">
      <c r="A751" s="171"/>
      <c r="B751" s="171"/>
      <c r="C751" s="171"/>
      <c r="D751" s="171"/>
      <c r="E751" s="174"/>
      <c r="F751" s="174"/>
      <c r="G751" s="174"/>
      <c r="H751" s="174"/>
      <c r="I751" s="171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5.75" customHeight="1">
      <c r="A752" s="171"/>
      <c r="B752" s="171"/>
      <c r="C752" s="171"/>
      <c r="D752" s="171"/>
      <c r="E752" s="174"/>
      <c r="F752" s="174"/>
      <c r="G752" s="174"/>
      <c r="H752" s="174"/>
      <c r="I752" s="171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5.75" customHeight="1">
      <c r="A753" s="171"/>
      <c r="B753" s="171"/>
      <c r="C753" s="171"/>
      <c r="D753" s="171"/>
      <c r="E753" s="174"/>
      <c r="F753" s="174"/>
      <c r="G753" s="174"/>
      <c r="H753" s="174"/>
      <c r="I753" s="171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5.75" customHeight="1">
      <c r="A754" s="171"/>
      <c r="B754" s="171"/>
      <c r="C754" s="171"/>
      <c r="D754" s="171"/>
      <c r="E754" s="174"/>
      <c r="F754" s="174"/>
      <c r="G754" s="174"/>
      <c r="H754" s="174"/>
      <c r="I754" s="171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5.75" customHeight="1">
      <c r="A755" s="171"/>
      <c r="B755" s="171"/>
      <c r="C755" s="171"/>
      <c r="D755" s="171"/>
      <c r="E755" s="174"/>
      <c r="F755" s="174"/>
      <c r="G755" s="174"/>
      <c r="H755" s="174"/>
      <c r="I755" s="171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5.75" customHeight="1">
      <c r="A756" s="171"/>
      <c r="B756" s="171"/>
      <c r="C756" s="171"/>
      <c r="D756" s="171"/>
      <c r="E756" s="174"/>
      <c r="F756" s="174"/>
      <c r="G756" s="174"/>
      <c r="H756" s="174"/>
      <c r="I756" s="171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5.75" customHeight="1">
      <c r="A757" s="171"/>
      <c r="B757" s="171"/>
      <c r="C757" s="171"/>
      <c r="D757" s="171"/>
      <c r="E757" s="174"/>
      <c r="F757" s="174"/>
      <c r="G757" s="174"/>
      <c r="H757" s="174"/>
      <c r="I757" s="171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5.75" customHeight="1">
      <c r="A758" s="171"/>
      <c r="B758" s="171"/>
      <c r="C758" s="171"/>
      <c r="D758" s="171"/>
      <c r="E758" s="174"/>
      <c r="F758" s="174"/>
      <c r="G758" s="174"/>
      <c r="H758" s="174"/>
      <c r="I758" s="171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5.75" customHeight="1">
      <c r="A759" s="171"/>
      <c r="B759" s="171"/>
      <c r="C759" s="171"/>
      <c r="D759" s="171"/>
      <c r="E759" s="174"/>
      <c r="F759" s="174"/>
      <c r="G759" s="174"/>
      <c r="H759" s="174"/>
      <c r="I759" s="171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5.75" customHeight="1">
      <c r="A760" s="171"/>
      <c r="B760" s="171"/>
      <c r="C760" s="171"/>
      <c r="D760" s="171"/>
      <c r="E760" s="174"/>
      <c r="F760" s="174"/>
      <c r="G760" s="174"/>
      <c r="H760" s="174"/>
      <c r="I760" s="171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5.75" customHeight="1">
      <c r="A761" s="171"/>
      <c r="B761" s="171"/>
      <c r="C761" s="171"/>
      <c r="D761" s="171"/>
      <c r="E761" s="174"/>
      <c r="F761" s="174"/>
      <c r="G761" s="174"/>
      <c r="H761" s="174"/>
      <c r="I761" s="171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5.75" customHeight="1">
      <c r="A762" s="171"/>
      <c r="B762" s="171"/>
      <c r="C762" s="171"/>
      <c r="D762" s="171"/>
      <c r="E762" s="174"/>
      <c r="F762" s="174"/>
      <c r="G762" s="174"/>
      <c r="H762" s="174"/>
      <c r="I762" s="171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5.75" customHeight="1">
      <c r="A763" s="171"/>
      <c r="B763" s="171"/>
      <c r="C763" s="171"/>
      <c r="D763" s="171"/>
      <c r="E763" s="174"/>
      <c r="F763" s="174"/>
      <c r="G763" s="174"/>
      <c r="H763" s="174"/>
      <c r="I763" s="171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5.75" customHeight="1">
      <c r="A764" s="171"/>
      <c r="B764" s="171"/>
      <c r="C764" s="171"/>
      <c r="D764" s="171"/>
      <c r="E764" s="174"/>
      <c r="F764" s="174"/>
      <c r="G764" s="174"/>
      <c r="H764" s="174"/>
      <c r="I764" s="171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5.75" customHeight="1">
      <c r="A765" s="171"/>
      <c r="B765" s="171"/>
      <c r="C765" s="171"/>
      <c r="D765" s="171"/>
      <c r="E765" s="174"/>
      <c r="F765" s="174"/>
      <c r="G765" s="174"/>
      <c r="H765" s="174"/>
      <c r="I765" s="171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5.75" customHeight="1">
      <c r="A766" s="171"/>
      <c r="B766" s="171"/>
      <c r="C766" s="171"/>
      <c r="D766" s="171"/>
      <c r="E766" s="174"/>
      <c r="F766" s="174"/>
      <c r="G766" s="174"/>
      <c r="H766" s="174"/>
      <c r="I766" s="171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5.75" customHeight="1">
      <c r="A767" s="171"/>
      <c r="B767" s="171"/>
      <c r="C767" s="171"/>
      <c r="D767" s="171"/>
      <c r="E767" s="174"/>
      <c r="F767" s="174"/>
      <c r="G767" s="174"/>
      <c r="H767" s="174"/>
      <c r="I767" s="171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5.75" customHeight="1">
      <c r="A768" s="171"/>
      <c r="B768" s="171"/>
      <c r="C768" s="171"/>
      <c r="D768" s="171"/>
      <c r="E768" s="174"/>
      <c r="F768" s="174"/>
      <c r="G768" s="174"/>
      <c r="H768" s="174"/>
      <c r="I768" s="171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5.75" customHeight="1">
      <c r="A769" s="171"/>
      <c r="B769" s="171"/>
      <c r="C769" s="171"/>
      <c r="D769" s="171"/>
      <c r="E769" s="174"/>
      <c r="F769" s="174"/>
      <c r="G769" s="174"/>
      <c r="H769" s="174"/>
      <c r="I769" s="171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5.75" customHeight="1">
      <c r="A770" s="171"/>
      <c r="B770" s="171"/>
      <c r="C770" s="171"/>
      <c r="D770" s="171"/>
      <c r="E770" s="174"/>
      <c r="F770" s="174"/>
      <c r="G770" s="174"/>
      <c r="H770" s="174"/>
      <c r="I770" s="171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5.75" customHeight="1">
      <c r="A771" s="171"/>
      <c r="B771" s="171"/>
      <c r="C771" s="171"/>
      <c r="D771" s="171"/>
      <c r="E771" s="174"/>
      <c r="F771" s="174"/>
      <c r="G771" s="174"/>
      <c r="H771" s="174"/>
      <c r="I771" s="171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5.75" customHeight="1">
      <c r="A772" s="171"/>
      <c r="B772" s="171"/>
      <c r="C772" s="171"/>
      <c r="D772" s="171"/>
      <c r="E772" s="174"/>
      <c r="F772" s="174"/>
      <c r="G772" s="174"/>
      <c r="H772" s="174"/>
      <c r="I772" s="171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5.75" customHeight="1">
      <c r="A773" s="171"/>
      <c r="B773" s="171"/>
      <c r="C773" s="171"/>
      <c r="D773" s="171"/>
      <c r="E773" s="174"/>
      <c r="F773" s="174"/>
      <c r="G773" s="174"/>
      <c r="H773" s="174"/>
      <c r="I773" s="171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5.75" customHeight="1">
      <c r="A774" s="171"/>
      <c r="B774" s="171"/>
      <c r="C774" s="171"/>
      <c r="D774" s="171"/>
      <c r="E774" s="174"/>
      <c r="F774" s="174"/>
      <c r="G774" s="174"/>
      <c r="H774" s="174"/>
      <c r="I774" s="171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5.75" customHeight="1">
      <c r="A775" s="171"/>
      <c r="B775" s="171"/>
      <c r="C775" s="171"/>
      <c r="D775" s="171"/>
      <c r="E775" s="174"/>
      <c r="F775" s="174"/>
      <c r="G775" s="174"/>
      <c r="H775" s="174"/>
      <c r="I775" s="171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5.75" customHeight="1">
      <c r="A776" s="171"/>
      <c r="B776" s="171"/>
      <c r="C776" s="171"/>
      <c r="D776" s="171"/>
      <c r="E776" s="174"/>
      <c r="F776" s="174"/>
      <c r="G776" s="174"/>
      <c r="H776" s="174"/>
      <c r="I776" s="171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5.75" customHeight="1">
      <c r="A777" s="171"/>
      <c r="B777" s="171"/>
      <c r="C777" s="171"/>
      <c r="D777" s="171"/>
      <c r="E777" s="174"/>
      <c r="F777" s="174"/>
      <c r="G777" s="174"/>
      <c r="H777" s="174"/>
      <c r="I777" s="171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5.75" customHeight="1">
      <c r="A778" s="171"/>
      <c r="B778" s="171"/>
      <c r="C778" s="171"/>
      <c r="D778" s="171"/>
      <c r="E778" s="174"/>
      <c r="F778" s="174"/>
      <c r="G778" s="174"/>
      <c r="H778" s="174"/>
      <c r="I778" s="171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5.75" customHeight="1">
      <c r="A779" s="171"/>
      <c r="B779" s="171"/>
      <c r="C779" s="171"/>
      <c r="D779" s="171"/>
      <c r="E779" s="174"/>
      <c r="F779" s="174"/>
      <c r="G779" s="174"/>
      <c r="H779" s="174"/>
      <c r="I779" s="171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5.75" customHeight="1">
      <c r="A780" s="171"/>
      <c r="B780" s="171"/>
      <c r="C780" s="171"/>
      <c r="D780" s="171"/>
      <c r="E780" s="174"/>
      <c r="F780" s="174"/>
      <c r="G780" s="174"/>
      <c r="H780" s="174"/>
      <c r="I780" s="171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5.75" customHeight="1">
      <c r="A781" s="171"/>
      <c r="B781" s="171"/>
      <c r="C781" s="171"/>
      <c r="D781" s="171"/>
      <c r="E781" s="174"/>
      <c r="F781" s="174"/>
      <c r="G781" s="174"/>
      <c r="H781" s="174"/>
      <c r="I781" s="171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5.75" customHeight="1">
      <c r="A782" s="171"/>
      <c r="B782" s="171"/>
      <c r="C782" s="171"/>
      <c r="D782" s="171"/>
      <c r="E782" s="174"/>
      <c r="F782" s="174"/>
      <c r="G782" s="174"/>
      <c r="H782" s="174"/>
      <c r="I782" s="171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5.75" customHeight="1">
      <c r="A783" s="171"/>
      <c r="B783" s="171"/>
      <c r="C783" s="171"/>
      <c r="D783" s="171"/>
      <c r="E783" s="174"/>
      <c r="F783" s="174"/>
      <c r="G783" s="174"/>
      <c r="H783" s="174"/>
      <c r="I783" s="171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5.75" customHeight="1">
      <c r="A784" s="171"/>
      <c r="B784" s="171"/>
      <c r="C784" s="171"/>
      <c r="D784" s="171"/>
      <c r="E784" s="174"/>
      <c r="F784" s="174"/>
      <c r="G784" s="174"/>
      <c r="H784" s="174"/>
      <c r="I784" s="171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5.75" customHeight="1">
      <c r="A785" s="171"/>
      <c r="B785" s="171"/>
      <c r="C785" s="171"/>
      <c r="D785" s="171"/>
      <c r="E785" s="174"/>
      <c r="F785" s="174"/>
      <c r="G785" s="174"/>
      <c r="H785" s="174"/>
      <c r="I785" s="171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5.75" customHeight="1">
      <c r="A786" s="171"/>
      <c r="B786" s="171"/>
      <c r="C786" s="171"/>
      <c r="D786" s="171"/>
      <c r="E786" s="174"/>
      <c r="F786" s="174"/>
      <c r="G786" s="174"/>
      <c r="H786" s="174"/>
      <c r="I786" s="171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5.75" customHeight="1">
      <c r="A787" s="171"/>
      <c r="B787" s="171"/>
      <c r="C787" s="171"/>
      <c r="D787" s="171"/>
      <c r="E787" s="174"/>
      <c r="F787" s="174"/>
      <c r="G787" s="174"/>
      <c r="H787" s="174"/>
      <c r="I787" s="171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5.75" customHeight="1">
      <c r="A788" s="171"/>
      <c r="B788" s="171"/>
      <c r="C788" s="171"/>
      <c r="D788" s="171"/>
      <c r="E788" s="174"/>
      <c r="F788" s="174"/>
      <c r="G788" s="174"/>
      <c r="H788" s="174"/>
      <c r="I788" s="171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5.75" customHeight="1">
      <c r="A789" s="171"/>
      <c r="B789" s="171"/>
      <c r="C789" s="171"/>
      <c r="D789" s="171"/>
      <c r="E789" s="174"/>
      <c r="F789" s="174"/>
      <c r="G789" s="174"/>
      <c r="H789" s="174"/>
      <c r="I789" s="171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5.75" customHeight="1">
      <c r="A790" s="171"/>
      <c r="B790" s="171"/>
      <c r="C790" s="171"/>
      <c r="D790" s="171"/>
      <c r="E790" s="174"/>
      <c r="F790" s="174"/>
      <c r="G790" s="174"/>
      <c r="H790" s="174"/>
      <c r="I790" s="171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5.75" customHeight="1">
      <c r="A791" s="171"/>
      <c r="B791" s="171"/>
      <c r="C791" s="171"/>
      <c r="D791" s="171"/>
      <c r="E791" s="174"/>
      <c r="F791" s="174"/>
      <c r="G791" s="174"/>
      <c r="H791" s="174"/>
      <c r="I791" s="171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5.75" customHeight="1">
      <c r="A792" s="171"/>
      <c r="B792" s="171"/>
      <c r="C792" s="171"/>
      <c r="D792" s="171"/>
      <c r="E792" s="174"/>
      <c r="F792" s="174"/>
      <c r="G792" s="174"/>
      <c r="H792" s="174"/>
      <c r="I792" s="171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5.75" customHeight="1">
      <c r="A793" s="171"/>
      <c r="B793" s="171"/>
      <c r="C793" s="171"/>
      <c r="D793" s="171"/>
      <c r="E793" s="174"/>
      <c r="F793" s="174"/>
      <c r="G793" s="174"/>
      <c r="H793" s="174"/>
      <c r="I793" s="171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5.75" customHeight="1">
      <c r="A794" s="171"/>
      <c r="B794" s="171"/>
      <c r="C794" s="171"/>
      <c r="D794" s="171"/>
      <c r="E794" s="174"/>
      <c r="F794" s="174"/>
      <c r="G794" s="174"/>
      <c r="H794" s="174"/>
      <c r="I794" s="171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5.75" customHeight="1">
      <c r="A795" s="171"/>
      <c r="B795" s="171"/>
      <c r="C795" s="171"/>
      <c r="D795" s="171"/>
      <c r="E795" s="174"/>
      <c r="F795" s="174"/>
      <c r="G795" s="174"/>
      <c r="H795" s="174"/>
      <c r="I795" s="171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5.75" customHeight="1">
      <c r="A796" s="171"/>
      <c r="B796" s="171"/>
      <c r="C796" s="171"/>
      <c r="D796" s="171"/>
      <c r="E796" s="174"/>
      <c r="F796" s="174"/>
      <c r="G796" s="174"/>
      <c r="H796" s="174"/>
      <c r="I796" s="171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5.75" customHeight="1">
      <c r="A797" s="171"/>
      <c r="B797" s="171"/>
      <c r="C797" s="171"/>
      <c r="D797" s="171"/>
      <c r="E797" s="174"/>
      <c r="F797" s="174"/>
      <c r="G797" s="174"/>
      <c r="H797" s="174"/>
      <c r="I797" s="171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5.75" customHeight="1">
      <c r="A798" s="171"/>
      <c r="B798" s="171"/>
      <c r="C798" s="171"/>
      <c r="D798" s="171"/>
      <c r="E798" s="174"/>
      <c r="F798" s="174"/>
      <c r="G798" s="174"/>
      <c r="H798" s="174"/>
      <c r="I798" s="171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5.75" customHeight="1">
      <c r="A799" s="171"/>
      <c r="B799" s="171"/>
      <c r="C799" s="171"/>
      <c r="D799" s="171"/>
      <c r="E799" s="174"/>
      <c r="F799" s="174"/>
      <c r="G799" s="174"/>
      <c r="H799" s="174"/>
      <c r="I799" s="171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5.75" customHeight="1">
      <c r="A800" s="171"/>
      <c r="B800" s="171"/>
      <c r="C800" s="171"/>
      <c r="D800" s="171"/>
      <c r="E800" s="174"/>
      <c r="F800" s="174"/>
      <c r="G800" s="174"/>
      <c r="H800" s="174"/>
      <c r="I800" s="171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5.75" customHeight="1">
      <c r="A801" s="171"/>
      <c r="B801" s="171"/>
      <c r="C801" s="171"/>
      <c r="D801" s="171"/>
      <c r="E801" s="174"/>
      <c r="F801" s="174"/>
      <c r="G801" s="174"/>
      <c r="H801" s="174"/>
      <c r="I801" s="171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5.75" customHeight="1">
      <c r="A802" s="171"/>
      <c r="B802" s="171"/>
      <c r="C802" s="171"/>
      <c r="D802" s="171"/>
      <c r="E802" s="174"/>
      <c r="F802" s="174"/>
      <c r="G802" s="174"/>
      <c r="H802" s="174"/>
      <c r="I802" s="171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5.75" customHeight="1">
      <c r="A803" s="171"/>
      <c r="B803" s="171"/>
      <c r="C803" s="171"/>
      <c r="D803" s="171"/>
      <c r="E803" s="174"/>
      <c r="F803" s="174"/>
      <c r="G803" s="174"/>
      <c r="H803" s="174"/>
      <c r="I803" s="171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5.75" customHeight="1">
      <c r="A804" s="171"/>
      <c r="B804" s="171"/>
      <c r="C804" s="171"/>
      <c r="D804" s="171"/>
      <c r="E804" s="174"/>
      <c r="F804" s="174"/>
      <c r="G804" s="174"/>
      <c r="H804" s="174"/>
      <c r="I804" s="171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5.75" customHeight="1">
      <c r="A805" s="171"/>
      <c r="B805" s="171"/>
      <c r="C805" s="171"/>
      <c r="D805" s="171"/>
      <c r="E805" s="174"/>
      <c r="F805" s="174"/>
      <c r="G805" s="174"/>
      <c r="H805" s="174"/>
      <c r="I805" s="171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5.75" customHeight="1">
      <c r="A806" s="171"/>
      <c r="B806" s="171"/>
      <c r="C806" s="171"/>
      <c r="D806" s="171"/>
      <c r="E806" s="174"/>
      <c r="F806" s="174"/>
      <c r="G806" s="174"/>
      <c r="H806" s="174"/>
      <c r="I806" s="171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5.75" customHeight="1">
      <c r="A807" s="171"/>
      <c r="B807" s="171"/>
      <c r="C807" s="171"/>
      <c r="D807" s="171"/>
      <c r="E807" s="174"/>
      <c r="F807" s="174"/>
      <c r="G807" s="174"/>
      <c r="H807" s="174"/>
      <c r="I807" s="171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5.75" customHeight="1">
      <c r="A808" s="171"/>
      <c r="B808" s="171"/>
      <c r="C808" s="171"/>
      <c r="D808" s="171"/>
      <c r="E808" s="174"/>
      <c r="F808" s="174"/>
      <c r="G808" s="174"/>
      <c r="H808" s="174"/>
      <c r="I808" s="171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5.75" customHeight="1">
      <c r="A809" s="171"/>
      <c r="B809" s="171"/>
      <c r="C809" s="171"/>
      <c r="D809" s="171"/>
      <c r="E809" s="174"/>
      <c r="F809" s="174"/>
      <c r="G809" s="174"/>
      <c r="H809" s="174"/>
      <c r="I809" s="171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5.75" customHeight="1">
      <c r="A810" s="171"/>
      <c r="B810" s="171"/>
      <c r="C810" s="171"/>
      <c r="D810" s="171"/>
      <c r="E810" s="174"/>
      <c r="F810" s="174"/>
      <c r="G810" s="174"/>
      <c r="H810" s="174"/>
      <c r="I810" s="171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5.75" customHeight="1">
      <c r="A811" s="171"/>
      <c r="B811" s="171"/>
      <c r="C811" s="171"/>
      <c r="D811" s="171"/>
      <c r="E811" s="174"/>
      <c r="F811" s="174"/>
      <c r="G811" s="174"/>
      <c r="H811" s="174"/>
      <c r="I811" s="171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5.75" customHeight="1">
      <c r="A812" s="171"/>
      <c r="B812" s="171"/>
      <c r="C812" s="171"/>
      <c r="D812" s="171"/>
      <c r="E812" s="174"/>
      <c r="F812" s="174"/>
      <c r="G812" s="174"/>
      <c r="H812" s="174"/>
      <c r="I812" s="171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5.75" customHeight="1">
      <c r="A813" s="171"/>
      <c r="B813" s="171"/>
      <c r="C813" s="171"/>
      <c r="D813" s="171"/>
      <c r="E813" s="174"/>
      <c r="F813" s="174"/>
      <c r="G813" s="174"/>
      <c r="H813" s="174"/>
      <c r="I813" s="171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5.75" customHeight="1">
      <c r="A814" s="171"/>
      <c r="B814" s="171"/>
      <c r="C814" s="171"/>
      <c r="D814" s="171"/>
      <c r="E814" s="174"/>
      <c r="F814" s="174"/>
      <c r="G814" s="174"/>
      <c r="H814" s="174"/>
      <c r="I814" s="171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5.75" customHeight="1">
      <c r="A815" s="171"/>
      <c r="B815" s="171"/>
      <c r="C815" s="171"/>
      <c r="D815" s="171"/>
      <c r="E815" s="174"/>
      <c r="F815" s="174"/>
      <c r="G815" s="174"/>
      <c r="H815" s="174"/>
      <c r="I815" s="171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5.75" customHeight="1">
      <c r="A816" s="171"/>
      <c r="B816" s="171"/>
      <c r="C816" s="171"/>
      <c r="D816" s="171"/>
      <c r="E816" s="174"/>
      <c r="F816" s="174"/>
      <c r="G816" s="174"/>
      <c r="H816" s="174"/>
      <c r="I816" s="171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5.75" customHeight="1">
      <c r="A817" s="171"/>
      <c r="B817" s="171"/>
      <c r="C817" s="171"/>
      <c r="D817" s="171"/>
      <c r="E817" s="174"/>
      <c r="F817" s="174"/>
      <c r="G817" s="174"/>
      <c r="H817" s="174"/>
      <c r="I817" s="171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5.75" customHeight="1">
      <c r="A818" s="171"/>
      <c r="B818" s="171"/>
      <c r="C818" s="171"/>
      <c r="D818" s="171"/>
      <c r="E818" s="174"/>
      <c r="F818" s="174"/>
      <c r="G818" s="174"/>
      <c r="H818" s="174"/>
      <c r="I818" s="171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5.75" customHeight="1">
      <c r="A819" s="171"/>
      <c r="B819" s="171"/>
      <c r="C819" s="171"/>
      <c r="D819" s="171"/>
      <c r="E819" s="174"/>
      <c r="F819" s="174"/>
      <c r="G819" s="174"/>
      <c r="H819" s="174"/>
      <c r="I819" s="171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5.75" customHeight="1">
      <c r="A820" s="171"/>
      <c r="B820" s="171"/>
      <c r="C820" s="171"/>
      <c r="D820" s="171"/>
      <c r="E820" s="174"/>
      <c r="F820" s="174"/>
      <c r="G820" s="174"/>
      <c r="H820" s="174"/>
      <c r="I820" s="171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5.75" customHeight="1">
      <c r="A821" s="171"/>
      <c r="B821" s="171"/>
      <c r="C821" s="171"/>
      <c r="D821" s="171"/>
      <c r="E821" s="174"/>
      <c r="F821" s="174"/>
      <c r="G821" s="174"/>
      <c r="H821" s="174"/>
      <c r="I821" s="171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5.75" customHeight="1">
      <c r="A822" s="171"/>
      <c r="B822" s="171"/>
      <c r="C822" s="171"/>
      <c r="D822" s="171"/>
      <c r="E822" s="174"/>
      <c r="F822" s="174"/>
      <c r="G822" s="174"/>
      <c r="H822" s="174"/>
      <c r="I822" s="171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5.75" customHeight="1">
      <c r="A823" s="171"/>
      <c r="B823" s="171"/>
      <c r="C823" s="171"/>
      <c r="D823" s="171"/>
      <c r="E823" s="174"/>
      <c r="F823" s="174"/>
      <c r="G823" s="174"/>
      <c r="H823" s="174"/>
      <c r="I823" s="171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5.75" customHeight="1">
      <c r="A824" s="171"/>
      <c r="B824" s="171"/>
      <c r="C824" s="171"/>
      <c r="D824" s="171"/>
      <c r="E824" s="174"/>
      <c r="F824" s="174"/>
      <c r="G824" s="174"/>
      <c r="H824" s="174"/>
      <c r="I824" s="171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5.75" customHeight="1">
      <c r="A825" s="171"/>
      <c r="B825" s="171"/>
      <c r="C825" s="171"/>
      <c r="D825" s="171"/>
      <c r="E825" s="174"/>
      <c r="F825" s="174"/>
      <c r="G825" s="174"/>
      <c r="H825" s="174"/>
      <c r="I825" s="171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5.75" customHeight="1">
      <c r="A826" s="171"/>
      <c r="B826" s="171"/>
      <c r="C826" s="171"/>
      <c r="D826" s="171"/>
      <c r="E826" s="174"/>
      <c r="F826" s="174"/>
      <c r="G826" s="174"/>
      <c r="H826" s="174"/>
      <c r="I826" s="171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5.75" customHeight="1">
      <c r="A827" s="171"/>
      <c r="B827" s="171"/>
      <c r="C827" s="171"/>
      <c r="D827" s="171"/>
      <c r="E827" s="174"/>
      <c r="F827" s="174"/>
      <c r="G827" s="174"/>
      <c r="H827" s="174"/>
      <c r="I827" s="171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5.75" customHeight="1">
      <c r="A828" s="171"/>
      <c r="B828" s="171"/>
      <c r="C828" s="171"/>
      <c r="D828" s="171"/>
      <c r="E828" s="174"/>
      <c r="F828" s="174"/>
      <c r="G828" s="174"/>
      <c r="H828" s="174"/>
      <c r="I828" s="171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5.75" customHeight="1">
      <c r="A829" s="171"/>
      <c r="B829" s="171"/>
      <c r="C829" s="171"/>
      <c r="D829" s="171"/>
      <c r="E829" s="174"/>
      <c r="F829" s="174"/>
      <c r="G829" s="174"/>
      <c r="H829" s="174"/>
      <c r="I829" s="171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5.75" customHeight="1">
      <c r="A830" s="171"/>
      <c r="B830" s="171"/>
      <c r="C830" s="171"/>
      <c r="D830" s="171"/>
      <c r="E830" s="174"/>
      <c r="F830" s="174"/>
      <c r="G830" s="174"/>
      <c r="H830" s="174"/>
      <c r="I830" s="171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5.75" customHeight="1">
      <c r="A831" s="171"/>
      <c r="B831" s="171"/>
      <c r="C831" s="171"/>
      <c r="D831" s="171"/>
      <c r="E831" s="174"/>
      <c r="F831" s="174"/>
      <c r="G831" s="174"/>
      <c r="H831" s="174"/>
      <c r="I831" s="171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5.75" customHeight="1">
      <c r="A832" s="171"/>
      <c r="B832" s="171"/>
      <c r="C832" s="171"/>
      <c r="D832" s="171"/>
      <c r="E832" s="174"/>
      <c r="F832" s="174"/>
      <c r="G832" s="174"/>
      <c r="H832" s="174"/>
      <c r="I832" s="171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5.75" customHeight="1">
      <c r="A833" s="171"/>
      <c r="B833" s="171"/>
      <c r="C833" s="171"/>
      <c r="D833" s="171"/>
      <c r="E833" s="174"/>
      <c r="F833" s="174"/>
      <c r="G833" s="174"/>
      <c r="H833" s="174"/>
      <c r="I833" s="171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5.75" customHeight="1">
      <c r="A834" s="171"/>
      <c r="B834" s="171"/>
      <c r="C834" s="171"/>
      <c r="D834" s="171"/>
      <c r="E834" s="174"/>
      <c r="F834" s="174"/>
      <c r="G834" s="174"/>
      <c r="H834" s="174"/>
      <c r="I834" s="171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5.75" customHeight="1">
      <c r="A835" s="171"/>
      <c r="B835" s="171"/>
      <c r="C835" s="171"/>
      <c r="D835" s="171"/>
      <c r="E835" s="174"/>
      <c r="F835" s="174"/>
      <c r="G835" s="174"/>
      <c r="H835" s="174"/>
      <c r="I835" s="171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5.75" customHeight="1">
      <c r="A836" s="171"/>
      <c r="B836" s="171"/>
      <c r="C836" s="171"/>
      <c r="D836" s="171"/>
      <c r="E836" s="174"/>
      <c r="F836" s="174"/>
      <c r="G836" s="174"/>
      <c r="H836" s="174"/>
      <c r="I836" s="171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5.75" customHeight="1">
      <c r="A837" s="171"/>
      <c r="B837" s="171"/>
      <c r="C837" s="171"/>
      <c r="D837" s="171"/>
      <c r="E837" s="174"/>
      <c r="F837" s="174"/>
      <c r="G837" s="174"/>
      <c r="H837" s="174"/>
      <c r="I837" s="171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5.75" customHeight="1">
      <c r="A838" s="171"/>
      <c r="B838" s="171"/>
      <c r="C838" s="171"/>
      <c r="D838" s="171"/>
      <c r="E838" s="174"/>
      <c r="F838" s="174"/>
      <c r="G838" s="174"/>
      <c r="H838" s="174"/>
      <c r="I838" s="171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5.75" customHeight="1">
      <c r="A839" s="171"/>
      <c r="B839" s="171"/>
      <c r="C839" s="171"/>
      <c r="D839" s="171"/>
      <c r="E839" s="174"/>
      <c r="F839" s="174"/>
      <c r="G839" s="174"/>
      <c r="H839" s="174"/>
      <c r="I839" s="171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5.75" customHeight="1">
      <c r="A840" s="171"/>
      <c r="B840" s="171"/>
      <c r="C840" s="171"/>
      <c r="D840" s="171"/>
      <c r="E840" s="174"/>
      <c r="F840" s="174"/>
      <c r="G840" s="174"/>
      <c r="H840" s="174"/>
      <c r="I840" s="171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5.75" customHeight="1">
      <c r="A841" s="171"/>
      <c r="B841" s="171"/>
      <c r="C841" s="171"/>
      <c r="D841" s="171"/>
      <c r="E841" s="174"/>
      <c r="F841" s="174"/>
      <c r="G841" s="174"/>
      <c r="H841" s="174"/>
      <c r="I841" s="171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5.75" customHeight="1">
      <c r="A842" s="171"/>
      <c r="B842" s="171"/>
      <c r="C842" s="171"/>
      <c r="D842" s="171"/>
      <c r="E842" s="174"/>
      <c r="F842" s="174"/>
      <c r="G842" s="174"/>
      <c r="H842" s="174"/>
      <c r="I842" s="171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5.75" customHeight="1">
      <c r="A843" s="171"/>
      <c r="B843" s="171"/>
      <c r="C843" s="171"/>
      <c r="D843" s="171"/>
      <c r="E843" s="174"/>
      <c r="F843" s="174"/>
      <c r="G843" s="174"/>
      <c r="H843" s="174"/>
      <c r="I843" s="171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5.75" customHeight="1">
      <c r="A844" s="171"/>
      <c r="B844" s="171"/>
      <c r="C844" s="171"/>
      <c r="D844" s="171"/>
      <c r="E844" s="174"/>
      <c r="F844" s="174"/>
      <c r="G844" s="174"/>
      <c r="H844" s="174"/>
      <c r="I844" s="171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5.75" customHeight="1">
      <c r="A845" s="171"/>
      <c r="B845" s="171"/>
      <c r="C845" s="171"/>
      <c r="D845" s="171"/>
      <c r="E845" s="174"/>
      <c r="F845" s="174"/>
      <c r="G845" s="174"/>
      <c r="H845" s="174"/>
      <c r="I845" s="171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5.75" customHeight="1">
      <c r="A846" s="171"/>
      <c r="B846" s="171"/>
      <c r="C846" s="171"/>
      <c r="D846" s="171"/>
      <c r="E846" s="174"/>
      <c r="F846" s="174"/>
      <c r="G846" s="174"/>
      <c r="H846" s="174"/>
      <c r="I846" s="171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5.75" customHeight="1">
      <c r="A847" s="171"/>
      <c r="B847" s="171"/>
      <c r="C847" s="171"/>
      <c r="D847" s="171"/>
      <c r="E847" s="174"/>
      <c r="F847" s="174"/>
      <c r="G847" s="174"/>
      <c r="H847" s="174"/>
      <c r="I847" s="171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5.75" customHeight="1">
      <c r="A848" s="171"/>
      <c r="B848" s="171"/>
      <c r="C848" s="171"/>
      <c r="D848" s="171"/>
      <c r="E848" s="174"/>
      <c r="F848" s="174"/>
      <c r="G848" s="174"/>
      <c r="H848" s="174"/>
      <c r="I848" s="171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5.75" customHeight="1">
      <c r="A849" s="171"/>
      <c r="B849" s="171"/>
      <c r="C849" s="171"/>
      <c r="D849" s="171"/>
      <c r="E849" s="174"/>
      <c r="F849" s="174"/>
      <c r="G849" s="174"/>
      <c r="H849" s="174"/>
      <c r="I849" s="171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5.75" customHeight="1">
      <c r="A850" s="171"/>
      <c r="B850" s="171"/>
      <c r="C850" s="171"/>
      <c r="D850" s="171"/>
      <c r="E850" s="174"/>
      <c r="F850" s="174"/>
      <c r="G850" s="174"/>
      <c r="H850" s="174"/>
      <c r="I850" s="171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5.75" customHeight="1">
      <c r="A851" s="171"/>
      <c r="B851" s="171"/>
      <c r="C851" s="171"/>
      <c r="D851" s="171"/>
      <c r="E851" s="174"/>
      <c r="F851" s="174"/>
      <c r="G851" s="174"/>
      <c r="H851" s="174"/>
      <c r="I851" s="171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5.75" customHeight="1">
      <c r="A852" s="171"/>
      <c r="B852" s="171"/>
      <c r="C852" s="171"/>
      <c r="D852" s="171"/>
      <c r="E852" s="174"/>
      <c r="F852" s="174"/>
      <c r="G852" s="174"/>
      <c r="H852" s="174"/>
      <c r="I852" s="171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5.75" customHeight="1">
      <c r="A853" s="171"/>
      <c r="B853" s="171"/>
      <c r="C853" s="171"/>
      <c r="D853" s="171"/>
      <c r="E853" s="174"/>
      <c r="F853" s="174"/>
      <c r="G853" s="174"/>
      <c r="H853" s="174"/>
      <c r="I853" s="171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5.75" customHeight="1">
      <c r="A854" s="171"/>
      <c r="B854" s="171"/>
      <c r="C854" s="171"/>
      <c r="D854" s="171"/>
      <c r="E854" s="174"/>
      <c r="F854" s="174"/>
      <c r="G854" s="174"/>
      <c r="H854" s="174"/>
      <c r="I854" s="171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5.75" customHeight="1">
      <c r="A855" s="171"/>
      <c r="B855" s="171"/>
      <c r="C855" s="171"/>
      <c r="D855" s="171"/>
      <c r="E855" s="174"/>
      <c r="F855" s="174"/>
      <c r="G855" s="174"/>
      <c r="H855" s="174"/>
      <c r="I855" s="171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5.75" customHeight="1">
      <c r="A856" s="171"/>
      <c r="B856" s="171"/>
      <c r="C856" s="171"/>
      <c r="D856" s="171"/>
      <c r="E856" s="174"/>
      <c r="F856" s="174"/>
      <c r="G856" s="174"/>
      <c r="H856" s="174"/>
      <c r="I856" s="171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5.75" customHeight="1">
      <c r="A857" s="171"/>
      <c r="B857" s="171"/>
      <c r="C857" s="171"/>
      <c r="D857" s="171"/>
      <c r="E857" s="174"/>
      <c r="F857" s="174"/>
      <c r="G857" s="174"/>
      <c r="H857" s="174"/>
      <c r="I857" s="171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5.75" customHeight="1">
      <c r="A858" s="171"/>
      <c r="B858" s="171"/>
      <c r="C858" s="171"/>
      <c r="D858" s="171"/>
      <c r="E858" s="174"/>
      <c r="F858" s="174"/>
      <c r="G858" s="174"/>
      <c r="H858" s="174"/>
      <c r="I858" s="171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5.75" customHeight="1">
      <c r="A859" s="171"/>
      <c r="B859" s="171"/>
      <c r="C859" s="171"/>
      <c r="D859" s="171"/>
      <c r="E859" s="174"/>
      <c r="F859" s="174"/>
      <c r="G859" s="174"/>
      <c r="H859" s="174"/>
      <c r="I859" s="171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5.75" customHeight="1">
      <c r="A860" s="171"/>
      <c r="B860" s="171"/>
      <c r="C860" s="171"/>
      <c r="D860" s="171"/>
      <c r="E860" s="174"/>
      <c r="F860" s="174"/>
      <c r="G860" s="174"/>
      <c r="H860" s="174"/>
      <c r="I860" s="171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5.75" customHeight="1">
      <c r="A861" s="171"/>
      <c r="B861" s="171"/>
      <c r="C861" s="171"/>
      <c r="D861" s="171"/>
      <c r="E861" s="174"/>
      <c r="F861" s="174"/>
      <c r="G861" s="174"/>
      <c r="H861" s="174"/>
      <c r="I861" s="171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5.75" customHeight="1">
      <c r="A862" s="171"/>
      <c r="B862" s="171"/>
      <c r="C862" s="171"/>
      <c r="D862" s="171"/>
      <c r="E862" s="174"/>
      <c r="F862" s="174"/>
      <c r="G862" s="174"/>
      <c r="H862" s="174"/>
      <c r="I862" s="171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5.75" customHeight="1">
      <c r="A863" s="171"/>
      <c r="B863" s="171"/>
      <c r="C863" s="171"/>
      <c r="D863" s="171"/>
      <c r="E863" s="174"/>
      <c r="F863" s="174"/>
      <c r="G863" s="174"/>
      <c r="H863" s="174"/>
      <c r="I863" s="171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5.75" customHeight="1">
      <c r="A864" s="171"/>
      <c r="B864" s="171"/>
      <c r="C864" s="171"/>
      <c r="D864" s="171"/>
      <c r="E864" s="174"/>
      <c r="F864" s="174"/>
      <c r="G864" s="174"/>
      <c r="H864" s="174"/>
      <c r="I864" s="171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5.75" customHeight="1">
      <c r="A865" s="171"/>
      <c r="B865" s="171"/>
      <c r="C865" s="171"/>
      <c r="D865" s="171"/>
      <c r="E865" s="174"/>
      <c r="F865" s="174"/>
      <c r="G865" s="174"/>
      <c r="H865" s="174"/>
      <c r="I865" s="171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5.75" customHeight="1">
      <c r="A866" s="171"/>
      <c r="B866" s="171"/>
      <c r="C866" s="171"/>
      <c r="D866" s="171"/>
      <c r="E866" s="174"/>
      <c r="F866" s="174"/>
      <c r="G866" s="174"/>
      <c r="H866" s="174"/>
      <c r="I866" s="171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5.75" customHeight="1">
      <c r="A867" s="171"/>
      <c r="B867" s="171"/>
      <c r="C867" s="171"/>
      <c r="D867" s="171"/>
      <c r="E867" s="174"/>
      <c r="F867" s="174"/>
      <c r="G867" s="174"/>
      <c r="H867" s="174"/>
      <c r="I867" s="171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5.75" customHeight="1">
      <c r="A868" s="171"/>
      <c r="B868" s="171"/>
      <c r="C868" s="171"/>
      <c r="D868" s="171"/>
      <c r="E868" s="174"/>
      <c r="F868" s="174"/>
      <c r="G868" s="174"/>
      <c r="H868" s="174"/>
      <c r="I868" s="171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5.75" customHeight="1">
      <c r="A869" s="171"/>
      <c r="B869" s="171"/>
      <c r="C869" s="171"/>
      <c r="D869" s="171"/>
      <c r="E869" s="174"/>
      <c r="F869" s="174"/>
      <c r="G869" s="174"/>
      <c r="H869" s="174"/>
      <c r="I869" s="171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5.75" customHeight="1">
      <c r="A870" s="171"/>
      <c r="B870" s="171"/>
      <c r="C870" s="171"/>
      <c r="D870" s="171"/>
      <c r="E870" s="174"/>
      <c r="F870" s="174"/>
      <c r="G870" s="174"/>
      <c r="H870" s="174"/>
      <c r="I870" s="171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5.75" customHeight="1">
      <c r="A871" s="171"/>
      <c r="B871" s="171"/>
      <c r="C871" s="171"/>
      <c r="D871" s="171"/>
      <c r="E871" s="174"/>
      <c r="F871" s="174"/>
      <c r="G871" s="174"/>
      <c r="H871" s="174"/>
      <c r="I871" s="171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5.75" customHeight="1">
      <c r="A872" s="171"/>
      <c r="B872" s="171"/>
      <c r="C872" s="171"/>
      <c r="D872" s="171"/>
      <c r="E872" s="174"/>
      <c r="F872" s="174"/>
      <c r="G872" s="174"/>
      <c r="H872" s="174"/>
      <c r="I872" s="171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5.75" customHeight="1">
      <c r="A873" s="171"/>
      <c r="B873" s="171"/>
      <c r="C873" s="171"/>
      <c r="D873" s="171"/>
      <c r="E873" s="174"/>
      <c r="F873" s="174"/>
      <c r="G873" s="174"/>
      <c r="H873" s="174"/>
      <c r="I873" s="171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5.75" customHeight="1">
      <c r="A874" s="171"/>
      <c r="B874" s="171"/>
      <c r="C874" s="171"/>
      <c r="D874" s="171"/>
      <c r="E874" s="174"/>
      <c r="F874" s="174"/>
      <c r="G874" s="174"/>
      <c r="H874" s="174"/>
      <c r="I874" s="171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5.75" customHeight="1">
      <c r="A875" s="171"/>
      <c r="B875" s="171"/>
      <c r="C875" s="171"/>
      <c r="D875" s="171"/>
      <c r="E875" s="174"/>
      <c r="F875" s="174"/>
      <c r="G875" s="174"/>
      <c r="H875" s="174"/>
      <c r="I875" s="171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5.75" customHeight="1">
      <c r="A876" s="171"/>
      <c r="B876" s="171"/>
      <c r="C876" s="171"/>
      <c r="D876" s="171"/>
      <c r="E876" s="174"/>
      <c r="F876" s="174"/>
      <c r="G876" s="174"/>
      <c r="H876" s="174"/>
      <c r="I876" s="171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5.75" customHeight="1">
      <c r="A877" s="171"/>
      <c r="B877" s="171"/>
      <c r="C877" s="171"/>
      <c r="D877" s="171"/>
      <c r="E877" s="174"/>
      <c r="F877" s="174"/>
      <c r="G877" s="174"/>
      <c r="H877" s="174"/>
      <c r="I877" s="171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5.75" customHeight="1">
      <c r="A878" s="171"/>
      <c r="B878" s="171"/>
      <c r="C878" s="171"/>
      <c r="D878" s="171"/>
      <c r="E878" s="174"/>
      <c r="F878" s="174"/>
      <c r="G878" s="174"/>
      <c r="H878" s="174"/>
      <c r="I878" s="171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5.75" customHeight="1">
      <c r="A879" s="171"/>
      <c r="B879" s="171"/>
      <c r="C879" s="171"/>
      <c r="D879" s="171"/>
      <c r="E879" s="174"/>
      <c r="F879" s="174"/>
      <c r="G879" s="174"/>
      <c r="H879" s="174"/>
      <c r="I879" s="171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5.75" customHeight="1">
      <c r="A880" s="171"/>
      <c r="B880" s="171"/>
      <c r="C880" s="171"/>
      <c r="D880" s="171"/>
      <c r="E880" s="174"/>
      <c r="F880" s="174"/>
      <c r="G880" s="174"/>
      <c r="H880" s="174"/>
      <c r="I880" s="171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5.75" customHeight="1">
      <c r="A881" s="171"/>
      <c r="B881" s="171"/>
      <c r="C881" s="171"/>
      <c r="D881" s="171"/>
      <c r="E881" s="174"/>
      <c r="F881" s="174"/>
      <c r="G881" s="174"/>
      <c r="H881" s="174"/>
      <c r="I881" s="171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5.75" customHeight="1">
      <c r="A882" s="171"/>
      <c r="B882" s="171"/>
      <c r="C882" s="171"/>
      <c r="D882" s="171"/>
      <c r="E882" s="174"/>
      <c r="F882" s="174"/>
      <c r="G882" s="174"/>
      <c r="H882" s="174"/>
      <c r="I882" s="171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5.75" customHeight="1">
      <c r="A883" s="171"/>
      <c r="B883" s="171"/>
      <c r="C883" s="171"/>
      <c r="D883" s="171"/>
      <c r="E883" s="174"/>
      <c r="F883" s="174"/>
      <c r="G883" s="174"/>
      <c r="H883" s="174"/>
      <c r="I883" s="171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5.75" customHeight="1">
      <c r="A884" s="171"/>
      <c r="B884" s="171"/>
      <c r="C884" s="171"/>
      <c r="D884" s="171"/>
      <c r="E884" s="174"/>
      <c r="F884" s="174"/>
      <c r="G884" s="174"/>
      <c r="H884" s="174"/>
      <c r="I884" s="171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5.75" customHeight="1">
      <c r="A885" s="171"/>
      <c r="B885" s="171"/>
      <c r="C885" s="171"/>
      <c r="D885" s="171"/>
      <c r="E885" s="174"/>
      <c r="F885" s="174"/>
      <c r="G885" s="174"/>
      <c r="H885" s="174"/>
      <c r="I885" s="171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5.75" customHeight="1">
      <c r="A886" s="171"/>
      <c r="B886" s="171"/>
      <c r="C886" s="171"/>
      <c r="D886" s="171"/>
      <c r="E886" s="174"/>
      <c r="F886" s="174"/>
      <c r="G886" s="174"/>
      <c r="H886" s="174"/>
      <c r="I886" s="171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5.75" customHeight="1">
      <c r="A887" s="171"/>
      <c r="B887" s="171"/>
      <c r="C887" s="171"/>
      <c r="D887" s="171"/>
      <c r="E887" s="174"/>
      <c r="F887" s="174"/>
      <c r="G887" s="174"/>
      <c r="H887" s="174"/>
      <c r="I887" s="171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5.75" customHeight="1">
      <c r="A888" s="171"/>
      <c r="B888" s="171"/>
      <c r="C888" s="171"/>
      <c r="D888" s="171"/>
      <c r="E888" s="174"/>
      <c r="F888" s="174"/>
      <c r="G888" s="174"/>
      <c r="H888" s="174"/>
      <c r="I888" s="171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5.75" customHeight="1">
      <c r="A889" s="171"/>
      <c r="B889" s="171"/>
      <c r="C889" s="171"/>
      <c r="D889" s="171"/>
      <c r="E889" s="174"/>
      <c r="F889" s="174"/>
      <c r="G889" s="174"/>
      <c r="H889" s="174"/>
      <c r="I889" s="171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5.75" customHeight="1">
      <c r="A890" s="171"/>
      <c r="B890" s="171"/>
      <c r="C890" s="171"/>
      <c r="D890" s="171"/>
      <c r="E890" s="174"/>
      <c r="F890" s="174"/>
      <c r="G890" s="174"/>
      <c r="H890" s="174"/>
      <c r="I890" s="171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5.75" customHeight="1">
      <c r="A891" s="171"/>
      <c r="B891" s="171"/>
      <c r="C891" s="171"/>
      <c r="D891" s="171"/>
      <c r="E891" s="174"/>
      <c r="F891" s="174"/>
      <c r="G891" s="174"/>
      <c r="H891" s="174"/>
      <c r="I891" s="171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5.75" customHeight="1">
      <c r="A892" s="171"/>
      <c r="B892" s="171"/>
      <c r="C892" s="171"/>
      <c r="D892" s="171"/>
      <c r="E892" s="174"/>
      <c r="F892" s="174"/>
      <c r="G892" s="174"/>
      <c r="H892" s="174"/>
      <c r="I892" s="171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5.75" customHeight="1">
      <c r="A893" s="171"/>
      <c r="B893" s="171"/>
      <c r="C893" s="171"/>
      <c r="D893" s="171"/>
      <c r="E893" s="174"/>
      <c r="F893" s="174"/>
      <c r="G893" s="174"/>
      <c r="H893" s="174"/>
      <c r="I893" s="171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5.75" customHeight="1">
      <c r="A894" s="171"/>
      <c r="B894" s="171"/>
      <c r="C894" s="171"/>
      <c r="D894" s="171"/>
      <c r="E894" s="174"/>
      <c r="F894" s="174"/>
      <c r="G894" s="174"/>
      <c r="H894" s="174"/>
      <c r="I894" s="171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5.75" customHeight="1">
      <c r="A895" s="171"/>
      <c r="B895" s="171"/>
      <c r="C895" s="171"/>
      <c r="D895" s="171"/>
      <c r="E895" s="174"/>
      <c r="F895" s="174"/>
      <c r="G895" s="174"/>
      <c r="H895" s="174"/>
      <c r="I895" s="171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5.75" customHeight="1">
      <c r="A896" s="171"/>
      <c r="B896" s="171"/>
      <c r="C896" s="171"/>
      <c r="D896" s="171"/>
      <c r="E896" s="174"/>
      <c r="F896" s="174"/>
      <c r="G896" s="174"/>
      <c r="H896" s="174"/>
      <c r="I896" s="171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5.75" customHeight="1">
      <c r="A897" s="171"/>
      <c r="B897" s="171"/>
      <c r="C897" s="171"/>
      <c r="D897" s="171"/>
      <c r="E897" s="174"/>
      <c r="F897" s="174"/>
      <c r="G897" s="174"/>
      <c r="H897" s="174"/>
      <c r="I897" s="171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5.75" customHeight="1">
      <c r="A898" s="171"/>
      <c r="B898" s="171"/>
      <c r="C898" s="171"/>
      <c r="D898" s="171"/>
      <c r="E898" s="174"/>
      <c r="F898" s="174"/>
      <c r="G898" s="174"/>
      <c r="H898" s="174"/>
      <c r="I898" s="171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5.75" customHeight="1">
      <c r="A899" s="171"/>
      <c r="B899" s="171"/>
      <c r="C899" s="171"/>
      <c r="D899" s="171"/>
      <c r="E899" s="174"/>
      <c r="F899" s="174"/>
      <c r="G899" s="174"/>
      <c r="H899" s="174"/>
      <c r="I899" s="171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5.75" customHeight="1">
      <c r="A900" s="171"/>
      <c r="B900" s="171"/>
      <c r="C900" s="171"/>
      <c r="D900" s="171"/>
      <c r="E900" s="174"/>
      <c r="F900" s="174"/>
      <c r="G900" s="174"/>
      <c r="H900" s="174"/>
      <c r="I900" s="171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5.75" customHeight="1">
      <c r="A901" s="171"/>
      <c r="B901" s="171"/>
      <c r="C901" s="171"/>
      <c r="D901" s="171"/>
      <c r="E901" s="174"/>
      <c r="F901" s="174"/>
      <c r="G901" s="174"/>
      <c r="H901" s="174"/>
      <c r="I901" s="171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5.75" customHeight="1">
      <c r="A902" s="171"/>
      <c r="B902" s="171"/>
      <c r="C902" s="171"/>
      <c r="D902" s="171"/>
      <c r="E902" s="174"/>
      <c r="F902" s="174"/>
      <c r="G902" s="174"/>
      <c r="H902" s="174"/>
      <c r="I902" s="171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5.75" customHeight="1">
      <c r="A903" s="171"/>
      <c r="B903" s="171"/>
      <c r="C903" s="171"/>
      <c r="D903" s="171"/>
      <c r="E903" s="174"/>
      <c r="F903" s="174"/>
      <c r="G903" s="174"/>
      <c r="H903" s="174"/>
      <c r="I903" s="171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5.75" customHeight="1">
      <c r="A904" s="171"/>
      <c r="B904" s="171"/>
      <c r="C904" s="171"/>
      <c r="D904" s="171"/>
      <c r="E904" s="174"/>
      <c r="F904" s="174"/>
      <c r="G904" s="174"/>
      <c r="H904" s="174"/>
      <c r="I904" s="171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5.75" customHeight="1">
      <c r="A905" s="171"/>
      <c r="B905" s="171"/>
      <c r="C905" s="171"/>
      <c r="D905" s="171"/>
      <c r="E905" s="174"/>
      <c r="F905" s="174"/>
      <c r="G905" s="174"/>
      <c r="H905" s="174"/>
      <c r="I905" s="171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5.75" customHeight="1">
      <c r="A906" s="171"/>
      <c r="B906" s="171"/>
      <c r="C906" s="171"/>
      <c r="D906" s="171"/>
      <c r="E906" s="174"/>
      <c r="F906" s="174"/>
      <c r="G906" s="174"/>
      <c r="H906" s="174"/>
      <c r="I906" s="171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5.75" customHeight="1">
      <c r="A907" s="171"/>
      <c r="B907" s="171"/>
      <c r="C907" s="171"/>
      <c r="D907" s="171"/>
      <c r="E907" s="174"/>
      <c r="F907" s="174"/>
      <c r="G907" s="174"/>
      <c r="H907" s="174"/>
      <c r="I907" s="171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5.75" customHeight="1">
      <c r="A908" s="171"/>
      <c r="B908" s="171"/>
      <c r="C908" s="171"/>
      <c r="D908" s="171"/>
      <c r="E908" s="174"/>
      <c r="F908" s="174"/>
      <c r="G908" s="174"/>
      <c r="H908" s="174"/>
      <c r="I908" s="171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5.75" customHeight="1">
      <c r="A909" s="171"/>
      <c r="B909" s="171"/>
      <c r="C909" s="171"/>
      <c r="D909" s="171"/>
      <c r="E909" s="174"/>
      <c r="F909" s="174"/>
      <c r="G909" s="174"/>
      <c r="H909" s="174"/>
      <c r="I909" s="171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5.75" customHeight="1">
      <c r="A910" s="171"/>
      <c r="B910" s="171"/>
      <c r="C910" s="171"/>
      <c r="D910" s="171"/>
      <c r="E910" s="174"/>
      <c r="F910" s="174"/>
      <c r="G910" s="174"/>
      <c r="H910" s="174"/>
      <c r="I910" s="171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5.75" customHeight="1">
      <c r="A911" s="171"/>
      <c r="B911" s="171"/>
      <c r="C911" s="171"/>
      <c r="D911" s="171"/>
      <c r="E911" s="174"/>
      <c r="F911" s="174"/>
      <c r="G911" s="174"/>
      <c r="H911" s="174"/>
      <c r="I911" s="171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5.75" customHeight="1">
      <c r="A912" s="171"/>
      <c r="B912" s="171"/>
      <c r="C912" s="171"/>
      <c r="D912" s="171"/>
      <c r="E912" s="174"/>
      <c r="F912" s="174"/>
      <c r="G912" s="174"/>
      <c r="H912" s="174"/>
      <c r="I912" s="171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5.75" customHeight="1">
      <c r="A913" s="171"/>
      <c r="B913" s="171"/>
      <c r="C913" s="171"/>
      <c r="D913" s="171"/>
      <c r="E913" s="174"/>
      <c r="F913" s="174"/>
      <c r="G913" s="174"/>
      <c r="H913" s="174"/>
      <c r="I913" s="171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5.75" customHeight="1">
      <c r="A914" s="171"/>
      <c r="B914" s="171"/>
      <c r="C914" s="171"/>
      <c r="D914" s="171"/>
      <c r="E914" s="174"/>
      <c r="F914" s="174"/>
      <c r="G914" s="174"/>
      <c r="H914" s="174"/>
      <c r="I914" s="171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5.75" customHeight="1">
      <c r="A915" s="171"/>
      <c r="B915" s="171"/>
      <c r="C915" s="171"/>
      <c r="D915" s="171"/>
      <c r="E915" s="174"/>
      <c r="F915" s="174"/>
      <c r="G915" s="174"/>
      <c r="H915" s="174"/>
      <c r="I915" s="171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5.75" customHeight="1">
      <c r="A916" s="171"/>
      <c r="B916" s="171"/>
      <c r="C916" s="171"/>
      <c r="D916" s="171"/>
      <c r="E916" s="174"/>
      <c r="F916" s="174"/>
      <c r="G916" s="174"/>
      <c r="H916" s="174"/>
      <c r="I916" s="171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5.75" customHeight="1">
      <c r="A917" s="171"/>
      <c r="B917" s="171"/>
      <c r="C917" s="171"/>
      <c r="D917" s="171"/>
      <c r="E917" s="174"/>
      <c r="F917" s="174"/>
      <c r="G917" s="174"/>
      <c r="H917" s="174"/>
      <c r="I917" s="171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5.75" customHeight="1">
      <c r="A918" s="171"/>
      <c r="B918" s="171"/>
      <c r="C918" s="171"/>
      <c r="D918" s="171"/>
      <c r="E918" s="174"/>
      <c r="F918" s="174"/>
      <c r="G918" s="174"/>
      <c r="H918" s="174"/>
      <c r="I918" s="171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5.75" customHeight="1">
      <c r="A919" s="171"/>
      <c r="B919" s="171"/>
      <c r="C919" s="171"/>
      <c r="D919" s="171"/>
      <c r="E919" s="174"/>
      <c r="F919" s="174"/>
      <c r="G919" s="174"/>
      <c r="H919" s="174"/>
      <c r="I919" s="171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5.75" customHeight="1">
      <c r="A920" s="171"/>
      <c r="B920" s="171"/>
      <c r="C920" s="171"/>
      <c r="D920" s="171"/>
      <c r="E920" s="174"/>
      <c r="F920" s="174"/>
      <c r="G920" s="174"/>
      <c r="H920" s="174"/>
      <c r="I920" s="171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5.75" customHeight="1">
      <c r="A921" s="171"/>
      <c r="B921" s="171"/>
      <c r="C921" s="171"/>
      <c r="D921" s="171"/>
      <c r="E921" s="174"/>
      <c r="F921" s="174"/>
      <c r="G921" s="174"/>
      <c r="H921" s="174"/>
      <c r="I921" s="171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5.75" customHeight="1">
      <c r="A922" s="171"/>
      <c r="B922" s="171"/>
      <c r="C922" s="171"/>
      <c r="D922" s="171"/>
      <c r="E922" s="174"/>
      <c r="F922" s="174"/>
      <c r="G922" s="174"/>
      <c r="H922" s="174"/>
      <c r="I922" s="171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5.75" customHeight="1">
      <c r="A923" s="171"/>
      <c r="B923" s="171"/>
      <c r="C923" s="171"/>
      <c r="D923" s="171"/>
      <c r="E923" s="174"/>
      <c r="F923" s="174"/>
      <c r="G923" s="174"/>
      <c r="H923" s="174"/>
      <c r="I923" s="171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5.75" customHeight="1">
      <c r="A924" s="171"/>
      <c r="B924" s="171"/>
      <c r="C924" s="171"/>
      <c r="D924" s="171"/>
      <c r="E924" s="174"/>
      <c r="F924" s="174"/>
      <c r="G924" s="174"/>
      <c r="H924" s="174"/>
      <c r="I924" s="171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5.75" customHeight="1">
      <c r="A925" s="171"/>
      <c r="B925" s="171"/>
      <c r="C925" s="171"/>
      <c r="D925" s="171"/>
      <c r="E925" s="174"/>
      <c r="F925" s="174"/>
      <c r="G925" s="174"/>
      <c r="H925" s="174"/>
      <c r="I925" s="171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5.75" customHeight="1">
      <c r="A926" s="171"/>
      <c r="B926" s="171"/>
      <c r="C926" s="171"/>
      <c r="D926" s="171"/>
      <c r="E926" s="174"/>
      <c r="F926" s="174"/>
      <c r="G926" s="174"/>
      <c r="H926" s="174"/>
      <c r="I926" s="171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5.75" customHeight="1">
      <c r="A927" s="171"/>
      <c r="B927" s="171"/>
      <c r="C927" s="171"/>
      <c r="D927" s="171"/>
      <c r="E927" s="174"/>
      <c r="F927" s="174"/>
      <c r="G927" s="174"/>
      <c r="H927" s="174"/>
      <c r="I927" s="171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5.75" customHeight="1">
      <c r="A928" s="171"/>
      <c r="B928" s="171"/>
      <c r="C928" s="171"/>
      <c r="D928" s="171"/>
      <c r="E928" s="174"/>
      <c r="F928" s="174"/>
      <c r="G928" s="174"/>
      <c r="H928" s="174"/>
      <c r="I928" s="171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5.75" customHeight="1">
      <c r="A929" s="171"/>
      <c r="B929" s="171"/>
      <c r="C929" s="171"/>
      <c r="D929" s="171"/>
      <c r="E929" s="174"/>
      <c r="F929" s="174"/>
      <c r="G929" s="174"/>
      <c r="H929" s="174"/>
      <c r="I929" s="171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5.75" customHeight="1">
      <c r="A930" s="171"/>
      <c r="B930" s="171"/>
      <c r="C930" s="171"/>
      <c r="D930" s="171"/>
      <c r="E930" s="174"/>
      <c r="F930" s="174"/>
      <c r="G930" s="174"/>
      <c r="H930" s="174"/>
      <c r="I930" s="171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5.75" customHeight="1">
      <c r="A931" s="171"/>
      <c r="B931" s="171"/>
      <c r="C931" s="171"/>
      <c r="D931" s="171"/>
      <c r="E931" s="174"/>
      <c r="F931" s="174"/>
      <c r="G931" s="174"/>
      <c r="H931" s="174"/>
      <c r="I931" s="171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5.75" customHeight="1">
      <c r="A932" s="171"/>
      <c r="B932" s="171"/>
      <c r="C932" s="171"/>
      <c r="D932" s="171"/>
      <c r="E932" s="174"/>
      <c r="F932" s="174"/>
      <c r="G932" s="174"/>
      <c r="H932" s="174"/>
      <c r="I932" s="171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5.75" customHeight="1">
      <c r="A933" s="171"/>
      <c r="B933" s="171"/>
      <c r="C933" s="171"/>
      <c r="D933" s="171"/>
      <c r="E933" s="174"/>
      <c r="F933" s="174"/>
      <c r="G933" s="174"/>
      <c r="H933" s="174"/>
      <c r="I933" s="171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5.75" customHeight="1">
      <c r="A934" s="171"/>
      <c r="B934" s="171"/>
      <c r="C934" s="171"/>
      <c r="D934" s="171"/>
      <c r="E934" s="174"/>
      <c r="F934" s="174"/>
      <c r="G934" s="174"/>
      <c r="H934" s="174"/>
      <c r="I934" s="171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5.75" customHeight="1">
      <c r="A935" s="171"/>
      <c r="B935" s="171"/>
      <c r="C935" s="171"/>
      <c r="D935" s="171"/>
      <c r="E935" s="174"/>
      <c r="F935" s="174"/>
      <c r="G935" s="174"/>
      <c r="H935" s="174"/>
      <c r="I935" s="171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5.75" customHeight="1">
      <c r="A936" s="171"/>
      <c r="B936" s="171"/>
      <c r="C936" s="171"/>
      <c r="D936" s="171"/>
      <c r="E936" s="174"/>
      <c r="F936" s="174"/>
      <c r="G936" s="174"/>
      <c r="H936" s="174"/>
      <c r="I936" s="171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5.75" customHeight="1">
      <c r="A937" s="171"/>
      <c r="B937" s="171"/>
      <c r="C937" s="171"/>
      <c r="D937" s="171"/>
      <c r="E937" s="174"/>
      <c r="F937" s="174"/>
      <c r="G937" s="174"/>
      <c r="H937" s="174"/>
      <c r="I937" s="171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5.75" customHeight="1">
      <c r="A938" s="171"/>
      <c r="B938" s="171"/>
      <c r="C938" s="171"/>
      <c r="D938" s="171"/>
      <c r="E938" s="174"/>
      <c r="F938" s="174"/>
      <c r="G938" s="174"/>
      <c r="H938" s="174"/>
      <c r="I938" s="171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5.75" customHeight="1">
      <c r="A939" s="171"/>
      <c r="B939" s="171"/>
      <c r="C939" s="171"/>
      <c r="D939" s="171"/>
      <c r="E939" s="174"/>
      <c r="F939" s="174"/>
      <c r="G939" s="174"/>
      <c r="H939" s="174"/>
      <c r="I939" s="171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5.75" customHeight="1">
      <c r="A940" s="171"/>
      <c r="B940" s="171"/>
      <c r="C940" s="171"/>
      <c r="D940" s="171"/>
      <c r="E940" s="174"/>
      <c r="F940" s="174"/>
      <c r="G940" s="174"/>
      <c r="H940" s="174"/>
      <c r="I940" s="171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5.75" customHeight="1">
      <c r="A941" s="171"/>
      <c r="B941" s="171"/>
      <c r="C941" s="171"/>
      <c r="D941" s="171"/>
      <c r="E941" s="174"/>
      <c r="F941" s="174"/>
      <c r="G941" s="174"/>
      <c r="H941" s="174"/>
      <c r="I941" s="171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5.75" customHeight="1">
      <c r="A942" s="171"/>
      <c r="B942" s="171"/>
      <c r="C942" s="171"/>
      <c r="D942" s="171"/>
      <c r="E942" s="174"/>
      <c r="F942" s="174"/>
      <c r="G942" s="174"/>
      <c r="H942" s="174"/>
      <c r="I942" s="171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5.75" customHeight="1">
      <c r="A943" s="171"/>
      <c r="B943" s="171"/>
      <c r="C943" s="171"/>
      <c r="D943" s="171"/>
      <c r="E943" s="174"/>
      <c r="F943" s="174"/>
      <c r="G943" s="174"/>
      <c r="H943" s="174"/>
      <c r="I943" s="171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5.75" customHeight="1">
      <c r="A944" s="171"/>
      <c r="B944" s="171"/>
      <c r="C944" s="171"/>
      <c r="D944" s="171"/>
      <c r="E944" s="174"/>
      <c r="F944" s="174"/>
      <c r="G944" s="174"/>
      <c r="H944" s="174"/>
      <c r="I944" s="171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5.75" customHeight="1">
      <c r="A945" s="171"/>
      <c r="B945" s="171"/>
      <c r="C945" s="171"/>
      <c r="D945" s="171"/>
      <c r="E945" s="174"/>
      <c r="F945" s="174"/>
      <c r="G945" s="174"/>
      <c r="H945" s="174"/>
      <c r="I945" s="171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5.75" customHeight="1">
      <c r="A946" s="171"/>
      <c r="B946" s="171"/>
      <c r="C946" s="171"/>
      <c r="D946" s="171"/>
      <c r="E946" s="174"/>
      <c r="F946" s="174"/>
      <c r="G946" s="174"/>
      <c r="H946" s="174"/>
      <c r="I946" s="171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5.75" customHeight="1">
      <c r="A947" s="171"/>
      <c r="B947" s="171"/>
      <c r="C947" s="171"/>
      <c r="D947" s="171"/>
      <c r="E947" s="174"/>
      <c r="F947" s="174"/>
      <c r="G947" s="174"/>
      <c r="H947" s="174"/>
      <c r="I947" s="171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5.75" customHeight="1">
      <c r="A948" s="171"/>
      <c r="B948" s="171"/>
      <c r="C948" s="171"/>
      <c r="D948" s="171"/>
      <c r="E948" s="174"/>
      <c r="F948" s="174"/>
      <c r="G948" s="174"/>
      <c r="H948" s="174"/>
      <c r="I948" s="171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5.75" customHeight="1">
      <c r="A949" s="171"/>
      <c r="B949" s="171"/>
      <c r="C949" s="171"/>
      <c r="D949" s="171"/>
      <c r="E949" s="174"/>
      <c r="F949" s="174"/>
      <c r="G949" s="174"/>
      <c r="H949" s="174"/>
      <c r="I949" s="171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5.75" customHeight="1">
      <c r="A950" s="171"/>
      <c r="B950" s="171"/>
      <c r="C950" s="171"/>
      <c r="D950" s="171"/>
      <c r="E950" s="174"/>
      <c r="F950" s="174"/>
      <c r="G950" s="174"/>
      <c r="H950" s="174"/>
      <c r="I950" s="171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5.75" customHeight="1">
      <c r="A951" s="171"/>
      <c r="B951" s="171"/>
      <c r="C951" s="171"/>
      <c r="D951" s="171"/>
      <c r="E951" s="174"/>
      <c r="F951" s="174"/>
      <c r="G951" s="174"/>
      <c r="H951" s="174"/>
      <c r="I951" s="171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5.75" customHeight="1">
      <c r="A952" s="171"/>
      <c r="B952" s="171"/>
      <c r="C952" s="171"/>
      <c r="D952" s="171"/>
      <c r="E952" s="174"/>
      <c r="F952" s="174"/>
      <c r="G952" s="174"/>
      <c r="H952" s="174"/>
      <c r="I952" s="171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5.75" customHeight="1">
      <c r="A953" s="171"/>
      <c r="B953" s="171"/>
      <c r="C953" s="171"/>
      <c r="D953" s="171"/>
      <c r="E953" s="174"/>
      <c r="F953" s="174"/>
      <c r="G953" s="174"/>
      <c r="H953" s="174"/>
      <c r="I953" s="171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5.75" customHeight="1">
      <c r="A954" s="171"/>
      <c r="B954" s="171"/>
      <c r="C954" s="171"/>
      <c r="D954" s="171"/>
      <c r="E954" s="174"/>
      <c r="F954" s="174"/>
      <c r="G954" s="174"/>
      <c r="H954" s="174"/>
      <c r="I954" s="171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5.75" customHeight="1">
      <c r="A955" s="171"/>
      <c r="B955" s="171"/>
      <c r="C955" s="171"/>
      <c r="D955" s="171"/>
      <c r="E955" s="174"/>
      <c r="F955" s="174"/>
      <c r="G955" s="174"/>
      <c r="H955" s="174"/>
      <c r="I955" s="171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5.75" customHeight="1">
      <c r="A956" s="171"/>
      <c r="B956" s="171"/>
      <c r="C956" s="171"/>
      <c r="D956" s="171"/>
      <c r="E956" s="174"/>
      <c r="F956" s="174"/>
      <c r="G956" s="174"/>
      <c r="H956" s="174"/>
      <c r="I956" s="171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5.75" customHeight="1">
      <c r="A957" s="171"/>
      <c r="B957" s="171"/>
      <c r="C957" s="171"/>
      <c r="D957" s="171"/>
      <c r="E957" s="174"/>
      <c r="F957" s="174"/>
      <c r="G957" s="174"/>
      <c r="H957" s="174"/>
      <c r="I957" s="171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5.75" customHeight="1">
      <c r="A958" s="171"/>
      <c r="B958" s="171"/>
      <c r="C958" s="171"/>
      <c r="D958" s="171"/>
      <c r="E958" s="174"/>
      <c r="F958" s="174"/>
      <c r="G958" s="174"/>
      <c r="H958" s="174"/>
      <c r="I958" s="171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5.75" customHeight="1">
      <c r="A959" s="171"/>
      <c r="B959" s="171"/>
      <c r="C959" s="171"/>
      <c r="D959" s="171"/>
      <c r="E959" s="174"/>
      <c r="F959" s="174"/>
      <c r="G959" s="174"/>
      <c r="H959" s="174"/>
      <c r="I959" s="171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5.75" customHeight="1">
      <c r="A960" s="171"/>
      <c r="B960" s="171"/>
      <c r="C960" s="171"/>
      <c r="D960" s="171"/>
      <c r="E960" s="174"/>
      <c r="F960" s="174"/>
      <c r="G960" s="174"/>
      <c r="H960" s="174"/>
      <c r="I960" s="171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5.75" customHeight="1">
      <c r="A961" s="171"/>
      <c r="B961" s="171"/>
      <c r="C961" s="171"/>
      <c r="D961" s="171"/>
      <c r="E961" s="174"/>
      <c r="F961" s="174"/>
      <c r="G961" s="174"/>
      <c r="H961" s="174"/>
      <c r="I961" s="171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5.75" customHeight="1">
      <c r="A962" s="171"/>
      <c r="B962" s="171"/>
      <c r="C962" s="171"/>
      <c r="D962" s="171"/>
      <c r="E962" s="174"/>
      <c r="F962" s="174"/>
      <c r="G962" s="174"/>
      <c r="H962" s="174"/>
      <c r="I962" s="171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5.75" customHeight="1">
      <c r="A963" s="171"/>
      <c r="B963" s="171"/>
      <c r="C963" s="171"/>
      <c r="D963" s="171"/>
      <c r="E963" s="174"/>
      <c r="F963" s="174"/>
      <c r="G963" s="174"/>
      <c r="H963" s="174"/>
      <c r="I963" s="171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5.75" customHeight="1">
      <c r="A964" s="171"/>
      <c r="B964" s="171"/>
      <c r="C964" s="171"/>
      <c r="D964" s="171"/>
      <c r="E964" s="174"/>
      <c r="F964" s="174"/>
      <c r="G964" s="174"/>
      <c r="H964" s="174"/>
      <c r="I964" s="171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5.75" customHeight="1">
      <c r="A965" s="171"/>
      <c r="B965" s="171"/>
      <c r="C965" s="171"/>
      <c r="D965" s="171"/>
      <c r="E965" s="174"/>
      <c r="F965" s="174"/>
      <c r="G965" s="174"/>
      <c r="H965" s="174"/>
      <c r="I965" s="171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5.75" customHeight="1">
      <c r="A966" s="171"/>
      <c r="B966" s="171"/>
      <c r="C966" s="171"/>
      <c r="D966" s="171"/>
      <c r="E966" s="174"/>
      <c r="F966" s="174"/>
      <c r="G966" s="174"/>
      <c r="H966" s="174"/>
      <c r="I966" s="171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5.75" customHeight="1">
      <c r="A967" s="171"/>
      <c r="B967" s="171"/>
      <c r="C967" s="171"/>
      <c r="D967" s="171"/>
      <c r="E967" s="174"/>
      <c r="F967" s="174"/>
      <c r="G967" s="174"/>
      <c r="H967" s="174"/>
      <c r="I967" s="171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5.75" customHeight="1">
      <c r="A968" s="171"/>
      <c r="B968" s="171"/>
      <c r="C968" s="171"/>
      <c r="D968" s="171"/>
      <c r="E968" s="174"/>
      <c r="F968" s="174"/>
      <c r="G968" s="174"/>
      <c r="H968" s="174"/>
      <c r="I968" s="171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5.75" customHeight="1">
      <c r="A969" s="171"/>
      <c r="B969" s="171"/>
      <c r="C969" s="171"/>
      <c r="D969" s="171"/>
      <c r="E969" s="174"/>
      <c r="F969" s="174"/>
      <c r="G969" s="174"/>
      <c r="H969" s="174"/>
      <c r="I969" s="171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5.75" customHeight="1">
      <c r="A970" s="171"/>
      <c r="B970" s="171"/>
      <c r="C970" s="171"/>
      <c r="D970" s="171"/>
      <c r="E970" s="174"/>
      <c r="F970" s="174"/>
      <c r="G970" s="174"/>
      <c r="H970" s="174"/>
      <c r="I970" s="171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5.75" customHeight="1">
      <c r="A971" s="171"/>
      <c r="B971" s="171"/>
      <c r="C971" s="171"/>
      <c r="D971" s="171"/>
      <c r="E971" s="174"/>
      <c r="F971" s="174"/>
      <c r="G971" s="174"/>
      <c r="H971" s="174"/>
      <c r="I971" s="171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5.75" customHeight="1">
      <c r="A972" s="171"/>
      <c r="B972" s="171"/>
      <c r="C972" s="171"/>
      <c r="D972" s="171"/>
      <c r="E972" s="174"/>
      <c r="F972" s="174"/>
      <c r="G972" s="174"/>
      <c r="H972" s="174"/>
      <c r="I972" s="171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5.75" customHeight="1">
      <c r="A973" s="171"/>
      <c r="B973" s="171"/>
      <c r="C973" s="171"/>
      <c r="D973" s="171"/>
      <c r="E973" s="174"/>
      <c r="F973" s="174"/>
      <c r="G973" s="174"/>
      <c r="H973" s="174"/>
      <c r="I973" s="171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5.75" customHeight="1">
      <c r="A974" s="171"/>
      <c r="B974" s="171"/>
      <c r="C974" s="171"/>
      <c r="D974" s="171"/>
      <c r="E974" s="174"/>
      <c r="F974" s="174"/>
      <c r="G974" s="174"/>
      <c r="H974" s="174"/>
      <c r="I974" s="171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5.75" customHeight="1">
      <c r="A975" s="171"/>
      <c r="B975" s="171"/>
      <c r="C975" s="171"/>
      <c r="D975" s="171"/>
      <c r="E975" s="174"/>
      <c r="F975" s="174"/>
      <c r="G975" s="174"/>
      <c r="H975" s="174"/>
      <c r="I975" s="171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5.75" customHeight="1">
      <c r="A976" s="171"/>
      <c r="B976" s="171"/>
      <c r="C976" s="171"/>
      <c r="D976" s="171"/>
      <c r="E976" s="174"/>
      <c r="F976" s="174"/>
      <c r="G976" s="174"/>
      <c r="H976" s="174"/>
      <c r="I976" s="171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5.75" customHeight="1">
      <c r="A977" s="171"/>
      <c r="B977" s="171"/>
      <c r="C977" s="171"/>
      <c r="D977" s="171"/>
      <c r="E977" s="174"/>
      <c r="F977" s="174"/>
      <c r="G977" s="174"/>
      <c r="H977" s="174"/>
      <c r="I977" s="171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5.75" customHeight="1">
      <c r="A978" s="171"/>
      <c r="B978" s="171"/>
      <c r="C978" s="171"/>
      <c r="D978" s="171"/>
      <c r="E978" s="174"/>
      <c r="F978" s="174"/>
      <c r="G978" s="174"/>
      <c r="H978" s="174"/>
      <c r="I978" s="171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5.75" customHeight="1">
      <c r="A979" s="171"/>
      <c r="B979" s="171"/>
      <c r="C979" s="171"/>
      <c r="D979" s="171"/>
      <c r="E979" s="174"/>
      <c r="F979" s="174"/>
      <c r="G979" s="174"/>
      <c r="H979" s="174"/>
      <c r="I979" s="171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5.75" customHeight="1">
      <c r="A980" s="171"/>
      <c r="B980" s="171"/>
      <c r="C980" s="171"/>
      <c r="D980" s="171"/>
      <c r="E980" s="174"/>
      <c r="F980" s="174"/>
      <c r="G980" s="174"/>
      <c r="H980" s="174"/>
      <c r="I980" s="171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5.75" customHeight="1">
      <c r="A981" s="171"/>
      <c r="B981" s="171"/>
      <c r="C981" s="171"/>
      <c r="D981" s="171"/>
      <c r="E981" s="174"/>
      <c r="F981" s="174"/>
      <c r="G981" s="174"/>
      <c r="H981" s="174"/>
      <c r="I981" s="171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5.75" customHeight="1">
      <c r="A982" s="171"/>
      <c r="B982" s="171"/>
      <c r="C982" s="171"/>
      <c r="D982" s="171"/>
      <c r="E982" s="174"/>
      <c r="F982" s="174"/>
      <c r="G982" s="174"/>
      <c r="H982" s="174"/>
      <c r="I982" s="171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5.75" customHeight="1">
      <c r="A983" s="171"/>
      <c r="B983" s="171"/>
      <c r="C983" s="171"/>
      <c r="D983" s="171"/>
      <c r="E983" s="174"/>
      <c r="F983" s="174"/>
      <c r="G983" s="174"/>
      <c r="H983" s="174"/>
      <c r="I983" s="171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5.75" customHeight="1">
      <c r="A984" s="171"/>
      <c r="B984" s="171"/>
      <c r="C984" s="171"/>
      <c r="D984" s="171"/>
      <c r="E984" s="174"/>
      <c r="F984" s="174"/>
      <c r="G984" s="174"/>
      <c r="H984" s="174"/>
      <c r="I984" s="171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5.75" customHeight="1">
      <c r="A985" s="171"/>
      <c r="B985" s="171"/>
      <c r="C985" s="171"/>
      <c r="D985" s="171"/>
      <c r="E985" s="174"/>
      <c r="F985" s="174"/>
      <c r="G985" s="174"/>
      <c r="H985" s="174"/>
      <c r="I985" s="171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5.75" customHeight="1">
      <c r="A986" s="171"/>
      <c r="B986" s="171"/>
      <c r="C986" s="171"/>
      <c r="D986" s="171"/>
      <c r="E986" s="174"/>
      <c r="F986" s="174"/>
      <c r="G986" s="174"/>
      <c r="H986" s="174"/>
      <c r="I986" s="171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5.75" customHeight="1">
      <c r="A987" s="171"/>
      <c r="B987" s="171"/>
      <c r="C987" s="171"/>
      <c r="D987" s="171"/>
      <c r="E987" s="174"/>
      <c r="F987" s="174"/>
      <c r="G987" s="174"/>
      <c r="H987" s="174"/>
      <c r="I987" s="171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5.75" customHeight="1">
      <c r="A988" s="171"/>
      <c r="B988" s="171"/>
      <c r="C988" s="171"/>
      <c r="D988" s="171"/>
      <c r="E988" s="174"/>
      <c r="F988" s="174"/>
      <c r="G988" s="174"/>
      <c r="H988" s="174"/>
      <c r="I988" s="171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5.75" customHeight="1">
      <c r="A989" s="171"/>
      <c r="B989" s="171"/>
      <c r="C989" s="171"/>
      <c r="D989" s="171"/>
      <c r="E989" s="174"/>
      <c r="F989" s="174"/>
      <c r="G989" s="174"/>
      <c r="H989" s="174"/>
      <c r="I989" s="171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5.75" customHeight="1">
      <c r="A990" s="171"/>
      <c r="B990" s="171"/>
      <c r="C990" s="171"/>
      <c r="D990" s="171"/>
      <c r="E990" s="174"/>
      <c r="F990" s="174"/>
      <c r="G990" s="174"/>
      <c r="H990" s="174"/>
      <c r="I990" s="171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5.75" customHeight="1">
      <c r="A991" s="171"/>
      <c r="B991" s="171"/>
      <c r="C991" s="171"/>
      <c r="D991" s="171"/>
      <c r="E991" s="174"/>
      <c r="F991" s="174"/>
      <c r="G991" s="174"/>
      <c r="H991" s="174"/>
      <c r="I991" s="171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5.75" customHeight="1">
      <c r="A992" s="171"/>
      <c r="B992" s="171"/>
      <c r="C992" s="171"/>
      <c r="D992" s="171"/>
      <c r="E992" s="174"/>
      <c r="F992" s="174"/>
      <c r="G992" s="174"/>
      <c r="H992" s="174"/>
      <c r="I992" s="171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5.75" customHeight="1">
      <c r="A993" s="171"/>
      <c r="B993" s="171"/>
      <c r="C993" s="171"/>
      <c r="D993" s="171"/>
      <c r="E993" s="174"/>
      <c r="F993" s="174"/>
      <c r="G993" s="174"/>
      <c r="H993" s="174"/>
      <c r="I993" s="171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5.75" customHeight="1">
      <c r="A994" s="171"/>
      <c r="B994" s="171"/>
      <c r="C994" s="171"/>
      <c r="D994" s="171"/>
      <c r="E994" s="174"/>
      <c r="F994" s="174"/>
      <c r="G994" s="174"/>
      <c r="H994" s="174"/>
      <c r="I994" s="171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5.75" customHeight="1">
      <c r="A995" s="171"/>
      <c r="B995" s="171"/>
      <c r="C995" s="171"/>
      <c r="D995" s="171"/>
      <c r="E995" s="174"/>
      <c r="F995" s="174"/>
      <c r="G995" s="174"/>
      <c r="H995" s="174"/>
      <c r="I995" s="171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5.75" customHeight="1">
      <c r="A996" s="171"/>
      <c r="B996" s="171"/>
      <c r="C996" s="171"/>
      <c r="D996" s="171"/>
      <c r="E996" s="174"/>
      <c r="F996" s="174"/>
      <c r="G996" s="174"/>
      <c r="H996" s="174"/>
      <c r="I996" s="171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5.75" customHeight="1">
      <c r="A997" s="171"/>
      <c r="B997" s="171"/>
      <c r="C997" s="171"/>
      <c r="D997" s="171"/>
      <c r="E997" s="174"/>
      <c r="F997" s="174"/>
      <c r="G997" s="174"/>
      <c r="H997" s="174"/>
      <c r="I997" s="171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5.75" customHeight="1">
      <c r="A998" s="171"/>
      <c r="B998" s="171"/>
      <c r="C998" s="171"/>
      <c r="D998" s="171"/>
      <c r="E998" s="174"/>
      <c r="F998" s="174"/>
      <c r="G998" s="174"/>
      <c r="H998" s="174"/>
      <c r="I998" s="171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5.75" customHeight="1">
      <c r="A999" s="171"/>
      <c r="B999" s="171"/>
      <c r="C999" s="171"/>
      <c r="D999" s="171"/>
      <c r="E999" s="174"/>
      <c r="F999" s="174"/>
      <c r="G999" s="174"/>
      <c r="H999" s="174"/>
      <c r="I999" s="171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5.75" customHeight="1">
      <c r="A1000" s="171"/>
      <c r="B1000" s="171"/>
      <c r="C1000" s="171"/>
      <c r="D1000" s="171"/>
      <c r="E1000" s="174"/>
      <c r="F1000" s="174"/>
      <c r="G1000" s="174"/>
      <c r="H1000" s="174"/>
      <c r="I1000" s="171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customSheetViews>
    <customSheetView guid="{0274E614-83F1-485E-AA8E-DCC3E42D21BA}" filter="1" showAutoFilter="1">
      <autoFilter ref="$A$3:$I$16"/>
    </customSheetView>
  </customSheetViews>
  <mergeCells count="1">
    <mergeCell ref="C1:G1"/>
  </mergeCells>
  <printOptions/>
  <pageMargins bottom="0.75" footer="0.0" header="0.0" left="0.55" right="0.19" top="0.75"/>
  <pageSetup paperSize="9" scale="90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43"/>
    <col customWidth="1" min="2" max="2" width="12.29"/>
    <col customWidth="1" min="3" max="3" width="21.0"/>
    <col customWidth="1" min="4" max="4" width="12.57"/>
    <col customWidth="1" min="5" max="5" width="19.57"/>
    <col customWidth="1" min="6" max="6" width="13.29"/>
    <col customWidth="1" min="7" max="7" width="23.57"/>
    <col customWidth="1" min="8" max="8" width="9.86"/>
    <col customWidth="1" min="9" max="9" width="8.71"/>
    <col customWidth="1" min="10" max="10" width="13.29"/>
    <col customWidth="1" min="11" max="11" width="18.29"/>
    <col customWidth="1" min="12" max="15" width="10.57"/>
    <col customWidth="1" min="16" max="16" width="16.29"/>
    <col customWidth="1" min="17" max="19" width="10.71"/>
    <col customWidth="1" min="20" max="20" width="12.86"/>
    <col customWidth="1" min="21" max="21" width="14.0"/>
    <col customWidth="1" min="22" max="22" width="12.14"/>
    <col customWidth="1" min="23" max="23" width="13.71"/>
    <col customWidth="1" min="24" max="24" width="11.71"/>
    <col customWidth="1" min="25" max="25" width="13.14"/>
    <col customWidth="1" min="26" max="26" width="15.14"/>
    <col customWidth="1" min="27" max="27" width="12.0"/>
    <col customWidth="1" hidden="1" min="28" max="28" width="11.57"/>
    <col customWidth="1" min="29" max="29" width="33.0"/>
    <col customWidth="1" min="30" max="32" width="15.0"/>
    <col customWidth="1" min="33" max="36" width="14.57"/>
    <col customWidth="1" min="37" max="37" width="14.86"/>
    <col customWidth="1" min="38" max="38" width="20.0"/>
    <col customWidth="1" min="39" max="39" width="34.29"/>
  </cols>
  <sheetData>
    <row r="1">
      <c r="A1" s="199"/>
      <c r="B1" s="200"/>
      <c r="C1" s="201"/>
      <c r="D1" s="202"/>
      <c r="E1" s="203"/>
      <c r="F1" s="203"/>
      <c r="G1" s="199"/>
      <c r="H1" s="204"/>
      <c r="I1" s="204"/>
      <c r="J1" s="205"/>
      <c r="K1" s="206"/>
      <c r="L1" s="205"/>
      <c r="M1" s="205"/>
      <c r="N1" s="205"/>
      <c r="O1" s="205"/>
      <c r="P1" s="206"/>
      <c r="Q1" s="205"/>
      <c r="R1" s="205"/>
      <c r="S1" s="207"/>
      <c r="T1" s="207"/>
      <c r="U1" s="208"/>
      <c r="V1" s="208"/>
      <c r="W1" s="206"/>
      <c r="X1" s="209"/>
      <c r="Y1" s="209"/>
      <c r="Z1" s="209"/>
      <c r="AA1" s="210"/>
      <c r="AB1" s="211"/>
      <c r="AC1" s="211"/>
      <c r="AD1" s="212"/>
      <c r="AE1" s="199"/>
      <c r="AF1" s="213"/>
      <c r="AG1" s="213"/>
      <c r="AH1" s="213"/>
      <c r="AI1" s="213"/>
      <c r="AJ1" s="213"/>
      <c r="AK1" s="214"/>
      <c r="AL1" s="200"/>
      <c r="AM1" s="199"/>
    </row>
    <row r="2">
      <c r="A2" s="215" t="s">
        <v>262</v>
      </c>
      <c r="B2" s="216"/>
      <c r="C2" s="216"/>
      <c r="D2" s="216"/>
      <c r="E2" s="216"/>
      <c r="F2" s="217"/>
      <c r="G2" s="218"/>
      <c r="H2" s="219"/>
      <c r="I2" s="219"/>
      <c r="J2" s="220"/>
      <c r="K2" s="221"/>
      <c r="L2" s="220"/>
      <c r="M2" s="220"/>
      <c r="N2" s="220"/>
      <c r="O2" s="220"/>
      <c r="P2" s="222">
        <f>+SUBTOTAL(9,$P$5:$P$490)</f>
        <v>767430.978</v>
      </c>
      <c r="Q2" s="223"/>
      <c r="R2" s="223"/>
      <c r="S2" s="224"/>
      <c r="T2" s="225"/>
      <c r="U2" s="225"/>
      <c r="V2" s="225"/>
      <c r="W2" s="226"/>
      <c r="X2" s="219"/>
      <c r="Y2" s="226"/>
      <c r="Z2" s="226"/>
      <c r="AA2" s="227"/>
      <c r="AB2" s="228"/>
      <c r="AC2" s="228"/>
      <c r="AD2" s="229"/>
      <c r="AE2" s="219"/>
      <c r="AF2" s="230"/>
      <c r="AG2" s="230"/>
      <c r="AH2" s="230"/>
      <c r="AI2" s="230"/>
      <c r="AJ2" s="230"/>
      <c r="AK2" s="219"/>
      <c r="AL2" s="231"/>
      <c r="AM2" s="219"/>
    </row>
    <row r="3" ht="29.25" customHeight="1">
      <c r="A3" s="232" t="s">
        <v>3</v>
      </c>
      <c r="B3" s="233" t="s">
        <v>263</v>
      </c>
      <c r="C3" s="232" t="s">
        <v>27</v>
      </c>
      <c r="D3" s="234" t="s">
        <v>264</v>
      </c>
      <c r="E3" s="235" t="s">
        <v>265</v>
      </c>
      <c r="F3" s="236" t="s">
        <v>266</v>
      </c>
      <c r="G3" s="232" t="s">
        <v>267</v>
      </c>
      <c r="H3" s="237" t="s">
        <v>268</v>
      </c>
      <c r="I3" s="16"/>
      <c r="J3" s="17"/>
      <c r="K3" s="236" t="s">
        <v>64</v>
      </c>
      <c r="L3" s="238" t="s">
        <v>269</v>
      </c>
      <c r="M3" s="239"/>
      <c r="N3" s="239"/>
      <c r="O3" s="239"/>
      <c r="P3" s="240"/>
      <c r="Q3" s="241" t="s">
        <v>270</v>
      </c>
      <c r="R3" s="16"/>
      <c r="S3" s="17"/>
      <c r="T3" s="242" t="s">
        <v>271</v>
      </c>
      <c r="U3" s="243" t="s">
        <v>272</v>
      </c>
      <c r="V3" s="17"/>
      <c r="W3" s="244" t="s">
        <v>273</v>
      </c>
      <c r="X3" s="245" t="s">
        <v>274</v>
      </c>
      <c r="Y3" s="246" t="s">
        <v>275</v>
      </c>
      <c r="Z3" s="247"/>
      <c r="AA3" s="248"/>
      <c r="AB3" s="249"/>
      <c r="AC3" s="250" t="s">
        <v>276</v>
      </c>
      <c r="AD3" s="251"/>
      <c r="AE3" s="252"/>
      <c r="AF3" s="253"/>
      <c r="AG3" s="253"/>
      <c r="AH3" s="253"/>
      <c r="AI3" s="253"/>
      <c r="AJ3" s="253"/>
      <c r="AK3" s="254" t="s">
        <v>277</v>
      </c>
      <c r="AL3" s="255" t="s">
        <v>278</v>
      </c>
      <c r="AM3" s="256" t="s">
        <v>279</v>
      </c>
    </row>
    <row r="4">
      <c r="A4" s="257"/>
      <c r="B4" s="258"/>
      <c r="C4" s="257"/>
      <c r="D4" s="259"/>
      <c r="E4" s="260"/>
      <c r="F4" s="261"/>
      <c r="G4" s="257"/>
      <c r="H4" s="262" t="s">
        <v>280</v>
      </c>
      <c r="I4" s="263" t="s">
        <v>281</v>
      </c>
      <c r="J4" s="264" t="s">
        <v>282</v>
      </c>
      <c r="K4" s="265"/>
      <c r="L4" s="264" t="s">
        <v>280</v>
      </c>
      <c r="M4" s="264" t="s">
        <v>283</v>
      </c>
      <c r="N4" s="264" t="s">
        <v>284</v>
      </c>
      <c r="O4" s="264" t="s">
        <v>285</v>
      </c>
      <c r="P4" s="266" t="s">
        <v>282</v>
      </c>
      <c r="Q4" s="264" t="s">
        <v>284</v>
      </c>
      <c r="R4" s="264" t="s">
        <v>285</v>
      </c>
      <c r="S4" s="267" t="s">
        <v>282</v>
      </c>
      <c r="T4" s="268"/>
      <c r="U4" s="269" t="s">
        <v>286</v>
      </c>
      <c r="V4" s="270" t="s">
        <v>287</v>
      </c>
      <c r="W4" s="271"/>
      <c r="X4" s="245"/>
      <c r="Y4" s="272" t="s">
        <v>275</v>
      </c>
      <c r="Z4" s="273" t="s">
        <v>288</v>
      </c>
      <c r="AA4" s="274" t="s">
        <v>289</v>
      </c>
      <c r="AB4" s="275" t="s">
        <v>290</v>
      </c>
      <c r="AC4" s="276" t="s">
        <v>291</v>
      </c>
      <c r="AD4" s="277" t="s">
        <v>292</v>
      </c>
      <c r="AE4" s="277" t="s">
        <v>293</v>
      </c>
      <c r="AF4" s="278" t="s">
        <v>294</v>
      </c>
      <c r="AG4" s="278" t="s">
        <v>295</v>
      </c>
      <c r="AH4" s="278" t="s">
        <v>296</v>
      </c>
      <c r="AI4" s="278" t="s">
        <v>297</v>
      </c>
      <c r="AJ4" s="278" t="s">
        <v>298</v>
      </c>
      <c r="AK4" s="279"/>
      <c r="AL4" s="280"/>
      <c r="AM4" s="281"/>
    </row>
    <row r="5">
      <c r="A5" s="282">
        <f t="shared" ref="A5:A1053" si="1">+ROW()-4</f>
        <v>1</v>
      </c>
      <c r="B5" s="283">
        <v>45499.0</v>
      </c>
      <c r="C5" s="284" t="s">
        <v>128</v>
      </c>
      <c r="D5" s="285" t="s">
        <v>299</v>
      </c>
      <c r="E5" s="286" t="s">
        <v>131</v>
      </c>
      <c r="F5" s="287" t="s">
        <v>88</v>
      </c>
      <c r="G5" s="288" t="str">
        <f>+IFERROR(VLOOKUP(F5,NVL!$B:$C,2,0),"")</f>
        <v>Ivory Ningbo</v>
      </c>
      <c r="H5" s="288">
        <f>+IFERROR(VLOOKUP(F5,NVL!$B:$D,3,0),"")</f>
        <v>250</v>
      </c>
      <c r="I5" s="288">
        <f>+IFERROR(VLOOKUP(F5,NVL!$B:$F,4,0),"")</f>
        <v>109</v>
      </c>
      <c r="J5" s="289">
        <f>3*981</f>
        <v>2943</v>
      </c>
      <c r="K5" s="290" t="s">
        <v>123</v>
      </c>
      <c r="L5" s="291">
        <f>+IFERROR(VLOOKUP(K5,'THÀNH PHẨM'!$B:$F,3,0),"")</f>
        <v>250</v>
      </c>
      <c r="M5" s="291">
        <f>+IFERROR(VLOOKUP(K5,'THÀNH PHẨM'!$B:$F,4,0),"")</f>
        <v>90</v>
      </c>
      <c r="N5" s="291">
        <f>+IFERROR(VLOOKUP(K5,'THÀNH PHẨM'!$B:$F,5,0),"")</f>
        <v>800</v>
      </c>
      <c r="O5" s="289">
        <v>162.0</v>
      </c>
      <c r="P5" s="292">
        <f t="shared" ref="P5:P1053" si="2">+IFERROR(((L5*M5*N5)*O5/1000000),"")</f>
        <v>2916</v>
      </c>
      <c r="Q5" s="289"/>
      <c r="R5" s="289"/>
      <c r="S5" s="293">
        <f t="shared" ref="S5:S19" si="3">+IFERROR(((L5*M5*Q5)*R5/1000000),"")</f>
        <v>0</v>
      </c>
      <c r="T5" s="294">
        <v>6.0</v>
      </c>
      <c r="U5" s="295">
        <v>18.0</v>
      </c>
      <c r="V5" s="296">
        <v>3.0</v>
      </c>
      <c r="W5" s="297">
        <v>27.0</v>
      </c>
      <c r="X5" s="298"/>
      <c r="Y5" s="292">
        <f>+IF(J5="","",J5-P5-S5-W5-X5)</f>
        <v>0</v>
      </c>
      <c r="Z5" s="292">
        <f t="shared" ref="Z5:Z6" si="4">+IF(J5&lt;&gt;"",Y5+W5,0)</f>
        <v>27</v>
      </c>
      <c r="AA5" s="299">
        <f t="shared" ref="AA5:AA6" si="5">+IF(IF(J5=";",Z5/J5)&lt;0,0%,(IF(J5="","",Z5/J5)))</f>
        <v>0.009174311927</v>
      </c>
      <c r="AB5" s="300"/>
      <c r="AC5" s="301"/>
      <c r="AD5" s="302"/>
      <c r="AE5" s="303"/>
      <c r="AF5" s="304"/>
      <c r="AG5" s="304"/>
      <c r="AH5" s="304"/>
      <c r="AI5" s="304"/>
      <c r="AJ5" s="304"/>
      <c r="AK5" s="305" t="s">
        <v>302</v>
      </c>
      <c r="AL5" s="283">
        <v>45506.0</v>
      </c>
      <c r="AM5" s="284"/>
    </row>
    <row r="6">
      <c r="A6" s="282">
        <f t="shared" si="1"/>
        <v>2</v>
      </c>
      <c r="B6" s="283">
        <v>45499.0</v>
      </c>
      <c r="C6" s="284" t="s">
        <v>128</v>
      </c>
      <c r="D6" s="285" t="s">
        <v>299</v>
      </c>
      <c r="E6" s="286" t="s">
        <v>131</v>
      </c>
      <c r="F6" s="287" t="s">
        <v>92</v>
      </c>
      <c r="G6" s="288" t="str">
        <f>+IFERROR(VLOOKUP(F6,NVL!$B:$C,2,0),"")</f>
        <v>Ivory Ningbo</v>
      </c>
      <c r="H6" s="288">
        <f>+IFERROR(VLOOKUP(F6,NVL!$B:$D,3,0),"")</f>
        <v>250</v>
      </c>
      <c r="I6" s="288">
        <f>+IFERROR(VLOOKUP(F6,NVL!$B:$F,4,0),"")</f>
        <v>65</v>
      </c>
      <c r="J6" s="306">
        <f>6*585</f>
        <v>3510</v>
      </c>
      <c r="K6" s="290" t="s">
        <v>123</v>
      </c>
      <c r="L6" s="291">
        <f>+IFERROR(VLOOKUP(K6,'THÀNH PHẨM'!$B:$F,3,0),"")</f>
        <v>250</v>
      </c>
      <c r="M6" s="291">
        <f>+IFERROR(VLOOKUP(K6,'THÀNH PHẨM'!$B:$F,4,0),"")</f>
        <v>90</v>
      </c>
      <c r="N6" s="291">
        <f>+IFERROR(VLOOKUP(K6,'THÀNH PHẨM'!$B:$F,5,0),"")</f>
        <v>800</v>
      </c>
      <c r="O6" s="289">
        <v>181.0</v>
      </c>
      <c r="P6" s="292">
        <f t="shared" si="2"/>
        <v>3258</v>
      </c>
      <c r="Q6" s="289">
        <v>420.0</v>
      </c>
      <c r="R6" s="289">
        <v>1.0</v>
      </c>
      <c r="S6" s="293">
        <f t="shared" si="3"/>
        <v>9.45</v>
      </c>
      <c r="T6" s="307">
        <v>12.0</v>
      </c>
      <c r="U6" s="308">
        <v>36.0</v>
      </c>
      <c r="V6" s="309">
        <v>6.0</v>
      </c>
      <c r="W6" s="310">
        <v>212.85</v>
      </c>
      <c r="X6" s="310"/>
      <c r="Y6" s="311">
        <f>+IF(J6="","",J6-P6-S6-W6-X6-S7)</f>
        <v>0</v>
      </c>
      <c r="Z6" s="311">
        <f t="shared" si="4"/>
        <v>212.85</v>
      </c>
      <c r="AA6" s="312">
        <f t="shared" si="5"/>
        <v>0.06064102564</v>
      </c>
      <c r="AB6" s="300"/>
      <c r="AC6" s="301"/>
      <c r="AD6" s="302"/>
      <c r="AE6" s="303"/>
      <c r="AF6" s="304"/>
      <c r="AG6" s="304"/>
      <c r="AH6" s="304"/>
      <c r="AI6" s="304"/>
      <c r="AJ6" s="304"/>
      <c r="AK6" s="305" t="s">
        <v>302</v>
      </c>
      <c r="AL6" s="283">
        <v>45506.0</v>
      </c>
      <c r="AM6" s="284"/>
    </row>
    <row r="7">
      <c r="A7" s="282">
        <f t="shared" si="1"/>
        <v>3</v>
      </c>
      <c r="B7" s="283">
        <v>45499.0</v>
      </c>
      <c r="C7" s="284" t="s">
        <v>128</v>
      </c>
      <c r="D7" s="285" t="s">
        <v>299</v>
      </c>
      <c r="E7" s="286" t="s">
        <v>131</v>
      </c>
      <c r="F7" s="287" t="s">
        <v>92</v>
      </c>
      <c r="G7" s="288" t="str">
        <f>+IFERROR(VLOOKUP(F7,NVL!$B:$C,2,0),"")</f>
        <v>Ivory Ningbo</v>
      </c>
      <c r="H7" s="288">
        <f>+IFERROR(VLOOKUP(F7,NVL!$B:$D,3,0),"")</f>
        <v>250</v>
      </c>
      <c r="I7" s="288">
        <f>+IFERROR(VLOOKUP(F7,NVL!$B:$F,4,0),"")</f>
        <v>65</v>
      </c>
      <c r="J7" s="313"/>
      <c r="K7" s="290" t="s">
        <v>123</v>
      </c>
      <c r="L7" s="291">
        <f>+IFERROR(VLOOKUP(K7,'THÀNH PHẨM'!$B:$F,3,0),"")</f>
        <v>250</v>
      </c>
      <c r="M7" s="291">
        <f>+IFERROR(VLOOKUP(K7,'THÀNH PHẨM'!$B:$F,4,0),"")</f>
        <v>90</v>
      </c>
      <c r="N7" s="291">
        <f>+IFERROR(VLOOKUP(K7,'THÀNH PHẨM'!$B:$F,5,0),"")</f>
        <v>800</v>
      </c>
      <c r="O7" s="289"/>
      <c r="P7" s="292">
        <f t="shared" si="2"/>
        <v>0</v>
      </c>
      <c r="Q7" s="289">
        <v>330.0</v>
      </c>
      <c r="R7" s="289">
        <v>4.0</v>
      </c>
      <c r="S7" s="293">
        <f t="shared" si="3"/>
        <v>29.7</v>
      </c>
      <c r="T7" s="313"/>
      <c r="U7" s="313"/>
      <c r="V7" s="313"/>
      <c r="W7" s="313"/>
      <c r="X7" s="313"/>
      <c r="Y7" s="313"/>
      <c r="Z7" s="313"/>
      <c r="AA7" s="313"/>
      <c r="AB7" s="300"/>
      <c r="AC7" s="301"/>
      <c r="AD7" s="302"/>
      <c r="AE7" s="303"/>
      <c r="AF7" s="304"/>
      <c r="AG7" s="304"/>
      <c r="AH7" s="304"/>
      <c r="AI7" s="304"/>
      <c r="AJ7" s="304"/>
      <c r="AK7" s="305" t="s">
        <v>302</v>
      </c>
      <c r="AL7" s="283">
        <v>45506.0</v>
      </c>
      <c r="AM7" s="284"/>
    </row>
    <row r="8">
      <c r="A8" s="282">
        <f t="shared" si="1"/>
        <v>4</v>
      </c>
      <c r="B8" s="283">
        <v>45499.0</v>
      </c>
      <c r="C8" s="284" t="s">
        <v>128</v>
      </c>
      <c r="D8" s="285" t="s">
        <v>299</v>
      </c>
      <c r="E8" s="286" t="s">
        <v>131</v>
      </c>
      <c r="F8" s="287" t="s">
        <v>121</v>
      </c>
      <c r="G8" s="288" t="str">
        <f>+IFERROR(VLOOKUP(F8,NVL!$B:$C,2,0),"")</f>
        <v>Ivory Ningbo</v>
      </c>
      <c r="H8" s="288">
        <f>+IFERROR(VLOOKUP(F8,NVL!$B:$D,3,0),"")</f>
        <v>250</v>
      </c>
      <c r="I8" s="288">
        <f>+IFERROR(VLOOKUP(F8,NVL!$B:$F,4,0),"")</f>
        <v>75</v>
      </c>
      <c r="J8" s="289">
        <f>675*5</f>
        <v>3375</v>
      </c>
      <c r="K8" s="290" t="s">
        <v>123</v>
      </c>
      <c r="L8" s="291">
        <f>+IFERROR(VLOOKUP(K8,'THÀNH PHẨM'!$B:$F,3,0),"")</f>
        <v>250</v>
      </c>
      <c r="M8" s="291">
        <f>+IFERROR(VLOOKUP(K8,'THÀNH PHẨM'!$B:$F,4,0),"")</f>
        <v>90</v>
      </c>
      <c r="N8" s="291">
        <f>+IFERROR(VLOOKUP(K8,'THÀNH PHẨM'!$B:$F,5,0),"")</f>
        <v>800</v>
      </c>
      <c r="O8" s="289">
        <v>180.0</v>
      </c>
      <c r="P8" s="292">
        <f t="shared" si="2"/>
        <v>3240</v>
      </c>
      <c r="Q8" s="289"/>
      <c r="R8" s="289"/>
      <c r="S8" s="293">
        <f t="shared" si="3"/>
        <v>0</v>
      </c>
      <c r="T8" s="294">
        <v>10.0</v>
      </c>
      <c r="U8" s="295">
        <v>30.0</v>
      </c>
      <c r="V8" s="296">
        <v>5.0</v>
      </c>
      <c r="W8" s="297">
        <v>135.0</v>
      </c>
      <c r="X8" s="298"/>
      <c r="Y8" s="292">
        <f t="shared" ref="Y8:Y10" si="6">+IF(J8="","",J8-P8-S8-W8-X8)</f>
        <v>0</v>
      </c>
      <c r="Z8" s="292">
        <f t="shared" ref="Z8:Z11" si="7">+IF(J8&lt;&gt;"",Y8+W8,0)</f>
        <v>135</v>
      </c>
      <c r="AA8" s="299">
        <f t="shared" ref="AA8:AA11" si="8">+IF(IF(J8=";",Z8/J8)&lt;0,0%,(IF(J8="","",Z8/J8)))</f>
        <v>0.04</v>
      </c>
      <c r="AB8" s="300"/>
      <c r="AC8" s="301"/>
      <c r="AD8" s="302"/>
      <c r="AE8" s="303"/>
      <c r="AF8" s="304"/>
      <c r="AG8" s="304"/>
      <c r="AH8" s="304"/>
      <c r="AI8" s="304"/>
      <c r="AJ8" s="304"/>
      <c r="AK8" s="305" t="s">
        <v>302</v>
      </c>
      <c r="AL8" s="283">
        <v>45506.0</v>
      </c>
      <c r="AM8" s="284"/>
    </row>
    <row r="9">
      <c r="A9" s="282">
        <f t="shared" si="1"/>
        <v>5</v>
      </c>
      <c r="B9" s="283">
        <v>45499.0</v>
      </c>
      <c r="C9" s="284" t="s">
        <v>128</v>
      </c>
      <c r="D9" s="285" t="s">
        <v>299</v>
      </c>
      <c r="E9" s="286" t="s">
        <v>131</v>
      </c>
      <c r="F9" s="287" t="s">
        <v>87</v>
      </c>
      <c r="G9" s="288" t="str">
        <f>+IFERROR(VLOOKUP(F9,NVL!$B:$C,2,0),"")</f>
        <v>Ivory IPSUN</v>
      </c>
      <c r="H9" s="288">
        <f>+IFERROR(VLOOKUP(F9,NVL!$B:$D,3,0),"")</f>
        <v>250</v>
      </c>
      <c r="I9" s="288">
        <f>+IFERROR(VLOOKUP(F9,NVL!$B:$F,4,0),"")</f>
        <v>84</v>
      </c>
      <c r="J9" s="289">
        <v>128.0</v>
      </c>
      <c r="K9" s="290" t="s">
        <v>123</v>
      </c>
      <c r="L9" s="291">
        <f>+IFERROR(VLOOKUP(K9,'THÀNH PHẨM'!$B:$F,3,0),"")</f>
        <v>250</v>
      </c>
      <c r="M9" s="291">
        <f>+IFERROR(VLOOKUP(K9,'THÀNH PHẨM'!$B:$F,4,0),"")</f>
        <v>90</v>
      </c>
      <c r="N9" s="291">
        <f>+IFERROR(VLOOKUP(K9,'THÀNH PHẨM'!$B:$F,5,0),"")</f>
        <v>800</v>
      </c>
      <c r="O9" s="289">
        <v>5.0</v>
      </c>
      <c r="P9" s="292">
        <f t="shared" si="2"/>
        <v>90</v>
      </c>
      <c r="Q9" s="289"/>
      <c r="R9" s="289"/>
      <c r="S9" s="293">
        <f t="shared" si="3"/>
        <v>0</v>
      </c>
      <c r="T9" s="294">
        <v>1.0</v>
      </c>
      <c r="U9" s="295"/>
      <c r="V9" s="296"/>
      <c r="W9" s="297">
        <v>8.0</v>
      </c>
      <c r="X9" s="298">
        <v>30.0</v>
      </c>
      <c r="Y9" s="292">
        <f t="shared" si="6"/>
        <v>0</v>
      </c>
      <c r="Z9" s="292">
        <f t="shared" si="7"/>
        <v>8</v>
      </c>
      <c r="AA9" s="299">
        <f t="shared" si="8"/>
        <v>0.0625</v>
      </c>
      <c r="AB9" s="300"/>
      <c r="AC9" s="301"/>
      <c r="AD9" s="302"/>
      <c r="AE9" s="303"/>
      <c r="AF9" s="304"/>
      <c r="AG9" s="304"/>
      <c r="AH9" s="304"/>
      <c r="AI9" s="304"/>
      <c r="AJ9" s="304"/>
      <c r="AK9" s="305" t="s">
        <v>302</v>
      </c>
      <c r="AL9" s="283">
        <v>45506.0</v>
      </c>
      <c r="AM9" s="284"/>
    </row>
    <row r="10">
      <c r="A10" s="282">
        <f t="shared" si="1"/>
        <v>6</v>
      </c>
      <c r="B10" s="283">
        <v>45511.0</v>
      </c>
      <c r="C10" s="284" t="s">
        <v>132</v>
      </c>
      <c r="D10" s="285" t="s">
        <v>303</v>
      </c>
      <c r="E10" s="286" t="s">
        <v>304</v>
      </c>
      <c r="F10" s="287" t="s">
        <v>86</v>
      </c>
      <c r="G10" s="288" t="str">
        <f>+IFERROR(VLOOKUP(F10,NVL!$B:$C,2,0),"")</f>
        <v>Ivory IPSUN</v>
      </c>
      <c r="H10" s="288">
        <f>+IFERROR(VLOOKUP(F10,NVL!$B:$D,3,0),"")</f>
        <v>230</v>
      </c>
      <c r="I10" s="288">
        <f>+IFERROR(VLOOKUP(F10,NVL!$B:$F,4,0),"")</f>
        <v>109</v>
      </c>
      <c r="J10" s="314">
        <f>6*1028+912</f>
        <v>7080</v>
      </c>
      <c r="K10" s="290" t="s">
        <v>120</v>
      </c>
      <c r="L10" s="291">
        <f>+IFERROR(VLOOKUP(K10,'THÀNH PHẨM'!$B:$F,3,0),"")</f>
        <v>230</v>
      </c>
      <c r="M10" s="291">
        <f>+IFERROR(VLOOKUP(K10,'THÀNH PHẨM'!$B:$F,4,0),"")</f>
        <v>98</v>
      </c>
      <c r="N10" s="291">
        <f>+IFERROR(VLOOKUP(K10,'THÀNH PHẨM'!$B:$F,5,0),"")</f>
        <v>800</v>
      </c>
      <c r="O10" s="289">
        <v>363.0</v>
      </c>
      <c r="P10" s="292">
        <f t="shared" si="2"/>
        <v>6545.616</v>
      </c>
      <c r="Q10" s="289"/>
      <c r="R10" s="289"/>
      <c r="S10" s="293">
        <f t="shared" si="3"/>
        <v>0</v>
      </c>
      <c r="T10" s="294">
        <v>10.0</v>
      </c>
      <c r="U10" s="295">
        <v>36.0</v>
      </c>
      <c r="V10" s="296">
        <v>6.0</v>
      </c>
      <c r="W10" s="297">
        <v>107.38</v>
      </c>
      <c r="X10" s="298">
        <v>427.0</v>
      </c>
      <c r="Y10" s="292">
        <f t="shared" si="6"/>
        <v>0.004</v>
      </c>
      <c r="Z10" s="292">
        <f t="shared" si="7"/>
        <v>107.384</v>
      </c>
      <c r="AA10" s="299">
        <f t="shared" si="8"/>
        <v>0.01516723164</v>
      </c>
      <c r="AB10" s="300"/>
      <c r="AC10" s="301"/>
      <c r="AD10" s="302"/>
      <c r="AE10" s="303"/>
      <c r="AF10" s="304"/>
      <c r="AG10" s="304"/>
      <c r="AH10" s="304"/>
      <c r="AI10" s="304"/>
      <c r="AJ10" s="304"/>
      <c r="AK10" s="305" t="s">
        <v>302</v>
      </c>
      <c r="AL10" s="283">
        <v>45517.0</v>
      </c>
      <c r="AM10" s="284"/>
    </row>
    <row r="11">
      <c r="A11" s="282">
        <f t="shared" si="1"/>
        <v>7</v>
      </c>
      <c r="B11" s="283">
        <v>45516.0</v>
      </c>
      <c r="C11" s="284" t="s">
        <v>305</v>
      </c>
      <c r="D11" s="285" t="s">
        <v>306</v>
      </c>
      <c r="E11" s="286" t="s">
        <v>307</v>
      </c>
      <c r="F11" s="315" t="s">
        <v>134</v>
      </c>
      <c r="G11" s="316" t="str">
        <f>+IFERROR(VLOOKUP(F11,NVL!$B:$C,2,0),"")</f>
        <v>Ivory Ningbo</v>
      </c>
      <c r="H11" s="317">
        <f>+IFERROR(VLOOKUP(F11,NVL!$B:$D,3,0),"")</f>
        <v>230</v>
      </c>
      <c r="I11" s="317">
        <f>+IFERROR(VLOOKUP(F11,NVL!$B:$F,4,0),"")</f>
        <v>65</v>
      </c>
      <c r="J11" s="306">
        <v>30.0</v>
      </c>
      <c r="K11" s="318" t="s">
        <v>308</v>
      </c>
      <c r="L11" s="291">
        <v>230.0</v>
      </c>
      <c r="M11" s="291">
        <v>90.0</v>
      </c>
      <c r="N11" s="291">
        <v>200.0</v>
      </c>
      <c r="O11" s="289">
        <v>2.0</v>
      </c>
      <c r="P11" s="292">
        <f t="shared" si="2"/>
        <v>8.28</v>
      </c>
      <c r="Q11" s="289"/>
      <c r="R11" s="289"/>
      <c r="S11" s="293">
        <f t="shared" si="3"/>
        <v>0</v>
      </c>
      <c r="T11" s="294"/>
      <c r="U11" s="295"/>
      <c r="V11" s="296"/>
      <c r="W11" s="310">
        <v>4.1</v>
      </c>
      <c r="X11" s="310"/>
      <c r="Y11" s="311">
        <f>+IF(J11="","",J11-P11-S11-W11-X11-P12-P13)</f>
        <v>0.002</v>
      </c>
      <c r="Z11" s="311">
        <f t="shared" si="7"/>
        <v>4.102</v>
      </c>
      <c r="AA11" s="312">
        <f t="shared" si="8"/>
        <v>0.1367333333</v>
      </c>
      <c r="AB11" s="300"/>
      <c r="AC11" s="301"/>
      <c r="AD11" s="302"/>
      <c r="AE11" s="303"/>
      <c r="AF11" s="304"/>
      <c r="AG11" s="304"/>
      <c r="AH11" s="304"/>
      <c r="AI11" s="304"/>
      <c r="AJ11" s="304"/>
      <c r="AK11" s="305" t="s">
        <v>302</v>
      </c>
      <c r="AL11" s="283">
        <v>45517.0</v>
      </c>
      <c r="AM11" s="284"/>
    </row>
    <row r="12">
      <c r="A12" s="282">
        <f t="shared" si="1"/>
        <v>8</v>
      </c>
      <c r="B12" s="283">
        <v>45516.0</v>
      </c>
      <c r="C12" s="284" t="s">
        <v>305</v>
      </c>
      <c r="D12" s="285" t="s">
        <v>306</v>
      </c>
      <c r="E12" s="286" t="s">
        <v>307</v>
      </c>
      <c r="F12" s="319"/>
      <c r="G12" s="319"/>
      <c r="H12" s="319"/>
      <c r="I12" s="319"/>
      <c r="J12" s="319"/>
      <c r="K12" s="318" t="s">
        <v>309</v>
      </c>
      <c r="L12" s="291">
        <v>230.0</v>
      </c>
      <c r="M12" s="291">
        <v>95.0</v>
      </c>
      <c r="N12" s="291">
        <v>200.0</v>
      </c>
      <c r="O12" s="289">
        <v>2.0</v>
      </c>
      <c r="P12" s="292">
        <f t="shared" si="2"/>
        <v>8.74</v>
      </c>
      <c r="Q12" s="289"/>
      <c r="R12" s="289"/>
      <c r="S12" s="293">
        <f t="shared" si="3"/>
        <v>0</v>
      </c>
      <c r="T12" s="294"/>
      <c r="U12" s="295"/>
      <c r="V12" s="296"/>
      <c r="W12" s="319"/>
      <c r="X12" s="319"/>
      <c r="Y12" s="319"/>
      <c r="Z12" s="319"/>
      <c r="AA12" s="319"/>
      <c r="AB12" s="300"/>
      <c r="AC12" s="301"/>
      <c r="AD12" s="302"/>
      <c r="AE12" s="303"/>
      <c r="AF12" s="304"/>
      <c r="AG12" s="304"/>
      <c r="AH12" s="304"/>
      <c r="AI12" s="304"/>
      <c r="AJ12" s="304"/>
      <c r="AK12" s="305" t="s">
        <v>302</v>
      </c>
      <c r="AL12" s="283">
        <v>45517.0</v>
      </c>
      <c r="AM12" s="284"/>
    </row>
    <row r="13">
      <c r="A13" s="282">
        <f t="shared" si="1"/>
        <v>9</v>
      </c>
      <c r="B13" s="283">
        <v>45516.0</v>
      </c>
      <c r="C13" s="284" t="s">
        <v>305</v>
      </c>
      <c r="D13" s="285" t="s">
        <v>306</v>
      </c>
      <c r="E13" s="286" t="s">
        <v>307</v>
      </c>
      <c r="F13" s="313"/>
      <c r="G13" s="313"/>
      <c r="H13" s="313"/>
      <c r="I13" s="313"/>
      <c r="J13" s="313"/>
      <c r="K13" s="318" t="s">
        <v>310</v>
      </c>
      <c r="L13" s="291">
        <v>230.0</v>
      </c>
      <c r="M13" s="291">
        <v>96.5</v>
      </c>
      <c r="N13" s="291">
        <v>200.0</v>
      </c>
      <c r="O13" s="289">
        <v>2.0</v>
      </c>
      <c r="P13" s="292">
        <f t="shared" si="2"/>
        <v>8.878</v>
      </c>
      <c r="Q13" s="289"/>
      <c r="R13" s="289"/>
      <c r="S13" s="293">
        <f t="shared" si="3"/>
        <v>0</v>
      </c>
      <c r="T13" s="294"/>
      <c r="U13" s="295"/>
      <c r="V13" s="296"/>
      <c r="W13" s="313"/>
      <c r="X13" s="313"/>
      <c r="Y13" s="313"/>
      <c r="Z13" s="313"/>
      <c r="AA13" s="313"/>
      <c r="AB13" s="300"/>
      <c r="AC13" s="301"/>
      <c r="AD13" s="302"/>
      <c r="AE13" s="303"/>
      <c r="AF13" s="304"/>
      <c r="AG13" s="304"/>
      <c r="AH13" s="304"/>
      <c r="AI13" s="304"/>
      <c r="AJ13" s="304"/>
      <c r="AK13" s="305" t="s">
        <v>302</v>
      </c>
      <c r="AL13" s="283">
        <v>45517.0</v>
      </c>
      <c r="AM13" s="284"/>
    </row>
    <row r="14">
      <c r="A14" s="282">
        <f t="shared" si="1"/>
        <v>10</v>
      </c>
      <c r="B14" s="283">
        <v>45519.0</v>
      </c>
      <c r="C14" s="320" t="s">
        <v>160</v>
      </c>
      <c r="D14" s="285" t="s">
        <v>311</v>
      </c>
      <c r="E14" s="286" t="s">
        <v>312</v>
      </c>
      <c r="F14" s="315" t="s">
        <v>79</v>
      </c>
      <c r="G14" s="317" t="str">
        <f>+IFERROR(VLOOKUP(F14,NVL!$B:$C,2,0),"")</f>
        <v>Ivory IPSUN</v>
      </c>
      <c r="H14" s="317">
        <f>+IFERROR(VLOOKUP(F14,NVL!$B:$D,3,0),"")</f>
        <v>210</v>
      </c>
      <c r="I14" s="317">
        <f>+IFERROR(VLOOKUP(F14,NVL!$B:$F,4,0),"")</f>
        <v>109</v>
      </c>
      <c r="J14" s="321">
        <f>1053*5+655+63</f>
        <v>5983</v>
      </c>
      <c r="K14" s="290" t="s">
        <v>104</v>
      </c>
      <c r="L14" s="291">
        <f>+IFERROR(VLOOKUP(K14,'THÀNH PHẨM'!$B:$F,3,0),"")</f>
        <v>210</v>
      </c>
      <c r="M14" s="291">
        <f>+IFERROR(VLOOKUP(K14,'THÀNH PHẨM'!$B:$F,4,0),"")</f>
        <v>95</v>
      </c>
      <c r="N14" s="291">
        <f>+IFERROR(VLOOKUP(K14,'THÀNH PHẨM'!$B:$F,5,0),"")</f>
        <v>800</v>
      </c>
      <c r="O14" s="289">
        <v>286.0</v>
      </c>
      <c r="P14" s="292">
        <f t="shared" si="2"/>
        <v>4564.56</v>
      </c>
      <c r="Q14" s="289"/>
      <c r="R14" s="289"/>
      <c r="S14" s="293">
        <f t="shared" si="3"/>
        <v>0</v>
      </c>
      <c r="T14" s="307">
        <v>14.0</v>
      </c>
      <c r="U14" s="308">
        <v>36.0</v>
      </c>
      <c r="V14" s="309">
        <v>6.0</v>
      </c>
      <c r="W14" s="310">
        <v>160.84</v>
      </c>
      <c r="X14" s="310">
        <v>48.0</v>
      </c>
      <c r="Y14" s="311">
        <f>+IF(J14="","",J14-P14-S14-W14-X14-P15-P16)</f>
        <v>0</v>
      </c>
      <c r="Z14" s="311">
        <f>+IF(J14&lt;&gt;"",Y14+W14,0)</f>
        <v>160.84</v>
      </c>
      <c r="AA14" s="312">
        <f>+IF(IF(J14=";",Z14/J14)&lt;0,0%,(IF(J14="","",Z14/J14)))</f>
        <v>0.0268828347</v>
      </c>
      <c r="AB14" s="300"/>
      <c r="AC14" s="301"/>
      <c r="AD14" s="302"/>
      <c r="AE14" s="303"/>
      <c r="AF14" s="304"/>
      <c r="AG14" s="304"/>
      <c r="AH14" s="304"/>
      <c r="AI14" s="304"/>
      <c r="AJ14" s="304"/>
      <c r="AK14" s="305" t="s">
        <v>302</v>
      </c>
      <c r="AL14" s="283">
        <v>45523.0</v>
      </c>
      <c r="AM14" s="284"/>
    </row>
    <row r="15">
      <c r="A15" s="282">
        <f t="shared" si="1"/>
        <v>11</v>
      </c>
      <c r="B15" s="283">
        <v>45519.0</v>
      </c>
      <c r="C15" s="320" t="s">
        <v>160</v>
      </c>
      <c r="D15" s="285" t="s">
        <v>311</v>
      </c>
      <c r="E15" s="286" t="s">
        <v>304</v>
      </c>
      <c r="F15" s="319"/>
      <c r="G15" s="319"/>
      <c r="H15" s="319"/>
      <c r="I15" s="319"/>
      <c r="J15" s="319"/>
      <c r="K15" s="290" t="s">
        <v>89</v>
      </c>
      <c r="L15" s="291">
        <f>+IFERROR(VLOOKUP(K15,'THÀNH PHẨM'!$B:$F,3,0),"")</f>
        <v>210</v>
      </c>
      <c r="M15" s="291">
        <f>+IFERROR(VLOOKUP(K15,'THÀNH PHẨM'!$B:$F,4,0),"")</f>
        <v>83</v>
      </c>
      <c r="N15" s="291">
        <f>+IFERROR(VLOOKUP(K15,'THÀNH PHẨM'!$B:$F,5,0),"")</f>
        <v>800</v>
      </c>
      <c r="O15" s="289">
        <v>32.0</v>
      </c>
      <c r="P15" s="292">
        <f t="shared" si="2"/>
        <v>446.208</v>
      </c>
      <c r="Q15" s="289"/>
      <c r="R15" s="289"/>
      <c r="S15" s="293">
        <f t="shared" si="3"/>
        <v>0</v>
      </c>
      <c r="T15" s="319"/>
      <c r="U15" s="319"/>
      <c r="V15" s="319"/>
      <c r="W15" s="319"/>
      <c r="X15" s="319"/>
      <c r="Y15" s="319"/>
      <c r="Z15" s="319"/>
      <c r="AA15" s="319"/>
      <c r="AB15" s="300"/>
      <c r="AC15" s="301"/>
      <c r="AD15" s="302"/>
      <c r="AE15" s="303"/>
      <c r="AF15" s="304"/>
      <c r="AG15" s="304"/>
      <c r="AH15" s="304"/>
      <c r="AI15" s="304"/>
      <c r="AJ15" s="304"/>
      <c r="AK15" s="305" t="s">
        <v>302</v>
      </c>
      <c r="AL15" s="283">
        <v>45523.0</v>
      </c>
      <c r="AM15" s="284"/>
    </row>
    <row r="16">
      <c r="A16" s="282">
        <f t="shared" si="1"/>
        <v>12</v>
      </c>
      <c r="B16" s="283">
        <v>45519.0</v>
      </c>
      <c r="C16" s="320" t="s">
        <v>160</v>
      </c>
      <c r="D16" s="285" t="s">
        <v>311</v>
      </c>
      <c r="E16" s="286" t="s">
        <v>304</v>
      </c>
      <c r="F16" s="313"/>
      <c r="G16" s="313"/>
      <c r="H16" s="313"/>
      <c r="I16" s="313"/>
      <c r="J16" s="313"/>
      <c r="K16" s="290" t="s">
        <v>81</v>
      </c>
      <c r="L16" s="291">
        <f>+IFERROR(VLOOKUP(K16,'THÀNH PHẨM'!$B:$F,3,0),"")</f>
        <v>210</v>
      </c>
      <c r="M16" s="291">
        <f>+IFERROR(VLOOKUP(K16,'THÀNH PHẨM'!$B:$F,4,0),"")</f>
        <v>71</v>
      </c>
      <c r="N16" s="291">
        <f>+IFERROR(VLOOKUP(K16,'THÀNH PHẨM'!$B:$F,5,0),"")</f>
        <v>800</v>
      </c>
      <c r="O16" s="289">
        <v>64.0</v>
      </c>
      <c r="P16" s="292">
        <f t="shared" si="2"/>
        <v>763.392</v>
      </c>
      <c r="Q16" s="289"/>
      <c r="R16" s="289"/>
      <c r="S16" s="293">
        <f t="shared" si="3"/>
        <v>0</v>
      </c>
      <c r="T16" s="313"/>
      <c r="U16" s="313"/>
      <c r="V16" s="313"/>
      <c r="W16" s="313"/>
      <c r="X16" s="313"/>
      <c r="Y16" s="313"/>
      <c r="Z16" s="313"/>
      <c r="AA16" s="313"/>
      <c r="AB16" s="300"/>
      <c r="AC16" s="301"/>
      <c r="AD16" s="302"/>
      <c r="AE16" s="303"/>
      <c r="AF16" s="304"/>
      <c r="AG16" s="304"/>
      <c r="AH16" s="304"/>
      <c r="AI16" s="304"/>
      <c r="AJ16" s="304"/>
      <c r="AK16" s="305" t="s">
        <v>302</v>
      </c>
      <c r="AL16" s="283">
        <v>45523.0</v>
      </c>
      <c r="AM16" s="284"/>
    </row>
    <row r="17">
      <c r="A17" s="282">
        <f t="shared" si="1"/>
        <v>13</v>
      </c>
      <c r="B17" s="283">
        <v>45524.0</v>
      </c>
      <c r="C17" s="284" t="s">
        <v>166</v>
      </c>
      <c r="D17" s="285" t="s">
        <v>314</v>
      </c>
      <c r="E17" s="286" t="s">
        <v>131</v>
      </c>
      <c r="F17" s="287" t="s">
        <v>143</v>
      </c>
      <c r="G17" s="288" t="str">
        <f>+IFERROR(VLOOKUP(F17,NVL!$B:$C,2,0),"")</f>
        <v>Ivory Ningbo</v>
      </c>
      <c r="H17" s="288">
        <f>+IFERROR(VLOOKUP(F17,NVL!$B:$D,3,0),"")</f>
        <v>250</v>
      </c>
      <c r="I17" s="288">
        <f>+IFERROR(VLOOKUP(F17,NVL!$B:$F,4,0),"")</f>
        <v>102</v>
      </c>
      <c r="J17" s="322">
        <f>918*6</f>
        <v>5508</v>
      </c>
      <c r="K17" s="290" t="s">
        <v>123</v>
      </c>
      <c r="L17" s="291">
        <f>+IFERROR(VLOOKUP(K17,'THÀNH PHẨM'!$B:$F,3,0),"")</f>
        <v>250</v>
      </c>
      <c r="M17" s="291">
        <f>+IFERROR(VLOOKUP(K17,'THÀNH PHẨM'!$B:$F,4,0),"")</f>
        <v>90</v>
      </c>
      <c r="N17" s="291">
        <f>+IFERROR(VLOOKUP(K17,'THÀNH PHẨM'!$B:$F,5,0),"")</f>
        <v>800</v>
      </c>
      <c r="O17" s="289">
        <v>286.0</v>
      </c>
      <c r="P17" s="292">
        <f t="shared" si="2"/>
        <v>5148</v>
      </c>
      <c r="Q17" s="289"/>
      <c r="R17" s="289"/>
      <c r="S17" s="293">
        <f t="shared" si="3"/>
        <v>0</v>
      </c>
      <c r="T17" s="294">
        <v>14.0</v>
      </c>
      <c r="U17" s="295">
        <v>36.0</v>
      </c>
      <c r="V17" s="296">
        <v>6.0</v>
      </c>
      <c r="W17" s="297">
        <v>203.0</v>
      </c>
      <c r="X17" s="298">
        <v>157.0</v>
      </c>
      <c r="Y17" s="292">
        <f t="shared" ref="Y17:Y21" si="9">+IF(J17="","",J17-P17-S17-W17-X17)</f>
        <v>0</v>
      </c>
      <c r="Z17" s="292">
        <f t="shared" ref="Z17:Z22" si="10">+IF(J17&lt;&gt;"",Y17+W17,0)</f>
        <v>203</v>
      </c>
      <c r="AA17" s="299">
        <f t="shared" ref="AA17:AA22" si="11">+IF(IF(J17=";",Z17/J17)&lt;0,0%,(IF(J17="","",Z17/J17)))</f>
        <v>0.03685548293</v>
      </c>
      <c r="AB17" s="300"/>
      <c r="AC17" s="301"/>
      <c r="AD17" s="302"/>
      <c r="AE17" s="303"/>
      <c r="AF17" s="304"/>
      <c r="AG17" s="304"/>
      <c r="AH17" s="304"/>
      <c r="AI17" s="304"/>
      <c r="AJ17" s="304"/>
      <c r="AK17" s="305" t="s">
        <v>302</v>
      </c>
      <c r="AL17" s="283">
        <v>45526.0</v>
      </c>
      <c r="AM17" s="284"/>
    </row>
    <row r="18">
      <c r="A18" s="282">
        <f t="shared" si="1"/>
        <v>14</v>
      </c>
      <c r="B18" s="283">
        <v>45528.0</v>
      </c>
      <c r="C18" s="320" t="s">
        <v>169</v>
      </c>
      <c r="D18" s="285" t="s">
        <v>315</v>
      </c>
      <c r="E18" s="286" t="s">
        <v>131</v>
      </c>
      <c r="F18" s="287" t="s">
        <v>143</v>
      </c>
      <c r="G18" s="288" t="str">
        <f>+IFERROR(VLOOKUP(F18,NVL!$B:$C,2,0),"")</f>
        <v>Ivory Ningbo</v>
      </c>
      <c r="H18" s="288">
        <f>+IFERROR(VLOOKUP(F18,NVL!$B:$D,3,0),"")</f>
        <v>250</v>
      </c>
      <c r="I18" s="288">
        <f>+IFERROR(VLOOKUP(F18,NVL!$B:$F,4,0),"")</f>
        <v>102</v>
      </c>
      <c r="J18" s="289">
        <v>157.0</v>
      </c>
      <c r="K18" s="290" t="s">
        <v>123</v>
      </c>
      <c r="L18" s="291">
        <f>+IFERROR(VLOOKUP(K18,'THÀNH PHẨM'!$B:$F,3,0),"")</f>
        <v>250</v>
      </c>
      <c r="M18" s="291">
        <f>+IFERROR(VLOOKUP(K18,'THÀNH PHẨM'!$B:$F,4,0),"")</f>
        <v>90</v>
      </c>
      <c r="N18" s="291">
        <f>+IFERROR(VLOOKUP(K18,'THÀNH PHẨM'!$B:$F,5,0),"")</f>
        <v>800</v>
      </c>
      <c r="O18" s="289"/>
      <c r="P18" s="292">
        <f t="shared" si="2"/>
        <v>0</v>
      </c>
      <c r="Q18" s="289">
        <v>420.0</v>
      </c>
      <c r="R18" s="289">
        <v>11.0</v>
      </c>
      <c r="S18" s="293">
        <f t="shared" si="3"/>
        <v>103.95</v>
      </c>
      <c r="T18" s="294">
        <v>2.0</v>
      </c>
      <c r="U18" s="295">
        <v>7.0</v>
      </c>
      <c r="V18" s="296">
        <v>1.0</v>
      </c>
      <c r="W18" s="297">
        <v>53.05</v>
      </c>
      <c r="X18" s="298"/>
      <c r="Y18" s="292">
        <f t="shared" si="9"/>
        <v>0</v>
      </c>
      <c r="Z18" s="292">
        <f t="shared" si="10"/>
        <v>53.05</v>
      </c>
      <c r="AA18" s="299">
        <f t="shared" si="11"/>
        <v>0.3378980892</v>
      </c>
      <c r="AB18" s="300"/>
      <c r="AC18" s="301"/>
      <c r="AD18" s="302"/>
      <c r="AE18" s="303"/>
      <c r="AF18" s="304"/>
      <c r="AG18" s="304"/>
      <c r="AH18" s="304"/>
      <c r="AI18" s="304"/>
      <c r="AJ18" s="304"/>
      <c r="AK18" s="305" t="s">
        <v>302</v>
      </c>
      <c r="AL18" s="283">
        <v>45547.0</v>
      </c>
      <c r="AM18" s="284"/>
    </row>
    <row r="19">
      <c r="A19" s="282">
        <f t="shared" si="1"/>
        <v>15</v>
      </c>
      <c r="B19" s="283">
        <v>45528.0</v>
      </c>
      <c r="C19" s="320" t="s">
        <v>169</v>
      </c>
      <c r="D19" s="285" t="s">
        <v>315</v>
      </c>
      <c r="E19" s="286" t="s">
        <v>131</v>
      </c>
      <c r="F19" s="287" t="s">
        <v>148</v>
      </c>
      <c r="G19" s="288" t="str">
        <f>+IFERROR(VLOOKUP(F19,NVL!$B:$C,2,0),"")</f>
        <v>Ivory Ningbo</v>
      </c>
      <c r="H19" s="288">
        <f>+IFERROR(VLOOKUP(F19,NVL!$B:$D,3,0),"")</f>
        <v>250</v>
      </c>
      <c r="I19" s="288">
        <f>+IFERROR(VLOOKUP(F19,NVL!$B:$F,4,0),"")</f>
        <v>100</v>
      </c>
      <c r="J19" s="322">
        <f>19*900</f>
        <v>17100</v>
      </c>
      <c r="K19" s="290" t="s">
        <v>123</v>
      </c>
      <c r="L19" s="291">
        <f>+IFERROR(VLOOKUP(K19,'THÀNH PHẨM'!$B:$F,3,0),"")</f>
        <v>250</v>
      </c>
      <c r="M19" s="291">
        <f>+IFERROR(VLOOKUP(K19,'THÀNH PHẨM'!$B:$F,4,0),"")</f>
        <v>90</v>
      </c>
      <c r="N19" s="291">
        <f>+IFERROR(VLOOKUP(K19,'THÀNH PHẨM'!$B:$F,5,0),"")</f>
        <v>800</v>
      </c>
      <c r="O19" s="289">
        <v>935.0</v>
      </c>
      <c r="P19" s="292">
        <f t="shared" si="2"/>
        <v>16830</v>
      </c>
      <c r="Q19" s="289"/>
      <c r="R19" s="289"/>
      <c r="S19" s="293">
        <f t="shared" si="3"/>
        <v>0</v>
      </c>
      <c r="T19" s="322">
        <v>38.0</v>
      </c>
      <c r="U19" s="322">
        <f>18*7</f>
        <v>126</v>
      </c>
      <c r="V19" s="323">
        <v>18.0</v>
      </c>
      <c r="W19" s="297">
        <v>187.0</v>
      </c>
      <c r="X19" s="298">
        <v>83.0</v>
      </c>
      <c r="Y19" s="292">
        <f t="shared" si="9"/>
        <v>0</v>
      </c>
      <c r="Z19" s="292">
        <f t="shared" si="10"/>
        <v>187</v>
      </c>
      <c r="AA19" s="299">
        <f t="shared" si="11"/>
        <v>0.01093567251</v>
      </c>
      <c r="AB19" s="300"/>
      <c r="AC19" s="301"/>
      <c r="AD19" s="302"/>
      <c r="AE19" s="303"/>
      <c r="AF19" s="304"/>
      <c r="AG19" s="304"/>
      <c r="AH19" s="304"/>
      <c r="AI19" s="304"/>
      <c r="AJ19" s="304"/>
      <c r="AK19" s="305" t="s">
        <v>302</v>
      </c>
      <c r="AL19" s="283">
        <v>45547.0</v>
      </c>
      <c r="AM19" s="284"/>
    </row>
    <row r="20">
      <c r="A20" s="282">
        <f t="shared" si="1"/>
        <v>16</v>
      </c>
      <c r="B20" s="283">
        <v>45548.0</v>
      </c>
      <c r="C20" s="284" t="s">
        <v>132</v>
      </c>
      <c r="D20" s="285" t="s">
        <v>316</v>
      </c>
      <c r="E20" s="286" t="s">
        <v>304</v>
      </c>
      <c r="F20" s="287" t="s">
        <v>60</v>
      </c>
      <c r="G20" s="288" t="str">
        <f>+IFERROR(VLOOKUP(F20,NVL!$B:$C,2,0),"")</f>
        <v>Ivory Ningbo</v>
      </c>
      <c r="H20" s="288">
        <f>+IFERROR(VLOOKUP(F20,NVL!$B:$D,3,0),"")</f>
        <v>210</v>
      </c>
      <c r="I20" s="288">
        <f>+IFERROR(VLOOKUP(F20,NVL!$B:$F,4,0),"")</f>
        <v>86</v>
      </c>
      <c r="J20" s="322">
        <f>7*813</f>
        <v>5691</v>
      </c>
      <c r="K20" s="290" t="s">
        <v>81</v>
      </c>
      <c r="L20" s="291">
        <f>+IFERROR(VLOOKUP(K20,'THÀNH PHẨM'!$B:$F,3,0),"")</f>
        <v>210</v>
      </c>
      <c r="M20" s="291">
        <f>+IFERROR(VLOOKUP(K20,'THÀNH PHẨM'!$B:$F,4,0),"")</f>
        <v>71</v>
      </c>
      <c r="N20" s="291">
        <f>+IFERROR(VLOOKUP(K20,'THÀNH PHẨM'!$B:$F,5,0),"")</f>
        <v>800</v>
      </c>
      <c r="O20" s="289">
        <v>419.0</v>
      </c>
      <c r="P20" s="292">
        <f t="shared" si="2"/>
        <v>4997.832</v>
      </c>
      <c r="Q20" s="324">
        <v>400.0</v>
      </c>
      <c r="R20" s="324">
        <v>12.0</v>
      </c>
      <c r="S20" s="325">
        <f t="shared" ref="S20:S21" si="12">IFERROR(((H20*M20*R20/1000000)*Q20),"")</f>
        <v>71.568</v>
      </c>
      <c r="T20" s="322">
        <v>14.0</v>
      </c>
      <c r="U20" s="322">
        <v>42.0</v>
      </c>
      <c r="V20" s="324">
        <v>6.0</v>
      </c>
      <c r="W20" s="297">
        <v>81.6</v>
      </c>
      <c r="X20" s="298">
        <v>540.0</v>
      </c>
      <c r="Y20" s="292">
        <f t="shared" si="9"/>
        <v>0</v>
      </c>
      <c r="Z20" s="292">
        <f t="shared" si="10"/>
        <v>81.6</v>
      </c>
      <c r="AA20" s="299">
        <f t="shared" si="11"/>
        <v>0.0143384291</v>
      </c>
      <c r="AB20" s="300"/>
      <c r="AC20" s="301"/>
      <c r="AD20" s="302"/>
      <c r="AE20" s="303"/>
      <c r="AF20" s="304"/>
      <c r="AG20" s="304"/>
      <c r="AH20" s="304"/>
      <c r="AI20" s="304"/>
      <c r="AJ20" s="304"/>
      <c r="AK20" s="305" t="s">
        <v>302</v>
      </c>
      <c r="AL20" s="283">
        <v>45553.0</v>
      </c>
      <c r="AM20" s="284"/>
    </row>
    <row r="21" ht="15.75" customHeight="1">
      <c r="A21" s="282">
        <f t="shared" si="1"/>
        <v>17</v>
      </c>
      <c r="B21" s="283">
        <v>45553.0</v>
      </c>
      <c r="C21" s="320" t="s">
        <v>163</v>
      </c>
      <c r="D21" s="285" t="s">
        <v>317</v>
      </c>
      <c r="E21" s="288" t="s">
        <v>318</v>
      </c>
      <c r="F21" s="287" t="s">
        <v>88</v>
      </c>
      <c r="G21" s="288" t="str">
        <f>+IFERROR(VLOOKUP(F21,NVL!$B:$C,2,0),"")</f>
        <v>Ivory Ningbo</v>
      </c>
      <c r="H21" s="288">
        <f>+IFERROR(VLOOKUP(F21,NVL!$B:$D,3,0),"")</f>
        <v>250</v>
      </c>
      <c r="I21" s="288">
        <f>+IFERROR(VLOOKUP(F21,NVL!$B:$F,4,0),"")</f>
        <v>109</v>
      </c>
      <c r="J21" s="322">
        <f>9*981</f>
        <v>8829</v>
      </c>
      <c r="K21" s="318" t="s">
        <v>123</v>
      </c>
      <c r="L21" s="291">
        <f>+IFERROR(VLOOKUP(K21,'THÀNH PHẨM'!$B:$F,3,0),"")</f>
        <v>250</v>
      </c>
      <c r="M21" s="291">
        <f>+IFERROR(VLOOKUP(K21,'THÀNH PHẨM'!$B:$F,4,0),"")</f>
        <v>90</v>
      </c>
      <c r="N21" s="291">
        <f>+IFERROR(VLOOKUP(K21,'THÀNH PHẨM'!$B:$F,5,0),"")</f>
        <v>800</v>
      </c>
      <c r="O21" s="289">
        <v>463.0</v>
      </c>
      <c r="P21" s="292">
        <f t="shared" si="2"/>
        <v>8334</v>
      </c>
      <c r="Q21" s="324">
        <v>800.0</v>
      </c>
      <c r="R21" s="324">
        <v>5.0</v>
      </c>
      <c r="S21" s="325">
        <f t="shared" si="12"/>
        <v>90</v>
      </c>
      <c r="T21" s="322">
        <v>18.0</v>
      </c>
      <c r="U21" s="322">
        <v>56.0</v>
      </c>
      <c r="V21" s="324">
        <v>8.0</v>
      </c>
      <c r="W21" s="297">
        <v>195.0</v>
      </c>
      <c r="X21" s="298">
        <v>210.0</v>
      </c>
      <c r="Y21" s="292">
        <f t="shared" si="9"/>
        <v>0</v>
      </c>
      <c r="Z21" s="292">
        <f t="shared" si="10"/>
        <v>195</v>
      </c>
      <c r="AA21" s="299">
        <f t="shared" si="11"/>
        <v>0.02208630649</v>
      </c>
      <c r="AB21" s="300"/>
      <c r="AC21" s="301"/>
      <c r="AD21" s="302"/>
      <c r="AE21" s="303"/>
      <c r="AF21" s="304"/>
      <c r="AG21" s="304"/>
      <c r="AH21" s="304"/>
      <c r="AI21" s="304"/>
      <c r="AJ21" s="304"/>
      <c r="AK21" s="305" t="s">
        <v>302</v>
      </c>
      <c r="AL21" s="283">
        <v>45559.0</v>
      </c>
      <c r="AM21" s="284"/>
    </row>
    <row r="22" ht="15.75" customHeight="1">
      <c r="A22" s="282">
        <f t="shared" si="1"/>
        <v>18</v>
      </c>
      <c r="B22" s="326">
        <v>45560.0</v>
      </c>
      <c r="C22" s="327" t="s">
        <v>172</v>
      </c>
      <c r="D22" s="285" t="s">
        <v>320</v>
      </c>
      <c r="E22" s="286" t="s">
        <v>312</v>
      </c>
      <c r="F22" s="315" t="s">
        <v>79</v>
      </c>
      <c r="G22" s="317" t="str">
        <f>+IFERROR(VLOOKUP(F22,NVL!$B:$C,2,0),"")</f>
        <v>Ivory IPSUN</v>
      </c>
      <c r="H22" s="317">
        <f>+IFERROR(VLOOKUP(F22,NVL!$B:$D,3,0),"")</f>
        <v>210</v>
      </c>
      <c r="I22" s="317">
        <f>+IFERROR(VLOOKUP(F22,NVL!$B:$F,4,0),"")</f>
        <v>109</v>
      </c>
      <c r="J22" s="321">
        <f>1053*4</f>
        <v>4212</v>
      </c>
      <c r="K22" s="290" t="s">
        <v>104</v>
      </c>
      <c r="L22" s="291">
        <f>+IFERROR(VLOOKUP(K22,'THÀNH PHẨM'!$B:$F,3,0),"")</f>
        <v>210</v>
      </c>
      <c r="M22" s="291">
        <f>+IFERROR(VLOOKUP(K22,'THÀNH PHẨM'!$B:$F,4,0),"")</f>
        <v>95</v>
      </c>
      <c r="N22" s="291">
        <f>+IFERROR(VLOOKUP(K22,'THÀNH PHẨM'!$B:$F,5,0),"")</f>
        <v>800</v>
      </c>
      <c r="O22" s="289">
        <v>173.0</v>
      </c>
      <c r="P22" s="292">
        <f t="shared" si="2"/>
        <v>2761.08</v>
      </c>
      <c r="Q22" s="289">
        <v>800.0</v>
      </c>
      <c r="R22" s="289">
        <v>12.0</v>
      </c>
      <c r="S22" s="293">
        <v>191.52</v>
      </c>
      <c r="T22" s="307">
        <v>8.0</v>
      </c>
      <c r="U22" s="308">
        <v>21.0</v>
      </c>
      <c r="V22" s="309">
        <v>3.0</v>
      </c>
      <c r="W22" s="310">
        <v>122.17</v>
      </c>
      <c r="X22" s="310">
        <v>200.0</v>
      </c>
      <c r="Y22" s="311">
        <f>+IF(J22="","",J22-P22-S22-W22-X22-P23-P24-P25-S23)</f>
        <v>0</v>
      </c>
      <c r="Z22" s="311">
        <f t="shared" si="10"/>
        <v>122.17</v>
      </c>
      <c r="AA22" s="312">
        <f t="shared" si="11"/>
        <v>0.02900522317</v>
      </c>
      <c r="AB22" s="300"/>
      <c r="AC22" s="301"/>
      <c r="AD22" s="302"/>
      <c r="AE22" s="303"/>
      <c r="AF22" s="304"/>
      <c r="AG22" s="304"/>
      <c r="AH22" s="304"/>
      <c r="AI22" s="304"/>
      <c r="AJ22" s="304"/>
      <c r="AK22" s="305" t="s">
        <v>302</v>
      </c>
      <c r="AL22" s="283">
        <v>45565.0</v>
      </c>
      <c r="AM22" s="284"/>
    </row>
    <row r="23" ht="15.75" customHeight="1">
      <c r="A23" s="282">
        <f t="shared" si="1"/>
        <v>19</v>
      </c>
      <c r="B23" s="319"/>
      <c r="C23" s="319"/>
      <c r="D23" s="285" t="s">
        <v>320</v>
      </c>
      <c r="E23" s="286" t="s">
        <v>312</v>
      </c>
      <c r="F23" s="319"/>
      <c r="G23" s="319"/>
      <c r="H23" s="319"/>
      <c r="I23" s="319"/>
      <c r="J23" s="319"/>
      <c r="K23" s="290" t="s">
        <v>104</v>
      </c>
      <c r="L23" s="291">
        <f>+IFERROR(VLOOKUP(K23,'THÀNH PHẨM'!$B:$F,3,0),"")</f>
        <v>210</v>
      </c>
      <c r="M23" s="291">
        <f>+IFERROR(VLOOKUP(K23,'THÀNH PHẨM'!$B:$F,4,0),"")</f>
        <v>95</v>
      </c>
      <c r="N23" s="291">
        <f>+IFERROR(VLOOKUP(K23,'THÀNH PHẨM'!$B:$F,5,0),"")</f>
        <v>800</v>
      </c>
      <c r="O23" s="289"/>
      <c r="P23" s="292">
        <f t="shared" si="2"/>
        <v>0</v>
      </c>
      <c r="Q23" s="289">
        <v>600.0</v>
      </c>
      <c r="R23" s="289">
        <v>7.0</v>
      </c>
      <c r="S23" s="293">
        <v>83.79</v>
      </c>
      <c r="T23" s="319"/>
      <c r="U23" s="319"/>
      <c r="V23" s="319"/>
      <c r="W23" s="319"/>
      <c r="X23" s="319"/>
      <c r="Y23" s="319"/>
      <c r="Z23" s="319"/>
      <c r="AA23" s="319"/>
      <c r="AB23" s="300"/>
      <c r="AC23" s="301"/>
      <c r="AD23" s="302"/>
      <c r="AE23" s="303"/>
      <c r="AF23" s="304"/>
      <c r="AG23" s="304"/>
      <c r="AH23" s="304"/>
      <c r="AI23" s="304"/>
      <c r="AJ23" s="304"/>
      <c r="AK23" s="305" t="s">
        <v>302</v>
      </c>
      <c r="AL23" s="283">
        <v>45565.0</v>
      </c>
      <c r="AM23" s="284"/>
    </row>
    <row r="24" ht="15.75" customHeight="1">
      <c r="A24" s="282">
        <f t="shared" si="1"/>
        <v>20</v>
      </c>
      <c r="B24" s="319"/>
      <c r="C24" s="319"/>
      <c r="D24" s="285" t="s">
        <v>320</v>
      </c>
      <c r="E24" s="286" t="s">
        <v>321</v>
      </c>
      <c r="F24" s="319"/>
      <c r="G24" s="319"/>
      <c r="H24" s="319"/>
      <c r="I24" s="319"/>
      <c r="J24" s="319"/>
      <c r="K24" s="290" t="s">
        <v>81</v>
      </c>
      <c r="L24" s="291">
        <f>+IFERROR(VLOOKUP(K24,'THÀNH PHẨM'!$B:$F,3,0),"")</f>
        <v>210</v>
      </c>
      <c r="M24" s="291">
        <f>+IFERROR(VLOOKUP(K24,'THÀNH PHẨM'!$B:$F,4,0),"")</f>
        <v>71</v>
      </c>
      <c r="N24" s="291">
        <f>+IFERROR(VLOOKUP(K24,'THÀNH PHẨM'!$B:$F,5,0),"")</f>
        <v>800</v>
      </c>
      <c r="O24" s="289">
        <v>47.0</v>
      </c>
      <c r="P24" s="292">
        <f t="shared" si="2"/>
        <v>560.616</v>
      </c>
      <c r="Q24" s="289"/>
      <c r="R24" s="289"/>
      <c r="S24" s="293">
        <v>0.0</v>
      </c>
      <c r="T24" s="319"/>
      <c r="U24" s="319"/>
      <c r="V24" s="319"/>
      <c r="W24" s="319"/>
      <c r="X24" s="319"/>
      <c r="Y24" s="319"/>
      <c r="Z24" s="319"/>
      <c r="AA24" s="319"/>
      <c r="AB24" s="300"/>
      <c r="AC24" s="301"/>
      <c r="AD24" s="302"/>
      <c r="AE24" s="303"/>
      <c r="AF24" s="304"/>
      <c r="AG24" s="304"/>
      <c r="AH24" s="304"/>
      <c r="AI24" s="304"/>
      <c r="AJ24" s="304"/>
      <c r="AK24" s="305" t="s">
        <v>302</v>
      </c>
      <c r="AL24" s="283">
        <v>45565.0</v>
      </c>
      <c r="AM24" s="284"/>
    </row>
    <row r="25" ht="15.75" customHeight="1">
      <c r="A25" s="282">
        <f t="shared" si="1"/>
        <v>21</v>
      </c>
      <c r="B25" s="313"/>
      <c r="C25" s="313"/>
      <c r="D25" s="285" t="s">
        <v>320</v>
      </c>
      <c r="E25" s="286" t="s">
        <v>321</v>
      </c>
      <c r="F25" s="313"/>
      <c r="G25" s="313"/>
      <c r="H25" s="313"/>
      <c r="I25" s="313"/>
      <c r="J25" s="313"/>
      <c r="K25" s="290" t="s">
        <v>89</v>
      </c>
      <c r="L25" s="291">
        <f>+IFERROR(VLOOKUP(K25,'THÀNH PHẨM'!$B:$F,3,0),"")</f>
        <v>210</v>
      </c>
      <c r="M25" s="291">
        <f>+IFERROR(VLOOKUP(K25,'THÀNH PHẨM'!$B:$F,4,0),"")</f>
        <v>83</v>
      </c>
      <c r="N25" s="291">
        <f>+IFERROR(VLOOKUP(K25,'THÀNH PHẨM'!$B:$F,5,0),"")</f>
        <v>800</v>
      </c>
      <c r="O25" s="289">
        <v>21.0</v>
      </c>
      <c r="P25" s="292">
        <f t="shared" si="2"/>
        <v>292.824</v>
      </c>
      <c r="Q25" s="289"/>
      <c r="R25" s="289"/>
      <c r="S25" s="293">
        <v>0.0</v>
      </c>
      <c r="T25" s="313"/>
      <c r="U25" s="313"/>
      <c r="V25" s="313"/>
      <c r="W25" s="313"/>
      <c r="X25" s="313"/>
      <c r="Y25" s="313"/>
      <c r="Z25" s="313"/>
      <c r="AA25" s="313"/>
      <c r="AB25" s="300"/>
      <c r="AC25" s="301"/>
      <c r="AD25" s="302"/>
      <c r="AE25" s="303"/>
      <c r="AF25" s="304"/>
      <c r="AG25" s="304"/>
      <c r="AH25" s="304"/>
      <c r="AI25" s="304"/>
      <c r="AJ25" s="304"/>
      <c r="AK25" s="305" t="s">
        <v>302</v>
      </c>
      <c r="AL25" s="283">
        <v>45565.0</v>
      </c>
      <c r="AM25" s="284"/>
    </row>
    <row r="26" ht="15.75" customHeight="1">
      <c r="A26" s="282">
        <f t="shared" si="1"/>
        <v>22</v>
      </c>
      <c r="B26" s="283">
        <v>45566.0</v>
      </c>
      <c r="C26" s="284" t="s">
        <v>177</v>
      </c>
      <c r="D26" s="285" t="s">
        <v>322</v>
      </c>
      <c r="E26" s="328" t="s">
        <v>312</v>
      </c>
      <c r="F26" s="287" t="s">
        <v>60</v>
      </c>
      <c r="G26" s="288" t="str">
        <f>+IFERROR(VLOOKUP(F26,NVL!$B:$C,2,0),"")</f>
        <v>Ivory Ningbo</v>
      </c>
      <c r="H26" s="288">
        <f>+IFERROR(VLOOKUP(F26,NVL!$B:$D,3,0),"")</f>
        <v>210</v>
      </c>
      <c r="I26" s="288">
        <f>+IFERROR(VLOOKUP(F26,NVL!$B:$F,4,0),"")</f>
        <v>86</v>
      </c>
      <c r="J26" s="322">
        <f>813*5+540</f>
        <v>4605</v>
      </c>
      <c r="K26" s="290" t="s">
        <v>104</v>
      </c>
      <c r="L26" s="291">
        <f>+IFERROR(VLOOKUP(K26,'THÀNH PHẨM'!$B:$F,3,0),"")</f>
        <v>210</v>
      </c>
      <c r="M26" s="291">
        <f>+IFERROR(VLOOKUP(K26,'THÀNH PHẨM'!$B:$F,4,0),"")</f>
        <v>95</v>
      </c>
      <c r="N26" s="291">
        <f>+IFERROR(VLOOKUP(K26,'THÀNH PHẨM'!$B:$F,5,0),"")</f>
        <v>800</v>
      </c>
      <c r="O26" s="289">
        <v>279.0</v>
      </c>
      <c r="P26" s="292">
        <f t="shared" si="2"/>
        <v>4452.84</v>
      </c>
      <c r="Q26" s="289"/>
      <c r="R26" s="289"/>
      <c r="S26" s="293">
        <f t="shared" ref="S26:S78" si="13">+IFERROR(((L26*M26*Q26)*R26/1000000),"")</f>
        <v>0</v>
      </c>
      <c r="T26" s="322">
        <v>12.0</v>
      </c>
      <c r="U26" s="322">
        <v>30.0</v>
      </c>
      <c r="V26" s="324">
        <v>5.0</v>
      </c>
      <c r="W26" s="297">
        <v>102.16</v>
      </c>
      <c r="X26" s="298">
        <v>50.0</v>
      </c>
      <c r="Y26" s="292">
        <f>+IF(J26="","",J26-P26-S26-W26-X26)</f>
        <v>0</v>
      </c>
      <c r="Z26" s="292">
        <f t="shared" ref="Z26:Z27" si="14">+IF(J26&lt;&gt;"",Y26+W26,0)</f>
        <v>102.16</v>
      </c>
      <c r="AA26" s="299">
        <f t="shared" ref="AA26:AA27" si="15">+IF(IF(J26=";",Z26/J26)&lt;0,0%,(IF(J26="","",Z26/J26)))</f>
        <v>0.02218458198</v>
      </c>
      <c r="AB26" s="300"/>
      <c r="AC26" s="301"/>
      <c r="AD26" s="302"/>
      <c r="AE26" s="303"/>
      <c r="AF26" s="304"/>
      <c r="AG26" s="304"/>
      <c r="AH26" s="304"/>
      <c r="AI26" s="304"/>
      <c r="AJ26" s="304"/>
      <c r="AK26" s="305" t="s">
        <v>302</v>
      </c>
      <c r="AL26" s="283">
        <v>45569.0</v>
      </c>
      <c r="AM26" s="284"/>
    </row>
    <row r="27" ht="15.75" customHeight="1">
      <c r="A27" s="282">
        <f t="shared" si="1"/>
        <v>23</v>
      </c>
      <c r="B27" s="283">
        <v>45568.0</v>
      </c>
      <c r="C27" s="284" t="s">
        <v>324</v>
      </c>
      <c r="D27" s="285" t="s">
        <v>325</v>
      </c>
      <c r="E27" s="328" t="s">
        <v>304</v>
      </c>
      <c r="F27" s="315" t="s">
        <v>60</v>
      </c>
      <c r="G27" s="317" t="str">
        <f>+IFERROR(VLOOKUP(F27,NVL!$B:$C,2,0),"")</f>
        <v>Ivory Ningbo</v>
      </c>
      <c r="H27" s="317">
        <f>+IFERROR(VLOOKUP(F27,NVL!$B:$D,3,0),"")</f>
        <v>210</v>
      </c>
      <c r="I27" s="317">
        <f>+IFERROR(VLOOKUP(F27,NVL!$B:$F,4,0),"")</f>
        <v>86</v>
      </c>
      <c r="J27" s="321">
        <f>+ 813*2+50</f>
        <v>1676</v>
      </c>
      <c r="K27" s="290" t="s">
        <v>81</v>
      </c>
      <c r="L27" s="291">
        <f>+IFERROR(VLOOKUP(K27,'THÀNH PHẨM'!$B:$F,3,0),"")</f>
        <v>210</v>
      </c>
      <c r="M27" s="291">
        <f>+IFERROR(VLOOKUP(K27,'THÀNH PHẨM'!$B:$F,4,0),"")</f>
        <v>71</v>
      </c>
      <c r="N27" s="291">
        <f>+IFERROR(VLOOKUP(K27,'THÀNH PHẨM'!$B:$F,5,0),"")</f>
        <v>800</v>
      </c>
      <c r="O27" s="324">
        <v>92.0</v>
      </c>
      <c r="P27" s="292">
        <f t="shared" si="2"/>
        <v>1097.376</v>
      </c>
      <c r="Q27" s="289"/>
      <c r="R27" s="289"/>
      <c r="S27" s="293">
        <f t="shared" si="13"/>
        <v>0</v>
      </c>
      <c r="T27" s="321">
        <v>6.0</v>
      </c>
      <c r="U27" s="321">
        <v>14.0</v>
      </c>
      <c r="V27" s="329">
        <v>2.0</v>
      </c>
      <c r="W27" s="310">
        <v>14.98</v>
      </c>
      <c r="X27" s="310">
        <v>105.0</v>
      </c>
      <c r="Y27" s="311">
        <f>+IF(J27="","",J27-P27-S27-W27-X27-P28)</f>
        <v>0.004</v>
      </c>
      <c r="Z27" s="311">
        <f t="shared" si="14"/>
        <v>14.984</v>
      </c>
      <c r="AA27" s="312">
        <f t="shared" si="15"/>
        <v>0.008940334129</v>
      </c>
      <c r="AB27" s="300"/>
      <c r="AC27" s="301"/>
      <c r="AD27" s="302"/>
      <c r="AE27" s="303"/>
      <c r="AF27" s="304"/>
      <c r="AG27" s="304"/>
      <c r="AH27" s="304"/>
      <c r="AI27" s="304"/>
      <c r="AJ27" s="304"/>
      <c r="AK27" s="305" t="s">
        <v>302</v>
      </c>
      <c r="AL27" s="283">
        <v>45572.0</v>
      </c>
      <c r="AM27" s="284"/>
    </row>
    <row r="28" ht="15.75" customHeight="1">
      <c r="A28" s="282">
        <f t="shared" si="1"/>
        <v>24</v>
      </c>
      <c r="B28" s="283">
        <v>45568.0</v>
      </c>
      <c r="C28" s="284" t="s">
        <v>327</v>
      </c>
      <c r="D28" s="285" t="s">
        <v>325</v>
      </c>
      <c r="E28" s="328" t="s">
        <v>304</v>
      </c>
      <c r="F28" s="313"/>
      <c r="G28" s="313"/>
      <c r="H28" s="313"/>
      <c r="I28" s="313"/>
      <c r="J28" s="313"/>
      <c r="K28" s="290" t="s">
        <v>98</v>
      </c>
      <c r="L28" s="291">
        <f>+IFERROR(VLOOKUP(K28,'THÀNH PHẨM'!$B:$F,3,0),"")</f>
        <v>210</v>
      </c>
      <c r="M28" s="291">
        <f>+IFERROR(VLOOKUP(K28,'THÀNH PHẨM'!$B:$F,4,0),"")</f>
        <v>91</v>
      </c>
      <c r="N28" s="291">
        <f>+IFERROR(VLOOKUP(K28,'THÀNH PHẨM'!$B:$F,5,0),"")</f>
        <v>800</v>
      </c>
      <c r="O28" s="324">
        <v>30.0</v>
      </c>
      <c r="P28" s="292">
        <f t="shared" si="2"/>
        <v>458.64</v>
      </c>
      <c r="Q28" s="289"/>
      <c r="R28" s="289"/>
      <c r="S28" s="293">
        <f t="shared" si="13"/>
        <v>0</v>
      </c>
      <c r="T28" s="313"/>
      <c r="U28" s="313"/>
      <c r="V28" s="313"/>
      <c r="W28" s="313"/>
      <c r="X28" s="313"/>
      <c r="Y28" s="313"/>
      <c r="Z28" s="313"/>
      <c r="AA28" s="313"/>
      <c r="AB28" s="300"/>
      <c r="AC28" s="301"/>
      <c r="AD28" s="302"/>
      <c r="AE28" s="303"/>
      <c r="AF28" s="304"/>
      <c r="AG28" s="304"/>
      <c r="AH28" s="304"/>
      <c r="AI28" s="304"/>
      <c r="AJ28" s="304"/>
      <c r="AK28" s="305" t="s">
        <v>302</v>
      </c>
      <c r="AL28" s="283">
        <v>45572.0</v>
      </c>
      <c r="AM28" s="284"/>
    </row>
    <row r="29" ht="15.75" customHeight="1">
      <c r="A29" s="282">
        <f t="shared" si="1"/>
        <v>25</v>
      </c>
      <c r="B29" s="326">
        <v>45573.0</v>
      </c>
      <c r="C29" s="327" t="s">
        <v>185</v>
      </c>
      <c r="D29" s="285" t="s">
        <v>328</v>
      </c>
      <c r="E29" s="328" t="s">
        <v>304</v>
      </c>
      <c r="F29" s="287" t="s">
        <v>154</v>
      </c>
      <c r="G29" s="288" t="str">
        <f>+IFERROR(VLOOKUP(F29,NVL!$B:$C,2,0),"")</f>
        <v>Ivory Ningbo</v>
      </c>
      <c r="H29" s="288">
        <f>+IFERROR(VLOOKUP(F29,NVL!$B:$D,3,0),"")</f>
        <v>210</v>
      </c>
      <c r="I29" s="288">
        <f>+IFERROR(VLOOKUP(F29,NVL!$B:$F,4,0),"")</f>
        <v>79</v>
      </c>
      <c r="J29" s="322">
        <f>16*747+2*713+6*747</f>
        <v>17860</v>
      </c>
      <c r="K29" s="290" t="s">
        <v>81</v>
      </c>
      <c r="L29" s="291">
        <f>+IFERROR(VLOOKUP(K29,'THÀNH PHẨM'!$B:$F,3,0),"")</f>
        <v>210</v>
      </c>
      <c r="M29" s="291">
        <f>+IFERROR(VLOOKUP(K29,'THÀNH PHẨM'!$B:$F,4,0),"")</f>
        <v>71</v>
      </c>
      <c r="N29" s="291">
        <f>+IFERROR(VLOOKUP(K29,'THÀNH PHẨM'!$B:$F,5,0),"")</f>
        <v>800</v>
      </c>
      <c r="O29" s="306">
        <f>1440-29</f>
        <v>1411</v>
      </c>
      <c r="P29" s="292">
        <f t="shared" si="2"/>
        <v>16830.408</v>
      </c>
      <c r="Q29" s="289"/>
      <c r="R29" s="289"/>
      <c r="S29" s="293">
        <f t="shared" si="13"/>
        <v>0</v>
      </c>
      <c r="T29" s="314">
        <v>48.0</v>
      </c>
      <c r="U29" s="314">
        <v>144.0</v>
      </c>
      <c r="V29" s="332">
        <v>24.0</v>
      </c>
      <c r="W29" s="297">
        <v>434.59</v>
      </c>
      <c r="X29" s="298">
        <v>700.0</v>
      </c>
      <c r="Y29" s="292">
        <f>+IF(J29="","",J29+J30-P29-S29-W29-X29)</f>
        <v>0.002000000001</v>
      </c>
      <c r="Z29" s="292">
        <f t="shared" ref="Z29:Z32" si="16">+IF(J29&lt;&gt;"",Y29+W29,0)</f>
        <v>434.592</v>
      </c>
      <c r="AA29" s="299">
        <f t="shared" ref="AA29:AA32" si="17">+IF(IF(J29=";",Z29/J29)&lt;0,0%,(IF(J29="","",Z29/J29)))</f>
        <v>0.02433325868</v>
      </c>
      <c r="AB29" s="300"/>
      <c r="AC29" s="301"/>
      <c r="AD29" s="302"/>
      <c r="AE29" s="303"/>
      <c r="AF29" s="304"/>
      <c r="AG29" s="304"/>
      <c r="AH29" s="304"/>
      <c r="AI29" s="304"/>
      <c r="AJ29" s="304"/>
      <c r="AK29" s="305" t="s">
        <v>302</v>
      </c>
      <c r="AL29" s="283">
        <v>45591.0</v>
      </c>
      <c r="AM29" s="284"/>
    </row>
    <row r="30" ht="15.75" customHeight="1">
      <c r="A30" s="282">
        <f t="shared" si="1"/>
        <v>26</v>
      </c>
      <c r="B30" s="313"/>
      <c r="C30" s="313"/>
      <c r="D30" s="285" t="s">
        <v>328</v>
      </c>
      <c r="E30" s="328" t="s">
        <v>304</v>
      </c>
      <c r="F30" s="287" t="s">
        <v>60</v>
      </c>
      <c r="G30" s="288" t="str">
        <f>+IFERROR(VLOOKUP(F30,NVL!$B:$C,2,0),"")</f>
        <v>Ivory Ningbo</v>
      </c>
      <c r="H30" s="288">
        <f>+IFERROR(VLOOKUP(F30,NVL!$B:$D,3,0),"")</f>
        <v>210</v>
      </c>
      <c r="I30" s="288">
        <f>+IFERROR(VLOOKUP(F30,NVL!$B:$F,4,0),"")</f>
        <v>86</v>
      </c>
      <c r="J30" s="322">
        <v>105.0</v>
      </c>
      <c r="K30" s="290" t="s">
        <v>81</v>
      </c>
      <c r="L30" s="291">
        <f>+IFERROR(VLOOKUP(K30,'THÀNH PHẨM'!$B:$F,3,0),"")</f>
        <v>210</v>
      </c>
      <c r="M30" s="291">
        <f>+IFERROR(VLOOKUP(K30,'THÀNH PHẨM'!$B:$F,4,0),"")</f>
        <v>71</v>
      </c>
      <c r="N30" s="291">
        <f>+IFERROR(VLOOKUP(K30,'THÀNH PHẨM'!$B:$F,5,0),"")</f>
        <v>800</v>
      </c>
      <c r="O30" s="313"/>
      <c r="P30" s="292">
        <f t="shared" si="2"/>
        <v>0</v>
      </c>
      <c r="Q30" s="289"/>
      <c r="R30" s="289"/>
      <c r="S30" s="293">
        <f t="shared" si="13"/>
        <v>0</v>
      </c>
      <c r="T30" s="294"/>
      <c r="U30" s="295"/>
      <c r="V30" s="296"/>
      <c r="W30" s="297"/>
      <c r="X30" s="298"/>
      <c r="Y30" s="292"/>
      <c r="Z30" s="292">
        <f t="shared" si="16"/>
        <v>0</v>
      </c>
      <c r="AA30" s="299">
        <f t="shared" si="17"/>
        <v>0</v>
      </c>
      <c r="AB30" s="300"/>
      <c r="AC30" s="301"/>
      <c r="AD30" s="302"/>
      <c r="AE30" s="303"/>
      <c r="AF30" s="304"/>
      <c r="AG30" s="304"/>
      <c r="AH30" s="304"/>
      <c r="AI30" s="304"/>
      <c r="AJ30" s="304"/>
      <c r="AK30" s="305" t="s">
        <v>302</v>
      </c>
      <c r="AL30" s="283">
        <v>45591.0</v>
      </c>
      <c r="AM30" s="284"/>
    </row>
    <row r="31" ht="15.75" customHeight="1">
      <c r="A31" s="282">
        <f t="shared" si="1"/>
        <v>27</v>
      </c>
      <c r="B31" s="283">
        <v>45593.0</v>
      </c>
      <c r="C31" s="320" t="s">
        <v>191</v>
      </c>
      <c r="D31" s="285" t="s">
        <v>329</v>
      </c>
      <c r="E31" s="288" t="s">
        <v>318</v>
      </c>
      <c r="F31" s="287" t="s">
        <v>88</v>
      </c>
      <c r="G31" s="288" t="str">
        <f>+IFERROR(VLOOKUP(F31,NVL!$B:$C,2,0),"")</f>
        <v>Ivory Ningbo</v>
      </c>
      <c r="H31" s="288">
        <f>+IFERROR(VLOOKUP(F31,NVL!$B:$D,3,0),"")</f>
        <v>250</v>
      </c>
      <c r="I31" s="288">
        <f>+IFERROR(VLOOKUP(F31,NVL!$B:$F,4,0),"")</f>
        <v>109</v>
      </c>
      <c r="J31" s="322">
        <f>981*9+210</f>
        <v>9039</v>
      </c>
      <c r="K31" s="318" t="s">
        <v>123</v>
      </c>
      <c r="L31" s="291">
        <f>+IFERROR(VLOOKUP(K31,'THÀNH PHẨM'!$B:$F,3,0),"")</f>
        <v>250</v>
      </c>
      <c r="M31" s="291">
        <f>+IFERROR(VLOOKUP(K31,'THÀNH PHẨM'!$B:$F,4,0),"")</f>
        <v>90</v>
      </c>
      <c r="N31" s="291">
        <f>+IFERROR(VLOOKUP(K31,'THÀNH PHẨM'!$B:$F,5,0),"")</f>
        <v>800</v>
      </c>
      <c r="O31" s="289">
        <v>456.0</v>
      </c>
      <c r="P31" s="292">
        <f t="shared" si="2"/>
        <v>8208</v>
      </c>
      <c r="Q31" s="289"/>
      <c r="R31" s="289"/>
      <c r="S31" s="293">
        <f t="shared" si="13"/>
        <v>0</v>
      </c>
      <c r="T31" s="322">
        <v>18.0</v>
      </c>
      <c r="U31" s="322">
        <v>63.0</v>
      </c>
      <c r="V31" s="324">
        <v>9.0</v>
      </c>
      <c r="W31" s="297">
        <v>111.0</v>
      </c>
      <c r="X31" s="298">
        <v>720.0</v>
      </c>
      <c r="Y31" s="292">
        <f>+IF(J31="","",J31-P31-S31-W31-X31)</f>
        <v>0</v>
      </c>
      <c r="Z31" s="292">
        <f t="shared" si="16"/>
        <v>111</v>
      </c>
      <c r="AA31" s="299">
        <f t="shared" si="17"/>
        <v>0.01228011948</v>
      </c>
      <c r="AB31" s="300"/>
      <c r="AC31" s="301"/>
      <c r="AD31" s="302"/>
      <c r="AE31" s="303"/>
      <c r="AF31" s="304"/>
      <c r="AG31" s="304"/>
      <c r="AH31" s="304"/>
      <c r="AI31" s="304"/>
      <c r="AJ31" s="304"/>
      <c r="AK31" s="305" t="s">
        <v>302</v>
      </c>
      <c r="AL31" s="283">
        <v>45597.0</v>
      </c>
      <c r="AM31" s="284"/>
    </row>
    <row r="32" ht="15.75" customHeight="1">
      <c r="A32" s="282">
        <f t="shared" si="1"/>
        <v>28</v>
      </c>
      <c r="B32" s="283">
        <v>45598.0</v>
      </c>
      <c r="C32" s="284" t="s">
        <v>331</v>
      </c>
      <c r="D32" s="285" t="s">
        <v>332</v>
      </c>
      <c r="E32" s="328" t="s">
        <v>304</v>
      </c>
      <c r="F32" s="315" t="s">
        <v>47</v>
      </c>
      <c r="G32" s="317" t="str">
        <f>+IFERROR(VLOOKUP(F32,NVL!$B:$C,2,0),"")</f>
        <v>Ivory Ningbo</v>
      </c>
      <c r="H32" s="317">
        <f>+IFERROR(VLOOKUP(F32,NVL!$B:$D,3,0),"")</f>
        <v>210</v>
      </c>
      <c r="I32" s="317">
        <f>+IFERROR(VLOOKUP(F32,NVL!$B:$F,4,0),"")</f>
        <v>109</v>
      </c>
      <c r="J32" s="321">
        <f>6*1030+610</f>
        <v>6790</v>
      </c>
      <c r="K32" s="290" t="s">
        <v>81</v>
      </c>
      <c r="L32" s="291">
        <f>+IFERROR(VLOOKUP(K32,'THÀNH PHẨM'!$B:$F,3,0),"")</f>
        <v>210</v>
      </c>
      <c r="M32" s="291">
        <f>+IFERROR(VLOOKUP(K32,'THÀNH PHẨM'!$B:$F,4,0),"")</f>
        <v>71</v>
      </c>
      <c r="N32" s="291">
        <f>+IFERROR(VLOOKUP(K32,'THÀNH PHẨM'!$B:$F,5,0),"")</f>
        <v>800</v>
      </c>
      <c r="O32" s="289">
        <v>69.0</v>
      </c>
      <c r="P32" s="292">
        <f t="shared" si="2"/>
        <v>823.032</v>
      </c>
      <c r="Q32" s="289"/>
      <c r="R32" s="289"/>
      <c r="S32" s="293">
        <f t="shared" si="13"/>
        <v>0</v>
      </c>
      <c r="T32" s="321">
        <v>12.0</v>
      </c>
      <c r="U32" s="321">
        <v>42.0</v>
      </c>
      <c r="V32" s="329">
        <v>6.0</v>
      </c>
      <c r="W32" s="310">
        <v>135.42</v>
      </c>
      <c r="X32" s="310">
        <v>350.0</v>
      </c>
      <c r="Y32" s="311">
        <f>+IF(J32="","",J32-P32-S32-W32-X32-P33-P34-S34)</f>
        <v>0.001999999999</v>
      </c>
      <c r="Z32" s="311">
        <f t="shared" si="16"/>
        <v>135.422</v>
      </c>
      <c r="AA32" s="312">
        <f t="shared" si="17"/>
        <v>0.0199443299</v>
      </c>
      <c r="AB32" s="300"/>
      <c r="AC32" s="301"/>
      <c r="AD32" s="302"/>
      <c r="AE32" s="303"/>
      <c r="AF32" s="304"/>
      <c r="AG32" s="304"/>
      <c r="AH32" s="304"/>
      <c r="AI32" s="304"/>
      <c r="AJ32" s="304"/>
      <c r="AK32" s="305" t="s">
        <v>302</v>
      </c>
      <c r="AL32" s="283">
        <v>45602.0</v>
      </c>
      <c r="AM32" s="284"/>
    </row>
    <row r="33" ht="15.75" customHeight="1">
      <c r="A33" s="282">
        <f t="shared" si="1"/>
        <v>29</v>
      </c>
      <c r="B33" s="283">
        <v>45598.0</v>
      </c>
      <c r="C33" s="284" t="s">
        <v>335</v>
      </c>
      <c r="D33" s="285" t="s">
        <v>332</v>
      </c>
      <c r="E33" s="328" t="s">
        <v>304</v>
      </c>
      <c r="F33" s="319"/>
      <c r="G33" s="319"/>
      <c r="H33" s="319"/>
      <c r="I33" s="319"/>
      <c r="J33" s="319"/>
      <c r="K33" s="290" t="s">
        <v>89</v>
      </c>
      <c r="L33" s="291">
        <f>+IFERROR(VLOOKUP(K33,'THÀNH PHẨM'!$B:$F,3,0),"")</f>
        <v>210</v>
      </c>
      <c r="M33" s="291">
        <f>+IFERROR(VLOOKUP(K33,'THÀNH PHẨM'!$B:$F,4,0),"")</f>
        <v>83</v>
      </c>
      <c r="N33" s="291">
        <f>+IFERROR(VLOOKUP(K33,'THÀNH PHẨM'!$B:$F,5,0),"")</f>
        <v>800</v>
      </c>
      <c r="O33" s="289">
        <v>34.0</v>
      </c>
      <c r="P33" s="292">
        <f t="shared" si="2"/>
        <v>474.096</v>
      </c>
      <c r="Q33" s="289"/>
      <c r="R33" s="289"/>
      <c r="S33" s="293">
        <f t="shared" si="13"/>
        <v>0</v>
      </c>
      <c r="T33" s="319"/>
      <c r="U33" s="319"/>
      <c r="V33" s="319"/>
      <c r="W33" s="319"/>
      <c r="X33" s="319"/>
      <c r="Y33" s="319"/>
      <c r="Z33" s="319"/>
      <c r="AA33" s="319"/>
      <c r="AB33" s="300"/>
      <c r="AC33" s="301"/>
      <c r="AD33" s="302"/>
      <c r="AE33" s="303"/>
      <c r="AF33" s="304"/>
      <c r="AG33" s="304"/>
      <c r="AH33" s="304"/>
      <c r="AI33" s="304"/>
      <c r="AJ33" s="304"/>
      <c r="AK33" s="305" t="s">
        <v>302</v>
      </c>
      <c r="AL33" s="283">
        <v>45602.0</v>
      </c>
      <c r="AM33" s="284"/>
    </row>
    <row r="34" ht="15.75" customHeight="1">
      <c r="A34" s="282">
        <f t="shared" si="1"/>
        <v>30</v>
      </c>
      <c r="B34" s="283">
        <v>45598.0</v>
      </c>
      <c r="C34" s="284" t="s">
        <v>336</v>
      </c>
      <c r="D34" s="285" t="s">
        <v>332</v>
      </c>
      <c r="E34" s="328" t="s">
        <v>312</v>
      </c>
      <c r="F34" s="313"/>
      <c r="G34" s="313"/>
      <c r="H34" s="313"/>
      <c r="I34" s="313"/>
      <c r="J34" s="313"/>
      <c r="K34" s="290" t="s">
        <v>104</v>
      </c>
      <c r="L34" s="291">
        <f>+IFERROR(VLOOKUP(K34,'THÀNH PHẨM'!$B:$F,3,0),"")</f>
        <v>210</v>
      </c>
      <c r="M34" s="291">
        <f>+IFERROR(VLOOKUP(K34,'THÀNH PHẨM'!$B:$F,4,0),"")</f>
        <v>95</v>
      </c>
      <c r="N34" s="291">
        <f>+IFERROR(VLOOKUP(K34,'THÀNH PHẨM'!$B:$F,5,0),"")</f>
        <v>800</v>
      </c>
      <c r="O34" s="289">
        <v>305.0</v>
      </c>
      <c r="P34" s="292">
        <f t="shared" si="2"/>
        <v>4867.8</v>
      </c>
      <c r="Q34" s="324">
        <v>700.0</v>
      </c>
      <c r="R34" s="324">
        <v>10.0</v>
      </c>
      <c r="S34" s="293">
        <f t="shared" si="13"/>
        <v>139.65</v>
      </c>
      <c r="T34" s="313"/>
      <c r="U34" s="313"/>
      <c r="V34" s="313"/>
      <c r="W34" s="313"/>
      <c r="X34" s="313"/>
      <c r="Y34" s="313"/>
      <c r="Z34" s="313"/>
      <c r="AA34" s="313"/>
      <c r="AB34" s="300"/>
      <c r="AC34" s="301"/>
      <c r="AD34" s="302"/>
      <c r="AE34" s="303"/>
      <c r="AF34" s="304"/>
      <c r="AG34" s="304"/>
      <c r="AH34" s="304"/>
      <c r="AI34" s="304"/>
      <c r="AJ34" s="304"/>
      <c r="AK34" s="305" t="s">
        <v>302</v>
      </c>
      <c r="AL34" s="283">
        <v>45602.0</v>
      </c>
      <c r="AM34" s="284"/>
    </row>
    <row r="35" ht="15.75" customHeight="1">
      <c r="A35" s="282">
        <f t="shared" si="1"/>
        <v>31</v>
      </c>
      <c r="B35" s="283">
        <v>45603.0</v>
      </c>
      <c r="C35" s="284" t="s">
        <v>210</v>
      </c>
      <c r="D35" s="285" t="s">
        <v>337</v>
      </c>
      <c r="E35" s="328" t="s">
        <v>304</v>
      </c>
      <c r="F35" s="287" t="s">
        <v>86</v>
      </c>
      <c r="G35" s="288" t="str">
        <f>+IFERROR(VLOOKUP(F35,NVL!$B:$C,2,0),"")</f>
        <v>Ivory IPSUN</v>
      </c>
      <c r="H35" s="288">
        <f>+IFERROR(VLOOKUP(F35,NVL!$B:$D,3,0),"")</f>
        <v>230</v>
      </c>
      <c r="I35" s="288">
        <f>+IFERROR(VLOOKUP(F35,NVL!$B:$F,4,0),"")</f>
        <v>109</v>
      </c>
      <c r="J35" s="322">
        <f>5*1028+427</f>
        <v>5567</v>
      </c>
      <c r="K35" s="290" t="s">
        <v>120</v>
      </c>
      <c r="L35" s="291">
        <f>+IFERROR(VLOOKUP(K35,'THÀNH PHẨM'!$B:$F,3,0),"")</f>
        <v>230</v>
      </c>
      <c r="M35" s="291">
        <f>+IFERROR(VLOOKUP(K35,'THÀNH PHẨM'!$B:$F,4,0),"")</f>
        <v>98</v>
      </c>
      <c r="N35" s="291">
        <f>+IFERROR(VLOOKUP(K35,'THÀNH PHẨM'!$B:$F,5,0),"")</f>
        <v>800</v>
      </c>
      <c r="O35" s="306">
        <v>351.0</v>
      </c>
      <c r="P35" s="292">
        <f t="shared" si="2"/>
        <v>6329.232</v>
      </c>
      <c r="Q35" s="289"/>
      <c r="R35" s="289"/>
      <c r="S35" s="293">
        <f t="shared" si="13"/>
        <v>0</v>
      </c>
      <c r="T35" s="294">
        <v>12.0</v>
      </c>
      <c r="U35" s="295">
        <v>42.0</v>
      </c>
      <c r="V35" s="296">
        <v>6.0</v>
      </c>
      <c r="W35" s="297">
        <v>127.77</v>
      </c>
      <c r="X35" s="298"/>
      <c r="Y35" s="292">
        <f>+IF(J35="","",J35+J36-P35-S35-W35-X35-X36)</f>
        <v>-0.002</v>
      </c>
      <c r="Z35" s="292">
        <f t="shared" ref="Z35:Z37" si="18">+IF(J35&lt;&gt;"",Y35+W35,0)</f>
        <v>127.768</v>
      </c>
      <c r="AA35" s="299">
        <f t="shared" ref="AA35:AA36" si="19">+IF(IF(J35=";",Z35/J35)&lt;0,0%,(IF(J35="","",Z35/J35)))</f>
        <v>0.02295096102</v>
      </c>
      <c r="AB35" s="300"/>
      <c r="AC35" s="301"/>
      <c r="AD35" s="302"/>
      <c r="AE35" s="303"/>
      <c r="AF35" s="304"/>
      <c r="AG35" s="304"/>
      <c r="AH35" s="304"/>
      <c r="AI35" s="304"/>
      <c r="AJ35" s="304"/>
      <c r="AK35" s="305" t="s">
        <v>302</v>
      </c>
      <c r="AL35" s="283">
        <v>45608.0</v>
      </c>
      <c r="AM35" s="284"/>
    </row>
    <row r="36" ht="15.75" customHeight="1">
      <c r="A36" s="282">
        <f t="shared" si="1"/>
        <v>32</v>
      </c>
      <c r="B36" s="283">
        <v>45603.0</v>
      </c>
      <c r="C36" s="284" t="s">
        <v>210</v>
      </c>
      <c r="D36" s="285" t="s">
        <v>337</v>
      </c>
      <c r="E36" s="328" t="s">
        <v>304</v>
      </c>
      <c r="F36" s="287" t="s">
        <v>189</v>
      </c>
      <c r="G36" s="288" t="str">
        <f>+IFERROR(VLOOKUP(F36,NVL!$B:$C,2,0),"")</f>
        <v>Ivory Ningbo</v>
      </c>
      <c r="H36" s="288">
        <f>+IFERROR(VLOOKUP(F36,NVL!$B:$D,3,0),"")</f>
        <v>230</v>
      </c>
      <c r="I36" s="288">
        <f>+IFERROR(VLOOKUP(F36,NVL!$B:$F,4,0),"")</f>
        <v>109</v>
      </c>
      <c r="J36" s="322">
        <v>990.0</v>
      </c>
      <c r="K36" s="290" t="s">
        <v>120</v>
      </c>
      <c r="L36" s="291">
        <f>+IFERROR(VLOOKUP(K36,'THÀNH PHẨM'!$B:$F,3,0),"")</f>
        <v>230</v>
      </c>
      <c r="M36" s="291">
        <f>+IFERROR(VLOOKUP(K36,'THÀNH PHẨM'!$B:$F,4,0),"")</f>
        <v>98</v>
      </c>
      <c r="N36" s="291">
        <f>+IFERROR(VLOOKUP(K36,'THÀNH PHẨM'!$B:$F,5,0),"")</f>
        <v>800</v>
      </c>
      <c r="O36" s="313"/>
      <c r="P36" s="292">
        <f t="shared" si="2"/>
        <v>0</v>
      </c>
      <c r="Q36" s="289"/>
      <c r="R36" s="289"/>
      <c r="S36" s="293">
        <f t="shared" si="13"/>
        <v>0</v>
      </c>
      <c r="T36" s="294"/>
      <c r="U36" s="295"/>
      <c r="V36" s="296"/>
      <c r="W36" s="297"/>
      <c r="X36" s="298">
        <v>100.0</v>
      </c>
      <c r="Y36" s="292"/>
      <c r="Z36" s="292">
        <f t="shared" si="18"/>
        <v>0</v>
      </c>
      <c r="AA36" s="299">
        <f t="shared" si="19"/>
        <v>0</v>
      </c>
      <c r="AB36" s="300"/>
      <c r="AC36" s="301"/>
      <c r="AD36" s="302"/>
      <c r="AE36" s="303"/>
      <c r="AF36" s="304"/>
      <c r="AG36" s="304"/>
      <c r="AH36" s="304"/>
      <c r="AI36" s="304"/>
      <c r="AJ36" s="304"/>
      <c r="AK36" s="305" t="s">
        <v>302</v>
      </c>
      <c r="AL36" s="283">
        <v>45608.0</v>
      </c>
      <c r="AM36" s="284"/>
    </row>
    <row r="37" ht="15.75" customHeight="1">
      <c r="A37" s="282">
        <f t="shared" si="1"/>
        <v>33</v>
      </c>
      <c r="B37" s="283">
        <v>45608.0</v>
      </c>
      <c r="C37" s="334" t="s">
        <v>216</v>
      </c>
      <c r="D37" s="285" t="s">
        <v>338</v>
      </c>
      <c r="E37" s="328" t="s">
        <v>304</v>
      </c>
      <c r="F37" s="287" t="s">
        <v>79</v>
      </c>
      <c r="G37" s="288" t="str">
        <f>+IFERROR(VLOOKUP(F37,NVL!$B:$C,2,0),"")</f>
        <v>Ivory IPSUN</v>
      </c>
      <c r="H37" s="288">
        <f>+IFERROR(VLOOKUP(F37,NVL!$B:$D,3,0),"")</f>
        <v>210</v>
      </c>
      <c r="I37" s="288">
        <f>+IFERROR(VLOOKUP(F37,NVL!$B:$F,4,0),"")</f>
        <v>109</v>
      </c>
      <c r="J37" s="322">
        <f>200+48</f>
        <v>248</v>
      </c>
      <c r="K37" s="290" t="s">
        <v>89</v>
      </c>
      <c r="L37" s="291">
        <f>+IFERROR(VLOOKUP(K37,'THÀNH PHẨM'!$B:$F,3,0),"")</f>
        <v>210</v>
      </c>
      <c r="M37" s="291">
        <f>+IFERROR(VLOOKUP(K37,'THÀNH PHẨM'!$B:$F,4,0),"")</f>
        <v>83</v>
      </c>
      <c r="N37" s="291">
        <f>+IFERROR(VLOOKUP(K37,'THÀNH PHẨM'!$B:$F,5,0),"")</f>
        <v>800</v>
      </c>
      <c r="O37" s="289"/>
      <c r="P37" s="292">
        <f t="shared" si="2"/>
        <v>0</v>
      </c>
      <c r="Q37" s="289">
        <v>800.0</v>
      </c>
      <c r="R37" s="289">
        <v>1.0</v>
      </c>
      <c r="S37" s="293">
        <f t="shared" si="13"/>
        <v>13.944</v>
      </c>
      <c r="T37" s="307">
        <v>28.0</v>
      </c>
      <c r="U37" s="308">
        <v>60.0</v>
      </c>
      <c r="V37" s="309">
        <v>12.0</v>
      </c>
      <c r="W37" s="310">
        <v>151.56</v>
      </c>
      <c r="X37" s="310"/>
      <c r="Y37" s="311">
        <f>+IF(J37="","",J37+J38-P37-S37-W37-X37-P38-P39-S38-S39-S40)</f>
        <v>-0.0004999999997</v>
      </c>
      <c r="Z37" s="311">
        <f t="shared" si="18"/>
        <v>151.5595</v>
      </c>
      <c r="AA37" s="312">
        <f>+IF(IF(J37=";",Z37/J37)&lt;0,0%,(IF(J37="","",Z37/(J37+J38))))</f>
        <v>0.01169621084</v>
      </c>
      <c r="AB37" s="300"/>
      <c r="AC37" s="301"/>
      <c r="AD37" s="302"/>
      <c r="AE37" s="303"/>
      <c r="AF37" s="304"/>
      <c r="AG37" s="304"/>
      <c r="AH37" s="304"/>
      <c r="AI37" s="304"/>
      <c r="AJ37" s="304"/>
      <c r="AK37" s="305" t="s">
        <v>302</v>
      </c>
      <c r="AL37" s="283">
        <v>45616.0</v>
      </c>
      <c r="AM37" s="284"/>
    </row>
    <row r="38" ht="15.75" customHeight="1">
      <c r="A38" s="282">
        <f t="shared" si="1"/>
        <v>34</v>
      </c>
      <c r="B38" s="283">
        <v>45608.0</v>
      </c>
      <c r="C38" s="334" t="s">
        <v>216</v>
      </c>
      <c r="D38" s="285" t="s">
        <v>338</v>
      </c>
      <c r="E38" s="328" t="s">
        <v>304</v>
      </c>
      <c r="F38" s="315" t="s">
        <v>47</v>
      </c>
      <c r="G38" s="317" t="str">
        <f>+IFERROR(VLOOKUP(F38,NVL!$B:$C,2,0),"")</f>
        <v>Ivory Ningbo</v>
      </c>
      <c r="H38" s="317">
        <f>+IFERROR(VLOOKUP(F38,NVL!$B:$D,3,0),"")</f>
        <v>210</v>
      </c>
      <c r="I38" s="317">
        <f>+IFERROR(VLOOKUP(F38,NVL!$B:$F,4,0),"")</f>
        <v>109</v>
      </c>
      <c r="J38" s="321">
        <f>12*1030+350</f>
        <v>12710</v>
      </c>
      <c r="K38" s="290" t="s">
        <v>81</v>
      </c>
      <c r="L38" s="291">
        <f>+IFERROR(VLOOKUP(K38,'THÀNH PHẨM'!$B:$F,3,0),"")</f>
        <v>210</v>
      </c>
      <c r="M38" s="291">
        <f>+IFERROR(VLOOKUP(K38,'THÀNH PHẨM'!$B:$F,4,0),"")</f>
        <v>71</v>
      </c>
      <c r="N38" s="291">
        <f>+IFERROR(VLOOKUP(K38,'THÀNH PHẨM'!$B:$F,5,0),"")</f>
        <v>800</v>
      </c>
      <c r="O38" s="289">
        <v>839.0</v>
      </c>
      <c r="P38" s="292">
        <f t="shared" si="2"/>
        <v>10007.592</v>
      </c>
      <c r="Q38" s="289">
        <v>800.0</v>
      </c>
      <c r="R38" s="289">
        <v>4.0</v>
      </c>
      <c r="S38" s="293">
        <f t="shared" si="13"/>
        <v>47.712</v>
      </c>
      <c r="T38" s="319"/>
      <c r="U38" s="319"/>
      <c r="V38" s="319"/>
      <c r="W38" s="319"/>
      <c r="X38" s="319"/>
      <c r="Y38" s="319"/>
      <c r="Z38" s="319"/>
      <c r="AA38" s="319"/>
      <c r="AB38" s="300"/>
      <c r="AC38" s="301"/>
      <c r="AD38" s="302"/>
      <c r="AE38" s="303"/>
      <c r="AF38" s="304"/>
      <c r="AG38" s="304"/>
      <c r="AH38" s="304"/>
      <c r="AI38" s="304"/>
      <c r="AJ38" s="304"/>
      <c r="AK38" s="305" t="s">
        <v>302</v>
      </c>
      <c r="AL38" s="283">
        <v>45616.0</v>
      </c>
      <c r="AM38" s="284"/>
    </row>
    <row r="39" ht="15.75" customHeight="1">
      <c r="A39" s="282">
        <f t="shared" si="1"/>
        <v>35</v>
      </c>
      <c r="B39" s="283">
        <v>45608.0</v>
      </c>
      <c r="C39" s="334" t="s">
        <v>216</v>
      </c>
      <c r="D39" s="285" t="s">
        <v>338</v>
      </c>
      <c r="E39" s="328" t="s">
        <v>304</v>
      </c>
      <c r="F39" s="319"/>
      <c r="G39" s="319"/>
      <c r="H39" s="319"/>
      <c r="I39" s="319"/>
      <c r="J39" s="319"/>
      <c r="K39" s="290" t="s">
        <v>89</v>
      </c>
      <c r="L39" s="291">
        <f>+IFERROR(VLOOKUP(K39,'THÀNH PHẨM'!$B:$F,3,0),"")</f>
        <v>210</v>
      </c>
      <c r="M39" s="291">
        <f>+IFERROR(VLOOKUP(K39,'THÀNH PHẨM'!$B:$F,4,0),"")</f>
        <v>83</v>
      </c>
      <c r="N39" s="291">
        <f>+IFERROR(VLOOKUP(K39,'THÀNH PHẨM'!$B:$F,5,0),"")</f>
        <v>800</v>
      </c>
      <c r="O39" s="289">
        <v>189.0</v>
      </c>
      <c r="P39" s="292">
        <f t="shared" si="2"/>
        <v>2635.416</v>
      </c>
      <c r="Q39" s="289">
        <v>450.0</v>
      </c>
      <c r="R39" s="289">
        <v>1.0</v>
      </c>
      <c r="S39" s="293">
        <f t="shared" si="13"/>
        <v>7.8435</v>
      </c>
      <c r="T39" s="319"/>
      <c r="U39" s="319"/>
      <c r="V39" s="319"/>
      <c r="W39" s="319"/>
      <c r="X39" s="319"/>
      <c r="Y39" s="319"/>
      <c r="Z39" s="319"/>
      <c r="AA39" s="319"/>
      <c r="AB39" s="300"/>
      <c r="AC39" s="301"/>
      <c r="AD39" s="302"/>
      <c r="AE39" s="303"/>
      <c r="AF39" s="304"/>
      <c r="AG39" s="304"/>
      <c r="AH39" s="304"/>
      <c r="AI39" s="304"/>
      <c r="AJ39" s="304"/>
      <c r="AK39" s="305" t="s">
        <v>302</v>
      </c>
      <c r="AL39" s="283">
        <v>45616.0</v>
      </c>
      <c r="AM39" s="284"/>
    </row>
    <row r="40" ht="15.75" customHeight="1">
      <c r="A40" s="282">
        <f t="shared" si="1"/>
        <v>36</v>
      </c>
      <c r="B40" s="283">
        <v>45608.0</v>
      </c>
      <c r="C40" s="334" t="s">
        <v>216</v>
      </c>
      <c r="D40" s="285" t="s">
        <v>338</v>
      </c>
      <c r="E40" s="328" t="s">
        <v>304</v>
      </c>
      <c r="F40" s="313"/>
      <c r="G40" s="313"/>
      <c r="H40" s="313"/>
      <c r="I40" s="313"/>
      <c r="J40" s="313"/>
      <c r="K40" s="290" t="s">
        <v>81</v>
      </c>
      <c r="L40" s="291">
        <f>+IFERROR(VLOOKUP(K40,'THÀNH PHẨM'!$B:$F,3,0),"")</f>
        <v>210</v>
      </c>
      <c r="M40" s="291">
        <f>+IFERROR(VLOOKUP(K40,'THÀNH PHẨM'!$B:$F,4,0),"")</f>
        <v>71</v>
      </c>
      <c r="N40" s="291">
        <f>+IFERROR(VLOOKUP(K40,'THÀNH PHẨM'!$B:$F,5,0),"")</f>
        <v>800</v>
      </c>
      <c r="O40" s="289"/>
      <c r="P40" s="292">
        <f t="shared" si="2"/>
        <v>0</v>
      </c>
      <c r="Q40" s="289">
        <v>450.0</v>
      </c>
      <c r="R40" s="289">
        <v>14.0</v>
      </c>
      <c r="S40" s="293">
        <f t="shared" si="13"/>
        <v>93.933</v>
      </c>
      <c r="T40" s="313"/>
      <c r="U40" s="313"/>
      <c r="V40" s="313"/>
      <c r="W40" s="313"/>
      <c r="X40" s="313"/>
      <c r="Y40" s="313"/>
      <c r="Z40" s="313"/>
      <c r="AA40" s="313"/>
      <c r="AB40" s="300"/>
      <c r="AC40" s="301"/>
      <c r="AD40" s="302"/>
      <c r="AE40" s="303"/>
      <c r="AF40" s="304"/>
      <c r="AG40" s="304"/>
      <c r="AH40" s="304"/>
      <c r="AI40" s="304"/>
      <c r="AJ40" s="304"/>
      <c r="AK40" s="305" t="s">
        <v>302</v>
      </c>
      <c r="AL40" s="283">
        <v>45616.0</v>
      </c>
      <c r="AM40" s="284"/>
    </row>
    <row r="41" ht="15.75" customHeight="1">
      <c r="A41" s="282">
        <f t="shared" si="1"/>
        <v>37</v>
      </c>
      <c r="B41" s="283">
        <v>45617.0</v>
      </c>
      <c r="C41" s="335" t="s">
        <v>226</v>
      </c>
      <c r="D41" s="285" t="s">
        <v>339</v>
      </c>
      <c r="E41" s="328" t="s">
        <v>318</v>
      </c>
      <c r="F41" s="336" t="s">
        <v>88</v>
      </c>
      <c r="G41" s="288" t="str">
        <f>+IFERROR(VLOOKUP(F41,NVL!$B:$C,2,0),"")</f>
        <v>Ivory Ningbo</v>
      </c>
      <c r="H41" s="288">
        <f>+IFERROR(VLOOKUP(F41,NVL!$B:$D,3,0),"")</f>
        <v>250</v>
      </c>
      <c r="I41" s="288">
        <f>+IFERROR(VLOOKUP(F41,NVL!$B:$F,4,0),"")</f>
        <v>109</v>
      </c>
      <c r="J41" s="322">
        <f>8*981+720</f>
        <v>8568</v>
      </c>
      <c r="K41" s="290" t="s">
        <v>123</v>
      </c>
      <c r="L41" s="291">
        <f>+IFERROR(VLOOKUP(K41,'THÀNH PHẨM'!$B:$F,3,0),"")</f>
        <v>250</v>
      </c>
      <c r="M41" s="291">
        <f>+IFERROR(VLOOKUP(K41,'THÀNH PHẨM'!$B:$F,4,0),"")</f>
        <v>90</v>
      </c>
      <c r="N41" s="291">
        <f>+IFERROR(VLOOKUP(K41,'THÀNH PHẨM'!$B:$F,5,0),"")</f>
        <v>800</v>
      </c>
      <c r="O41" s="289">
        <v>474.0</v>
      </c>
      <c r="P41" s="292">
        <f t="shared" si="2"/>
        <v>8532</v>
      </c>
      <c r="Q41" s="289"/>
      <c r="R41" s="289"/>
      <c r="S41" s="293">
        <f t="shared" si="13"/>
        <v>0</v>
      </c>
      <c r="T41" s="294">
        <v>18.0</v>
      </c>
      <c r="U41" s="295">
        <v>45.0</v>
      </c>
      <c r="V41" s="296">
        <v>9.0</v>
      </c>
      <c r="W41" s="297">
        <v>36.0</v>
      </c>
      <c r="X41" s="298"/>
      <c r="Y41" s="292">
        <f>+IF(J41="","",J41-P41-S41-W41-X41)</f>
        <v>0</v>
      </c>
      <c r="Z41" s="292">
        <f t="shared" ref="Z41:Z42" si="20">+IF(J41&lt;&gt;"",Y41+W41,0)</f>
        <v>36</v>
      </c>
      <c r="AA41" s="299">
        <f t="shared" ref="AA41:AA42" si="21">+IF(IF(J41=";",Z41/J41)&lt;0,0%,(IF(J41="","",Z41/J41)))</f>
        <v>0.004201680672</v>
      </c>
      <c r="AB41" s="300"/>
      <c r="AC41" s="301"/>
      <c r="AD41" s="302"/>
      <c r="AE41" s="303"/>
      <c r="AF41" s="304"/>
      <c r="AG41" s="304"/>
      <c r="AH41" s="304"/>
      <c r="AI41" s="304"/>
      <c r="AJ41" s="304"/>
      <c r="AK41" s="305" t="s">
        <v>302</v>
      </c>
      <c r="AL41" s="283">
        <v>45622.0</v>
      </c>
      <c r="AM41" s="284"/>
    </row>
    <row r="42" ht="15.75" customHeight="1">
      <c r="A42" s="282">
        <f t="shared" si="1"/>
        <v>38</v>
      </c>
      <c r="B42" s="283">
        <v>45622.0</v>
      </c>
      <c r="C42" s="334" t="s">
        <v>230</v>
      </c>
      <c r="D42" s="285" t="s">
        <v>340</v>
      </c>
      <c r="E42" s="286" t="s">
        <v>304</v>
      </c>
      <c r="F42" s="315" t="s">
        <v>47</v>
      </c>
      <c r="G42" s="317" t="str">
        <f>+IFERROR(VLOOKUP(F42,NVL!$B:$C,2,0),"")</f>
        <v>Ivory Ningbo</v>
      </c>
      <c r="H42" s="317">
        <f>+IFERROR(VLOOKUP(F42,NVL!$B:$D,3,0),"")</f>
        <v>210</v>
      </c>
      <c r="I42" s="317">
        <f>+IFERROR(VLOOKUP(F42,NVL!$B:$F,4,0),"")</f>
        <v>109</v>
      </c>
      <c r="J42" s="321">
        <f>7*1030</f>
        <v>7210</v>
      </c>
      <c r="K42" s="290" t="s">
        <v>81</v>
      </c>
      <c r="L42" s="291">
        <f>+IFERROR(VLOOKUP(K42,'THÀNH PHẨM'!$B:$F,3,0),"")</f>
        <v>210</v>
      </c>
      <c r="M42" s="291">
        <f>+IFERROR(VLOOKUP(K42,'THÀNH PHẨM'!$B:$F,4,0),"")</f>
        <v>71</v>
      </c>
      <c r="N42" s="291">
        <f>+IFERROR(VLOOKUP(K42,'THÀNH PHẨM'!$B:$F,5,0),"")</f>
        <v>800</v>
      </c>
      <c r="O42" s="289">
        <v>102.0</v>
      </c>
      <c r="P42" s="292">
        <f t="shared" si="2"/>
        <v>1216.656</v>
      </c>
      <c r="Q42" s="289"/>
      <c r="R42" s="289"/>
      <c r="S42" s="293">
        <f t="shared" si="13"/>
        <v>0</v>
      </c>
      <c r="T42" s="307">
        <v>12.0</v>
      </c>
      <c r="U42" s="308">
        <v>36.0</v>
      </c>
      <c r="V42" s="309">
        <v>6.0</v>
      </c>
      <c r="W42" s="310">
        <v>144.58</v>
      </c>
      <c r="X42" s="310">
        <v>965.0</v>
      </c>
      <c r="Y42" s="311">
        <f>+IF(J42="","",J42-P42-S42-W42-X42-P43)</f>
        <v>0.004</v>
      </c>
      <c r="Z42" s="311">
        <f t="shared" si="20"/>
        <v>144.584</v>
      </c>
      <c r="AA42" s="312">
        <f t="shared" si="21"/>
        <v>0.02005325936</v>
      </c>
      <c r="AB42" s="300"/>
      <c r="AC42" s="301"/>
      <c r="AD42" s="302"/>
      <c r="AE42" s="303"/>
      <c r="AF42" s="304"/>
      <c r="AG42" s="304"/>
      <c r="AH42" s="304"/>
      <c r="AI42" s="304"/>
      <c r="AJ42" s="304"/>
      <c r="AK42" s="305" t="s">
        <v>302</v>
      </c>
      <c r="AL42" s="283">
        <v>45625.0</v>
      </c>
      <c r="AM42" s="284"/>
    </row>
    <row r="43" ht="15.75" customHeight="1">
      <c r="A43" s="282">
        <f t="shared" si="1"/>
        <v>39</v>
      </c>
      <c r="B43" s="283">
        <v>45622.0</v>
      </c>
      <c r="C43" s="334" t="s">
        <v>230</v>
      </c>
      <c r="D43" s="285" t="s">
        <v>340</v>
      </c>
      <c r="E43" s="286" t="s">
        <v>312</v>
      </c>
      <c r="F43" s="313"/>
      <c r="G43" s="313"/>
      <c r="H43" s="313"/>
      <c r="I43" s="313"/>
      <c r="J43" s="313"/>
      <c r="K43" s="290" t="s">
        <v>104</v>
      </c>
      <c r="L43" s="291">
        <f>+IFERROR(VLOOKUP(K43,'THÀNH PHẨM'!$B:$F,3,0),"")</f>
        <v>210</v>
      </c>
      <c r="M43" s="291">
        <f>+IFERROR(VLOOKUP(K43,'THÀNH PHẨM'!$B:$F,4,0),"")</f>
        <v>95</v>
      </c>
      <c r="N43" s="291">
        <f>+IFERROR(VLOOKUP(K43,'THÀNH PHẨM'!$B:$F,5,0),"")</f>
        <v>800</v>
      </c>
      <c r="O43" s="289">
        <v>306.0</v>
      </c>
      <c r="P43" s="292">
        <f t="shared" si="2"/>
        <v>4883.76</v>
      </c>
      <c r="Q43" s="289"/>
      <c r="R43" s="289"/>
      <c r="S43" s="293">
        <f t="shared" si="13"/>
        <v>0</v>
      </c>
      <c r="T43" s="313"/>
      <c r="U43" s="313"/>
      <c r="V43" s="313"/>
      <c r="W43" s="313"/>
      <c r="X43" s="313"/>
      <c r="Y43" s="313"/>
      <c r="Z43" s="313"/>
      <c r="AA43" s="313"/>
      <c r="AB43" s="300"/>
      <c r="AC43" s="301"/>
      <c r="AD43" s="302"/>
      <c r="AE43" s="303"/>
      <c r="AF43" s="304"/>
      <c r="AG43" s="304"/>
      <c r="AH43" s="304"/>
      <c r="AI43" s="304"/>
      <c r="AJ43" s="304"/>
      <c r="AK43" s="305" t="s">
        <v>302</v>
      </c>
      <c r="AL43" s="283">
        <v>45625.0</v>
      </c>
      <c r="AM43" s="284"/>
    </row>
    <row r="44" ht="15.75" customHeight="1">
      <c r="A44" s="282">
        <f t="shared" si="1"/>
        <v>40</v>
      </c>
      <c r="B44" s="283">
        <v>45626.0</v>
      </c>
      <c r="C44" s="282" t="s">
        <v>242</v>
      </c>
      <c r="D44" s="285" t="s">
        <v>341</v>
      </c>
      <c r="E44" s="288" t="s">
        <v>304</v>
      </c>
      <c r="F44" s="287" t="s">
        <v>189</v>
      </c>
      <c r="G44" s="288" t="str">
        <f>+IFERROR(VLOOKUP(F44,NVL!$B:$C,2,0),"")</f>
        <v>Ivory Ningbo</v>
      </c>
      <c r="H44" s="288">
        <f>+IFERROR(VLOOKUP(F44,NVL!$B:$D,3,0),"")</f>
        <v>230</v>
      </c>
      <c r="I44" s="288">
        <f>+IFERROR(VLOOKUP(F44,NVL!$B:$F,4,0),"")</f>
        <v>109</v>
      </c>
      <c r="J44" s="322">
        <f>100+6*990</f>
        <v>6040</v>
      </c>
      <c r="K44" s="290" t="s">
        <v>120</v>
      </c>
      <c r="L44" s="291">
        <f>+IFERROR(VLOOKUP(K44,'THÀNH PHẨM'!$B:$F,3,0),"")</f>
        <v>230</v>
      </c>
      <c r="M44" s="291">
        <f>+IFERROR(VLOOKUP(K44,'THÀNH PHẨM'!$B:$F,4,0),"")</f>
        <v>98</v>
      </c>
      <c r="N44" s="291">
        <f>+IFERROR(VLOOKUP(K44,'THÀNH PHẨM'!$B:$F,5,0),"")</f>
        <v>800</v>
      </c>
      <c r="O44" s="289">
        <v>297.0</v>
      </c>
      <c r="P44" s="292">
        <f t="shared" si="2"/>
        <v>5355.504</v>
      </c>
      <c r="Q44" s="289"/>
      <c r="R44" s="289"/>
      <c r="S44" s="293">
        <f t="shared" si="13"/>
        <v>0</v>
      </c>
      <c r="T44" s="294">
        <v>12.0</v>
      </c>
      <c r="U44" s="295">
        <v>36.0</v>
      </c>
      <c r="V44" s="296">
        <v>6.0</v>
      </c>
      <c r="W44" s="297">
        <v>74.5</v>
      </c>
      <c r="X44" s="298">
        <v>610.0</v>
      </c>
      <c r="Y44" s="292">
        <f>+IF(J44="","",J44-P44-S44-W44-X44)</f>
        <v>-0.004</v>
      </c>
      <c r="Z44" s="292">
        <f t="shared" ref="Z44:Z45" si="22">+IF(J44&lt;&gt;"",Y44+W44,0)</f>
        <v>74.496</v>
      </c>
      <c r="AA44" s="299">
        <f t="shared" ref="AA44:AA45" si="23">+IF(IF(J44=";",Z44/J44)&lt;0,0%,(IF(J44="","",Z44/J44)))</f>
        <v>0.01233377483</v>
      </c>
      <c r="AB44" s="300"/>
      <c r="AC44" s="301"/>
      <c r="AD44" s="302"/>
      <c r="AE44" s="303"/>
      <c r="AF44" s="304"/>
      <c r="AG44" s="304"/>
      <c r="AH44" s="304"/>
      <c r="AI44" s="304"/>
      <c r="AJ44" s="304"/>
      <c r="AK44" s="305" t="s">
        <v>302</v>
      </c>
      <c r="AL44" s="283">
        <v>45629.0</v>
      </c>
      <c r="AM44" s="284"/>
    </row>
    <row r="45" ht="15.75" customHeight="1">
      <c r="A45" s="282">
        <f t="shared" si="1"/>
        <v>41</v>
      </c>
      <c r="B45" s="283">
        <v>45630.0</v>
      </c>
      <c r="C45" s="282" t="s">
        <v>242</v>
      </c>
      <c r="D45" s="337" t="s">
        <v>343</v>
      </c>
      <c r="E45" s="288" t="s">
        <v>304</v>
      </c>
      <c r="F45" s="315" t="s">
        <v>47</v>
      </c>
      <c r="G45" s="317" t="str">
        <f>+IFERROR(VLOOKUP(F45,NVL!$B:$C,2,0),"")</f>
        <v>Ivory Ningbo</v>
      </c>
      <c r="H45" s="317">
        <f>+IFERROR(VLOOKUP(F45,NVL!$B:$D,3,0),"")</f>
        <v>210</v>
      </c>
      <c r="I45" s="317">
        <f>+IFERROR(VLOOKUP(F45,NVL!$B:$F,4,0),"")</f>
        <v>109</v>
      </c>
      <c r="J45" s="321">
        <f>965+1030*10</f>
        <v>11265</v>
      </c>
      <c r="K45" s="290" t="s">
        <v>81</v>
      </c>
      <c r="L45" s="291">
        <f>+IFERROR(VLOOKUP(K45,'THÀNH PHẨM'!$B:$F,3,0),"")</f>
        <v>210</v>
      </c>
      <c r="M45" s="291">
        <f>+IFERROR(VLOOKUP(K45,'THÀNH PHẨM'!$B:$F,4,0),"")</f>
        <v>71</v>
      </c>
      <c r="N45" s="291">
        <f>+IFERROR(VLOOKUP(K45,'THÀNH PHẨM'!$B:$F,5,0),"")</f>
        <v>800</v>
      </c>
      <c r="O45" s="289">
        <v>826.0</v>
      </c>
      <c r="P45" s="292">
        <f t="shared" si="2"/>
        <v>9852.528</v>
      </c>
      <c r="Q45" s="324">
        <v>800.0</v>
      </c>
      <c r="R45" s="324">
        <v>2.0</v>
      </c>
      <c r="S45" s="293">
        <f t="shared" si="13"/>
        <v>23.856</v>
      </c>
      <c r="T45" s="307">
        <v>22.0</v>
      </c>
      <c r="U45" s="308">
        <v>55.0</v>
      </c>
      <c r="V45" s="309">
        <v>10.0</v>
      </c>
      <c r="W45" s="310">
        <v>166.98</v>
      </c>
      <c r="X45" s="310">
        <v>260.0</v>
      </c>
      <c r="Y45" s="311">
        <f>+IF(J45="","",J45-P45-S45-W45-X45-P46-P47)</f>
        <v>0.004</v>
      </c>
      <c r="Z45" s="311">
        <f t="shared" si="22"/>
        <v>166.984</v>
      </c>
      <c r="AA45" s="312">
        <f t="shared" si="23"/>
        <v>0.01482325788</v>
      </c>
      <c r="AB45" s="300"/>
      <c r="AC45" s="301"/>
      <c r="AD45" s="302"/>
      <c r="AE45" s="303"/>
      <c r="AF45" s="304"/>
      <c r="AG45" s="304"/>
      <c r="AH45" s="304"/>
      <c r="AI45" s="304"/>
      <c r="AJ45" s="304"/>
      <c r="AK45" s="305" t="s">
        <v>302</v>
      </c>
      <c r="AL45" s="283">
        <v>45637.0</v>
      </c>
      <c r="AM45" s="284"/>
    </row>
    <row r="46" ht="15.75" customHeight="1">
      <c r="A46" s="282">
        <f t="shared" si="1"/>
        <v>42</v>
      </c>
      <c r="B46" s="283">
        <v>45630.0</v>
      </c>
      <c r="C46" s="282" t="s">
        <v>242</v>
      </c>
      <c r="D46" s="337" t="s">
        <v>343</v>
      </c>
      <c r="E46" s="288" t="s">
        <v>304</v>
      </c>
      <c r="F46" s="319"/>
      <c r="G46" s="319"/>
      <c r="H46" s="319"/>
      <c r="I46" s="319"/>
      <c r="J46" s="319"/>
      <c r="K46" s="290" t="s">
        <v>89</v>
      </c>
      <c r="L46" s="291">
        <f>+IFERROR(VLOOKUP(K46,'THÀNH PHẨM'!$B:$F,3,0),"")</f>
        <v>210</v>
      </c>
      <c r="M46" s="291">
        <f>+IFERROR(VLOOKUP(K46,'THÀNH PHẨM'!$B:$F,4,0),"")</f>
        <v>83</v>
      </c>
      <c r="N46" s="291">
        <f>+IFERROR(VLOOKUP(K46,'THÀNH PHẨM'!$B:$F,5,0),"")</f>
        <v>800</v>
      </c>
      <c r="O46" s="289">
        <v>58.0</v>
      </c>
      <c r="P46" s="292">
        <f t="shared" si="2"/>
        <v>808.752</v>
      </c>
      <c r="Q46" s="324">
        <v>800.0</v>
      </c>
      <c r="R46" s="324">
        <v>1.0</v>
      </c>
      <c r="S46" s="293">
        <f t="shared" si="13"/>
        <v>13.944</v>
      </c>
      <c r="T46" s="319"/>
      <c r="U46" s="319"/>
      <c r="V46" s="319"/>
      <c r="W46" s="319"/>
      <c r="X46" s="319"/>
      <c r="Y46" s="319"/>
      <c r="Z46" s="319"/>
      <c r="AA46" s="319"/>
      <c r="AB46" s="300"/>
      <c r="AC46" s="301"/>
      <c r="AD46" s="302"/>
      <c r="AE46" s="303"/>
      <c r="AF46" s="304"/>
      <c r="AG46" s="304"/>
      <c r="AH46" s="304"/>
      <c r="AI46" s="304"/>
      <c r="AJ46" s="304"/>
      <c r="AK46" s="305" t="s">
        <v>302</v>
      </c>
      <c r="AL46" s="283">
        <v>45637.0</v>
      </c>
      <c r="AM46" s="284"/>
    </row>
    <row r="47" ht="15.75" customHeight="1">
      <c r="A47" s="282">
        <f t="shared" si="1"/>
        <v>43</v>
      </c>
      <c r="B47" s="283">
        <v>45630.0</v>
      </c>
      <c r="C47" s="282" t="s">
        <v>345</v>
      </c>
      <c r="D47" s="337" t="s">
        <v>343</v>
      </c>
      <c r="E47" s="288" t="s">
        <v>304</v>
      </c>
      <c r="F47" s="313"/>
      <c r="G47" s="313"/>
      <c r="H47" s="313"/>
      <c r="I47" s="313"/>
      <c r="J47" s="313"/>
      <c r="K47" s="290" t="s">
        <v>98</v>
      </c>
      <c r="L47" s="291">
        <f>+IFERROR(VLOOKUP(K47,'THÀNH PHẨM'!$B:$F,3,0),"")</f>
        <v>210</v>
      </c>
      <c r="M47" s="291">
        <f>+IFERROR(VLOOKUP(K47,'THÀNH PHẨM'!$B:$F,4,0),"")</f>
        <v>91</v>
      </c>
      <c r="N47" s="291">
        <f>+IFERROR(VLOOKUP(K47,'THÀNH PHẨM'!$B:$F,5,0),"")</f>
        <v>800</v>
      </c>
      <c r="O47" s="289">
        <v>10.0</v>
      </c>
      <c r="P47" s="292">
        <f t="shared" si="2"/>
        <v>152.88</v>
      </c>
      <c r="Q47" s="289"/>
      <c r="R47" s="289"/>
      <c r="S47" s="293">
        <f t="shared" si="13"/>
        <v>0</v>
      </c>
      <c r="T47" s="313"/>
      <c r="U47" s="313"/>
      <c r="V47" s="313"/>
      <c r="W47" s="313"/>
      <c r="X47" s="313"/>
      <c r="Y47" s="313"/>
      <c r="Z47" s="313"/>
      <c r="AA47" s="313"/>
      <c r="AB47" s="300"/>
      <c r="AC47" s="301"/>
      <c r="AD47" s="302"/>
      <c r="AE47" s="303"/>
      <c r="AF47" s="304"/>
      <c r="AG47" s="304"/>
      <c r="AH47" s="304"/>
      <c r="AI47" s="304"/>
      <c r="AJ47" s="304"/>
      <c r="AK47" s="305" t="s">
        <v>302</v>
      </c>
      <c r="AL47" s="283">
        <v>45637.0</v>
      </c>
      <c r="AM47" s="284"/>
    </row>
    <row r="48" ht="15.75" customHeight="1">
      <c r="A48" s="282">
        <f t="shared" si="1"/>
        <v>44</v>
      </c>
      <c r="B48" s="283">
        <v>45638.0</v>
      </c>
      <c r="C48" s="320" t="s">
        <v>346</v>
      </c>
      <c r="D48" s="338" t="s">
        <v>347</v>
      </c>
      <c r="E48" s="286" t="s">
        <v>304</v>
      </c>
      <c r="F48" s="287" t="s">
        <v>189</v>
      </c>
      <c r="G48" s="288" t="str">
        <f>+IFERROR(VLOOKUP(F48,NVL!$B:$C,2,0),"")</f>
        <v>Ivory Ningbo</v>
      </c>
      <c r="H48" s="288">
        <f>+IFERROR(VLOOKUP(F48,NVL!$B:$D,3,0),"")</f>
        <v>230</v>
      </c>
      <c r="I48" s="288">
        <f>+IFERROR(VLOOKUP(F48,NVL!$B:$F,4,0),"")</f>
        <v>109</v>
      </c>
      <c r="J48" s="291">
        <f>10*990+940+610</f>
        <v>11450</v>
      </c>
      <c r="K48" s="290" t="s">
        <v>120</v>
      </c>
      <c r="L48" s="291">
        <f>+IFERROR(VLOOKUP(K48,'THÀNH PHẨM'!$B:$F,3,0),"")</f>
        <v>230</v>
      </c>
      <c r="M48" s="291">
        <f>+IFERROR(VLOOKUP(K48,'THÀNH PHẨM'!$B:$F,4,0),"")</f>
        <v>98</v>
      </c>
      <c r="N48" s="291">
        <f>+IFERROR(VLOOKUP(K48,'THÀNH PHẨM'!$B:$F,5,0),"")</f>
        <v>800</v>
      </c>
      <c r="O48" s="289">
        <v>616.0</v>
      </c>
      <c r="P48" s="292">
        <f t="shared" si="2"/>
        <v>11107.712</v>
      </c>
      <c r="Q48" s="289"/>
      <c r="R48" s="289"/>
      <c r="S48" s="293">
        <f t="shared" si="13"/>
        <v>0</v>
      </c>
      <c r="T48" s="294">
        <v>33.0</v>
      </c>
      <c r="U48" s="295">
        <v>55.0</v>
      </c>
      <c r="V48" s="296">
        <v>11.0</v>
      </c>
      <c r="W48" s="297">
        <v>102.29</v>
      </c>
      <c r="X48" s="298">
        <v>240.0</v>
      </c>
      <c r="Y48" s="292">
        <f>+IF(J48="","",J48-P48-S48-W48-X48)</f>
        <v>-0.002</v>
      </c>
      <c r="Z48" s="292">
        <f t="shared" ref="Z48:Z52" si="24">+IF(J48&lt;&gt;"",Y48+W48,0)</f>
        <v>102.288</v>
      </c>
      <c r="AA48" s="299">
        <f t="shared" ref="AA48:AA52" si="25">+IF(IF(J48=";",Z48/J48)&lt;0,0%,(IF(J48="","",Z48/J48)))</f>
        <v>0.008933449782</v>
      </c>
      <c r="AB48" s="300"/>
      <c r="AC48" s="301" t="s">
        <v>235</v>
      </c>
      <c r="AD48" s="302">
        <v>11.0</v>
      </c>
      <c r="AE48" s="303"/>
      <c r="AF48" s="304"/>
      <c r="AG48" s="304"/>
      <c r="AH48" s="304"/>
      <c r="AI48" s="304"/>
      <c r="AJ48" s="304"/>
      <c r="AK48" s="305" t="s">
        <v>302</v>
      </c>
      <c r="AL48" s="283">
        <v>45644.0</v>
      </c>
      <c r="AM48" s="284"/>
    </row>
    <row r="49" ht="15.75" customHeight="1">
      <c r="A49" s="282">
        <f t="shared" si="1"/>
        <v>45</v>
      </c>
      <c r="B49" s="283">
        <v>45645.0</v>
      </c>
      <c r="C49" s="320" t="s">
        <v>350</v>
      </c>
      <c r="D49" s="338" t="s">
        <v>351</v>
      </c>
      <c r="E49" s="286" t="s">
        <v>304</v>
      </c>
      <c r="F49" s="287" t="s">
        <v>47</v>
      </c>
      <c r="G49" s="288" t="str">
        <f>+IFERROR(VLOOKUP(F49,NVL!$B:$C,2,0),"")</f>
        <v>Ivory Ningbo</v>
      </c>
      <c r="H49" s="288">
        <f>+IFERROR(VLOOKUP(F49,NVL!$B:$D,3,0),"")</f>
        <v>210</v>
      </c>
      <c r="I49" s="288">
        <f>+IFERROR(VLOOKUP(F49,NVL!$B:$F,4,0),"")</f>
        <v>109</v>
      </c>
      <c r="J49" s="306">
        <v>10560.0</v>
      </c>
      <c r="K49" s="290" t="s">
        <v>81</v>
      </c>
      <c r="L49" s="291">
        <f>+IFERROR(VLOOKUP(K49,'THÀNH PHẨM'!$B:$F,3,0),"")</f>
        <v>210</v>
      </c>
      <c r="M49" s="291">
        <f>+IFERROR(VLOOKUP(K49,'THÀNH PHẨM'!$B:$F,4,0),"")</f>
        <v>71</v>
      </c>
      <c r="N49" s="291">
        <f>+IFERROR(VLOOKUP(K49,'THÀNH PHẨM'!$B:$F,5,0),"")</f>
        <v>800</v>
      </c>
      <c r="O49" s="289">
        <v>616.0</v>
      </c>
      <c r="P49" s="292">
        <f t="shared" si="2"/>
        <v>7347.648</v>
      </c>
      <c r="Q49" s="289">
        <v>620.0</v>
      </c>
      <c r="R49" s="289">
        <v>11.0</v>
      </c>
      <c r="S49" s="293">
        <f t="shared" si="13"/>
        <v>101.6862</v>
      </c>
      <c r="T49" s="294">
        <v>30.0</v>
      </c>
      <c r="U49" s="295">
        <v>50.0</v>
      </c>
      <c r="V49" s="296">
        <v>10.0</v>
      </c>
      <c r="W49" s="297">
        <v>252.28</v>
      </c>
      <c r="X49" s="298">
        <v>140.0</v>
      </c>
      <c r="Y49" s="292">
        <f>+IF(J49="","",J49-P49-S49-W49-X49-P50-S50)</f>
        <v>-0.001200000001</v>
      </c>
      <c r="Z49" s="292">
        <f t="shared" si="24"/>
        <v>252.2788</v>
      </c>
      <c r="AA49" s="299">
        <f t="shared" si="25"/>
        <v>0.02389003788</v>
      </c>
      <c r="AB49" s="300"/>
      <c r="AC49" s="339" t="s">
        <v>238</v>
      </c>
      <c r="AD49" s="340">
        <v>14.0</v>
      </c>
      <c r="AE49" s="303"/>
      <c r="AF49" s="304"/>
      <c r="AG49" s="304"/>
      <c r="AH49" s="304"/>
      <c r="AI49" s="304"/>
      <c r="AJ49" s="304"/>
      <c r="AK49" s="305" t="s">
        <v>352</v>
      </c>
      <c r="AL49" s="283">
        <v>45651.0</v>
      </c>
      <c r="AM49" s="284"/>
    </row>
    <row r="50" ht="15.75" customHeight="1">
      <c r="A50" s="282">
        <f t="shared" si="1"/>
        <v>46</v>
      </c>
      <c r="B50" s="283">
        <v>45645.0</v>
      </c>
      <c r="C50" s="320" t="s">
        <v>350</v>
      </c>
      <c r="D50" s="338" t="s">
        <v>351</v>
      </c>
      <c r="E50" s="286" t="s">
        <v>304</v>
      </c>
      <c r="F50" s="287" t="s">
        <v>47</v>
      </c>
      <c r="G50" s="288" t="str">
        <f>+IFERROR(VLOOKUP(F50,NVL!$B:$C,2,0),"")</f>
        <v>Ivory Ningbo</v>
      </c>
      <c r="H50" s="288">
        <f>+IFERROR(VLOOKUP(F50,NVL!$B:$D,3,0),"")</f>
        <v>210</v>
      </c>
      <c r="I50" s="288">
        <f>+IFERROR(VLOOKUP(F50,NVL!$B:$F,4,0),"")</f>
        <v>109</v>
      </c>
      <c r="J50" s="313"/>
      <c r="K50" s="290" t="s">
        <v>104</v>
      </c>
      <c r="L50" s="291">
        <f>+IFERROR(VLOOKUP(K50,'THÀNH PHẨM'!$B:$F,3,0),"")</f>
        <v>210</v>
      </c>
      <c r="M50" s="291">
        <f>+IFERROR(VLOOKUP(K50,'THÀNH PHẨM'!$B:$F,4,0),"")</f>
        <v>95</v>
      </c>
      <c r="N50" s="291">
        <f>+IFERROR(VLOOKUP(K50,'THÀNH PHẨM'!$B:$F,5,0),"")</f>
        <v>800</v>
      </c>
      <c r="O50" s="289">
        <v>168.0</v>
      </c>
      <c r="P50" s="292">
        <f t="shared" si="2"/>
        <v>2681.28</v>
      </c>
      <c r="Q50" s="289">
        <v>620.0</v>
      </c>
      <c r="R50" s="289">
        <v>3.0</v>
      </c>
      <c r="S50" s="293">
        <f t="shared" si="13"/>
        <v>37.107</v>
      </c>
      <c r="T50" s="294"/>
      <c r="U50" s="295"/>
      <c r="V50" s="296"/>
      <c r="W50" s="297"/>
      <c r="X50" s="298"/>
      <c r="Y50" s="292" t="str">
        <f t="shared" ref="Y50:Y51" si="26">+IF(J50="","",J50-P50-S50-W50-X50)</f>
        <v/>
      </c>
      <c r="Z50" s="292">
        <f t="shared" si="24"/>
        <v>0</v>
      </c>
      <c r="AA50" s="299" t="str">
        <f t="shared" si="25"/>
        <v/>
      </c>
      <c r="AB50" s="300"/>
      <c r="AC50" s="313"/>
      <c r="AD50" s="313"/>
      <c r="AE50" s="303"/>
      <c r="AF50" s="304"/>
      <c r="AG50" s="304"/>
      <c r="AH50" s="304"/>
      <c r="AI50" s="304"/>
      <c r="AJ50" s="304"/>
      <c r="AK50" s="305" t="s">
        <v>352</v>
      </c>
      <c r="AL50" s="283">
        <v>45651.0</v>
      </c>
      <c r="AM50" s="284"/>
    </row>
    <row r="51" ht="15.75" customHeight="1">
      <c r="A51" s="282">
        <f t="shared" si="1"/>
        <v>47</v>
      </c>
      <c r="B51" s="283">
        <v>45652.0</v>
      </c>
      <c r="C51" s="335" t="s">
        <v>353</v>
      </c>
      <c r="D51" s="338" t="s">
        <v>354</v>
      </c>
      <c r="E51" s="286" t="s">
        <v>131</v>
      </c>
      <c r="F51" s="287" t="s">
        <v>88</v>
      </c>
      <c r="G51" s="288" t="str">
        <f>+IFERROR(VLOOKUP(F51,NVL!$B:$C,2,0),"")</f>
        <v>Ivory Ningbo</v>
      </c>
      <c r="H51" s="288">
        <f>+IFERROR(VLOOKUP(F51,NVL!$B:$D,3,0),"")</f>
        <v>250</v>
      </c>
      <c r="I51" s="288">
        <f>+IFERROR(VLOOKUP(F51,NVL!$B:$F,4,0),"")</f>
        <v>109</v>
      </c>
      <c r="J51" s="289">
        <f>10*981</f>
        <v>9810</v>
      </c>
      <c r="K51" s="290" t="s">
        <v>123</v>
      </c>
      <c r="L51" s="291">
        <f>+IFERROR(VLOOKUP(K51,'THÀNH PHẨM'!$B:$F,3,0),"")</f>
        <v>250</v>
      </c>
      <c r="M51" s="291">
        <f>+IFERROR(VLOOKUP(K51,'THÀNH PHẨM'!$B:$F,4,0),"")</f>
        <v>90</v>
      </c>
      <c r="N51" s="291">
        <f>+IFERROR(VLOOKUP(K51,'THÀNH PHẨM'!$B:$F,5,0),"")</f>
        <v>800</v>
      </c>
      <c r="O51" s="289">
        <v>525.0</v>
      </c>
      <c r="P51" s="292">
        <f t="shared" si="2"/>
        <v>9450</v>
      </c>
      <c r="Q51" s="289"/>
      <c r="R51" s="289"/>
      <c r="S51" s="293">
        <f t="shared" si="13"/>
        <v>0</v>
      </c>
      <c r="T51" s="294">
        <v>27.0</v>
      </c>
      <c r="U51" s="295">
        <v>45.0</v>
      </c>
      <c r="V51" s="296">
        <v>9.0</v>
      </c>
      <c r="W51" s="297">
        <v>178.0</v>
      </c>
      <c r="X51" s="298">
        <v>182.0</v>
      </c>
      <c r="Y51" s="292">
        <f t="shared" si="26"/>
        <v>0</v>
      </c>
      <c r="Z51" s="292">
        <f t="shared" si="24"/>
        <v>178</v>
      </c>
      <c r="AA51" s="299">
        <f t="shared" si="25"/>
        <v>0.01814475025</v>
      </c>
      <c r="AB51" s="300"/>
      <c r="AC51" s="341" t="s">
        <v>235</v>
      </c>
      <c r="AD51" s="342">
        <v>10.0</v>
      </c>
      <c r="AE51" s="303"/>
      <c r="AF51" s="304"/>
      <c r="AG51" s="304"/>
      <c r="AH51" s="304"/>
      <c r="AI51" s="304"/>
      <c r="AJ51" s="304"/>
      <c r="AK51" s="284" t="s">
        <v>355</v>
      </c>
      <c r="AL51" s="283">
        <v>45657.0</v>
      </c>
      <c r="AM51" s="284"/>
    </row>
    <row r="52" ht="15.75" customHeight="1">
      <c r="A52" s="282">
        <f t="shared" si="1"/>
        <v>48</v>
      </c>
      <c r="B52" s="283">
        <v>45657.0</v>
      </c>
      <c r="C52" s="284" t="s">
        <v>330</v>
      </c>
      <c r="D52" s="338" t="s">
        <v>356</v>
      </c>
      <c r="E52" s="286" t="s">
        <v>304</v>
      </c>
      <c r="F52" s="287" t="s">
        <v>47</v>
      </c>
      <c r="G52" s="288" t="str">
        <f>+IFERROR(VLOOKUP(F52,NVL!$B:$C,2,0),"")</f>
        <v>Ivory Ningbo</v>
      </c>
      <c r="H52" s="288">
        <f>+IFERROR(VLOOKUP(F52,NVL!$B:$D,3,0),"")</f>
        <v>210</v>
      </c>
      <c r="I52" s="288">
        <f>+IFERROR(VLOOKUP(F52,NVL!$B:$F,4,0),"")</f>
        <v>109</v>
      </c>
      <c r="J52" s="306">
        <f>8*1030+140</f>
        <v>8380</v>
      </c>
      <c r="K52" s="290" t="s">
        <v>81</v>
      </c>
      <c r="L52" s="291">
        <f>+IFERROR(VLOOKUP(K52,'THÀNH PHẨM'!$B:$F,3,0),"")</f>
        <v>210</v>
      </c>
      <c r="M52" s="291">
        <f>+IFERROR(VLOOKUP(K52,'THÀNH PHẨM'!$B:$F,4,0),"")</f>
        <v>71</v>
      </c>
      <c r="N52" s="291">
        <f>+IFERROR(VLOOKUP(K52,'THÀNH PHẨM'!$B:$F,5,0),"")</f>
        <v>800</v>
      </c>
      <c r="O52" s="289">
        <v>495.0</v>
      </c>
      <c r="P52" s="292">
        <f t="shared" si="2"/>
        <v>5904.36</v>
      </c>
      <c r="Q52" s="289"/>
      <c r="R52" s="289"/>
      <c r="S52" s="293">
        <f t="shared" si="13"/>
        <v>0</v>
      </c>
      <c r="T52" s="307">
        <v>24.0</v>
      </c>
      <c r="U52" s="308">
        <v>40.0</v>
      </c>
      <c r="V52" s="309">
        <v>8.0</v>
      </c>
      <c r="W52" s="310">
        <v>219.65</v>
      </c>
      <c r="X52" s="310">
        <v>140.0</v>
      </c>
      <c r="Y52" s="311">
        <f>+IF(J52="","",J52-P52-S52-W52-X52-P53-P54)</f>
        <v>0.03</v>
      </c>
      <c r="Z52" s="311">
        <f t="shared" si="24"/>
        <v>219.68</v>
      </c>
      <c r="AA52" s="312">
        <f t="shared" si="25"/>
        <v>0.02621479714</v>
      </c>
      <c r="AB52" s="300"/>
      <c r="AC52" s="339" t="s">
        <v>238</v>
      </c>
      <c r="AD52" s="340">
        <v>10.0</v>
      </c>
      <c r="AE52" s="303"/>
      <c r="AF52" s="304"/>
      <c r="AG52" s="304"/>
      <c r="AH52" s="304"/>
      <c r="AI52" s="304"/>
      <c r="AJ52" s="304"/>
      <c r="AK52" s="343" t="s">
        <v>355</v>
      </c>
      <c r="AL52" s="326">
        <v>45664.0</v>
      </c>
      <c r="AM52" s="284"/>
    </row>
    <row r="53" ht="15.75" customHeight="1">
      <c r="A53" s="282">
        <f t="shared" si="1"/>
        <v>49</v>
      </c>
      <c r="B53" s="283">
        <v>45657.0</v>
      </c>
      <c r="C53" s="284" t="s">
        <v>330</v>
      </c>
      <c r="D53" s="338" t="s">
        <v>356</v>
      </c>
      <c r="E53" s="286" t="s">
        <v>304</v>
      </c>
      <c r="F53" s="287" t="s">
        <v>47</v>
      </c>
      <c r="G53" s="288" t="str">
        <f>+IFERROR(VLOOKUP(F53,NVL!$B:$C,2,0),"")</f>
        <v>Ivory Ningbo</v>
      </c>
      <c r="H53" s="288">
        <f>+IFERROR(VLOOKUP(F53,NVL!$B:$D,3,0),"")</f>
        <v>210</v>
      </c>
      <c r="I53" s="288">
        <f>+IFERROR(VLOOKUP(F53,NVL!$B:$F,4,0),"")</f>
        <v>109</v>
      </c>
      <c r="J53" s="319"/>
      <c r="K53" s="290" t="s">
        <v>104</v>
      </c>
      <c r="L53" s="291">
        <f>+IFERROR(VLOOKUP(K53,'THÀNH PHẨM'!$B:$F,3,0),"")</f>
        <v>210</v>
      </c>
      <c r="M53" s="291">
        <f>+IFERROR(VLOOKUP(K53,'THÀNH PHẨM'!$B:$F,4,0),"")</f>
        <v>95</v>
      </c>
      <c r="N53" s="291">
        <f>+IFERROR(VLOOKUP(K53,'THÀNH PHẨM'!$B:$F,5,0),"")</f>
        <v>800</v>
      </c>
      <c r="O53" s="289">
        <v>123.0</v>
      </c>
      <c r="P53" s="292">
        <f t="shared" si="2"/>
        <v>1963.08</v>
      </c>
      <c r="Q53" s="289"/>
      <c r="R53" s="289"/>
      <c r="S53" s="293">
        <f t="shared" si="13"/>
        <v>0</v>
      </c>
      <c r="T53" s="319"/>
      <c r="U53" s="319"/>
      <c r="V53" s="319"/>
      <c r="W53" s="319"/>
      <c r="X53" s="319"/>
      <c r="Y53" s="319"/>
      <c r="Z53" s="319"/>
      <c r="AA53" s="319"/>
      <c r="AB53" s="300"/>
      <c r="AC53" s="319"/>
      <c r="AD53" s="319"/>
      <c r="AE53" s="303"/>
      <c r="AF53" s="304"/>
      <c r="AG53" s="304"/>
      <c r="AH53" s="304"/>
      <c r="AI53" s="304"/>
      <c r="AJ53" s="304"/>
      <c r="AK53" s="319"/>
      <c r="AL53" s="319"/>
      <c r="AM53" s="284"/>
    </row>
    <row r="54" ht="15.75" customHeight="1">
      <c r="A54" s="282">
        <f t="shared" si="1"/>
        <v>50</v>
      </c>
      <c r="B54" s="283">
        <v>45657.0</v>
      </c>
      <c r="C54" s="335" t="s">
        <v>330</v>
      </c>
      <c r="D54" s="338" t="s">
        <v>356</v>
      </c>
      <c r="E54" s="286" t="s">
        <v>304</v>
      </c>
      <c r="F54" s="287" t="s">
        <v>47</v>
      </c>
      <c r="G54" s="288" t="str">
        <f>+IFERROR(VLOOKUP(F54,NVL!$B:$C,2,0),"")</f>
        <v>Ivory Ningbo</v>
      </c>
      <c r="H54" s="288">
        <f>+IFERROR(VLOOKUP(F54,NVL!$B:$D,3,0),"")</f>
        <v>210</v>
      </c>
      <c r="I54" s="288">
        <f>+IFERROR(VLOOKUP(F54,NVL!$B:$F,4,0),"")</f>
        <v>109</v>
      </c>
      <c r="J54" s="313"/>
      <c r="K54" s="290" t="s">
        <v>98</v>
      </c>
      <c r="L54" s="291">
        <f>+IFERROR(VLOOKUP(K54,'THÀNH PHẨM'!$B:$F,3,0),"")</f>
        <v>210</v>
      </c>
      <c r="M54" s="291">
        <f>+IFERROR(VLOOKUP(K54,'THÀNH PHẨM'!$B:$F,4,0),"")</f>
        <v>91</v>
      </c>
      <c r="N54" s="291">
        <f>+IFERROR(VLOOKUP(K54,'THÀNH PHẨM'!$B:$F,5,0),"")</f>
        <v>800</v>
      </c>
      <c r="O54" s="289">
        <v>10.0</v>
      </c>
      <c r="P54" s="292">
        <f t="shared" si="2"/>
        <v>152.88</v>
      </c>
      <c r="Q54" s="289"/>
      <c r="R54" s="289"/>
      <c r="S54" s="293">
        <f t="shared" si="13"/>
        <v>0</v>
      </c>
      <c r="T54" s="313"/>
      <c r="U54" s="313"/>
      <c r="V54" s="313"/>
      <c r="W54" s="313"/>
      <c r="X54" s="313"/>
      <c r="Y54" s="313"/>
      <c r="Z54" s="313"/>
      <c r="AA54" s="313"/>
      <c r="AB54" s="300"/>
      <c r="AC54" s="313"/>
      <c r="AD54" s="313"/>
      <c r="AE54" s="303"/>
      <c r="AF54" s="304"/>
      <c r="AG54" s="304"/>
      <c r="AH54" s="304"/>
      <c r="AI54" s="304"/>
      <c r="AJ54" s="304"/>
      <c r="AK54" s="313"/>
      <c r="AL54" s="313"/>
      <c r="AM54" s="284"/>
    </row>
    <row r="55" ht="15.75" customHeight="1">
      <c r="A55" s="282">
        <f t="shared" si="1"/>
        <v>51</v>
      </c>
      <c r="B55" s="283">
        <v>45665.0</v>
      </c>
      <c r="C55" s="335" t="s">
        <v>330</v>
      </c>
      <c r="D55" s="338" t="s">
        <v>357</v>
      </c>
      <c r="E55" s="286" t="s">
        <v>304</v>
      </c>
      <c r="F55" s="287" t="s">
        <v>189</v>
      </c>
      <c r="G55" s="288" t="str">
        <f>+IFERROR(VLOOKUP(F55,NVL!$B:$C,2,0),"")</f>
        <v>Ivory Ningbo</v>
      </c>
      <c r="H55" s="288">
        <f>+IFERROR(VLOOKUP(F55,NVL!$B:$D,3,0),"")</f>
        <v>230</v>
      </c>
      <c r="I55" s="288">
        <f>+IFERROR(VLOOKUP(F55,NVL!$B:$F,4,0),"")</f>
        <v>109</v>
      </c>
      <c r="J55" s="289">
        <v>9150.0</v>
      </c>
      <c r="K55" s="290" t="s">
        <v>120</v>
      </c>
      <c r="L55" s="291">
        <f>+IFERROR(VLOOKUP(K55,'THÀNH PHẨM'!$B:$F,3,0),"")</f>
        <v>230</v>
      </c>
      <c r="M55" s="291">
        <f>+IFERROR(VLOOKUP(K55,'THÀNH PHẨM'!$B:$F,4,0),"")</f>
        <v>98</v>
      </c>
      <c r="N55" s="291">
        <f>+IFERROR(VLOOKUP(K55,'THÀNH PHẨM'!$B:$F,5,0),"")</f>
        <v>800</v>
      </c>
      <c r="O55" s="289">
        <v>494.0</v>
      </c>
      <c r="P55" s="292">
        <f t="shared" si="2"/>
        <v>8907.808</v>
      </c>
      <c r="Q55" s="289"/>
      <c r="R55" s="289"/>
      <c r="S55" s="293">
        <f t="shared" si="13"/>
        <v>0</v>
      </c>
      <c r="T55" s="294">
        <v>27.0</v>
      </c>
      <c r="U55" s="295">
        <v>45.0</v>
      </c>
      <c r="V55" s="296">
        <v>9.0</v>
      </c>
      <c r="W55" s="297">
        <v>142.0</v>
      </c>
      <c r="X55" s="298">
        <v>100.0</v>
      </c>
      <c r="Y55" s="292">
        <f>+IF(J55="","",J55-P55-S55-W55-X55)</f>
        <v>0.192</v>
      </c>
      <c r="Z55" s="292">
        <f t="shared" ref="Z55:Z56" si="27">+IF(J55&lt;&gt;"",Y55+W55,0)</f>
        <v>142.192</v>
      </c>
      <c r="AA55" s="299">
        <f t="shared" ref="AA55:AA56" si="28">+IF(IF(J55=";",Z55/J55)&lt;0,0%,(IF(J55="","",Z55/J55)))</f>
        <v>0.01554010929</v>
      </c>
      <c r="AB55" s="300"/>
      <c r="AC55" s="345" t="s">
        <v>235</v>
      </c>
      <c r="AD55" s="342">
        <v>8.0</v>
      </c>
      <c r="AE55" s="303"/>
      <c r="AF55" s="304"/>
      <c r="AG55" s="304"/>
      <c r="AH55" s="304"/>
      <c r="AI55" s="304"/>
      <c r="AJ55" s="304"/>
      <c r="AK55" s="305" t="s">
        <v>355</v>
      </c>
      <c r="AL55" s="283">
        <v>45670.0</v>
      </c>
      <c r="AM55" s="284"/>
    </row>
    <row r="56" ht="15.75" customHeight="1">
      <c r="A56" s="282">
        <f t="shared" si="1"/>
        <v>52</v>
      </c>
      <c r="B56" s="283">
        <v>45670.0</v>
      </c>
      <c r="C56" s="335" t="s">
        <v>330</v>
      </c>
      <c r="D56" s="338" t="s">
        <v>358</v>
      </c>
      <c r="E56" s="286" t="s">
        <v>304</v>
      </c>
      <c r="F56" s="287" t="s">
        <v>47</v>
      </c>
      <c r="G56" s="288" t="str">
        <f>+IFERROR(VLOOKUP(F56,NVL!$B:$C,2,0),"")</f>
        <v>Ivory Ningbo</v>
      </c>
      <c r="H56" s="288">
        <f>+IFERROR(VLOOKUP(F56,NVL!$B:$D,3,0),"")</f>
        <v>210</v>
      </c>
      <c r="I56" s="288">
        <f>+IFERROR(VLOOKUP(F56,NVL!$B:$F,4,0),"")</f>
        <v>109</v>
      </c>
      <c r="J56" s="306">
        <f>+(1030*4+140)</f>
        <v>4260</v>
      </c>
      <c r="K56" s="290" t="s">
        <v>81</v>
      </c>
      <c r="L56" s="291">
        <f>+IFERROR(VLOOKUP(K56,'THÀNH PHẨM'!$B:$F,3,0),"")</f>
        <v>210</v>
      </c>
      <c r="M56" s="291">
        <f>+IFERROR(VLOOKUP(K56,'THÀNH PHẨM'!$B:$F,4,0),"")</f>
        <v>71</v>
      </c>
      <c r="N56" s="291">
        <f>+IFERROR(VLOOKUP(K56,'THÀNH PHẨM'!$B:$F,5,0),"")</f>
        <v>800</v>
      </c>
      <c r="O56" s="289">
        <v>242.0</v>
      </c>
      <c r="P56" s="292">
        <f t="shared" si="2"/>
        <v>2886.576</v>
      </c>
      <c r="Q56" s="289">
        <v>487.0</v>
      </c>
      <c r="R56" s="289">
        <v>10.0</v>
      </c>
      <c r="S56" s="293">
        <f t="shared" si="13"/>
        <v>72.6117</v>
      </c>
      <c r="T56" s="307">
        <v>12.0</v>
      </c>
      <c r="U56" s="308">
        <v>20.0</v>
      </c>
      <c r="V56" s="309">
        <v>4.0</v>
      </c>
      <c r="W56" s="310">
        <v>113.0</v>
      </c>
      <c r="X56" s="310">
        <v>105.0</v>
      </c>
      <c r="Y56" s="311">
        <f>+IF(J56="","",J56-P56-S56-W56-X56-P57-S57)</f>
        <v>0.30535</v>
      </c>
      <c r="Z56" s="311">
        <f t="shared" si="27"/>
        <v>113.30535</v>
      </c>
      <c r="AA56" s="312">
        <f t="shared" si="28"/>
        <v>0.0265975</v>
      </c>
      <c r="AB56" s="300"/>
      <c r="AC56" s="346" t="s">
        <v>238</v>
      </c>
      <c r="AD56" s="340">
        <v>5.0</v>
      </c>
      <c r="AE56" s="303"/>
      <c r="AF56" s="304"/>
      <c r="AG56" s="304"/>
      <c r="AH56" s="304"/>
      <c r="AI56" s="304"/>
      <c r="AJ56" s="304"/>
      <c r="AK56" s="307" t="s">
        <v>355</v>
      </c>
      <c r="AL56" s="326">
        <v>45672.0</v>
      </c>
      <c r="AM56" s="284"/>
    </row>
    <row r="57" ht="15.75" customHeight="1">
      <c r="A57" s="282">
        <f t="shared" si="1"/>
        <v>53</v>
      </c>
      <c r="B57" s="283">
        <v>45670.0</v>
      </c>
      <c r="C57" s="284" t="s">
        <v>330</v>
      </c>
      <c r="D57" s="338" t="s">
        <v>358</v>
      </c>
      <c r="E57" s="286" t="s">
        <v>304</v>
      </c>
      <c r="F57" s="287" t="s">
        <v>47</v>
      </c>
      <c r="G57" s="288" t="str">
        <f>+IFERROR(VLOOKUP(F57,NVL!$B:$C,2,0),"")</f>
        <v>Ivory Ningbo</v>
      </c>
      <c r="H57" s="288">
        <f>+IFERROR(VLOOKUP(F57,NVL!$B:$D,3,0),"")</f>
        <v>210</v>
      </c>
      <c r="I57" s="288">
        <f>+IFERROR(VLOOKUP(F57,NVL!$B:$F,4,0),"")</f>
        <v>109</v>
      </c>
      <c r="J57" s="313"/>
      <c r="K57" s="290" t="s">
        <v>104</v>
      </c>
      <c r="L57" s="291">
        <f>+IFERROR(VLOOKUP(K57,'THÀNH PHẨM'!$B:$F,3,0),"")</f>
        <v>210</v>
      </c>
      <c r="M57" s="291">
        <f>+IFERROR(VLOOKUP(K57,'THÀNH PHẨM'!$B:$F,4,0),"")</f>
        <v>95</v>
      </c>
      <c r="N57" s="291">
        <f>+IFERROR(VLOOKUP(K57,'THÀNH PHẨM'!$B:$F,5,0),"")</f>
        <v>800</v>
      </c>
      <c r="O57" s="289">
        <v>66.0</v>
      </c>
      <c r="P57" s="292">
        <f t="shared" si="2"/>
        <v>1053.36</v>
      </c>
      <c r="Q57" s="289">
        <v>487.0</v>
      </c>
      <c r="R57" s="289">
        <v>3.0</v>
      </c>
      <c r="S57" s="293">
        <f t="shared" si="13"/>
        <v>29.14695</v>
      </c>
      <c r="T57" s="313"/>
      <c r="U57" s="313"/>
      <c r="V57" s="313"/>
      <c r="W57" s="313"/>
      <c r="X57" s="313"/>
      <c r="Y57" s="313"/>
      <c r="Z57" s="313"/>
      <c r="AA57" s="313"/>
      <c r="AB57" s="300"/>
      <c r="AC57" s="313"/>
      <c r="AD57" s="313"/>
      <c r="AE57" s="303"/>
      <c r="AF57" s="304"/>
      <c r="AG57" s="304"/>
      <c r="AH57" s="304"/>
      <c r="AI57" s="304"/>
      <c r="AJ57" s="304"/>
      <c r="AK57" s="313"/>
      <c r="AL57" s="313"/>
      <c r="AM57" s="284"/>
    </row>
    <row r="58" ht="15.75" customHeight="1">
      <c r="A58" s="282">
        <f t="shared" si="1"/>
        <v>54</v>
      </c>
      <c r="B58" s="283">
        <v>45672.0</v>
      </c>
      <c r="C58" s="284" t="s">
        <v>330</v>
      </c>
      <c r="D58" s="338" t="s">
        <v>360</v>
      </c>
      <c r="E58" s="286" t="s">
        <v>304</v>
      </c>
      <c r="F58" s="287" t="s">
        <v>154</v>
      </c>
      <c r="G58" s="288" t="str">
        <f>+IFERROR(VLOOKUP(F58,NVL!$B:$C,2,0),"")</f>
        <v>Ivory Ningbo</v>
      </c>
      <c r="H58" s="288">
        <f>+IFERROR(VLOOKUP(F58,NVL!$B:$D,3,0),"")</f>
        <v>210</v>
      </c>
      <c r="I58" s="288">
        <f>+IFERROR(VLOOKUP(F58,NVL!$B:$F,4,0),"")</f>
        <v>79</v>
      </c>
      <c r="J58" s="289">
        <f>747*3+700</f>
        <v>2941</v>
      </c>
      <c r="K58" s="290" t="s">
        <v>81</v>
      </c>
      <c r="L58" s="291">
        <f>+IFERROR(VLOOKUP(K58,'THÀNH PHẨM'!$B:$F,3,0),"")</f>
        <v>210</v>
      </c>
      <c r="M58" s="291">
        <f>+IFERROR(VLOOKUP(K58,'THÀNH PHẨM'!$B:$F,4,0),"")</f>
        <v>71</v>
      </c>
      <c r="N58" s="291">
        <f>+IFERROR(VLOOKUP(K58,'THÀNH PHẨM'!$B:$F,5,0),"")</f>
        <v>800</v>
      </c>
      <c r="O58" s="289">
        <v>231.0</v>
      </c>
      <c r="P58" s="292">
        <f t="shared" si="2"/>
        <v>2755.368</v>
      </c>
      <c r="Q58" s="289">
        <v>500.0</v>
      </c>
      <c r="R58" s="289">
        <v>11.0</v>
      </c>
      <c r="S58" s="293">
        <f t="shared" si="13"/>
        <v>82.005</v>
      </c>
      <c r="T58" s="294">
        <v>8.0</v>
      </c>
      <c r="U58" s="295">
        <v>16.0</v>
      </c>
      <c r="V58" s="296">
        <v>4.0</v>
      </c>
      <c r="W58" s="297">
        <v>38.63</v>
      </c>
      <c r="X58" s="298">
        <v>65.0</v>
      </c>
      <c r="Y58" s="292">
        <f t="shared" ref="Y58:Y60" si="29">+IF(J58="","",J58-P58-S58-W58-X58)</f>
        <v>-0.003</v>
      </c>
      <c r="Z58" s="292">
        <f t="shared" ref="Z58:Z61" si="30">+IF(J58&lt;&gt;"",Y58+W58,0)</f>
        <v>38.627</v>
      </c>
      <c r="AA58" s="299">
        <f t="shared" ref="AA58:AA61" si="31">+IF(IF(J58=";",Z58/J58)&lt;0,0%,(IF(J58="","",Z58/J58)))</f>
        <v>0.01313396804</v>
      </c>
      <c r="AB58" s="300"/>
      <c r="AC58" s="345" t="s">
        <v>238</v>
      </c>
      <c r="AD58" s="342">
        <v>3.0</v>
      </c>
      <c r="AE58" s="303"/>
      <c r="AF58" s="304"/>
      <c r="AG58" s="304"/>
      <c r="AH58" s="304"/>
      <c r="AI58" s="304"/>
      <c r="AJ58" s="304"/>
      <c r="AK58" s="305" t="s">
        <v>355</v>
      </c>
      <c r="AL58" s="283">
        <v>45674.0</v>
      </c>
      <c r="AM58" s="284"/>
    </row>
    <row r="59" ht="15.75" customHeight="1">
      <c r="A59" s="282">
        <f t="shared" si="1"/>
        <v>55</v>
      </c>
      <c r="B59" s="283">
        <v>45674.0</v>
      </c>
      <c r="C59" s="284" t="s">
        <v>353</v>
      </c>
      <c r="D59" s="338" t="s">
        <v>362</v>
      </c>
      <c r="E59" s="286" t="s">
        <v>131</v>
      </c>
      <c r="F59" s="287" t="s">
        <v>47</v>
      </c>
      <c r="G59" s="288" t="str">
        <f>+IFERROR(VLOOKUP(F59,NVL!$B:$C,2,0),"")</f>
        <v>Ivory Ningbo</v>
      </c>
      <c r="H59" s="288">
        <f>+IFERROR(VLOOKUP(F59,NVL!$B:$D,3,0),"")</f>
        <v>210</v>
      </c>
      <c r="I59" s="288">
        <f>+IFERROR(VLOOKUP(F59,NVL!$B:$F,4,0),"")</f>
        <v>109</v>
      </c>
      <c r="J59" s="289">
        <f>182+13*981</f>
        <v>12935</v>
      </c>
      <c r="K59" s="290" t="s">
        <v>123</v>
      </c>
      <c r="L59" s="291">
        <f>+IFERROR(VLOOKUP(K59,'THÀNH PHẨM'!$B:$F,3,0),"")</f>
        <v>250</v>
      </c>
      <c r="M59" s="291">
        <f>+IFERROR(VLOOKUP(K59,'THÀNH PHẨM'!$B:$F,4,0),"")</f>
        <v>90</v>
      </c>
      <c r="N59" s="291">
        <f>+IFERROR(VLOOKUP(K59,'THÀNH PHẨM'!$B:$F,5,0),"")</f>
        <v>800</v>
      </c>
      <c r="O59" s="289">
        <v>704.0</v>
      </c>
      <c r="P59" s="292">
        <f t="shared" si="2"/>
        <v>12672</v>
      </c>
      <c r="Q59" s="289"/>
      <c r="R59" s="289"/>
      <c r="S59" s="293">
        <f t="shared" si="13"/>
        <v>0</v>
      </c>
      <c r="T59" s="294">
        <v>39.0</v>
      </c>
      <c r="U59" s="295">
        <v>65.0</v>
      </c>
      <c r="V59" s="296">
        <v>13.0</v>
      </c>
      <c r="W59" s="297">
        <v>233.0</v>
      </c>
      <c r="X59" s="298">
        <v>30.0</v>
      </c>
      <c r="Y59" s="292">
        <f t="shared" si="29"/>
        <v>0</v>
      </c>
      <c r="Z59" s="292">
        <f t="shared" si="30"/>
        <v>233</v>
      </c>
      <c r="AA59" s="299">
        <f t="shared" si="31"/>
        <v>0.01801314264</v>
      </c>
      <c r="AB59" s="300"/>
      <c r="AC59" s="345" t="s">
        <v>235</v>
      </c>
      <c r="AD59" s="342">
        <f>2+3+3+2+1+2</f>
        <v>13</v>
      </c>
      <c r="AE59" s="303"/>
      <c r="AF59" s="304"/>
      <c r="AG59" s="304"/>
      <c r="AH59" s="304"/>
      <c r="AI59" s="304"/>
      <c r="AJ59" s="304"/>
      <c r="AK59" s="305" t="s">
        <v>355</v>
      </c>
      <c r="AL59" s="283">
        <v>45681.0</v>
      </c>
      <c r="AM59" s="284"/>
    </row>
    <row r="60" ht="15.75" customHeight="1">
      <c r="A60" s="282">
        <f t="shared" si="1"/>
        <v>56</v>
      </c>
      <c r="B60" s="283">
        <v>45692.0</v>
      </c>
      <c r="C60" s="284" t="s">
        <v>363</v>
      </c>
      <c r="D60" s="338" t="s">
        <v>364</v>
      </c>
      <c r="E60" s="286" t="s">
        <v>304</v>
      </c>
      <c r="F60" s="287" t="s">
        <v>189</v>
      </c>
      <c r="G60" s="288" t="str">
        <f>+IFERROR(VLOOKUP(F60,NVL!$B:$C,2,0),"")</f>
        <v>Ivory Ningbo</v>
      </c>
      <c r="H60" s="288">
        <f>+IFERROR(VLOOKUP(F60,NVL!$B:$D,3,0),"")</f>
        <v>230</v>
      </c>
      <c r="I60" s="288">
        <f>+IFERROR(VLOOKUP(F60,NVL!$B:$F,4,0),"")</f>
        <v>109</v>
      </c>
      <c r="J60" s="289">
        <v>6930.0</v>
      </c>
      <c r="K60" s="290" t="s">
        <v>120</v>
      </c>
      <c r="L60" s="291">
        <f>+IFERROR(VLOOKUP(K60,'THÀNH PHẨM'!$B:$F,3,0),"")</f>
        <v>230</v>
      </c>
      <c r="M60" s="291">
        <f>+IFERROR(VLOOKUP(K60,'THÀNH PHẨM'!$B:$F,4,0),"")</f>
        <v>98</v>
      </c>
      <c r="N60" s="291">
        <f>+IFERROR(VLOOKUP(K60,'THÀNH PHẨM'!$B:$F,5,0),"")</f>
        <v>800</v>
      </c>
      <c r="O60" s="289">
        <v>341.0</v>
      </c>
      <c r="P60" s="292">
        <f t="shared" si="2"/>
        <v>6148.912</v>
      </c>
      <c r="Q60" s="289"/>
      <c r="R60" s="289"/>
      <c r="S60" s="293">
        <f t="shared" si="13"/>
        <v>0</v>
      </c>
      <c r="T60" s="293">
        <v>21.0</v>
      </c>
      <c r="U60" s="322">
        <v>30.0</v>
      </c>
      <c r="V60" s="293">
        <v>6.0</v>
      </c>
      <c r="W60" s="347">
        <v>76.08799999999977</v>
      </c>
      <c r="X60" s="293">
        <v>705.0</v>
      </c>
      <c r="Y60" s="292">
        <f t="shared" si="29"/>
        <v>0</v>
      </c>
      <c r="Z60" s="292">
        <f t="shared" si="30"/>
        <v>76.088</v>
      </c>
      <c r="AA60" s="299">
        <f t="shared" si="31"/>
        <v>0.01097950938</v>
      </c>
      <c r="AB60" s="300"/>
      <c r="AC60" s="301" t="s">
        <v>235</v>
      </c>
      <c r="AD60" s="302">
        <v>6.0</v>
      </c>
      <c r="AE60" s="303"/>
      <c r="AF60" s="304">
        <v>341.0</v>
      </c>
      <c r="AG60" s="304">
        <v>4.04</v>
      </c>
      <c r="AH60" s="304">
        <v>6.83</v>
      </c>
      <c r="AI60" s="304">
        <v>5.08</v>
      </c>
      <c r="AJ60" s="304"/>
      <c r="AK60" s="322" t="s">
        <v>352</v>
      </c>
      <c r="AL60" s="348">
        <v>45694.0</v>
      </c>
      <c r="AM60" s="284"/>
    </row>
    <row r="61" ht="15.75" customHeight="1">
      <c r="A61" s="282">
        <f t="shared" si="1"/>
        <v>57</v>
      </c>
      <c r="B61" s="283">
        <v>45329.0</v>
      </c>
      <c r="C61" s="320" t="s">
        <v>366</v>
      </c>
      <c r="D61" s="338" t="s">
        <v>367</v>
      </c>
      <c r="E61" s="286" t="s">
        <v>368</v>
      </c>
      <c r="F61" s="287" t="s">
        <v>47</v>
      </c>
      <c r="G61" s="288" t="str">
        <f>+IFERROR(VLOOKUP(F61,NVL!$B:$C,2,0),"")</f>
        <v>Ivory Ningbo</v>
      </c>
      <c r="H61" s="288">
        <f>+IFERROR(VLOOKUP(F61,NVL!$B:$D,3,0),"")</f>
        <v>210</v>
      </c>
      <c r="I61" s="288">
        <f>+IFERROR(VLOOKUP(F61,NVL!$B:$F,4,0),"")</f>
        <v>109</v>
      </c>
      <c r="J61" s="306">
        <v>20705.0</v>
      </c>
      <c r="K61" s="290" t="s">
        <v>81</v>
      </c>
      <c r="L61" s="291">
        <f>+IFERROR(VLOOKUP(K61,'THÀNH PHẨM'!$B:$F,3,0),"")</f>
        <v>210</v>
      </c>
      <c r="M61" s="291">
        <f>+IFERROR(VLOOKUP(K61,'THÀNH PHẨM'!$B:$F,4,0),"")</f>
        <v>71</v>
      </c>
      <c r="N61" s="291">
        <f>+IFERROR(VLOOKUP(K61,'THÀNH PHẨM'!$B:$F,5,0),"")</f>
        <v>800</v>
      </c>
      <c r="O61" s="289">
        <v>1210.0</v>
      </c>
      <c r="P61" s="292">
        <f t="shared" si="2"/>
        <v>14432.88</v>
      </c>
      <c r="Q61" s="289"/>
      <c r="R61" s="289"/>
      <c r="S61" s="293">
        <f t="shared" si="13"/>
        <v>0</v>
      </c>
      <c r="T61" s="307">
        <v>60.0</v>
      </c>
      <c r="U61" s="349">
        <v>100.0</v>
      </c>
      <c r="V61" s="350">
        <v>20.0</v>
      </c>
      <c r="W61" s="310">
        <v>534.2400000000007</v>
      </c>
      <c r="X61" s="310">
        <v>503.0</v>
      </c>
      <c r="Y61" s="311">
        <f>+IF(J61="","",J61-P61-S61-W61-X61-P62)</f>
        <v>0</v>
      </c>
      <c r="Z61" s="311">
        <f t="shared" si="30"/>
        <v>534.24</v>
      </c>
      <c r="AA61" s="312">
        <f t="shared" si="31"/>
        <v>0.02580246317</v>
      </c>
      <c r="AB61" s="300"/>
      <c r="AC61" s="301" t="s">
        <v>238</v>
      </c>
      <c r="AD61" s="302">
        <f>16+3+1</f>
        <v>20</v>
      </c>
      <c r="AE61" s="303"/>
      <c r="AF61" s="304">
        <v>1215.0</v>
      </c>
      <c r="AG61" s="304">
        <v>13.455</v>
      </c>
      <c r="AH61" s="304">
        <v>22.77</v>
      </c>
      <c r="AI61" s="304">
        <v>13.070776949999999</v>
      </c>
      <c r="AJ61" s="304"/>
      <c r="AK61" s="321" t="s">
        <v>352</v>
      </c>
      <c r="AL61" s="326">
        <v>45707.0</v>
      </c>
      <c r="AM61" s="284"/>
    </row>
    <row r="62" ht="15.75" customHeight="1">
      <c r="A62" s="282">
        <f t="shared" si="1"/>
        <v>58</v>
      </c>
      <c r="B62" s="283">
        <v>45329.0</v>
      </c>
      <c r="C62" s="320" t="s">
        <v>366</v>
      </c>
      <c r="D62" s="338" t="s">
        <v>367</v>
      </c>
      <c r="E62" s="286" t="s">
        <v>368</v>
      </c>
      <c r="F62" s="287" t="s">
        <v>47</v>
      </c>
      <c r="G62" s="288" t="str">
        <f>+IFERROR(VLOOKUP(F62,NVL!$B:$C,2,0),"")</f>
        <v>Ivory Ningbo</v>
      </c>
      <c r="H62" s="288">
        <f>+IFERROR(VLOOKUP(F62,NVL!$B:$D,3,0),"")</f>
        <v>210</v>
      </c>
      <c r="I62" s="288">
        <f>+IFERROR(VLOOKUP(F62,NVL!$B:$F,4,0),"")</f>
        <v>109</v>
      </c>
      <c r="J62" s="313"/>
      <c r="K62" s="290" t="s">
        <v>104</v>
      </c>
      <c r="L62" s="291">
        <f>+IFERROR(VLOOKUP(K62,'THÀNH PHẨM'!$B:$F,3,0),"")</f>
        <v>210</v>
      </c>
      <c r="M62" s="291">
        <f>+IFERROR(VLOOKUP(K62,'THÀNH PHẨM'!$B:$F,4,0),"")</f>
        <v>95</v>
      </c>
      <c r="N62" s="291">
        <f>+IFERROR(VLOOKUP(K62,'THÀNH PHẨM'!$B:$F,5,0),"")</f>
        <v>800</v>
      </c>
      <c r="O62" s="289">
        <v>328.0</v>
      </c>
      <c r="P62" s="292">
        <f t="shared" si="2"/>
        <v>5234.88</v>
      </c>
      <c r="Q62" s="289"/>
      <c r="R62" s="289"/>
      <c r="S62" s="293">
        <f t="shared" si="13"/>
        <v>0</v>
      </c>
      <c r="T62" s="313"/>
      <c r="U62" s="313"/>
      <c r="V62" s="313"/>
      <c r="W62" s="313"/>
      <c r="X62" s="313"/>
      <c r="Y62" s="313"/>
      <c r="Z62" s="313"/>
      <c r="AA62" s="313"/>
      <c r="AB62" s="300"/>
      <c r="AC62" s="301" t="s">
        <v>238</v>
      </c>
      <c r="AD62" s="302">
        <v>7.0</v>
      </c>
      <c r="AE62" s="303">
        <v>20.0</v>
      </c>
      <c r="AF62" s="304">
        <v>330.0</v>
      </c>
      <c r="AG62" s="304">
        <v>4.70925</v>
      </c>
      <c r="AH62" s="304">
        <v>7.969500000000001</v>
      </c>
      <c r="AI62" s="304">
        <v>4.7408382</v>
      </c>
      <c r="AJ62" s="304"/>
      <c r="AK62" s="313"/>
      <c r="AL62" s="313"/>
      <c r="AM62" s="284"/>
    </row>
    <row r="63" ht="15.75" customHeight="1">
      <c r="A63" s="282">
        <f t="shared" si="1"/>
        <v>59</v>
      </c>
      <c r="B63" s="283">
        <v>45707.0</v>
      </c>
      <c r="C63" s="320" t="s">
        <v>369</v>
      </c>
      <c r="D63" s="338" t="s">
        <v>370</v>
      </c>
      <c r="E63" s="286" t="s">
        <v>368</v>
      </c>
      <c r="F63" s="287" t="s">
        <v>47</v>
      </c>
      <c r="G63" s="288" t="str">
        <f>+IFERROR(VLOOKUP(F63,NVL!$B:$C,2,0),"")</f>
        <v>Ivory Ningbo</v>
      </c>
      <c r="H63" s="288">
        <f>+IFERROR(VLOOKUP(F63,NVL!$B:$D,3,0),"")</f>
        <v>210</v>
      </c>
      <c r="I63" s="288">
        <f>+IFERROR(VLOOKUP(F63,NVL!$B:$F,4,0),"")</f>
        <v>109</v>
      </c>
      <c r="J63" s="306">
        <v>5653.0</v>
      </c>
      <c r="K63" s="290" t="s">
        <v>93</v>
      </c>
      <c r="L63" s="291">
        <f>+IFERROR(VLOOKUP(K63,'THÀNH PHẨM'!$B:$F,3,0),"")</f>
        <v>210</v>
      </c>
      <c r="M63" s="291">
        <f>+IFERROR(VLOOKUP(K63,'THÀNH PHẨM'!$B:$F,4,0),"")</f>
        <v>88</v>
      </c>
      <c r="N63" s="291">
        <f>+IFERROR(VLOOKUP(K63,'THÀNH PHẨM'!$B:$F,5,0),"")</f>
        <v>800</v>
      </c>
      <c r="O63" s="289">
        <v>260.0</v>
      </c>
      <c r="P63" s="292">
        <f t="shared" si="2"/>
        <v>3843.84</v>
      </c>
      <c r="Q63" s="289"/>
      <c r="R63" s="289"/>
      <c r="S63" s="293">
        <f t="shared" si="13"/>
        <v>0</v>
      </c>
      <c r="T63" s="307">
        <v>15.0</v>
      </c>
      <c r="U63" s="349">
        <v>25.0</v>
      </c>
      <c r="V63" s="350">
        <v>5.0</v>
      </c>
      <c r="W63" s="310">
        <v>99.2399999999999</v>
      </c>
      <c r="X63" s="310">
        <v>880.0</v>
      </c>
      <c r="Y63" s="311">
        <f>+IF(J63="","",J63-P63-S63-W63-X63-P64)</f>
        <v>0</v>
      </c>
      <c r="Z63" s="311">
        <f>+IF(J63&lt;&gt;"",Y63+W63,0)</f>
        <v>99.24</v>
      </c>
      <c r="AA63" s="312">
        <f>+IF(IF(J63=";",Z63/J63)&lt;0,0%,(IF(J63="","",Z63/J63)))</f>
        <v>0.01755528038</v>
      </c>
      <c r="AB63" s="300"/>
      <c r="AC63" s="301" t="s">
        <v>238</v>
      </c>
      <c r="AD63" s="302">
        <v>5.0</v>
      </c>
      <c r="AE63" s="303"/>
      <c r="AF63" s="304">
        <v>260.0</v>
      </c>
      <c r="AG63" s="304">
        <v>3.36375</v>
      </c>
      <c r="AH63" s="304">
        <v>5.6925</v>
      </c>
      <c r="AI63" s="304">
        <v>3.4810776000000003</v>
      </c>
      <c r="AJ63" s="304"/>
      <c r="AK63" s="321" t="s">
        <v>352</v>
      </c>
      <c r="AL63" s="326">
        <v>45709.0</v>
      </c>
      <c r="AM63" s="284"/>
    </row>
    <row r="64" ht="15.75" customHeight="1">
      <c r="A64" s="282">
        <f t="shared" si="1"/>
        <v>60</v>
      </c>
      <c r="B64" s="283">
        <v>45707.0</v>
      </c>
      <c r="C64" s="320" t="s">
        <v>369</v>
      </c>
      <c r="D64" s="338" t="s">
        <v>370</v>
      </c>
      <c r="E64" s="286" t="s">
        <v>368</v>
      </c>
      <c r="F64" s="287" t="s">
        <v>47</v>
      </c>
      <c r="G64" s="288" t="str">
        <f>+IFERROR(VLOOKUP(F64,NVL!$B:$C,2,0),"")</f>
        <v>Ivory Ningbo</v>
      </c>
      <c r="H64" s="288">
        <f>+IFERROR(VLOOKUP(F64,NVL!$B:$D,3,0),"")</f>
        <v>210</v>
      </c>
      <c r="I64" s="288">
        <f>+IFERROR(VLOOKUP(F64,NVL!$B:$F,4,0),"")</f>
        <v>109</v>
      </c>
      <c r="J64" s="313"/>
      <c r="K64" s="290" t="s">
        <v>104</v>
      </c>
      <c r="L64" s="291">
        <f>+IFERROR(VLOOKUP(K64,'THÀNH PHẨM'!$B:$F,3,0),"")</f>
        <v>210</v>
      </c>
      <c r="M64" s="291">
        <f>+IFERROR(VLOOKUP(K64,'THÀNH PHẨM'!$B:$F,4,0),"")</f>
        <v>95</v>
      </c>
      <c r="N64" s="291">
        <f>+IFERROR(VLOOKUP(K64,'THÀNH PHẨM'!$B:$F,5,0),"")</f>
        <v>800</v>
      </c>
      <c r="O64" s="289">
        <v>52.0</v>
      </c>
      <c r="P64" s="292">
        <f t="shared" si="2"/>
        <v>829.92</v>
      </c>
      <c r="Q64" s="289"/>
      <c r="R64" s="289"/>
      <c r="S64" s="293">
        <f t="shared" si="13"/>
        <v>0</v>
      </c>
      <c r="T64" s="313"/>
      <c r="U64" s="313"/>
      <c r="V64" s="313"/>
      <c r="W64" s="313"/>
      <c r="X64" s="313"/>
      <c r="Y64" s="313"/>
      <c r="Z64" s="313"/>
      <c r="AA64" s="313"/>
      <c r="AB64" s="300"/>
      <c r="AC64" s="301" t="s">
        <v>238</v>
      </c>
      <c r="AD64" s="302"/>
      <c r="AE64" s="303"/>
      <c r="AF64" s="304">
        <v>52.0</v>
      </c>
      <c r="AG64" s="304"/>
      <c r="AH64" s="304"/>
      <c r="AI64" s="304">
        <v>0.7515963000000001</v>
      </c>
      <c r="AJ64" s="304"/>
      <c r="AK64" s="313"/>
      <c r="AL64" s="313"/>
      <c r="AM64" s="284"/>
    </row>
    <row r="65" ht="15.75" customHeight="1">
      <c r="A65" s="282">
        <f t="shared" si="1"/>
        <v>61</v>
      </c>
      <c r="B65" s="283">
        <v>45710.0</v>
      </c>
      <c r="C65" s="284" t="s">
        <v>371</v>
      </c>
      <c r="D65" s="338" t="s">
        <v>372</v>
      </c>
      <c r="E65" s="286" t="s">
        <v>373</v>
      </c>
      <c r="F65" s="287" t="s">
        <v>88</v>
      </c>
      <c r="G65" s="288" t="str">
        <f>+IFERROR(VLOOKUP(F65,NVL!$B:$C,2,0),"")</f>
        <v>Ivory Ningbo</v>
      </c>
      <c r="H65" s="288">
        <f>+IFERROR(VLOOKUP(F65,NVL!$B:$D,3,0),"")</f>
        <v>250</v>
      </c>
      <c r="I65" s="288">
        <f>+IFERROR(VLOOKUP(F65,NVL!$B:$F,4,0),"")</f>
        <v>109</v>
      </c>
      <c r="J65" s="289">
        <v>13734.0</v>
      </c>
      <c r="K65" s="290" t="s">
        <v>123</v>
      </c>
      <c r="L65" s="291">
        <f>+IFERROR(VLOOKUP(K65,'THÀNH PHẨM'!$B:$F,3,0),"")</f>
        <v>250</v>
      </c>
      <c r="M65" s="291">
        <f>+IFERROR(VLOOKUP(K65,'THÀNH PHẨM'!$B:$F,4,0),"")</f>
        <v>90</v>
      </c>
      <c r="N65" s="291">
        <f>+IFERROR(VLOOKUP(K65,'THÀNH PHẨM'!$B:$F,5,0),"")</f>
        <v>800</v>
      </c>
      <c r="O65" s="289">
        <v>732.0</v>
      </c>
      <c r="P65" s="292">
        <f t="shared" si="2"/>
        <v>13176</v>
      </c>
      <c r="Q65" s="289"/>
      <c r="R65" s="289"/>
      <c r="S65" s="293">
        <f t="shared" si="13"/>
        <v>0</v>
      </c>
      <c r="T65" s="294">
        <f t="shared" ref="T65:T66" si="32">13*3</f>
        <v>39</v>
      </c>
      <c r="U65" s="295">
        <f t="shared" ref="U65:U66" si="33">13*5</f>
        <v>65</v>
      </c>
      <c r="V65" s="296">
        <v>13.0</v>
      </c>
      <c r="W65" s="297">
        <v>153.0</v>
      </c>
      <c r="X65" s="298">
        <v>405.0</v>
      </c>
      <c r="Y65" s="292">
        <f>+IF(J65="","",J65-P65-S65-W65-X65)</f>
        <v>0</v>
      </c>
      <c r="Z65" s="292">
        <f>+IF(J65&lt;&gt;"",Y65+W65,0)</f>
        <v>153</v>
      </c>
      <c r="AA65" s="299">
        <f t="shared" ref="AA65:AA66" si="34">+IF(IF(J65=";",Z65/J65)&lt;0,0%,(IF(J65="","",Z65/J65)))</f>
        <v>0.01114023591</v>
      </c>
      <c r="AB65" s="300"/>
      <c r="AC65" s="301" t="s">
        <v>235</v>
      </c>
      <c r="AD65" s="302">
        <f>12+2</f>
        <v>14</v>
      </c>
      <c r="AE65" s="303">
        <f>14*4</f>
        <v>56</v>
      </c>
      <c r="AF65" s="304">
        <f>24+144+144+144+144+132</f>
        <v>732</v>
      </c>
      <c r="AG65" s="304">
        <v>9.4185</v>
      </c>
      <c r="AH65" s="304">
        <v>15.939000000000002</v>
      </c>
      <c r="AI65" s="304">
        <v>10.0233126</v>
      </c>
      <c r="AJ65" s="304"/>
      <c r="AK65" s="305" t="s">
        <v>352</v>
      </c>
      <c r="AL65" s="283">
        <v>45716.0</v>
      </c>
      <c r="AM65" s="284"/>
    </row>
    <row r="66" ht="15.75" customHeight="1">
      <c r="A66" s="282">
        <f t="shared" si="1"/>
        <v>62</v>
      </c>
      <c r="B66" s="283">
        <v>45719.0</v>
      </c>
      <c r="C66" s="351" t="s">
        <v>374</v>
      </c>
      <c r="D66" s="352" t="s">
        <v>375</v>
      </c>
      <c r="E66" s="288" t="s">
        <v>304</v>
      </c>
      <c r="F66" s="353" t="s">
        <v>189</v>
      </c>
      <c r="G66" s="288" t="str">
        <f>+IFERROR(VLOOKUP(F66,[2]NVL!$B:$C,2,0),"")</f>
        <v>#ERROR!</v>
      </c>
      <c r="H66" s="288" t="str">
        <f>+IFERROR(VLOOKUP(F66,[2]NVL!$B:$D,3,0),"")</f>
        <v>#ERROR!</v>
      </c>
      <c r="I66" s="288" t="str">
        <f>+IFERROR(VLOOKUP(F66,[2]NVL!$B:$F,4,0),"")</f>
        <v>#ERROR!</v>
      </c>
      <c r="J66" s="354">
        <f>11*990+705+100</f>
        <v>11695</v>
      </c>
      <c r="K66" s="355" t="s">
        <v>120</v>
      </c>
      <c r="L66" s="291" t="str">
        <f t="shared" ref="L66:L71" si="35">+IFERROR(VLOOKUP(K66,'[2]THÀNH PHẨM'!$B:$F,3,0),"")</f>
        <v/>
      </c>
      <c r="M66" s="291" t="str">
        <f t="shared" ref="M66:M71" si="36">+IFERROR(VLOOKUP(K66,'[2]THÀNH PHẨM'!$B:$F,4,0),"")</f>
        <v/>
      </c>
      <c r="N66" s="291" t="str">
        <f t="shared" ref="N66:N71" si="37">+IFERROR(VLOOKUP(K66,'[2]THÀNH PHẨM'!$B:$F,5,0),"")</f>
        <v/>
      </c>
      <c r="O66" s="291">
        <f>76+132+132+132+132+33</f>
        <v>637</v>
      </c>
      <c r="P66" s="292">
        <f t="shared" si="2"/>
        <v>0</v>
      </c>
      <c r="Q66" s="291"/>
      <c r="R66" s="291"/>
      <c r="S66" s="293">
        <f t="shared" si="13"/>
        <v>0</v>
      </c>
      <c r="T66" s="321">
        <f t="shared" si="32"/>
        <v>39</v>
      </c>
      <c r="U66" s="321">
        <f t="shared" si="33"/>
        <v>65</v>
      </c>
      <c r="V66" s="321">
        <v>13.0</v>
      </c>
      <c r="W66" s="356">
        <v>191.136</v>
      </c>
      <c r="X66" s="321">
        <v>0.0</v>
      </c>
      <c r="Y66" s="311">
        <f>+IF(J66="","",J66-P66-P67-S66-S67-W66-X66)</f>
        <v>11503.864</v>
      </c>
      <c r="Z66" s="311">
        <f>+IF(J66&lt;&gt;"",W66+Y66,0)</f>
        <v>11695</v>
      </c>
      <c r="AA66" s="312">
        <f t="shared" si="34"/>
        <v>1</v>
      </c>
      <c r="AB66" s="357" t="str">
        <f>+IF(AA66&gt;=3%,"KHÔNG ĐẠT","ĐẠT")</f>
        <v>KHÔNG ĐẠT</v>
      </c>
      <c r="AC66" s="358" t="s">
        <v>235</v>
      </c>
      <c r="AD66" s="359">
        <f>11</f>
        <v>11</v>
      </c>
      <c r="AE66" s="360"/>
      <c r="AF66" s="304">
        <v>637.0</v>
      </c>
      <c r="AG66" s="304">
        <v>7.400250000000001</v>
      </c>
      <c r="AH66" s="304">
        <v>12.523500000000002</v>
      </c>
      <c r="AI66" s="304">
        <v>9.5</v>
      </c>
      <c r="AJ66" s="304"/>
      <c r="AK66" s="321" t="s">
        <v>352</v>
      </c>
      <c r="AL66" s="361">
        <v>45724.0</v>
      </c>
      <c r="AM66" s="317"/>
    </row>
    <row r="67" ht="15.75" customHeight="1">
      <c r="A67" s="282">
        <f t="shared" si="1"/>
        <v>63</v>
      </c>
      <c r="B67" s="283">
        <v>45719.0</v>
      </c>
      <c r="C67" s="351" t="s">
        <v>378</v>
      </c>
      <c r="D67" s="352" t="s">
        <v>375</v>
      </c>
      <c r="E67" s="288" t="s">
        <v>304</v>
      </c>
      <c r="F67" s="353" t="s">
        <v>189</v>
      </c>
      <c r="G67" s="288" t="str">
        <f>+IFERROR(VLOOKUP(F67,[2]NVL!$B:$C,2,0),"")</f>
        <v>#ERROR!</v>
      </c>
      <c r="H67" s="288" t="str">
        <f>+IFERROR(VLOOKUP(F67,[2]NVL!$B:$D,3,0),"")</f>
        <v>#ERROR!</v>
      </c>
      <c r="I67" s="288" t="str">
        <f>+IFERROR(VLOOKUP(F67,[2]NVL!$B:$F,4,0),"")</f>
        <v>#ERROR!</v>
      </c>
      <c r="J67" s="313"/>
      <c r="K67" s="290" t="s">
        <v>113</v>
      </c>
      <c r="L67" s="291" t="str">
        <f t="shared" si="35"/>
        <v/>
      </c>
      <c r="M67" s="291" t="str">
        <f t="shared" si="36"/>
        <v/>
      </c>
      <c r="N67" s="291" t="str">
        <f t="shared" si="37"/>
        <v/>
      </c>
      <c r="O67" s="289">
        <v>1.0</v>
      </c>
      <c r="P67" s="292">
        <f t="shared" si="2"/>
        <v>0</v>
      </c>
      <c r="Q67" s="289"/>
      <c r="R67" s="289"/>
      <c r="S67" s="293">
        <f t="shared" si="13"/>
        <v>0</v>
      </c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04">
        <v>1.0</v>
      </c>
      <c r="AG67" s="304"/>
      <c r="AH67" s="304"/>
      <c r="AI67" s="304"/>
      <c r="AJ67" s="304"/>
      <c r="AK67" s="313"/>
      <c r="AL67" s="313"/>
      <c r="AM67" s="313"/>
    </row>
    <row r="68" ht="15.75" customHeight="1">
      <c r="A68" s="282">
        <f t="shared" si="1"/>
        <v>64</v>
      </c>
      <c r="B68" s="283">
        <v>45726.0</v>
      </c>
      <c r="C68" s="351" t="s">
        <v>374</v>
      </c>
      <c r="D68" s="285" t="s">
        <v>379</v>
      </c>
      <c r="E68" s="286" t="s">
        <v>304</v>
      </c>
      <c r="F68" s="362" t="s">
        <v>47</v>
      </c>
      <c r="G68" s="316" t="str">
        <f>+IFERROR(VLOOKUP(F68,[2]NVL!$B:$C,2,0),"")</f>
        <v>#ERROR!</v>
      </c>
      <c r="H68" s="316" t="str">
        <f>+IFERROR(VLOOKUP(F68,[2]NVL!$B:$D,3,0),"")</f>
        <v>#ERROR!</v>
      </c>
      <c r="I68" s="316" t="str">
        <f>+IFERROR(VLOOKUP(F68,[2]NVL!$B:$F,4,0),"")</f>
        <v>#ERROR!</v>
      </c>
      <c r="J68" s="306">
        <f>13*1030+880</f>
        <v>14270</v>
      </c>
      <c r="K68" s="290" t="s">
        <v>81</v>
      </c>
      <c r="L68" s="291" t="str">
        <f t="shared" si="35"/>
        <v/>
      </c>
      <c r="M68" s="291" t="str">
        <f t="shared" si="36"/>
        <v/>
      </c>
      <c r="N68" s="291" t="str">
        <f t="shared" si="37"/>
        <v/>
      </c>
      <c r="O68" s="289">
        <f>36+23+36+36+36+18+36</f>
        <v>221</v>
      </c>
      <c r="P68" s="292">
        <f t="shared" si="2"/>
        <v>0</v>
      </c>
      <c r="Q68" s="289"/>
      <c r="R68" s="289"/>
      <c r="S68" s="293">
        <f t="shared" si="13"/>
        <v>0</v>
      </c>
      <c r="T68" s="307">
        <f>14*3</f>
        <v>42</v>
      </c>
      <c r="U68" s="308">
        <f>13*5</f>
        <v>65</v>
      </c>
      <c r="V68" s="309">
        <v>13.0</v>
      </c>
      <c r="W68" s="310">
        <v>354.5519999999997</v>
      </c>
      <c r="X68" s="310">
        <v>650.0</v>
      </c>
      <c r="Y68" s="311">
        <f>+IF(J68="","",J68-P68-P69-S68-S69-W68-X68)</f>
        <v>13265.448</v>
      </c>
      <c r="Z68" s="311">
        <f>+IF(J68&lt;&gt;"",W68+Y68,0)</f>
        <v>13620</v>
      </c>
      <c r="AA68" s="312">
        <f>+IF(IF(J68=";",Z68/J68)&lt;0,0%,(IF(J68="","",Z68/J68)))</f>
        <v>0.9544498949</v>
      </c>
      <c r="AB68" s="357" t="str">
        <f>+IF(AA68&gt;=3%,"KHÔNG ĐẠT","ĐẠT")</f>
        <v>KHÔNG ĐẠT</v>
      </c>
      <c r="AC68" s="363" t="s">
        <v>238</v>
      </c>
      <c r="AD68" s="302">
        <v>4.0</v>
      </c>
      <c r="AE68" s="303"/>
      <c r="AF68" s="304">
        <v>221.0</v>
      </c>
      <c r="AG68" s="304">
        <v>2.6910000000000003</v>
      </c>
      <c r="AH68" s="304">
        <v>4.554</v>
      </c>
      <c r="AI68" s="304">
        <v>2.387307195</v>
      </c>
      <c r="AJ68" s="304"/>
      <c r="AK68" s="321" t="s">
        <v>352</v>
      </c>
      <c r="AL68" s="326">
        <v>45734.0</v>
      </c>
      <c r="AM68" s="284"/>
    </row>
    <row r="69" ht="15.75" customHeight="1">
      <c r="A69" s="282">
        <f t="shared" si="1"/>
        <v>65</v>
      </c>
      <c r="B69" s="283">
        <v>45726.0</v>
      </c>
      <c r="C69" s="335" t="s">
        <v>381</v>
      </c>
      <c r="D69" s="285" t="s">
        <v>379</v>
      </c>
      <c r="E69" s="286" t="s">
        <v>131</v>
      </c>
      <c r="F69" s="313"/>
      <c r="G69" s="313"/>
      <c r="H69" s="313"/>
      <c r="I69" s="313"/>
      <c r="J69" s="313"/>
      <c r="K69" s="290" t="s">
        <v>104</v>
      </c>
      <c r="L69" s="291" t="str">
        <f t="shared" si="35"/>
        <v/>
      </c>
      <c r="M69" s="291" t="str">
        <f t="shared" si="36"/>
        <v/>
      </c>
      <c r="N69" s="291" t="str">
        <f t="shared" si="37"/>
        <v/>
      </c>
      <c r="O69" s="289">
        <f>108+72+108+108+108+54+108</f>
        <v>666</v>
      </c>
      <c r="P69" s="292">
        <f t="shared" si="2"/>
        <v>0</v>
      </c>
      <c r="Q69" s="289"/>
      <c r="R69" s="289"/>
      <c r="S69" s="293">
        <f t="shared" si="13"/>
        <v>0</v>
      </c>
      <c r="T69" s="313"/>
      <c r="U69" s="313"/>
      <c r="V69" s="313"/>
      <c r="W69" s="313"/>
      <c r="X69" s="313"/>
      <c r="Y69" s="313"/>
      <c r="Z69" s="313"/>
      <c r="AA69" s="313"/>
      <c r="AB69" s="313"/>
      <c r="AC69" s="363" t="s">
        <v>238</v>
      </c>
      <c r="AD69" s="302">
        <v>13.0</v>
      </c>
      <c r="AE69" s="303">
        <f>12*4</f>
        <v>48</v>
      </c>
      <c r="AF69" s="304">
        <v>666.0</v>
      </c>
      <c r="AG69" s="304">
        <v>8.073</v>
      </c>
      <c r="AH69" s="304">
        <v>13.662</v>
      </c>
      <c r="AI69" s="304">
        <v>9.62621415</v>
      </c>
      <c r="AJ69" s="304"/>
      <c r="AK69" s="313"/>
      <c r="AL69" s="313"/>
      <c r="AM69" s="284"/>
    </row>
    <row r="70" ht="15.75" customHeight="1">
      <c r="A70" s="282">
        <f t="shared" si="1"/>
        <v>66</v>
      </c>
      <c r="B70" s="283">
        <v>45735.0</v>
      </c>
      <c r="C70" s="335" t="s">
        <v>374</v>
      </c>
      <c r="D70" s="285" t="s">
        <v>385</v>
      </c>
      <c r="E70" s="286" t="s">
        <v>304</v>
      </c>
      <c r="F70" s="362" t="s">
        <v>47</v>
      </c>
      <c r="G70" s="316" t="str">
        <f>+IFERROR(VLOOKUP(F70,[2]NVL!$B:$C,2,0),"")</f>
        <v>#ERROR!</v>
      </c>
      <c r="H70" s="316" t="str">
        <f>+IFERROR(VLOOKUP(F70,[2]NVL!$B:$D,3,0),"")</f>
        <v>#ERROR!</v>
      </c>
      <c r="I70" s="316" t="str">
        <f>+IFERROR(VLOOKUP(F70,[2]NVL!$B:$F,4,0),"")</f>
        <v>#ERROR!</v>
      </c>
      <c r="J70" s="306">
        <f>18*1030+650</f>
        <v>19190</v>
      </c>
      <c r="K70" s="290" t="s">
        <v>81</v>
      </c>
      <c r="L70" s="291" t="str">
        <f t="shared" si="35"/>
        <v/>
      </c>
      <c r="M70" s="291" t="str">
        <f t="shared" si="36"/>
        <v/>
      </c>
      <c r="N70" s="291" t="str">
        <f t="shared" si="37"/>
        <v/>
      </c>
      <c r="O70" s="289">
        <f>74+180+180+90+180+180+180+180+180+90</f>
        <v>1514</v>
      </c>
      <c r="P70" s="292">
        <f t="shared" si="2"/>
        <v>0</v>
      </c>
      <c r="Q70" s="289"/>
      <c r="R70" s="289"/>
      <c r="S70" s="293">
        <f t="shared" si="13"/>
        <v>0</v>
      </c>
      <c r="T70" s="307">
        <f>18*3</f>
        <v>54</v>
      </c>
      <c r="U70" s="308">
        <f>18*5</f>
        <v>90</v>
      </c>
      <c r="V70" s="309">
        <v>18.0</v>
      </c>
      <c r="W70" s="310">
        <v>419.48800000000165</v>
      </c>
      <c r="X70" s="310">
        <v>520.0</v>
      </c>
      <c r="Y70" s="311">
        <f>+IF(J70="","",J70-P70-P71-S70-S71-W70-X70)</f>
        <v>18250.512</v>
      </c>
      <c r="Z70" s="311">
        <f>+IF(J70&lt;&gt;"",W70+Y70,0)</f>
        <v>18670</v>
      </c>
      <c r="AA70" s="312">
        <f>+IF(IF(J70=";",Z70/J70)&lt;0,0%,(IF(J70="","",Z70/J70)))</f>
        <v>0.9729025534</v>
      </c>
      <c r="AB70" s="300"/>
      <c r="AC70" s="363" t="s">
        <v>238</v>
      </c>
      <c r="AD70" s="302">
        <v>25.0</v>
      </c>
      <c r="AE70" s="303"/>
      <c r="AF70" s="304">
        <v>1514.0</v>
      </c>
      <c r="AG70" s="304">
        <v>16.81875</v>
      </c>
      <c r="AH70" s="304">
        <v>28.462500000000002</v>
      </c>
      <c r="AI70" s="304">
        <v>16.354674629999998</v>
      </c>
      <c r="AJ70" s="304"/>
      <c r="AK70" s="321" t="s">
        <v>352</v>
      </c>
      <c r="AL70" s="326">
        <v>45745.0</v>
      </c>
      <c r="AM70" s="284"/>
    </row>
    <row r="71" ht="15.75" customHeight="1">
      <c r="A71" s="282">
        <f t="shared" si="1"/>
        <v>67</v>
      </c>
      <c r="B71" s="283">
        <v>45735.0</v>
      </c>
      <c r="C71" s="335" t="s">
        <v>381</v>
      </c>
      <c r="D71" s="285" t="s">
        <v>385</v>
      </c>
      <c r="E71" s="286" t="s">
        <v>131</v>
      </c>
      <c r="F71" s="313"/>
      <c r="G71" s="313"/>
      <c r="H71" s="313"/>
      <c r="I71" s="313"/>
      <c r="J71" s="313"/>
      <c r="K71" s="290" t="s">
        <v>104</v>
      </c>
      <c r="L71" s="291" t="str">
        <f t="shared" si="35"/>
        <v/>
      </c>
      <c r="M71" s="291" t="str">
        <f t="shared" si="36"/>
        <v/>
      </c>
      <c r="N71" s="291" t="str">
        <f t="shared" si="37"/>
        <v/>
      </c>
      <c r="O71" s="289">
        <v>12.0</v>
      </c>
      <c r="P71" s="292">
        <f t="shared" si="2"/>
        <v>0</v>
      </c>
      <c r="Q71" s="289"/>
      <c r="R71" s="289"/>
      <c r="S71" s="293">
        <f t="shared" si="13"/>
        <v>0</v>
      </c>
      <c r="T71" s="313"/>
      <c r="U71" s="313"/>
      <c r="V71" s="313"/>
      <c r="W71" s="313"/>
      <c r="X71" s="313"/>
      <c r="Y71" s="313"/>
      <c r="Z71" s="313"/>
      <c r="AA71" s="313"/>
      <c r="AB71" s="300"/>
      <c r="AC71" s="363" t="s">
        <v>238</v>
      </c>
      <c r="AD71" s="302"/>
      <c r="AE71" s="303"/>
      <c r="AF71" s="304">
        <v>12.0</v>
      </c>
      <c r="AG71" s="304"/>
      <c r="AH71" s="304"/>
      <c r="AI71" s="304">
        <v>0.1734453</v>
      </c>
      <c r="AJ71" s="304"/>
      <c r="AK71" s="313"/>
      <c r="AL71" s="313"/>
      <c r="AM71" s="284"/>
    </row>
    <row r="72" ht="21.75" customHeight="1">
      <c r="A72" s="282">
        <f t="shared" si="1"/>
        <v>68</v>
      </c>
      <c r="B72" s="348">
        <v>45748.0</v>
      </c>
      <c r="C72" s="351" t="s">
        <v>389</v>
      </c>
      <c r="D72" s="352" t="s">
        <v>390</v>
      </c>
      <c r="E72" s="288" t="s">
        <v>391</v>
      </c>
      <c r="F72" s="353" t="s">
        <v>189</v>
      </c>
      <c r="G72" s="288" t="str">
        <f>+IFERROR(VLOOKUP(F72,[3]NVL!$B:$C,2,0),"")</f>
        <v>#ERROR!</v>
      </c>
      <c r="H72" s="288" t="str">
        <f>+IFERROR(VLOOKUP(F72,[3]NVL!$B:$D,3,0),"")</f>
        <v>#ERROR!</v>
      </c>
      <c r="I72" s="288" t="str">
        <f>+IFERROR(VLOOKUP(F72,[3]NVL!$B:$F,4,0),"")</f>
        <v>#ERROR!</v>
      </c>
      <c r="J72" s="354">
        <f>11*990</f>
        <v>10890</v>
      </c>
      <c r="K72" s="355" t="s">
        <v>113</v>
      </c>
      <c r="L72" s="291" t="str">
        <f t="shared" ref="L72:L76" si="38">+IFERROR(VLOOKUP(K72,'[3]THÀNH PHẨM'!$B:$F,3,0),"")</f>
        <v/>
      </c>
      <c r="M72" s="291" t="str">
        <f t="shared" ref="M72:M76" si="39">+IFERROR(VLOOKUP(K72,'[3]THÀNH PHẨM'!$B:$F,4,0),"")</f>
        <v/>
      </c>
      <c r="N72" s="291" t="str">
        <f t="shared" ref="N72:N76" si="40">+IFERROR(VLOOKUP(K72,'[3]THÀNH PHẨM'!$B:$F,5,0),"")</f>
        <v/>
      </c>
      <c r="O72" s="291">
        <v>300.0</v>
      </c>
      <c r="P72" s="292">
        <f t="shared" si="2"/>
        <v>0</v>
      </c>
      <c r="Q72" s="291"/>
      <c r="R72" s="291"/>
      <c r="S72" s="293">
        <f t="shared" si="13"/>
        <v>0</v>
      </c>
      <c r="T72" s="321">
        <f>10*3</f>
        <v>30</v>
      </c>
      <c r="U72" s="321">
        <f>10*5</f>
        <v>50</v>
      </c>
      <c r="V72" s="321">
        <v>10.0</v>
      </c>
      <c r="W72" s="356">
        <v>383.0</v>
      </c>
      <c r="X72" s="321">
        <v>755.0</v>
      </c>
      <c r="Y72" s="311">
        <f>+IF(J72="","",J72-P72-P73-S72-S73-W72-X72)</f>
        <v>9752</v>
      </c>
      <c r="Z72" s="311">
        <f>+IF(J72&lt;&gt;"",W72+Y72,0)</f>
        <v>10135</v>
      </c>
      <c r="AA72" s="312">
        <f>+IF(IF(J72=";",Z72/J72)&lt;0,0%,(IF(J72="","",Z72/J72)))</f>
        <v>0.9306703398</v>
      </c>
      <c r="AB72" s="357" t="str">
        <f>+IF(AA72&gt;=3%,"KHÔNG ĐẠT","ĐẠT")</f>
        <v>KHÔNG ĐẠT</v>
      </c>
      <c r="AC72" s="364" t="s">
        <v>235</v>
      </c>
      <c r="AD72" s="302">
        <v>5.0</v>
      </c>
      <c r="AE72" s="302"/>
      <c r="AF72" s="304">
        <v>300.0</v>
      </c>
      <c r="AG72" s="304">
        <v>3.36375</v>
      </c>
      <c r="AH72" s="304">
        <v>5.6925</v>
      </c>
      <c r="AI72" s="304">
        <v>4.3361325</v>
      </c>
      <c r="AJ72" s="304"/>
      <c r="AK72" s="321" t="s">
        <v>352</v>
      </c>
      <c r="AL72" s="361">
        <v>45751.0</v>
      </c>
      <c r="AM72" s="365" t="s">
        <v>394</v>
      </c>
    </row>
    <row r="73" ht="15.75" customHeight="1">
      <c r="A73" s="282">
        <f t="shared" si="1"/>
        <v>69</v>
      </c>
      <c r="B73" s="348">
        <v>45748.0</v>
      </c>
      <c r="C73" s="351" t="s">
        <v>389</v>
      </c>
      <c r="D73" s="352" t="s">
        <v>390</v>
      </c>
      <c r="E73" s="288" t="s">
        <v>391</v>
      </c>
      <c r="F73" s="353" t="s">
        <v>189</v>
      </c>
      <c r="G73" s="288" t="str">
        <f>+IFERROR(VLOOKUP(F73,[3]NVL!$B:$C,2,0),"")</f>
        <v>#ERROR!</v>
      </c>
      <c r="H73" s="288" t="str">
        <f>+IFERROR(VLOOKUP(F73,[3]NVL!$B:$D,3,0),"")</f>
        <v>#ERROR!</v>
      </c>
      <c r="I73" s="288" t="str">
        <f>+IFERROR(VLOOKUP(F73,[3]NVL!$B:$F,4,0),"")</f>
        <v>#ERROR!</v>
      </c>
      <c r="J73" s="313"/>
      <c r="K73" s="290" t="s">
        <v>120</v>
      </c>
      <c r="L73" s="291" t="str">
        <f t="shared" si="38"/>
        <v/>
      </c>
      <c r="M73" s="291" t="str">
        <f t="shared" si="39"/>
        <v/>
      </c>
      <c r="N73" s="291" t="str">
        <f t="shared" si="40"/>
        <v/>
      </c>
      <c r="O73" s="289">
        <v>250.0</v>
      </c>
      <c r="P73" s="292">
        <f t="shared" si="2"/>
        <v>0</v>
      </c>
      <c r="Q73" s="289"/>
      <c r="R73" s="289"/>
      <c r="S73" s="293">
        <f t="shared" si="13"/>
        <v>0</v>
      </c>
      <c r="T73" s="313"/>
      <c r="U73" s="313"/>
      <c r="V73" s="313"/>
      <c r="W73" s="313"/>
      <c r="X73" s="313"/>
      <c r="Y73" s="313"/>
      <c r="Z73" s="313"/>
      <c r="AA73" s="313"/>
      <c r="AB73" s="313"/>
      <c r="AC73" s="364" t="s">
        <v>235</v>
      </c>
      <c r="AD73" s="302">
        <v>4.0</v>
      </c>
      <c r="AE73" s="302"/>
      <c r="AF73" s="304">
        <v>250.0</v>
      </c>
      <c r="AG73" s="304">
        <v>2.6910000000000003</v>
      </c>
      <c r="AH73" s="304">
        <v>4.554</v>
      </c>
      <c r="AI73" s="304">
        <v>2.7005737499999998</v>
      </c>
      <c r="AJ73" s="304"/>
      <c r="AK73" s="313"/>
      <c r="AL73" s="313"/>
      <c r="AM73" s="313"/>
    </row>
    <row r="74" ht="15.75" customHeight="1">
      <c r="A74" s="282">
        <f t="shared" si="1"/>
        <v>70</v>
      </c>
      <c r="B74" s="348">
        <v>45752.0</v>
      </c>
      <c r="C74" s="351" t="s">
        <v>395</v>
      </c>
      <c r="D74" s="352" t="s">
        <v>396</v>
      </c>
      <c r="E74" s="288" t="s">
        <v>397</v>
      </c>
      <c r="F74" s="353" t="s">
        <v>47</v>
      </c>
      <c r="G74" s="288" t="str">
        <f>+IFERROR(VLOOKUP(F74,[3]NVL!$B:$C,2,0),"")</f>
        <v>#ERROR!</v>
      </c>
      <c r="H74" s="288" t="str">
        <f>+IFERROR(VLOOKUP(F74,[3]NVL!$B:$D,3,0),"")</f>
        <v>#ERROR!</v>
      </c>
      <c r="I74" s="288" t="str">
        <f>+IFERROR(VLOOKUP(F74,[3]NVL!$B:$F,4,0),"")</f>
        <v>#ERROR!</v>
      </c>
      <c r="J74" s="354">
        <f>12*1030+520</f>
        <v>12880</v>
      </c>
      <c r="K74" s="355" t="s">
        <v>104</v>
      </c>
      <c r="L74" s="291" t="str">
        <f t="shared" si="38"/>
        <v/>
      </c>
      <c r="M74" s="291" t="str">
        <f t="shared" si="39"/>
        <v/>
      </c>
      <c r="N74" s="291" t="str">
        <f t="shared" si="40"/>
        <v/>
      </c>
      <c r="O74" s="291">
        <v>594.0</v>
      </c>
      <c r="P74" s="292">
        <f t="shared" si="2"/>
        <v>0</v>
      </c>
      <c r="Q74" s="291"/>
      <c r="R74" s="291"/>
      <c r="S74" s="293">
        <f t="shared" si="13"/>
        <v>0</v>
      </c>
      <c r="T74" s="321">
        <f>12*3</f>
        <v>36</v>
      </c>
      <c r="U74" s="321">
        <f>12*5</f>
        <v>60</v>
      </c>
      <c r="V74" s="321">
        <v>12.0</v>
      </c>
      <c r="W74" s="356">
        <v>303.94</v>
      </c>
      <c r="X74" s="321">
        <v>746.0</v>
      </c>
      <c r="Y74" s="311">
        <f>+IF(J74="","",J74-P74-P75-S74-S75-W74-X74)</f>
        <v>11830.06</v>
      </c>
      <c r="Z74" s="311">
        <f>+IF(J74&lt;&gt;"",W74+Y74,0)</f>
        <v>12134</v>
      </c>
      <c r="AA74" s="312">
        <f>+IF(IF(J74=";",Z74/J74)&lt;0,0%,(IF(J74="","",Z74/J74)))</f>
        <v>0.9420807453</v>
      </c>
      <c r="AB74" s="357" t="str">
        <f>+IF(AA74&gt;=3%,"KHÔNG ĐẠT","ĐẠT")</f>
        <v>KHÔNG ĐẠT</v>
      </c>
      <c r="AC74" s="364" t="s">
        <v>238</v>
      </c>
      <c r="AD74" s="302">
        <v>12.0</v>
      </c>
      <c r="AE74" s="303">
        <v>48.0</v>
      </c>
      <c r="AF74" s="304">
        <v>650.0</v>
      </c>
      <c r="AG74" s="304">
        <v>8.07</v>
      </c>
      <c r="AH74" s="304">
        <v>13.66</v>
      </c>
      <c r="AI74" s="304">
        <v>8.59</v>
      </c>
      <c r="AJ74" s="304"/>
      <c r="AK74" s="321" t="s">
        <v>352</v>
      </c>
      <c r="AL74" s="361">
        <v>45763.0</v>
      </c>
      <c r="AM74" s="317"/>
    </row>
    <row r="75" ht="15.75" customHeight="1">
      <c r="A75" s="282">
        <f t="shared" si="1"/>
        <v>71</v>
      </c>
      <c r="B75" s="348">
        <v>45752.0</v>
      </c>
      <c r="C75" s="351" t="s">
        <v>395</v>
      </c>
      <c r="D75" s="352" t="s">
        <v>396</v>
      </c>
      <c r="E75" s="288" t="s">
        <v>397</v>
      </c>
      <c r="F75" s="353" t="s">
        <v>47</v>
      </c>
      <c r="G75" s="288" t="str">
        <f>+IFERROR(VLOOKUP(F75,[3]NVL!$B:$C,2,0),"")</f>
        <v>#ERROR!</v>
      </c>
      <c r="H75" s="288" t="str">
        <f>+IFERROR(VLOOKUP(F75,[3]NVL!$B:$D,3,0),"")</f>
        <v>#ERROR!</v>
      </c>
      <c r="I75" s="288" t="str">
        <f>+IFERROR(VLOOKUP(F75,[3]NVL!$B:$F,4,0),"")</f>
        <v>#ERROR!</v>
      </c>
      <c r="J75" s="313"/>
      <c r="K75" s="355" t="s">
        <v>81</v>
      </c>
      <c r="L75" s="291" t="str">
        <f t="shared" si="38"/>
        <v/>
      </c>
      <c r="M75" s="291" t="str">
        <f t="shared" si="39"/>
        <v/>
      </c>
      <c r="N75" s="291" t="str">
        <f t="shared" si="40"/>
        <v/>
      </c>
      <c r="O75" s="289">
        <v>197.0</v>
      </c>
      <c r="P75" s="292">
        <f t="shared" si="2"/>
        <v>0</v>
      </c>
      <c r="Q75" s="289"/>
      <c r="R75" s="289"/>
      <c r="S75" s="293">
        <f t="shared" si="13"/>
        <v>0</v>
      </c>
      <c r="T75" s="313"/>
      <c r="U75" s="313"/>
      <c r="V75" s="313"/>
      <c r="W75" s="313"/>
      <c r="X75" s="313"/>
      <c r="Y75" s="313"/>
      <c r="Z75" s="313"/>
      <c r="AA75" s="313"/>
      <c r="AB75" s="313"/>
      <c r="AC75" s="364" t="s">
        <v>238</v>
      </c>
      <c r="AD75" s="302">
        <v>3.0</v>
      </c>
      <c r="AE75" s="303"/>
      <c r="AF75" s="304">
        <v>207.0</v>
      </c>
      <c r="AG75" s="304">
        <v>2.02</v>
      </c>
      <c r="AH75" s="304">
        <v>3.42</v>
      </c>
      <c r="AI75" s="304">
        <v>2.12</v>
      </c>
      <c r="AJ75" s="304"/>
      <c r="AK75" s="313"/>
      <c r="AL75" s="313"/>
      <c r="AM75" s="313"/>
    </row>
    <row r="76" ht="15.75" customHeight="1">
      <c r="A76" s="282">
        <f t="shared" si="1"/>
        <v>72</v>
      </c>
      <c r="B76" s="283">
        <v>45764.0</v>
      </c>
      <c r="C76" s="335" t="s">
        <v>402</v>
      </c>
      <c r="D76" s="352" t="s">
        <v>403</v>
      </c>
      <c r="E76" s="286" t="s">
        <v>131</v>
      </c>
      <c r="F76" s="353" t="s">
        <v>88</v>
      </c>
      <c r="G76" s="288" t="str">
        <f>+IFERROR(VLOOKUP(F76,[3]NVL!$B:$C,2,0),"")</f>
        <v>#ERROR!</v>
      </c>
      <c r="H76" s="288" t="str">
        <f>+IFERROR(VLOOKUP(F76,[3]NVL!$B:$D,3,0),"")</f>
        <v>#ERROR!</v>
      </c>
      <c r="I76" s="288" t="str">
        <f>+IFERROR(VLOOKUP(F76,[3]NVL!$B:$F,4,0),"")</f>
        <v>#ERROR!</v>
      </c>
      <c r="J76" s="289">
        <f>22*981+405</f>
        <v>21987</v>
      </c>
      <c r="K76" s="355" t="s">
        <v>123</v>
      </c>
      <c r="L76" s="291" t="str">
        <f t="shared" si="38"/>
        <v/>
      </c>
      <c r="M76" s="291" t="str">
        <f t="shared" si="39"/>
        <v/>
      </c>
      <c r="N76" s="291" t="str">
        <f t="shared" si="40"/>
        <v/>
      </c>
      <c r="O76" s="289">
        <f>22*52+12</f>
        <v>1156</v>
      </c>
      <c r="P76" s="292">
        <f t="shared" si="2"/>
        <v>0</v>
      </c>
      <c r="Q76" s="289"/>
      <c r="R76" s="289"/>
      <c r="S76" s="293">
        <f t="shared" si="13"/>
        <v>0</v>
      </c>
      <c r="T76" s="294">
        <f>22*3</f>
        <v>66</v>
      </c>
      <c r="U76" s="295">
        <f>22*5</f>
        <v>110</v>
      </c>
      <c r="V76" s="296">
        <v>22.0</v>
      </c>
      <c r="W76" s="297">
        <v>396.0</v>
      </c>
      <c r="X76" s="298">
        <v>783.0</v>
      </c>
      <c r="Y76" s="292">
        <f>+IF(J76="","",J76-P76-S76-W76-X76)</f>
        <v>20808</v>
      </c>
      <c r="Z76" s="366">
        <f t="shared" ref="Z76:Z77" si="41">+IF(J76&lt;&gt;"",W76+Y76,0)</f>
        <v>21204</v>
      </c>
      <c r="AA76" s="299">
        <f t="shared" ref="AA76:AA77" si="42">+IF(IF(J76=";",Z76/J76)&lt;0,0%,(IF(J76="","",Z76/J76)))</f>
        <v>0.9643880475</v>
      </c>
      <c r="AB76" s="300"/>
      <c r="AC76" s="364" t="s">
        <v>235</v>
      </c>
      <c r="AD76" s="302">
        <v>23.0</v>
      </c>
      <c r="AE76" s="303">
        <v>88.0</v>
      </c>
      <c r="AF76" s="304">
        <f>1156+20</f>
        <v>1176</v>
      </c>
      <c r="AG76" s="304">
        <v>15.47</v>
      </c>
      <c r="AH76" s="304">
        <v>26.19</v>
      </c>
      <c r="AI76" s="304">
        <v>15.83</v>
      </c>
      <c r="AJ76" s="304"/>
      <c r="AK76" s="305" t="s">
        <v>352</v>
      </c>
      <c r="AL76" s="283">
        <v>45765.0</v>
      </c>
      <c r="AM76" s="284"/>
    </row>
    <row r="77" ht="15.75" customHeight="1">
      <c r="A77" s="282">
        <f t="shared" si="1"/>
        <v>73</v>
      </c>
      <c r="B77" s="283">
        <v>45775.0</v>
      </c>
      <c r="C77" s="351" t="s">
        <v>404</v>
      </c>
      <c r="D77" s="285" t="s">
        <v>405</v>
      </c>
      <c r="E77" s="288" t="s">
        <v>397</v>
      </c>
      <c r="F77" s="353" t="s">
        <v>47</v>
      </c>
      <c r="G77" s="288" t="str">
        <f>+IFERROR(VLOOKUP(F77,NVL!$B:$C,2,0),"")</f>
        <v>Ivory Ningbo</v>
      </c>
      <c r="H77" s="288">
        <f>+IFERROR(VLOOKUP(F77,NVL!$B:$D,3,0),"")</f>
        <v>210</v>
      </c>
      <c r="I77" s="288">
        <f>+IFERROR(VLOOKUP(F77,NVL!$B:$F,4,0),"")</f>
        <v>109</v>
      </c>
      <c r="J77" s="306">
        <f>20*1030+746</f>
        <v>21346</v>
      </c>
      <c r="K77" s="355" t="s">
        <v>104</v>
      </c>
      <c r="L77" s="291">
        <f>+IFERROR(VLOOKUP(K77,'THÀNH PHẨM'!$B:$F,3,0),"")</f>
        <v>210</v>
      </c>
      <c r="M77" s="291">
        <f>+IFERROR(VLOOKUP(K77,'THÀNH PHẨM'!$B:$F,4,0),"")</f>
        <v>95</v>
      </c>
      <c r="N77" s="291">
        <f>+IFERROR(VLOOKUP(K77,'THÀNH PHẨM'!$B:$F,5,0),"")</f>
        <v>800</v>
      </c>
      <c r="O77" s="289">
        <f>1035-4</f>
        <v>1031</v>
      </c>
      <c r="P77" s="292">
        <f t="shared" si="2"/>
        <v>16454.76</v>
      </c>
      <c r="Q77" s="289"/>
      <c r="R77" s="289"/>
      <c r="S77" s="293">
        <f t="shared" si="13"/>
        <v>0</v>
      </c>
      <c r="T77" s="321">
        <f>20*3</f>
        <v>60</v>
      </c>
      <c r="U77" s="321">
        <f>20*5</f>
        <v>100</v>
      </c>
      <c r="V77" s="321">
        <v>20.0</v>
      </c>
      <c r="W77" s="356">
        <v>630.72</v>
      </c>
      <c r="X77" s="321">
        <v>205.0</v>
      </c>
      <c r="Y77" s="311">
        <f>+IF(J77="","",J77-P77-P78-S77-W77-X77)</f>
        <v>0</v>
      </c>
      <c r="Z77" s="311">
        <f t="shared" si="41"/>
        <v>630.72</v>
      </c>
      <c r="AA77" s="312">
        <f t="shared" si="42"/>
        <v>0.0295474562</v>
      </c>
      <c r="AB77" s="300"/>
      <c r="AC77" s="364" t="s">
        <v>238</v>
      </c>
      <c r="AD77" s="302">
        <v>18.0</v>
      </c>
      <c r="AE77" s="303">
        <v>64.0</v>
      </c>
      <c r="AF77" s="304">
        <v>1045.0</v>
      </c>
      <c r="AG77" s="304">
        <v>12.11</v>
      </c>
      <c r="AH77" s="304">
        <v>20.49</v>
      </c>
      <c r="AI77" s="304">
        <v>14.9</v>
      </c>
      <c r="AJ77" s="304"/>
      <c r="AK77" s="321" t="s">
        <v>352</v>
      </c>
      <c r="AL77" s="361">
        <v>45790.0</v>
      </c>
      <c r="AM77" s="343"/>
    </row>
    <row r="78" ht="15.75" customHeight="1">
      <c r="A78" s="282">
        <f t="shared" si="1"/>
        <v>74</v>
      </c>
      <c r="B78" s="283">
        <v>45775.0</v>
      </c>
      <c r="C78" s="351" t="s">
        <v>404</v>
      </c>
      <c r="D78" s="285" t="s">
        <v>405</v>
      </c>
      <c r="E78" s="288" t="s">
        <v>397</v>
      </c>
      <c r="F78" s="353" t="s">
        <v>47</v>
      </c>
      <c r="G78" s="288" t="str">
        <f>+IFERROR(VLOOKUP(F78,NVL!$B:$C,2,0),"")</f>
        <v>Ivory Ningbo</v>
      </c>
      <c r="H78" s="288">
        <f>+IFERROR(VLOOKUP(F78,NVL!$B:$D,3,0),"")</f>
        <v>210</v>
      </c>
      <c r="I78" s="288">
        <f>+IFERROR(VLOOKUP(F78,NVL!$B:$F,4,0),"")</f>
        <v>109</v>
      </c>
      <c r="J78" s="313"/>
      <c r="K78" s="355" t="s">
        <v>81</v>
      </c>
      <c r="L78" s="291">
        <f>+IFERROR(VLOOKUP(K78,'THÀNH PHẨM'!$B:$F,3,0),"")</f>
        <v>210</v>
      </c>
      <c r="M78" s="291">
        <f>+IFERROR(VLOOKUP(K78,'THÀNH PHẨM'!$B:$F,4,0),"")</f>
        <v>71</v>
      </c>
      <c r="N78" s="291">
        <f>+IFERROR(VLOOKUP(K78,'THÀNH PHẨM'!$B:$F,5,0),"")</f>
        <v>800</v>
      </c>
      <c r="O78" s="289">
        <f>345-5</f>
        <v>340</v>
      </c>
      <c r="P78" s="292">
        <f t="shared" si="2"/>
        <v>4055.52</v>
      </c>
      <c r="Q78" s="289"/>
      <c r="R78" s="289"/>
      <c r="S78" s="293">
        <f t="shared" si="13"/>
        <v>0</v>
      </c>
      <c r="T78" s="313"/>
      <c r="U78" s="313"/>
      <c r="V78" s="313"/>
      <c r="W78" s="313"/>
      <c r="X78" s="313"/>
      <c r="Y78" s="313"/>
      <c r="Z78" s="313"/>
      <c r="AA78" s="313"/>
      <c r="AB78" s="300"/>
      <c r="AC78" s="364" t="s">
        <v>238</v>
      </c>
      <c r="AD78" s="302">
        <v>6.0</v>
      </c>
      <c r="AE78" s="303"/>
      <c r="AF78" s="304">
        <v>363.0</v>
      </c>
      <c r="AG78" s="304">
        <v>4.04</v>
      </c>
      <c r="AH78" s="304">
        <v>6.83</v>
      </c>
      <c r="AI78" s="304">
        <v>3.67</v>
      </c>
      <c r="AJ78" s="304"/>
      <c r="AK78" s="313"/>
      <c r="AL78" s="313"/>
      <c r="AM78" s="313"/>
    </row>
    <row r="79" ht="15.75" customHeight="1">
      <c r="A79" s="282">
        <f t="shared" si="1"/>
        <v>75</v>
      </c>
      <c r="B79" s="283">
        <v>45790.0</v>
      </c>
      <c r="C79" s="351" t="s">
        <v>406</v>
      </c>
      <c r="D79" s="285" t="s">
        <v>407</v>
      </c>
      <c r="E79" s="288" t="s">
        <v>131</v>
      </c>
      <c r="F79" s="353"/>
      <c r="G79" s="288" t="str">
        <f>+IFERROR(VLOOKUP(F79,NVL!$B:$C,2,0),"")</f>
        <v/>
      </c>
      <c r="H79" s="288">
        <v>210.0</v>
      </c>
      <c r="I79" s="288">
        <v>95.0</v>
      </c>
      <c r="J79" s="367">
        <f>0.21*0.095*3*620+0.21*0.095*3*487</f>
        <v>66.25395</v>
      </c>
      <c r="K79" s="355" t="s">
        <v>104</v>
      </c>
      <c r="L79" s="291">
        <v>210.0</v>
      </c>
      <c r="M79" s="291">
        <v>95.0</v>
      </c>
      <c r="N79" s="291">
        <v>800.0</v>
      </c>
      <c r="O79" s="289">
        <v>4.0</v>
      </c>
      <c r="P79" s="292">
        <f t="shared" si="2"/>
        <v>63.84</v>
      </c>
      <c r="Q79" s="289"/>
      <c r="R79" s="289"/>
      <c r="S79" s="293"/>
      <c r="T79" s="322"/>
      <c r="U79" s="322"/>
      <c r="V79" s="322"/>
      <c r="W79" s="368">
        <v>2.41</v>
      </c>
      <c r="X79" s="322"/>
      <c r="Y79" s="292">
        <f t="shared" ref="Y79:Y80" si="43">+IF(J79="","",J79-P79-S79-W79-X79)</f>
        <v>0.00395</v>
      </c>
      <c r="Z79" s="366">
        <f t="shared" ref="Z79:Z81" si="44">+IF(J79&lt;&gt;"",W79+Y79,0)</f>
        <v>2.41395</v>
      </c>
      <c r="AA79" s="299">
        <f t="shared" ref="AA79:AA81" si="45">+IF(IF(J79=";",Z79/J79)&lt;0,0%,(IF(J79="","",Z79/J79)))</f>
        <v>0.03643480879</v>
      </c>
      <c r="AB79" s="369"/>
      <c r="AC79" s="364"/>
      <c r="AD79" s="302"/>
      <c r="AE79" s="303"/>
      <c r="AF79" s="304"/>
      <c r="AG79" s="304"/>
      <c r="AH79" s="304"/>
      <c r="AI79" s="304">
        <v>0.06</v>
      </c>
      <c r="AJ79" s="304"/>
      <c r="AK79" s="322" t="s">
        <v>352</v>
      </c>
      <c r="AL79" s="348">
        <v>45790.0</v>
      </c>
      <c r="AM79" s="284"/>
    </row>
    <row r="80" ht="15.75" customHeight="1">
      <c r="A80" s="282">
        <f t="shared" si="1"/>
        <v>76</v>
      </c>
      <c r="B80" s="283">
        <v>45790.0</v>
      </c>
      <c r="C80" s="351" t="s">
        <v>406</v>
      </c>
      <c r="D80" s="285" t="s">
        <v>408</v>
      </c>
      <c r="E80" s="288" t="s">
        <v>304</v>
      </c>
      <c r="F80" s="353"/>
      <c r="G80" s="288"/>
      <c r="H80" s="288">
        <v>210.0</v>
      </c>
      <c r="I80" s="288">
        <v>71.0</v>
      </c>
      <c r="J80" s="367">
        <f>0.21*0.071*8*150+0.21*0.071*170+0.21*0.071*2*720+0.21*0.071*2*620</f>
        <v>60.3855</v>
      </c>
      <c r="K80" s="355" t="s">
        <v>81</v>
      </c>
      <c r="L80" s="291">
        <v>210.0</v>
      </c>
      <c r="M80" s="291">
        <v>71.0</v>
      </c>
      <c r="N80" s="291">
        <v>800.0</v>
      </c>
      <c r="O80" s="289">
        <v>5.0</v>
      </c>
      <c r="P80" s="292">
        <f t="shared" si="2"/>
        <v>59.64</v>
      </c>
      <c r="Q80" s="289"/>
      <c r="R80" s="289"/>
      <c r="S80" s="293"/>
      <c r="T80" s="322"/>
      <c r="U80" s="322"/>
      <c r="V80" s="322"/>
      <c r="W80" s="368"/>
      <c r="X80" s="368">
        <f>0.21*0.071*50</f>
        <v>0.7455</v>
      </c>
      <c r="Y80" s="292">
        <f t="shared" si="43"/>
        <v>0</v>
      </c>
      <c r="Z80" s="366">
        <f t="shared" si="44"/>
        <v>0</v>
      </c>
      <c r="AA80" s="299">
        <f t="shared" si="45"/>
        <v>0</v>
      </c>
      <c r="AB80" s="369"/>
      <c r="AC80" s="364"/>
      <c r="AD80" s="302"/>
      <c r="AE80" s="303"/>
      <c r="AF80" s="304"/>
      <c r="AG80" s="304"/>
      <c r="AH80" s="304"/>
      <c r="AI80" s="304">
        <v>0.05</v>
      </c>
      <c r="AJ80" s="304"/>
      <c r="AK80" s="322" t="s">
        <v>352</v>
      </c>
      <c r="AL80" s="348">
        <v>45790.0</v>
      </c>
      <c r="AM80" s="284"/>
    </row>
    <row r="81" ht="15.75" customHeight="1">
      <c r="A81" s="282">
        <f t="shared" si="1"/>
        <v>77</v>
      </c>
      <c r="B81" s="348">
        <v>45790.0</v>
      </c>
      <c r="C81" s="351" t="s">
        <v>409</v>
      </c>
      <c r="D81" s="352" t="s">
        <v>410</v>
      </c>
      <c r="E81" s="288" t="s">
        <v>391</v>
      </c>
      <c r="F81" s="353" t="s">
        <v>189</v>
      </c>
      <c r="G81" s="288" t="str">
        <f>+IFERROR(VLOOKUP(F81,[3]NVL!$B:$C,2,0),"")</f>
        <v>#ERROR!</v>
      </c>
      <c r="H81" s="288" t="str">
        <f>+IFERROR(VLOOKUP(F81,[3]NVL!$B:$D,3,0),"")</f>
        <v>#ERROR!</v>
      </c>
      <c r="I81" s="288" t="str">
        <f>+IFERROR(VLOOKUP(F81,[3]NVL!$B:$F,4,0),"")</f>
        <v>#ERROR!</v>
      </c>
      <c r="J81" s="354">
        <f>20*990+755</f>
        <v>20555</v>
      </c>
      <c r="K81" s="355" t="s">
        <v>113</v>
      </c>
      <c r="L81" s="291" t="str">
        <f t="shared" ref="L81:L82" si="46">+IFERROR(VLOOKUP(K81,'[3]THÀNH PHẨM'!$B:$F,3,0),"")</f>
        <v/>
      </c>
      <c r="M81" s="291" t="str">
        <f t="shared" ref="M81:M82" si="47">+IFERROR(VLOOKUP(K81,'[3]THÀNH PHẨM'!$B:$F,4,0),"")</f>
        <v/>
      </c>
      <c r="N81" s="291" t="str">
        <f t="shared" ref="N81:N82" si="48">+IFERROR(VLOOKUP(K81,'[3]THÀNH PHẨM'!$B:$F,5,0),"")</f>
        <v/>
      </c>
      <c r="O81" s="291">
        <v>600.0</v>
      </c>
      <c r="P81" s="292">
        <f t="shared" si="2"/>
        <v>0</v>
      </c>
      <c r="Q81" s="291"/>
      <c r="R81" s="291"/>
      <c r="S81" s="293">
        <f t="shared" ref="S81:S84" si="49">+IFERROR(((L81*M81*Q81)*R81/1000000),"")</f>
        <v>0</v>
      </c>
      <c r="T81" s="321">
        <f>20*3</f>
        <v>60</v>
      </c>
      <c r="U81" s="321">
        <f>20*5</f>
        <v>100</v>
      </c>
      <c r="V81" s="321">
        <v>20.0</v>
      </c>
      <c r="W81" s="356">
        <v>586.0</v>
      </c>
      <c r="X81" s="321">
        <v>465.0</v>
      </c>
      <c r="Y81" s="311">
        <f>+IF(J81="","",J81-P81-P82-S81-S82-W81-X81)</f>
        <v>19504</v>
      </c>
      <c r="Z81" s="311">
        <f t="shared" si="44"/>
        <v>20090</v>
      </c>
      <c r="AA81" s="312">
        <f t="shared" si="45"/>
        <v>0.977377767</v>
      </c>
      <c r="AB81" s="357" t="str">
        <f>+IF(AA81&gt;=3%,"KHÔNG ĐẠT","ĐẠT")</f>
        <v>KHÔNG ĐẠT</v>
      </c>
      <c r="AC81" s="364" t="s">
        <v>235</v>
      </c>
      <c r="AD81" s="302">
        <v>10.0</v>
      </c>
      <c r="AE81" s="302"/>
      <c r="AF81" s="304">
        <v>608.0</v>
      </c>
      <c r="AG81" s="304">
        <v>6.73</v>
      </c>
      <c r="AH81" s="304">
        <v>11.38</v>
      </c>
      <c r="AI81" s="304">
        <v>8.67</v>
      </c>
      <c r="AJ81" s="304"/>
      <c r="AK81" s="321" t="s">
        <v>352</v>
      </c>
      <c r="AL81" s="361">
        <v>45800.0</v>
      </c>
      <c r="AM81" s="365" t="s">
        <v>394</v>
      </c>
    </row>
    <row r="82" ht="15.75" customHeight="1">
      <c r="A82" s="282">
        <f t="shared" si="1"/>
        <v>78</v>
      </c>
      <c r="B82" s="348">
        <v>45790.0</v>
      </c>
      <c r="C82" s="351" t="s">
        <v>409</v>
      </c>
      <c r="D82" s="352" t="s">
        <v>410</v>
      </c>
      <c r="E82" s="288" t="s">
        <v>391</v>
      </c>
      <c r="F82" s="353" t="s">
        <v>189</v>
      </c>
      <c r="G82" s="288" t="str">
        <f>+IFERROR(VLOOKUP(F82,[3]NVL!$B:$C,2,0),"")</f>
        <v>#ERROR!</v>
      </c>
      <c r="H82" s="288" t="str">
        <f>+IFERROR(VLOOKUP(F82,[3]NVL!$B:$D,3,0),"")</f>
        <v>#ERROR!</v>
      </c>
      <c r="I82" s="288" t="str">
        <f>+IFERROR(VLOOKUP(F82,[3]NVL!$B:$F,4,0),"")</f>
        <v>#ERROR!</v>
      </c>
      <c r="J82" s="313"/>
      <c r="K82" s="290" t="s">
        <v>120</v>
      </c>
      <c r="L82" s="291" t="str">
        <f t="shared" si="46"/>
        <v/>
      </c>
      <c r="M82" s="291" t="str">
        <f t="shared" si="47"/>
        <v/>
      </c>
      <c r="N82" s="291" t="str">
        <f t="shared" si="48"/>
        <v/>
      </c>
      <c r="O82" s="289">
        <v>500.0</v>
      </c>
      <c r="P82" s="292">
        <f t="shared" si="2"/>
        <v>0</v>
      </c>
      <c r="Q82" s="289"/>
      <c r="R82" s="289"/>
      <c r="S82" s="293">
        <f t="shared" si="49"/>
        <v>0</v>
      </c>
      <c r="T82" s="313"/>
      <c r="U82" s="313"/>
      <c r="V82" s="313"/>
      <c r="W82" s="313"/>
      <c r="X82" s="313"/>
      <c r="Y82" s="313"/>
      <c r="Z82" s="313"/>
      <c r="AA82" s="313"/>
      <c r="AB82" s="313"/>
      <c r="AC82" s="364" t="s">
        <v>235</v>
      </c>
      <c r="AD82" s="302">
        <v>9.0</v>
      </c>
      <c r="AE82" s="302"/>
      <c r="AF82" s="304">
        <v>507.0</v>
      </c>
      <c r="AG82" s="304">
        <v>6.05</v>
      </c>
      <c r="AH82" s="304">
        <v>10.25</v>
      </c>
      <c r="AI82" s="304">
        <v>7.46</v>
      </c>
      <c r="AJ82" s="304"/>
      <c r="AK82" s="313"/>
      <c r="AL82" s="313"/>
      <c r="AM82" s="313"/>
    </row>
    <row r="83" ht="15.75" customHeight="1">
      <c r="A83" s="282">
        <f t="shared" si="1"/>
        <v>79</v>
      </c>
      <c r="B83" s="283">
        <v>45801.0</v>
      </c>
      <c r="C83" s="351" t="s">
        <v>412</v>
      </c>
      <c r="D83" s="285" t="s">
        <v>413</v>
      </c>
      <c r="E83" s="288" t="s">
        <v>304</v>
      </c>
      <c r="F83" s="353" t="s">
        <v>47</v>
      </c>
      <c r="G83" s="288" t="str">
        <f>+IFERROR(VLOOKUP(F83,NVL!$B:$C,2,0),"")</f>
        <v>Ivory Ningbo</v>
      </c>
      <c r="H83" s="288">
        <f>+IFERROR(VLOOKUP(F83,NVL!$B:$D,3,0),"")</f>
        <v>210</v>
      </c>
      <c r="I83" s="288">
        <f>+IFERROR(VLOOKUP(F83,NVL!$B:$F,4,0),"")</f>
        <v>109</v>
      </c>
      <c r="J83" s="306">
        <f>34*1030+205</f>
        <v>35225</v>
      </c>
      <c r="K83" s="355" t="s">
        <v>104</v>
      </c>
      <c r="L83" s="291">
        <f>+IFERROR(VLOOKUP(K83,'THÀNH PHẨM'!$B:$F,3,0),"")</f>
        <v>210</v>
      </c>
      <c r="M83" s="291">
        <f>+IFERROR(VLOOKUP(K83,'THÀNH PHẨM'!$B:$F,4,0),"")</f>
        <v>95</v>
      </c>
      <c r="N83" s="291">
        <f>+IFERROR(VLOOKUP(K83,'THÀNH PHẨM'!$B:$F,5,0),"")</f>
        <v>800</v>
      </c>
      <c r="O83" s="289">
        <v>573.0</v>
      </c>
      <c r="P83" s="292">
        <f t="shared" si="2"/>
        <v>9145.08</v>
      </c>
      <c r="Q83" s="289"/>
      <c r="R83" s="289"/>
      <c r="S83" s="293">
        <f t="shared" si="49"/>
        <v>0</v>
      </c>
      <c r="T83" s="321">
        <f>34*3</f>
        <v>102</v>
      </c>
      <c r="U83" s="321">
        <f>34*5</f>
        <v>170</v>
      </c>
      <c r="V83" s="321">
        <v>34.0</v>
      </c>
      <c r="W83" s="356">
        <v>1049.62</v>
      </c>
      <c r="X83" s="321">
        <v>65.0</v>
      </c>
      <c r="Y83" s="311">
        <f>+IF(J83="","",J83-P83-P84-S83-W83-X83)</f>
        <v>-0.004000000002</v>
      </c>
      <c r="Z83" s="311">
        <f>+IF(J83&lt;&gt;"",W83+Y83,0)</f>
        <v>1049.616</v>
      </c>
      <c r="AA83" s="312">
        <f>+IF(IF(J83=";",Z83/J83)&lt;0,0%,(IF(J83="","",Z83/J83)))</f>
        <v>0.02979747339</v>
      </c>
      <c r="AB83" s="300"/>
      <c r="AC83" s="364" t="s">
        <v>238</v>
      </c>
      <c r="AD83" s="302">
        <v>10.0</v>
      </c>
      <c r="AE83" s="303"/>
      <c r="AF83" s="304">
        <v>578.0</v>
      </c>
      <c r="AG83" s="304">
        <v>6.5</v>
      </c>
      <c r="AH83" s="304">
        <v>7.0</v>
      </c>
      <c r="AI83" s="304">
        <v>8.28</v>
      </c>
      <c r="AJ83" s="304"/>
      <c r="AK83" s="321" t="s">
        <v>352</v>
      </c>
      <c r="AL83" s="361">
        <v>45822.0</v>
      </c>
      <c r="AM83" s="343"/>
    </row>
    <row r="84" ht="15.75" customHeight="1">
      <c r="A84" s="282">
        <f t="shared" si="1"/>
        <v>80</v>
      </c>
      <c r="B84" s="283">
        <v>45801.0</v>
      </c>
      <c r="C84" s="351" t="s">
        <v>412</v>
      </c>
      <c r="D84" s="285" t="s">
        <v>413</v>
      </c>
      <c r="E84" s="288" t="s">
        <v>304</v>
      </c>
      <c r="F84" s="353" t="s">
        <v>47</v>
      </c>
      <c r="G84" s="288" t="str">
        <f>+IFERROR(VLOOKUP(F84,NVL!$B:$C,2,0),"")</f>
        <v>Ivory Ningbo</v>
      </c>
      <c r="H84" s="288">
        <f>+IFERROR(VLOOKUP(F84,NVL!$B:$D,3,0),"")</f>
        <v>210</v>
      </c>
      <c r="I84" s="288">
        <f>+IFERROR(VLOOKUP(F84,NVL!$B:$F,4,0),"")</f>
        <v>109</v>
      </c>
      <c r="J84" s="313"/>
      <c r="K84" s="355" t="s">
        <v>81</v>
      </c>
      <c r="L84" s="291">
        <f>+IFERROR(VLOOKUP(K84,'THÀNH PHẨM'!$B:$F,3,0),"")</f>
        <v>210</v>
      </c>
      <c r="M84" s="291">
        <f>+IFERROR(VLOOKUP(K84,'THÀNH PHẨM'!$B:$F,4,0),"")</f>
        <v>71</v>
      </c>
      <c r="N84" s="291">
        <f>+IFERROR(VLOOKUP(K84,'THÀNH PHẨM'!$B:$F,5,0),"")</f>
        <v>800</v>
      </c>
      <c r="O84" s="289">
        <f>2101-8</f>
        <v>2093</v>
      </c>
      <c r="P84" s="292">
        <f t="shared" si="2"/>
        <v>24965.304</v>
      </c>
      <c r="Q84" s="289"/>
      <c r="R84" s="289"/>
      <c r="S84" s="293">
        <f t="shared" si="49"/>
        <v>0</v>
      </c>
      <c r="T84" s="313"/>
      <c r="U84" s="313"/>
      <c r="V84" s="313"/>
      <c r="W84" s="313"/>
      <c r="X84" s="313"/>
      <c r="Y84" s="313"/>
      <c r="Z84" s="313"/>
      <c r="AA84" s="313"/>
      <c r="AB84" s="300"/>
      <c r="AC84" s="364" t="s">
        <v>238</v>
      </c>
      <c r="AD84" s="302">
        <v>35.0</v>
      </c>
      <c r="AE84" s="303"/>
      <c r="AF84" s="304">
        <v>2110.0</v>
      </c>
      <c r="AG84" s="304">
        <v>22.75</v>
      </c>
      <c r="AH84" s="304">
        <v>24.5</v>
      </c>
      <c r="AI84" s="304">
        <v>22.61</v>
      </c>
      <c r="AJ84" s="304"/>
      <c r="AK84" s="313"/>
      <c r="AL84" s="313"/>
      <c r="AM84" s="313"/>
    </row>
    <row r="85" ht="15.75" customHeight="1">
      <c r="A85" s="282">
        <f t="shared" si="1"/>
        <v>81</v>
      </c>
      <c r="B85" s="283">
        <v>45822.0</v>
      </c>
      <c r="C85" s="351" t="s">
        <v>406</v>
      </c>
      <c r="D85" s="285" t="s">
        <v>414</v>
      </c>
      <c r="E85" s="288" t="s">
        <v>304</v>
      </c>
      <c r="F85" s="353"/>
      <c r="G85" s="288"/>
      <c r="H85" s="288">
        <v>210.0</v>
      </c>
      <c r="I85" s="288">
        <v>71.0</v>
      </c>
      <c r="J85" s="367">
        <f>0.21*0.071*50+0.21*0.071*9*620+0.21*0.071*487+0.21*0.071*283</f>
        <v>95.424</v>
      </c>
      <c r="K85" s="355" t="s">
        <v>81</v>
      </c>
      <c r="L85" s="291">
        <v>210.0</v>
      </c>
      <c r="M85" s="291">
        <v>71.0</v>
      </c>
      <c r="N85" s="291">
        <v>800.0</v>
      </c>
      <c r="O85" s="289">
        <v>8.0</v>
      </c>
      <c r="P85" s="292">
        <f t="shared" si="2"/>
        <v>95.424</v>
      </c>
      <c r="Q85" s="289"/>
      <c r="R85" s="289"/>
      <c r="S85" s="293"/>
      <c r="T85" s="322"/>
      <c r="U85" s="322"/>
      <c r="V85" s="322"/>
      <c r="W85" s="368">
        <v>0.0</v>
      </c>
      <c r="X85" s="322"/>
      <c r="Y85" s="292">
        <f t="shared" ref="Y85:Y87" si="50">+IF(J85="","",J85-P85-S85-W85-X85)</f>
        <v>0</v>
      </c>
      <c r="Z85" s="366">
        <f t="shared" ref="Z85:Z87" si="51">+IF(J85&lt;&gt;"",W85+Y85,0)</f>
        <v>0</v>
      </c>
      <c r="AA85" s="299">
        <f t="shared" ref="AA85:AA87" si="52">+IF(IF(J85=";",Z85/J85)&lt;0,0%,(IF(J85="","",Z85/J85)))</f>
        <v>0</v>
      </c>
      <c r="AB85" s="369"/>
      <c r="AC85" s="364"/>
      <c r="AD85" s="302"/>
      <c r="AE85" s="303"/>
      <c r="AF85" s="304"/>
      <c r="AG85" s="304"/>
      <c r="AH85" s="304"/>
      <c r="AI85" s="304">
        <v>0.09</v>
      </c>
      <c r="AJ85" s="304"/>
      <c r="AK85" s="322" t="s">
        <v>352</v>
      </c>
      <c r="AL85" s="348">
        <v>45822.0</v>
      </c>
      <c r="AM85" s="284"/>
    </row>
    <row r="86" ht="15.75" customHeight="1">
      <c r="A86" s="282">
        <f t="shared" si="1"/>
        <v>82</v>
      </c>
      <c r="B86" s="283">
        <v>45824.0</v>
      </c>
      <c r="C86" s="335" t="s">
        <v>402</v>
      </c>
      <c r="D86" s="285" t="s">
        <v>415</v>
      </c>
      <c r="E86" s="286" t="s">
        <v>131</v>
      </c>
      <c r="F86" s="353" t="s">
        <v>88</v>
      </c>
      <c r="G86" s="288" t="str">
        <f>+IFERROR(VLOOKUP(F86,[3]NVL!$B:$C,2,0),"")</f>
        <v>#ERROR!</v>
      </c>
      <c r="H86" s="288" t="str">
        <f>+IFERROR(VLOOKUP(F86,[3]NVL!$B:$D,3,0),"")</f>
        <v>#ERROR!</v>
      </c>
      <c r="I86" s="288" t="str">
        <f>+IFERROR(VLOOKUP(F86,[3]NVL!$B:$F,4,0),"")</f>
        <v>#ERROR!</v>
      </c>
      <c r="J86" s="289">
        <f>37*981+783</f>
        <v>37080</v>
      </c>
      <c r="K86" s="355" t="s">
        <v>123</v>
      </c>
      <c r="L86" s="291" t="str">
        <f>+IFERROR(VLOOKUP(K86,'[3]THÀNH PHẨM'!$B:$F,3,0),"")</f>
        <v/>
      </c>
      <c r="M86" s="291" t="str">
        <f>+IFERROR(VLOOKUP(K86,'[3]THÀNH PHẨM'!$B:$F,4,0),"")</f>
        <v/>
      </c>
      <c r="N86" s="291" t="str">
        <f>+IFERROR(VLOOKUP(K86,'[3]THÀNH PHẨM'!$B:$F,5,0),"")</f>
        <v/>
      </c>
      <c r="O86" s="289">
        <f>2016-4</f>
        <v>2012</v>
      </c>
      <c r="P86" s="292">
        <f t="shared" si="2"/>
        <v>0</v>
      </c>
      <c r="Q86" s="289"/>
      <c r="R86" s="289"/>
      <c r="S86" s="293">
        <f>+IFERROR(((L86*M86*Q86)*R86/1000000),"")</f>
        <v>0</v>
      </c>
      <c r="T86" s="294">
        <f>37*3</f>
        <v>111</v>
      </c>
      <c r="U86" s="295">
        <f>37*5</f>
        <v>185</v>
      </c>
      <c r="V86" s="296">
        <v>37.0</v>
      </c>
      <c r="W86" s="297">
        <f>460+72</f>
        <v>532</v>
      </c>
      <c r="X86" s="298">
        <v>332.0</v>
      </c>
      <c r="Y86" s="292">
        <f t="shared" si="50"/>
        <v>36216</v>
      </c>
      <c r="Z86" s="366">
        <f t="shared" si="51"/>
        <v>36748</v>
      </c>
      <c r="AA86" s="299">
        <f t="shared" si="52"/>
        <v>0.9910463862</v>
      </c>
      <c r="AB86" s="300"/>
      <c r="AC86" s="364" t="s">
        <v>235</v>
      </c>
      <c r="AD86" s="302">
        <v>39.0</v>
      </c>
      <c r="AE86" s="303">
        <f>38*4</f>
        <v>152</v>
      </c>
      <c r="AF86" s="304">
        <v>2100.0</v>
      </c>
      <c r="AG86" s="304">
        <v>25.35</v>
      </c>
      <c r="AH86" s="304">
        <v>27.3</v>
      </c>
      <c r="AI86" s="304">
        <v>27.55</v>
      </c>
      <c r="AJ86" s="304"/>
      <c r="AK86" s="305" t="s">
        <v>352</v>
      </c>
      <c r="AL86" s="283">
        <v>45841.0</v>
      </c>
      <c r="AM86" s="284"/>
    </row>
    <row r="87" ht="15.75" customHeight="1">
      <c r="A87" s="282">
        <f t="shared" si="1"/>
        <v>83</v>
      </c>
      <c r="B87" s="283">
        <v>45841.0</v>
      </c>
      <c r="C87" s="351" t="s">
        <v>406</v>
      </c>
      <c r="D87" s="285" t="s">
        <v>418</v>
      </c>
      <c r="E87" s="288" t="s">
        <v>304</v>
      </c>
      <c r="F87" s="353"/>
      <c r="G87" s="288"/>
      <c r="H87" s="288">
        <v>250.0</v>
      </c>
      <c r="I87" s="288">
        <v>90.0</v>
      </c>
      <c r="J87" s="367">
        <f>0.25*0.09*10*300+0.25*0.09*200</f>
        <v>72</v>
      </c>
      <c r="K87" s="355" t="s">
        <v>123</v>
      </c>
      <c r="L87" s="291">
        <v>250.0</v>
      </c>
      <c r="M87" s="291">
        <v>90.0</v>
      </c>
      <c r="N87" s="291">
        <v>800.0</v>
      </c>
      <c r="O87" s="289">
        <v>4.0</v>
      </c>
      <c r="P87" s="292">
        <f t="shared" si="2"/>
        <v>72</v>
      </c>
      <c r="Q87" s="289"/>
      <c r="R87" s="289"/>
      <c r="S87" s="293"/>
      <c r="T87" s="322"/>
      <c r="U87" s="322"/>
      <c r="V87" s="322"/>
      <c r="W87" s="368">
        <v>0.0</v>
      </c>
      <c r="X87" s="322"/>
      <c r="Y87" s="292">
        <f t="shared" si="50"/>
        <v>0</v>
      </c>
      <c r="Z87" s="366">
        <f t="shared" si="51"/>
        <v>0</v>
      </c>
      <c r="AA87" s="299">
        <f t="shared" si="52"/>
        <v>0</v>
      </c>
      <c r="AB87" s="369"/>
      <c r="AC87" s="364"/>
      <c r="AD87" s="302"/>
      <c r="AE87" s="303"/>
      <c r="AF87" s="304"/>
      <c r="AG87" s="304"/>
      <c r="AH87" s="304"/>
      <c r="AI87" s="304">
        <v>0.05</v>
      </c>
      <c r="AJ87" s="304"/>
      <c r="AK87" s="322" t="s">
        <v>352</v>
      </c>
      <c r="AL87" s="348">
        <v>45841.0</v>
      </c>
      <c r="AM87" s="284"/>
    </row>
    <row r="88" ht="15.75" customHeight="1">
      <c r="A88" s="282">
        <f t="shared" si="1"/>
        <v>84</v>
      </c>
      <c r="B88" s="283">
        <v>45845.0</v>
      </c>
      <c r="C88" s="335" t="s">
        <v>402</v>
      </c>
      <c r="D88" s="285" t="s">
        <v>446</v>
      </c>
      <c r="E88" s="286" t="s">
        <v>131</v>
      </c>
      <c r="F88" s="353" t="s">
        <v>47</v>
      </c>
      <c r="G88" s="288" t="str">
        <f>+IFERROR(VLOOKUP(F88,NVL!$B:$C,2,0),"")</f>
        <v>Ivory Ningbo</v>
      </c>
      <c r="H88" s="288">
        <f>+IFERROR(VLOOKUP(F88,NVL!$B:$D,3,0),"")</f>
        <v>210</v>
      </c>
      <c r="I88" s="288">
        <f>+IFERROR(VLOOKUP(F88,NVL!$B:$F,4,0),"")</f>
        <v>109</v>
      </c>
      <c r="J88" s="289">
        <f>16*1030+65</f>
        <v>16545</v>
      </c>
      <c r="K88" s="355" t="s">
        <v>104</v>
      </c>
      <c r="L88" s="291">
        <f>+IFERROR(VLOOKUP(K88,'THÀNH PHẨM'!$B:$F,3,0),"")</f>
        <v>210</v>
      </c>
      <c r="M88" s="291">
        <f>+IFERROR(VLOOKUP(K88,'THÀNH PHẨM'!$B:$F,4,0),"")</f>
        <v>95</v>
      </c>
      <c r="N88" s="291">
        <f>+IFERROR(VLOOKUP(K88,'THÀNH PHẨM'!$B:$F,5,0),"")</f>
        <v>800</v>
      </c>
      <c r="O88" s="289">
        <v>1134.0</v>
      </c>
      <c r="P88" s="292">
        <f t="shared" si="2"/>
        <v>18098.64</v>
      </c>
      <c r="Q88" s="289"/>
      <c r="R88" s="289"/>
      <c r="S88" s="293">
        <f t="shared" ref="S88:S91" si="53">+IFERROR(((L88*M88*Q88)*R88/1000000),"")</f>
        <v>0</v>
      </c>
      <c r="T88" s="294">
        <f>16*3</f>
        <v>48</v>
      </c>
      <c r="U88" s="295">
        <f>16*5</f>
        <v>80</v>
      </c>
      <c r="V88" s="296">
        <v>16.0</v>
      </c>
      <c r="W88" s="310">
        <v>658.5</v>
      </c>
      <c r="X88" s="298"/>
      <c r="Y88" s="311">
        <f>+IF(J89="","",J89+J88-P88-S88-P89-W88-X88-S89-W89-X89)</f>
        <v>0.004000000001</v>
      </c>
      <c r="Z88" s="311">
        <f>+IF(J89&lt;&gt;"",W88+Y88,0)</f>
        <v>658.504</v>
      </c>
      <c r="AA88" s="312">
        <f>+IF(IF(J89=";",Z88/J89)&lt;0,0%,(IF(J89="","",Z88/(J89+J88))))</f>
        <v>0.02807640488</v>
      </c>
      <c r="AB88" s="300"/>
      <c r="AC88" s="364" t="s">
        <v>238</v>
      </c>
      <c r="AD88" s="302">
        <v>22.0</v>
      </c>
      <c r="AE88" s="303"/>
      <c r="AF88" s="304">
        <v>1189.0</v>
      </c>
      <c r="AG88" s="304">
        <v>14.3</v>
      </c>
      <c r="AH88" s="304">
        <v>24.2</v>
      </c>
      <c r="AI88" s="304">
        <v>16.39</v>
      </c>
      <c r="AJ88" s="304"/>
      <c r="AK88" s="305" t="s">
        <v>352</v>
      </c>
      <c r="AL88" s="283">
        <v>45859.0</v>
      </c>
      <c r="AM88" s="284"/>
    </row>
    <row r="89" ht="15.75" customHeight="1">
      <c r="A89" s="282">
        <f t="shared" si="1"/>
        <v>85</v>
      </c>
      <c r="B89" s="283">
        <v>45845.0</v>
      </c>
      <c r="C89" s="335" t="s">
        <v>402</v>
      </c>
      <c r="D89" s="285" t="s">
        <v>446</v>
      </c>
      <c r="E89" s="286" t="s">
        <v>131</v>
      </c>
      <c r="F89" s="353" t="s">
        <v>213</v>
      </c>
      <c r="G89" s="288" t="str">
        <f>+IFERROR(VLOOKUP(F89,NVL!$B:$C,2,0),"")</f>
        <v>Ivory Ningbo</v>
      </c>
      <c r="H89" s="288">
        <f>+IFERROR(VLOOKUP(F89,NVL!$B:$D,3,0),"")</f>
        <v>210</v>
      </c>
      <c r="I89" s="288">
        <f>+IFERROR(VLOOKUP(F89,NVL!$B:$F,4,0),"")</f>
        <v>108</v>
      </c>
      <c r="J89" s="289">
        <f>7*987</f>
        <v>6909</v>
      </c>
      <c r="K89" s="355" t="s">
        <v>81</v>
      </c>
      <c r="L89" s="291">
        <f>+IFERROR(VLOOKUP(K89,'THÀNH PHẨM'!$B:$F,3,0),"")</f>
        <v>210</v>
      </c>
      <c r="M89" s="291">
        <f>+IFERROR(VLOOKUP(K89,'THÀNH PHẨM'!$B:$F,4,0),"")</f>
        <v>71</v>
      </c>
      <c r="N89" s="291">
        <f>+IFERROR(VLOOKUP(K89,'THÀNH PHẨM'!$B:$F,5,0),"")</f>
        <v>800</v>
      </c>
      <c r="O89" s="289">
        <v>377.0</v>
      </c>
      <c r="P89" s="292">
        <f t="shared" si="2"/>
        <v>4496.856</v>
      </c>
      <c r="Q89" s="289"/>
      <c r="R89" s="289"/>
      <c r="S89" s="293">
        <f t="shared" si="53"/>
        <v>0</v>
      </c>
      <c r="T89" s="294">
        <f>7*3</f>
        <v>21</v>
      </c>
      <c r="U89" s="295">
        <f>7*5</f>
        <v>35</v>
      </c>
      <c r="V89" s="296">
        <v>7.0</v>
      </c>
      <c r="W89" s="313"/>
      <c r="X89" s="298">
        <v>200.0</v>
      </c>
      <c r="Y89" s="313"/>
      <c r="Z89" s="313"/>
      <c r="AA89" s="313"/>
      <c r="AB89" s="300"/>
      <c r="AC89" s="364" t="s">
        <v>238</v>
      </c>
      <c r="AD89" s="302">
        <v>7.0</v>
      </c>
      <c r="AE89" s="303"/>
      <c r="AF89" s="304">
        <v>398.0</v>
      </c>
      <c r="AG89" s="304">
        <v>4.55</v>
      </c>
      <c r="AH89" s="304">
        <v>7.7</v>
      </c>
      <c r="AI89" s="304">
        <v>4.07</v>
      </c>
      <c r="AJ89" s="304"/>
      <c r="AK89" s="305" t="s">
        <v>352</v>
      </c>
      <c r="AL89" s="283">
        <v>45859.0</v>
      </c>
      <c r="AM89" s="284"/>
    </row>
    <row r="90" ht="15.75" customHeight="1">
      <c r="A90" s="282">
        <f t="shared" si="1"/>
        <v>86</v>
      </c>
      <c r="B90" s="283">
        <v>45859.0</v>
      </c>
      <c r="C90" s="284" t="s">
        <v>450</v>
      </c>
      <c r="D90" s="285" t="s">
        <v>451</v>
      </c>
      <c r="E90" s="286" t="s">
        <v>452</v>
      </c>
      <c r="F90" s="353" t="s">
        <v>223</v>
      </c>
      <c r="G90" s="288" t="str">
        <f>+IFERROR(VLOOKUP(F90,NVL!$B:$C,2,0),"")</f>
        <v>Ivory Ningbo</v>
      </c>
      <c r="H90" s="288">
        <f>+IFERROR(VLOOKUP(F90,NVL!$B:$D,3,0),"")</f>
        <v>230</v>
      </c>
      <c r="I90" s="288">
        <f>+IFERROR(VLOOKUP(F90,NVL!$B:$F,4,0),"")</f>
        <v>108</v>
      </c>
      <c r="J90" s="289">
        <f>6*969</f>
        <v>5814</v>
      </c>
      <c r="K90" s="355" t="s">
        <v>113</v>
      </c>
      <c r="L90" s="291">
        <f>+IFERROR(VLOOKUP(K90,'THÀNH PHẨM'!$B:$F,3,0),"")</f>
        <v>230</v>
      </c>
      <c r="M90" s="291">
        <f>+IFERROR(VLOOKUP(K90,'THÀNH PHẨM'!$B:$F,4,0),"")</f>
        <v>95</v>
      </c>
      <c r="N90" s="291">
        <f>+IFERROR(VLOOKUP(K90,'THÀNH PHẨM'!$B:$F,5,0),"")</f>
        <v>800</v>
      </c>
      <c r="O90" s="289">
        <v>308.0</v>
      </c>
      <c r="P90" s="292">
        <f t="shared" si="2"/>
        <v>5383.84</v>
      </c>
      <c r="Q90" s="289"/>
      <c r="R90" s="289"/>
      <c r="S90" s="293">
        <f t="shared" si="53"/>
        <v>0</v>
      </c>
      <c r="T90" s="294">
        <f>6*3</f>
        <v>18</v>
      </c>
      <c r="U90" s="295">
        <f>6*5</f>
        <v>30</v>
      </c>
      <c r="V90" s="296">
        <v>6.0</v>
      </c>
      <c r="W90" s="297">
        <v>214.16</v>
      </c>
      <c r="X90" s="298">
        <v>216.0</v>
      </c>
      <c r="Y90" s="292">
        <f t="shared" ref="Y90:Y94" si="54">+IF(J90="","",J90-P90-S90-W90-X90)</f>
        <v>0</v>
      </c>
      <c r="Z90" s="366">
        <f t="shared" ref="Z90:Z95" si="55">+IF(J90&lt;&gt;"",W90+Y90,0)</f>
        <v>214.16</v>
      </c>
      <c r="AA90" s="299">
        <f t="shared" ref="AA90:AA95" si="56">+IF(IF(J90=";",Z90/J90)&lt;0,0%,(IF(J90="","",Z90/J90)))</f>
        <v>0.03683522532</v>
      </c>
      <c r="AB90" s="300"/>
      <c r="AC90" s="364" t="s">
        <v>235</v>
      </c>
      <c r="AD90" s="302">
        <v>5.0</v>
      </c>
      <c r="AE90" s="303"/>
      <c r="AF90" s="304">
        <v>315.0</v>
      </c>
      <c r="AG90" s="304">
        <v>3.25</v>
      </c>
      <c r="AH90" s="304">
        <v>1.5</v>
      </c>
      <c r="AI90" s="304">
        <v>4.45</v>
      </c>
      <c r="AJ90" s="304"/>
      <c r="AK90" s="305" t="s">
        <v>352</v>
      </c>
      <c r="AL90" s="283">
        <v>45863.0</v>
      </c>
      <c r="AM90" s="375" t="s">
        <v>454</v>
      </c>
    </row>
    <row r="91" ht="15.75" customHeight="1">
      <c r="A91" s="282">
        <f t="shared" si="1"/>
        <v>87</v>
      </c>
      <c r="B91" s="283">
        <v>45863.0</v>
      </c>
      <c r="C91" s="335" t="s">
        <v>304</v>
      </c>
      <c r="D91" s="285" t="s">
        <v>455</v>
      </c>
      <c r="E91" s="286" t="s">
        <v>131</v>
      </c>
      <c r="F91" s="353" t="s">
        <v>213</v>
      </c>
      <c r="G91" s="288" t="str">
        <f>+IFERROR(VLOOKUP(F91,NVL!$B:$C,2,0),"")</f>
        <v>Ivory Ningbo</v>
      </c>
      <c r="H91" s="288">
        <f>+IFERROR(VLOOKUP(F91,NVL!$B:$D,3,0),"")</f>
        <v>210</v>
      </c>
      <c r="I91" s="288">
        <f>+IFERROR(VLOOKUP(F91,NVL!$B:$F,4,0),"")</f>
        <v>108</v>
      </c>
      <c r="J91" s="289">
        <f>200+35*987</f>
        <v>34745</v>
      </c>
      <c r="K91" s="355" t="s">
        <v>81</v>
      </c>
      <c r="L91" s="291">
        <f>+IFERROR(VLOOKUP(K91,'THÀNH PHẨM'!$B:$F,3,0),"")</f>
        <v>210</v>
      </c>
      <c r="M91" s="291">
        <f>+IFERROR(VLOOKUP(K91,'THÀNH PHẨM'!$B:$F,4,0),"")</f>
        <v>71</v>
      </c>
      <c r="N91" s="291">
        <f>+IFERROR(VLOOKUP(K91,'THÀNH PHẨM'!$B:$F,5,0),"")</f>
        <v>800</v>
      </c>
      <c r="O91" s="289">
        <f>2834-12</f>
        <v>2822</v>
      </c>
      <c r="P91" s="292">
        <f t="shared" si="2"/>
        <v>33660.816</v>
      </c>
      <c r="Q91" s="289"/>
      <c r="R91" s="289"/>
      <c r="S91" s="293">
        <f t="shared" si="53"/>
        <v>0</v>
      </c>
      <c r="T91" s="294">
        <f>36*3</f>
        <v>108</v>
      </c>
      <c r="U91" s="295">
        <f>36*5</f>
        <v>180</v>
      </c>
      <c r="V91" s="296">
        <v>36.0</v>
      </c>
      <c r="W91" s="297">
        <v>1034.18</v>
      </c>
      <c r="X91" s="298">
        <v>50.0</v>
      </c>
      <c r="Y91" s="292">
        <f t="shared" si="54"/>
        <v>0.004000000001</v>
      </c>
      <c r="Z91" s="366">
        <f t="shared" si="55"/>
        <v>1034.184</v>
      </c>
      <c r="AA91" s="299">
        <f t="shared" si="56"/>
        <v>0.02976497338</v>
      </c>
      <c r="AB91" s="300"/>
      <c r="AC91" s="364" t="s">
        <v>238</v>
      </c>
      <c r="AD91" s="302">
        <v>46.0</v>
      </c>
      <c r="AE91" s="303"/>
      <c r="AF91" s="304">
        <v>2870.0</v>
      </c>
      <c r="AG91" s="304">
        <v>29.9</v>
      </c>
      <c r="AH91" s="304">
        <v>13.8</v>
      </c>
      <c r="AI91" s="304">
        <v>30.61</v>
      </c>
      <c r="AJ91" s="304"/>
      <c r="AK91" s="305" t="s">
        <v>352</v>
      </c>
      <c r="AL91" s="283">
        <v>45885.0</v>
      </c>
      <c r="AM91" s="375"/>
    </row>
    <row r="92" ht="15.75" customHeight="1">
      <c r="A92" s="282">
        <f t="shared" si="1"/>
        <v>88</v>
      </c>
      <c r="B92" s="283">
        <v>45885.0</v>
      </c>
      <c r="C92" s="351" t="s">
        <v>406</v>
      </c>
      <c r="D92" s="285" t="s">
        <v>456</v>
      </c>
      <c r="E92" s="288" t="s">
        <v>304</v>
      </c>
      <c r="F92" s="353"/>
      <c r="G92" s="288"/>
      <c r="H92" s="288">
        <v>210.0</v>
      </c>
      <c r="I92" s="288">
        <v>71.0</v>
      </c>
      <c r="J92" s="367">
        <f>0.21*0.071*204+0.21*0.071*8*487+0.21*0.071*11*500</f>
        <v>143.136</v>
      </c>
      <c r="K92" s="355" t="s">
        <v>81</v>
      </c>
      <c r="L92" s="291">
        <v>210.0</v>
      </c>
      <c r="M92" s="291">
        <v>71.0</v>
      </c>
      <c r="N92" s="291">
        <v>800.0</v>
      </c>
      <c r="O92" s="289">
        <v>12.0</v>
      </c>
      <c r="P92" s="292">
        <f t="shared" si="2"/>
        <v>143.136</v>
      </c>
      <c r="Q92" s="289"/>
      <c r="R92" s="289"/>
      <c r="S92" s="293"/>
      <c r="T92" s="322"/>
      <c r="U92" s="322"/>
      <c r="V92" s="322"/>
      <c r="W92" s="368">
        <v>0.0</v>
      </c>
      <c r="X92" s="322"/>
      <c r="Y92" s="292">
        <f t="shared" si="54"/>
        <v>0</v>
      </c>
      <c r="Z92" s="366">
        <f t="shared" si="55"/>
        <v>0</v>
      </c>
      <c r="AA92" s="299">
        <f t="shared" si="56"/>
        <v>0</v>
      </c>
      <c r="AB92" s="369"/>
      <c r="AC92" s="364"/>
      <c r="AD92" s="302"/>
      <c r="AE92" s="303"/>
      <c r="AF92" s="304"/>
      <c r="AG92" s="304"/>
      <c r="AH92" s="304"/>
      <c r="AI92" s="304">
        <v>0.13</v>
      </c>
      <c r="AJ92" s="304"/>
      <c r="AK92" s="322" t="s">
        <v>352</v>
      </c>
      <c r="AL92" s="348">
        <v>45885.0</v>
      </c>
      <c r="AM92" s="284"/>
    </row>
    <row r="93" ht="15.75" customHeight="1">
      <c r="A93" s="282">
        <f t="shared" si="1"/>
        <v>89</v>
      </c>
      <c r="B93" s="283">
        <v>45887.0</v>
      </c>
      <c r="C93" s="284" t="s">
        <v>457</v>
      </c>
      <c r="D93" s="285" t="s">
        <v>458</v>
      </c>
      <c r="E93" s="286" t="s">
        <v>452</v>
      </c>
      <c r="F93" s="353" t="s">
        <v>223</v>
      </c>
      <c r="G93" s="288" t="str">
        <f>+IFERROR(VLOOKUP(F93,NVL!$B:$C,2,0),"")</f>
        <v>Ivory Ningbo</v>
      </c>
      <c r="H93" s="288">
        <f>+IFERROR(VLOOKUP(F93,NVL!$B:$D,3,0),"")</f>
        <v>230</v>
      </c>
      <c r="I93" s="288">
        <f>+IFERROR(VLOOKUP(F93,NVL!$B:$F,4,0),"")</f>
        <v>108</v>
      </c>
      <c r="J93" s="289">
        <f>216+17*969</f>
        <v>16689</v>
      </c>
      <c r="K93" s="355" t="s">
        <v>113</v>
      </c>
      <c r="L93" s="291">
        <f>+IFERROR(VLOOKUP(K93,'THÀNH PHẨM'!$B:$F,3,0),"")</f>
        <v>230</v>
      </c>
      <c r="M93" s="291">
        <f>+IFERROR(VLOOKUP(K93,'THÀNH PHẨM'!$B:$F,4,0),"")</f>
        <v>95</v>
      </c>
      <c r="N93" s="291">
        <f>+IFERROR(VLOOKUP(K93,'THÀNH PHẨM'!$B:$F,5,0),"")</f>
        <v>800</v>
      </c>
      <c r="O93" s="289">
        <v>898.0</v>
      </c>
      <c r="P93" s="292">
        <f t="shared" si="2"/>
        <v>15697.04</v>
      </c>
      <c r="Q93" s="289"/>
      <c r="R93" s="289"/>
      <c r="S93" s="293">
        <f t="shared" ref="S93:S98" si="57">+IFERROR(((L93*M93*Q93)*R93/1000000),"")</f>
        <v>0</v>
      </c>
      <c r="T93" s="294">
        <f>17*3</f>
        <v>51</v>
      </c>
      <c r="U93" s="295">
        <f t="shared" ref="U93:U94" si="58">+V93*5</f>
        <v>85</v>
      </c>
      <c r="V93" s="296">
        <v>17.0</v>
      </c>
      <c r="W93" s="297">
        <v>730.96</v>
      </c>
      <c r="X93" s="298">
        <v>261.0</v>
      </c>
      <c r="Y93" s="292">
        <f t="shared" si="54"/>
        <v>0</v>
      </c>
      <c r="Z93" s="366">
        <f t="shared" si="55"/>
        <v>730.96</v>
      </c>
      <c r="AA93" s="299">
        <f t="shared" si="56"/>
        <v>0.04379890946</v>
      </c>
      <c r="AB93" s="300"/>
      <c r="AC93" s="364" t="s">
        <v>235</v>
      </c>
      <c r="AD93" s="302">
        <v>15.0</v>
      </c>
      <c r="AE93" s="303"/>
      <c r="AF93" s="304">
        <f>1116+53</f>
        <v>1169</v>
      </c>
      <c r="AG93" s="304">
        <v>9.75</v>
      </c>
      <c r="AH93" s="304">
        <v>4.5</v>
      </c>
      <c r="AI93" s="304">
        <v>12.98</v>
      </c>
      <c r="AJ93" s="304"/>
      <c r="AK93" s="305" t="s">
        <v>352</v>
      </c>
      <c r="AL93" s="283">
        <v>45894.0</v>
      </c>
      <c r="AM93" s="375" t="s">
        <v>454</v>
      </c>
    </row>
    <row r="94" ht="15.75" customHeight="1">
      <c r="A94" s="282">
        <f t="shared" si="1"/>
        <v>90</v>
      </c>
      <c r="B94" s="283">
        <v>45895.0</v>
      </c>
      <c r="C94" s="335" t="s">
        <v>402</v>
      </c>
      <c r="D94" s="285" t="s">
        <v>459</v>
      </c>
      <c r="E94" s="286" t="s">
        <v>131</v>
      </c>
      <c r="F94" s="353" t="s">
        <v>88</v>
      </c>
      <c r="G94" s="288" t="str">
        <f>+IFERROR(VLOOKUP(F94,NVL!$B:$C,2,0),"")</f>
        <v>Ivory Ningbo</v>
      </c>
      <c r="H94" s="288">
        <f>+IFERROR(VLOOKUP(F94,NVL!$B:$D,3,0),"")</f>
        <v>250</v>
      </c>
      <c r="I94" s="288">
        <f>+IFERROR(VLOOKUP(F94,NVL!$B:$F,4,0),"")</f>
        <v>109</v>
      </c>
      <c r="J94" s="289">
        <f>332+21*981</f>
        <v>20933</v>
      </c>
      <c r="K94" s="355" t="s">
        <v>123</v>
      </c>
      <c r="L94" s="291">
        <f>+IFERROR(VLOOKUP(K94,'THÀNH PHẨM'!$B:$F,3,0),"")</f>
        <v>250</v>
      </c>
      <c r="M94" s="291">
        <f>+IFERROR(VLOOKUP(K94,'THÀNH PHẨM'!$B:$F,4,0),"")</f>
        <v>90</v>
      </c>
      <c r="N94" s="291">
        <f>+IFERROR(VLOOKUP(K94,'THÀNH PHẨM'!$B:$F,5,0),"")</f>
        <v>800</v>
      </c>
      <c r="O94" s="289">
        <v>1104.0</v>
      </c>
      <c r="P94" s="292">
        <f t="shared" si="2"/>
        <v>19872</v>
      </c>
      <c r="Q94" s="289"/>
      <c r="R94" s="289"/>
      <c r="S94" s="293">
        <f t="shared" si="57"/>
        <v>0</v>
      </c>
      <c r="T94" s="294">
        <f>21*3</f>
        <v>63</v>
      </c>
      <c r="U94" s="295">
        <f t="shared" si="58"/>
        <v>105</v>
      </c>
      <c r="V94" s="296">
        <v>21.0</v>
      </c>
      <c r="W94" s="297">
        <v>271.0</v>
      </c>
      <c r="X94" s="298">
        <v>790.0</v>
      </c>
      <c r="Y94" s="292">
        <f t="shared" si="54"/>
        <v>0</v>
      </c>
      <c r="Z94" s="366">
        <f t="shared" si="55"/>
        <v>271</v>
      </c>
      <c r="AA94" s="299">
        <f t="shared" si="56"/>
        <v>0.01294606602</v>
      </c>
      <c r="AB94" s="300"/>
      <c r="AC94" s="364" t="s">
        <v>235</v>
      </c>
      <c r="AD94" s="302">
        <v>20.0</v>
      </c>
      <c r="AE94" s="303">
        <v>80.0</v>
      </c>
      <c r="AF94" s="304">
        <v>1104.0</v>
      </c>
      <c r="AG94" s="304">
        <v>6.0</v>
      </c>
      <c r="AH94" s="304">
        <v>10.0</v>
      </c>
      <c r="AI94" s="304">
        <v>15.12</v>
      </c>
      <c r="AJ94" s="304"/>
      <c r="AK94" s="305" t="s">
        <v>352</v>
      </c>
      <c r="AL94" s="283">
        <v>45908.0</v>
      </c>
      <c r="AM94" s="284"/>
    </row>
    <row r="95" ht="15.75" customHeight="1">
      <c r="A95" s="282">
        <f t="shared" si="1"/>
        <v>91</v>
      </c>
      <c r="B95" s="283">
        <v>45908.0</v>
      </c>
      <c r="C95" s="335" t="s">
        <v>402</v>
      </c>
      <c r="D95" s="285" t="s">
        <v>460</v>
      </c>
      <c r="E95" s="286" t="s">
        <v>131</v>
      </c>
      <c r="F95" s="353" t="s">
        <v>213</v>
      </c>
      <c r="G95" s="288" t="str">
        <f>+IFERROR(VLOOKUP(F95,NVL!$B:$C,2,0),"")</f>
        <v>Ivory Ningbo</v>
      </c>
      <c r="H95" s="288">
        <f>+IFERROR(VLOOKUP(F95,NVL!$B:$D,3,0),"")</f>
        <v>210</v>
      </c>
      <c r="I95" s="288">
        <f>+IFERROR(VLOOKUP(F95,NVL!$B:$F,4,0),"")</f>
        <v>108</v>
      </c>
      <c r="J95" s="306">
        <f>24*987+50</f>
        <v>23738</v>
      </c>
      <c r="K95" s="355" t="s">
        <v>104</v>
      </c>
      <c r="L95" s="291">
        <f>+IFERROR(VLOOKUP(K95,'THÀNH PHẨM'!$B:$F,3,0),"")</f>
        <v>210</v>
      </c>
      <c r="M95" s="291">
        <f>+IFERROR(VLOOKUP(K95,'THÀNH PHẨM'!$B:$F,4,0),"")</f>
        <v>95</v>
      </c>
      <c r="N95" s="291">
        <f>+IFERROR(VLOOKUP(K95,'THÀNH PHẨM'!$B:$F,5,0),"")</f>
        <v>800</v>
      </c>
      <c r="O95" s="289">
        <v>387.0</v>
      </c>
      <c r="P95" s="292">
        <f t="shared" si="2"/>
        <v>6176.52</v>
      </c>
      <c r="Q95" s="289"/>
      <c r="R95" s="289"/>
      <c r="S95" s="293">
        <f t="shared" si="57"/>
        <v>0</v>
      </c>
      <c r="T95" s="321">
        <f>24*3</f>
        <v>72</v>
      </c>
      <c r="U95" s="321">
        <f>25*5</f>
        <v>125</v>
      </c>
      <c r="V95" s="321">
        <v>25.0</v>
      </c>
      <c r="W95" s="356">
        <v>635.65</v>
      </c>
      <c r="X95" s="321">
        <v>0.0</v>
      </c>
      <c r="Y95" s="311">
        <f>+IF(J95="","",J95-P95-P96-S95-W95-X95)</f>
        <v>-0.001999999999</v>
      </c>
      <c r="Z95" s="311">
        <f t="shared" si="55"/>
        <v>635.648</v>
      </c>
      <c r="AA95" s="312">
        <f t="shared" si="56"/>
        <v>0.02677765608</v>
      </c>
      <c r="AB95" s="300"/>
      <c r="AC95" s="364" t="s">
        <v>238</v>
      </c>
      <c r="AD95" s="302">
        <v>7.0</v>
      </c>
      <c r="AE95" s="303">
        <f>7*4</f>
        <v>28</v>
      </c>
      <c r="AF95" s="304">
        <v>390.0</v>
      </c>
      <c r="AG95" s="304">
        <v>2.1</v>
      </c>
      <c r="AH95" s="304">
        <v>2.1</v>
      </c>
      <c r="AI95" s="304">
        <v>5.59</v>
      </c>
      <c r="AJ95" s="304"/>
      <c r="AK95" s="305" t="s">
        <v>352</v>
      </c>
      <c r="AL95" s="283">
        <v>45923.0</v>
      </c>
      <c r="AM95" s="284"/>
    </row>
    <row r="96" ht="15.75" customHeight="1">
      <c r="A96" s="282">
        <f t="shared" si="1"/>
        <v>92</v>
      </c>
      <c r="B96" s="283">
        <v>45908.0</v>
      </c>
      <c r="C96" s="335" t="s">
        <v>402</v>
      </c>
      <c r="D96" s="285" t="s">
        <v>460</v>
      </c>
      <c r="E96" s="286" t="s">
        <v>131</v>
      </c>
      <c r="F96" s="353" t="s">
        <v>213</v>
      </c>
      <c r="G96" s="288" t="str">
        <f>+IFERROR(VLOOKUP(F96,NVL!$B:$C,2,0),"")</f>
        <v>Ivory Ningbo</v>
      </c>
      <c r="H96" s="288">
        <f>+IFERROR(VLOOKUP(F96,NVL!$B:$D,3,0),"")</f>
        <v>210</v>
      </c>
      <c r="I96" s="288">
        <f>+IFERROR(VLOOKUP(F96,NVL!$B:$F,4,0),"")</f>
        <v>108</v>
      </c>
      <c r="J96" s="313"/>
      <c r="K96" s="355" t="s">
        <v>81</v>
      </c>
      <c r="L96" s="291">
        <f>+IFERROR(VLOOKUP(K96,'THÀNH PHẨM'!$B:$F,3,0),"")</f>
        <v>210</v>
      </c>
      <c r="M96" s="291">
        <f>+IFERROR(VLOOKUP(K96,'THÀNH PHẨM'!$B:$F,4,0),"")</f>
        <v>71</v>
      </c>
      <c r="N96" s="291">
        <f>+IFERROR(VLOOKUP(K96,'THÀNH PHẨM'!$B:$F,5,0),"")</f>
        <v>800</v>
      </c>
      <c r="O96" s="289">
        <v>1419.0</v>
      </c>
      <c r="P96" s="292">
        <f t="shared" si="2"/>
        <v>16925.832</v>
      </c>
      <c r="Q96" s="289"/>
      <c r="R96" s="289"/>
      <c r="S96" s="293">
        <f t="shared" si="57"/>
        <v>0</v>
      </c>
      <c r="T96" s="313"/>
      <c r="U96" s="313"/>
      <c r="V96" s="313"/>
      <c r="W96" s="313"/>
      <c r="X96" s="313"/>
      <c r="Y96" s="313"/>
      <c r="Z96" s="313"/>
      <c r="AA96" s="313"/>
      <c r="AB96" s="300"/>
      <c r="AC96" s="364" t="s">
        <v>238</v>
      </c>
      <c r="AD96" s="302">
        <v>24.0</v>
      </c>
      <c r="AE96" s="303"/>
      <c r="AF96" s="304">
        <v>1419.0</v>
      </c>
      <c r="AG96" s="304">
        <v>7.2</v>
      </c>
      <c r="AH96" s="304">
        <v>7.2</v>
      </c>
      <c r="AI96" s="304">
        <v>15.33</v>
      </c>
      <c r="AJ96" s="304"/>
      <c r="AK96" s="305" t="s">
        <v>352</v>
      </c>
      <c r="AL96" s="283">
        <v>45923.0</v>
      </c>
      <c r="AM96" s="284"/>
    </row>
    <row r="97" ht="15.75" customHeight="1">
      <c r="A97" s="282">
        <f t="shared" si="1"/>
        <v>93</v>
      </c>
      <c r="B97" s="283">
        <v>45923.0</v>
      </c>
      <c r="C97" s="284" t="s">
        <v>452</v>
      </c>
      <c r="D97" s="285" t="s">
        <v>462</v>
      </c>
      <c r="E97" s="286" t="s">
        <v>452</v>
      </c>
      <c r="F97" s="353" t="s">
        <v>223</v>
      </c>
      <c r="G97" s="288" t="str">
        <f>+IFERROR(VLOOKUP(F97,NVL!$B:$C,2,0),"")</f>
        <v>Ivory Ningbo</v>
      </c>
      <c r="H97" s="288">
        <f>+IFERROR(VLOOKUP(F97,NVL!$B:$D,3,0),"")</f>
        <v>230</v>
      </c>
      <c r="I97" s="288">
        <f>+IFERROR(VLOOKUP(F97,NVL!$B:$F,4,0),"")</f>
        <v>108</v>
      </c>
      <c r="J97" s="289">
        <f>14*969+261</f>
        <v>13827</v>
      </c>
      <c r="K97" s="355" t="s">
        <v>113</v>
      </c>
      <c r="L97" s="291">
        <f>+IFERROR(VLOOKUP(K97,'THÀNH PHẨM'!$B:$F,3,0),"")</f>
        <v>230</v>
      </c>
      <c r="M97" s="291">
        <f>+IFERROR(VLOOKUP(K97,'THÀNH PHẨM'!$B:$F,4,0),"")</f>
        <v>95</v>
      </c>
      <c r="N97" s="291">
        <f>+IFERROR(VLOOKUP(K97,'THÀNH PHẨM'!$B:$F,5,0),"")</f>
        <v>800</v>
      </c>
      <c r="O97" s="289">
        <v>759.0</v>
      </c>
      <c r="P97" s="292">
        <f t="shared" si="2"/>
        <v>13267.32</v>
      </c>
      <c r="Q97" s="289"/>
      <c r="R97" s="289"/>
      <c r="S97" s="293">
        <f t="shared" si="57"/>
        <v>0</v>
      </c>
      <c r="T97" s="294">
        <f>14*3</f>
        <v>42</v>
      </c>
      <c r="U97" s="295">
        <f>+V97*5</f>
        <v>75</v>
      </c>
      <c r="V97" s="296">
        <v>15.0</v>
      </c>
      <c r="W97" s="297">
        <v>529.68</v>
      </c>
      <c r="X97" s="298">
        <v>30.0</v>
      </c>
      <c r="Y97" s="292">
        <f t="shared" ref="Y97:Y101" si="59">+IF(J97="","",J97-P97-S97-W97-X97)</f>
        <v>0</v>
      </c>
      <c r="Z97" s="366">
        <f t="shared" ref="Z97:Z102" si="60">+IF(J97&lt;&gt;"",W97+Y97,0)</f>
        <v>529.68</v>
      </c>
      <c r="AA97" s="299">
        <f t="shared" ref="AA97:AA102" si="61">+IF(IF(J97=";",Z97/J97)&lt;0,0%,(IF(J97="","",Z97/J97)))</f>
        <v>0.03830765893</v>
      </c>
      <c r="AB97" s="300"/>
      <c r="AC97" s="364" t="s">
        <v>235</v>
      </c>
      <c r="AD97" s="302">
        <v>12.0</v>
      </c>
      <c r="AE97" s="303">
        <v>48.0</v>
      </c>
      <c r="AF97" s="304">
        <v>765.0</v>
      </c>
      <c r="AG97" s="304">
        <v>3.6</v>
      </c>
      <c r="AH97" s="304">
        <v>6.0</v>
      </c>
      <c r="AI97" s="304">
        <v>10.97</v>
      </c>
      <c r="AJ97" s="304"/>
      <c r="AK97" s="305" t="s">
        <v>352</v>
      </c>
      <c r="AL97" s="283">
        <v>45931.0</v>
      </c>
      <c r="AM97" s="375" t="s">
        <v>454</v>
      </c>
    </row>
    <row r="98" ht="15.75" customHeight="1">
      <c r="A98" s="282">
        <f t="shared" si="1"/>
        <v>94</v>
      </c>
      <c r="B98" s="283">
        <v>45937.0</v>
      </c>
      <c r="C98" s="335" t="s">
        <v>304</v>
      </c>
      <c r="D98" s="285" t="s">
        <v>464</v>
      </c>
      <c r="E98" s="286" t="s">
        <v>304</v>
      </c>
      <c r="F98" s="353" t="s">
        <v>207</v>
      </c>
      <c r="G98" s="288" t="str">
        <f>+IFERROR(VLOOKUP(F98,NVL!$B:$C,2,0),"")</f>
        <v>Ivory Ningbo</v>
      </c>
      <c r="H98" s="288">
        <f>+IFERROR(VLOOKUP(F98,NVL!$B:$D,3,0),"")</f>
        <v>210</v>
      </c>
      <c r="I98" s="288">
        <f>+IFERROR(VLOOKUP(F98,NVL!$B:$F,4,0),"")</f>
        <v>70</v>
      </c>
      <c r="J98" s="289">
        <v>3834.0</v>
      </c>
      <c r="K98" s="355" t="s">
        <v>89</v>
      </c>
      <c r="L98" s="291">
        <f>+IFERROR(VLOOKUP(K98,'THÀNH PHẨM'!$B:$F,3,0),"")</f>
        <v>210</v>
      </c>
      <c r="M98" s="291">
        <f>+IFERROR(VLOOKUP(K98,'THÀNH PHẨM'!$B:$F,4,0),"")</f>
        <v>83</v>
      </c>
      <c r="N98" s="291">
        <f>+IFERROR(VLOOKUP(K98,'THÀNH PHẨM'!$B:$F,5,0),"")</f>
        <v>800</v>
      </c>
      <c r="O98" s="289">
        <v>255.0</v>
      </c>
      <c r="P98" s="292">
        <f t="shared" si="2"/>
        <v>3555.72</v>
      </c>
      <c r="Q98" s="289"/>
      <c r="R98" s="289"/>
      <c r="S98" s="293">
        <f t="shared" si="57"/>
        <v>0</v>
      </c>
      <c r="T98" s="294">
        <f>6*3</f>
        <v>18</v>
      </c>
      <c r="U98" s="295">
        <f>6*5</f>
        <v>30</v>
      </c>
      <c r="V98" s="296">
        <v>6.0</v>
      </c>
      <c r="W98" s="297">
        <v>278.28</v>
      </c>
      <c r="X98" s="298">
        <v>0.0</v>
      </c>
      <c r="Y98" s="292">
        <f t="shared" si="59"/>
        <v>0</v>
      </c>
      <c r="Z98" s="366">
        <f t="shared" si="60"/>
        <v>278.28</v>
      </c>
      <c r="AA98" s="299">
        <f t="shared" si="61"/>
        <v>0.07258215962</v>
      </c>
      <c r="AB98" s="300"/>
      <c r="AC98" s="364" t="s">
        <v>238</v>
      </c>
      <c r="AD98" s="302"/>
      <c r="AE98" s="303"/>
      <c r="AF98" s="304">
        <v>10.0</v>
      </c>
      <c r="AG98" s="304">
        <v>1.2</v>
      </c>
      <c r="AH98" s="304">
        <v>2.6</v>
      </c>
      <c r="AI98" s="304">
        <v>3.22</v>
      </c>
      <c r="AJ98" s="304"/>
      <c r="AK98" s="305" t="s">
        <v>352</v>
      </c>
      <c r="AL98" s="283">
        <v>45940.0</v>
      </c>
      <c r="AM98" s="375" t="s">
        <v>466</v>
      </c>
    </row>
    <row r="99" ht="15.75" customHeight="1">
      <c r="A99" s="282">
        <f t="shared" si="1"/>
        <v>95</v>
      </c>
      <c r="B99" s="283">
        <v>45940.0</v>
      </c>
      <c r="C99" s="351" t="s">
        <v>406</v>
      </c>
      <c r="D99" s="285" t="s">
        <v>467</v>
      </c>
      <c r="E99" s="288" t="s">
        <v>304</v>
      </c>
      <c r="F99" s="353"/>
      <c r="G99" s="288"/>
      <c r="H99" s="288">
        <v>210.0</v>
      </c>
      <c r="I99" s="288">
        <v>83.0</v>
      </c>
      <c r="J99" s="367">
        <f>0.21*0.083*720+0.21*0.083*200+0.21*0.083*300</f>
        <v>21.2646</v>
      </c>
      <c r="K99" s="355" t="s">
        <v>89</v>
      </c>
      <c r="L99" s="291">
        <v>210.0</v>
      </c>
      <c r="M99" s="291">
        <v>83.0</v>
      </c>
      <c r="N99" s="291">
        <v>800.0</v>
      </c>
      <c r="O99" s="289">
        <v>1.0</v>
      </c>
      <c r="P99" s="292">
        <f t="shared" si="2"/>
        <v>13.944</v>
      </c>
      <c r="Q99" s="289"/>
      <c r="R99" s="289"/>
      <c r="S99" s="293"/>
      <c r="T99" s="322"/>
      <c r="U99" s="322"/>
      <c r="V99" s="322"/>
      <c r="W99" s="368">
        <v>7.32</v>
      </c>
      <c r="X99" s="322"/>
      <c r="Y99" s="292">
        <f t="shared" si="59"/>
        <v>0.0006</v>
      </c>
      <c r="Z99" s="366">
        <f t="shared" si="60"/>
        <v>7.3206</v>
      </c>
      <c r="AA99" s="299">
        <f t="shared" si="61"/>
        <v>0.3442622951</v>
      </c>
      <c r="AB99" s="369"/>
      <c r="AC99" s="364"/>
      <c r="AD99" s="302"/>
      <c r="AE99" s="303"/>
      <c r="AF99" s="304"/>
      <c r="AG99" s="304"/>
      <c r="AH99" s="304"/>
      <c r="AI99" s="304">
        <v>0.01</v>
      </c>
      <c r="AJ99" s="304"/>
      <c r="AK99" s="322" t="s">
        <v>352</v>
      </c>
      <c r="AL99" s="348">
        <v>45940.0</v>
      </c>
      <c r="AM99" s="284"/>
    </row>
    <row r="100" ht="15.75" customHeight="1">
      <c r="A100" s="282">
        <f t="shared" si="1"/>
        <v>96</v>
      </c>
      <c r="B100" s="283">
        <v>45931.0</v>
      </c>
      <c r="C100" s="335" t="s">
        <v>402</v>
      </c>
      <c r="D100" s="285" t="s">
        <v>468</v>
      </c>
      <c r="E100" s="286" t="s">
        <v>131</v>
      </c>
      <c r="F100" s="353" t="s">
        <v>88</v>
      </c>
      <c r="G100" s="288" t="str">
        <f>+IFERROR(VLOOKUP(F100,NVL!$B:$C,2,0),"")</f>
        <v>Ivory Ningbo</v>
      </c>
      <c r="H100" s="288">
        <f>+IFERROR(VLOOKUP(F100,NVL!$B:$D,3,0),"")</f>
        <v>250</v>
      </c>
      <c r="I100" s="288">
        <f>+IFERROR(VLOOKUP(F100,NVL!$B:$F,4,0),"")</f>
        <v>109</v>
      </c>
      <c r="J100" s="289">
        <f>790+21*981</f>
        <v>21391</v>
      </c>
      <c r="K100" s="355" t="s">
        <v>123</v>
      </c>
      <c r="L100" s="291">
        <f>+IFERROR(VLOOKUP(K100,'THÀNH PHẨM'!$B:$F,3,0),"")</f>
        <v>250</v>
      </c>
      <c r="M100" s="291">
        <f>+IFERROR(VLOOKUP(K100,'THÀNH PHẨM'!$B:$F,4,0),"")</f>
        <v>90</v>
      </c>
      <c r="N100" s="291">
        <f>+IFERROR(VLOOKUP(K100,'THÀNH PHẨM'!$B:$F,5,0),"")</f>
        <v>800</v>
      </c>
      <c r="O100" s="289">
        <v>1140.0</v>
      </c>
      <c r="P100" s="292">
        <f t="shared" si="2"/>
        <v>20520</v>
      </c>
      <c r="Q100" s="289"/>
      <c r="R100" s="289"/>
      <c r="S100" s="293">
        <f t="shared" ref="S100:S1053" si="62">+IFERROR(((L100*M100*Q100)*R100/1000000),"")</f>
        <v>0</v>
      </c>
      <c r="T100" s="294">
        <f>21*3</f>
        <v>63</v>
      </c>
      <c r="U100" s="295">
        <f t="shared" ref="U100:U102" si="63">+V100*5</f>
        <v>105</v>
      </c>
      <c r="V100" s="296">
        <v>21.0</v>
      </c>
      <c r="W100" s="297">
        <v>391.0</v>
      </c>
      <c r="X100" s="298">
        <v>480.0</v>
      </c>
      <c r="Y100" s="292">
        <f t="shared" si="59"/>
        <v>0</v>
      </c>
      <c r="Z100" s="366">
        <f t="shared" si="60"/>
        <v>391</v>
      </c>
      <c r="AA100" s="299">
        <f t="shared" si="61"/>
        <v>0.01827871535</v>
      </c>
      <c r="AB100" s="300"/>
      <c r="AC100" s="364" t="s">
        <v>235</v>
      </c>
      <c r="AD100" s="302">
        <v>22.0</v>
      </c>
      <c r="AE100" s="303"/>
      <c r="AF100" s="304">
        <v>1140.0</v>
      </c>
      <c r="AG100" s="304">
        <v>6.0</v>
      </c>
      <c r="AH100" s="304">
        <v>10.0</v>
      </c>
      <c r="AI100" s="304">
        <v>15.12</v>
      </c>
      <c r="AJ100" s="304"/>
      <c r="AK100" s="305" t="s">
        <v>352</v>
      </c>
      <c r="AL100" s="283">
        <v>45951.0</v>
      </c>
      <c r="AM100" s="284"/>
    </row>
    <row r="101" ht="15.75" customHeight="1">
      <c r="A101" s="282">
        <f t="shared" si="1"/>
        <v>97</v>
      </c>
      <c r="B101" s="283">
        <v>45952.0</v>
      </c>
      <c r="C101" s="335" t="s">
        <v>304</v>
      </c>
      <c r="D101" s="285" t="s">
        <v>469</v>
      </c>
      <c r="E101" s="286" t="s">
        <v>131</v>
      </c>
      <c r="F101" s="353" t="s">
        <v>213</v>
      </c>
      <c r="G101" s="288" t="str">
        <f>+IFERROR(VLOOKUP(F101,NVL!$B:$C,2,0),"")</f>
        <v>Ivory Ningbo</v>
      </c>
      <c r="H101" s="288">
        <f>+IFERROR(VLOOKUP(F101,NVL!$B:$D,3,0),"")</f>
        <v>210</v>
      </c>
      <c r="I101" s="288">
        <f>+IFERROR(VLOOKUP(F101,NVL!$B:$F,4,0),"")</f>
        <v>108</v>
      </c>
      <c r="J101" s="289">
        <f>23*987</f>
        <v>22701</v>
      </c>
      <c r="K101" s="355" t="s">
        <v>81</v>
      </c>
      <c r="L101" s="291">
        <f>+IFERROR(VLOOKUP(K101,'THÀNH PHẨM'!$B:$F,3,0),"")</f>
        <v>210</v>
      </c>
      <c r="M101" s="291">
        <f>+IFERROR(VLOOKUP(K101,'THÀNH PHẨM'!$B:$F,4,0),"")</f>
        <v>71</v>
      </c>
      <c r="N101" s="291">
        <f>+IFERROR(VLOOKUP(K101,'THÀNH PHẨM'!$B:$F,5,0),"")</f>
        <v>800</v>
      </c>
      <c r="O101" s="289">
        <v>1785.0</v>
      </c>
      <c r="P101" s="292">
        <f t="shared" si="2"/>
        <v>21291.48</v>
      </c>
      <c r="Q101" s="289"/>
      <c r="R101" s="289"/>
      <c r="S101" s="293">
        <f t="shared" si="62"/>
        <v>0</v>
      </c>
      <c r="T101" s="294">
        <f>23*3</f>
        <v>69</v>
      </c>
      <c r="U101" s="295">
        <f t="shared" si="63"/>
        <v>110</v>
      </c>
      <c r="V101" s="296">
        <v>22.0</v>
      </c>
      <c r="W101" s="297">
        <v>500.52</v>
      </c>
      <c r="X101" s="298">
        <v>909.0</v>
      </c>
      <c r="Y101" s="292">
        <f t="shared" si="59"/>
        <v>0</v>
      </c>
      <c r="Z101" s="366">
        <f t="shared" si="60"/>
        <v>500.52</v>
      </c>
      <c r="AA101" s="299">
        <f t="shared" si="61"/>
        <v>0.02204836791</v>
      </c>
      <c r="AB101" s="300"/>
      <c r="AC101" s="364" t="s">
        <v>238</v>
      </c>
      <c r="AD101" s="302">
        <v>30.0</v>
      </c>
      <c r="AE101" s="303"/>
      <c r="AF101" s="304">
        <v>1785.0</v>
      </c>
      <c r="AG101" s="304">
        <v>9.0</v>
      </c>
      <c r="AH101" s="304">
        <v>12.0</v>
      </c>
      <c r="AI101" s="304">
        <v>19.28</v>
      </c>
      <c r="AJ101" s="304"/>
      <c r="AK101" s="305" t="s">
        <v>352</v>
      </c>
      <c r="AL101" s="283">
        <v>45964.0</v>
      </c>
      <c r="AM101" s="375"/>
    </row>
    <row r="102" ht="15.75" customHeight="1">
      <c r="A102" s="282">
        <f t="shared" si="1"/>
        <v>98</v>
      </c>
      <c r="B102" s="283">
        <v>45965.0</v>
      </c>
      <c r="C102" s="335" t="s">
        <v>304</v>
      </c>
      <c r="D102" s="285" t="s">
        <v>470</v>
      </c>
      <c r="E102" s="286" t="s">
        <v>304</v>
      </c>
      <c r="F102" s="353" t="s">
        <v>213</v>
      </c>
      <c r="G102" s="288" t="str">
        <f>+IFERROR(VLOOKUP(F102,NVL!$B:$C,2,0),"")</f>
        <v>Ivory Ningbo</v>
      </c>
      <c r="H102" s="288">
        <f>+IFERROR(VLOOKUP(F102,NVL!$B:$D,3,0),"")</f>
        <v>210</v>
      </c>
      <c r="I102" s="288">
        <f>+IFERROR(VLOOKUP(F102,NVL!$B:$F,4,0),"")</f>
        <v>108</v>
      </c>
      <c r="J102" s="306">
        <f>909+12*987</f>
        <v>12753</v>
      </c>
      <c r="K102" s="355" t="s">
        <v>104</v>
      </c>
      <c r="L102" s="291">
        <f>+IFERROR(VLOOKUP(K102,'THÀNH PHẨM'!$B:$F,3,0),"")</f>
        <v>210</v>
      </c>
      <c r="M102" s="291">
        <f>+IFERROR(VLOOKUP(K102,'THÀNH PHẨM'!$B:$F,4,0),"")</f>
        <v>95</v>
      </c>
      <c r="N102" s="291">
        <f>+IFERROR(VLOOKUP(K102,'THÀNH PHẨM'!$B:$F,5,0),"")</f>
        <v>800</v>
      </c>
      <c r="O102" s="289">
        <v>629.0</v>
      </c>
      <c r="P102" s="292">
        <f t="shared" si="2"/>
        <v>10038.84</v>
      </c>
      <c r="Q102" s="289"/>
      <c r="R102" s="289"/>
      <c r="S102" s="293">
        <f t="shared" si="62"/>
        <v>0</v>
      </c>
      <c r="T102" s="321">
        <f>12*3</f>
        <v>36</v>
      </c>
      <c r="U102" s="321">
        <f t="shared" si="63"/>
        <v>65</v>
      </c>
      <c r="V102" s="321">
        <v>13.0</v>
      </c>
      <c r="W102" s="356">
        <v>209.28</v>
      </c>
      <c r="X102" s="321">
        <v>0.0</v>
      </c>
      <c r="Y102" s="311">
        <f>+IF(J102="","",J102-P102-P103-S102-W102-X102)</f>
        <v>0</v>
      </c>
      <c r="Z102" s="311">
        <f t="shared" si="60"/>
        <v>209.28</v>
      </c>
      <c r="AA102" s="312">
        <f t="shared" si="61"/>
        <v>0.01641025641</v>
      </c>
      <c r="AB102" s="300"/>
      <c r="AC102" s="364" t="s">
        <v>238</v>
      </c>
      <c r="AD102" s="302">
        <v>12.0</v>
      </c>
      <c r="AE102" s="303"/>
      <c r="AF102" s="304">
        <v>635.0</v>
      </c>
      <c r="AG102" s="304">
        <v>7.8</v>
      </c>
      <c r="AH102" s="304">
        <v>4.8</v>
      </c>
      <c r="AI102" s="304">
        <v>9.09</v>
      </c>
      <c r="AJ102" s="304"/>
      <c r="AK102" s="305" t="s">
        <v>352</v>
      </c>
      <c r="AL102" s="283">
        <v>45973.0</v>
      </c>
      <c r="AM102" s="284"/>
    </row>
    <row r="103" ht="15.75" customHeight="1">
      <c r="A103" s="282">
        <f t="shared" si="1"/>
        <v>99</v>
      </c>
      <c r="B103" s="283">
        <v>45965.0</v>
      </c>
      <c r="C103" s="335" t="s">
        <v>304</v>
      </c>
      <c r="D103" s="285" t="s">
        <v>470</v>
      </c>
      <c r="E103" s="286" t="s">
        <v>304</v>
      </c>
      <c r="F103" s="353" t="s">
        <v>213</v>
      </c>
      <c r="G103" s="288" t="str">
        <f>+IFERROR(VLOOKUP(F103,NVL!$B:$C,2,0),"")</f>
        <v>Ivory Ningbo</v>
      </c>
      <c r="H103" s="288">
        <f>+IFERROR(VLOOKUP(F103,NVL!$B:$D,3,0),"")</f>
        <v>210</v>
      </c>
      <c r="I103" s="288">
        <f>+IFERROR(VLOOKUP(F103,NVL!$B:$F,4,0),"")</f>
        <v>108</v>
      </c>
      <c r="J103" s="313"/>
      <c r="K103" s="355" t="s">
        <v>81</v>
      </c>
      <c r="L103" s="291">
        <f>+IFERROR(VLOOKUP(K103,'THÀNH PHẨM'!$B:$F,3,0),"")</f>
        <v>210</v>
      </c>
      <c r="M103" s="291">
        <f>+IFERROR(VLOOKUP(K103,'THÀNH PHẨM'!$B:$F,4,0),"")</f>
        <v>71</v>
      </c>
      <c r="N103" s="291">
        <f>+IFERROR(VLOOKUP(K103,'THÀNH PHẨM'!$B:$F,5,0),"")</f>
        <v>800</v>
      </c>
      <c r="O103" s="289">
        <v>210.0</v>
      </c>
      <c r="P103" s="292">
        <f t="shared" si="2"/>
        <v>2504.88</v>
      </c>
      <c r="Q103" s="289"/>
      <c r="R103" s="289"/>
      <c r="S103" s="293">
        <f t="shared" si="62"/>
        <v>0</v>
      </c>
      <c r="T103" s="313"/>
      <c r="U103" s="313"/>
      <c r="V103" s="313"/>
      <c r="W103" s="313"/>
      <c r="X103" s="313"/>
      <c r="Y103" s="313"/>
      <c r="Z103" s="313"/>
      <c r="AA103" s="313"/>
      <c r="AB103" s="300"/>
      <c r="AC103" s="364" t="s">
        <v>238</v>
      </c>
      <c r="AD103" s="302">
        <v>3.0</v>
      </c>
      <c r="AE103" s="303"/>
      <c r="AF103" s="304">
        <v>215.0</v>
      </c>
      <c r="AG103" s="304">
        <v>1.95</v>
      </c>
      <c r="AH103" s="304">
        <v>1.2</v>
      </c>
      <c r="AI103" s="304">
        <v>2.27</v>
      </c>
      <c r="AJ103" s="304"/>
      <c r="AK103" s="305" t="s">
        <v>352</v>
      </c>
      <c r="AL103" s="283">
        <v>45973.0</v>
      </c>
      <c r="AM103" s="284"/>
    </row>
    <row r="104" ht="15.75" customHeight="1">
      <c r="A104" s="282">
        <f t="shared" si="1"/>
        <v>100</v>
      </c>
      <c r="B104" s="283">
        <v>45972.0</v>
      </c>
      <c r="C104" s="335" t="s">
        <v>452</v>
      </c>
      <c r="D104" s="285" t="s">
        <v>471</v>
      </c>
      <c r="E104" s="286" t="s">
        <v>452</v>
      </c>
      <c r="F104" s="353" t="s">
        <v>189</v>
      </c>
      <c r="G104" s="288" t="str">
        <f>+IFERROR(VLOOKUP(F104,NVL!$B:$C,2,0),"")</f>
        <v>Ivory Ningbo</v>
      </c>
      <c r="H104" s="288">
        <f>+IFERROR(VLOOKUP(F104,NVL!$B:$D,3,0),"")</f>
        <v>230</v>
      </c>
      <c r="I104" s="288">
        <f>+IFERROR(VLOOKUP(F104,NVL!$B:$F,4,0),"")</f>
        <v>109</v>
      </c>
      <c r="J104" s="306">
        <f>465+10*978+3*990</f>
        <v>13215</v>
      </c>
      <c r="K104" s="355" t="s">
        <v>117</v>
      </c>
      <c r="L104" s="291">
        <v>230.0</v>
      </c>
      <c r="M104" s="291">
        <v>97.0</v>
      </c>
      <c r="N104" s="291">
        <v>800.0</v>
      </c>
      <c r="O104" s="289">
        <v>1.0</v>
      </c>
      <c r="P104" s="292">
        <f t="shared" si="2"/>
        <v>17.848</v>
      </c>
      <c r="Q104" s="289"/>
      <c r="R104" s="289"/>
      <c r="S104" s="293">
        <f t="shared" si="62"/>
        <v>0</v>
      </c>
      <c r="T104" s="321">
        <f>13*3</f>
        <v>39</v>
      </c>
      <c r="U104" s="321">
        <f>+V104*5</f>
        <v>65</v>
      </c>
      <c r="V104" s="321">
        <v>13.0</v>
      </c>
      <c r="W104" s="356">
        <v>133.99</v>
      </c>
      <c r="X104" s="321">
        <v>760.0</v>
      </c>
      <c r="Y104" s="311">
        <f>+IF(J104="","",J104-P104-P105-P106-S104-S105-S106-W104-X104)</f>
        <v>0.001999999999</v>
      </c>
      <c r="Z104" s="311">
        <f>+IF(J104&lt;&gt;"",W104+Y104,0)</f>
        <v>133.992</v>
      </c>
      <c r="AA104" s="312">
        <f>+IF(IF(J104=";",Z104/J104)&lt;0,0%,(IF(J104="","",Z104/J104)))</f>
        <v>0.01013938706</v>
      </c>
      <c r="AB104" s="300"/>
      <c r="AC104" s="364"/>
      <c r="AD104" s="302"/>
      <c r="AE104" s="303"/>
      <c r="AF104" s="304">
        <v>1.0</v>
      </c>
      <c r="AG104" s="304"/>
      <c r="AH104" s="304"/>
      <c r="AI104" s="304">
        <v>0.01</v>
      </c>
      <c r="AJ104" s="304"/>
      <c r="AK104" s="305" t="s">
        <v>352</v>
      </c>
      <c r="AL104" s="283">
        <v>45980.0</v>
      </c>
      <c r="AM104" s="284"/>
    </row>
    <row r="105" ht="15.75" customHeight="1">
      <c r="A105" s="282">
        <f t="shared" si="1"/>
        <v>101</v>
      </c>
      <c r="B105" s="283">
        <v>45972.0</v>
      </c>
      <c r="C105" s="335" t="s">
        <v>452</v>
      </c>
      <c r="D105" s="285" t="s">
        <v>471</v>
      </c>
      <c r="E105" s="286" t="s">
        <v>452</v>
      </c>
      <c r="F105" s="353" t="s">
        <v>189</v>
      </c>
      <c r="G105" s="288" t="str">
        <f>+IFERROR(VLOOKUP(F105,NVL!$B:$C,2,0),"")</f>
        <v>Ivory Ningbo</v>
      </c>
      <c r="H105" s="288">
        <f>+IFERROR(VLOOKUP(F105,NVL!$B:$D,3,0),"")</f>
        <v>230</v>
      </c>
      <c r="I105" s="288">
        <f>+IFERROR(VLOOKUP(F105,NVL!$B:$F,4,0),"")</f>
        <v>109</v>
      </c>
      <c r="J105" s="319"/>
      <c r="K105" s="355" t="s">
        <v>113</v>
      </c>
      <c r="L105" s="291">
        <f>+IFERROR(VLOOKUP(K105,'THÀNH PHẨM'!$B:$F,3,0),"")</f>
        <v>230</v>
      </c>
      <c r="M105" s="291">
        <f>+IFERROR(VLOOKUP(K105,'THÀNH PHẨM'!$B:$F,4,0),"")</f>
        <v>95</v>
      </c>
      <c r="N105" s="291">
        <f>+IFERROR(VLOOKUP(K105,'THÀNH PHẨM'!$B:$F,5,0),"")</f>
        <v>800</v>
      </c>
      <c r="O105" s="289">
        <v>557.0</v>
      </c>
      <c r="P105" s="292">
        <f t="shared" si="2"/>
        <v>9736.36</v>
      </c>
      <c r="Q105" s="289"/>
      <c r="R105" s="289"/>
      <c r="S105" s="293">
        <f t="shared" si="62"/>
        <v>0</v>
      </c>
      <c r="T105" s="319"/>
      <c r="U105" s="319"/>
      <c r="V105" s="319"/>
      <c r="W105" s="319"/>
      <c r="X105" s="319"/>
      <c r="Y105" s="319"/>
      <c r="Z105" s="319"/>
      <c r="AA105" s="319"/>
      <c r="AB105" s="300"/>
      <c r="AC105" s="364" t="s">
        <v>235</v>
      </c>
      <c r="AD105" s="302">
        <v>10.0</v>
      </c>
      <c r="AE105" s="303">
        <v>40.0</v>
      </c>
      <c r="AF105" s="304">
        <v>560.0</v>
      </c>
      <c r="AG105" s="304">
        <v>6.5</v>
      </c>
      <c r="AH105" s="304">
        <v>7.0</v>
      </c>
      <c r="AI105" s="304">
        <v>8.05</v>
      </c>
      <c r="AJ105" s="304"/>
      <c r="AK105" s="305" t="s">
        <v>352</v>
      </c>
      <c r="AL105" s="283">
        <v>45980.0</v>
      </c>
      <c r="AM105" s="284"/>
    </row>
    <row r="106" ht="15.75" customHeight="1">
      <c r="A106" s="282">
        <f t="shared" si="1"/>
        <v>102</v>
      </c>
      <c r="B106" s="283">
        <v>45972.0</v>
      </c>
      <c r="C106" s="335" t="s">
        <v>452</v>
      </c>
      <c r="D106" s="285" t="s">
        <v>471</v>
      </c>
      <c r="E106" s="286" t="s">
        <v>452</v>
      </c>
      <c r="F106" s="353" t="s">
        <v>189</v>
      </c>
      <c r="G106" s="288" t="str">
        <f>+IFERROR(VLOOKUP(F106,NVL!$B:$C,2,0),"")</f>
        <v>Ivory Ningbo</v>
      </c>
      <c r="H106" s="288">
        <f>+IFERROR(VLOOKUP(F106,NVL!$B:$D,3,0),"")</f>
        <v>230</v>
      </c>
      <c r="I106" s="288">
        <f>+IFERROR(VLOOKUP(F106,NVL!$B:$F,4,0),"")</f>
        <v>109</v>
      </c>
      <c r="J106" s="313"/>
      <c r="K106" s="355" t="s">
        <v>108</v>
      </c>
      <c r="L106" s="291">
        <v>230.0</v>
      </c>
      <c r="M106" s="291">
        <v>75.0</v>
      </c>
      <c r="N106" s="291">
        <v>800.0</v>
      </c>
      <c r="O106" s="289">
        <v>186.0</v>
      </c>
      <c r="P106" s="292">
        <f t="shared" si="2"/>
        <v>2566.8</v>
      </c>
      <c r="Q106" s="289"/>
      <c r="R106" s="289"/>
      <c r="S106" s="293">
        <f t="shared" si="62"/>
        <v>0</v>
      </c>
      <c r="T106" s="313"/>
      <c r="U106" s="313"/>
      <c r="V106" s="313"/>
      <c r="W106" s="313"/>
      <c r="X106" s="313"/>
      <c r="Y106" s="313"/>
      <c r="Z106" s="313"/>
      <c r="AA106" s="313"/>
      <c r="AB106" s="300"/>
      <c r="AC106" s="364" t="s">
        <v>235</v>
      </c>
      <c r="AD106" s="302">
        <v>3.0</v>
      </c>
      <c r="AE106" s="303">
        <v>12.0</v>
      </c>
      <c r="AF106" s="304">
        <v>190.0</v>
      </c>
      <c r="AG106" s="304">
        <v>1.95</v>
      </c>
      <c r="AH106" s="304">
        <v>2.1</v>
      </c>
      <c r="AI106" s="304">
        <v>2.12</v>
      </c>
      <c r="AJ106" s="304"/>
      <c r="AK106" s="305" t="s">
        <v>352</v>
      </c>
      <c r="AL106" s="283">
        <v>45980.0</v>
      </c>
      <c r="AM106" s="284"/>
    </row>
    <row r="107" ht="15.75" customHeight="1">
      <c r="A107" s="282">
        <f t="shared" si="1"/>
        <v>103</v>
      </c>
      <c r="B107" s="283">
        <v>45980.0</v>
      </c>
      <c r="C107" s="335" t="s">
        <v>304</v>
      </c>
      <c r="D107" s="285" t="s">
        <v>472</v>
      </c>
      <c r="E107" s="286" t="s">
        <v>304</v>
      </c>
      <c r="F107" s="353" t="s">
        <v>213</v>
      </c>
      <c r="G107" s="288" t="str">
        <f>+IFERROR(VLOOKUP(F107,NVL!$B:$C,2,0),"")</f>
        <v>Ivory Ningbo</v>
      </c>
      <c r="H107" s="288">
        <f>+IFERROR(VLOOKUP(F107,NVL!$B:$D,3,0),"")</f>
        <v>210</v>
      </c>
      <c r="I107" s="288">
        <f>+IFERROR(VLOOKUP(F107,NVL!$B:$F,4,0),"")</f>
        <v>108</v>
      </c>
      <c r="J107" s="289">
        <f>45*987</f>
        <v>44415</v>
      </c>
      <c r="K107" s="355" t="s">
        <v>81</v>
      </c>
      <c r="L107" s="291">
        <f>+IFERROR(VLOOKUP(K107,'THÀNH PHẨM'!$B:$F,3,0),"")</f>
        <v>210</v>
      </c>
      <c r="M107" s="291">
        <f>+IFERROR(VLOOKUP(K107,'THÀNH PHẨM'!$B:$F,4,0),"")</f>
        <v>71</v>
      </c>
      <c r="N107" s="291">
        <f>+IFERROR(VLOOKUP(K107,'THÀNH PHẨM'!$B:$F,5,0),"")</f>
        <v>800</v>
      </c>
      <c r="O107" s="289">
        <v>3644.0</v>
      </c>
      <c r="P107" s="292">
        <f t="shared" si="2"/>
        <v>43465.632</v>
      </c>
      <c r="Q107" s="289"/>
      <c r="R107" s="289"/>
      <c r="S107" s="293">
        <f t="shared" si="62"/>
        <v>0</v>
      </c>
      <c r="T107" s="294">
        <f>45*3</f>
        <v>135</v>
      </c>
      <c r="U107" s="295">
        <f t="shared" ref="U107:U110" si="64">+V107*5</f>
        <v>220</v>
      </c>
      <c r="V107" s="296">
        <v>44.0</v>
      </c>
      <c r="W107" s="297">
        <v>869.37</v>
      </c>
      <c r="X107" s="298">
        <v>80.0</v>
      </c>
      <c r="Y107" s="292">
        <f t="shared" ref="Y107:Y109" si="65">+IF(J107="","",J107-P107-S107-W107-X107)</f>
        <v>-0.001999999998</v>
      </c>
      <c r="Z107" s="366">
        <f t="shared" ref="Z107:Z110" si="66">+IF(J107&lt;&gt;"",W107+Y107,0)</f>
        <v>869.368</v>
      </c>
      <c r="AA107" s="299">
        <f t="shared" ref="AA107:AA110" si="67">+IF(IF(J107=";",Z107/J107)&lt;0,0%,(IF(J107="","",Z107/J107)))</f>
        <v>0.01957374761</v>
      </c>
      <c r="AB107" s="300"/>
      <c r="AC107" s="364" t="s">
        <v>238</v>
      </c>
      <c r="AD107" s="302">
        <v>61.0</v>
      </c>
      <c r="AE107" s="303"/>
      <c r="AF107" s="304">
        <v>3722.0</v>
      </c>
      <c r="AG107" s="304">
        <v>18.3</v>
      </c>
      <c r="AH107" s="304">
        <v>24.4</v>
      </c>
      <c r="AI107" s="304">
        <v>39.36</v>
      </c>
      <c r="AJ107" s="304"/>
      <c r="AK107" s="305" t="s">
        <v>352</v>
      </c>
      <c r="AL107" s="283">
        <v>46010.0</v>
      </c>
      <c r="AM107" s="375"/>
    </row>
    <row r="108" ht="15.75" customHeight="1">
      <c r="A108" s="282">
        <f t="shared" si="1"/>
        <v>104</v>
      </c>
      <c r="B108" s="283">
        <v>46008.0</v>
      </c>
      <c r="C108" s="335" t="s">
        <v>402</v>
      </c>
      <c r="D108" s="285" t="s">
        <v>473</v>
      </c>
      <c r="E108" s="286" t="s">
        <v>131</v>
      </c>
      <c r="F108" s="353" t="s">
        <v>88</v>
      </c>
      <c r="G108" s="288" t="str">
        <f>+IFERROR(VLOOKUP(F108,NVL!$B:$C,2,0),"")</f>
        <v>Ivory Ningbo</v>
      </c>
      <c r="H108" s="288">
        <f>+IFERROR(VLOOKUP(F108,NVL!$B:$D,3,0),"")</f>
        <v>250</v>
      </c>
      <c r="I108" s="288">
        <f>+IFERROR(VLOOKUP(F108,NVL!$B:$F,4,0),"")</f>
        <v>109</v>
      </c>
      <c r="J108" s="289">
        <f>480+30+29*981</f>
        <v>28959</v>
      </c>
      <c r="K108" s="355" t="s">
        <v>123</v>
      </c>
      <c r="L108" s="291">
        <f>+IFERROR(VLOOKUP(K108,'THÀNH PHẨM'!$B:$F,3,0),"")</f>
        <v>250</v>
      </c>
      <c r="M108" s="291">
        <f>+IFERROR(VLOOKUP(K108,'THÀNH PHẨM'!$B:$F,4,0),"")</f>
        <v>90</v>
      </c>
      <c r="N108" s="291">
        <f>+IFERROR(VLOOKUP(K108,'THÀNH PHẨM'!$B:$F,5,0),"")</f>
        <v>800</v>
      </c>
      <c r="O108" s="289">
        <v>1581.0</v>
      </c>
      <c r="P108" s="292">
        <f t="shared" si="2"/>
        <v>28458</v>
      </c>
      <c r="Q108" s="289"/>
      <c r="R108" s="289"/>
      <c r="S108" s="293">
        <f t="shared" si="62"/>
        <v>0</v>
      </c>
      <c r="T108" s="294">
        <f>29*3</f>
        <v>87</v>
      </c>
      <c r="U108" s="295">
        <f t="shared" si="64"/>
        <v>155</v>
      </c>
      <c r="V108" s="296">
        <f>29+2</f>
        <v>31</v>
      </c>
      <c r="W108" s="297">
        <v>501.0</v>
      </c>
      <c r="X108" s="298"/>
      <c r="Y108" s="292">
        <f t="shared" si="65"/>
        <v>0</v>
      </c>
      <c r="Z108" s="366">
        <f t="shared" si="66"/>
        <v>501</v>
      </c>
      <c r="AA108" s="299">
        <f t="shared" si="67"/>
        <v>0.01730032114</v>
      </c>
      <c r="AB108" s="300"/>
      <c r="AC108" s="364" t="s">
        <v>235</v>
      </c>
      <c r="AD108" s="302">
        <v>30.0</v>
      </c>
      <c r="AE108" s="303">
        <f>30*4</f>
        <v>120</v>
      </c>
      <c r="AF108" s="304">
        <v>1600.0</v>
      </c>
      <c r="AG108" s="304">
        <v>18.0</v>
      </c>
      <c r="AH108" s="304">
        <v>15.0</v>
      </c>
      <c r="AI108" s="304">
        <v>21.65</v>
      </c>
      <c r="AJ108" s="304"/>
      <c r="AK108" s="305" t="s">
        <v>352</v>
      </c>
      <c r="AL108" s="283">
        <v>45679.0</v>
      </c>
      <c r="AM108" s="284"/>
    </row>
    <row r="109" ht="15.75" customHeight="1">
      <c r="A109" s="282">
        <f t="shared" si="1"/>
        <v>105</v>
      </c>
      <c r="B109" s="283">
        <v>46045.0</v>
      </c>
      <c r="C109" s="284" t="s">
        <v>452</v>
      </c>
      <c r="D109" s="285" t="s">
        <v>474</v>
      </c>
      <c r="E109" s="286" t="s">
        <v>452</v>
      </c>
      <c r="F109" s="353" t="s">
        <v>223</v>
      </c>
      <c r="G109" s="288" t="str">
        <f>+IFERROR(VLOOKUP(F109,NVL!$B:$C,2,0),"")</f>
        <v>Ivory Ningbo</v>
      </c>
      <c r="H109" s="288">
        <f>+IFERROR(VLOOKUP(F109,NVL!$B:$D,3,0),"")</f>
        <v>230</v>
      </c>
      <c r="I109" s="288">
        <f>+IFERROR(VLOOKUP(F109,NVL!$B:$F,4,0),"")</f>
        <v>108</v>
      </c>
      <c r="J109" s="289">
        <f>14*969+30</f>
        <v>13596</v>
      </c>
      <c r="K109" s="355" t="s">
        <v>113</v>
      </c>
      <c r="L109" s="291">
        <f>+IFERROR(VLOOKUP(K109,'THÀNH PHẨM'!$B:$F,3,0),"")</f>
        <v>230</v>
      </c>
      <c r="M109" s="291">
        <f>+IFERROR(VLOOKUP(K109,'THÀNH PHẨM'!$B:$F,4,0),"")</f>
        <v>95</v>
      </c>
      <c r="N109" s="291">
        <f>+IFERROR(VLOOKUP(K109,'THÀNH PHẨM'!$B:$F,5,0),"")</f>
        <v>800</v>
      </c>
      <c r="O109" s="289">
        <v>726.0</v>
      </c>
      <c r="P109" s="292">
        <f t="shared" si="2"/>
        <v>12690.48</v>
      </c>
      <c r="Q109" s="289"/>
      <c r="R109" s="289"/>
      <c r="S109" s="293">
        <f t="shared" si="62"/>
        <v>0</v>
      </c>
      <c r="T109" s="294">
        <f>14*3</f>
        <v>42</v>
      </c>
      <c r="U109" s="295">
        <f t="shared" si="64"/>
        <v>70</v>
      </c>
      <c r="V109" s="296">
        <v>14.0</v>
      </c>
      <c r="W109" s="297">
        <v>495.52</v>
      </c>
      <c r="X109" s="298">
        <v>410.0</v>
      </c>
      <c r="Y109" s="292">
        <f t="shared" si="65"/>
        <v>0</v>
      </c>
      <c r="Z109" s="366">
        <f t="shared" si="66"/>
        <v>495.52</v>
      </c>
      <c r="AA109" s="299">
        <f t="shared" si="67"/>
        <v>0.03644601353</v>
      </c>
      <c r="AB109" s="300"/>
      <c r="AC109" s="364" t="s">
        <v>235</v>
      </c>
      <c r="AD109" s="302">
        <v>12.0</v>
      </c>
      <c r="AE109" s="303">
        <v>48.0</v>
      </c>
      <c r="AF109" s="304">
        <v>735.0</v>
      </c>
      <c r="AG109" s="304">
        <v>6.0</v>
      </c>
      <c r="AH109" s="304">
        <v>8.4</v>
      </c>
      <c r="AI109" s="304">
        <v>10.49</v>
      </c>
      <c r="AJ109" s="304"/>
      <c r="AK109" s="305" t="s">
        <v>352</v>
      </c>
      <c r="AL109" s="283">
        <v>46053.0</v>
      </c>
      <c r="AM109" s="375" t="s">
        <v>454</v>
      </c>
    </row>
    <row r="110" ht="15.75" customHeight="1">
      <c r="A110" s="282">
        <f t="shared" si="1"/>
        <v>106</v>
      </c>
      <c r="B110" s="283">
        <v>46055.0</v>
      </c>
      <c r="C110" s="335" t="s">
        <v>402</v>
      </c>
      <c r="D110" s="285" t="s">
        <v>475</v>
      </c>
      <c r="E110" s="376" t="s">
        <v>402</v>
      </c>
      <c r="F110" s="353" t="s">
        <v>213</v>
      </c>
      <c r="G110" s="288" t="str">
        <f>+IFERROR(VLOOKUP(F110,NVL!$B:$C,2,0),"")</f>
        <v>Ivory Ningbo</v>
      </c>
      <c r="H110" s="288">
        <v>210.0</v>
      </c>
      <c r="I110" s="288">
        <v>108.0</v>
      </c>
      <c r="J110" s="306">
        <f>30*987+80</f>
        <v>29690</v>
      </c>
      <c r="K110" s="355" t="s">
        <v>81</v>
      </c>
      <c r="L110" s="291">
        <v>210.0</v>
      </c>
      <c r="M110" s="291">
        <v>71.0</v>
      </c>
      <c r="N110" s="291">
        <f>+IFERROR(VLOOKUP(K110,'THÀNH PHẨM'!$B:$F,5,0),"")</f>
        <v>800</v>
      </c>
      <c r="O110" s="289">
        <v>2360.0</v>
      </c>
      <c r="P110" s="292">
        <f t="shared" si="2"/>
        <v>28150.08</v>
      </c>
      <c r="Q110" s="289"/>
      <c r="R110" s="289"/>
      <c r="S110" s="293">
        <f t="shared" si="62"/>
        <v>0</v>
      </c>
      <c r="T110" s="307">
        <f>30*3</f>
        <v>90</v>
      </c>
      <c r="U110" s="308">
        <f t="shared" si="64"/>
        <v>150</v>
      </c>
      <c r="V110" s="309">
        <v>30.0</v>
      </c>
      <c r="W110" s="310">
        <v>781.28</v>
      </c>
      <c r="X110" s="310">
        <v>300.0</v>
      </c>
      <c r="Y110" s="311">
        <f>+IF(J110="","",J110-P110-P111-S110-S111-W110-W111-X110-X111)</f>
        <v>0</v>
      </c>
      <c r="Z110" s="311">
        <f t="shared" si="66"/>
        <v>781.28</v>
      </c>
      <c r="AA110" s="312">
        <f t="shared" si="67"/>
        <v>0.02631458404</v>
      </c>
      <c r="AB110" s="300"/>
      <c r="AC110" s="364" t="s">
        <v>238</v>
      </c>
      <c r="AD110" s="302">
        <v>39.0</v>
      </c>
      <c r="AE110" s="303"/>
      <c r="AF110" s="304">
        <v>2375.0</v>
      </c>
      <c r="AG110" s="304">
        <f>12-AG111</f>
        <v>11.7</v>
      </c>
      <c r="AH110" s="304">
        <f>16-AH111</f>
        <v>15.6</v>
      </c>
      <c r="AI110" s="304">
        <f>25.91-AI111</f>
        <v>25.49</v>
      </c>
      <c r="AJ110" s="304">
        <f>24-AJ111</f>
        <v>23.4</v>
      </c>
      <c r="AK110" s="305" t="s">
        <v>352</v>
      </c>
      <c r="AL110" s="283">
        <v>46088.0</v>
      </c>
      <c r="AM110" s="284"/>
    </row>
    <row r="111" ht="15.75" customHeight="1">
      <c r="A111" s="282">
        <f t="shared" si="1"/>
        <v>107</v>
      </c>
      <c r="B111" s="283">
        <v>46055.0</v>
      </c>
      <c r="C111" s="335" t="s">
        <v>402</v>
      </c>
      <c r="D111" s="285" t="s">
        <v>475</v>
      </c>
      <c r="E111" s="376" t="s">
        <v>402</v>
      </c>
      <c r="F111" s="353" t="s">
        <v>213</v>
      </c>
      <c r="G111" s="288" t="str">
        <f>+IFERROR(VLOOKUP(F111,NVL!$B:$C,2,0),"")</f>
        <v>Ivory Ningbo</v>
      </c>
      <c r="H111" s="288">
        <f>+IFERROR(VLOOKUP(F111,NVL!$B:$D,3,0),"")</f>
        <v>210</v>
      </c>
      <c r="I111" s="288">
        <v>108.0</v>
      </c>
      <c r="J111" s="313"/>
      <c r="K111" s="355" t="s">
        <v>98</v>
      </c>
      <c r="L111" s="291">
        <f>+IFERROR(VLOOKUP(K111,'THÀNH PHẨM'!$B:$F,3,0),"")</f>
        <v>210</v>
      </c>
      <c r="M111" s="291">
        <f>+IFERROR(VLOOKUP(K111,'THÀNH PHẨM'!$B:$F,4,0),"")</f>
        <v>91</v>
      </c>
      <c r="N111" s="291">
        <f>+IFERROR(VLOOKUP(K111,'THÀNH PHẨM'!$B:$F,5,0),"")</f>
        <v>800</v>
      </c>
      <c r="O111" s="289">
        <v>30.0</v>
      </c>
      <c r="P111" s="292">
        <f t="shared" si="2"/>
        <v>458.64</v>
      </c>
      <c r="Q111" s="289"/>
      <c r="R111" s="289"/>
      <c r="S111" s="293">
        <f t="shared" si="62"/>
        <v>0</v>
      </c>
      <c r="T111" s="313"/>
      <c r="U111" s="313"/>
      <c r="V111" s="313"/>
      <c r="W111" s="313"/>
      <c r="X111" s="313"/>
      <c r="Y111" s="313"/>
      <c r="Z111" s="313"/>
      <c r="AA111" s="313"/>
      <c r="AB111" s="300"/>
      <c r="AC111" s="364" t="s">
        <v>235</v>
      </c>
      <c r="AD111" s="302">
        <v>1.0</v>
      </c>
      <c r="AE111" s="303"/>
      <c r="AF111" s="304">
        <v>30.0</v>
      </c>
      <c r="AG111" s="304">
        <v>0.3</v>
      </c>
      <c r="AH111" s="304">
        <v>0.4</v>
      </c>
      <c r="AI111" s="304">
        <v>0.42</v>
      </c>
      <c r="AJ111" s="304">
        <v>0.6</v>
      </c>
      <c r="AK111" s="305" t="s">
        <v>352</v>
      </c>
      <c r="AL111" s="283">
        <v>46088.0</v>
      </c>
      <c r="AM111" s="284"/>
    </row>
    <row r="112" ht="15.75" customHeight="1">
      <c r="A112" s="282">
        <f t="shared" si="1"/>
        <v>108</v>
      </c>
      <c r="B112" s="283">
        <v>46090.0</v>
      </c>
      <c r="C112" s="335" t="s">
        <v>402</v>
      </c>
      <c r="D112" s="285" t="s">
        <v>476</v>
      </c>
      <c r="E112" s="376" t="s">
        <v>402</v>
      </c>
      <c r="F112" s="353" t="s">
        <v>213</v>
      </c>
      <c r="G112" s="288" t="str">
        <f>+IFERROR(VLOOKUP(F112,NVL!$B:$C,2,0),"")</f>
        <v>Ivory Ningbo</v>
      </c>
      <c r="H112" s="288">
        <v>210.0</v>
      </c>
      <c r="I112" s="288">
        <v>108.0</v>
      </c>
      <c r="J112" s="306">
        <f>20*987</f>
        <v>19740</v>
      </c>
      <c r="K112" s="355" t="s">
        <v>81</v>
      </c>
      <c r="L112" s="291">
        <v>210.0</v>
      </c>
      <c r="M112" s="291">
        <v>71.0</v>
      </c>
      <c r="N112" s="291">
        <f>+IFERROR(VLOOKUP(K112,'THÀNH PHẨM'!$B:$F,5,0),"")</f>
        <v>800</v>
      </c>
      <c r="O112" s="289">
        <v>318.0</v>
      </c>
      <c r="P112" s="292">
        <f t="shared" si="2"/>
        <v>3793.104</v>
      </c>
      <c r="Q112" s="289"/>
      <c r="R112" s="289"/>
      <c r="S112" s="293">
        <f t="shared" si="62"/>
        <v>0</v>
      </c>
      <c r="T112" s="307">
        <f>20*3</f>
        <v>60</v>
      </c>
      <c r="U112" s="308">
        <f>+V112*5</f>
        <v>95</v>
      </c>
      <c r="V112" s="309">
        <v>19.0</v>
      </c>
      <c r="W112" s="310">
        <v>421.06</v>
      </c>
      <c r="X112" s="310">
        <v>300.0</v>
      </c>
      <c r="Y112" s="311">
        <f>+IF(J112="","",J112-P112-P113-S112-S113-W112-W113-X112-X113)</f>
        <v>-0.004</v>
      </c>
      <c r="Z112" s="311">
        <f>+IF(J112&lt;&gt;"",W112+Y112,0)</f>
        <v>421.056</v>
      </c>
      <c r="AA112" s="312">
        <f>+IF(IF(J112=";",Z112/J112)&lt;0,0%,(IF(J112="","",Z112/J112)))</f>
        <v>0.02133009119</v>
      </c>
      <c r="AB112" s="300"/>
      <c r="AC112" s="364" t="s">
        <v>238</v>
      </c>
      <c r="AD112" s="302">
        <v>6.0</v>
      </c>
      <c r="AE112" s="360">
        <v>80.0</v>
      </c>
      <c r="AF112" s="304">
        <v>330.0</v>
      </c>
      <c r="AG112" s="304">
        <v>4.799999999999999</v>
      </c>
      <c r="AH112" s="304">
        <v>1.8000000000000003</v>
      </c>
      <c r="AI112" s="304">
        <v>3.4400000000000013</v>
      </c>
      <c r="AJ112" s="304"/>
      <c r="AK112" s="305" t="s">
        <v>352</v>
      </c>
      <c r="AL112" s="283">
        <v>46100.0</v>
      </c>
      <c r="AM112" s="284"/>
    </row>
    <row r="113" ht="15.75" customHeight="1">
      <c r="A113" s="282">
        <f t="shared" si="1"/>
        <v>109</v>
      </c>
      <c r="B113" s="283">
        <v>46090.0</v>
      </c>
      <c r="C113" s="335" t="s">
        <v>402</v>
      </c>
      <c r="D113" s="285" t="s">
        <v>476</v>
      </c>
      <c r="E113" s="376" t="s">
        <v>402</v>
      </c>
      <c r="F113" s="353" t="s">
        <v>213</v>
      </c>
      <c r="G113" s="288" t="str">
        <f>+IFERROR(VLOOKUP(F113,NVL!$B:$C,2,0),"")</f>
        <v>Ivory Ningbo</v>
      </c>
      <c r="H113" s="288">
        <f>+IFERROR(VLOOKUP(F113,NVL!$B:$D,3,0),"")</f>
        <v>210</v>
      </c>
      <c r="I113" s="288">
        <v>108.0</v>
      </c>
      <c r="J113" s="313"/>
      <c r="K113" s="355" t="s">
        <v>104</v>
      </c>
      <c r="L113" s="291">
        <f>+IFERROR(VLOOKUP(K113,'THÀNH PHẨM'!$B:$F,3,0),"")</f>
        <v>210</v>
      </c>
      <c r="M113" s="291">
        <f>+IFERROR(VLOOKUP(K113,'THÀNH PHẨM'!$B:$F,4,0),"")</f>
        <v>95</v>
      </c>
      <c r="N113" s="291">
        <f>+IFERROR(VLOOKUP(K113,'THÀNH PHẨM'!$B:$F,5,0),"")</f>
        <v>800</v>
      </c>
      <c r="O113" s="289">
        <v>954.0</v>
      </c>
      <c r="P113" s="292">
        <f t="shared" si="2"/>
        <v>15225.84</v>
      </c>
      <c r="Q113" s="289"/>
      <c r="R113" s="289"/>
      <c r="S113" s="293">
        <f t="shared" si="62"/>
        <v>0</v>
      </c>
      <c r="T113" s="313"/>
      <c r="U113" s="313"/>
      <c r="V113" s="313"/>
      <c r="W113" s="313"/>
      <c r="X113" s="313"/>
      <c r="Y113" s="313"/>
      <c r="Z113" s="313"/>
      <c r="AA113" s="313"/>
      <c r="AB113" s="300"/>
      <c r="AC113" s="364" t="s">
        <v>238</v>
      </c>
      <c r="AD113" s="302">
        <v>13.0</v>
      </c>
      <c r="AE113" s="313"/>
      <c r="AF113" s="304">
        <v>975.0</v>
      </c>
      <c r="AG113" s="304">
        <f>15.2-AG112</f>
        <v>10.4</v>
      </c>
      <c r="AH113" s="304">
        <f>5.7-AH112</f>
        <v>3.9</v>
      </c>
      <c r="AI113" s="304">
        <f>17.22-AI112</f>
        <v>13.78</v>
      </c>
      <c r="AJ113" s="304"/>
      <c r="AK113" s="305" t="s">
        <v>352</v>
      </c>
      <c r="AL113" s="283">
        <v>46100.0</v>
      </c>
      <c r="AM113" s="284"/>
    </row>
    <row r="114" ht="15.75" customHeight="1">
      <c r="A114" s="282">
        <f t="shared" si="1"/>
        <v>110</v>
      </c>
      <c r="B114" s="283">
        <v>46101.0</v>
      </c>
      <c r="C114" s="335" t="s">
        <v>402</v>
      </c>
      <c r="D114" s="285" t="s">
        <v>477</v>
      </c>
      <c r="E114" s="376" t="s">
        <v>402</v>
      </c>
      <c r="F114" s="353" t="s">
        <v>213</v>
      </c>
      <c r="G114" s="288" t="str">
        <f>+IFERROR(VLOOKUP(F114,NVL!$B:$C,2,0),"")</f>
        <v>Ivory Ningbo</v>
      </c>
      <c r="H114" s="288">
        <v>210.0</v>
      </c>
      <c r="I114" s="288">
        <v>108.0</v>
      </c>
      <c r="J114" s="306">
        <f>300+1*987</f>
        <v>1287</v>
      </c>
      <c r="K114" s="355" t="s">
        <v>81</v>
      </c>
      <c r="L114" s="291">
        <v>210.0</v>
      </c>
      <c r="M114" s="291">
        <v>71.0</v>
      </c>
      <c r="N114" s="291">
        <f>+IFERROR(VLOOKUP(K114,'THÀNH PHẨM'!$B:$F,5,0),"")</f>
        <v>800</v>
      </c>
      <c r="O114" s="289">
        <v>56.0</v>
      </c>
      <c r="P114" s="292">
        <f t="shared" si="2"/>
        <v>667.968</v>
      </c>
      <c r="Q114" s="289"/>
      <c r="R114" s="289"/>
      <c r="S114" s="293">
        <f t="shared" si="62"/>
        <v>0</v>
      </c>
      <c r="T114" s="307">
        <f>1*3</f>
        <v>3</v>
      </c>
      <c r="U114" s="308">
        <f>+V114*5</f>
        <v>10</v>
      </c>
      <c r="V114" s="309">
        <v>2.0</v>
      </c>
      <c r="W114" s="310">
        <v>33.38</v>
      </c>
      <c r="X114" s="310"/>
      <c r="Y114" s="311">
        <f>+IF(J114="","",J114-P114-P115-S114-S115-W114-W115-X114-X115)</f>
        <v>0.004</v>
      </c>
      <c r="Z114" s="311">
        <f>+IF(J114&lt;&gt;"",W114+Y114,0)</f>
        <v>33.384</v>
      </c>
      <c r="AA114" s="312">
        <f>+IF(IF(J114=";",Z114/J114)&lt;0,0%,(IF(J114="","",Z114/J114)))</f>
        <v>0.02593939394</v>
      </c>
      <c r="AB114" s="300"/>
      <c r="AC114" s="364" t="s">
        <v>238</v>
      </c>
      <c r="AD114" s="302">
        <v>1.0</v>
      </c>
      <c r="AE114" s="360"/>
      <c r="AF114" s="304">
        <v>56.0</v>
      </c>
      <c r="AG114" s="304">
        <v>0.8</v>
      </c>
      <c r="AH114" s="304">
        <v>0.3</v>
      </c>
      <c r="AI114" s="304">
        <v>0.6</v>
      </c>
      <c r="AJ114" s="304"/>
      <c r="AK114" s="305" t="s">
        <v>352</v>
      </c>
      <c r="AL114" s="283">
        <v>46101.0</v>
      </c>
      <c r="AM114" s="284"/>
    </row>
    <row r="115" ht="15.75" customHeight="1">
      <c r="A115" s="282">
        <f t="shared" si="1"/>
        <v>111</v>
      </c>
      <c r="B115" s="283">
        <v>46101.0</v>
      </c>
      <c r="C115" s="335" t="s">
        <v>402</v>
      </c>
      <c r="D115" s="285" t="s">
        <v>477</v>
      </c>
      <c r="E115" s="376" t="s">
        <v>402</v>
      </c>
      <c r="F115" s="353" t="s">
        <v>213</v>
      </c>
      <c r="G115" s="288" t="str">
        <f>+IFERROR(VLOOKUP(F115,NVL!$B:$C,2,0),"")</f>
        <v>Ivory Ningbo</v>
      </c>
      <c r="H115" s="288">
        <f>+IFERROR(VLOOKUP(F115,NVL!$B:$D,3,0),"")</f>
        <v>210</v>
      </c>
      <c r="I115" s="288">
        <v>108.0</v>
      </c>
      <c r="J115" s="313"/>
      <c r="K115" s="355" t="s">
        <v>89</v>
      </c>
      <c r="L115" s="291">
        <f>+IFERROR(VLOOKUP(K115,'THÀNH PHẨM'!$B:$F,3,0),"")</f>
        <v>210</v>
      </c>
      <c r="M115" s="291">
        <f>+IFERROR(VLOOKUP(K115,'THÀNH PHẨM'!$B:$F,4,0),"")</f>
        <v>83</v>
      </c>
      <c r="N115" s="291">
        <f>+IFERROR(VLOOKUP(K115,'THÀNH PHẨM'!$B:$F,5,0),"")</f>
        <v>800</v>
      </c>
      <c r="O115" s="289">
        <v>42.0</v>
      </c>
      <c r="P115" s="292">
        <f t="shared" si="2"/>
        <v>585.648</v>
      </c>
      <c r="Q115" s="289"/>
      <c r="R115" s="289"/>
      <c r="S115" s="293">
        <f t="shared" si="62"/>
        <v>0</v>
      </c>
      <c r="T115" s="313"/>
      <c r="U115" s="313"/>
      <c r="V115" s="313"/>
      <c r="W115" s="313"/>
      <c r="X115" s="313"/>
      <c r="Y115" s="313"/>
      <c r="Z115" s="313"/>
      <c r="AA115" s="313"/>
      <c r="AB115" s="300"/>
      <c r="AC115" s="364" t="s">
        <v>238</v>
      </c>
      <c r="AD115" s="302">
        <v>1.0</v>
      </c>
      <c r="AE115" s="313"/>
      <c r="AF115" s="304">
        <v>42.0</v>
      </c>
      <c r="AG115" s="304">
        <f>1.6-AG114</f>
        <v>0.8</v>
      </c>
      <c r="AH115" s="304">
        <v>0.3</v>
      </c>
      <c r="AI115" s="304">
        <f>1.14-AI114</f>
        <v>0.54</v>
      </c>
      <c r="AJ115" s="304"/>
      <c r="AK115" s="305" t="s">
        <v>352</v>
      </c>
      <c r="AL115" s="283">
        <v>46101.0</v>
      </c>
      <c r="AM115" s="284"/>
    </row>
    <row r="116" ht="15.75" customHeight="1">
      <c r="A116" s="282">
        <f t="shared" si="1"/>
        <v>112</v>
      </c>
      <c r="B116" s="283">
        <v>46102.0</v>
      </c>
      <c r="C116" s="335" t="s">
        <v>402</v>
      </c>
      <c r="D116" s="285" t="s">
        <v>480</v>
      </c>
      <c r="E116" s="376" t="s">
        <v>402</v>
      </c>
      <c r="F116" s="353" t="s">
        <v>213</v>
      </c>
      <c r="G116" s="288" t="str">
        <f>+IFERROR(VLOOKUP(F116,NVL!$B:$C,2,0),"")</f>
        <v>Ivory Ningbo</v>
      </c>
      <c r="H116" s="288">
        <v>210.0</v>
      </c>
      <c r="I116" s="288">
        <v>108.0</v>
      </c>
      <c r="J116" s="306">
        <f>5*987</f>
        <v>4935</v>
      </c>
      <c r="K116" s="355" t="s">
        <v>81</v>
      </c>
      <c r="L116" s="291">
        <v>210.0</v>
      </c>
      <c r="M116" s="291">
        <v>71.0</v>
      </c>
      <c r="N116" s="291">
        <f>+IFERROR(VLOOKUP(K116,'THÀNH PHẨM'!$B:$F,5,0),"")</f>
        <v>800</v>
      </c>
      <c r="O116" s="289">
        <v>375.0</v>
      </c>
      <c r="P116" s="292">
        <f t="shared" si="2"/>
        <v>4473</v>
      </c>
      <c r="Q116" s="289"/>
      <c r="R116" s="289"/>
      <c r="S116" s="293">
        <f t="shared" si="62"/>
        <v>0</v>
      </c>
      <c r="T116" s="307">
        <f>5*3</f>
        <v>15</v>
      </c>
      <c r="U116" s="308">
        <f>+V116*5</f>
        <v>20</v>
      </c>
      <c r="V116" s="309">
        <v>4.0</v>
      </c>
      <c r="W116" s="310">
        <v>55.34</v>
      </c>
      <c r="X116" s="310">
        <v>50.0</v>
      </c>
      <c r="Y116" s="311">
        <f>+IF(J116="","",J116-P116-P117-S116-S117-W116-W117-X116-X117)</f>
        <v>-0.004</v>
      </c>
      <c r="Z116" s="311">
        <f>+IF(J116&lt;&gt;"",W116+Y116,0)</f>
        <v>55.336</v>
      </c>
      <c r="AA116" s="312">
        <f>+IF(IF(J116=";",Z116/J116)&lt;0,0%,(IF(J116="","",Z116/J116)))</f>
        <v>0.01121296859</v>
      </c>
      <c r="AB116" s="300"/>
      <c r="AC116" s="364" t="s">
        <v>238</v>
      </c>
      <c r="AD116" s="302">
        <v>6.0</v>
      </c>
      <c r="AE116" s="360"/>
      <c r="AF116" s="304">
        <v>375.0</v>
      </c>
      <c r="AG116" s="304">
        <v>4.8</v>
      </c>
      <c r="AH116" s="304">
        <v>1.8</v>
      </c>
      <c r="AI116" s="304">
        <v>4.05</v>
      </c>
      <c r="AJ116" s="304"/>
      <c r="AK116" s="305" t="s">
        <v>352</v>
      </c>
      <c r="AL116" s="283">
        <v>46106.0</v>
      </c>
      <c r="AM116" s="284"/>
    </row>
    <row r="117" ht="15.75" customHeight="1">
      <c r="A117" s="282">
        <f t="shared" si="1"/>
        <v>113</v>
      </c>
      <c r="B117" s="283">
        <v>46102.0</v>
      </c>
      <c r="C117" s="335" t="s">
        <v>402</v>
      </c>
      <c r="D117" s="285" t="s">
        <v>480</v>
      </c>
      <c r="E117" s="376" t="s">
        <v>402</v>
      </c>
      <c r="F117" s="353" t="s">
        <v>213</v>
      </c>
      <c r="G117" s="288" t="str">
        <f>+IFERROR(VLOOKUP(F117,NVL!$B:$C,2,0),"")</f>
        <v>Ivory Ningbo</v>
      </c>
      <c r="H117" s="288">
        <f>+IFERROR(VLOOKUP(F117,NVL!$B:$D,3,0),"")</f>
        <v>210</v>
      </c>
      <c r="I117" s="288">
        <v>108.0</v>
      </c>
      <c r="J117" s="313"/>
      <c r="K117" s="355" t="s">
        <v>89</v>
      </c>
      <c r="L117" s="291">
        <f>+IFERROR(VLOOKUP(K117,'THÀNH PHẨM'!$B:$F,3,0),"")</f>
        <v>210</v>
      </c>
      <c r="M117" s="291">
        <v>96.5</v>
      </c>
      <c r="N117" s="291">
        <f>+IFERROR(VLOOKUP(K117,'THÀNH PHẨM'!$B:$F,5,0),"")</f>
        <v>800</v>
      </c>
      <c r="O117" s="289">
        <v>22.0</v>
      </c>
      <c r="P117" s="292">
        <f t="shared" si="2"/>
        <v>356.664</v>
      </c>
      <c r="Q117" s="289"/>
      <c r="R117" s="289"/>
      <c r="S117" s="293">
        <f t="shared" si="62"/>
        <v>0</v>
      </c>
      <c r="T117" s="313"/>
      <c r="U117" s="313"/>
      <c r="V117" s="313"/>
      <c r="W117" s="313"/>
      <c r="X117" s="313"/>
      <c r="Y117" s="313"/>
      <c r="Z117" s="313"/>
      <c r="AA117" s="313"/>
      <c r="AB117" s="300"/>
      <c r="AC117" s="364" t="s">
        <v>238</v>
      </c>
      <c r="AD117" s="302">
        <v>1.0</v>
      </c>
      <c r="AE117" s="313"/>
      <c r="AF117" s="304">
        <v>22.0</v>
      </c>
      <c r="AG117" s="304">
        <f>5.6-AG116</f>
        <v>0.8</v>
      </c>
      <c r="AH117" s="304">
        <f>2.1-AH116</f>
        <v>0.3</v>
      </c>
      <c r="AI117" s="304">
        <f>4.37-AI116</f>
        <v>0.32</v>
      </c>
      <c r="AJ117" s="304"/>
      <c r="AK117" s="305" t="s">
        <v>352</v>
      </c>
      <c r="AL117" s="283">
        <v>46106.0</v>
      </c>
      <c r="AM117" s="284"/>
    </row>
    <row r="118" ht="15.75" customHeight="1">
      <c r="A118" s="282">
        <f t="shared" si="1"/>
        <v>114</v>
      </c>
      <c r="B118" s="283">
        <v>46124.0</v>
      </c>
      <c r="C118" s="335" t="s">
        <v>304</v>
      </c>
      <c r="D118" s="285" t="s">
        <v>481</v>
      </c>
      <c r="E118" s="286" t="s">
        <v>304</v>
      </c>
      <c r="F118" s="353" t="s">
        <v>213</v>
      </c>
      <c r="G118" s="288" t="str">
        <f>+IFERROR(VLOOKUP(F118,NVL!$B:$C,2,0),"")</f>
        <v>Ivory Ningbo</v>
      </c>
      <c r="H118" s="288">
        <f>+IFERROR(VLOOKUP(F118,NVL!$B:$D,3,0),"")</f>
        <v>210</v>
      </c>
      <c r="I118" s="288">
        <f>+IFERROR(VLOOKUP(F118,NVL!$B:$F,4,0),"")</f>
        <v>108</v>
      </c>
      <c r="J118" s="289">
        <f>8*987+50</f>
        <v>7946</v>
      </c>
      <c r="K118" s="290" t="s">
        <v>81</v>
      </c>
      <c r="L118" s="291">
        <f>+IFERROR(VLOOKUP(K118,'THÀNH PHẨM'!$B:$F,3,0),"")</f>
        <v>210</v>
      </c>
      <c r="M118" s="291">
        <f>+IFERROR(VLOOKUP(K118,'THÀNH PHẨM'!$B:$F,4,0),"")</f>
        <v>71</v>
      </c>
      <c r="N118" s="291">
        <f>+IFERROR(VLOOKUP(K118,'THÀNH PHẨM'!$B:$F,5,0),"")</f>
        <v>800</v>
      </c>
      <c r="O118" s="289">
        <v>585.0</v>
      </c>
      <c r="P118" s="292">
        <f t="shared" si="2"/>
        <v>6977.88</v>
      </c>
      <c r="Q118" s="289"/>
      <c r="R118" s="289"/>
      <c r="S118" s="293">
        <f t="shared" si="62"/>
        <v>0</v>
      </c>
      <c r="T118" s="294">
        <v>24.0</v>
      </c>
      <c r="U118" s="295">
        <f t="shared" ref="U118:U779" si="68">+V118*5</f>
        <v>35</v>
      </c>
      <c r="V118" s="296">
        <v>7.0</v>
      </c>
      <c r="W118" s="297">
        <v>162.0</v>
      </c>
      <c r="X118" s="298">
        <v>806.0</v>
      </c>
      <c r="Y118" s="292">
        <f t="shared" ref="Y118:Y1053" si="69">+IF(J118="","",J118-P118-S118-W118-X118)</f>
        <v>0.12</v>
      </c>
      <c r="Z118" s="366">
        <f t="shared" ref="Z118:Z1053" si="70">+IF(J118&lt;&gt;"",W118+Y118,0)</f>
        <v>162.12</v>
      </c>
      <c r="AA118" s="299">
        <f t="shared" ref="AA118:AA1053" si="71">+IF(IF(J118=";",Z118/J118)&lt;0,0%,(IF(J118="","",Z118/J118)))</f>
        <v>0.02040271835</v>
      </c>
      <c r="AB118" s="300"/>
      <c r="AC118" s="364" t="s">
        <v>238</v>
      </c>
      <c r="AD118" s="302">
        <v>10.0</v>
      </c>
      <c r="AE118" s="303"/>
      <c r="AF118" s="304">
        <v>595.0</v>
      </c>
      <c r="AG118" s="304">
        <v>5.0</v>
      </c>
      <c r="AH118" s="304">
        <v>7.0</v>
      </c>
      <c r="AI118" s="304">
        <v>6.11</v>
      </c>
      <c r="AJ118" s="304"/>
      <c r="AK118" s="305" t="s">
        <v>352</v>
      </c>
      <c r="AL118" s="283">
        <v>46129.0</v>
      </c>
      <c r="AM118" s="284"/>
    </row>
    <row r="119" ht="15.75" customHeight="1">
      <c r="A119" s="282">
        <f t="shared" si="1"/>
        <v>115</v>
      </c>
      <c r="B119" s="283">
        <v>46133.0</v>
      </c>
      <c r="C119" s="284" t="s">
        <v>452</v>
      </c>
      <c r="D119" s="285" t="s">
        <v>482</v>
      </c>
      <c r="E119" s="286" t="s">
        <v>452</v>
      </c>
      <c r="F119" s="287" t="s">
        <v>223</v>
      </c>
      <c r="G119" s="288" t="str">
        <f>+IFERROR(VLOOKUP(F119,NVL!$B:$C,2,0),"")</f>
        <v>Ivory Ningbo</v>
      </c>
      <c r="H119" s="288">
        <f>+IFERROR(VLOOKUP(F119,NVL!$B:$D,3,0),"")</f>
        <v>230</v>
      </c>
      <c r="I119" s="288">
        <f>+IFERROR(VLOOKUP(F119,NVL!$B:$F,4,0),"")</f>
        <v>108</v>
      </c>
      <c r="J119" s="289">
        <f>10*969+410</f>
        <v>10100</v>
      </c>
      <c r="K119" s="290" t="s">
        <v>113</v>
      </c>
      <c r="L119" s="291">
        <f>+IFERROR(VLOOKUP(K119,'THÀNH PHẨM'!$B:$F,3,0),"")</f>
        <v>230</v>
      </c>
      <c r="M119" s="291">
        <f>+IFERROR(VLOOKUP(K119,'THÀNH PHẨM'!$B:$F,4,0),"")</f>
        <v>95</v>
      </c>
      <c r="N119" s="291">
        <f>+IFERROR(VLOOKUP(K119,'THÀNH PHẨM'!$B:$F,5,0),"")</f>
        <v>800</v>
      </c>
      <c r="O119" s="289">
        <f>9*60-3</f>
        <v>537</v>
      </c>
      <c r="P119" s="292">
        <f t="shared" si="2"/>
        <v>9386.76</v>
      </c>
      <c r="Q119" s="289"/>
      <c r="R119" s="289"/>
      <c r="S119" s="293">
        <f t="shared" si="62"/>
        <v>0</v>
      </c>
      <c r="T119" s="294">
        <v>30.0</v>
      </c>
      <c r="U119" s="295">
        <f t="shared" si="68"/>
        <v>50</v>
      </c>
      <c r="V119" s="296">
        <v>10.0</v>
      </c>
      <c r="W119" s="297">
        <v>429.24</v>
      </c>
      <c r="X119" s="298">
        <v>250.0</v>
      </c>
      <c r="Y119" s="292">
        <f t="shared" si="69"/>
        <v>34</v>
      </c>
      <c r="Z119" s="366">
        <f t="shared" si="70"/>
        <v>463.24</v>
      </c>
      <c r="AA119" s="299">
        <f t="shared" si="71"/>
        <v>0.04586534653</v>
      </c>
      <c r="AB119" s="300"/>
      <c r="AC119" s="364" t="s">
        <v>483</v>
      </c>
      <c r="AD119" s="302">
        <v>10.0</v>
      </c>
      <c r="AE119" s="303">
        <v>36.0</v>
      </c>
      <c r="AF119" s="304">
        <v>550.0</v>
      </c>
      <c r="AG119" s="304">
        <v>4.5</v>
      </c>
      <c r="AH119" s="304">
        <v>6.3</v>
      </c>
      <c r="AI119" s="304">
        <v>7.5</v>
      </c>
      <c r="AJ119" s="304"/>
      <c r="AK119" s="305" t="s">
        <v>352</v>
      </c>
      <c r="AL119" s="283">
        <v>46140.0</v>
      </c>
      <c r="AM119" s="284"/>
    </row>
    <row r="120" ht="15.75" customHeight="1">
      <c r="A120" s="282">
        <f t="shared" si="1"/>
        <v>116</v>
      </c>
      <c r="B120" s="283">
        <v>46141.0</v>
      </c>
      <c r="C120" s="335" t="s">
        <v>402</v>
      </c>
      <c r="D120" s="285" t="s">
        <v>484</v>
      </c>
      <c r="E120" s="376" t="s">
        <v>402</v>
      </c>
      <c r="F120" s="287" t="s">
        <v>209</v>
      </c>
      <c r="G120" s="288" t="str">
        <f>+IFERROR(VLOOKUP(F120,NVL!$B:$C,2,0),"")</f>
        <v>Ivory Ningbo</v>
      </c>
      <c r="H120" s="288">
        <f>+IFERROR(VLOOKUP(F120,NVL!$B:$D,3,0),"")</f>
        <v>210</v>
      </c>
      <c r="I120" s="288">
        <f>+IFERROR(VLOOKUP(F120,NVL!$B:$F,4,0),"")</f>
        <v>106</v>
      </c>
      <c r="J120" s="289">
        <f>11*968</f>
        <v>10648</v>
      </c>
      <c r="K120" s="290" t="s">
        <v>104</v>
      </c>
      <c r="L120" s="291">
        <f>+IFERROR(VLOOKUP(K120,'THÀNH PHẨM'!$B:$F,3,0),"")</f>
        <v>210</v>
      </c>
      <c r="M120" s="291">
        <f>+IFERROR(VLOOKUP(K120,'THÀNH PHẨM'!$B:$F,4,0),"")</f>
        <v>95</v>
      </c>
      <c r="N120" s="291">
        <f>+IFERROR(VLOOKUP(K120,'THÀNH PHẨM'!$B:$F,5,0),"")</f>
        <v>800</v>
      </c>
      <c r="O120" s="289">
        <v>646.0</v>
      </c>
      <c r="P120" s="292">
        <f t="shared" si="2"/>
        <v>10310.16</v>
      </c>
      <c r="Q120" s="289"/>
      <c r="R120" s="289"/>
      <c r="S120" s="293">
        <f t="shared" si="62"/>
        <v>0</v>
      </c>
      <c r="T120" s="294">
        <v>33.0</v>
      </c>
      <c r="U120" s="295">
        <f t="shared" si="68"/>
        <v>55</v>
      </c>
      <c r="V120" s="296">
        <v>11.0</v>
      </c>
      <c r="W120" s="297">
        <v>206.17</v>
      </c>
      <c r="X120" s="298">
        <v>0.0</v>
      </c>
      <c r="Y120" s="292">
        <f t="shared" si="69"/>
        <v>131.67</v>
      </c>
      <c r="Z120" s="366">
        <f t="shared" si="70"/>
        <v>337.84</v>
      </c>
      <c r="AA120" s="299">
        <f t="shared" si="71"/>
        <v>0.03172802404</v>
      </c>
      <c r="AB120" s="300"/>
      <c r="AC120" s="364" t="s">
        <v>238</v>
      </c>
      <c r="AD120" s="302">
        <v>13.0</v>
      </c>
      <c r="AE120" s="303">
        <f>13*4</f>
        <v>52</v>
      </c>
      <c r="AF120" s="304">
        <v>666.0</v>
      </c>
      <c r="AG120" s="304">
        <v>6.5</v>
      </c>
      <c r="AH120" s="304">
        <v>9.1</v>
      </c>
      <c r="AI120" s="304">
        <v>9.02</v>
      </c>
      <c r="AJ120" s="304"/>
      <c r="AK120" s="305" t="s">
        <v>352</v>
      </c>
      <c r="AL120" s="283">
        <v>46148.0</v>
      </c>
      <c r="AM120" s="284" t="s">
        <v>486</v>
      </c>
    </row>
    <row r="121" ht="15.75" customHeight="1">
      <c r="A121" s="282">
        <f t="shared" si="1"/>
        <v>117</v>
      </c>
      <c r="B121" s="283">
        <v>46149.0</v>
      </c>
      <c r="C121" s="284" t="s">
        <v>452</v>
      </c>
      <c r="D121" s="285" t="s">
        <v>487</v>
      </c>
      <c r="E121" s="286" t="s">
        <v>452</v>
      </c>
      <c r="F121" s="287" t="s">
        <v>219</v>
      </c>
      <c r="G121" s="288" t="str">
        <f>+IFERROR(VLOOKUP(F121,NVL!$B:$C,2,0),"")</f>
        <v>Ivory Ningbo</v>
      </c>
      <c r="H121" s="288">
        <f>+IFERROR(VLOOKUP(F121,NVL!$B:$D,3,0),"")</f>
        <v>230</v>
      </c>
      <c r="I121" s="288">
        <f>+IFERROR(VLOOKUP(F121,NVL!$B:$F,4,0),"")</f>
        <v>106</v>
      </c>
      <c r="J121" s="289">
        <f>6*951</f>
        <v>5706</v>
      </c>
      <c r="K121" s="290" t="s">
        <v>113</v>
      </c>
      <c r="L121" s="291">
        <f>+IFERROR(VLOOKUP(K121,'THÀNH PHẨM'!$B:$F,3,0),"")</f>
        <v>230</v>
      </c>
      <c r="M121" s="291">
        <f>+IFERROR(VLOOKUP(K121,'THÀNH PHẨM'!$B:$F,4,0),"")</f>
        <v>95</v>
      </c>
      <c r="N121" s="291">
        <f>+IFERROR(VLOOKUP(K121,'THÀNH PHẨM'!$B:$F,5,0),"")</f>
        <v>800</v>
      </c>
      <c r="O121" s="289">
        <v>319.0</v>
      </c>
      <c r="P121" s="292">
        <f t="shared" si="2"/>
        <v>5576.12</v>
      </c>
      <c r="Q121" s="289"/>
      <c r="R121" s="289"/>
      <c r="S121" s="293">
        <f t="shared" si="62"/>
        <v>0</v>
      </c>
      <c r="T121" s="294">
        <v>18.0</v>
      </c>
      <c r="U121" s="295">
        <f t="shared" si="68"/>
        <v>30</v>
      </c>
      <c r="V121" s="296">
        <v>6.0</v>
      </c>
      <c r="W121" s="297">
        <v>129.8800000000001</v>
      </c>
      <c r="X121" s="298">
        <v>0.0</v>
      </c>
      <c r="Y121" s="292">
        <f t="shared" si="69"/>
        <v>0</v>
      </c>
      <c r="Z121" s="366">
        <f t="shared" si="70"/>
        <v>129.88</v>
      </c>
      <c r="AA121" s="299">
        <f t="shared" si="71"/>
        <v>0.02276200491</v>
      </c>
      <c r="AB121" s="300"/>
      <c r="AC121" s="384" t="s">
        <v>483</v>
      </c>
      <c r="AD121" s="302">
        <v>8.0</v>
      </c>
      <c r="AE121" s="303">
        <v>12.0</v>
      </c>
      <c r="AF121" s="304">
        <v>330.0</v>
      </c>
      <c r="AG121" s="304">
        <v>2.5</v>
      </c>
      <c r="AH121" s="304">
        <v>3.5</v>
      </c>
      <c r="AI121" s="304">
        <v>4.454835</v>
      </c>
      <c r="AJ121" s="304"/>
      <c r="AK121" s="305" t="s">
        <v>352</v>
      </c>
      <c r="AL121" s="283">
        <v>46156.0</v>
      </c>
      <c r="AM121" s="284"/>
    </row>
    <row r="122" ht="15.75" customHeight="1">
      <c r="A122" s="385">
        <f t="shared" si="1"/>
        <v>118</v>
      </c>
      <c r="B122" s="386">
        <v>46157.0</v>
      </c>
      <c r="C122" s="387" t="s">
        <v>402</v>
      </c>
      <c r="D122" s="388" t="s">
        <v>488</v>
      </c>
      <c r="E122" s="389" t="s">
        <v>402</v>
      </c>
      <c r="F122" s="390" t="s">
        <v>88</v>
      </c>
      <c r="G122" s="390" t="str">
        <f>+IFERROR(VLOOKUP(F122,NVL!$B:$C,2,0),"")</f>
        <v>Ivory Ningbo</v>
      </c>
      <c r="H122" s="390">
        <f>+IFERROR(VLOOKUP(F122,NVL!$B:$D,3,0),"")</f>
        <v>250</v>
      </c>
      <c r="I122" s="390">
        <f>+IFERROR(VLOOKUP(F122,NVL!$B:$F,4,0),"")</f>
        <v>109</v>
      </c>
      <c r="J122" s="391">
        <f>19*981</f>
        <v>18639</v>
      </c>
      <c r="K122" s="392" t="s">
        <v>123</v>
      </c>
      <c r="L122" s="393">
        <f>+IFERROR(VLOOKUP(K122,'THÀNH PHẨM'!$B:$F,3,0),"")</f>
        <v>250</v>
      </c>
      <c r="M122" s="393">
        <f>+IFERROR(VLOOKUP(K122,'THÀNH PHẨM'!$B:$F,4,0),"")</f>
        <v>90</v>
      </c>
      <c r="N122" s="393">
        <f>+IFERROR(VLOOKUP(K122,'THÀNH PHẨM'!$B:$F,5,0),"")</f>
        <v>800</v>
      </c>
      <c r="O122" s="391">
        <v>972.0</v>
      </c>
      <c r="P122" s="394">
        <f t="shared" si="2"/>
        <v>17496</v>
      </c>
      <c r="Q122" s="391"/>
      <c r="R122" s="391"/>
      <c r="S122" s="392">
        <f t="shared" si="62"/>
        <v>0</v>
      </c>
      <c r="T122" s="395">
        <f>19*3</f>
        <v>57</v>
      </c>
      <c r="U122" s="396">
        <f t="shared" si="68"/>
        <v>95</v>
      </c>
      <c r="V122" s="397">
        <v>19.0</v>
      </c>
      <c r="W122" s="398">
        <v>443.0</v>
      </c>
      <c r="X122" s="399">
        <v>700.0</v>
      </c>
      <c r="Y122" s="394">
        <f t="shared" si="69"/>
        <v>0</v>
      </c>
      <c r="Z122" s="400">
        <f t="shared" si="70"/>
        <v>443</v>
      </c>
      <c r="AA122" s="401">
        <f t="shared" si="71"/>
        <v>0.02376736949</v>
      </c>
      <c r="AB122" s="402"/>
      <c r="AC122" s="403" t="s">
        <v>483</v>
      </c>
      <c r="AD122" s="404">
        <v>18.0</v>
      </c>
      <c r="AE122" s="385"/>
      <c r="AF122" s="405">
        <v>1050.0</v>
      </c>
      <c r="AG122" s="405">
        <v>9.5</v>
      </c>
      <c r="AH122" s="405">
        <v>13.3</v>
      </c>
      <c r="AI122" s="405" t="s">
        <v>489</v>
      </c>
      <c r="AJ122" s="405"/>
      <c r="AK122" s="406" t="s">
        <v>352</v>
      </c>
      <c r="AL122" s="386" t="s">
        <v>490</v>
      </c>
      <c r="AM122" s="407"/>
    </row>
    <row r="123" ht="15.75" customHeight="1">
      <c r="A123" s="385">
        <f t="shared" si="1"/>
        <v>119</v>
      </c>
      <c r="B123" s="386">
        <v>46188.0</v>
      </c>
      <c r="C123" s="387" t="s">
        <v>402</v>
      </c>
      <c r="D123" s="388" t="s">
        <v>491</v>
      </c>
      <c r="E123" s="389" t="s">
        <v>402</v>
      </c>
      <c r="F123" s="390" t="s">
        <v>88</v>
      </c>
      <c r="G123" s="390" t="str">
        <f>+IFERROR(VLOOKUP(F123,NVL!$B:$C,2,0),"")</f>
        <v>Ivory Ningbo</v>
      </c>
      <c r="H123" s="390">
        <f>+IFERROR(VLOOKUP(F123,NVL!$B:$D,3,0),"")</f>
        <v>250</v>
      </c>
      <c r="I123" s="390">
        <f>+IFERROR(VLOOKUP(F123,NVL!$B:$F,4,0),"")</f>
        <v>109</v>
      </c>
      <c r="J123" s="391">
        <f>24*981+700</f>
        <v>24244</v>
      </c>
      <c r="K123" s="392" t="s">
        <v>123</v>
      </c>
      <c r="L123" s="393">
        <f>+IFERROR(VLOOKUP(K123,'THÀNH PHẨM'!$B:$F,3,0),"")</f>
        <v>250</v>
      </c>
      <c r="M123" s="393">
        <f>+IFERROR(VLOOKUP(K123,'THÀNH PHẨM'!$B:$F,4,0),"")</f>
        <v>90</v>
      </c>
      <c r="N123" s="393">
        <f>+IFERROR(VLOOKUP(K123,'THÀNH PHẨM'!$B:$F,5,0),"")</f>
        <v>800</v>
      </c>
      <c r="O123" s="391">
        <v>1296.0</v>
      </c>
      <c r="P123" s="394">
        <f t="shared" si="2"/>
        <v>23328</v>
      </c>
      <c r="Q123" s="391"/>
      <c r="R123" s="391"/>
      <c r="S123" s="392">
        <f t="shared" si="62"/>
        <v>0</v>
      </c>
      <c r="T123" s="395">
        <f>25*3</f>
        <v>75</v>
      </c>
      <c r="U123" s="396">
        <f t="shared" si="68"/>
        <v>125</v>
      </c>
      <c r="V123" s="397">
        <v>25.0</v>
      </c>
      <c r="W123" s="398">
        <v>566.0</v>
      </c>
      <c r="X123" s="399">
        <v>350.0</v>
      </c>
      <c r="Y123" s="394">
        <f t="shared" si="69"/>
        <v>0</v>
      </c>
      <c r="Z123" s="400">
        <f t="shared" si="70"/>
        <v>566</v>
      </c>
      <c r="AA123" s="401">
        <f t="shared" si="71"/>
        <v>0.02334598251</v>
      </c>
      <c r="AB123" s="402"/>
      <c r="AC123" s="403" t="s">
        <v>483</v>
      </c>
      <c r="AD123" s="404">
        <v>25.0</v>
      </c>
      <c r="AE123" s="385"/>
      <c r="AF123" s="405">
        <v>1396.0</v>
      </c>
      <c r="AG123" s="405">
        <v>12.5</v>
      </c>
      <c r="AH123" s="405">
        <v>17.5</v>
      </c>
      <c r="AI123" s="405">
        <v>17.14608</v>
      </c>
      <c r="AJ123" s="405">
        <v>200.0</v>
      </c>
      <c r="AK123" s="406" t="s">
        <v>352</v>
      </c>
      <c r="AL123" s="386">
        <v>46203.0</v>
      </c>
      <c r="AM123" s="407"/>
    </row>
    <row r="124" ht="15.75" customHeight="1">
      <c r="A124" s="282">
        <f t="shared" si="1"/>
        <v>120</v>
      </c>
      <c r="B124" s="283">
        <v>46204.0</v>
      </c>
      <c r="C124" s="335" t="s">
        <v>402</v>
      </c>
      <c r="D124" s="285" t="s">
        <v>492</v>
      </c>
      <c r="E124" s="376" t="s">
        <v>402</v>
      </c>
      <c r="F124" s="287" t="s">
        <v>213</v>
      </c>
      <c r="G124" s="288" t="str">
        <f>+IFERROR(VLOOKUP(F124,NVL!$B:$C,2,0),"")</f>
        <v>Ivory Ningbo</v>
      </c>
      <c r="H124" s="288">
        <f>+IFERROR(VLOOKUP(F124,NVL!$B:$D,3,0),"")</f>
        <v>210</v>
      </c>
      <c r="I124" s="288">
        <f>+IFERROR(VLOOKUP(F124,NVL!$B:$F,4,0),"")</f>
        <v>108</v>
      </c>
      <c r="J124" s="289">
        <v>9002.0</v>
      </c>
      <c r="K124" s="290" t="s">
        <v>104</v>
      </c>
      <c r="L124" s="291">
        <f>+IFERROR(VLOOKUP(K124,'THÀNH PHẨM'!$B:$F,3,0),"")</f>
        <v>210</v>
      </c>
      <c r="M124" s="291">
        <f>+IFERROR(VLOOKUP(K124,'THÀNH PHẨM'!$B:$F,4,0),"")</f>
        <v>95</v>
      </c>
      <c r="N124" s="291">
        <f>+IFERROR(VLOOKUP(K124,'THÀNH PHẨM'!$B:$F,5,0),"")</f>
        <v>800</v>
      </c>
      <c r="O124" s="289">
        <v>539.0</v>
      </c>
      <c r="P124" s="292">
        <f t="shared" si="2"/>
        <v>8602.44</v>
      </c>
      <c r="Q124" s="289"/>
      <c r="R124" s="289"/>
      <c r="S124" s="293">
        <f t="shared" si="62"/>
        <v>0</v>
      </c>
      <c r="T124" s="294">
        <v>24.0</v>
      </c>
      <c r="U124" s="295">
        <f t="shared" si="68"/>
        <v>50</v>
      </c>
      <c r="V124" s="296">
        <v>10.0</v>
      </c>
      <c r="W124" s="297">
        <v>399.5599999999995</v>
      </c>
      <c r="X124" s="298">
        <v>0.0</v>
      </c>
      <c r="Y124" s="292">
        <f t="shared" si="69"/>
        <v>0</v>
      </c>
      <c r="Z124" s="366">
        <f t="shared" si="70"/>
        <v>399.56</v>
      </c>
      <c r="AA124" s="299">
        <f t="shared" si="71"/>
        <v>0.04438569207</v>
      </c>
      <c r="AB124" s="300"/>
      <c r="AC124" s="384" t="s">
        <v>238</v>
      </c>
      <c r="AD124" s="302">
        <v>11.0</v>
      </c>
      <c r="AE124" s="303"/>
      <c r="AF124" s="304">
        <v>539.0</v>
      </c>
      <c r="AG124" s="304">
        <v>5.0</v>
      </c>
      <c r="AH124" s="304">
        <v>7.0</v>
      </c>
      <c r="AI124" s="304">
        <v>7.53</v>
      </c>
      <c r="AJ124" s="304">
        <v>50.0</v>
      </c>
      <c r="AK124" s="305" t="s">
        <v>352</v>
      </c>
      <c r="AL124" s="283">
        <v>46213.0</v>
      </c>
      <c r="AM124" s="284"/>
    </row>
    <row r="125" ht="15.75" customHeight="1">
      <c r="A125" s="282">
        <f t="shared" si="1"/>
        <v>121</v>
      </c>
      <c r="B125" s="283">
        <v>46214.0</v>
      </c>
      <c r="C125" s="284" t="s">
        <v>452</v>
      </c>
      <c r="D125" s="285" t="s">
        <v>493</v>
      </c>
      <c r="E125" s="286" t="s">
        <v>452</v>
      </c>
      <c r="F125" s="287" t="s">
        <v>219</v>
      </c>
      <c r="G125" s="288" t="str">
        <f>+IFERROR(VLOOKUP(F125,NVL!$B:$C,2,0),"")</f>
        <v>Ivory Ningbo</v>
      </c>
      <c r="H125" s="288">
        <f>+IFERROR(VLOOKUP(F125,NVL!$B:$D,3,0),"")</f>
        <v>230</v>
      </c>
      <c r="I125" s="288">
        <f>+IFERROR(VLOOKUP(F125,NVL!$B:$F,4,0),"")</f>
        <v>106</v>
      </c>
      <c r="J125" s="289">
        <v>11663.0</v>
      </c>
      <c r="K125" s="290" t="s">
        <v>113</v>
      </c>
      <c r="L125" s="291">
        <f>+IFERROR(VLOOKUP(K125,'THÀNH PHẨM'!$B:$F,3,0),"")</f>
        <v>230</v>
      </c>
      <c r="M125" s="291">
        <f>+IFERROR(VLOOKUP(K125,'THÀNH PHẨM'!$B:$F,4,0),"")</f>
        <v>95</v>
      </c>
      <c r="N125" s="291">
        <f>+IFERROR(VLOOKUP(K125,'THÀNH PHẨM'!$B:$F,5,0),"")</f>
        <v>800</v>
      </c>
      <c r="O125" s="289">
        <v>649.0</v>
      </c>
      <c r="P125" s="292">
        <f t="shared" si="2"/>
        <v>11344.52</v>
      </c>
      <c r="Q125" s="289"/>
      <c r="R125" s="289"/>
      <c r="S125" s="293">
        <f t="shared" si="62"/>
        <v>0</v>
      </c>
      <c r="T125" s="294">
        <f>12*3</f>
        <v>36</v>
      </c>
      <c r="U125" s="295">
        <f t="shared" si="68"/>
        <v>60</v>
      </c>
      <c r="V125" s="296">
        <v>12.0</v>
      </c>
      <c r="W125" s="297">
        <v>318.47999999999956</v>
      </c>
      <c r="X125" s="298"/>
      <c r="Y125" s="292">
        <f t="shared" si="69"/>
        <v>0</v>
      </c>
      <c r="Z125" s="366">
        <f t="shared" si="70"/>
        <v>318.48</v>
      </c>
      <c r="AA125" s="299">
        <f t="shared" si="71"/>
        <v>0.02730686787</v>
      </c>
      <c r="AB125" s="300"/>
      <c r="AC125" s="384" t="s">
        <v>483</v>
      </c>
      <c r="AD125" s="302">
        <v>12.0</v>
      </c>
      <c r="AE125" s="303"/>
      <c r="AF125" s="304">
        <v>680.0</v>
      </c>
      <c r="AG125" s="304">
        <v>5.5</v>
      </c>
      <c r="AH125" s="304">
        <v>7.7</v>
      </c>
      <c r="AI125" s="304">
        <v>9.06</v>
      </c>
      <c r="AJ125" s="304">
        <v>50.0</v>
      </c>
      <c r="AK125" s="305" t="s">
        <v>352</v>
      </c>
      <c r="AL125" s="283">
        <v>46224.0</v>
      </c>
      <c r="AM125" s="284"/>
    </row>
    <row r="126" ht="15.75" customHeight="1">
      <c r="A126" s="282">
        <f t="shared" si="1"/>
        <v>122</v>
      </c>
      <c r="B126" s="283">
        <v>46225.0</v>
      </c>
      <c r="C126" s="284" t="s">
        <v>402</v>
      </c>
      <c r="D126" s="285" t="s">
        <v>495</v>
      </c>
      <c r="E126" s="376" t="s">
        <v>402</v>
      </c>
      <c r="F126" s="287" t="s">
        <v>213</v>
      </c>
      <c r="G126" s="288" t="str">
        <f>+IFERROR(VLOOKUP(F126,NVL!$B:$C,2,0),"")</f>
        <v>Ivory Ningbo</v>
      </c>
      <c r="H126" s="288">
        <f>+IFERROR(VLOOKUP(F126,NVL!$B:$D,3,0),"")</f>
        <v>210</v>
      </c>
      <c r="I126" s="288">
        <f>+IFERROR(VLOOKUP(F126,NVL!$B:$F,4,0),"")</f>
        <v>108</v>
      </c>
      <c r="J126" s="289">
        <f>6*987</f>
        <v>5922</v>
      </c>
      <c r="K126" s="290" t="s">
        <v>104</v>
      </c>
      <c r="L126" s="291">
        <f>+IFERROR(VLOOKUP(K126,'THÀNH PHẨM'!$B:$F,3,0),"")</f>
        <v>210</v>
      </c>
      <c r="M126" s="291">
        <f>+IFERROR(VLOOKUP(K126,'THÀNH PHẨM'!$B:$F,4,0),"")</f>
        <v>95</v>
      </c>
      <c r="N126" s="291">
        <f>+IFERROR(VLOOKUP(K126,'THÀNH PHẨM'!$B:$F,5,0),"")</f>
        <v>800</v>
      </c>
      <c r="O126" s="289">
        <v>311.0</v>
      </c>
      <c r="P126" s="292">
        <f t="shared" si="2"/>
        <v>4963.56</v>
      </c>
      <c r="Q126" s="289"/>
      <c r="R126" s="289"/>
      <c r="S126" s="293">
        <f t="shared" si="62"/>
        <v>0</v>
      </c>
      <c r="T126" s="294">
        <v>18.0</v>
      </c>
      <c r="U126" s="295">
        <f t="shared" si="68"/>
        <v>25</v>
      </c>
      <c r="V126" s="296">
        <v>5.0</v>
      </c>
      <c r="W126" s="297">
        <v>258.43999999999966</v>
      </c>
      <c r="X126" s="298">
        <v>700.0</v>
      </c>
      <c r="Y126" s="292">
        <f t="shared" si="69"/>
        <v>0</v>
      </c>
      <c r="Z126" s="366">
        <f t="shared" si="70"/>
        <v>258.44</v>
      </c>
      <c r="AA126" s="299">
        <f t="shared" si="71"/>
        <v>0.04364066194</v>
      </c>
      <c r="AB126" s="300"/>
      <c r="AC126" s="384" t="s">
        <v>238</v>
      </c>
      <c r="AD126" s="302">
        <v>6.0</v>
      </c>
      <c r="AE126" s="303"/>
      <c r="AF126" s="304">
        <v>320.0</v>
      </c>
      <c r="AG126" s="304">
        <v>3.0</v>
      </c>
      <c r="AH126" s="304">
        <v>4.2</v>
      </c>
      <c r="AI126" s="304">
        <v>4.34</v>
      </c>
      <c r="AJ126" s="304"/>
      <c r="AK126" s="305" t="s">
        <v>352</v>
      </c>
      <c r="AL126" s="283">
        <v>46232.0</v>
      </c>
      <c r="AM126" s="284"/>
    </row>
    <row r="127" ht="15.75" customHeight="1">
      <c r="A127" s="282">
        <f t="shared" si="1"/>
        <v>123</v>
      </c>
      <c r="B127" s="283">
        <v>46234.0</v>
      </c>
      <c r="C127" s="284" t="s">
        <v>402</v>
      </c>
      <c r="D127" s="285" t="s">
        <v>497</v>
      </c>
      <c r="E127" s="376" t="s">
        <v>402</v>
      </c>
      <c r="F127" s="353" t="s">
        <v>88</v>
      </c>
      <c r="G127" s="288" t="str">
        <f>+IFERROR(VLOOKUP(F127,NVL!$B:$C,2,0),"")</f>
        <v>Ivory Ningbo</v>
      </c>
      <c r="H127" s="288">
        <f>+IFERROR(VLOOKUP(F127,NVL!$B:$D,3,0),"")</f>
        <v>250</v>
      </c>
      <c r="I127" s="288">
        <f>+IFERROR(VLOOKUP(F127,NVL!$B:$F,4,0),"")</f>
        <v>109</v>
      </c>
      <c r="J127" s="289">
        <f>15*981+350</f>
        <v>15065</v>
      </c>
      <c r="K127" s="355" t="s">
        <v>123</v>
      </c>
      <c r="L127" s="291">
        <f>+IFERROR(VLOOKUP(K127,'THÀNH PHẨM'!$B:$F,3,0),"")</f>
        <v>250</v>
      </c>
      <c r="M127" s="291">
        <f>+IFERROR(VLOOKUP(K127,'THÀNH PHẨM'!$B:$F,4,0),"")</f>
        <v>90</v>
      </c>
      <c r="N127" s="291">
        <f>+IFERROR(VLOOKUP(K127,'THÀNH PHẨM'!$B:$F,5,0),"")</f>
        <v>800</v>
      </c>
      <c r="O127" s="289">
        <f>774</f>
        <v>774</v>
      </c>
      <c r="P127" s="292">
        <f t="shared" si="2"/>
        <v>13932</v>
      </c>
      <c r="Q127" s="289"/>
      <c r="R127" s="289"/>
      <c r="S127" s="293">
        <f t="shared" si="62"/>
        <v>0</v>
      </c>
      <c r="T127" s="294">
        <f>15*3</f>
        <v>45</v>
      </c>
      <c r="U127" s="295">
        <f t="shared" si="68"/>
        <v>75</v>
      </c>
      <c r="V127" s="296">
        <v>15.0</v>
      </c>
      <c r="W127" s="366">
        <v>333.0</v>
      </c>
      <c r="X127" s="298">
        <v>800.0</v>
      </c>
      <c r="Y127" s="292">
        <f t="shared" si="69"/>
        <v>0</v>
      </c>
      <c r="Z127" s="366">
        <f t="shared" si="70"/>
        <v>333</v>
      </c>
      <c r="AA127" s="299">
        <f t="shared" si="71"/>
        <v>0.02210421507</v>
      </c>
      <c r="AB127" s="300"/>
      <c r="AC127" s="384" t="s">
        <v>483</v>
      </c>
      <c r="AD127" s="302">
        <v>16.0</v>
      </c>
      <c r="AE127" s="303"/>
      <c r="AF127" s="304">
        <v>774.0</v>
      </c>
      <c r="AG127" s="304">
        <v>7.5</v>
      </c>
      <c r="AH127" s="304">
        <v>10.5</v>
      </c>
      <c r="AI127" s="304">
        <v>10.24002</v>
      </c>
      <c r="AJ127" s="304"/>
      <c r="AK127" s="305" t="s">
        <v>352</v>
      </c>
      <c r="AL127" s="283" t="s">
        <v>498</v>
      </c>
      <c r="AM127" s="320"/>
    </row>
    <row r="128" ht="15.75" customHeight="1">
      <c r="A128" s="282">
        <f t="shared" si="1"/>
        <v>124</v>
      </c>
      <c r="B128" s="283"/>
      <c r="C128" s="284"/>
      <c r="D128" s="338"/>
      <c r="E128" s="286"/>
      <c r="F128" s="287"/>
      <c r="G128" s="288" t="str">
        <f>+IFERROR(VLOOKUP(F128,NVL!$B:$C,2,0),"")</f>
        <v/>
      </c>
      <c r="H128" s="288" t="str">
        <f>+IFERROR(VLOOKUP(F128,NVL!$B:$D,3,0),"")</f>
        <v/>
      </c>
      <c r="I128" s="288" t="str">
        <f>+IFERROR(VLOOKUP(F128,NVL!$B:$F,4,0),"")</f>
        <v/>
      </c>
      <c r="J128" s="289"/>
      <c r="K128" s="290"/>
      <c r="L128" s="291" t="str">
        <f>+IFERROR(VLOOKUP(K128,'THÀNH PHẨM'!$B:$F,3,0),"")</f>
        <v/>
      </c>
      <c r="M128" s="291" t="str">
        <f>+IFERROR(VLOOKUP(K128,'THÀNH PHẨM'!$B:$F,4,0),"")</f>
        <v/>
      </c>
      <c r="N128" s="291" t="str">
        <f>+IFERROR(VLOOKUP(K128,'THÀNH PHẨM'!$B:$F,5,0),"")</f>
        <v/>
      </c>
      <c r="O128" s="289"/>
      <c r="P128" s="292">
        <f t="shared" si="2"/>
        <v>0</v>
      </c>
      <c r="Q128" s="289"/>
      <c r="R128" s="289"/>
      <c r="S128" s="293">
        <f t="shared" si="62"/>
        <v>0</v>
      </c>
      <c r="T128" s="294"/>
      <c r="U128" s="295">
        <f t="shared" si="68"/>
        <v>0</v>
      </c>
      <c r="V128" s="296"/>
      <c r="W128" s="297"/>
      <c r="X128" s="298"/>
      <c r="Y128" s="292" t="str">
        <f t="shared" si="69"/>
        <v/>
      </c>
      <c r="Z128" s="366">
        <f t="shared" si="70"/>
        <v>0</v>
      </c>
      <c r="AA128" s="299" t="str">
        <f t="shared" si="71"/>
        <v/>
      </c>
      <c r="AB128" s="300"/>
      <c r="AC128" s="301"/>
      <c r="AD128" s="302"/>
      <c r="AE128" s="303"/>
      <c r="AF128" s="304"/>
      <c r="AG128" s="304"/>
      <c r="AH128" s="304"/>
      <c r="AI128" s="304"/>
      <c r="AJ128" s="304"/>
      <c r="AK128" s="305"/>
      <c r="AL128" s="283"/>
      <c r="AM128" s="320"/>
    </row>
    <row r="129" ht="15.75" customHeight="1">
      <c r="A129" s="282">
        <f t="shared" si="1"/>
        <v>125</v>
      </c>
      <c r="B129" s="283"/>
      <c r="C129" s="284"/>
      <c r="D129" s="338"/>
      <c r="E129" s="286"/>
      <c r="F129" s="287"/>
      <c r="G129" s="288" t="str">
        <f>+IFERROR(VLOOKUP(F129,NVL!$B:$C,2,0),"")</f>
        <v/>
      </c>
      <c r="H129" s="288" t="str">
        <f>+IFERROR(VLOOKUP(F129,NVL!$B:$D,3,0),"")</f>
        <v/>
      </c>
      <c r="I129" s="288" t="str">
        <f>+IFERROR(VLOOKUP(F129,NVL!$B:$F,4,0),"")</f>
        <v/>
      </c>
      <c r="J129" s="289"/>
      <c r="K129" s="290"/>
      <c r="L129" s="291" t="str">
        <f>+IFERROR(VLOOKUP(K129,'THÀNH PHẨM'!$B:$F,3,0),"")</f>
        <v/>
      </c>
      <c r="M129" s="291" t="str">
        <f>+IFERROR(VLOOKUP(K129,'THÀNH PHẨM'!$B:$F,4,0),"")</f>
        <v/>
      </c>
      <c r="N129" s="291" t="str">
        <f>+IFERROR(VLOOKUP(K129,'THÀNH PHẨM'!$B:$F,5,0),"")</f>
        <v/>
      </c>
      <c r="O129" s="289"/>
      <c r="P129" s="292">
        <f t="shared" si="2"/>
        <v>0</v>
      </c>
      <c r="Q129" s="289"/>
      <c r="R129" s="289"/>
      <c r="S129" s="293">
        <f t="shared" si="62"/>
        <v>0</v>
      </c>
      <c r="T129" s="294"/>
      <c r="U129" s="295">
        <f t="shared" si="68"/>
        <v>0</v>
      </c>
      <c r="V129" s="296"/>
      <c r="W129" s="297"/>
      <c r="X129" s="298"/>
      <c r="Y129" s="292" t="str">
        <f t="shared" si="69"/>
        <v/>
      </c>
      <c r="Z129" s="366">
        <f t="shared" si="70"/>
        <v>0</v>
      </c>
      <c r="AA129" s="299" t="str">
        <f t="shared" si="71"/>
        <v/>
      </c>
      <c r="AB129" s="300"/>
      <c r="AC129" s="301"/>
      <c r="AD129" s="302"/>
      <c r="AE129" s="303"/>
      <c r="AF129" s="304"/>
      <c r="AG129" s="304"/>
      <c r="AH129" s="304"/>
      <c r="AI129" s="304"/>
      <c r="AJ129" s="304"/>
      <c r="AK129" s="305"/>
      <c r="AL129" s="283"/>
      <c r="AM129" s="320"/>
    </row>
    <row r="130" ht="15.75" customHeight="1">
      <c r="A130" s="282">
        <f t="shared" si="1"/>
        <v>126</v>
      </c>
      <c r="B130" s="283"/>
      <c r="C130" s="284"/>
      <c r="D130" s="338"/>
      <c r="E130" s="286"/>
      <c r="F130" s="287"/>
      <c r="G130" s="288" t="str">
        <f>+IFERROR(VLOOKUP(F130,NVL!$B:$C,2,0),"")</f>
        <v/>
      </c>
      <c r="H130" s="288" t="str">
        <f>+IFERROR(VLOOKUP(F130,NVL!$B:$D,3,0),"")</f>
        <v/>
      </c>
      <c r="I130" s="288" t="str">
        <f>+IFERROR(VLOOKUP(F130,NVL!$B:$F,4,0),"")</f>
        <v/>
      </c>
      <c r="J130" s="289"/>
      <c r="K130" s="290"/>
      <c r="L130" s="291" t="str">
        <f>+IFERROR(VLOOKUP(K130,'THÀNH PHẨM'!$B:$F,3,0),"")</f>
        <v/>
      </c>
      <c r="M130" s="291" t="str">
        <f>+IFERROR(VLOOKUP(K130,'THÀNH PHẨM'!$B:$F,4,0),"")</f>
        <v/>
      </c>
      <c r="N130" s="291" t="str">
        <f>+IFERROR(VLOOKUP(K130,'THÀNH PHẨM'!$B:$F,5,0),"")</f>
        <v/>
      </c>
      <c r="O130" s="289"/>
      <c r="P130" s="292">
        <f t="shared" si="2"/>
        <v>0</v>
      </c>
      <c r="Q130" s="289"/>
      <c r="R130" s="289"/>
      <c r="S130" s="293">
        <f t="shared" si="62"/>
        <v>0</v>
      </c>
      <c r="T130" s="294"/>
      <c r="U130" s="295">
        <f t="shared" si="68"/>
        <v>0</v>
      </c>
      <c r="V130" s="296"/>
      <c r="W130" s="297"/>
      <c r="X130" s="298"/>
      <c r="Y130" s="292" t="str">
        <f t="shared" si="69"/>
        <v/>
      </c>
      <c r="Z130" s="366">
        <f t="shared" si="70"/>
        <v>0</v>
      </c>
      <c r="AA130" s="299" t="str">
        <f t="shared" si="71"/>
        <v/>
      </c>
      <c r="AB130" s="300"/>
      <c r="AC130" s="301"/>
      <c r="AD130" s="302"/>
      <c r="AE130" s="303"/>
      <c r="AF130" s="304"/>
      <c r="AG130" s="304"/>
      <c r="AH130" s="304"/>
      <c r="AI130" s="304"/>
      <c r="AJ130" s="304"/>
      <c r="AK130" s="305"/>
      <c r="AL130" s="283"/>
      <c r="AM130" s="284"/>
    </row>
    <row r="131" ht="15.75" customHeight="1">
      <c r="A131" s="282">
        <f t="shared" si="1"/>
        <v>127</v>
      </c>
      <c r="B131" s="283"/>
      <c r="C131" s="284"/>
      <c r="D131" s="338"/>
      <c r="E131" s="286"/>
      <c r="F131" s="287"/>
      <c r="G131" s="288" t="str">
        <f>+IFERROR(VLOOKUP(F131,NVL!$B:$C,2,0),"")</f>
        <v/>
      </c>
      <c r="H131" s="288" t="str">
        <f>+IFERROR(VLOOKUP(F131,NVL!$B:$D,3,0),"")</f>
        <v/>
      </c>
      <c r="I131" s="288" t="str">
        <f>+IFERROR(VLOOKUP(F131,NVL!$B:$F,4,0),"")</f>
        <v/>
      </c>
      <c r="J131" s="289"/>
      <c r="K131" s="290"/>
      <c r="L131" s="291" t="str">
        <f>+IFERROR(VLOOKUP(K131,'THÀNH PHẨM'!$B:$F,3,0),"")</f>
        <v/>
      </c>
      <c r="M131" s="291" t="str">
        <f>+IFERROR(VLOOKUP(K131,'THÀNH PHẨM'!$B:$F,4,0),"")</f>
        <v/>
      </c>
      <c r="N131" s="291" t="str">
        <f>+IFERROR(VLOOKUP(K131,'THÀNH PHẨM'!$B:$F,5,0),"")</f>
        <v/>
      </c>
      <c r="O131" s="289"/>
      <c r="P131" s="292">
        <f t="shared" si="2"/>
        <v>0</v>
      </c>
      <c r="Q131" s="289"/>
      <c r="R131" s="289"/>
      <c r="S131" s="293">
        <f t="shared" si="62"/>
        <v>0</v>
      </c>
      <c r="T131" s="294"/>
      <c r="U131" s="295">
        <f t="shared" si="68"/>
        <v>0</v>
      </c>
      <c r="V131" s="296"/>
      <c r="W131" s="297"/>
      <c r="X131" s="298"/>
      <c r="Y131" s="292" t="str">
        <f t="shared" si="69"/>
        <v/>
      </c>
      <c r="Z131" s="366">
        <f t="shared" si="70"/>
        <v>0</v>
      </c>
      <c r="AA131" s="299" t="str">
        <f t="shared" si="71"/>
        <v/>
      </c>
      <c r="AB131" s="300"/>
      <c r="AC131" s="301"/>
      <c r="AD131" s="302"/>
      <c r="AE131" s="303"/>
      <c r="AF131" s="304"/>
      <c r="AG131" s="304"/>
      <c r="AH131" s="304"/>
      <c r="AI131" s="304"/>
      <c r="AJ131" s="304"/>
      <c r="AK131" s="305"/>
      <c r="AL131" s="283"/>
      <c r="AM131" s="284"/>
    </row>
    <row r="132" ht="15.75" customHeight="1">
      <c r="A132" s="282">
        <f t="shared" si="1"/>
        <v>128</v>
      </c>
      <c r="B132" s="283"/>
      <c r="C132" s="284"/>
      <c r="D132" s="338"/>
      <c r="E132" s="286"/>
      <c r="F132" s="287"/>
      <c r="G132" s="288" t="str">
        <f>+IFERROR(VLOOKUP(F132,NVL!$B:$C,2,0),"")</f>
        <v/>
      </c>
      <c r="H132" s="288" t="str">
        <f>+IFERROR(VLOOKUP(F132,NVL!$B:$D,3,0),"")</f>
        <v/>
      </c>
      <c r="I132" s="288" t="str">
        <f>+IFERROR(VLOOKUP(F132,NVL!$B:$F,4,0),"")</f>
        <v/>
      </c>
      <c r="J132" s="289"/>
      <c r="K132" s="290"/>
      <c r="L132" s="291" t="str">
        <f>+IFERROR(VLOOKUP(K132,'THÀNH PHẨM'!$B:$F,3,0),"")</f>
        <v/>
      </c>
      <c r="M132" s="291" t="str">
        <f>+IFERROR(VLOOKUP(K132,'THÀNH PHẨM'!$B:$F,4,0),"")</f>
        <v/>
      </c>
      <c r="N132" s="291" t="str">
        <f>+IFERROR(VLOOKUP(K132,'THÀNH PHẨM'!$B:$F,5,0),"")</f>
        <v/>
      </c>
      <c r="O132" s="289"/>
      <c r="P132" s="292">
        <f t="shared" si="2"/>
        <v>0</v>
      </c>
      <c r="Q132" s="289"/>
      <c r="R132" s="289"/>
      <c r="S132" s="293">
        <f t="shared" si="62"/>
        <v>0</v>
      </c>
      <c r="T132" s="294"/>
      <c r="U132" s="295">
        <f t="shared" si="68"/>
        <v>0</v>
      </c>
      <c r="V132" s="296"/>
      <c r="W132" s="297"/>
      <c r="X132" s="298"/>
      <c r="Y132" s="292" t="str">
        <f t="shared" si="69"/>
        <v/>
      </c>
      <c r="Z132" s="366">
        <f t="shared" si="70"/>
        <v>0</v>
      </c>
      <c r="AA132" s="299" t="str">
        <f t="shared" si="71"/>
        <v/>
      </c>
      <c r="AB132" s="300"/>
      <c r="AC132" s="301"/>
      <c r="AD132" s="302"/>
      <c r="AE132" s="303"/>
      <c r="AF132" s="304"/>
      <c r="AG132" s="304"/>
      <c r="AH132" s="304"/>
      <c r="AI132" s="304"/>
      <c r="AJ132" s="304"/>
      <c r="AK132" s="305"/>
      <c r="AL132" s="283"/>
      <c r="AM132" s="284"/>
    </row>
    <row r="133" ht="15.75" customHeight="1">
      <c r="A133" s="282">
        <f t="shared" si="1"/>
        <v>129</v>
      </c>
      <c r="B133" s="283"/>
      <c r="C133" s="284"/>
      <c r="D133" s="338"/>
      <c r="E133" s="286"/>
      <c r="F133" s="287"/>
      <c r="G133" s="288" t="str">
        <f>+IFERROR(VLOOKUP(F133,NVL!$B:$C,2,0),"")</f>
        <v/>
      </c>
      <c r="H133" s="288" t="str">
        <f>+IFERROR(VLOOKUP(F133,NVL!$B:$D,3,0),"")</f>
        <v/>
      </c>
      <c r="I133" s="288" t="str">
        <f>+IFERROR(VLOOKUP(F133,NVL!$B:$F,4,0),"")</f>
        <v/>
      </c>
      <c r="J133" s="289"/>
      <c r="K133" s="290"/>
      <c r="L133" s="291" t="str">
        <f>+IFERROR(VLOOKUP(K133,'THÀNH PHẨM'!$B:$F,3,0),"")</f>
        <v/>
      </c>
      <c r="M133" s="291" t="str">
        <f>+IFERROR(VLOOKUP(K133,'THÀNH PHẨM'!$B:$F,4,0),"")</f>
        <v/>
      </c>
      <c r="N133" s="291" t="str">
        <f>+IFERROR(VLOOKUP(K133,'THÀNH PHẨM'!$B:$F,5,0),"")</f>
        <v/>
      </c>
      <c r="O133" s="289"/>
      <c r="P133" s="292">
        <f t="shared" si="2"/>
        <v>0</v>
      </c>
      <c r="Q133" s="289"/>
      <c r="R133" s="289"/>
      <c r="S133" s="293">
        <f t="shared" si="62"/>
        <v>0</v>
      </c>
      <c r="T133" s="294"/>
      <c r="U133" s="295">
        <f t="shared" si="68"/>
        <v>0</v>
      </c>
      <c r="V133" s="296"/>
      <c r="W133" s="297"/>
      <c r="X133" s="298"/>
      <c r="Y133" s="292" t="str">
        <f t="shared" si="69"/>
        <v/>
      </c>
      <c r="Z133" s="366">
        <f t="shared" si="70"/>
        <v>0</v>
      </c>
      <c r="AA133" s="299" t="str">
        <f t="shared" si="71"/>
        <v/>
      </c>
      <c r="AB133" s="300"/>
      <c r="AC133" s="301"/>
      <c r="AD133" s="302"/>
      <c r="AE133" s="303"/>
      <c r="AF133" s="304"/>
      <c r="AG133" s="304"/>
      <c r="AH133" s="304"/>
      <c r="AI133" s="304"/>
      <c r="AJ133" s="304"/>
      <c r="AK133" s="305"/>
      <c r="AL133" s="283"/>
      <c r="AM133" s="284"/>
    </row>
    <row r="134" ht="15.75" customHeight="1">
      <c r="A134" s="282">
        <f t="shared" si="1"/>
        <v>130</v>
      </c>
      <c r="B134" s="283"/>
      <c r="C134" s="335"/>
      <c r="D134" s="338"/>
      <c r="E134" s="286"/>
      <c r="F134" s="287"/>
      <c r="G134" s="288" t="str">
        <f>+IFERROR(VLOOKUP(F134,NVL!$B:$C,2,0),"")</f>
        <v/>
      </c>
      <c r="H134" s="288" t="str">
        <f>+IFERROR(VLOOKUP(F134,NVL!$B:$D,3,0),"")</f>
        <v/>
      </c>
      <c r="I134" s="288" t="str">
        <f>+IFERROR(VLOOKUP(F134,NVL!$B:$F,4,0),"")</f>
        <v/>
      </c>
      <c r="J134" s="289"/>
      <c r="K134" s="290"/>
      <c r="L134" s="291" t="str">
        <f>+IFERROR(VLOOKUP(K134,'THÀNH PHẨM'!$B:$F,3,0),"")</f>
        <v/>
      </c>
      <c r="M134" s="291" t="str">
        <f>+IFERROR(VLOOKUP(K134,'THÀNH PHẨM'!$B:$F,4,0),"")</f>
        <v/>
      </c>
      <c r="N134" s="291" t="str">
        <f>+IFERROR(VLOOKUP(K134,'THÀNH PHẨM'!$B:$F,5,0),"")</f>
        <v/>
      </c>
      <c r="O134" s="289"/>
      <c r="P134" s="292">
        <f t="shared" si="2"/>
        <v>0</v>
      </c>
      <c r="Q134" s="289"/>
      <c r="R134" s="289"/>
      <c r="S134" s="293">
        <f t="shared" si="62"/>
        <v>0</v>
      </c>
      <c r="T134" s="294"/>
      <c r="U134" s="295">
        <f t="shared" si="68"/>
        <v>0</v>
      </c>
      <c r="V134" s="296"/>
      <c r="W134" s="297"/>
      <c r="X134" s="298"/>
      <c r="Y134" s="292" t="str">
        <f t="shared" si="69"/>
        <v/>
      </c>
      <c r="Z134" s="366">
        <f t="shared" si="70"/>
        <v>0</v>
      </c>
      <c r="AA134" s="299" t="str">
        <f t="shared" si="71"/>
        <v/>
      </c>
      <c r="AB134" s="300"/>
      <c r="AC134" s="301"/>
      <c r="AD134" s="302"/>
      <c r="AE134" s="303"/>
      <c r="AF134" s="304"/>
      <c r="AG134" s="304"/>
      <c r="AH134" s="304"/>
      <c r="AI134" s="304"/>
      <c r="AJ134" s="304"/>
      <c r="AK134" s="305"/>
      <c r="AL134" s="283"/>
      <c r="AM134" s="284"/>
    </row>
    <row r="135" ht="15.75" customHeight="1">
      <c r="A135" s="282">
        <f t="shared" si="1"/>
        <v>131</v>
      </c>
      <c r="B135" s="283"/>
      <c r="C135" s="284"/>
      <c r="D135" s="338"/>
      <c r="E135" s="286"/>
      <c r="F135" s="287"/>
      <c r="G135" s="288" t="str">
        <f>+IFERROR(VLOOKUP(F135,NVL!$B:$C,2,0),"")</f>
        <v/>
      </c>
      <c r="H135" s="288" t="str">
        <f>+IFERROR(VLOOKUP(F135,NVL!$B:$D,3,0),"")</f>
        <v/>
      </c>
      <c r="I135" s="288" t="str">
        <f>+IFERROR(VLOOKUP(F135,NVL!$B:$F,4,0),"")</f>
        <v/>
      </c>
      <c r="J135" s="289"/>
      <c r="K135" s="290"/>
      <c r="L135" s="291" t="str">
        <f>+IFERROR(VLOOKUP(K135,'THÀNH PHẨM'!$B:$F,3,0),"")</f>
        <v/>
      </c>
      <c r="M135" s="291" t="str">
        <f>+IFERROR(VLOOKUP(K135,'THÀNH PHẨM'!$B:$F,4,0),"")</f>
        <v/>
      </c>
      <c r="N135" s="291" t="str">
        <f>+IFERROR(VLOOKUP(K135,'THÀNH PHẨM'!$B:$F,5,0),"")</f>
        <v/>
      </c>
      <c r="O135" s="289"/>
      <c r="P135" s="292">
        <f t="shared" si="2"/>
        <v>0</v>
      </c>
      <c r="Q135" s="289"/>
      <c r="R135" s="289"/>
      <c r="S135" s="293">
        <f t="shared" si="62"/>
        <v>0</v>
      </c>
      <c r="T135" s="294"/>
      <c r="U135" s="295">
        <f t="shared" si="68"/>
        <v>0</v>
      </c>
      <c r="V135" s="296"/>
      <c r="W135" s="297"/>
      <c r="X135" s="298"/>
      <c r="Y135" s="292" t="str">
        <f t="shared" si="69"/>
        <v/>
      </c>
      <c r="Z135" s="366">
        <f t="shared" si="70"/>
        <v>0</v>
      </c>
      <c r="AA135" s="299" t="str">
        <f t="shared" si="71"/>
        <v/>
      </c>
      <c r="AB135" s="300"/>
      <c r="AC135" s="301"/>
      <c r="AD135" s="302"/>
      <c r="AE135" s="303"/>
      <c r="AF135" s="304"/>
      <c r="AG135" s="304"/>
      <c r="AH135" s="304"/>
      <c r="AI135" s="304"/>
      <c r="AJ135" s="304"/>
      <c r="AK135" s="305"/>
      <c r="AL135" s="283"/>
      <c r="AM135" s="284"/>
    </row>
    <row r="136" ht="15.75" customHeight="1">
      <c r="A136" s="282">
        <f t="shared" si="1"/>
        <v>132</v>
      </c>
      <c r="B136" s="283"/>
      <c r="C136" s="284"/>
      <c r="D136" s="338"/>
      <c r="E136" s="286"/>
      <c r="F136" s="287"/>
      <c r="G136" s="288" t="str">
        <f>+IFERROR(VLOOKUP(F136,NVL!$B:$C,2,0),"")</f>
        <v/>
      </c>
      <c r="H136" s="288" t="str">
        <f>+IFERROR(VLOOKUP(F136,NVL!$B:$D,3,0),"")</f>
        <v/>
      </c>
      <c r="I136" s="288" t="str">
        <f>+IFERROR(VLOOKUP(F136,NVL!$B:$F,4,0),"")</f>
        <v/>
      </c>
      <c r="J136" s="289"/>
      <c r="K136" s="290"/>
      <c r="L136" s="291" t="str">
        <f>+IFERROR(VLOOKUP(K136,'THÀNH PHẨM'!$B:$F,3,0),"")</f>
        <v/>
      </c>
      <c r="M136" s="291" t="str">
        <f>+IFERROR(VLOOKUP(K136,'THÀNH PHẨM'!$B:$F,4,0),"")</f>
        <v/>
      </c>
      <c r="N136" s="291" t="str">
        <f>+IFERROR(VLOOKUP(K136,'THÀNH PHẨM'!$B:$F,5,0),"")</f>
        <v/>
      </c>
      <c r="O136" s="289"/>
      <c r="P136" s="292">
        <f t="shared" si="2"/>
        <v>0</v>
      </c>
      <c r="Q136" s="289"/>
      <c r="R136" s="289"/>
      <c r="S136" s="293">
        <f t="shared" si="62"/>
        <v>0</v>
      </c>
      <c r="T136" s="294"/>
      <c r="U136" s="295">
        <f t="shared" si="68"/>
        <v>0</v>
      </c>
      <c r="V136" s="296"/>
      <c r="W136" s="297"/>
      <c r="X136" s="298"/>
      <c r="Y136" s="292" t="str">
        <f t="shared" si="69"/>
        <v/>
      </c>
      <c r="Z136" s="366">
        <f t="shared" si="70"/>
        <v>0</v>
      </c>
      <c r="AA136" s="299" t="str">
        <f t="shared" si="71"/>
        <v/>
      </c>
      <c r="AB136" s="300"/>
      <c r="AC136" s="301"/>
      <c r="AD136" s="302"/>
      <c r="AE136" s="303"/>
      <c r="AF136" s="304"/>
      <c r="AG136" s="304"/>
      <c r="AH136" s="304"/>
      <c r="AI136" s="304"/>
      <c r="AJ136" s="304"/>
      <c r="AK136" s="305"/>
      <c r="AL136" s="283"/>
      <c r="AM136" s="284"/>
    </row>
    <row r="137" ht="15.75" customHeight="1">
      <c r="A137" s="282">
        <f t="shared" si="1"/>
        <v>133</v>
      </c>
      <c r="B137" s="283"/>
      <c r="C137" s="335"/>
      <c r="D137" s="338"/>
      <c r="E137" s="286"/>
      <c r="F137" s="287"/>
      <c r="G137" s="288" t="str">
        <f>+IFERROR(VLOOKUP(F137,NVL!$B:$C,2,0),"")</f>
        <v/>
      </c>
      <c r="H137" s="288" t="str">
        <f>+IFERROR(VLOOKUP(F137,NVL!$B:$D,3,0),"")</f>
        <v/>
      </c>
      <c r="I137" s="288" t="str">
        <f>+IFERROR(VLOOKUP(F137,NVL!$B:$F,4,0),"")</f>
        <v/>
      </c>
      <c r="J137" s="289"/>
      <c r="K137" s="290"/>
      <c r="L137" s="291" t="str">
        <f>+IFERROR(VLOOKUP(K137,'THÀNH PHẨM'!$B:$F,3,0),"")</f>
        <v/>
      </c>
      <c r="M137" s="291" t="str">
        <f>+IFERROR(VLOOKUP(K137,'THÀNH PHẨM'!$B:$F,4,0),"")</f>
        <v/>
      </c>
      <c r="N137" s="291" t="str">
        <f>+IFERROR(VLOOKUP(K137,'THÀNH PHẨM'!$B:$F,5,0),"")</f>
        <v/>
      </c>
      <c r="O137" s="289"/>
      <c r="P137" s="292">
        <f t="shared" si="2"/>
        <v>0</v>
      </c>
      <c r="Q137" s="289"/>
      <c r="R137" s="289"/>
      <c r="S137" s="293">
        <f t="shared" si="62"/>
        <v>0</v>
      </c>
      <c r="T137" s="294"/>
      <c r="U137" s="295">
        <f t="shared" si="68"/>
        <v>0</v>
      </c>
      <c r="V137" s="296"/>
      <c r="W137" s="297"/>
      <c r="X137" s="298"/>
      <c r="Y137" s="292" t="str">
        <f t="shared" si="69"/>
        <v/>
      </c>
      <c r="Z137" s="366">
        <f t="shared" si="70"/>
        <v>0</v>
      </c>
      <c r="AA137" s="299" t="str">
        <f t="shared" si="71"/>
        <v/>
      </c>
      <c r="AB137" s="300"/>
      <c r="AC137" s="301"/>
      <c r="AD137" s="302"/>
      <c r="AE137" s="303"/>
      <c r="AF137" s="304"/>
      <c r="AG137" s="304"/>
      <c r="AH137" s="304"/>
      <c r="AI137" s="304"/>
      <c r="AJ137" s="304"/>
      <c r="AK137" s="305"/>
      <c r="AL137" s="283"/>
      <c r="AM137" s="284"/>
    </row>
    <row r="138" ht="15.75" customHeight="1">
      <c r="A138" s="282">
        <f t="shared" si="1"/>
        <v>134</v>
      </c>
      <c r="B138" s="283"/>
      <c r="C138" s="284"/>
      <c r="D138" s="338"/>
      <c r="E138" s="286"/>
      <c r="F138" s="287"/>
      <c r="G138" s="288" t="str">
        <f>+IFERROR(VLOOKUP(F138,NVL!$B:$C,2,0),"")</f>
        <v/>
      </c>
      <c r="H138" s="288" t="str">
        <f>+IFERROR(VLOOKUP(F138,NVL!$B:$D,3,0),"")</f>
        <v/>
      </c>
      <c r="I138" s="288" t="str">
        <f>+IFERROR(VLOOKUP(F138,NVL!$B:$F,4,0),"")</f>
        <v/>
      </c>
      <c r="J138" s="289"/>
      <c r="K138" s="290"/>
      <c r="L138" s="291" t="str">
        <f>+IFERROR(VLOOKUP(K138,'THÀNH PHẨM'!$B:$F,3,0),"")</f>
        <v/>
      </c>
      <c r="M138" s="291" t="str">
        <f>+IFERROR(VLOOKUP(K138,'THÀNH PHẨM'!$B:$F,4,0),"")</f>
        <v/>
      </c>
      <c r="N138" s="291" t="str">
        <f>+IFERROR(VLOOKUP(K138,'THÀNH PHẨM'!$B:$F,5,0),"")</f>
        <v/>
      </c>
      <c r="O138" s="289"/>
      <c r="P138" s="292">
        <f t="shared" si="2"/>
        <v>0</v>
      </c>
      <c r="Q138" s="289"/>
      <c r="R138" s="289"/>
      <c r="S138" s="293">
        <f t="shared" si="62"/>
        <v>0</v>
      </c>
      <c r="T138" s="294"/>
      <c r="U138" s="295">
        <f t="shared" si="68"/>
        <v>0</v>
      </c>
      <c r="V138" s="296"/>
      <c r="W138" s="297"/>
      <c r="X138" s="298"/>
      <c r="Y138" s="292" t="str">
        <f t="shared" si="69"/>
        <v/>
      </c>
      <c r="Z138" s="366">
        <f t="shared" si="70"/>
        <v>0</v>
      </c>
      <c r="AA138" s="299" t="str">
        <f t="shared" si="71"/>
        <v/>
      </c>
      <c r="AB138" s="300"/>
      <c r="AC138" s="301"/>
      <c r="AD138" s="302"/>
      <c r="AE138" s="303"/>
      <c r="AF138" s="304"/>
      <c r="AG138" s="304"/>
      <c r="AH138" s="304"/>
      <c r="AI138" s="304"/>
      <c r="AJ138" s="304"/>
      <c r="AK138" s="305"/>
      <c r="AL138" s="283"/>
      <c r="AM138" s="284"/>
    </row>
    <row r="139" ht="15.75" customHeight="1">
      <c r="A139" s="282">
        <f t="shared" si="1"/>
        <v>135</v>
      </c>
      <c r="B139" s="283"/>
      <c r="C139" s="335"/>
      <c r="D139" s="338"/>
      <c r="E139" s="286"/>
      <c r="F139" s="287"/>
      <c r="G139" s="288" t="str">
        <f>+IFERROR(VLOOKUP(F139,NVL!$B:$C,2,0),"")</f>
        <v/>
      </c>
      <c r="H139" s="288" t="str">
        <f>+IFERROR(VLOOKUP(F139,NVL!$B:$D,3,0),"")</f>
        <v/>
      </c>
      <c r="I139" s="288" t="str">
        <f>+IFERROR(VLOOKUP(F139,NVL!$B:$F,4,0),"")</f>
        <v/>
      </c>
      <c r="J139" s="289"/>
      <c r="K139" s="290"/>
      <c r="L139" s="291" t="str">
        <f>+IFERROR(VLOOKUP(K139,'THÀNH PHẨM'!$B:$F,3,0),"")</f>
        <v/>
      </c>
      <c r="M139" s="291" t="str">
        <f>+IFERROR(VLOOKUP(K139,'THÀNH PHẨM'!$B:$F,4,0),"")</f>
        <v/>
      </c>
      <c r="N139" s="291" t="str">
        <f>+IFERROR(VLOOKUP(K139,'THÀNH PHẨM'!$B:$F,5,0),"")</f>
        <v/>
      </c>
      <c r="O139" s="289"/>
      <c r="P139" s="292">
        <f t="shared" si="2"/>
        <v>0</v>
      </c>
      <c r="Q139" s="289"/>
      <c r="R139" s="289"/>
      <c r="S139" s="293">
        <f t="shared" si="62"/>
        <v>0</v>
      </c>
      <c r="T139" s="294"/>
      <c r="U139" s="295">
        <f t="shared" si="68"/>
        <v>0</v>
      </c>
      <c r="V139" s="296"/>
      <c r="W139" s="297"/>
      <c r="X139" s="298"/>
      <c r="Y139" s="292" t="str">
        <f t="shared" si="69"/>
        <v/>
      </c>
      <c r="Z139" s="366">
        <f t="shared" si="70"/>
        <v>0</v>
      </c>
      <c r="AA139" s="299" t="str">
        <f t="shared" si="71"/>
        <v/>
      </c>
      <c r="AB139" s="300"/>
      <c r="AC139" s="301"/>
      <c r="AD139" s="302"/>
      <c r="AE139" s="303"/>
      <c r="AF139" s="304"/>
      <c r="AG139" s="304"/>
      <c r="AH139" s="304"/>
      <c r="AI139" s="304"/>
      <c r="AJ139" s="304"/>
      <c r="AK139" s="305"/>
      <c r="AL139" s="283"/>
      <c r="AM139" s="284"/>
    </row>
    <row r="140" ht="15.75" customHeight="1">
      <c r="A140" s="282">
        <f t="shared" si="1"/>
        <v>136</v>
      </c>
      <c r="B140" s="283"/>
      <c r="C140" s="335"/>
      <c r="D140" s="338"/>
      <c r="E140" s="286"/>
      <c r="F140" s="287"/>
      <c r="G140" s="288" t="str">
        <f>+IFERROR(VLOOKUP(F140,NVL!$B:$C,2,0),"")</f>
        <v/>
      </c>
      <c r="H140" s="288" t="str">
        <f>+IFERROR(VLOOKUP(F140,NVL!$B:$D,3,0),"")</f>
        <v/>
      </c>
      <c r="I140" s="288" t="str">
        <f>+IFERROR(VLOOKUP(F140,NVL!$B:$F,4,0),"")</f>
        <v/>
      </c>
      <c r="J140" s="289"/>
      <c r="K140" s="290"/>
      <c r="L140" s="291" t="str">
        <f>+IFERROR(VLOOKUP(K140,'THÀNH PHẨM'!$B:$F,3,0),"")</f>
        <v/>
      </c>
      <c r="M140" s="291" t="str">
        <f>+IFERROR(VLOOKUP(K140,'THÀNH PHẨM'!$B:$F,4,0),"")</f>
        <v/>
      </c>
      <c r="N140" s="291" t="str">
        <f>+IFERROR(VLOOKUP(K140,'THÀNH PHẨM'!$B:$F,5,0),"")</f>
        <v/>
      </c>
      <c r="O140" s="289"/>
      <c r="P140" s="292">
        <f t="shared" si="2"/>
        <v>0</v>
      </c>
      <c r="Q140" s="289"/>
      <c r="R140" s="289"/>
      <c r="S140" s="293">
        <f t="shared" si="62"/>
        <v>0</v>
      </c>
      <c r="T140" s="294"/>
      <c r="U140" s="295">
        <f t="shared" si="68"/>
        <v>0</v>
      </c>
      <c r="V140" s="296"/>
      <c r="W140" s="297"/>
      <c r="X140" s="298"/>
      <c r="Y140" s="292" t="str">
        <f t="shared" si="69"/>
        <v/>
      </c>
      <c r="Z140" s="366">
        <f t="shared" si="70"/>
        <v>0</v>
      </c>
      <c r="AA140" s="299" t="str">
        <f t="shared" si="71"/>
        <v/>
      </c>
      <c r="AB140" s="300"/>
      <c r="AC140" s="301"/>
      <c r="AD140" s="302"/>
      <c r="AE140" s="303"/>
      <c r="AF140" s="304"/>
      <c r="AG140" s="304"/>
      <c r="AH140" s="304"/>
      <c r="AI140" s="304"/>
      <c r="AJ140" s="304"/>
      <c r="AK140" s="305"/>
      <c r="AL140" s="283"/>
      <c r="AM140" s="284"/>
    </row>
    <row r="141" ht="15.75" customHeight="1">
      <c r="A141" s="282">
        <f t="shared" si="1"/>
        <v>137</v>
      </c>
      <c r="B141" s="283"/>
      <c r="C141" s="335"/>
      <c r="D141" s="338"/>
      <c r="E141" s="286"/>
      <c r="F141" s="287"/>
      <c r="G141" s="288" t="str">
        <f>+IFERROR(VLOOKUP(F141,NVL!$B:$C,2,0),"")</f>
        <v/>
      </c>
      <c r="H141" s="288" t="str">
        <f>+IFERROR(VLOOKUP(F141,NVL!$B:$D,3,0),"")</f>
        <v/>
      </c>
      <c r="I141" s="288" t="str">
        <f>+IFERROR(VLOOKUP(F141,NVL!$B:$F,4,0),"")</f>
        <v/>
      </c>
      <c r="J141" s="289"/>
      <c r="K141" s="290"/>
      <c r="L141" s="291" t="str">
        <f>+IFERROR(VLOOKUP(K141,'THÀNH PHẨM'!$B:$F,3,0),"")</f>
        <v/>
      </c>
      <c r="M141" s="291" t="str">
        <f>+IFERROR(VLOOKUP(K141,'THÀNH PHẨM'!$B:$F,4,0),"")</f>
        <v/>
      </c>
      <c r="N141" s="291" t="str">
        <f>+IFERROR(VLOOKUP(K141,'THÀNH PHẨM'!$B:$F,5,0),"")</f>
        <v/>
      </c>
      <c r="O141" s="289"/>
      <c r="P141" s="292">
        <f t="shared" si="2"/>
        <v>0</v>
      </c>
      <c r="Q141" s="289"/>
      <c r="R141" s="289"/>
      <c r="S141" s="293">
        <f t="shared" si="62"/>
        <v>0</v>
      </c>
      <c r="T141" s="294"/>
      <c r="U141" s="295">
        <f t="shared" si="68"/>
        <v>0</v>
      </c>
      <c r="V141" s="296"/>
      <c r="W141" s="297"/>
      <c r="X141" s="298"/>
      <c r="Y141" s="292" t="str">
        <f t="shared" si="69"/>
        <v/>
      </c>
      <c r="Z141" s="366">
        <f t="shared" si="70"/>
        <v>0</v>
      </c>
      <c r="AA141" s="299" t="str">
        <f t="shared" si="71"/>
        <v/>
      </c>
      <c r="AB141" s="300"/>
      <c r="AC141" s="301"/>
      <c r="AD141" s="302"/>
      <c r="AE141" s="303"/>
      <c r="AF141" s="304"/>
      <c r="AG141" s="304"/>
      <c r="AH141" s="304"/>
      <c r="AI141" s="304"/>
      <c r="AJ141" s="304"/>
      <c r="AK141" s="305"/>
      <c r="AL141" s="283"/>
      <c r="AM141" s="284"/>
    </row>
    <row r="142" ht="15.75" customHeight="1">
      <c r="A142" s="282">
        <f t="shared" si="1"/>
        <v>138</v>
      </c>
      <c r="B142" s="283"/>
      <c r="C142" s="284"/>
      <c r="D142" s="338"/>
      <c r="E142" s="286"/>
      <c r="F142" s="287"/>
      <c r="G142" s="288" t="str">
        <f>+IFERROR(VLOOKUP(F142,NVL!$B:$C,2,0),"")</f>
        <v/>
      </c>
      <c r="H142" s="288" t="str">
        <f>+IFERROR(VLOOKUP(F142,NVL!$B:$D,3,0),"")</f>
        <v/>
      </c>
      <c r="I142" s="288" t="str">
        <f>+IFERROR(VLOOKUP(F142,NVL!$B:$F,4,0),"")</f>
        <v/>
      </c>
      <c r="J142" s="289"/>
      <c r="K142" s="290"/>
      <c r="L142" s="291" t="str">
        <f>+IFERROR(VLOOKUP(K142,'THÀNH PHẨM'!$B:$F,3,0),"")</f>
        <v/>
      </c>
      <c r="M142" s="291" t="str">
        <f>+IFERROR(VLOOKUP(K142,'THÀNH PHẨM'!$B:$F,4,0),"")</f>
        <v/>
      </c>
      <c r="N142" s="291" t="str">
        <f>+IFERROR(VLOOKUP(K142,'THÀNH PHẨM'!$B:$F,5,0),"")</f>
        <v/>
      </c>
      <c r="O142" s="289"/>
      <c r="P142" s="292">
        <f t="shared" si="2"/>
        <v>0</v>
      </c>
      <c r="Q142" s="289"/>
      <c r="R142" s="289"/>
      <c r="S142" s="293">
        <f t="shared" si="62"/>
        <v>0</v>
      </c>
      <c r="T142" s="294"/>
      <c r="U142" s="295">
        <f t="shared" si="68"/>
        <v>0</v>
      </c>
      <c r="V142" s="296"/>
      <c r="W142" s="297"/>
      <c r="X142" s="298"/>
      <c r="Y142" s="292" t="str">
        <f t="shared" si="69"/>
        <v/>
      </c>
      <c r="Z142" s="366">
        <f t="shared" si="70"/>
        <v>0</v>
      </c>
      <c r="AA142" s="299" t="str">
        <f t="shared" si="71"/>
        <v/>
      </c>
      <c r="AB142" s="300"/>
      <c r="AC142" s="301"/>
      <c r="AD142" s="302"/>
      <c r="AE142" s="303"/>
      <c r="AF142" s="304"/>
      <c r="AG142" s="304"/>
      <c r="AH142" s="304"/>
      <c r="AI142" s="304"/>
      <c r="AJ142" s="304"/>
      <c r="AK142" s="305"/>
      <c r="AL142" s="283"/>
      <c r="AM142" s="284"/>
    </row>
    <row r="143" ht="15.75" customHeight="1">
      <c r="A143" s="282">
        <f t="shared" si="1"/>
        <v>139</v>
      </c>
      <c r="B143" s="283"/>
      <c r="C143" s="284"/>
      <c r="D143" s="338"/>
      <c r="E143" s="286"/>
      <c r="F143" s="287"/>
      <c r="G143" s="288" t="str">
        <f>+IFERROR(VLOOKUP(F143,NVL!$B:$C,2,0),"")</f>
        <v/>
      </c>
      <c r="H143" s="288" t="str">
        <f>+IFERROR(VLOOKUP(F143,NVL!$B:$D,3,0),"")</f>
        <v/>
      </c>
      <c r="I143" s="288" t="str">
        <f>+IFERROR(VLOOKUP(F143,NVL!$B:$F,4,0),"")</f>
        <v/>
      </c>
      <c r="J143" s="289"/>
      <c r="K143" s="290"/>
      <c r="L143" s="291" t="str">
        <f>+IFERROR(VLOOKUP(K143,'THÀNH PHẨM'!$B:$F,3,0),"")</f>
        <v/>
      </c>
      <c r="M143" s="291" t="str">
        <f>+IFERROR(VLOOKUP(K143,'THÀNH PHẨM'!$B:$F,4,0),"")</f>
        <v/>
      </c>
      <c r="N143" s="291" t="str">
        <f>+IFERROR(VLOOKUP(K143,'THÀNH PHẨM'!$B:$F,5,0),"")</f>
        <v/>
      </c>
      <c r="O143" s="289"/>
      <c r="P143" s="292">
        <f t="shared" si="2"/>
        <v>0</v>
      </c>
      <c r="Q143" s="289"/>
      <c r="R143" s="289"/>
      <c r="S143" s="293">
        <f t="shared" si="62"/>
        <v>0</v>
      </c>
      <c r="T143" s="294"/>
      <c r="U143" s="295">
        <f t="shared" si="68"/>
        <v>0</v>
      </c>
      <c r="V143" s="296"/>
      <c r="W143" s="297"/>
      <c r="X143" s="298"/>
      <c r="Y143" s="292" t="str">
        <f t="shared" si="69"/>
        <v/>
      </c>
      <c r="Z143" s="366">
        <f t="shared" si="70"/>
        <v>0</v>
      </c>
      <c r="AA143" s="299" t="str">
        <f t="shared" si="71"/>
        <v/>
      </c>
      <c r="AB143" s="300"/>
      <c r="AC143" s="301"/>
      <c r="AD143" s="302"/>
      <c r="AE143" s="303"/>
      <c r="AF143" s="304"/>
      <c r="AG143" s="304"/>
      <c r="AH143" s="304"/>
      <c r="AI143" s="304"/>
      <c r="AJ143" s="304"/>
      <c r="AK143" s="305"/>
      <c r="AL143" s="283"/>
      <c r="AM143" s="284"/>
    </row>
    <row r="144" ht="15.75" customHeight="1">
      <c r="A144" s="282">
        <f t="shared" si="1"/>
        <v>140</v>
      </c>
      <c r="B144" s="283"/>
      <c r="C144" s="284"/>
      <c r="D144" s="338"/>
      <c r="E144" s="286"/>
      <c r="F144" s="287"/>
      <c r="G144" s="288" t="str">
        <f>+IFERROR(VLOOKUP(F144,NVL!$B:$C,2,0),"")</f>
        <v/>
      </c>
      <c r="H144" s="288" t="str">
        <f>+IFERROR(VLOOKUP(F144,NVL!$B:$D,3,0),"")</f>
        <v/>
      </c>
      <c r="I144" s="288" t="str">
        <f>+IFERROR(VLOOKUP(F144,NVL!$B:$F,4,0),"")</f>
        <v/>
      </c>
      <c r="J144" s="289"/>
      <c r="K144" s="290"/>
      <c r="L144" s="291" t="str">
        <f>+IFERROR(VLOOKUP(K144,'THÀNH PHẨM'!$B:$F,3,0),"")</f>
        <v/>
      </c>
      <c r="M144" s="291" t="str">
        <f>+IFERROR(VLOOKUP(K144,'THÀNH PHẨM'!$B:$F,4,0),"")</f>
        <v/>
      </c>
      <c r="N144" s="291" t="str">
        <f>+IFERROR(VLOOKUP(K144,'THÀNH PHẨM'!$B:$F,5,0),"")</f>
        <v/>
      </c>
      <c r="O144" s="289"/>
      <c r="P144" s="292">
        <f t="shared" si="2"/>
        <v>0</v>
      </c>
      <c r="Q144" s="289"/>
      <c r="R144" s="289"/>
      <c r="S144" s="293">
        <f t="shared" si="62"/>
        <v>0</v>
      </c>
      <c r="T144" s="294"/>
      <c r="U144" s="295">
        <f t="shared" si="68"/>
        <v>0</v>
      </c>
      <c r="V144" s="296"/>
      <c r="W144" s="297"/>
      <c r="X144" s="298"/>
      <c r="Y144" s="292" t="str">
        <f t="shared" si="69"/>
        <v/>
      </c>
      <c r="Z144" s="366">
        <f t="shared" si="70"/>
        <v>0</v>
      </c>
      <c r="AA144" s="299" t="str">
        <f t="shared" si="71"/>
        <v/>
      </c>
      <c r="AB144" s="300"/>
      <c r="AC144" s="301"/>
      <c r="AD144" s="302"/>
      <c r="AE144" s="303"/>
      <c r="AF144" s="304"/>
      <c r="AG144" s="304"/>
      <c r="AH144" s="304"/>
      <c r="AI144" s="304"/>
      <c r="AJ144" s="304"/>
      <c r="AK144" s="305"/>
      <c r="AL144" s="283"/>
      <c r="AM144" s="284"/>
    </row>
    <row r="145" ht="15.75" customHeight="1">
      <c r="A145" s="282">
        <f t="shared" si="1"/>
        <v>141</v>
      </c>
      <c r="B145" s="283"/>
      <c r="C145" s="284"/>
      <c r="D145" s="338"/>
      <c r="E145" s="286"/>
      <c r="F145" s="287"/>
      <c r="G145" s="288" t="str">
        <f>+IFERROR(VLOOKUP(F145,NVL!$B:$C,2,0),"")</f>
        <v/>
      </c>
      <c r="H145" s="288" t="str">
        <f>+IFERROR(VLOOKUP(F145,NVL!$B:$D,3,0),"")</f>
        <v/>
      </c>
      <c r="I145" s="288" t="str">
        <f>+IFERROR(VLOOKUP(F145,NVL!$B:$F,4,0),"")</f>
        <v/>
      </c>
      <c r="J145" s="289"/>
      <c r="K145" s="290"/>
      <c r="L145" s="291" t="str">
        <f>+IFERROR(VLOOKUP(K145,'THÀNH PHẨM'!$B:$F,3,0),"")</f>
        <v/>
      </c>
      <c r="M145" s="291" t="str">
        <f>+IFERROR(VLOOKUP(K145,'THÀNH PHẨM'!$B:$F,4,0),"")</f>
        <v/>
      </c>
      <c r="N145" s="291" t="str">
        <f>+IFERROR(VLOOKUP(K145,'THÀNH PHẨM'!$B:$F,5,0),"")</f>
        <v/>
      </c>
      <c r="O145" s="289"/>
      <c r="P145" s="292">
        <f t="shared" si="2"/>
        <v>0</v>
      </c>
      <c r="Q145" s="289"/>
      <c r="R145" s="289"/>
      <c r="S145" s="293">
        <f t="shared" si="62"/>
        <v>0</v>
      </c>
      <c r="T145" s="294"/>
      <c r="U145" s="295">
        <f t="shared" si="68"/>
        <v>0</v>
      </c>
      <c r="V145" s="296"/>
      <c r="W145" s="297"/>
      <c r="X145" s="298"/>
      <c r="Y145" s="292" t="str">
        <f t="shared" si="69"/>
        <v/>
      </c>
      <c r="Z145" s="366">
        <f t="shared" si="70"/>
        <v>0</v>
      </c>
      <c r="AA145" s="299" t="str">
        <f t="shared" si="71"/>
        <v/>
      </c>
      <c r="AB145" s="300"/>
      <c r="AC145" s="301"/>
      <c r="AD145" s="302"/>
      <c r="AE145" s="303"/>
      <c r="AF145" s="304"/>
      <c r="AG145" s="304"/>
      <c r="AH145" s="304"/>
      <c r="AI145" s="304"/>
      <c r="AJ145" s="304"/>
      <c r="AK145" s="305"/>
      <c r="AL145" s="283"/>
      <c r="AM145" s="284"/>
    </row>
    <row r="146" ht="15.75" customHeight="1">
      <c r="A146" s="282">
        <f t="shared" si="1"/>
        <v>142</v>
      </c>
      <c r="B146" s="283"/>
      <c r="C146" s="284"/>
      <c r="D146" s="338"/>
      <c r="E146" s="286"/>
      <c r="F146" s="287"/>
      <c r="G146" s="288" t="str">
        <f>+IFERROR(VLOOKUP(F146,NVL!$B:$C,2,0),"")</f>
        <v/>
      </c>
      <c r="H146" s="288" t="str">
        <f>+IFERROR(VLOOKUP(F146,NVL!$B:$D,3,0),"")</f>
        <v/>
      </c>
      <c r="I146" s="288" t="str">
        <f>+IFERROR(VLOOKUP(F146,NVL!$B:$F,4,0),"")</f>
        <v/>
      </c>
      <c r="J146" s="289"/>
      <c r="K146" s="290"/>
      <c r="L146" s="291" t="str">
        <f>+IFERROR(VLOOKUP(K146,'THÀNH PHẨM'!$B:$F,3,0),"")</f>
        <v/>
      </c>
      <c r="M146" s="291" t="str">
        <f>+IFERROR(VLOOKUP(K146,'THÀNH PHẨM'!$B:$F,4,0),"")</f>
        <v/>
      </c>
      <c r="N146" s="291" t="str">
        <f>+IFERROR(VLOOKUP(K146,'THÀNH PHẨM'!$B:$F,5,0),"")</f>
        <v/>
      </c>
      <c r="O146" s="289"/>
      <c r="P146" s="292">
        <f t="shared" si="2"/>
        <v>0</v>
      </c>
      <c r="Q146" s="289"/>
      <c r="R146" s="289"/>
      <c r="S146" s="293">
        <f t="shared" si="62"/>
        <v>0</v>
      </c>
      <c r="T146" s="294"/>
      <c r="U146" s="295">
        <f t="shared" si="68"/>
        <v>0</v>
      </c>
      <c r="V146" s="296"/>
      <c r="W146" s="297"/>
      <c r="X146" s="298"/>
      <c r="Y146" s="292" t="str">
        <f t="shared" si="69"/>
        <v/>
      </c>
      <c r="Z146" s="366">
        <f t="shared" si="70"/>
        <v>0</v>
      </c>
      <c r="AA146" s="299" t="str">
        <f t="shared" si="71"/>
        <v/>
      </c>
      <c r="AB146" s="300"/>
      <c r="AC146" s="301"/>
      <c r="AD146" s="302"/>
      <c r="AE146" s="303"/>
      <c r="AF146" s="304"/>
      <c r="AG146" s="304"/>
      <c r="AH146" s="304"/>
      <c r="AI146" s="304"/>
      <c r="AJ146" s="304"/>
      <c r="AK146" s="305"/>
      <c r="AL146" s="283"/>
      <c r="AM146" s="284"/>
    </row>
    <row r="147" ht="15.75" customHeight="1">
      <c r="A147" s="282">
        <f t="shared" si="1"/>
        <v>143</v>
      </c>
      <c r="B147" s="283"/>
      <c r="C147" s="284"/>
      <c r="D147" s="338"/>
      <c r="E147" s="286"/>
      <c r="F147" s="287"/>
      <c r="G147" s="288" t="str">
        <f>+IFERROR(VLOOKUP(F147,NVL!$B:$C,2,0),"")</f>
        <v/>
      </c>
      <c r="H147" s="288" t="str">
        <f>+IFERROR(VLOOKUP(F147,NVL!$B:$D,3,0),"")</f>
        <v/>
      </c>
      <c r="I147" s="288" t="str">
        <f>+IFERROR(VLOOKUP(F147,NVL!$B:$F,4,0),"")</f>
        <v/>
      </c>
      <c r="J147" s="289"/>
      <c r="K147" s="290"/>
      <c r="L147" s="291" t="str">
        <f>+IFERROR(VLOOKUP(K147,'THÀNH PHẨM'!$B:$F,3,0),"")</f>
        <v/>
      </c>
      <c r="M147" s="291" t="str">
        <f>+IFERROR(VLOOKUP(K147,'THÀNH PHẨM'!$B:$F,4,0),"")</f>
        <v/>
      </c>
      <c r="N147" s="291" t="str">
        <f>+IFERROR(VLOOKUP(K147,'THÀNH PHẨM'!$B:$F,5,0),"")</f>
        <v/>
      </c>
      <c r="O147" s="289"/>
      <c r="P147" s="292">
        <f t="shared" si="2"/>
        <v>0</v>
      </c>
      <c r="Q147" s="289"/>
      <c r="R147" s="289"/>
      <c r="S147" s="293">
        <f t="shared" si="62"/>
        <v>0</v>
      </c>
      <c r="T147" s="294"/>
      <c r="U147" s="295">
        <f t="shared" si="68"/>
        <v>0</v>
      </c>
      <c r="V147" s="296"/>
      <c r="W147" s="297"/>
      <c r="X147" s="298"/>
      <c r="Y147" s="292" t="str">
        <f t="shared" si="69"/>
        <v/>
      </c>
      <c r="Z147" s="366">
        <f t="shared" si="70"/>
        <v>0</v>
      </c>
      <c r="AA147" s="299" t="str">
        <f t="shared" si="71"/>
        <v/>
      </c>
      <c r="AB147" s="300"/>
      <c r="AC147" s="301"/>
      <c r="AD147" s="302"/>
      <c r="AE147" s="303"/>
      <c r="AF147" s="304"/>
      <c r="AG147" s="304"/>
      <c r="AH147" s="304"/>
      <c r="AI147" s="304"/>
      <c r="AJ147" s="304"/>
      <c r="AK147" s="305"/>
      <c r="AL147" s="283"/>
      <c r="AM147" s="284"/>
    </row>
    <row r="148" ht="15.75" customHeight="1">
      <c r="A148" s="282">
        <f t="shared" si="1"/>
        <v>144</v>
      </c>
      <c r="B148" s="283"/>
      <c r="C148" s="284"/>
      <c r="D148" s="338"/>
      <c r="E148" s="286"/>
      <c r="F148" s="287"/>
      <c r="G148" s="288" t="str">
        <f>+IFERROR(VLOOKUP(F148,NVL!$B:$C,2,0),"")</f>
        <v/>
      </c>
      <c r="H148" s="288" t="str">
        <f>+IFERROR(VLOOKUP(F148,NVL!$B:$D,3,0),"")</f>
        <v/>
      </c>
      <c r="I148" s="288" t="str">
        <f>+IFERROR(VLOOKUP(F148,NVL!$B:$F,4,0),"")</f>
        <v/>
      </c>
      <c r="J148" s="289"/>
      <c r="K148" s="290"/>
      <c r="L148" s="291" t="str">
        <f>+IFERROR(VLOOKUP(K148,'THÀNH PHẨM'!$B:$F,3,0),"")</f>
        <v/>
      </c>
      <c r="M148" s="291" t="str">
        <f>+IFERROR(VLOOKUP(K148,'THÀNH PHẨM'!$B:$F,4,0),"")</f>
        <v/>
      </c>
      <c r="N148" s="291" t="str">
        <f>+IFERROR(VLOOKUP(K148,'THÀNH PHẨM'!$B:$F,5,0),"")</f>
        <v/>
      </c>
      <c r="O148" s="289"/>
      <c r="P148" s="292">
        <f t="shared" si="2"/>
        <v>0</v>
      </c>
      <c r="Q148" s="289"/>
      <c r="R148" s="289"/>
      <c r="S148" s="293">
        <f t="shared" si="62"/>
        <v>0</v>
      </c>
      <c r="T148" s="294"/>
      <c r="U148" s="295">
        <f t="shared" si="68"/>
        <v>0</v>
      </c>
      <c r="V148" s="296"/>
      <c r="W148" s="297"/>
      <c r="X148" s="298"/>
      <c r="Y148" s="292" t="str">
        <f t="shared" si="69"/>
        <v/>
      </c>
      <c r="Z148" s="366">
        <f t="shared" si="70"/>
        <v>0</v>
      </c>
      <c r="AA148" s="299" t="str">
        <f t="shared" si="71"/>
        <v/>
      </c>
      <c r="AB148" s="300"/>
      <c r="AC148" s="301"/>
      <c r="AD148" s="302"/>
      <c r="AE148" s="303"/>
      <c r="AF148" s="304"/>
      <c r="AG148" s="304"/>
      <c r="AH148" s="304"/>
      <c r="AI148" s="304"/>
      <c r="AJ148" s="304"/>
      <c r="AK148" s="305"/>
      <c r="AL148" s="283"/>
      <c r="AM148" s="284"/>
    </row>
    <row r="149" ht="15.75" customHeight="1">
      <c r="A149" s="282">
        <f t="shared" si="1"/>
        <v>145</v>
      </c>
      <c r="B149" s="283"/>
      <c r="C149" s="284"/>
      <c r="D149" s="338"/>
      <c r="E149" s="286"/>
      <c r="F149" s="287"/>
      <c r="G149" s="288" t="str">
        <f>+IFERROR(VLOOKUP(F149,NVL!$B:$C,2,0),"")</f>
        <v/>
      </c>
      <c r="H149" s="288" t="str">
        <f>+IFERROR(VLOOKUP(F149,NVL!$B:$D,3,0),"")</f>
        <v/>
      </c>
      <c r="I149" s="288" t="str">
        <f>+IFERROR(VLOOKUP(F149,NVL!$B:$F,4,0),"")</f>
        <v/>
      </c>
      <c r="J149" s="289"/>
      <c r="K149" s="290"/>
      <c r="L149" s="291" t="str">
        <f>+IFERROR(VLOOKUP(K149,'THÀNH PHẨM'!$B:$F,3,0),"")</f>
        <v/>
      </c>
      <c r="M149" s="291" t="str">
        <f>+IFERROR(VLOOKUP(K149,'THÀNH PHẨM'!$B:$F,4,0),"")</f>
        <v/>
      </c>
      <c r="N149" s="291" t="str">
        <f>+IFERROR(VLOOKUP(K149,'THÀNH PHẨM'!$B:$F,5,0),"")</f>
        <v/>
      </c>
      <c r="O149" s="289"/>
      <c r="P149" s="292">
        <f t="shared" si="2"/>
        <v>0</v>
      </c>
      <c r="Q149" s="289"/>
      <c r="R149" s="289"/>
      <c r="S149" s="293">
        <f t="shared" si="62"/>
        <v>0</v>
      </c>
      <c r="T149" s="294"/>
      <c r="U149" s="295">
        <f t="shared" si="68"/>
        <v>0</v>
      </c>
      <c r="V149" s="296"/>
      <c r="W149" s="297"/>
      <c r="X149" s="298"/>
      <c r="Y149" s="292" t="str">
        <f t="shared" si="69"/>
        <v/>
      </c>
      <c r="Z149" s="366">
        <f t="shared" si="70"/>
        <v>0</v>
      </c>
      <c r="AA149" s="299" t="str">
        <f t="shared" si="71"/>
        <v/>
      </c>
      <c r="AB149" s="300"/>
      <c r="AC149" s="301"/>
      <c r="AD149" s="302"/>
      <c r="AE149" s="303"/>
      <c r="AF149" s="304"/>
      <c r="AG149" s="304"/>
      <c r="AH149" s="304"/>
      <c r="AI149" s="304"/>
      <c r="AJ149" s="304"/>
      <c r="AK149" s="305"/>
      <c r="AL149" s="283"/>
      <c r="AM149" s="284"/>
    </row>
    <row r="150" ht="15.75" customHeight="1">
      <c r="A150" s="282">
        <f t="shared" si="1"/>
        <v>146</v>
      </c>
      <c r="B150" s="283"/>
      <c r="C150" s="284"/>
      <c r="D150" s="338"/>
      <c r="E150" s="286"/>
      <c r="F150" s="287"/>
      <c r="G150" s="288" t="str">
        <f>+IFERROR(VLOOKUP(F150,NVL!$B:$C,2,0),"")</f>
        <v/>
      </c>
      <c r="H150" s="288" t="str">
        <f>+IFERROR(VLOOKUP(F150,NVL!$B:$D,3,0),"")</f>
        <v/>
      </c>
      <c r="I150" s="288" t="str">
        <f>+IFERROR(VLOOKUP(F150,NVL!$B:$F,4,0),"")</f>
        <v/>
      </c>
      <c r="J150" s="289"/>
      <c r="K150" s="290"/>
      <c r="L150" s="291" t="str">
        <f>+IFERROR(VLOOKUP(K150,'THÀNH PHẨM'!$B:$F,3,0),"")</f>
        <v/>
      </c>
      <c r="M150" s="291" t="str">
        <f>+IFERROR(VLOOKUP(K150,'THÀNH PHẨM'!$B:$F,4,0),"")</f>
        <v/>
      </c>
      <c r="N150" s="291" t="str">
        <f>+IFERROR(VLOOKUP(K150,'THÀNH PHẨM'!$B:$F,5,0),"")</f>
        <v/>
      </c>
      <c r="O150" s="289"/>
      <c r="P150" s="292">
        <f t="shared" si="2"/>
        <v>0</v>
      </c>
      <c r="Q150" s="289"/>
      <c r="R150" s="289"/>
      <c r="S150" s="293">
        <f t="shared" si="62"/>
        <v>0</v>
      </c>
      <c r="T150" s="294"/>
      <c r="U150" s="295">
        <f t="shared" si="68"/>
        <v>0</v>
      </c>
      <c r="V150" s="296"/>
      <c r="W150" s="297"/>
      <c r="X150" s="298"/>
      <c r="Y150" s="292" t="str">
        <f t="shared" si="69"/>
        <v/>
      </c>
      <c r="Z150" s="366">
        <f t="shared" si="70"/>
        <v>0</v>
      </c>
      <c r="AA150" s="299" t="str">
        <f t="shared" si="71"/>
        <v/>
      </c>
      <c r="AB150" s="300"/>
      <c r="AC150" s="301"/>
      <c r="AD150" s="302"/>
      <c r="AE150" s="303"/>
      <c r="AF150" s="304"/>
      <c r="AG150" s="304"/>
      <c r="AH150" s="304"/>
      <c r="AI150" s="304"/>
      <c r="AJ150" s="304"/>
      <c r="AK150" s="305"/>
      <c r="AL150" s="283"/>
      <c r="AM150" s="284"/>
    </row>
    <row r="151" ht="15.75" customHeight="1">
      <c r="A151" s="282">
        <f t="shared" si="1"/>
        <v>147</v>
      </c>
      <c r="B151" s="283"/>
      <c r="C151" s="284"/>
      <c r="D151" s="338"/>
      <c r="E151" s="286"/>
      <c r="F151" s="287"/>
      <c r="G151" s="288" t="str">
        <f>+IFERROR(VLOOKUP(F151,NVL!$B:$C,2,0),"")</f>
        <v/>
      </c>
      <c r="H151" s="288" t="str">
        <f>+IFERROR(VLOOKUP(F151,NVL!$B:$D,3,0),"")</f>
        <v/>
      </c>
      <c r="I151" s="288" t="str">
        <f>+IFERROR(VLOOKUP(F151,NVL!$B:$F,4,0),"")</f>
        <v/>
      </c>
      <c r="J151" s="289"/>
      <c r="K151" s="290"/>
      <c r="L151" s="291" t="str">
        <f>+IFERROR(VLOOKUP(K151,'THÀNH PHẨM'!$B:$F,3,0),"")</f>
        <v/>
      </c>
      <c r="M151" s="291" t="str">
        <f>+IFERROR(VLOOKUP(K151,'THÀNH PHẨM'!$B:$F,4,0),"")</f>
        <v/>
      </c>
      <c r="N151" s="291" t="str">
        <f>+IFERROR(VLOOKUP(K151,'THÀNH PHẨM'!$B:$F,5,0),"")</f>
        <v/>
      </c>
      <c r="O151" s="289"/>
      <c r="P151" s="292">
        <f t="shared" si="2"/>
        <v>0</v>
      </c>
      <c r="Q151" s="289"/>
      <c r="R151" s="289"/>
      <c r="S151" s="293">
        <f t="shared" si="62"/>
        <v>0</v>
      </c>
      <c r="T151" s="294"/>
      <c r="U151" s="295">
        <f t="shared" si="68"/>
        <v>0</v>
      </c>
      <c r="V151" s="296"/>
      <c r="W151" s="297"/>
      <c r="X151" s="298"/>
      <c r="Y151" s="292" t="str">
        <f t="shared" si="69"/>
        <v/>
      </c>
      <c r="Z151" s="366">
        <f t="shared" si="70"/>
        <v>0</v>
      </c>
      <c r="AA151" s="299" t="str">
        <f t="shared" si="71"/>
        <v/>
      </c>
      <c r="AB151" s="300"/>
      <c r="AC151" s="301"/>
      <c r="AD151" s="302"/>
      <c r="AE151" s="303"/>
      <c r="AF151" s="304"/>
      <c r="AG151" s="304"/>
      <c r="AH151" s="304"/>
      <c r="AI151" s="304"/>
      <c r="AJ151" s="304"/>
      <c r="AK151" s="305"/>
      <c r="AL151" s="283"/>
      <c r="AM151" s="284"/>
    </row>
    <row r="152" ht="15.75" customHeight="1">
      <c r="A152" s="282">
        <f t="shared" si="1"/>
        <v>148</v>
      </c>
      <c r="B152" s="283"/>
      <c r="C152" s="284"/>
      <c r="D152" s="338"/>
      <c r="E152" s="286"/>
      <c r="F152" s="287"/>
      <c r="G152" s="288" t="str">
        <f>+IFERROR(VLOOKUP(F152,NVL!$B:$C,2,0),"")</f>
        <v/>
      </c>
      <c r="H152" s="288" t="str">
        <f>+IFERROR(VLOOKUP(F152,NVL!$B:$D,3,0),"")</f>
        <v/>
      </c>
      <c r="I152" s="288" t="str">
        <f>+IFERROR(VLOOKUP(F152,NVL!$B:$F,4,0),"")</f>
        <v/>
      </c>
      <c r="J152" s="289"/>
      <c r="K152" s="290"/>
      <c r="L152" s="291" t="str">
        <f>+IFERROR(VLOOKUP(K152,'THÀNH PHẨM'!$B:$F,3,0),"")</f>
        <v/>
      </c>
      <c r="M152" s="291" t="str">
        <f>+IFERROR(VLOOKUP(K152,'THÀNH PHẨM'!$B:$F,4,0),"")</f>
        <v/>
      </c>
      <c r="N152" s="291" t="str">
        <f>+IFERROR(VLOOKUP(K152,'THÀNH PHẨM'!$B:$F,5,0),"")</f>
        <v/>
      </c>
      <c r="O152" s="289"/>
      <c r="P152" s="292">
        <f t="shared" si="2"/>
        <v>0</v>
      </c>
      <c r="Q152" s="289"/>
      <c r="R152" s="289"/>
      <c r="S152" s="293">
        <f t="shared" si="62"/>
        <v>0</v>
      </c>
      <c r="T152" s="294"/>
      <c r="U152" s="295">
        <f t="shared" si="68"/>
        <v>0</v>
      </c>
      <c r="V152" s="296"/>
      <c r="W152" s="297"/>
      <c r="X152" s="298"/>
      <c r="Y152" s="292" t="str">
        <f t="shared" si="69"/>
        <v/>
      </c>
      <c r="Z152" s="366">
        <f t="shared" si="70"/>
        <v>0</v>
      </c>
      <c r="AA152" s="299" t="str">
        <f t="shared" si="71"/>
        <v/>
      </c>
      <c r="AB152" s="300"/>
      <c r="AC152" s="301"/>
      <c r="AD152" s="302"/>
      <c r="AE152" s="303"/>
      <c r="AF152" s="304"/>
      <c r="AG152" s="304"/>
      <c r="AH152" s="304"/>
      <c r="AI152" s="304"/>
      <c r="AJ152" s="304"/>
      <c r="AK152" s="305"/>
      <c r="AL152" s="283"/>
      <c r="AM152" s="284"/>
    </row>
    <row r="153" ht="15.75" customHeight="1">
      <c r="A153" s="282">
        <f t="shared" si="1"/>
        <v>149</v>
      </c>
      <c r="B153" s="283"/>
      <c r="C153" s="284"/>
      <c r="D153" s="338"/>
      <c r="E153" s="286"/>
      <c r="F153" s="287"/>
      <c r="G153" s="288" t="str">
        <f>+IFERROR(VLOOKUP(F153,NVL!$B:$C,2,0),"")</f>
        <v/>
      </c>
      <c r="H153" s="288" t="str">
        <f>+IFERROR(VLOOKUP(F153,NVL!$B:$D,3,0),"")</f>
        <v/>
      </c>
      <c r="I153" s="288" t="str">
        <f>+IFERROR(VLOOKUP(F153,NVL!$B:$F,4,0),"")</f>
        <v/>
      </c>
      <c r="J153" s="289"/>
      <c r="K153" s="290"/>
      <c r="L153" s="291" t="str">
        <f>+IFERROR(VLOOKUP(K153,'THÀNH PHẨM'!$B:$F,3,0),"")</f>
        <v/>
      </c>
      <c r="M153" s="291" t="str">
        <f>+IFERROR(VLOOKUP(K153,'THÀNH PHẨM'!$B:$F,4,0),"")</f>
        <v/>
      </c>
      <c r="N153" s="291" t="str">
        <f>+IFERROR(VLOOKUP(K153,'THÀNH PHẨM'!$B:$F,5,0),"")</f>
        <v/>
      </c>
      <c r="O153" s="289"/>
      <c r="P153" s="292">
        <f t="shared" si="2"/>
        <v>0</v>
      </c>
      <c r="Q153" s="289"/>
      <c r="R153" s="289"/>
      <c r="S153" s="293">
        <f t="shared" si="62"/>
        <v>0</v>
      </c>
      <c r="T153" s="294"/>
      <c r="U153" s="295">
        <f t="shared" si="68"/>
        <v>0</v>
      </c>
      <c r="V153" s="296"/>
      <c r="W153" s="297"/>
      <c r="X153" s="298"/>
      <c r="Y153" s="292" t="str">
        <f t="shared" si="69"/>
        <v/>
      </c>
      <c r="Z153" s="366">
        <f t="shared" si="70"/>
        <v>0</v>
      </c>
      <c r="AA153" s="299" t="str">
        <f t="shared" si="71"/>
        <v/>
      </c>
      <c r="AB153" s="300"/>
      <c r="AC153" s="301"/>
      <c r="AD153" s="302"/>
      <c r="AE153" s="303"/>
      <c r="AF153" s="304"/>
      <c r="AG153" s="304"/>
      <c r="AH153" s="304"/>
      <c r="AI153" s="304"/>
      <c r="AJ153" s="304"/>
      <c r="AK153" s="305"/>
      <c r="AL153" s="283"/>
      <c r="AM153" s="284"/>
    </row>
    <row r="154" ht="15.75" customHeight="1">
      <c r="A154" s="282">
        <f t="shared" si="1"/>
        <v>150</v>
      </c>
      <c r="B154" s="283"/>
      <c r="C154" s="284"/>
      <c r="D154" s="338"/>
      <c r="E154" s="286"/>
      <c r="F154" s="287"/>
      <c r="G154" s="288" t="str">
        <f>+IFERROR(VLOOKUP(F154,NVL!$B:$C,2,0),"")</f>
        <v/>
      </c>
      <c r="H154" s="288" t="str">
        <f>+IFERROR(VLOOKUP(F154,NVL!$B:$D,3,0),"")</f>
        <v/>
      </c>
      <c r="I154" s="288" t="str">
        <f>+IFERROR(VLOOKUP(F154,NVL!$B:$F,4,0),"")</f>
        <v/>
      </c>
      <c r="J154" s="289"/>
      <c r="K154" s="290"/>
      <c r="L154" s="291" t="str">
        <f>+IFERROR(VLOOKUP(K154,'THÀNH PHẨM'!$B:$F,3,0),"")</f>
        <v/>
      </c>
      <c r="M154" s="291" t="str">
        <f>+IFERROR(VLOOKUP(K154,'THÀNH PHẨM'!$B:$F,4,0),"")</f>
        <v/>
      </c>
      <c r="N154" s="291" t="str">
        <f>+IFERROR(VLOOKUP(K154,'THÀNH PHẨM'!$B:$F,5,0),"")</f>
        <v/>
      </c>
      <c r="O154" s="289"/>
      <c r="P154" s="292">
        <f t="shared" si="2"/>
        <v>0</v>
      </c>
      <c r="Q154" s="289"/>
      <c r="R154" s="289"/>
      <c r="S154" s="293">
        <f t="shared" si="62"/>
        <v>0</v>
      </c>
      <c r="T154" s="294"/>
      <c r="U154" s="295">
        <f t="shared" si="68"/>
        <v>0</v>
      </c>
      <c r="V154" s="296"/>
      <c r="W154" s="297"/>
      <c r="X154" s="298"/>
      <c r="Y154" s="292" t="str">
        <f t="shared" si="69"/>
        <v/>
      </c>
      <c r="Z154" s="366">
        <f t="shared" si="70"/>
        <v>0</v>
      </c>
      <c r="AA154" s="299" t="str">
        <f t="shared" si="71"/>
        <v/>
      </c>
      <c r="AB154" s="300"/>
      <c r="AC154" s="301"/>
      <c r="AD154" s="302"/>
      <c r="AE154" s="303"/>
      <c r="AF154" s="304"/>
      <c r="AG154" s="304"/>
      <c r="AH154" s="304"/>
      <c r="AI154" s="304"/>
      <c r="AJ154" s="304"/>
      <c r="AK154" s="305"/>
      <c r="AL154" s="283"/>
      <c r="AM154" s="284"/>
    </row>
    <row r="155" ht="15.75" customHeight="1">
      <c r="A155" s="282">
        <f t="shared" si="1"/>
        <v>151</v>
      </c>
      <c r="B155" s="283"/>
      <c r="C155" s="284"/>
      <c r="D155" s="338"/>
      <c r="E155" s="286"/>
      <c r="F155" s="287"/>
      <c r="G155" s="288" t="str">
        <f>+IFERROR(VLOOKUP(F155,NVL!$B:$C,2,0),"")</f>
        <v/>
      </c>
      <c r="H155" s="288" t="str">
        <f>+IFERROR(VLOOKUP(F155,NVL!$B:$D,3,0),"")</f>
        <v/>
      </c>
      <c r="I155" s="288" t="str">
        <f>+IFERROR(VLOOKUP(F155,NVL!$B:$F,4,0),"")</f>
        <v/>
      </c>
      <c r="J155" s="289"/>
      <c r="K155" s="290"/>
      <c r="L155" s="291" t="str">
        <f>+IFERROR(VLOOKUP(K155,'THÀNH PHẨM'!$B:$F,3,0),"")</f>
        <v/>
      </c>
      <c r="M155" s="291" t="str">
        <f>+IFERROR(VLOOKUP(K155,'THÀNH PHẨM'!$B:$F,4,0),"")</f>
        <v/>
      </c>
      <c r="N155" s="291" t="str">
        <f>+IFERROR(VLOOKUP(K155,'THÀNH PHẨM'!$B:$F,5,0),"")</f>
        <v/>
      </c>
      <c r="O155" s="289"/>
      <c r="P155" s="292">
        <f t="shared" si="2"/>
        <v>0</v>
      </c>
      <c r="Q155" s="289"/>
      <c r="R155" s="289"/>
      <c r="S155" s="293">
        <f t="shared" si="62"/>
        <v>0</v>
      </c>
      <c r="T155" s="294"/>
      <c r="U155" s="295">
        <f t="shared" si="68"/>
        <v>0</v>
      </c>
      <c r="V155" s="296"/>
      <c r="W155" s="297"/>
      <c r="X155" s="298"/>
      <c r="Y155" s="292" t="str">
        <f t="shared" si="69"/>
        <v/>
      </c>
      <c r="Z155" s="366">
        <f t="shared" si="70"/>
        <v>0</v>
      </c>
      <c r="AA155" s="299" t="str">
        <f t="shared" si="71"/>
        <v/>
      </c>
      <c r="AB155" s="300"/>
      <c r="AC155" s="301"/>
      <c r="AD155" s="302"/>
      <c r="AE155" s="303"/>
      <c r="AF155" s="304"/>
      <c r="AG155" s="304"/>
      <c r="AH155" s="304"/>
      <c r="AI155" s="304"/>
      <c r="AJ155" s="304"/>
      <c r="AK155" s="305"/>
      <c r="AL155" s="283"/>
      <c r="AM155" s="284"/>
    </row>
    <row r="156" ht="15.75" customHeight="1">
      <c r="A156" s="282">
        <f t="shared" si="1"/>
        <v>152</v>
      </c>
      <c r="B156" s="283"/>
      <c r="C156" s="284"/>
      <c r="D156" s="338"/>
      <c r="E156" s="286"/>
      <c r="F156" s="287"/>
      <c r="G156" s="288" t="str">
        <f>+IFERROR(VLOOKUP(F156,NVL!$B:$C,2,0),"")</f>
        <v/>
      </c>
      <c r="H156" s="288" t="str">
        <f>+IFERROR(VLOOKUP(F156,NVL!$B:$D,3,0),"")</f>
        <v/>
      </c>
      <c r="I156" s="288" t="str">
        <f>+IFERROR(VLOOKUP(F156,NVL!$B:$F,4,0),"")</f>
        <v/>
      </c>
      <c r="J156" s="289"/>
      <c r="K156" s="290"/>
      <c r="L156" s="291" t="str">
        <f>+IFERROR(VLOOKUP(K156,'THÀNH PHẨM'!$B:$F,3,0),"")</f>
        <v/>
      </c>
      <c r="M156" s="291" t="str">
        <f>+IFERROR(VLOOKUP(K156,'THÀNH PHẨM'!$B:$F,4,0),"")</f>
        <v/>
      </c>
      <c r="N156" s="291" t="str">
        <f>+IFERROR(VLOOKUP(K156,'THÀNH PHẨM'!$B:$F,5,0),"")</f>
        <v/>
      </c>
      <c r="O156" s="289"/>
      <c r="P156" s="292">
        <f t="shared" si="2"/>
        <v>0</v>
      </c>
      <c r="Q156" s="289"/>
      <c r="R156" s="289"/>
      <c r="S156" s="293">
        <f t="shared" si="62"/>
        <v>0</v>
      </c>
      <c r="T156" s="294"/>
      <c r="U156" s="295">
        <f t="shared" si="68"/>
        <v>0</v>
      </c>
      <c r="V156" s="296"/>
      <c r="W156" s="297"/>
      <c r="X156" s="298"/>
      <c r="Y156" s="292" t="str">
        <f t="shared" si="69"/>
        <v/>
      </c>
      <c r="Z156" s="366">
        <f t="shared" si="70"/>
        <v>0</v>
      </c>
      <c r="AA156" s="299" t="str">
        <f t="shared" si="71"/>
        <v/>
      </c>
      <c r="AB156" s="300"/>
      <c r="AC156" s="301"/>
      <c r="AD156" s="302"/>
      <c r="AE156" s="303"/>
      <c r="AF156" s="304"/>
      <c r="AG156" s="304"/>
      <c r="AH156" s="304"/>
      <c r="AI156" s="304"/>
      <c r="AJ156" s="304"/>
      <c r="AK156" s="305"/>
      <c r="AL156" s="283"/>
      <c r="AM156" s="284"/>
    </row>
    <row r="157" ht="15.75" customHeight="1">
      <c r="A157" s="282">
        <f t="shared" si="1"/>
        <v>153</v>
      </c>
      <c r="B157" s="283"/>
      <c r="C157" s="284"/>
      <c r="D157" s="338"/>
      <c r="E157" s="286"/>
      <c r="F157" s="287"/>
      <c r="G157" s="288" t="str">
        <f>+IFERROR(VLOOKUP(F157,NVL!$B:$C,2,0),"")</f>
        <v/>
      </c>
      <c r="H157" s="288" t="str">
        <f>+IFERROR(VLOOKUP(F157,NVL!$B:$D,3,0),"")</f>
        <v/>
      </c>
      <c r="I157" s="288" t="str">
        <f>+IFERROR(VLOOKUP(F157,NVL!$B:$F,4,0),"")</f>
        <v/>
      </c>
      <c r="J157" s="289"/>
      <c r="K157" s="290"/>
      <c r="L157" s="291" t="str">
        <f>+IFERROR(VLOOKUP(K157,'THÀNH PHẨM'!$B:$F,3,0),"")</f>
        <v/>
      </c>
      <c r="M157" s="291" t="str">
        <f>+IFERROR(VLOOKUP(K157,'THÀNH PHẨM'!$B:$F,4,0),"")</f>
        <v/>
      </c>
      <c r="N157" s="291" t="str">
        <f>+IFERROR(VLOOKUP(K157,'THÀNH PHẨM'!$B:$F,5,0),"")</f>
        <v/>
      </c>
      <c r="O157" s="289"/>
      <c r="P157" s="292">
        <f t="shared" si="2"/>
        <v>0</v>
      </c>
      <c r="Q157" s="289"/>
      <c r="R157" s="289"/>
      <c r="S157" s="293">
        <f t="shared" si="62"/>
        <v>0</v>
      </c>
      <c r="T157" s="294"/>
      <c r="U157" s="295">
        <f t="shared" si="68"/>
        <v>0</v>
      </c>
      <c r="V157" s="296"/>
      <c r="W157" s="297"/>
      <c r="X157" s="298"/>
      <c r="Y157" s="292" t="str">
        <f t="shared" si="69"/>
        <v/>
      </c>
      <c r="Z157" s="366">
        <f t="shared" si="70"/>
        <v>0</v>
      </c>
      <c r="AA157" s="299" t="str">
        <f t="shared" si="71"/>
        <v/>
      </c>
      <c r="AB157" s="300"/>
      <c r="AC157" s="301"/>
      <c r="AD157" s="302"/>
      <c r="AE157" s="303"/>
      <c r="AF157" s="304"/>
      <c r="AG157" s="304"/>
      <c r="AH157" s="304"/>
      <c r="AI157" s="304"/>
      <c r="AJ157" s="304"/>
      <c r="AK157" s="305"/>
      <c r="AL157" s="283"/>
      <c r="AM157" s="284"/>
    </row>
    <row r="158" ht="15.75" customHeight="1">
      <c r="A158" s="282">
        <f t="shared" si="1"/>
        <v>154</v>
      </c>
      <c r="B158" s="283"/>
      <c r="C158" s="284"/>
      <c r="D158" s="338"/>
      <c r="E158" s="286"/>
      <c r="F158" s="287"/>
      <c r="G158" s="288" t="str">
        <f>+IFERROR(VLOOKUP(F158,NVL!$B:$C,2,0),"")</f>
        <v/>
      </c>
      <c r="H158" s="288" t="str">
        <f>+IFERROR(VLOOKUP(F158,NVL!$B:$D,3,0),"")</f>
        <v/>
      </c>
      <c r="I158" s="288" t="str">
        <f>+IFERROR(VLOOKUP(F158,NVL!$B:$F,4,0),"")</f>
        <v/>
      </c>
      <c r="J158" s="289"/>
      <c r="K158" s="290"/>
      <c r="L158" s="291" t="str">
        <f>+IFERROR(VLOOKUP(K158,'THÀNH PHẨM'!$B:$F,3,0),"")</f>
        <v/>
      </c>
      <c r="M158" s="291" t="str">
        <f>+IFERROR(VLOOKUP(K158,'THÀNH PHẨM'!$B:$F,4,0),"")</f>
        <v/>
      </c>
      <c r="N158" s="291" t="str">
        <f>+IFERROR(VLOOKUP(K158,'THÀNH PHẨM'!$B:$F,5,0),"")</f>
        <v/>
      </c>
      <c r="O158" s="289"/>
      <c r="P158" s="292">
        <f t="shared" si="2"/>
        <v>0</v>
      </c>
      <c r="Q158" s="289"/>
      <c r="R158" s="289"/>
      <c r="S158" s="293">
        <f t="shared" si="62"/>
        <v>0</v>
      </c>
      <c r="T158" s="294"/>
      <c r="U158" s="295">
        <f t="shared" si="68"/>
        <v>0</v>
      </c>
      <c r="V158" s="296"/>
      <c r="W158" s="297"/>
      <c r="X158" s="298"/>
      <c r="Y158" s="292" t="str">
        <f t="shared" si="69"/>
        <v/>
      </c>
      <c r="Z158" s="366">
        <f t="shared" si="70"/>
        <v>0</v>
      </c>
      <c r="AA158" s="299" t="str">
        <f t="shared" si="71"/>
        <v/>
      </c>
      <c r="AB158" s="300"/>
      <c r="AC158" s="301"/>
      <c r="AD158" s="302"/>
      <c r="AE158" s="303"/>
      <c r="AF158" s="304"/>
      <c r="AG158" s="304"/>
      <c r="AH158" s="304"/>
      <c r="AI158" s="304"/>
      <c r="AJ158" s="304"/>
      <c r="AK158" s="305"/>
      <c r="AL158" s="283"/>
      <c r="AM158" s="284"/>
    </row>
    <row r="159" ht="15.75" customHeight="1">
      <c r="A159" s="282">
        <f t="shared" si="1"/>
        <v>155</v>
      </c>
      <c r="B159" s="283"/>
      <c r="C159" s="284"/>
      <c r="D159" s="338"/>
      <c r="E159" s="286"/>
      <c r="F159" s="287"/>
      <c r="G159" s="288" t="str">
        <f>+IFERROR(VLOOKUP(F159,NVL!$B:$C,2,0),"")</f>
        <v/>
      </c>
      <c r="H159" s="288" t="str">
        <f>+IFERROR(VLOOKUP(F159,NVL!$B:$D,3,0),"")</f>
        <v/>
      </c>
      <c r="I159" s="288" t="str">
        <f>+IFERROR(VLOOKUP(F159,NVL!$B:$F,4,0),"")</f>
        <v/>
      </c>
      <c r="J159" s="289"/>
      <c r="K159" s="290"/>
      <c r="L159" s="291" t="str">
        <f>+IFERROR(VLOOKUP(K159,'THÀNH PHẨM'!$B:$F,3,0),"")</f>
        <v/>
      </c>
      <c r="M159" s="291" t="str">
        <f>+IFERROR(VLOOKUP(K159,'THÀNH PHẨM'!$B:$F,4,0),"")</f>
        <v/>
      </c>
      <c r="N159" s="291" t="str">
        <f>+IFERROR(VLOOKUP(K159,'THÀNH PHẨM'!$B:$F,5,0),"")</f>
        <v/>
      </c>
      <c r="O159" s="289"/>
      <c r="P159" s="292">
        <f t="shared" si="2"/>
        <v>0</v>
      </c>
      <c r="Q159" s="289"/>
      <c r="R159" s="289"/>
      <c r="S159" s="293">
        <f t="shared" si="62"/>
        <v>0</v>
      </c>
      <c r="T159" s="294"/>
      <c r="U159" s="295">
        <f t="shared" si="68"/>
        <v>0</v>
      </c>
      <c r="V159" s="296"/>
      <c r="W159" s="297"/>
      <c r="X159" s="298"/>
      <c r="Y159" s="292" t="str">
        <f t="shared" si="69"/>
        <v/>
      </c>
      <c r="Z159" s="366">
        <f t="shared" si="70"/>
        <v>0</v>
      </c>
      <c r="AA159" s="299" t="str">
        <f t="shared" si="71"/>
        <v/>
      </c>
      <c r="AB159" s="300"/>
      <c r="AC159" s="301"/>
      <c r="AD159" s="302"/>
      <c r="AE159" s="303"/>
      <c r="AF159" s="304"/>
      <c r="AG159" s="304"/>
      <c r="AH159" s="304"/>
      <c r="AI159" s="304"/>
      <c r="AJ159" s="304"/>
      <c r="AK159" s="305"/>
      <c r="AL159" s="283"/>
      <c r="AM159" s="284"/>
    </row>
    <row r="160" ht="15.75" customHeight="1">
      <c r="A160" s="282">
        <f t="shared" si="1"/>
        <v>156</v>
      </c>
      <c r="B160" s="283"/>
      <c r="C160" s="284"/>
      <c r="D160" s="338"/>
      <c r="E160" s="286"/>
      <c r="F160" s="287"/>
      <c r="G160" s="288" t="str">
        <f>+IFERROR(VLOOKUP(F160,NVL!$B:$C,2,0),"")</f>
        <v/>
      </c>
      <c r="H160" s="288" t="str">
        <f>+IFERROR(VLOOKUP(F160,NVL!$B:$D,3,0),"")</f>
        <v/>
      </c>
      <c r="I160" s="288" t="str">
        <f>+IFERROR(VLOOKUP(F160,NVL!$B:$F,4,0),"")</f>
        <v/>
      </c>
      <c r="J160" s="289"/>
      <c r="K160" s="290"/>
      <c r="L160" s="291" t="str">
        <f>+IFERROR(VLOOKUP(K160,'THÀNH PHẨM'!$B:$F,3,0),"")</f>
        <v/>
      </c>
      <c r="M160" s="291" t="str">
        <f>+IFERROR(VLOOKUP(K160,'THÀNH PHẨM'!$B:$F,4,0),"")</f>
        <v/>
      </c>
      <c r="N160" s="291" t="str">
        <f>+IFERROR(VLOOKUP(K160,'THÀNH PHẨM'!$B:$F,5,0),"")</f>
        <v/>
      </c>
      <c r="O160" s="289"/>
      <c r="P160" s="292">
        <f t="shared" si="2"/>
        <v>0</v>
      </c>
      <c r="Q160" s="289"/>
      <c r="R160" s="289"/>
      <c r="S160" s="293">
        <f t="shared" si="62"/>
        <v>0</v>
      </c>
      <c r="T160" s="294"/>
      <c r="U160" s="295">
        <f t="shared" si="68"/>
        <v>0</v>
      </c>
      <c r="V160" s="296"/>
      <c r="W160" s="297"/>
      <c r="X160" s="298"/>
      <c r="Y160" s="292" t="str">
        <f t="shared" si="69"/>
        <v/>
      </c>
      <c r="Z160" s="366">
        <f t="shared" si="70"/>
        <v>0</v>
      </c>
      <c r="AA160" s="299" t="str">
        <f t="shared" si="71"/>
        <v/>
      </c>
      <c r="AB160" s="300"/>
      <c r="AC160" s="301"/>
      <c r="AD160" s="302"/>
      <c r="AE160" s="303"/>
      <c r="AF160" s="304"/>
      <c r="AG160" s="304"/>
      <c r="AH160" s="304"/>
      <c r="AI160" s="304"/>
      <c r="AJ160" s="304"/>
      <c r="AK160" s="305"/>
      <c r="AL160" s="283"/>
      <c r="AM160" s="284"/>
    </row>
    <row r="161" ht="15.75" customHeight="1">
      <c r="A161" s="282">
        <f t="shared" si="1"/>
        <v>157</v>
      </c>
      <c r="B161" s="283"/>
      <c r="C161" s="284"/>
      <c r="D161" s="338"/>
      <c r="E161" s="286"/>
      <c r="F161" s="287"/>
      <c r="G161" s="288" t="str">
        <f>+IFERROR(VLOOKUP(F161,NVL!$B:$C,2,0),"")</f>
        <v/>
      </c>
      <c r="H161" s="288" t="str">
        <f>+IFERROR(VLOOKUP(F161,NVL!$B:$D,3,0),"")</f>
        <v/>
      </c>
      <c r="I161" s="288" t="str">
        <f>+IFERROR(VLOOKUP(F161,NVL!$B:$F,4,0),"")</f>
        <v/>
      </c>
      <c r="J161" s="289"/>
      <c r="K161" s="290"/>
      <c r="L161" s="291" t="str">
        <f>+IFERROR(VLOOKUP(K161,'THÀNH PHẨM'!$B:$F,3,0),"")</f>
        <v/>
      </c>
      <c r="M161" s="291" t="str">
        <f>+IFERROR(VLOOKUP(K161,'THÀNH PHẨM'!$B:$F,4,0),"")</f>
        <v/>
      </c>
      <c r="N161" s="291" t="str">
        <f>+IFERROR(VLOOKUP(K161,'THÀNH PHẨM'!$B:$F,5,0),"")</f>
        <v/>
      </c>
      <c r="O161" s="289"/>
      <c r="P161" s="292">
        <f t="shared" si="2"/>
        <v>0</v>
      </c>
      <c r="Q161" s="289"/>
      <c r="R161" s="289"/>
      <c r="S161" s="293">
        <f t="shared" si="62"/>
        <v>0</v>
      </c>
      <c r="T161" s="294"/>
      <c r="U161" s="295">
        <f t="shared" si="68"/>
        <v>0</v>
      </c>
      <c r="V161" s="296"/>
      <c r="W161" s="297"/>
      <c r="X161" s="298"/>
      <c r="Y161" s="292" t="str">
        <f t="shared" si="69"/>
        <v/>
      </c>
      <c r="Z161" s="366">
        <f t="shared" si="70"/>
        <v>0</v>
      </c>
      <c r="AA161" s="299" t="str">
        <f t="shared" si="71"/>
        <v/>
      </c>
      <c r="AB161" s="300"/>
      <c r="AC161" s="301"/>
      <c r="AD161" s="302"/>
      <c r="AE161" s="303"/>
      <c r="AF161" s="304"/>
      <c r="AG161" s="304"/>
      <c r="AH161" s="304"/>
      <c r="AI161" s="304"/>
      <c r="AJ161" s="304"/>
      <c r="AK161" s="305"/>
      <c r="AL161" s="283"/>
      <c r="AM161" s="284"/>
    </row>
    <row r="162" ht="15.75" customHeight="1">
      <c r="A162" s="282">
        <f t="shared" si="1"/>
        <v>158</v>
      </c>
      <c r="B162" s="283"/>
      <c r="C162" s="284"/>
      <c r="D162" s="338"/>
      <c r="E162" s="286"/>
      <c r="F162" s="287"/>
      <c r="G162" s="288" t="str">
        <f>+IFERROR(VLOOKUP(F162,NVL!$B:$C,2,0),"")</f>
        <v/>
      </c>
      <c r="H162" s="288" t="str">
        <f>+IFERROR(VLOOKUP(F162,NVL!$B:$D,3,0),"")</f>
        <v/>
      </c>
      <c r="I162" s="288" t="str">
        <f>+IFERROR(VLOOKUP(F162,NVL!$B:$F,4,0),"")</f>
        <v/>
      </c>
      <c r="J162" s="289"/>
      <c r="K162" s="290"/>
      <c r="L162" s="291" t="str">
        <f>+IFERROR(VLOOKUP(K162,'THÀNH PHẨM'!$B:$F,3,0),"")</f>
        <v/>
      </c>
      <c r="M162" s="291" t="str">
        <f>+IFERROR(VLOOKUP(K162,'THÀNH PHẨM'!$B:$F,4,0),"")</f>
        <v/>
      </c>
      <c r="N162" s="291" t="str">
        <f>+IFERROR(VLOOKUP(K162,'THÀNH PHẨM'!$B:$F,5,0),"")</f>
        <v/>
      </c>
      <c r="O162" s="289"/>
      <c r="P162" s="292">
        <f t="shared" si="2"/>
        <v>0</v>
      </c>
      <c r="Q162" s="289"/>
      <c r="R162" s="289"/>
      <c r="S162" s="293">
        <f t="shared" si="62"/>
        <v>0</v>
      </c>
      <c r="T162" s="294"/>
      <c r="U162" s="295">
        <f t="shared" si="68"/>
        <v>0</v>
      </c>
      <c r="V162" s="296"/>
      <c r="W162" s="297"/>
      <c r="X162" s="298"/>
      <c r="Y162" s="292" t="str">
        <f t="shared" si="69"/>
        <v/>
      </c>
      <c r="Z162" s="366">
        <f t="shared" si="70"/>
        <v>0</v>
      </c>
      <c r="AA162" s="299" t="str">
        <f t="shared" si="71"/>
        <v/>
      </c>
      <c r="AB162" s="300"/>
      <c r="AC162" s="301"/>
      <c r="AD162" s="302"/>
      <c r="AE162" s="303"/>
      <c r="AF162" s="304"/>
      <c r="AG162" s="304"/>
      <c r="AH162" s="304"/>
      <c r="AI162" s="304"/>
      <c r="AJ162" s="304"/>
      <c r="AK162" s="305"/>
      <c r="AL162" s="283"/>
      <c r="AM162" s="284"/>
    </row>
    <row r="163" ht="15.75" customHeight="1">
      <c r="A163" s="282">
        <f t="shared" si="1"/>
        <v>159</v>
      </c>
      <c r="B163" s="283"/>
      <c r="C163" s="284"/>
      <c r="D163" s="338"/>
      <c r="E163" s="286"/>
      <c r="F163" s="287"/>
      <c r="G163" s="288" t="str">
        <f>+IFERROR(VLOOKUP(F163,NVL!$B:$C,2,0),"")</f>
        <v/>
      </c>
      <c r="H163" s="288" t="str">
        <f>+IFERROR(VLOOKUP(F163,NVL!$B:$D,3,0),"")</f>
        <v/>
      </c>
      <c r="I163" s="288" t="str">
        <f>+IFERROR(VLOOKUP(F163,NVL!$B:$F,4,0),"")</f>
        <v/>
      </c>
      <c r="J163" s="289"/>
      <c r="K163" s="290"/>
      <c r="L163" s="291" t="str">
        <f>+IFERROR(VLOOKUP(K163,'THÀNH PHẨM'!$B:$F,3,0),"")</f>
        <v/>
      </c>
      <c r="M163" s="291" t="str">
        <f>+IFERROR(VLOOKUP(K163,'THÀNH PHẨM'!$B:$F,4,0),"")</f>
        <v/>
      </c>
      <c r="N163" s="291" t="str">
        <f>+IFERROR(VLOOKUP(K163,'THÀNH PHẨM'!$B:$F,5,0),"")</f>
        <v/>
      </c>
      <c r="O163" s="289"/>
      <c r="P163" s="292">
        <f t="shared" si="2"/>
        <v>0</v>
      </c>
      <c r="Q163" s="289"/>
      <c r="R163" s="289"/>
      <c r="S163" s="293">
        <f t="shared" si="62"/>
        <v>0</v>
      </c>
      <c r="T163" s="294"/>
      <c r="U163" s="295">
        <f t="shared" si="68"/>
        <v>0</v>
      </c>
      <c r="V163" s="296"/>
      <c r="W163" s="297"/>
      <c r="X163" s="298"/>
      <c r="Y163" s="292" t="str">
        <f t="shared" si="69"/>
        <v/>
      </c>
      <c r="Z163" s="366">
        <f t="shared" si="70"/>
        <v>0</v>
      </c>
      <c r="AA163" s="299" t="str">
        <f t="shared" si="71"/>
        <v/>
      </c>
      <c r="AB163" s="300"/>
      <c r="AC163" s="301"/>
      <c r="AD163" s="302"/>
      <c r="AE163" s="303"/>
      <c r="AF163" s="304"/>
      <c r="AG163" s="304"/>
      <c r="AH163" s="304"/>
      <c r="AI163" s="304"/>
      <c r="AJ163" s="304"/>
      <c r="AK163" s="305"/>
      <c r="AL163" s="283"/>
      <c r="AM163" s="284"/>
    </row>
    <row r="164" ht="15.75" customHeight="1">
      <c r="A164" s="282">
        <f t="shared" si="1"/>
        <v>160</v>
      </c>
      <c r="B164" s="283"/>
      <c r="C164" s="284"/>
      <c r="D164" s="338"/>
      <c r="E164" s="286"/>
      <c r="F164" s="287"/>
      <c r="G164" s="288" t="str">
        <f>+IFERROR(VLOOKUP(F164,NVL!$B:$C,2,0),"")</f>
        <v/>
      </c>
      <c r="H164" s="288" t="str">
        <f>+IFERROR(VLOOKUP(F164,NVL!$B:$D,3,0),"")</f>
        <v/>
      </c>
      <c r="I164" s="288" t="str">
        <f>+IFERROR(VLOOKUP(F164,NVL!$B:$F,4,0),"")</f>
        <v/>
      </c>
      <c r="J164" s="289"/>
      <c r="K164" s="290"/>
      <c r="L164" s="291" t="str">
        <f>+IFERROR(VLOOKUP(K164,'THÀNH PHẨM'!$B:$F,3,0),"")</f>
        <v/>
      </c>
      <c r="M164" s="291" t="str">
        <f>+IFERROR(VLOOKUP(K164,'THÀNH PHẨM'!$B:$F,4,0),"")</f>
        <v/>
      </c>
      <c r="N164" s="291" t="str">
        <f>+IFERROR(VLOOKUP(K164,'THÀNH PHẨM'!$B:$F,5,0),"")</f>
        <v/>
      </c>
      <c r="O164" s="289"/>
      <c r="P164" s="292">
        <f t="shared" si="2"/>
        <v>0</v>
      </c>
      <c r="Q164" s="289"/>
      <c r="R164" s="289"/>
      <c r="S164" s="293">
        <f t="shared" si="62"/>
        <v>0</v>
      </c>
      <c r="T164" s="294"/>
      <c r="U164" s="295">
        <f t="shared" si="68"/>
        <v>0</v>
      </c>
      <c r="V164" s="296"/>
      <c r="W164" s="297"/>
      <c r="X164" s="298"/>
      <c r="Y164" s="292" t="str">
        <f t="shared" si="69"/>
        <v/>
      </c>
      <c r="Z164" s="366">
        <f t="shared" si="70"/>
        <v>0</v>
      </c>
      <c r="AA164" s="299" t="str">
        <f t="shared" si="71"/>
        <v/>
      </c>
      <c r="AB164" s="300"/>
      <c r="AC164" s="301"/>
      <c r="AD164" s="302"/>
      <c r="AE164" s="303"/>
      <c r="AF164" s="304"/>
      <c r="AG164" s="304"/>
      <c r="AH164" s="304"/>
      <c r="AI164" s="304"/>
      <c r="AJ164" s="304"/>
      <c r="AK164" s="305"/>
      <c r="AL164" s="283"/>
      <c r="AM164" s="284"/>
    </row>
    <row r="165" ht="15.75" customHeight="1">
      <c r="A165" s="282">
        <f t="shared" si="1"/>
        <v>161</v>
      </c>
      <c r="B165" s="283"/>
      <c r="C165" s="284"/>
      <c r="D165" s="338"/>
      <c r="E165" s="286"/>
      <c r="F165" s="287"/>
      <c r="G165" s="288" t="str">
        <f>+IFERROR(VLOOKUP(F165,NVL!$B:$C,2,0),"")</f>
        <v/>
      </c>
      <c r="H165" s="288" t="str">
        <f>+IFERROR(VLOOKUP(F165,NVL!$B:$D,3,0),"")</f>
        <v/>
      </c>
      <c r="I165" s="288" t="str">
        <f>+IFERROR(VLOOKUP(F165,NVL!$B:$F,4,0),"")</f>
        <v/>
      </c>
      <c r="J165" s="289"/>
      <c r="K165" s="290"/>
      <c r="L165" s="291" t="str">
        <f>+IFERROR(VLOOKUP(K165,'THÀNH PHẨM'!$B:$F,3,0),"")</f>
        <v/>
      </c>
      <c r="M165" s="291" t="str">
        <f>+IFERROR(VLOOKUP(K165,'THÀNH PHẨM'!$B:$F,4,0),"")</f>
        <v/>
      </c>
      <c r="N165" s="291" t="str">
        <f>+IFERROR(VLOOKUP(K165,'THÀNH PHẨM'!$B:$F,5,0),"")</f>
        <v/>
      </c>
      <c r="O165" s="289"/>
      <c r="P165" s="292">
        <f t="shared" si="2"/>
        <v>0</v>
      </c>
      <c r="Q165" s="289"/>
      <c r="R165" s="289"/>
      <c r="S165" s="293">
        <f t="shared" si="62"/>
        <v>0</v>
      </c>
      <c r="T165" s="294"/>
      <c r="U165" s="295">
        <f t="shared" si="68"/>
        <v>0</v>
      </c>
      <c r="V165" s="296"/>
      <c r="W165" s="297"/>
      <c r="X165" s="298"/>
      <c r="Y165" s="292" t="str">
        <f t="shared" si="69"/>
        <v/>
      </c>
      <c r="Z165" s="366">
        <f t="shared" si="70"/>
        <v>0</v>
      </c>
      <c r="AA165" s="299" t="str">
        <f t="shared" si="71"/>
        <v/>
      </c>
      <c r="AB165" s="300"/>
      <c r="AC165" s="301"/>
      <c r="AD165" s="302"/>
      <c r="AE165" s="303"/>
      <c r="AF165" s="304"/>
      <c r="AG165" s="304"/>
      <c r="AH165" s="304"/>
      <c r="AI165" s="304"/>
      <c r="AJ165" s="304"/>
      <c r="AK165" s="305"/>
      <c r="AL165" s="283"/>
      <c r="AM165" s="284"/>
    </row>
    <row r="166" ht="15.75" customHeight="1">
      <c r="A166" s="282">
        <f t="shared" si="1"/>
        <v>162</v>
      </c>
      <c r="B166" s="283"/>
      <c r="C166" s="284"/>
      <c r="D166" s="338"/>
      <c r="E166" s="286"/>
      <c r="F166" s="287"/>
      <c r="G166" s="288" t="str">
        <f>+IFERROR(VLOOKUP(F166,NVL!$B:$C,2,0),"")</f>
        <v/>
      </c>
      <c r="H166" s="288" t="str">
        <f>+IFERROR(VLOOKUP(F166,NVL!$B:$D,3,0),"")</f>
        <v/>
      </c>
      <c r="I166" s="288" t="str">
        <f>+IFERROR(VLOOKUP(F166,NVL!$B:$F,4,0),"")</f>
        <v/>
      </c>
      <c r="J166" s="289"/>
      <c r="K166" s="427"/>
      <c r="L166" s="291" t="str">
        <f>+IFERROR(VLOOKUP(K166,'THÀNH PHẨM'!$B:$F,3,0),"")</f>
        <v/>
      </c>
      <c r="M166" s="291" t="str">
        <f>+IFERROR(VLOOKUP(K166,'THÀNH PHẨM'!$B:$F,4,0),"")</f>
        <v/>
      </c>
      <c r="N166" s="291" t="str">
        <f>+IFERROR(VLOOKUP(K166,'THÀNH PHẨM'!$B:$F,5,0),"")</f>
        <v/>
      </c>
      <c r="O166" s="289"/>
      <c r="P166" s="292">
        <f t="shared" si="2"/>
        <v>0</v>
      </c>
      <c r="Q166" s="289"/>
      <c r="R166" s="289"/>
      <c r="S166" s="293">
        <f t="shared" si="62"/>
        <v>0</v>
      </c>
      <c r="T166" s="294"/>
      <c r="U166" s="295">
        <f t="shared" si="68"/>
        <v>0</v>
      </c>
      <c r="V166" s="296"/>
      <c r="W166" s="297"/>
      <c r="X166" s="298"/>
      <c r="Y166" s="292" t="str">
        <f t="shared" si="69"/>
        <v/>
      </c>
      <c r="Z166" s="366">
        <f t="shared" si="70"/>
        <v>0</v>
      </c>
      <c r="AA166" s="299" t="str">
        <f t="shared" si="71"/>
        <v/>
      </c>
      <c r="AB166" s="300"/>
      <c r="AC166" s="301"/>
      <c r="AD166" s="302"/>
      <c r="AE166" s="303"/>
      <c r="AF166" s="304"/>
      <c r="AG166" s="304"/>
      <c r="AH166" s="304"/>
      <c r="AI166" s="304"/>
      <c r="AJ166" s="304"/>
      <c r="AK166" s="429"/>
      <c r="AL166" s="283"/>
      <c r="AM166" s="284"/>
    </row>
    <row r="167" ht="15.75" customHeight="1">
      <c r="A167" s="282">
        <f t="shared" si="1"/>
        <v>163</v>
      </c>
      <c r="B167" s="283"/>
      <c r="C167" s="284"/>
      <c r="D167" s="338"/>
      <c r="E167" s="286"/>
      <c r="F167" s="287"/>
      <c r="G167" s="288" t="str">
        <f>+IFERROR(VLOOKUP(F167,NVL!$B:$C,2,0),"")</f>
        <v/>
      </c>
      <c r="H167" s="288" t="str">
        <f>+IFERROR(VLOOKUP(F167,NVL!$B:$D,3,0),"")</f>
        <v/>
      </c>
      <c r="I167" s="288" t="str">
        <f>+IFERROR(VLOOKUP(F167,NVL!$B:$F,4,0),"")</f>
        <v/>
      </c>
      <c r="J167" s="289"/>
      <c r="K167" s="290"/>
      <c r="L167" s="291" t="str">
        <f>+IFERROR(VLOOKUP(K167,'THÀNH PHẨM'!$B:$F,3,0),"")</f>
        <v/>
      </c>
      <c r="M167" s="291" t="str">
        <f>+IFERROR(VLOOKUP(K167,'THÀNH PHẨM'!$B:$F,4,0),"")</f>
        <v/>
      </c>
      <c r="N167" s="291" t="str">
        <f>+IFERROR(VLOOKUP(K167,'THÀNH PHẨM'!$B:$F,5,0),"")</f>
        <v/>
      </c>
      <c r="O167" s="289"/>
      <c r="P167" s="292">
        <f t="shared" si="2"/>
        <v>0</v>
      </c>
      <c r="Q167" s="289"/>
      <c r="R167" s="289"/>
      <c r="S167" s="293">
        <f t="shared" si="62"/>
        <v>0</v>
      </c>
      <c r="T167" s="294"/>
      <c r="U167" s="295">
        <f t="shared" si="68"/>
        <v>0</v>
      </c>
      <c r="V167" s="296"/>
      <c r="W167" s="297"/>
      <c r="X167" s="298"/>
      <c r="Y167" s="292" t="str">
        <f t="shared" si="69"/>
        <v/>
      </c>
      <c r="Z167" s="366">
        <f t="shared" si="70"/>
        <v>0</v>
      </c>
      <c r="AA167" s="299" t="str">
        <f t="shared" si="71"/>
        <v/>
      </c>
      <c r="AB167" s="300"/>
      <c r="AC167" s="301"/>
      <c r="AD167" s="302"/>
      <c r="AE167" s="303"/>
      <c r="AF167" s="304"/>
      <c r="AG167" s="304"/>
      <c r="AH167" s="304"/>
      <c r="AI167" s="304"/>
      <c r="AJ167" s="304"/>
      <c r="AK167" s="429"/>
      <c r="AL167" s="283"/>
      <c r="AM167" s="284"/>
    </row>
    <row r="168" ht="15.75" customHeight="1">
      <c r="A168" s="282">
        <f t="shared" si="1"/>
        <v>164</v>
      </c>
      <c r="B168" s="283"/>
      <c r="C168" s="284"/>
      <c r="D168" s="338"/>
      <c r="E168" s="286"/>
      <c r="F168" s="287"/>
      <c r="G168" s="288" t="str">
        <f>+IFERROR(VLOOKUP(F168,NVL!$B:$C,2,0),"")</f>
        <v/>
      </c>
      <c r="H168" s="288" t="str">
        <f>+IFERROR(VLOOKUP(F168,NVL!$B:$D,3,0),"")</f>
        <v/>
      </c>
      <c r="I168" s="288" t="str">
        <f>+IFERROR(VLOOKUP(F168,NVL!$B:$F,4,0),"")</f>
        <v/>
      </c>
      <c r="J168" s="289"/>
      <c r="K168" s="427"/>
      <c r="L168" s="291" t="str">
        <f>+IFERROR(VLOOKUP(K168,'THÀNH PHẨM'!$B:$F,3,0),"")</f>
        <v/>
      </c>
      <c r="M168" s="291" t="str">
        <f>+IFERROR(VLOOKUP(K168,'THÀNH PHẨM'!$B:$F,4,0),"")</f>
        <v/>
      </c>
      <c r="N168" s="291" t="str">
        <f>+IFERROR(VLOOKUP(K168,'THÀNH PHẨM'!$B:$F,5,0),"")</f>
        <v/>
      </c>
      <c r="O168" s="289"/>
      <c r="P168" s="292">
        <f t="shared" si="2"/>
        <v>0</v>
      </c>
      <c r="Q168" s="289"/>
      <c r="R168" s="289"/>
      <c r="S168" s="293">
        <f t="shared" si="62"/>
        <v>0</v>
      </c>
      <c r="T168" s="294"/>
      <c r="U168" s="295">
        <f t="shared" si="68"/>
        <v>0</v>
      </c>
      <c r="V168" s="296"/>
      <c r="W168" s="297"/>
      <c r="X168" s="298"/>
      <c r="Y168" s="292" t="str">
        <f t="shared" si="69"/>
        <v/>
      </c>
      <c r="Z168" s="366">
        <f t="shared" si="70"/>
        <v>0</v>
      </c>
      <c r="AA168" s="299" t="str">
        <f t="shared" si="71"/>
        <v/>
      </c>
      <c r="AB168" s="300"/>
      <c r="AC168" s="301"/>
      <c r="AD168" s="302"/>
      <c r="AE168" s="303"/>
      <c r="AF168" s="304"/>
      <c r="AG168" s="304"/>
      <c r="AH168" s="304"/>
      <c r="AI168" s="304"/>
      <c r="AJ168" s="304"/>
      <c r="AK168" s="305"/>
      <c r="AL168" s="283"/>
      <c r="AM168" s="284"/>
    </row>
    <row r="169" ht="15.75" customHeight="1">
      <c r="A169" s="282">
        <f t="shared" si="1"/>
        <v>165</v>
      </c>
      <c r="B169" s="283"/>
      <c r="C169" s="335"/>
      <c r="D169" s="338"/>
      <c r="E169" s="286"/>
      <c r="F169" s="287"/>
      <c r="G169" s="288" t="str">
        <f>+IFERROR(VLOOKUP(F169,NVL!$B:$C,2,0),"")</f>
        <v/>
      </c>
      <c r="H169" s="288" t="str">
        <f>+IFERROR(VLOOKUP(F169,NVL!$B:$D,3,0),"")</f>
        <v/>
      </c>
      <c r="I169" s="288" t="str">
        <f>+IFERROR(VLOOKUP(F169,NVL!$B:$F,4,0),"")</f>
        <v/>
      </c>
      <c r="J169" s="289"/>
      <c r="K169" s="290"/>
      <c r="L169" s="291" t="str">
        <f>+IFERROR(VLOOKUP(K169,'THÀNH PHẨM'!$B:$F,3,0),"")</f>
        <v/>
      </c>
      <c r="M169" s="291" t="str">
        <f>+IFERROR(VLOOKUP(K169,'THÀNH PHẨM'!$B:$F,4,0),"")</f>
        <v/>
      </c>
      <c r="N169" s="291" t="str">
        <f>+IFERROR(VLOOKUP(K169,'THÀNH PHẨM'!$B:$F,5,0),"")</f>
        <v/>
      </c>
      <c r="O169" s="289"/>
      <c r="P169" s="292">
        <f t="shared" si="2"/>
        <v>0</v>
      </c>
      <c r="Q169" s="289"/>
      <c r="R169" s="289"/>
      <c r="S169" s="293">
        <f t="shared" si="62"/>
        <v>0</v>
      </c>
      <c r="T169" s="294"/>
      <c r="U169" s="295">
        <f t="shared" si="68"/>
        <v>0</v>
      </c>
      <c r="V169" s="296"/>
      <c r="W169" s="297"/>
      <c r="X169" s="298"/>
      <c r="Y169" s="292" t="str">
        <f t="shared" si="69"/>
        <v/>
      </c>
      <c r="Z169" s="366">
        <f t="shared" si="70"/>
        <v>0</v>
      </c>
      <c r="AA169" s="299" t="str">
        <f t="shared" si="71"/>
        <v/>
      </c>
      <c r="AB169" s="300"/>
      <c r="AC169" s="301"/>
      <c r="AD169" s="302"/>
      <c r="AE169" s="303"/>
      <c r="AF169" s="304"/>
      <c r="AG169" s="304"/>
      <c r="AH169" s="304"/>
      <c r="AI169" s="304"/>
      <c r="AJ169" s="304"/>
      <c r="AK169" s="305"/>
      <c r="AL169" s="283"/>
      <c r="AM169" s="284"/>
    </row>
    <row r="170" ht="15.75" customHeight="1">
      <c r="A170" s="282">
        <f t="shared" si="1"/>
        <v>166</v>
      </c>
      <c r="B170" s="283"/>
      <c r="C170" s="335"/>
      <c r="D170" s="338"/>
      <c r="E170" s="286"/>
      <c r="F170" s="287"/>
      <c r="G170" s="288" t="str">
        <f>+IFERROR(VLOOKUP(F170,NVL!$B:$C,2,0),"")</f>
        <v/>
      </c>
      <c r="H170" s="288" t="str">
        <f>+IFERROR(VLOOKUP(F170,NVL!$B:$D,3,0),"")</f>
        <v/>
      </c>
      <c r="I170" s="288" t="str">
        <f>+IFERROR(VLOOKUP(F170,NVL!$B:$F,4,0),"")</f>
        <v/>
      </c>
      <c r="J170" s="289"/>
      <c r="K170" s="290"/>
      <c r="L170" s="291" t="str">
        <f>+IFERROR(VLOOKUP(K170,'THÀNH PHẨM'!$B:$F,3,0),"")</f>
        <v/>
      </c>
      <c r="M170" s="291" t="str">
        <f>+IFERROR(VLOOKUP(K170,'THÀNH PHẨM'!$B:$F,4,0),"")</f>
        <v/>
      </c>
      <c r="N170" s="291" t="str">
        <f>+IFERROR(VLOOKUP(K170,'THÀNH PHẨM'!$B:$F,5,0),"")</f>
        <v/>
      </c>
      <c r="O170" s="289"/>
      <c r="P170" s="292">
        <f t="shared" si="2"/>
        <v>0</v>
      </c>
      <c r="Q170" s="289"/>
      <c r="R170" s="289"/>
      <c r="S170" s="293">
        <f t="shared" si="62"/>
        <v>0</v>
      </c>
      <c r="T170" s="294"/>
      <c r="U170" s="295">
        <f t="shared" si="68"/>
        <v>0</v>
      </c>
      <c r="V170" s="296"/>
      <c r="W170" s="297"/>
      <c r="X170" s="298"/>
      <c r="Y170" s="292" t="str">
        <f t="shared" si="69"/>
        <v/>
      </c>
      <c r="Z170" s="366">
        <f t="shared" si="70"/>
        <v>0</v>
      </c>
      <c r="AA170" s="299" t="str">
        <f t="shared" si="71"/>
        <v/>
      </c>
      <c r="AB170" s="300"/>
      <c r="AC170" s="301"/>
      <c r="AD170" s="302"/>
      <c r="AE170" s="303"/>
      <c r="AF170" s="304"/>
      <c r="AG170" s="304"/>
      <c r="AH170" s="304"/>
      <c r="AI170" s="304"/>
      <c r="AJ170" s="304"/>
      <c r="AK170" s="305"/>
      <c r="AL170" s="283"/>
      <c r="AM170" s="284"/>
    </row>
    <row r="171" ht="15.75" customHeight="1">
      <c r="A171" s="282">
        <f t="shared" si="1"/>
        <v>167</v>
      </c>
      <c r="B171" s="283"/>
      <c r="C171" s="335"/>
      <c r="D171" s="338"/>
      <c r="E171" s="286"/>
      <c r="F171" s="287"/>
      <c r="G171" s="288" t="str">
        <f>+IFERROR(VLOOKUP(F171,NVL!$B:$C,2,0),"")</f>
        <v/>
      </c>
      <c r="H171" s="288" t="str">
        <f>+IFERROR(VLOOKUP(F171,NVL!$B:$D,3,0),"")</f>
        <v/>
      </c>
      <c r="I171" s="288" t="str">
        <f>+IFERROR(VLOOKUP(F171,NVL!$B:$F,4,0),"")</f>
        <v/>
      </c>
      <c r="J171" s="289"/>
      <c r="K171" s="290"/>
      <c r="L171" s="291" t="str">
        <f>+IFERROR(VLOOKUP(K171,'THÀNH PHẨM'!$B:$F,3,0),"")</f>
        <v/>
      </c>
      <c r="M171" s="291" t="str">
        <f>+IFERROR(VLOOKUP(K171,'THÀNH PHẨM'!$B:$F,4,0),"")</f>
        <v/>
      </c>
      <c r="N171" s="291" t="str">
        <f>+IFERROR(VLOOKUP(K171,'THÀNH PHẨM'!$B:$F,5,0),"")</f>
        <v/>
      </c>
      <c r="O171" s="289"/>
      <c r="P171" s="292">
        <f t="shared" si="2"/>
        <v>0</v>
      </c>
      <c r="Q171" s="289"/>
      <c r="R171" s="289"/>
      <c r="S171" s="293">
        <f t="shared" si="62"/>
        <v>0</v>
      </c>
      <c r="T171" s="294"/>
      <c r="U171" s="295">
        <f t="shared" si="68"/>
        <v>0</v>
      </c>
      <c r="V171" s="296"/>
      <c r="W171" s="297"/>
      <c r="X171" s="298"/>
      <c r="Y171" s="292" t="str">
        <f t="shared" si="69"/>
        <v/>
      </c>
      <c r="Z171" s="366">
        <f t="shared" si="70"/>
        <v>0</v>
      </c>
      <c r="AA171" s="299" t="str">
        <f t="shared" si="71"/>
        <v/>
      </c>
      <c r="AB171" s="300"/>
      <c r="AC171" s="301"/>
      <c r="AD171" s="302"/>
      <c r="AE171" s="303"/>
      <c r="AF171" s="304"/>
      <c r="AG171" s="304"/>
      <c r="AH171" s="304"/>
      <c r="AI171" s="304"/>
      <c r="AJ171" s="304"/>
      <c r="AK171" s="305"/>
      <c r="AL171" s="283"/>
      <c r="AM171" s="284"/>
    </row>
    <row r="172" ht="15.75" customHeight="1">
      <c r="A172" s="282">
        <f t="shared" si="1"/>
        <v>168</v>
      </c>
      <c r="B172" s="283"/>
      <c r="C172" s="335"/>
      <c r="D172" s="338"/>
      <c r="E172" s="286"/>
      <c r="F172" s="287"/>
      <c r="G172" s="288" t="str">
        <f>+IFERROR(VLOOKUP(F172,NVL!$B:$C,2,0),"")</f>
        <v/>
      </c>
      <c r="H172" s="288" t="str">
        <f>+IFERROR(VLOOKUP(F172,NVL!$B:$D,3,0),"")</f>
        <v/>
      </c>
      <c r="I172" s="288" t="str">
        <f>+IFERROR(VLOOKUP(F172,NVL!$B:$F,4,0),"")</f>
        <v/>
      </c>
      <c r="J172" s="289"/>
      <c r="K172" s="290"/>
      <c r="L172" s="291" t="str">
        <f>+IFERROR(VLOOKUP(K172,'THÀNH PHẨM'!$B:$F,3,0),"")</f>
        <v/>
      </c>
      <c r="M172" s="291" t="str">
        <f>+IFERROR(VLOOKUP(K172,'THÀNH PHẨM'!$B:$F,4,0),"")</f>
        <v/>
      </c>
      <c r="N172" s="291" t="str">
        <f>+IFERROR(VLOOKUP(K172,'THÀNH PHẨM'!$B:$F,5,0),"")</f>
        <v/>
      </c>
      <c r="O172" s="289"/>
      <c r="P172" s="292">
        <f t="shared" si="2"/>
        <v>0</v>
      </c>
      <c r="Q172" s="289"/>
      <c r="R172" s="289"/>
      <c r="S172" s="293">
        <f t="shared" si="62"/>
        <v>0</v>
      </c>
      <c r="T172" s="294"/>
      <c r="U172" s="295">
        <f t="shared" si="68"/>
        <v>0</v>
      </c>
      <c r="V172" s="296"/>
      <c r="W172" s="297"/>
      <c r="X172" s="298"/>
      <c r="Y172" s="292" t="str">
        <f t="shared" si="69"/>
        <v/>
      </c>
      <c r="Z172" s="366">
        <f t="shared" si="70"/>
        <v>0</v>
      </c>
      <c r="AA172" s="299" t="str">
        <f t="shared" si="71"/>
        <v/>
      </c>
      <c r="AB172" s="300"/>
      <c r="AC172" s="301"/>
      <c r="AD172" s="302"/>
      <c r="AE172" s="303"/>
      <c r="AF172" s="304"/>
      <c r="AG172" s="304"/>
      <c r="AH172" s="304"/>
      <c r="AI172" s="304"/>
      <c r="AJ172" s="304"/>
      <c r="AK172" s="305"/>
      <c r="AL172" s="283"/>
      <c r="AM172" s="284"/>
    </row>
    <row r="173" ht="15.75" customHeight="1">
      <c r="A173" s="282">
        <f t="shared" si="1"/>
        <v>169</v>
      </c>
      <c r="B173" s="283"/>
      <c r="C173" s="335"/>
      <c r="D173" s="338"/>
      <c r="E173" s="286"/>
      <c r="F173" s="287"/>
      <c r="G173" s="288" t="str">
        <f>+IFERROR(VLOOKUP(F173,NVL!$B:$C,2,0),"")</f>
        <v/>
      </c>
      <c r="H173" s="288" t="str">
        <f>+IFERROR(VLOOKUP(F173,NVL!$B:$D,3,0),"")</f>
        <v/>
      </c>
      <c r="I173" s="288" t="str">
        <f>+IFERROR(VLOOKUP(F173,NVL!$B:$F,4,0),"")</f>
        <v/>
      </c>
      <c r="J173" s="289"/>
      <c r="K173" s="290"/>
      <c r="L173" s="291" t="str">
        <f>+IFERROR(VLOOKUP(K173,'THÀNH PHẨM'!$B:$F,3,0),"")</f>
        <v/>
      </c>
      <c r="M173" s="291" t="str">
        <f>+IFERROR(VLOOKUP(K173,'THÀNH PHẨM'!$B:$F,4,0),"")</f>
        <v/>
      </c>
      <c r="N173" s="291" t="str">
        <f>+IFERROR(VLOOKUP(K173,'THÀNH PHẨM'!$B:$F,5,0),"")</f>
        <v/>
      </c>
      <c r="O173" s="289"/>
      <c r="P173" s="292">
        <f t="shared" si="2"/>
        <v>0</v>
      </c>
      <c r="Q173" s="289"/>
      <c r="R173" s="289"/>
      <c r="S173" s="293">
        <f t="shared" si="62"/>
        <v>0</v>
      </c>
      <c r="T173" s="294"/>
      <c r="U173" s="295">
        <f t="shared" si="68"/>
        <v>0</v>
      </c>
      <c r="V173" s="296"/>
      <c r="W173" s="297"/>
      <c r="X173" s="298"/>
      <c r="Y173" s="292" t="str">
        <f t="shared" si="69"/>
        <v/>
      </c>
      <c r="Z173" s="366">
        <f t="shared" si="70"/>
        <v>0</v>
      </c>
      <c r="AA173" s="299" t="str">
        <f t="shared" si="71"/>
        <v/>
      </c>
      <c r="AB173" s="300"/>
      <c r="AC173" s="301"/>
      <c r="AD173" s="302"/>
      <c r="AE173" s="303"/>
      <c r="AF173" s="304"/>
      <c r="AG173" s="304"/>
      <c r="AH173" s="304"/>
      <c r="AI173" s="304"/>
      <c r="AJ173" s="304"/>
      <c r="AK173" s="305"/>
      <c r="AL173" s="283"/>
      <c r="AM173" s="284"/>
    </row>
    <row r="174" ht="15.75" customHeight="1">
      <c r="A174" s="282">
        <f t="shared" si="1"/>
        <v>170</v>
      </c>
      <c r="B174" s="283"/>
      <c r="C174" s="335"/>
      <c r="D174" s="338"/>
      <c r="E174" s="286"/>
      <c r="F174" s="287"/>
      <c r="G174" s="288" t="str">
        <f>+IFERROR(VLOOKUP(F174,NVL!$B:$C,2,0),"")</f>
        <v/>
      </c>
      <c r="H174" s="288" t="str">
        <f>+IFERROR(VLOOKUP(F174,NVL!$B:$D,3,0),"")</f>
        <v/>
      </c>
      <c r="I174" s="288" t="str">
        <f>+IFERROR(VLOOKUP(F174,NVL!$B:$F,4,0),"")</f>
        <v/>
      </c>
      <c r="J174" s="289"/>
      <c r="K174" s="290"/>
      <c r="L174" s="291" t="str">
        <f>+IFERROR(VLOOKUP(K174,'THÀNH PHẨM'!$B:$F,3,0),"")</f>
        <v/>
      </c>
      <c r="M174" s="291" t="str">
        <f>+IFERROR(VLOOKUP(K174,'THÀNH PHẨM'!$B:$F,4,0),"")</f>
        <v/>
      </c>
      <c r="N174" s="291" t="str">
        <f>+IFERROR(VLOOKUP(K174,'THÀNH PHẨM'!$B:$F,5,0),"")</f>
        <v/>
      </c>
      <c r="O174" s="289"/>
      <c r="P174" s="292">
        <f t="shared" si="2"/>
        <v>0</v>
      </c>
      <c r="Q174" s="289"/>
      <c r="R174" s="289"/>
      <c r="S174" s="293">
        <f t="shared" si="62"/>
        <v>0</v>
      </c>
      <c r="T174" s="294"/>
      <c r="U174" s="295">
        <f t="shared" si="68"/>
        <v>0</v>
      </c>
      <c r="V174" s="296"/>
      <c r="W174" s="297"/>
      <c r="X174" s="298"/>
      <c r="Y174" s="292" t="str">
        <f t="shared" si="69"/>
        <v/>
      </c>
      <c r="Z174" s="366">
        <f t="shared" si="70"/>
        <v>0</v>
      </c>
      <c r="AA174" s="299" t="str">
        <f t="shared" si="71"/>
        <v/>
      </c>
      <c r="AB174" s="300"/>
      <c r="AC174" s="301"/>
      <c r="AD174" s="302"/>
      <c r="AE174" s="303"/>
      <c r="AF174" s="304"/>
      <c r="AG174" s="304"/>
      <c r="AH174" s="304"/>
      <c r="AI174" s="304"/>
      <c r="AJ174" s="304"/>
      <c r="AK174" s="305"/>
      <c r="AL174" s="283"/>
      <c r="AM174" s="284"/>
    </row>
    <row r="175" ht="15.75" customHeight="1">
      <c r="A175" s="282">
        <f t="shared" si="1"/>
        <v>171</v>
      </c>
      <c r="B175" s="283"/>
      <c r="C175" s="335"/>
      <c r="D175" s="338"/>
      <c r="E175" s="286"/>
      <c r="F175" s="287"/>
      <c r="G175" s="288" t="str">
        <f>+IFERROR(VLOOKUP(F175,NVL!$B:$C,2,0),"")</f>
        <v/>
      </c>
      <c r="H175" s="288" t="str">
        <f>+IFERROR(VLOOKUP(F175,NVL!$B:$D,3,0),"")</f>
        <v/>
      </c>
      <c r="I175" s="288" t="str">
        <f>+IFERROR(VLOOKUP(F175,NVL!$B:$F,4,0),"")</f>
        <v/>
      </c>
      <c r="J175" s="289"/>
      <c r="K175" s="290"/>
      <c r="L175" s="291" t="str">
        <f>+IFERROR(VLOOKUP(K175,'THÀNH PHẨM'!$B:$F,3,0),"")</f>
        <v/>
      </c>
      <c r="M175" s="291" t="str">
        <f>+IFERROR(VLOOKUP(K175,'THÀNH PHẨM'!$B:$F,4,0),"")</f>
        <v/>
      </c>
      <c r="N175" s="291" t="str">
        <f>+IFERROR(VLOOKUP(K175,'THÀNH PHẨM'!$B:$F,5,0),"")</f>
        <v/>
      </c>
      <c r="O175" s="289"/>
      <c r="P175" s="292">
        <f t="shared" si="2"/>
        <v>0</v>
      </c>
      <c r="Q175" s="289"/>
      <c r="R175" s="289"/>
      <c r="S175" s="293">
        <f t="shared" si="62"/>
        <v>0</v>
      </c>
      <c r="T175" s="294"/>
      <c r="U175" s="295">
        <f t="shared" si="68"/>
        <v>0</v>
      </c>
      <c r="V175" s="296"/>
      <c r="W175" s="297"/>
      <c r="X175" s="298"/>
      <c r="Y175" s="292" t="str">
        <f t="shared" si="69"/>
        <v/>
      </c>
      <c r="Z175" s="366">
        <f t="shared" si="70"/>
        <v>0</v>
      </c>
      <c r="AA175" s="299" t="str">
        <f t="shared" si="71"/>
        <v/>
      </c>
      <c r="AB175" s="300"/>
      <c r="AC175" s="301"/>
      <c r="AD175" s="302"/>
      <c r="AE175" s="303"/>
      <c r="AF175" s="304"/>
      <c r="AG175" s="304"/>
      <c r="AH175" s="304"/>
      <c r="AI175" s="304"/>
      <c r="AJ175" s="304"/>
      <c r="AK175" s="305"/>
      <c r="AL175" s="283"/>
      <c r="AM175" s="284"/>
    </row>
    <row r="176" ht="15.75" customHeight="1">
      <c r="A176" s="282">
        <f t="shared" si="1"/>
        <v>172</v>
      </c>
      <c r="B176" s="283"/>
      <c r="C176" s="335"/>
      <c r="D176" s="338"/>
      <c r="E176" s="286"/>
      <c r="F176" s="287"/>
      <c r="G176" s="288" t="str">
        <f>+IFERROR(VLOOKUP(F176,NVL!$B:$C,2,0),"")</f>
        <v/>
      </c>
      <c r="H176" s="288" t="str">
        <f>+IFERROR(VLOOKUP(F176,NVL!$B:$D,3,0),"")</f>
        <v/>
      </c>
      <c r="I176" s="288" t="str">
        <f>+IFERROR(VLOOKUP(F176,NVL!$B:$F,4,0),"")</f>
        <v/>
      </c>
      <c r="J176" s="289"/>
      <c r="K176" s="290"/>
      <c r="L176" s="291" t="str">
        <f>+IFERROR(VLOOKUP(K176,'THÀNH PHẨM'!$B:$F,3,0),"")</f>
        <v/>
      </c>
      <c r="M176" s="291" t="str">
        <f>+IFERROR(VLOOKUP(K176,'THÀNH PHẨM'!$B:$F,4,0),"")</f>
        <v/>
      </c>
      <c r="N176" s="291" t="str">
        <f>+IFERROR(VLOOKUP(K176,'THÀNH PHẨM'!$B:$F,5,0),"")</f>
        <v/>
      </c>
      <c r="O176" s="289"/>
      <c r="P176" s="292">
        <f t="shared" si="2"/>
        <v>0</v>
      </c>
      <c r="Q176" s="289"/>
      <c r="R176" s="289"/>
      <c r="S176" s="293">
        <f t="shared" si="62"/>
        <v>0</v>
      </c>
      <c r="T176" s="294"/>
      <c r="U176" s="295">
        <f t="shared" si="68"/>
        <v>0</v>
      </c>
      <c r="V176" s="296"/>
      <c r="W176" s="297"/>
      <c r="X176" s="298"/>
      <c r="Y176" s="292" t="str">
        <f t="shared" si="69"/>
        <v/>
      </c>
      <c r="Z176" s="366">
        <f t="shared" si="70"/>
        <v>0</v>
      </c>
      <c r="AA176" s="299" t="str">
        <f t="shared" si="71"/>
        <v/>
      </c>
      <c r="AB176" s="300"/>
      <c r="AC176" s="301"/>
      <c r="AD176" s="302"/>
      <c r="AE176" s="303"/>
      <c r="AF176" s="304"/>
      <c r="AG176" s="304"/>
      <c r="AH176" s="304"/>
      <c r="AI176" s="304"/>
      <c r="AJ176" s="304"/>
      <c r="AK176" s="305"/>
      <c r="AL176" s="283"/>
      <c r="AM176" s="284"/>
    </row>
    <row r="177" ht="15.75" customHeight="1">
      <c r="A177" s="282">
        <f t="shared" si="1"/>
        <v>173</v>
      </c>
      <c r="B177" s="283"/>
      <c r="C177" s="335"/>
      <c r="D177" s="338"/>
      <c r="E177" s="286"/>
      <c r="F177" s="287"/>
      <c r="G177" s="288" t="str">
        <f>+IFERROR(VLOOKUP(F177,NVL!$B:$C,2,0),"")</f>
        <v/>
      </c>
      <c r="H177" s="288" t="str">
        <f>+IFERROR(VLOOKUP(F177,NVL!$B:$D,3,0),"")</f>
        <v/>
      </c>
      <c r="I177" s="288" t="str">
        <f>+IFERROR(VLOOKUP(F177,NVL!$B:$F,4,0),"")</f>
        <v/>
      </c>
      <c r="J177" s="289"/>
      <c r="K177" s="290"/>
      <c r="L177" s="291" t="str">
        <f>+IFERROR(VLOOKUP(K177,'THÀNH PHẨM'!$B:$F,3,0),"")</f>
        <v/>
      </c>
      <c r="M177" s="291" t="str">
        <f>+IFERROR(VLOOKUP(K177,'THÀNH PHẨM'!$B:$F,4,0),"")</f>
        <v/>
      </c>
      <c r="N177" s="291" t="str">
        <f>+IFERROR(VLOOKUP(K177,'THÀNH PHẨM'!$B:$F,5,0),"")</f>
        <v/>
      </c>
      <c r="O177" s="289"/>
      <c r="P177" s="292">
        <f t="shared" si="2"/>
        <v>0</v>
      </c>
      <c r="Q177" s="289"/>
      <c r="R177" s="289"/>
      <c r="S177" s="293">
        <f t="shared" si="62"/>
        <v>0</v>
      </c>
      <c r="T177" s="294"/>
      <c r="U177" s="295">
        <f t="shared" si="68"/>
        <v>0</v>
      </c>
      <c r="V177" s="296"/>
      <c r="W177" s="297"/>
      <c r="X177" s="298"/>
      <c r="Y177" s="292" t="str">
        <f t="shared" si="69"/>
        <v/>
      </c>
      <c r="Z177" s="366">
        <f t="shared" si="70"/>
        <v>0</v>
      </c>
      <c r="AA177" s="299" t="str">
        <f t="shared" si="71"/>
        <v/>
      </c>
      <c r="AB177" s="300"/>
      <c r="AC177" s="301"/>
      <c r="AD177" s="302"/>
      <c r="AE177" s="303"/>
      <c r="AF177" s="304"/>
      <c r="AG177" s="304"/>
      <c r="AH177" s="304"/>
      <c r="AI177" s="304"/>
      <c r="AJ177" s="304"/>
      <c r="AK177" s="305"/>
      <c r="AL177" s="283"/>
      <c r="AM177" s="284"/>
    </row>
    <row r="178" ht="15.75" customHeight="1">
      <c r="A178" s="282">
        <f t="shared" si="1"/>
        <v>174</v>
      </c>
      <c r="B178" s="283"/>
      <c r="C178" s="335"/>
      <c r="D178" s="338"/>
      <c r="E178" s="286"/>
      <c r="F178" s="287"/>
      <c r="G178" s="288" t="str">
        <f>+IFERROR(VLOOKUP(F178,NVL!$B:$C,2,0),"")</f>
        <v/>
      </c>
      <c r="H178" s="288" t="str">
        <f>+IFERROR(VLOOKUP(F178,NVL!$B:$D,3,0),"")</f>
        <v/>
      </c>
      <c r="I178" s="288" t="str">
        <f>+IFERROR(VLOOKUP(F178,NVL!$B:$F,4,0),"")</f>
        <v/>
      </c>
      <c r="J178" s="289"/>
      <c r="K178" s="290"/>
      <c r="L178" s="291" t="str">
        <f>+IFERROR(VLOOKUP(K178,'THÀNH PHẨM'!$B:$F,3,0),"")</f>
        <v/>
      </c>
      <c r="M178" s="291" t="str">
        <f>+IFERROR(VLOOKUP(K178,'THÀNH PHẨM'!$B:$F,4,0),"")</f>
        <v/>
      </c>
      <c r="N178" s="291" t="str">
        <f>+IFERROR(VLOOKUP(K178,'THÀNH PHẨM'!$B:$F,5,0),"")</f>
        <v/>
      </c>
      <c r="O178" s="289"/>
      <c r="P178" s="292">
        <f t="shared" si="2"/>
        <v>0</v>
      </c>
      <c r="Q178" s="289"/>
      <c r="R178" s="289"/>
      <c r="S178" s="293">
        <f t="shared" si="62"/>
        <v>0</v>
      </c>
      <c r="T178" s="294"/>
      <c r="U178" s="295">
        <f t="shared" si="68"/>
        <v>0</v>
      </c>
      <c r="V178" s="296"/>
      <c r="W178" s="297"/>
      <c r="X178" s="298"/>
      <c r="Y178" s="292" t="str">
        <f t="shared" si="69"/>
        <v/>
      </c>
      <c r="Z178" s="366">
        <f t="shared" si="70"/>
        <v>0</v>
      </c>
      <c r="AA178" s="299" t="str">
        <f t="shared" si="71"/>
        <v/>
      </c>
      <c r="AB178" s="300"/>
      <c r="AC178" s="301"/>
      <c r="AD178" s="302"/>
      <c r="AE178" s="303"/>
      <c r="AF178" s="304"/>
      <c r="AG178" s="304"/>
      <c r="AH178" s="304"/>
      <c r="AI178" s="304"/>
      <c r="AJ178" s="304"/>
      <c r="AK178" s="305"/>
      <c r="AL178" s="283"/>
      <c r="AM178" s="284"/>
    </row>
    <row r="179" ht="15.75" customHeight="1">
      <c r="A179" s="282">
        <f t="shared" si="1"/>
        <v>175</v>
      </c>
      <c r="B179" s="283"/>
      <c r="C179" s="335"/>
      <c r="D179" s="338"/>
      <c r="E179" s="286"/>
      <c r="F179" s="287"/>
      <c r="G179" s="288" t="str">
        <f>+IFERROR(VLOOKUP(F179,NVL!$B:$C,2,0),"")</f>
        <v/>
      </c>
      <c r="H179" s="288" t="str">
        <f>+IFERROR(VLOOKUP(F179,NVL!$B:$D,3,0),"")</f>
        <v/>
      </c>
      <c r="I179" s="288" t="str">
        <f>+IFERROR(VLOOKUP(F179,NVL!$B:$F,4,0),"")</f>
        <v/>
      </c>
      <c r="J179" s="289"/>
      <c r="K179" s="290"/>
      <c r="L179" s="291" t="str">
        <f>+IFERROR(VLOOKUP(K179,'THÀNH PHẨM'!$B:$F,3,0),"")</f>
        <v/>
      </c>
      <c r="M179" s="291" t="str">
        <f>+IFERROR(VLOOKUP(K179,'THÀNH PHẨM'!$B:$F,4,0),"")</f>
        <v/>
      </c>
      <c r="N179" s="291" t="str">
        <f>+IFERROR(VLOOKUP(K179,'THÀNH PHẨM'!$B:$F,5,0),"")</f>
        <v/>
      </c>
      <c r="O179" s="289"/>
      <c r="P179" s="292">
        <f t="shared" si="2"/>
        <v>0</v>
      </c>
      <c r="Q179" s="289"/>
      <c r="R179" s="289"/>
      <c r="S179" s="293">
        <f t="shared" si="62"/>
        <v>0</v>
      </c>
      <c r="T179" s="294"/>
      <c r="U179" s="295">
        <f t="shared" si="68"/>
        <v>0</v>
      </c>
      <c r="V179" s="296"/>
      <c r="W179" s="297"/>
      <c r="X179" s="298"/>
      <c r="Y179" s="292" t="str">
        <f t="shared" si="69"/>
        <v/>
      </c>
      <c r="Z179" s="366">
        <f t="shared" si="70"/>
        <v>0</v>
      </c>
      <c r="AA179" s="299" t="str">
        <f t="shared" si="71"/>
        <v/>
      </c>
      <c r="AB179" s="300"/>
      <c r="AC179" s="301"/>
      <c r="AD179" s="302"/>
      <c r="AE179" s="303"/>
      <c r="AF179" s="304"/>
      <c r="AG179" s="304"/>
      <c r="AH179" s="304"/>
      <c r="AI179" s="304"/>
      <c r="AJ179" s="304"/>
      <c r="AK179" s="305"/>
      <c r="AL179" s="283"/>
      <c r="AM179" s="284"/>
    </row>
    <row r="180" ht="15.75" customHeight="1">
      <c r="A180" s="282">
        <f t="shared" si="1"/>
        <v>176</v>
      </c>
      <c r="B180" s="283"/>
      <c r="C180" s="335"/>
      <c r="D180" s="338"/>
      <c r="E180" s="286"/>
      <c r="F180" s="287"/>
      <c r="G180" s="288" t="str">
        <f>+IFERROR(VLOOKUP(F180,NVL!$B:$C,2,0),"")</f>
        <v/>
      </c>
      <c r="H180" s="288" t="str">
        <f>+IFERROR(VLOOKUP(F180,NVL!$B:$D,3,0),"")</f>
        <v/>
      </c>
      <c r="I180" s="288" t="str">
        <f>+IFERROR(VLOOKUP(F180,NVL!$B:$F,4,0),"")</f>
        <v/>
      </c>
      <c r="J180" s="289"/>
      <c r="K180" s="290"/>
      <c r="L180" s="291" t="str">
        <f>+IFERROR(VLOOKUP(K180,'THÀNH PHẨM'!$B:$F,3,0),"")</f>
        <v/>
      </c>
      <c r="M180" s="291" t="str">
        <f>+IFERROR(VLOOKUP(K180,'THÀNH PHẨM'!$B:$F,4,0),"")</f>
        <v/>
      </c>
      <c r="N180" s="291" t="str">
        <f>+IFERROR(VLOOKUP(K180,'THÀNH PHẨM'!$B:$F,5,0),"")</f>
        <v/>
      </c>
      <c r="O180" s="289"/>
      <c r="P180" s="292">
        <f t="shared" si="2"/>
        <v>0</v>
      </c>
      <c r="Q180" s="289"/>
      <c r="R180" s="289"/>
      <c r="S180" s="293">
        <f t="shared" si="62"/>
        <v>0</v>
      </c>
      <c r="T180" s="294"/>
      <c r="U180" s="295">
        <f t="shared" si="68"/>
        <v>0</v>
      </c>
      <c r="V180" s="296"/>
      <c r="W180" s="297"/>
      <c r="X180" s="298"/>
      <c r="Y180" s="292" t="str">
        <f t="shared" si="69"/>
        <v/>
      </c>
      <c r="Z180" s="366">
        <f t="shared" si="70"/>
        <v>0</v>
      </c>
      <c r="AA180" s="299" t="str">
        <f t="shared" si="71"/>
        <v/>
      </c>
      <c r="AB180" s="300"/>
      <c r="AC180" s="301"/>
      <c r="AD180" s="302"/>
      <c r="AE180" s="303"/>
      <c r="AF180" s="304"/>
      <c r="AG180" s="304"/>
      <c r="AH180" s="304"/>
      <c r="AI180" s="304"/>
      <c r="AJ180" s="304"/>
      <c r="AK180" s="305"/>
      <c r="AL180" s="283"/>
      <c r="AM180" s="284"/>
    </row>
    <row r="181" ht="15.75" customHeight="1">
      <c r="A181" s="282">
        <f t="shared" si="1"/>
        <v>177</v>
      </c>
      <c r="B181" s="283"/>
      <c r="C181" s="335"/>
      <c r="D181" s="338"/>
      <c r="E181" s="286"/>
      <c r="F181" s="287"/>
      <c r="G181" s="288" t="str">
        <f>+IFERROR(VLOOKUP(F181,NVL!$B:$C,2,0),"")</f>
        <v/>
      </c>
      <c r="H181" s="288" t="str">
        <f>+IFERROR(VLOOKUP(F181,NVL!$B:$D,3,0),"")</f>
        <v/>
      </c>
      <c r="I181" s="288" t="str">
        <f>+IFERROR(VLOOKUP(F181,NVL!$B:$F,4,0),"")</f>
        <v/>
      </c>
      <c r="J181" s="289"/>
      <c r="K181" s="290"/>
      <c r="L181" s="291" t="str">
        <f>+IFERROR(VLOOKUP(K181,'THÀNH PHẨM'!$B:$F,3,0),"")</f>
        <v/>
      </c>
      <c r="M181" s="291" t="str">
        <f>+IFERROR(VLOOKUP(K181,'THÀNH PHẨM'!$B:$F,4,0),"")</f>
        <v/>
      </c>
      <c r="N181" s="291" t="str">
        <f>+IFERROR(VLOOKUP(K181,'THÀNH PHẨM'!$B:$F,5,0),"")</f>
        <v/>
      </c>
      <c r="O181" s="289"/>
      <c r="P181" s="292">
        <f t="shared" si="2"/>
        <v>0</v>
      </c>
      <c r="Q181" s="289"/>
      <c r="R181" s="289"/>
      <c r="S181" s="293">
        <f t="shared" si="62"/>
        <v>0</v>
      </c>
      <c r="T181" s="294"/>
      <c r="U181" s="295">
        <f t="shared" si="68"/>
        <v>0</v>
      </c>
      <c r="V181" s="296"/>
      <c r="W181" s="297"/>
      <c r="X181" s="298"/>
      <c r="Y181" s="292" t="str">
        <f t="shared" si="69"/>
        <v/>
      </c>
      <c r="Z181" s="366">
        <f t="shared" si="70"/>
        <v>0</v>
      </c>
      <c r="AA181" s="299" t="str">
        <f t="shared" si="71"/>
        <v/>
      </c>
      <c r="AB181" s="300"/>
      <c r="AC181" s="301"/>
      <c r="AD181" s="302"/>
      <c r="AE181" s="303"/>
      <c r="AF181" s="304"/>
      <c r="AG181" s="304"/>
      <c r="AH181" s="304"/>
      <c r="AI181" s="304"/>
      <c r="AJ181" s="304"/>
      <c r="AK181" s="305"/>
      <c r="AL181" s="283"/>
      <c r="AM181" s="284"/>
    </row>
    <row r="182" ht="15.75" customHeight="1">
      <c r="A182" s="282">
        <f t="shared" si="1"/>
        <v>178</v>
      </c>
      <c r="B182" s="283"/>
      <c r="C182" s="335"/>
      <c r="D182" s="338"/>
      <c r="E182" s="286"/>
      <c r="F182" s="287"/>
      <c r="G182" s="288" t="str">
        <f>+IFERROR(VLOOKUP(F182,NVL!$B:$C,2,0),"")</f>
        <v/>
      </c>
      <c r="H182" s="288" t="str">
        <f>+IFERROR(VLOOKUP(F182,NVL!$B:$D,3,0),"")</f>
        <v/>
      </c>
      <c r="I182" s="288" t="str">
        <f>+IFERROR(VLOOKUP(F182,NVL!$B:$F,4,0),"")</f>
        <v/>
      </c>
      <c r="J182" s="289"/>
      <c r="K182" s="290"/>
      <c r="L182" s="291" t="str">
        <f>+IFERROR(VLOOKUP(K182,'THÀNH PHẨM'!$B:$F,3,0),"")</f>
        <v/>
      </c>
      <c r="M182" s="291" t="str">
        <f>+IFERROR(VLOOKUP(K182,'THÀNH PHẨM'!$B:$F,4,0),"")</f>
        <v/>
      </c>
      <c r="N182" s="291" t="str">
        <f>+IFERROR(VLOOKUP(K182,'THÀNH PHẨM'!$B:$F,5,0),"")</f>
        <v/>
      </c>
      <c r="O182" s="289"/>
      <c r="P182" s="292">
        <f t="shared" si="2"/>
        <v>0</v>
      </c>
      <c r="Q182" s="289"/>
      <c r="R182" s="289"/>
      <c r="S182" s="293">
        <f t="shared" si="62"/>
        <v>0</v>
      </c>
      <c r="T182" s="294"/>
      <c r="U182" s="295">
        <f t="shared" si="68"/>
        <v>0</v>
      </c>
      <c r="V182" s="296"/>
      <c r="W182" s="297"/>
      <c r="X182" s="298"/>
      <c r="Y182" s="292" t="str">
        <f t="shared" si="69"/>
        <v/>
      </c>
      <c r="Z182" s="366">
        <f t="shared" si="70"/>
        <v>0</v>
      </c>
      <c r="AA182" s="299" t="str">
        <f t="shared" si="71"/>
        <v/>
      </c>
      <c r="AB182" s="300"/>
      <c r="AC182" s="301"/>
      <c r="AD182" s="302"/>
      <c r="AE182" s="303"/>
      <c r="AF182" s="304"/>
      <c r="AG182" s="304"/>
      <c r="AH182" s="304"/>
      <c r="AI182" s="304"/>
      <c r="AJ182" s="304"/>
      <c r="AK182" s="305"/>
      <c r="AL182" s="283"/>
      <c r="AM182" s="284"/>
    </row>
    <row r="183" ht="15.75" customHeight="1">
      <c r="A183" s="282">
        <f t="shared" si="1"/>
        <v>179</v>
      </c>
      <c r="B183" s="283"/>
      <c r="C183" s="335"/>
      <c r="D183" s="338"/>
      <c r="E183" s="286"/>
      <c r="F183" s="287"/>
      <c r="G183" s="288" t="str">
        <f>+IFERROR(VLOOKUP(F183,NVL!$B:$C,2,0),"")</f>
        <v/>
      </c>
      <c r="H183" s="288" t="str">
        <f>+IFERROR(VLOOKUP(F183,NVL!$B:$D,3,0),"")</f>
        <v/>
      </c>
      <c r="I183" s="288" t="str">
        <f>+IFERROR(VLOOKUP(F183,NVL!$B:$F,4,0),"")</f>
        <v/>
      </c>
      <c r="J183" s="289"/>
      <c r="K183" s="290"/>
      <c r="L183" s="291" t="str">
        <f>+IFERROR(VLOOKUP(K183,'THÀNH PHẨM'!$B:$F,3,0),"")</f>
        <v/>
      </c>
      <c r="M183" s="291" t="str">
        <f>+IFERROR(VLOOKUP(K183,'THÀNH PHẨM'!$B:$F,4,0),"")</f>
        <v/>
      </c>
      <c r="N183" s="291" t="str">
        <f>+IFERROR(VLOOKUP(K183,'THÀNH PHẨM'!$B:$F,5,0),"")</f>
        <v/>
      </c>
      <c r="O183" s="289"/>
      <c r="P183" s="292">
        <f t="shared" si="2"/>
        <v>0</v>
      </c>
      <c r="Q183" s="289"/>
      <c r="R183" s="289"/>
      <c r="S183" s="293">
        <f t="shared" si="62"/>
        <v>0</v>
      </c>
      <c r="T183" s="294"/>
      <c r="U183" s="295">
        <f t="shared" si="68"/>
        <v>0</v>
      </c>
      <c r="V183" s="296"/>
      <c r="W183" s="297"/>
      <c r="X183" s="298"/>
      <c r="Y183" s="292" t="str">
        <f t="shared" si="69"/>
        <v/>
      </c>
      <c r="Z183" s="366">
        <f t="shared" si="70"/>
        <v>0</v>
      </c>
      <c r="AA183" s="299" t="str">
        <f t="shared" si="71"/>
        <v/>
      </c>
      <c r="AB183" s="300"/>
      <c r="AC183" s="301"/>
      <c r="AD183" s="302"/>
      <c r="AE183" s="303"/>
      <c r="AF183" s="304"/>
      <c r="AG183" s="304"/>
      <c r="AH183" s="304"/>
      <c r="AI183" s="304"/>
      <c r="AJ183" s="304"/>
      <c r="AK183" s="305"/>
      <c r="AL183" s="283"/>
      <c r="AM183" s="284"/>
    </row>
    <row r="184" ht="15.75" customHeight="1">
      <c r="A184" s="282">
        <f t="shared" si="1"/>
        <v>180</v>
      </c>
      <c r="B184" s="283"/>
      <c r="C184" s="335"/>
      <c r="D184" s="338"/>
      <c r="E184" s="286"/>
      <c r="F184" s="287"/>
      <c r="G184" s="288" t="str">
        <f>+IFERROR(VLOOKUP(F184,NVL!$B:$C,2,0),"")</f>
        <v/>
      </c>
      <c r="H184" s="288" t="str">
        <f>+IFERROR(VLOOKUP(F184,NVL!$B:$D,3,0),"")</f>
        <v/>
      </c>
      <c r="I184" s="288" t="str">
        <f>+IFERROR(VLOOKUP(F184,NVL!$B:$F,4,0),"")</f>
        <v/>
      </c>
      <c r="J184" s="289"/>
      <c r="K184" s="290"/>
      <c r="L184" s="291" t="str">
        <f>+IFERROR(VLOOKUP(K184,'THÀNH PHẨM'!$B:$F,3,0),"")</f>
        <v/>
      </c>
      <c r="M184" s="291" t="str">
        <f>+IFERROR(VLOOKUP(K184,'THÀNH PHẨM'!$B:$F,4,0),"")</f>
        <v/>
      </c>
      <c r="N184" s="291" t="str">
        <f>+IFERROR(VLOOKUP(K184,'THÀNH PHẨM'!$B:$F,5,0),"")</f>
        <v/>
      </c>
      <c r="O184" s="289"/>
      <c r="P184" s="292">
        <f t="shared" si="2"/>
        <v>0</v>
      </c>
      <c r="Q184" s="289"/>
      <c r="R184" s="289"/>
      <c r="S184" s="293">
        <f t="shared" si="62"/>
        <v>0</v>
      </c>
      <c r="T184" s="294"/>
      <c r="U184" s="295">
        <f t="shared" si="68"/>
        <v>0</v>
      </c>
      <c r="V184" s="296"/>
      <c r="W184" s="297"/>
      <c r="X184" s="298"/>
      <c r="Y184" s="292" t="str">
        <f t="shared" si="69"/>
        <v/>
      </c>
      <c r="Z184" s="366">
        <f t="shared" si="70"/>
        <v>0</v>
      </c>
      <c r="AA184" s="299" t="str">
        <f t="shared" si="71"/>
        <v/>
      </c>
      <c r="AB184" s="300"/>
      <c r="AC184" s="301"/>
      <c r="AD184" s="302"/>
      <c r="AE184" s="303"/>
      <c r="AF184" s="304"/>
      <c r="AG184" s="304"/>
      <c r="AH184" s="304"/>
      <c r="AI184" s="304"/>
      <c r="AJ184" s="304"/>
      <c r="AK184" s="305"/>
      <c r="AL184" s="283"/>
      <c r="AM184" s="284"/>
    </row>
    <row r="185" ht="15.75" customHeight="1">
      <c r="A185" s="282">
        <f t="shared" si="1"/>
        <v>181</v>
      </c>
      <c r="B185" s="283"/>
      <c r="C185" s="335"/>
      <c r="D185" s="338"/>
      <c r="E185" s="286"/>
      <c r="F185" s="287"/>
      <c r="G185" s="288" t="str">
        <f>+IFERROR(VLOOKUP(F185,NVL!$B:$C,2,0),"")</f>
        <v/>
      </c>
      <c r="H185" s="288" t="str">
        <f>+IFERROR(VLOOKUP(F185,NVL!$B:$D,3,0),"")</f>
        <v/>
      </c>
      <c r="I185" s="288" t="str">
        <f>+IFERROR(VLOOKUP(F185,NVL!$B:$F,4,0),"")</f>
        <v/>
      </c>
      <c r="J185" s="289"/>
      <c r="K185" s="290"/>
      <c r="L185" s="291" t="str">
        <f>+IFERROR(VLOOKUP(K185,'THÀNH PHẨM'!$B:$F,3,0),"")</f>
        <v/>
      </c>
      <c r="M185" s="291" t="str">
        <f>+IFERROR(VLOOKUP(K185,'THÀNH PHẨM'!$B:$F,4,0),"")</f>
        <v/>
      </c>
      <c r="N185" s="291" t="str">
        <f>+IFERROR(VLOOKUP(K185,'THÀNH PHẨM'!$B:$F,5,0),"")</f>
        <v/>
      </c>
      <c r="O185" s="289"/>
      <c r="P185" s="292">
        <f t="shared" si="2"/>
        <v>0</v>
      </c>
      <c r="Q185" s="289"/>
      <c r="R185" s="289"/>
      <c r="S185" s="293">
        <f t="shared" si="62"/>
        <v>0</v>
      </c>
      <c r="T185" s="294"/>
      <c r="U185" s="295">
        <f t="shared" si="68"/>
        <v>0</v>
      </c>
      <c r="V185" s="296"/>
      <c r="W185" s="297"/>
      <c r="X185" s="298"/>
      <c r="Y185" s="292" t="str">
        <f t="shared" si="69"/>
        <v/>
      </c>
      <c r="Z185" s="366">
        <f t="shared" si="70"/>
        <v>0</v>
      </c>
      <c r="AA185" s="299" t="str">
        <f t="shared" si="71"/>
        <v/>
      </c>
      <c r="AB185" s="300"/>
      <c r="AC185" s="301"/>
      <c r="AD185" s="302"/>
      <c r="AE185" s="303"/>
      <c r="AF185" s="304"/>
      <c r="AG185" s="304"/>
      <c r="AH185" s="304"/>
      <c r="AI185" s="304"/>
      <c r="AJ185" s="304"/>
      <c r="AK185" s="305"/>
      <c r="AL185" s="283"/>
      <c r="AM185" s="284"/>
    </row>
    <row r="186" ht="15.75" customHeight="1">
      <c r="A186" s="282">
        <f t="shared" si="1"/>
        <v>182</v>
      </c>
      <c r="B186" s="283"/>
      <c r="C186" s="335"/>
      <c r="D186" s="338"/>
      <c r="E186" s="286"/>
      <c r="F186" s="287"/>
      <c r="G186" s="288" t="str">
        <f>+IFERROR(VLOOKUP(F186,NVL!$B:$C,2,0),"")</f>
        <v/>
      </c>
      <c r="H186" s="288" t="str">
        <f>+IFERROR(VLOOKUP(F186,NVL!$B:$D,3,0),"")</f>
        <v/>
      </c>
      <c r="I186" s="288" t="str">
        <f>+IFERROR(VLOOKUP(F186,NVL!$B:$F,4,0),"")</f>
        <v/>
      </c>
      <c r="J186" s="289"/>
      <c r="K186" s="290"/>
      <c r="L186" s="291" t="str">
        <f>+IFERROR(VLOOKUP(K186,'THÀNH PHẨM'!$B:$F,3,0),"")</f>
        <v/>
      </c>
      <c r="M186" s="291" t="str">
        <f>+IFERROR(VLOOKUP(K186,'THÀNH PHẨM'!$B:$F,4,0),"")</f>
        <v/>
      </c>
      <c r="N186" s="291" t="str">
        <f>+IFERROR(VLOOKUP(K186,'THÀNH PHẨM'!$B:$F,5,0),"")</f>
        <v/>
      </c>
      <c r="O186" s="289"/>
      <c r="P186" s="292">
        <f t="shared" si="2"/>
        <v>0</v>
      </c>
      <c r="Q186" s="289"/>
      <c r="R186" s="289"/>
      <c r="S186" s="293">
        <f t="shared" si="62"/>
        <v>0</v>
      </c>
      <c r="T186" s="294"/>
      <c r="U186" s="295">
        <f t="shared" si="68"/>
        <v>0</v>
      </c>
      <c r="V186" s="296"/>
      <c r="W186" s="297"/>
      <c r="X186" s="298"/>
      <c r="Y186" s="292" t="str">
        <f t="shared" si="69"/>
        <v/>
      </c>
      <c r="Z186" s="366">
        <f t="shared" si="70"/>
        <v>0</v>
      </c>
      <c r="AA186" s="299" t="str">
        <f t="shared" si="71"/>
        <v/>
      </c>
      <c r="AB186" s="300"/>
      <c r="AC186" s="301"/>
      <c r="AD186" s="302"/>
      <c r="AE186" s="303"/>
      <c r="AF186" s="304"/>
      <c r="AG186" s="304"/>
      <c r="AH186" s="304"/>
      <c r="AI186" s="304"/>
      <c r="AJ186" s="304"/>
      <c r="AK186" s="305"/>
      <c r="AL186" s="283"/>
      <c r="AM186" s="284"/>
    </row>
    <row r="187" ht="15.75" customHeight="1">
      <c r="A187" s="282">
        <f t="shared" si="1"/>
        <v>183</v>
      </c>
      <c r="B187" s="283"/>
      <c r="C187" s="335"/>
      <c r="D187" s="338"/>
      <c r="E187" s="286"/>
      <c r="F187" s="287"/>
      <c r="G187" s="288" t="str">
        <f>+IFERROR(VLOOKUP(F187,NVL!$B:$C,2,0),"")</f>
        <v/>
      </c>
      <c r="H187" s="288" t="str">
        <f>+IFERROR(VLOOKUP(F187,NVL!$B:$D,3,0),"")</f>
        <v/>
      </c>
      <c r="I187" s="288" t="str">
        <f>+IFERROR(VLOOKUP(F187,NVL!$B:$F,4,0),"")</f>
        <v/>
      </c>
      <c r="J187" s="289"/>
      <c r="K187" s="290"/>
      <c r="L187" s="291" t="str">
        <f>+IFERROR(VLOOKUP(K187,'THÀNH PHẨM'!$B:$F,3,0),"")</f>
        <v/>
      </c>
      <c r="M187" s="291" t="str">
        <f>+IFERROR(VLOOKUP(K187,'THÀNH PHẨM'!$B:$F,4,0),"")</f>
        <v/>
      </c>
      <c r="N187" s="291" t="str">
        <f>+IFERROR(VLOOKUP(K187,'THÀNH PHẨM'!$B:$F,5,0),"")</f>
        <v/>
      </c>
      <c r="O187" s="289"/>
      <c r="P187" s="292">
        <f t="shared" si="2"/>
        <v>0</v>
      </c>
      <c r="Q187" s="289"/>
      <c r="R187" s="289"/>
      <c r="S187" s="293">
        <f t="shared" si="62"/>
        <v>0</v>
      </c>
      <c r="T187" s="294"/>
      <c r="U187" s="295">
        <f t="shared" si="68"/>
        <v>0</v>
      </c>
      <c r="V187" s="296"/>
      <c r="W187" s="297"/>
      <c r="X187" s="298"/>
      <c r="Y187" s="292" t="str">
        <f t="shared" si="69"/>
        <v/>
      </c>
      <c r="Z187" s="366">
        <f t="shared" si="70"/>
        <v>0</v>
      </c>
      <c r="AA187" s="299" t="str">
        <f t="shared" si="71"/>
        <v/>
      </c>
      <c r="AB187" s="300"/>
      <c r="AC187" s="301"/>
      <c r="AD187" s="302"/>
      <c r="AE187" s="303"/>
      <c r="AF187" s="304"/>
      <c r="AG187" s="304"/>
      <c r="AH187" s="304"/>
      <c r="AI187" s="304"/>
      <c r="AJ187" s="304"/>
      <c r="AK187" s="305"/>
      <c r="AL187" s="283"/>
      <c r="AM187" s="284"/>
    </row>
    <row r="188" ht="15.75" customHeight="1">
      <c r="A188" s="282">
        <f t="shared" si="1"/>
        <v>184</v>
      </c>
      <c r="B188" s="283"/>
      <c r="C188" s="335"/>
      <c r="D188" s="338"/>
      <c r="E188" s="286"/>
      <c r="F188" s="287"/>
      <c r="G188" s="288" t="str">
        <f>+IFERROR(VLOOKUP(F188,NVL!$B:$C,2,0),"")</f>
        <v/>
      </c>
      <c r="H188" s="288" t="str">
        <f>+IFERROR(VLOOKUP(F188,NVL!$B:$D,3,0),"")</f>
        <v/>
      </c>
      <c r="I188" s="288" t="str">
        <f>+IFERROR(VLOOKUP(F188,NVL!$B:$F,4,0),"")</f>
        <v/>
      </c>
      <c r="J188" s="289"/>
      <c r="K188" s="290"/>
      <c r="L188" s="291" t="str">
        <f>+IFERROR(VLOOKUP(K188,'THÀNH PHẨM'!$B:$F,3,0),"")</f>
        <v/>
      </c>
      <c r="M188" s="291" t="str">
        <f>+IFERROR(VLOOKUP(K188,'THÀNH PHẨM'!$B:$F,4,0),"")</f>
        <v/>
      </c>
      <c r="N188" s="291" t="str">
        <f>+IFERROR(VLOOKUP(K188,'THÀNH PHẨM'!$B:$F,5,0),"")</f>
        <v/>
      </c>
      <c r="O188" s="289"/>
      <c r="P188" s="292">
        <f t="shared" si="2"/>
        <v>0</v>
      </c>
      <c r="Q188" s="289"/>
      <c r="R188" s="289"/>
      <c r="S188" s="293">
        <f t="shared" si="62"/>
        <v>0</v>
      </c>
      <c r="T188" s="294"/>
      <c r="U188" s="295">
        <f t="shared" si="68"/>
        <v>0</v>
      </c>
      <c r="V188" s="296"/>
      <c r="W188" s="297"/>
      <c r="X188" s="298"/>
      <c r="Y188" s="292" t="str">
        <f t="shared" si="69"/>
        <v/>
      </c>
      <c r="Z188" s="366">
        <f t="shared" si="70"/>
        <v>0</v>
      </c>
      <c r="AA188" s="299" t="str">
        <f t="shared" si="71"/>
        <v/>
      </c>
      <c r="AB188" s="300"/>
      <c r="AC188" s="301"/>
      <c r="AD188" s="302"/>
      <c r="AE188" s="303"/>
      <c r="AF188" s="304"/>
      <c r="AG188" s="304"/>
      <c r="AH188" s="304"/>
      <c r="AI188" s="304"/>
      <c r="AJ188" s="304"/>
      <c r="AK188" s="305"/>
      <c r="AL188" s="283"/>
      <c r="AM188" s="284"/>
    </row>
    <row r="189" ht="15.75" customHeight="1">
      <c r="A189" s="282">
        <f t="shared" si="1"/>
        <v>185</v>
      </c>
      <c r="B189" s="283"/>
      <c r="C189" s="335"/>
      <c r="D189" s="338"/>
      <c r="E189" s="286"/>
      <c r="F189" s="287"/>
      <c r="G189" s="288" t="str">
        <f>+IFERROR(VLOOKUP(F189,NVL!$B:$C,2,0),"")</f>
        <v/>
      </c>
      <c r="H189" s="288" t="str">
        <f>+IFERROR(VLOOKUP(F189,NVL!$B:$D,3,0),"")</f>
        <v/>
      </c>
      <c r="I189" s="288" t="str">
        <f>+IFERROR(VLOOKUP(F189,NVL!$B:$F,4,0),"")</f>
        <v/>
      </c>
      <c r="J189" s="289"/>
      <c r="K189" s="290"/>
      <c r="L189" s="291" t="str">
        <f>+IFERROR(VLOOKUP(K189,'THÀNH PHẨM'!$B:$F,3,0),"")</f>
        <v/>
      </c>
      <c r="M189" s="291" t="str">
        <f>+IFERROR(VLOOKUP(K189,'THÀNH PHẨM'!$B:$F,4,0),"")</f>
        <v/>
      </c>
      <c r="N189" s="291" t="str">
        <f>+IFERROR(VLOOKUP(K189,'THÀNH PHẨM'!$B:$F,5,0),"")</f>
        <v/>
      </c>
      <c r="O189" s="289"/>
      <c r="P189" s="292">
        <f t="shared" si="2"/>
        <v>0</v>
      </c>
      <c r="Q189" s="289"/>
      <c r="R189" s="289"/>
      <c r="S189" s="293">
        <f t="shared" si="62"/>
        <v>0</v>
      </c>
      <c r="T189" s="294"/>
      <c r="U189" s="295">
        <f t="shared" si="68"/>
        <v>0</v>
      </c>
      <c r="V189" s="296"/>
      <c r="W189" s="297"/>
      <c r="X189" s="298"/>
      <c r="Y189" s="292" t="str">
        <f t="shared" si="69"/>
        <v/>
      </c>
      <c r="Z189" s="366">
        <f t="shared" si="70"/>
        <v>0</v>
      </c>
      <c r="AA189" s="299" t="str">
        <f t="shared" si="71"/>
        <v/>
      </c>
      <c r="AB189" s="300"/>
      <c r="AC189" s="301"/>
      <c r="AD189" s="302"/>
      <c r="AE189" s="303"/>
      <c r="AF189" s="304"/>
      <c r="AG189" s="304"/>
      <c r="AH189" s="304"/>
      <c r="AI189" s="304"/>
      <c r="AJ189" s="304"/>
      <c r="AK189" s="305"/>
      <c r="AL189" s="283"/>
      <c r="AM189" s="284"/>
    </row>
    <row r="190" ht="15.75" customHeight="1">
      <c r="A190" s="282">
        <f t="shared" si="1"/>
        <v>186</v>
      </c>
      <c r="B190" s="283"/>
      <c r="C190" s="335"/>
      <c r="D190" s="338"/>
      <c r="E190" s="286"/>
      <c r="F190" s="287"/>
      <c r="G190" s="288" t="str">
        <f>+IFERROR(VLOOKUP(F190,NVL!$B:$C,2,0),"")</f>
        <v/>
      </c>
      <c r="H190" s="288" t="str">
        <f>+IFERROR(VLOOKUP(F190,NVL!$B:$D,3,0),"")</f>
        <v/>
      </c>
      <c r="I190" s="288" t="str">
        <f>+IFERROR(VLOOKUP(F190,NVL!$B:$F,4,0),"")</f>
        <v/>
      </c>
      <c r="J190" s="289"/>
      <c r="K190" s="290"/>
      <c r="L190" s="291" t="str">
        <f>+IFERROR(VLOOKUP(K190,'THÀNH PHẨM'!$B:$F,3,0),"")</f>
        <v/>
      </c>
      <c r="M190" s="291" t="str">
        <f>+IFERROR(VLOOKUP(K190,'THÀNH PHẨM'!$B:$F,4,0),"")</f>
        <v/>
      </c>
      <c r="N190" s="291" t="str">
        <f>+IFERROR(VLOOKUP(K190,'THÀNH PHẨM'!$B:$F,5,0),"")</f>
        <v/>
      </c>
      <c r="O190" s="289"/>
      <c r="P190" s="292">
        <f t="shared" si="2"/>
        <v>0</v>
      </c>
      <c r="Q190" s="289"/>
      <c r="R190" s="289"/>
      <c r="S190" s="293">
        <f t="shared" si="62"/>
        <v>0</v>
      </c>
      <c r="T190" s="294"/>
      <c r="U190" s="295">
        <f t="shared" si="68"/>
        <v>0</v>
      </c>
      <c r="V190" s="296"/>
      <c r="W190" s="297"/>
      <c r="X190" s="298"/>
      <c r="Y190" s="292" t="str">
        <f t="shared" si="69"/>
        <v/>
      </c>
      <c r="Z190" s="366">
        <f t="shared" si="70"/>
        <v>0</v>
      </c>
      <c r="AA190" s="299" t="str">
        <f t="shared" si="71"/>
        <v/>
      </c>
      <c r="AB190" s="300"/>
      <c r="AC190" s="301"/>
      <c r="AD190" s="302"/>
      <c r="AE190" s="303"/>
      <c r="AF190" s="304"/>
      <c r="AG190" s="304"/>
      <c r="AH190" s="304"/>
      <c r="AI190" s="304"/>
      <c r="AJ190" s="304"/>
      <c r="AK190" s="305"/>
      <c r="AL190" s="283"/>
      <c r="AM190" s="284"/>
    </row>
    <row r="191" ht="15.75" customHeight="1">
      <c r="A191" s="282">
        <f t="shared" si="1"/>
        <v>187</v>
      </c>
      <c r="B191" s="283"/>
      <c r="C191" s="335"/>
      <c r="D191" s="338"/>
      <c r="E191" s="286"/>
      <c r="F191" s="287"/>
      <c r="G191" s="288" t="str">
        <f>+IFERROR(VLOOKUP(F191,NVL!$B:$C,2,0),"")</f>
        <v/>
      </c>
      <c r="H191" s="288" t="str">
        <f>+IFERROR(VLOOKUP(F191,NVL!$B:$D,3,0),"")</f>
        <v/>
      </c>
      <c r="I191" s="288" t="str">
        <f>+IFERROR(VLOOKUP(F191,NVL!$B:$F,4,0),"")</f>
        <v/>
      </c>
      <c r="J191" s="289"/>
      <c r="K191" s="290"/>
      <c r="L191" s="291" t="str">
        <f>+IFERROR(VLOOKUP(K191,'THÀNH PHẨM'!$B:$F,3,0),"")</f>
        <v/>
      </c>
      <c r="M191" s="291" t="str">
        <f>+IFERROR(VLOOKUP(K191,'THÀNH PHẨM'!$B:$F,4,0),"")</f>
        <v/>
      </c>
      <c r="N191" s="291" t="str">
        <f>+IFERROR(VLOOKUP(K191,'THÀNH PHẨM'!$B:$F,5,0),"")</f>
        <v/>
      </c>
      <c r="O191" s="289"/>
      <c r="P191" s="292">
        <f t="shared" si="2"/>
        <v>0</v>
      </c>
      <c r="Q191" s="289"/>
      <c r="R191" s="289"/>
      <c r="S191" s="293">
        <f t="shared" si="62"/>
        <v>0</v>
      </c>
      <c r="T191" s="294"/>
      <c r="U191" s="295">
        <f t="shared" si="68"/>
        <v>0</v>
      </c>
      <c r="V191" s="296"/>
      <c r="W191" s="297"/>
      <c r="X191" s="298"/>
      <c r="Y191" s="292" t="str">
        <f t="shared" si="69"/>
        <v/>
      </c>
      <c r="Z191" s="366">
        <f t="shared" si="70"/>
        <v>0</v>
      </c>
      <c r="AA191" s="299" t="str">
        <f t="shared" si="71"/>
        <v/>
      </c>
      <c r="AB191" s="300"/>
      <c r="AC191" s="301"/>
      <c r="AD191" s="302"/>
      <c r="AE191" s="303"/>
      <c r="AF191" s="304"/>
      <c r="AG191" s="304"/>
      <c r="AH191" s="304"/>
      <c r="AI191" s="304"/>
      <c r="AJ191" s="304"/>
      <c r="AK191" s="305"/>
      <c r="AL191" s="283"/>
      <c r="AM191" s="284"/>
    </row>
    <row r="192" ht="15.75" customHeight="1">
      <c r="A192" s="282">
        <f t="shared" si="1"/>
        <v>188</v>
      </c>
      <c r="B192" s="283"/>
      <c r="C192" s="335"/>
      <c r="D192" s="338"/>
      <c r="E192" s="286"/>
      <c r="F192" s="336"/>
      <c r="G192" s="288" t="str">
        <f>+IFERROR(VLOOKUP(F192,NVL!$B:$C,2,0),"")</f>
        <v/>
      </c>
      <c r="H192" s="288" t="str">
        <f>+IFERROR(VLOOKUP(F192,NVL!$B:$D,3,0),"")</f>
        <v/>
      </c>
      <c r="I192" s="288" t="str">
        <f>+IFERROR(VLOOKUP(F192,NVL!$B:$F,4,0),"")</f>
        <v/>
      </c>
      <c r="J192" s="289"/>
      <c r="K192" s="290"/>
      <c r="L192" s="291" t="str">
        <f>+IFERROR(VLOOKUP(K192,'THÀNH PHẨM'!$B:$F,3,0),"")</f>
        <v/>
      </c>
      <c r="M192" s="291" t="str">
        <f>+IFERROR(VLOOKUP(K192,'THÀNH PHẨM'!$B:$F,4,0),"")</f>
        <v/>
      </c>
      <c r="N192" s="291" t="str">
        <f>+IFERROR(VLOOKUP(K192,'THÀNH PHẨM'!$B:$F,5,0),"")</f>
        <v/>
      </c>
      <c r="O192" s="289"/>
      <c r="P192" s="292">
        <f t="shared" si="2"/>
        <v>0</v>
      </c>
      <c r="Q192" s="289"/>
      <c r="R192" s="289"/>
      <c r="S192" s="293">
        <f t="shared" si="62"/>
        <v>0</v>
      </c>
      <c r="T192" s="294"/>
      <c r="U192" s="295">
        <f t="shared" si="68"/>
        <v>0</v>
      </c>
      <c r="V192" s="296"/>
      <c r="W192" s="297"/>
      <c r="X192" s="298"/>
      <c r="Y192" s="292" t="str">
        <f t="shared" si="69"/>
        <v/>
      </c>
      <c r="Z192" s="366">
        <f t="shared" si="70"/>
        <v>0</v>
      </c>
      <c r="AA192" s="299" t="str">
        <f t="shared" si="71"/>
        <v/>
      </c>
      <c r="AB192" s="300"/>
      <c r="AC192" s="301"/>
      <c r="AD192" s="302"/>
      <c r="AE192" s="303"/>
      <c r="AF192" s="304"/>
      <c r="AG192" s="304"/>
      <c r="AH192" s="304"/>
      <c r="AI192" s="304"/>
      <c r="AJ192" s="304"/>
      <c r="AK192" s="305"/>
      <c r="AL192" s="283"/>
      <c r="AM192" s="284"/>
    </row>
    <row r="193" ht="15.75" customHeight="1">
      <c r="A193" s="282">
        <f t="shared" si="1"/>
        <v>189</v>
      </c>
      <c r="B193" s="283"/>
      <c r="C193" s="335"/>
      <c r="D193" s="338"/>
      <c r="E193" s="286"/>
      <c r="F193" s="336"/>
      <c r="G193" s="288" t="str">
        <f>+IFERROR(VLOOKUP(F193,NVL!$B:$C,2,0),"")</f>
        <v/>
      </c>
      <c r="H193" s="288" t="str">
        <f>+IFERROR(VLOOKUP(F193,NVL!$B:$D,3,0),"")</f>
        <v/>
      </c>
      <c r="I193" s="288" t="str">
        <f>+IFERROR(VLOOKUP(F193,NVL!$B:$F,4,0),"")</f>
        <v/>
      </c>
      <c r="J193" s="289"/>
      <c r="K193" s="290"/>
      <c r="L193" s="291" t="str">
        <f>+IFERROR(VLOOKUP(K193,'THÀNH PHẨM'!$B:$F,3,0),"")</f>
        <v/>
      </c>
      <c r="M193" s="291" t="str">
        <f>+IFERROR(VLOOKUP(K193,'THÀNH PHẨM'!$B:$F,4,0),"")</f>
        <v/>
      </c>
      <c r="N193" s="291" t="str">
        <f>+IFERROR(VLOOKUP(K193,'THÀNH PHẨM'!$B:$F,5,0),"")</f>
        <v/>
      </c>
      <c r="O193" s="289"/>
      <c r="P193" s="292">
        <f t="shared" si="2"/>
        <v>0</v>
      </c>
      <c r="Q193" s="289"/>
      <c r="R193" s="289"/>
      <c r="S193" s="293">
        <f t="shared" si="62"/>
        <v>0</v>
      </c>
      <c r="T193" s="294"/>
      <c r="U193" s="295">
        <f t="shared" si="68"/>
        <v>0</v>
      </c>
      <c r="V193" s="296"/>
      <c r="W193" s="297"/>
      <c r="X193" s="298"/>
      <c r="Y193" s="292" t="str">
        <f t="shared" si="69"/>
        <v/>
      </c>
      <c r="Z193" s="366">
        <f t="shared" si="70"/>
        <v>0</v>
      </c>
      <c r="AA193" s="299" t="str">
        <f t="shared" si="71"/>
        <v/>
      </c>
      <c r="AB193" s="300"/>
      <c r="AC193" s="301"/>
      <c r="AD193" s="302"/>
      <c r="AE193" s="303"/>
      <c r="AF193" s="304"/>
      <c r="AG193" s="304"/>
      <c r="AH193" s="304"/>
      <c r="AI193" s="304"/>
      <c r="AJ193" s="304"/>
      <c r="AK193" s="305"/>
      <c r="AL193" s="283"/>
      <c r="AM193" s="284"/>
    </row>
    <row r="194" ht="15.75" customHeight="1">
      <c r="A194" s="282">
        <f t="shared" si="1"/>
        <v>190</v>
      </c>
      <c r="B194" s="283"/>
      <c r="C194" s="335"/>
      <c r="D194" s="338"/>
      <c r="E194" s="286"/>
      <c r="F194" s="287"/>
      <c r="G194" s="288" t="str">
        <f>+IFERROR(VLOOKUP(F194,NVL!$B:$C,2,0),"")</f>
        <v/>
      </c>
      <c r="H194" s="288" t="str">
        <f>+IFERROR(VLOOKUP(F194,NVL!$B:$D,3,0),"")</f>
        <v/>
      </c>
      <c r="I194" s="288" t="str">
        <f>+IFERROR(VLOOKUP(F194,NVL!$B:$F,4,0),"")</f>
        <v/>
      </c>
      <c r="J194" s="289"/>
      <c r="K194" s="290"/>
      <c r="L194" s="291" t="str">
        <f>+IFERROR(VLOOKUP(K194,'THÀNH PHẨM'!$B:$F,3,0),"")</f>
        <v/>
      </c>
      <c r="M194" s="291" t="str">
        <f>+IFERROR(VLOOKUP(K194,'THÀNH PHẨM'!$B:$F,4,0),"")</f>
        <v/>
      </c>
      <c r="N194" s="291" t="str">
        <f>+IFERROR(VLOOKUP(K194,'THÀNH PHẨM'!$B:$F,5,0),"")</f>
        <v/>
      </c>
      <c r="O194" s="289"/>
      <c r="P194" s="292">
        <f t="shared" si="2"/>
        <v>0</v>
      </c>
      <c r="Q194" s="289"/>
      <c r="R194" s="289"/>
      <c r="S194" s="293">
        <f t="shared" si="62"/>
        <v>0</v>
      </c>
      <c r="T194" s="294"/>
      <c r="U194" s="295">
        <f t="shared" si="68"/>
        <v>0</v>
      </c>
      <c r="V194" s="296"/>
      <c r="W194" s="297"/>
      <c r="X194" s="298"/>
      <c r="Y194" s="292" t="str">
        <f t="shared" si="69"/>
        <v/>
      </c>
      <c r="Z194" s="366">
        <f t="shared" si="70"/>
        <v>0</v>
      </c>
      <c r="AA194" s="299" t="str">
        <f t="shared" si="71"/>
        <v/>
      </c>
      <c r="AB194" s="300"/>
      <c r="AC194" s="301"/>
      <c r="AD194" s="302"/>
      <c r="AE194" s="303"/>
      <c r="AF194" s="304"/>
      <c r="AG194" s="304"/>
      <c r="AH194" s="304"/>
      <c r="AI194" s="304"/>
      <c r="AJ194" s="304"/>
      <c r="AK194" s="305"/>
      <c r="AL194" s="283"/>
      <c r="AM194" s="284"/>
    </row>
    <row r="195" ht="15.75" customHeight="1">
      <c r="A195" s="282">
        <f t="shared" si="1"/>
        <v>191</v>
      </c>
      <c r="B195" s="283"/>
      <c r="C195" s="335"/>
      <c r="D195" s="338"/>
      <c r="E195" s="286"/>
      <c r="F195" s="287"/>
      <c r="G195" s="288" t="str">
        <f>+IFERROR(VLOOKUP(F195,NVL!$B:$C,2,0),"")</f>
        <v/>
      </c>
      <c r="H195" s="288" t="str">
        <f>+IFERROR(VLOOKUP(F195,NVL!$B:$D,3,0),"")</f>
        <v/>
      </c>
      <c r="I195" s="288" t="str">
        <f>+IFERROR(VLOOKUP(F195,NVL!$B:$F,4,0),"")</f>
        <v/>
      </c>
      <c r="J195" s="289"/>
      <c r="K195" s="290"/>
      <c r="L195" s="291" t="str">
        <f>+IFERROR(VLOOKUP(K195,'THÀNH PHẨM'!$B:$F,3,0),"")</f>
        <v/>
      </c>
      <c r="M195" s="291" t="str">
        <f>+IFERROR(VLOOKUP(K195,'THÀNH PHẨM'!$B:$F,4,0),"")</f>
        <v/>
      </c>
      <c r="N195" s="291" t="str">
        <f>+IFERROR(VLOOKUP(K195,'THÀNH PHẨM'!$B:$F,5,0),"")</f>
        <v/>
      </c>
      <c r="O195" s="289"/>
      <c r="P195" s="292">
        <f t="shared" si="2"/>
        <v>0</v>
      </c>
      <c r="Q195" s="289"/>
      <c r="R195" s="289"/>
      <c r="S195" s="293">
        <f t="shared" si="62"/>
        <v>0</v>
      </c>
      <c r="T195" s="294"/>
      <c r="U195" s="295">
        <f t="shared" si="68"/>
        <v>0</v>
      </c>
      <c r="V195" s="296"/>
      <c r="W195" s="297"/>
      <c r="X195" s="298"/>
      <c r="Y195" s="292" t="str">
        <f t="shared" si="69"/>
        <v/>
      </c>
      <c r="Z195" s="366">
        <f t="shared" si="70"/>
        <v>0</v>
      </c>
      <c r="AA195" s="299" t="str">
        <f t="shared" si="71"/>
        <v/>
      </c>
      <c r="AB195" s="300"/>
      <c r="AC195" s="301"/>
      <c r="AD195" s="302"/>
      <c r="AE195" s="303"/>
      <c r="AF195" s="304"/>
      <c r="AG195" s="304"/>
      <c r="AH195" s="304"/>
      <c r="AI195" s="304"/>
      <c r="AJ195" s="304"/>
      <c r="AK195" s="305"/>
      <c r="AL195" s="283"/>
      <c r="AM195" s="284"/>
    </row>
    <row r="196" ht="15.75" customHeight="1">
      <c r="A196" s="282">
        <f t="shared" si="1"/>
        <v>192</v>
      </c>
      <c r="B196" s="283"/>
      <c r="C196" s="335"/>
      <c r="D196" s="338"/>
      <c r="E196" s="286"/>
      <c r="F196" s="287"/>
      <c r="G196" s="288" t="str">
        <f>+IFERROR(VLOOKUP(F196,NVL!$B:$C,2,0),"")</f>
        <v/>
      </c>
      <c r="H196" s="288" t="str">
        <f>+IFERROR(VLOOKUP(F196,NVL!$B:$D,3,0),"")</f>
        <v/>
      </c>
      <c r="I196" s="288" t="str">
        <f>+IFERROR(VLOOKUP(F196,NVL!$B:$F,4,0),"")</f>
        <v/>
      </c>
      <c r="J196" s="289"/>
      <c r="K196" s="290"/>
      <c r="L196" s="291" t="str">
        <f>+IFERROR(VLOOKUP(K196,'THÀNH PHẨM'!$B:$F,3,0),"")</f>
        <v/>
      </c>
      <c r="M196" s="291" t="str">
        <f>+IFERROR(VLOOKUP(K196,'THÀNH PHẨM'!$B:$F,4,0),"")</f>
        <v/>
      </c>
      <c r="N196" s="291" t="str">
        <f>+IFERROR(VLOOKUP(K196,'THÀNH PHẨM'!$B:$F,5,0),"")</f>
        <v/>
      </c>
      <c r="O196" s="289"/>
      <c r="P196" s="292">
        <f t="shared" si="2"/>
        <v>0</v>
      </c>
      <c r="Q196" s="289"/>
      <c r="R196" s="289"/>
      <c r="S196" s="293">
        <f t="shared" si="62"/>
        <v>0</v>
      </c>
      <c r="T196" s="294"/>
      <c r="U196" s="295">
        <f t="shared" si="68"/>
        <v>0</v>
      </c>
      <c r="V196" s="296"/>
      <c r="W196" s="297"/>
      <c r="X196" s="298"/>
      <c r="Y196" s="292" t="str">
        <f t="shared" si="69"/>
        <v/>
      </c>
      <c r="Z196" s="366">
        <f t="shared" si="70"/>
        <v>0</v>
      </c>
      <c r="AA196" s="299" t="str">
        <f t="shared" si="71"/>
        <v/>
      </c>
      <c r="AB196" s="300"/>
      <c r="AC196" s="301"/>
      <c r="AD196" s="302"/>
      <c r="AE196" s="303"/>
      <c r="AF196" s="304"/>
      <c r="AG196" s="304"/>
      <c r="AH196" s="304"/>
      <c r="AI196" s="304"/>
      <c r="AJ196" s="304"/>
      <c r="AK196" s="305"/>
      <c r="AL196" s="283"/>
      <c r="AM196" s="284"/>
    </row>
    <row r="197" ht="15.75" customHeight="1">
      <c r="A197" s="282">
        <f t="shared" si="1"/>
        <v>193</v>
      </c>
      <c r="B197" s="283"/>
      <c r="C197" s="335"/>
      <c r="D197" s="338"/>
      <c r="E197" s="286"/>
      <c r="F197" s="287"/>
      <c r="G197" s="288" t="str">
        <f>+IFERROR(VLOOKUP(F197,NVL!$B:$C,2,0),"")</f>
        <v/>
      </c>
      <c r="H197" s="288" t="str">
        <f>+IFERROR(VLOOKUP(F197,NVL!$B:$D,3,0),"")</f>
        <v/>
      </c>
      <c r="I197" s="288" t="str">
        <f>+IFERROR(VLOOKUP(F197,NVL!$B:$F,4,0),"")</f>
        <v/>
      </c>
      <c r="J197" s="289"/>
      <c r="K197" s="290"/>
      <c r="L197" s="291" t="str">
        <f>+IFERROR(VLOOKUP(K197,'THÀNH PHẨM'!$B:$F,3,0),"")</f>
        <v/>
      </c>
      <c r="M197" s="291" t="str">
        <f>+IFERROR(VLOOKUP(K197,'THÀNH PHẨM'!$B:$F,4,0),"")</f>
        <v/>
      </c>
      <c r="N197" s="291" t="str">
        <f>+IFERROR(VLOOKUP(K197,'THÀNH PHẨM'!$B:$F,5,0),"")</f>
        <v/>
      </c>
      <c r="O197" s="289"/>
      <c r="P197" s="292">
        <f t="shared" si="2"/>
        <v>0</v>
      </c>
      <c r="Q197" s="289"/>
      <c r="R197" s="289"/>
      <c r="S197" s="293">
        <f t="shared" si="62"/>
        <v>0</v>
      </c>
      <c r="T197" s="294"/>
      <c r="U197" s="295">
        <f t="shared" si="68"/>
        <v>0</v>
      </c>
      <c r="V197" s="296"/>
      <c r="W197" s="297"/>
      <c r="X197" s="298"/>
      <c r="Y197" s="292" t="str">
        <f t="shared" si="69"/>
        <v/>
      </c>
      <c r="Z197" s="366">
        <f t="shared" si="70"/>
        <v>0</v>
      </c>
      <c r="AA197" s="299" t="str">
        <f t="shared" si="71"/>
        <v/>
      </c>
      <c r="AB197" s="300"/>
      <c r="AC197" s="301"/>
      <c r="AD197" s="302"/>
      <c r="AE197" s="303"/>
      <c r="AF197" s="304"/>
      <c r="AG197" s="304"/>
      <c r="AH197" s="304"/>
      <c r="AI197" s="304"/>
      <c r="AJ197" s="304"/>
      <c r="AK197" s="305"/>
      <c r="AL197" s="283"/>
      <c r="AM197" s="284"/>
    </row>
    <row r="198" ht="15.75" customHeight="1">
      <c r="A198" s="282">
        <f t="shared" si="1"/>
        <v>194</v>
      </c>
      <c r="B198" s="283"/>
      <c r="C198" s="335"/>
      <c r="D198" s="338"/>
      <c r="E198" s="286"/>
      <c r="F198" s="287"/>
      <c r="G198" s="288" t="str">
        <f>+IFERROR(VLOOKUP(F198,NVL!$B:$C,2,0),"")</f>
        <v/>
      </c>
      <c r="H198" s="288" t="str">
        <f>+IFERROR(VLOOKUP(F198,NVL!$B:$D,3,0),"")</f>
        <v/>
      </c>
      <c r="I198" s="288" t="str">
        <f>+IFERROR(VLOOKUP(F198,NVL!$B:$F,4,0),"")</f>
        <v/>
      </c>
      <c r="J198" s="289"/>
      <c r="K198" s="290"/>
      <c r="L198" s="291" t="str">
        <f>+IFERROR(VLOOKUP(K198,'THÀNH PHẨM'!$B:$F,3,0),"")</f>
        <v/>
      </c>
      <c r="M198" s="291" t="str">
        <f>+IFERROR(VLOOKUP(K198,'THÀNH PHẨM'!$B:$F,4,0),"")</f>
        <v/>
      </c>
      <c r="N198" s="291" t="str">
        <f>+IFERROR(VLOOKUP(K198,'THÀNH PHẨM'!$B:$F,5,0),"")</f>
        <v/>
      </c>
      <c r="O198" s="289"/>
      <c r="P198" s="292">
        <f t="shared" si="2"/>
        <v>0</v>
      </c>
      <c r="Q198" s="289"/>
      <c r="R198" s="289"/>
      <c r="S198" s="293">
        <f t="shared" si="62"/>
        <v>0</v>
      </c>
      <c r="T198" s="294"/>
      <c r="U198" s="295">
        <f t="shared" si="68"/>
        <v>0</v>
      </c>
      <c r="V198" s="296"/>
      <c r="W198" s="297"/>
      <c r="X198" s="298"/>
      <c r="Y198" s="292" t="str">
        <f t="shared" si="69"/>
        <v/>
      </c>
      <c r="Z198" s="366">
        <f t="shared" si="70"/>
        <v>0</v>
      </c>
      <c r="AA198" s="299" t="str">
        <f t="shared" si="71"/>
        <v/>
      </c>
      <c r="AB198" s="300"/>
      <c r="AC198" s="301"/>
      <c r="AD198" s="302"/>
      <c r="AE198" s="303"/>
      <c r="AF198" s="304"/>
      <c r="AG198" s="304"/>
      <c r="AH198" s="304"/>
      <c r="AI198" s="304"/>
      <c r="AJ198" s="304"/>
      <c r="AK198" s="305"/>
      <c r="AL198" s="283"/>
      <c r="AM198" s="284"/>
    </row>
    <row r="199" ht="15.75" customHeight="1">
      <c r="A199" s="282">
        <f t="shared" si="1"/>
        <v>195</v>
      </c>
      <c r="B199" s="283"/>
      <c r="C199" s="284"/>
      <c r="D199" s="338"/>
      <c r="E199" s="286"/>
      <c r="F199" s="287"/>
      <c r="G199" s="288" t="str">
        <f>+IFERROR(VLOOKUP(F199,NVL!$B:$C,2,0),"")</f>
        <v/>
      </c>
      <c r="H199" s="288" t="str">
        <f>+IFERROR(VLOOKUP(F199,NVL!$B:$D,3,0),"")</f>
        <v/>
      </c>
      <c r="I199" s="288" t="str">
        <f>+IFERROR(VLOOKUP(F199,NVL!$B:$F,4,0),"")</f>
        <v/>
      </c>
      <c r="J199" s="289"/>
      <c r="K199" s="290"/>
      <c r="L199" s="291" t="str">
        <f>+IFERROR(VLOOKUP(K199,'THÀNH PHẨM'!$B:$F,3,0),"")</f>
        <v/>
      </c>
      <c r="M199" s="291" t="str">
        <f>+IFERROR(VLOOKUP(K199,'THÀNH PHẨM'!$B:$F,4,0),"")</f>
        <v/>
      </c>
      <c r="N199" s="291" t="str">
        <f>+IFERROR(VLOOKUP(K199,'THÀNH PHẨM'!$B:$F,5,0),"")</f>
        <v/>
      </c>
      <c r="O199" s="289"/>
      <c r="P199" s="292">
        <f t="shared" si="2"/>
        <v>0</v>
      </c>
      <c r="Q199" s="289"/>
      <c r="R199" s="289"/>
      <c r="S199" s="293">
        <f t="shared" si="62"/>
        <v>0</v>
      </c>
      <c r="T199" s="294"/>
      <c r="U199" s="295">
        <f t="shared" si="68"/>
        <v>0</v>
      </c>
      <c r="V199" s="296"/>
      <c r="W199" s="297"/>
      <c r="X199" s="298"/>
      <c r="Y199" s="292" t="str">
        <f t="shared" si="69"/>
        <v/>
      </c>
      <c r="Z199" s="366">
        <f t="shared" si="70"/>
        <v>0</v>
      </c>
      <c r="AA199" s="299" t="str">
        <f t="shared" si="71"/>
        <v/>
      </c>
      <c r="AB199" s="300"/>
      <c r="AC199" s="301"/>
      <c r="AD199" s="302"/>
      <c r="AE199" s="303"/>
      <c r="AF199" s="304"/>
      <c r="AG199" s="304"/>
      <c r="AH199" s="304"/>
      <c r="AI199" s="304"/>
      <c r="AJ199" s="304"/>
      <c r="AK199" s="305"/>
      <c r="AL199" s="283"/>
      <c r="AM199" s="284"/>
    </row>
    <row r="200" ht="15.75" customHeight="1">
      <c r="A200" s="282">
        <f t="shared" si="1"/>
        <v>196</v>
      </c>
      <c r="B200" s="283"/>
      <c r="C200" s="335"/>
      <c r="D200" s="338"/>
      <c r="E200" s="286"/>
      <c r="F200" s="287"/>
      <c r="G200" s="288" t="str">
        <f>+IFERROR(VLOOKUP(F200,NVL!$B:$C,2,0),"")</f>
        <v/>
      </c>
      <c r="H200" s="288" t="str">
        <f>+IFERROR(VLOOKUP(F200,NVL!$B:$D,3,0),"")</f>
        <v/>
      </c>
      <c r="I200" s="288" t="str">
        <f>+IFERROR(VLOOKUP(F200,NVL!$B:$F,4,0),"")</f>
        <v/>
      </c>
      <c r="J200" s="289"/>
      <c r="K200" s="290"/>
      <c r="L200" s="291" t="str">
        <f>+IFERROR(VLOOKUP(K200,'THÀNH PHẨM'!$B:$F,3,0),"")</f>
        <v/>
      </c>
      <c r="M200" s="291" t="str">
        <f>+IFERROR(VLOOKUP(K200,'THÀNH PHẨM'!$B:$F,4,0),"")</f>
        <v/>
      </c>
      <c r="N200" s="291" t="str">
        <f>+IFERROR(VLOOKUP(K200,'THÀNH PHẨM'!$B:$F,5,0),"")</f>
        <v/>
      </c>
      <c r="O200" s="289"/>
      <c r="P200" s="292">
        <f t="shared" si="2"/>
        <v>0</v>
      </c>
      <c r="Q200" s="289"/>
      <c r="R200" s="289"/>
      <c r="S200" s="293">
        <f t="shared" si="62"/>
        <v>0</v>
      </c>
      <c r="T200" s="294"/>
      <c r="U200" s="295">
        <f t="shared" si="68"/>
        <v>0</v>
      </c>
      <c r="V200" s="296"/>
      <c r="W200" s="297"/>
      <c r="X200" s="298"/>
      <c r="Y200" s="292" t="str">
        <f t="shared" si="69"/>
        <v/>
      </c>
      <c r="Z200" s="366">
        <f t="shared" si="70"/>
        <v>0</v>
      </c>
      <c r="AA200" s="299" t="str">
        <f t="shared" si="71"/>
        <v/>
      </c>
      <c r="AB200" s="300"/>
      <c r="AC200" s="301"/>
      <c r="AD200" s="302"/>
      <c r="AE200" s="303"/>
      <c r="AF200" s="304"/>
      <c r="AG200" s="304"/>
      <c r="AH200" s="304"/>
      <c r="AI200" s="304"/>
      <c r="AJ200" s="304"/>
      <c r="AK200" s="305"/>
      <c r="AL200" s="283"/>
      <c r="AM200" s="284"/>
    </row>
    <row r="201" ht="15.75" customHeight="1">
      <c r="A201" s="282">
        <f t="shared" si="1"/>
        <v>197</v>
      </c>
      <c r="B201" s="283"/>
      <c r="C201" s="284"/>
      <c r="D201" s="338"/>
      <c r="E201" s="286"/>
      <c r="F201" s="287"/>
      <c r="G201" s="288" t="str">
        <f>+IFERROR(VLOOKUP(F201,NVL!$B:$C,2,0),"")</f>
        <v/>
      </c>
      <c r="H201" s="288" t="str">
        <f>+IFERROR(VLOOKUP(F201,NVL!$B:$D,3,0),"")</f>
        <v/>
      </c>
      <c r="I201" s="288" t="str">
        <f>+IFERROR(VLOOKUP(F201,NVL!$B:$F,4,0),"")</f>
        <v/>
      </c>
      <c r="J201" s="289"/>
      <c r="K201" s="290"/>
      <c r="L201" s="291" t="str">
        <f>+IFERROR(VLOOKUP(K201,'THÀNH PHẨM'!$B:$F,3,0),"")</f>
        <v/>
      </c>
      <c r="M201" s="291" t="str">
        <f>+IFERROR(VLOOKUP(K201,'THÀNH PHẨM'!$B:$F,4,0),"")</f>
        <v/>
      </c>
      <c r="N201" s="291" t="str">
        <f>+IFERROR(VLOOKUP(K201,'THÀNH PHẨM'!$B:$F,5,0),"")</f>
        <v/>
      </c>
      <c r="O201" s="289"/>
      <c r="P201" s="292">
        <f t="shared" si="2"/>
        <v>0</v>
      </c>
      <c r="Q201" s="289"/>
      <c r="R201" s="289"/>
      <c r="S201" s="293">
        <f t="shared" si="62"/>
        <v>0</v>
      </c>
      <c r="T201" s="294"/>
      <c r="U201" s="295">
        <f t="shared" si="68"/>
        <v>0</v>
      </c>
      <c r="V201" s="296"/>
      <c r="W201" s="297"/>
      <c r="X201" s="298"/>
      <c r="Y201" s="292" t="str">
        <f t="shared" si="69"/>
        <v/>
      </c>
      <c r="Z201" s="366">
        <f t="shared" si="70"/>
        <v>0</v>
      </c>
      <c r="AA201" s="299" t="str">
        <f t="shared" si="71"/>
        <v/>
      </c>
      <c r="AB201" s="300"/>
      <c r="AC201" s="301"/>
      <c r="AD201" s="302"/>
      <c r="AE201" s="303"/>
      <c r="AF201" s="304"/>
      <c r="AG201" s="304"/>
      <c r="AH201" s="304"/>
      <c r="AI201" s="304"/>
      <c r="AJ201" s="304"/>
      <c r="AK201" s="305"/>
      <c r="AL201" s="283"/>
      <c r="AM201" s="284"/>
    </row>
    <row r="202" ht="15.75" customHeight="1">
      <c r="A202" s="282">
        <f t="shared" si="1"/>
        <v>198</v>
      </c>
      <c r="B202" s="283"/>
      <c r="C202" s="284"/>
      <c r="D202" s="338"/>
      <c r="E202" s="286"/>
      <c r="F202" s="287"/>
      <c r="G202" s="288" t="str">
        <f>+IFERROR(VLOOKUP(F202,NVL!$B:$C,2,0),"")</f>
        <v/>
      </c>
      <c r="H202" s="288" t="str">
        <f>+IFERROR(VLOOKUP(F202,NVL!$B:$D,3,0),"")</f>
        <v/>
      </c>
      <c r="I202" s="288" t="str">
        <f>+IFERROR(VLOOKUP(F202,NVL!$B:$F,4,0),"")</f>
        <v/>
      </c>
      <c r="J202" s="289"/>
      <c r="K202" s="290"/>
      <c r="L202" s="291" t="str">
        <f>+IFERROR(VLOOKUP(K202,'THÀNH PHẨM'!$B:$F,3,0),"")</f>
        <v/>
      </c>
      <c r="M202" s="291" t="str">
        <f>+IFERROR(VLOOKUP(K202,'THÀNH PHẨM'!$B:$F,4,0),"")</f>
        <v/>
      </c>
      <c r="N202" s="291" t="str">
        <f>+IFERROR(VLOOKUP(K202,'THÀNH PHẨM'!$B:$F,5,0),"")</f>
        <v/>
      </c>
      <c r="O202" s="289"/>
      <c r="P202" s="292">
        <f t="shared" si="2"/>
        <v>0</v>
      </c>
      <c r="Q202" s="289"/>
      <c r="R202" s="289"/>
      <c r="S202" s="293">
        <f t="shared" si="62"/>
        <v>0</v>
      </c>
      <c r="T202" s="294"/>
      <c r="U202" s="295">
        <f t="shared" si="68"/>
        <v>0</v>
      </c>
      <c r="V202" s="296"/>
      <c r="W202" s="297"/>
      <c r="X202" s="298"/>
      <c r="Y202" s="292" t="str">
        <f t="shared" si="69"/>
        <v/>
      </c>
      <c r="Z202" s="366">
        <f t="shared" si="70"/>
        <v>0</v>
      </c>
      <c r="AA202" s="299" t="str">
        <f t="shared" si="71"/>
        <v/>
      </c>
      <c r="AB202" s="300"/>
      <c r="AC202" s="301"/>
      <c r="AD202" s="302"/>
      <c r="AE202" s="303"/>
      <c r="AF202" s="304"/>
      <c r="AG202" s="304"/>
      <c r="AH202" s="304"/>
      <c r="AI202" s="304"/>
      <c r="AJ202" s="304"/>
      <c r="AK202" s="305"/>
      <c r="AL202" s="283"/>
      <c r="AM202" s="284"/>
    </row>
    <row r="203" ht="15.75" customHeight="1">
      <c r="A203" s="282">
        <f t="shared" si="1"/>
        <v>199</v>
      </c>
      <c r="B203" s="283"/>
      <c r="C203" s="284"/>
      <c r="D203" s="338"/>
      <c r="E203" s="286"/>
      <c r="F203" s="287"/>
      <c r="G203" s="288" t="str">
        <f>+IFERROR(VLOOKUP(F203,NVL!$B:$C,2,0),"")</f>
        <v/>
      </c>
      <c r="H203" s="288" t="str">
        <f>+IFERROR(VLOOKUP(F203,NVL!$B:$D,3,0),"")</f>
        <v/>
      </c>
      <c r="I203" s="288" t="str">
        <f>+IFERROR(VLOOKUP(F203,NVL!$B:$F,4,0),"")</f>
        <v/>
      </c>
      <c r="J203" s="289"/>
      <c r="K203" s="290"/>
      <c r="L203" s="291" t="str">
        <f>+IFERROR(VLOOKUP(K203,'THÀNH PHẨM'!$B:$F,3,0),"")</f>
        <v/>
      </c>
      <c r="M203" s="291" t="str">
        <f>+IFERROR(VLOOKUP(K203,'THÀNH PHẨM'!$B:$F,4,0),"")</f>
        <v/>
      </c>
      <c r="N203" s="291" t="str">
        <f>+IFERROR(VLOOKUP(K203,'THÀNH PHẨM'!$B:$F,5,0),"")</f>
        <v/>
      </c>
      <c r="O203" s="289"/>
      <c r="P203" s="292">
        <f t="shared" si="2"/>
        <v>0</v>
      </c>
      <c r="Q203" s="289"/>
      <c r="R203" s="289"/>
      <c r="S203" s="293">
        <f t="shared" si="62"/>
        <v>0</v>
      </c>
      <c r="T203" s="294"/>
      <c r="U203" s="295">
        <f t="shared" si="68"/>
        <v>0</v>
      </c>
      <c r="V203" s="296"/>
      <c r="W203" s="297"/>
      <c r="X203" s="298"/>
      <c r="Y203" s="292" t="str">
        <f t="shared" si="69"/>
        <v/>
      </c>
      <c r="Z203" s="366">
        <f t="shared" si="70"/>
        <v>0</v>
      </c>
      <c r="AA203" s="299" t="str">
        <f t="shared" si="71"/>
        <v/>
      </c>
      <c r="AB203" s="300"/>
      <c r="AC203" s="301"/>
      <c r="AD203" s="302"/>
      <c r="AE203" s="303"/>
      <c r="AF203" s="304"/>
      <c r="AG203" s="304"/>
      <c r="AH203" s="304"/>
      <c r="AI203" s="304"/>
      <c r="AJ203" s="304"/>
      <c r="AK203" s="305"/>
      <c r="AL203" s="283"/>
      <c r="AM203" s="284"/>
    </row>
    <row r="204" ht="15.75" customHeight="1">
      <c r="A204" s="282">
        <f t="shared" si="1"/>
        <v>200</v>
      </c>
      <c r="B204" s="283"/>
      <c r="C204" s="284"/>
      <c r="D204" s="338"/>
      <c r="E204" s="286"/>
      <c r="F204" s="287"/>
      <c r="G204" s="288" t="str">
        <f>+IFERROR(VLOOKUP(F204,NVL!$B:$C,2,0),"")</f>
        <v/>
      </c>
      <c r="H204" s="288" t="str">
        <f>+IFERROR(VLOOKUP(F204,NVL!$B:$D,3,0),"")</f>
        <v/>
      </c>
      <c r="I204" s="288" t="str">
        <f>+IFERROR(VLOOKUP(F204,NVL!$B:$F,4,0),"")</f>
        <v/>
      </c>
      <c r="J204" s="289"/>
      <c r="K204" s="290"/>
      <c r="L204" s="291" t="str">
        <f>+IFERROR(VLOOKUP(K204,'THÀNH PHẨM'!$B:$F,3,0),"")</f>
        <v/>
      </c>
      <c r="M204" s="291" t="str">
        <f>+IFERROR(VLOOKUP(K204,'THÀNH PHẨM'!$B:$F,4,0),"")</f>
        <v/>
      </c>
      <c r="N204" s="291" t="str">
        <f>+IFERROR(VLOOKUP(K204,'THÀNH PHẨM'!$B:$F,5,0),"")</f>
        <v/>
      </c>
      <c r="O204" s="289"/>
      <c r="P204" s="292">
        <f t="shared" si="2"/>
        <v>0</v>
      </c>
      <c r="Q204" s="289"/>
      <c r="R204" s="289"/>
      <c r="S204" s="293">
        <f t="shared" si="62"/>
        <v>0</v>
      </c>
      <c r="T204" s="294"/>
      <c r="U204" s="295">
        <f t="shared" si="68"/>
        <v>0</v>
      </c>
      <c r="V204" s="296"/>
      <c r="W204" s="297"/>
      <c r="X204" s="298"/>
      <c r="Y204" s="292" t="str">
        <f t="shared" si="69"/>
        <v/>
      </c>
      <c r="Z204" s="366">
        <f t="shared" si="70"/>
        <v>0</v>
      </c>
      <c r="AA204" s="299" t="str">
        <f t="shared" si="71"/>
        <v/>
      </c>
      <c r="AB204" s="300"/>
      <c r="AC204" s="301"/>
      <c r="AD204" s="302"/>
      <c r="AE204" s="303"/>
      <c r="AF204" s="304"/>
      <c r="AG204" s="304"/>
      <c r="AH204" s="304"/>
      <c r="AI204" s="304"/>
      <c r="AJ204" s="304"/>
      <c r="AK204" s="298"/>
      <c r="AL204" s="283"/>
      <c r="AM204" s="284"/>
    </row>
    <row r="205" ht="15.75" customHeight="1">
      <c r="A205" s="282">
        <f t="shared" si="1"/>
        <v>201</v>
      </c>
      <c r="B205" s="283"/>
      <c r="C205" s="284"/>
      <c r="D205" s="338"/>
      <c r="E205" s="286"/>
      <c r="F205" s="287"/>
      <c r="G205" s="288" t="str">
        <f>+IFERROR(VLOOKUP(F205,NVL!$B:$C,2,0),"")</f>
        <v/>
      </c>
      <c r="H205" s="288" t="str">
        <f>+IFERROR(VLOOKUP(F205,NVL!$B:$D,3,0),"")</f>
        <v/>
      </c>
      <c r="I205" s="288" t="str">
        <f>+IFERROR(VLOOKUP(F205,NVL!$B:$F,4,0),"")</f>
        <v/>
      </c>
      <c r="J205" s="289"/>
      <c r="K205" s="290"/>
      <c r="L205" s="291" t="str">
        <f>+IFERROR(VLOOKUP(K205,'THÀNH PHẨM'!$B:$F,3,0),"")</f>
        <v/>
      </c>
      <c r="M205" s="291" t="str">
        <f>+IFERROR(VLOOKUP(K205,'THÀNH PHẨM'!$B:$F,4,0),"")</f>
        <v/>
      </c>
      <c r="N205" s="291" t="str">
        <f>+IFERROR(VLOOKUP(K205,'THÀNH PHẨM'!$B:$F,5,0),"")</f>
        <v/>
      </c>
      <c r="O205" s="289"/>
      <c r="P205" s="292">
        <f t="shared" si="2"/>
        <v>0</v>
      </c>
      <c r="Q205" s="289"/>
      <c r="R205" s="289"/>
      <c r="S205" s="293">
        <f t="shared" si="62"/>
        <v>0</v>
      </c>
      <c r="T205" s="294"/>
      <c r="U205" s="295">
        <f t="shared" si="68"/>
        <v>0</v>
      </c>
      <c r="V205" s="296"/>
      <c r="W205" s="297"/>
      <c r="X205" s="298"/>
      <c r="Y205" s="292" t="str">
        <f t="shared" si="69"/>
        <v/>
      </c>
      <c r="Z205" s="366">
        <f t="shared" si="70"/>
        <v>0</v>
      </c>
      <c r="AA205" s="299" t="str">
        <f t="shared" si="71"/>
        <v/>
      </c>
      <c r="AB205" s="300"/>
      <c r="AC205" s="301"/>
      <c r="AD205" s="302"/>
      <c r="AE205" s="303"/>
      <c r="AF205" s="304"/>
      <c r="AG205" s="304"/>
      <c r="AH205" s="304"/>
      <c r="AI205" s="304"/>
      <c r="AJ205" s="304"/>
      <c r="AK205" s="305"/>
      <c r="AL205" s="283"/>
      <c r="AM205" s="284"/>
    </row>
    <row r="206" ht="15.75" customHeight="1">
      <c r="A206" s="282">
        <f t="shared" si="1"/>
        <v>202</v>
      </c>
      <c r="B206" s="283"/>
      <c r="C206" s="284"/>
      <c r="D206" s="338"/>
      <c r="E206" s="286"/>
      <c r="F206" s="287"/>
      <c r="G206" s="288" t="str">
        <f>+IFERROR(VLOOKUP(F206,NVL!$B:$C,2,0),"")</f>
        <v/>
      </c>
      <c r="H206" s="288" t="str">
        <f>+IFERROR(VLOOKUP(F206,NVL!$B:$D,3,0),"")</f>
        <v/>
      </c>
      <c r="I206" s="288" t="str">
        <f>+IFERROR(VLOOKUP(F206,NVL!$B:$F,4,0),"")</f>
        <v/>
      </c>
      <c r="J206" s="289"/>
      <c r="K206" s="290"/>
      <c r="L206" s="291" t="str">
        <f>+IFERROR(VLOOKUP(K206,'THÀNH PHẨM'!$B:$F,3,0),"")</f>
        <v/>
      </c>
      <c r="M206" s="291" t="str">
        <f>+IFERROR(VLOOKUP(K206,'THÀNH PHẨM'!$B:$F,4,0),"")</f>
        <v/>
      </c>
      <c r="N206" s="291" t="str">
        <f>+IFERROR(VLOOKUP(K206,'THÀNH PHẨM'!$B:$F,5,0),"")</f>
        <v/>
      </c>
      <c r="O206" s="289"/>
      <c r="P206" s="292">
        <f t="shared" si="2"/>
        <v>0</v>
      </c>
      <c r="Q206" s="289"/>
      <c r="R206" s="289"/>
      <c r="S206" s="293">
        <f t="shared" si="62"/>
        <v>0</v>
      </c>
      <c r="T206" s="294"/>
      <c r="U206" s="295">
        <f t="shared" si="68"/>
        <v>0</v>
      </c>
      <c r="V206" s="296"/>
      <c r="W206" s="297"/>
      <c r="X206" s="298"/>
      <c r="Y206" s="292" t="str">
        <f t="shared" si="69"/>
        <v/>
      </c>
      <c r="Z206" s="366">
        <f t="shared" si="70"/>
        <v>0</v>
      </c>
      <c r="AA206" s="299" t="str">
        <f t="shared" si="71"/>
        <v/>
      </c>
      <c r="AB206" s="300"/>
      <c r="AC206" s="301"/>
      <c r="AD206" s="302"/>
      <c r="AE206" s="303"/>
      <c r="AF206" s="304"/>
      <c r="AG206" s="304"/>
      <c r="AH206" s="304"/>
      <c r="AI206" s="304"/>
      <c r="AJ206" s="304"/>
      <c r="AK206" s="305"/>
      <c r="AL206" s="283"/>
      <c r="AM206" s="284"/>
    </row>
    <row r="207" ht="15.75" customHeight="1">
      <c r="A207" s="282">
        <f t="shared" si="1"/>
        <v>203</v>
      </c>
      <c r="B207" s="283"/>
      <c r="C207" s="284"/>
      <c r="D207" s="338"/>
      <c r="E207" s="286"/>
      <c r="F207" s="287"/>
      <c r="G207" s="288" t="str">
        <f>+IFERROR(VLOOKUP(F207,NVL!$B:$C,2,0),"")</f>
        <v/>
      </c>
      <c r="H207" s="288" t="str">
        <f>+IFERROR(VLOOKUP(F207,NVL!$B:$D,3,0),"")</f>
        <v/>
      </c>
      <c r="I207" s="288" t="str">
        <f>+IFERROR(VLOOKUP(F207,NVL!$B:$F,4,0),"")</f>
        <v/>
      </c>
      <c r="J207" s="289"/>
      <c r="K207" s="290"/>
      <c r="L207" s="291" t="str">
        <f>+IFERROR(VLOOKUP(K207,'THÀNH PHẨM'!$B:$F,3,0),"")</f>
        <v/>
      </c>
      <c r="M207" s="291" t="str">
        <f>+IFERROR(VLOOKUP(K207,'THÀNH PHẨM'!$B:$F,4,0),"")</f>
        <v/>
      </c>
      <c r="N207" s="291" t="str">
        <f>+IFERROR(VLOOKUP(K207,'THÀNH PHẨM'!$B:$F,5,0),"")</f>
        <v/>
      </c>
      <c r="O207" s="289"/>
      <c r="P207" s="292">
        <f t="shared" si="2"/>
        <v>0</v>
      </c>
      <c r="Q207" s="289"/>
      <c r="R207" s="289"/>
      <c r="S207" s="293">
        <f t="shared" si="62"/>
        <v>0</v>
      </c>
      <c r="T207" s="294"/>
      <c r="U207" s="295">
        <f t="shared" si="68"/>
        <v>0</v>
      </c>
      <c r="V207" s="296"/>
      <c r="W207" s="297"/>
      <c r="X207" s="298"/>
      <c r="Y207" s="292" t="str">
        <f t="shared" si="69"/>
        <v/>
      </c>
      <c r="Z207" s="366">
        <f t="shared" si="70"/>
        <v>0</v>
      </c>
      <c r="AA207" s="299" t="str">
        <f t="shared" si="71"/>
        <v/>
      </c>
      <c r="AB207" s="300"/>
      <c r="AC207" s="301"/>
      <c r="AD207" s="302"/>
      <c r="AE207" s="303"/>
      <c r="AF207" s="304"/>
      <c r="AG207" s="304"/>
      <c r="AH207" s="304"/>
      <c r="AI207" s="304"/>
      <c r="AJ207" s="304"/>
      <c r="AK207" s="305"/>
      <c r="AL207" s="283"/>
      <c r="AM207" s="284"/>
    </row>
    <row r="208" ht="15.75" customHeight="1">
      <c r="A208" s="282">
        <f t="shared" si="1"/>
        <v>204</v>
      </c>
      <c r="B208" s="283"/>
      <c r="C208" s="284"/>
      <c r="D208" s="338"/>
      <c r="E208" s="286"/>
      <c r="F208" s="287"/>
      <c r="G208" s="288" t="str">
        <f>+IFERROR(VLOOKUP(F208,NVL!$B:$C,2,0),"")</f>
        <v/>
      </c>
      <c r="H208" s="288" t="str">
        <f>+IFERROR(VLOOKUP(F208,NVL!$B:$D,3,0),"")</f>
        <v/>
      </c>
      <c r="I208" s="288" t="str">
        <f>+IFERROR(VLOOKUP(F208,NVL!$B:$F,4,0),"")</f>
        <v/>
      </c>
      <c r="J208" s="289"/>
      <c r="K208" s="290"/>
      <c r="L208" s="291" t="str">
        <f>+IFERROR(VLOOKUP(K208,'THÀNH PHẨM'!$B:$F,3,0),"")</f>
        <v/>
      </c>
      <c r="M208" s="291" t="str">
        <f>+IFERROR(VLOOKUP(K208,'THÀNH PHẨM'!$B:$F,4,0),"")</f>
        <v/>
      </c>
      <c r="N208" s="291" t="str">
        <f>+IFERROR(VLOOKUP(K208,'THÀNH PHẨM'!$B:$F,5,0),"")</f>
        <v/>
      </c>
      <c r="O208" s="289"/>
      <c r="P208" s="292">
        <f t="shared" si="2"/>
        <v>0</v>
      </c>
      <c r="Q208" s="289"/>
      <c r="R208" s="289"/>
      <c r="S208" s="293">
        <f t="shared" si="62"/>
        <v>0</v>
      </c>
      <c r="T208" s="294"/>
      <c r="U208" s="295">
        <f t="shared" si="68"/>
        <v>0</v>
      </c>
      <c r="V208" s="296"/>
      <c r="W208" s="297"/>
      <c r="X208" s="298"/>
      <c r="Y208" s="292" t="str">
        <f t="shared" si="69"/>
        <v/>
      </c>
      <c r="Z208" s="366">
        <f t="shared" si="70"/>
        <v>0</v>
      </c>
      <c r="AA208" s="299" t="str">
        <f t="shared" si="71"/>
        <v/>
      </c>
      <c r="AB208" s="300"/>
      <c r="AC208" s="301"/>
      <c r="AD208" s="302"/>
      <c r="AE208" s="303"/>
      <c r="AF208" s="304"/>
      <c r="AG208" s="304"/>
      <c r="AH208" s="304"/>
      <c r="AI208" s="304"/>
      <c r="AJ208" s="304"/>
      <c r="AK208" s="305"/>
      <c r="AL208" s="283"/>
      <c r="AM208" s="284"/>
    </row>
    <row r="209" ht="15.75" customHeight="1">
      <c r="A209" s="282">
        <f t="shared" si="1"/>
        <v>205</v>
      </c>
      <c r="B209" s="283"/>
      <c r="C209" s="284"/>
      <c r="D209" s="338"/>
      <c r="E209" s="286"/>
      <c r="F209" s="287"/>
      <c r="G209" s="288" t="str">
        <f>+IFERROR(VLOOKUP(F209,NVL!$B:$C,2,0),"")</f>
        <v/>
      </c>
      <c r="H209" s="288" t="str">
        <f>+IFERROR(VLOOKUP(F209,NVL!$B:$D,3,0),"")</f>
        <v/>
      </c>
      <c r="I209" s="288" t="str">
        <f>+IFERROR(VLOOKUP(F209,NVL!$B:$F,4,0),"")</f>
        <v/>
      </c>
      <c r="J209" s="289"/>
      <c r="K209" s="290"/>
      <c r="L209" s="291" t="str">
        <f>+IFERROR(VLOOKUP(K209,'THÀNH PHẨM'!$B:$F,3,0),"")</f>
        <v/>
      </c>
      <c r="M209" s="291" t="str">
        <f>+IFERROR(VLOOKUP(K209,'THÀNH PHẨM'!$B:$F,4,0),"")</f>
        <v/>
      </c>
      <c r="N209" s="291" t="str">
        <f>+IFERROR(VLOOKUP(K209,'THÀNH PHẨM'!$B:$F,5,0),"")</f>
        <v/>
      </c>
      <c r="O209" s="289"/>
      <c r="P209" s="292">
        <f t="shared" si="2"/>
        <v>0</v>
      </c>
      <c r="Q209" s="289"/>
      <c r="R209" s="289"/>
      <c r="S209" s="293">
        <f t="shared" si="62"/>
        <v>0</v>
      </c>
      <c r="T209" s="294"/>
      <c r="U209" s="295">
        <f t="shared" si="68"/>
        <v>0</v>
      </c>
      <c r="V209" s="296"/>
      <c r="W209" s="297"/>
      <c r="X209" s="298"/>
      <c r="Y209" s="292" t="str">
        <f t="shared" si="69"/>
        <v/>
      </c>
      <c r="Z209" s="366">
        <f t="shared" si="70"/>
        <v>0</v>
      </c>
      <c r="AA209" s="299" t="str">
        <f t="shared" si="71"/>
        <v/>
      </c>
      <c r="AB209" s="300"/>
      <c r="AC209" s="301"/>
      <c r="AD209" s="302"/>
      <c r="AE209" s="303"/>
      <c r="AF209" s="304"/>
      <c r="AG209" s="304"/>
      <c r="AH209" s="304"/>
      <c r="AI209" s="304"/>
      <c r="AJ209" s="304"/>
      <c r="AK209" s="305"/>
      <c r="AL209" s="283"/>
      <c r="AM209" s="284"/>
    </row>
    <row r="210" ht="15.75" customHeight="1">
      <c r="A210" s="282">
        <f t="shared" si="1"/>
        <v>206</v>
      </c>
      <c r="B210" s="283"/>
      <c r="C210" s="284"/>
      <c r="D210" s="338"/>
      <c r="E210" s="286"/>
      <c r="F210" s="287"/>
      <c r="G210" s="288" t="str">
        <f>+IFERROR(VLOOKUP(F210,NVL!$B:$C,2,0),"")</f>
        <v/>
      </c>
      <c r="H210" s="288" t="str">
        <f>+IFERROR(VLOOKUP(F210,NVL!$B:$D,3,0),"")</f>
        <v/>
      </c>
      <c r="I210" s="288" t="str">
        <f>+IFERROR(VLOOKUP(F210,NVL!$B:$F,4,0),"")</f>
        <v/>
      </c>
      <c r="J210" s="289"/>
      <c r="K210" s="290"/>
      <c r="L210" s="291" t="str">
        <f>+IFERROR(VLOOKUP(K210,'THÀNH PHẨM'!$B:$F,3,0),"")</f>
        <v/>
      </c>
      <c r="M210" s="291" t="str">
        <f>+IFERROR(VLOOKUP(K210,'THÀNH PHẨM'!$B:$F,4,0),"")</f>
        <v/>
      </c>
      <c r="N210" s="291" t="str">
        <f>+IFERROR(VLOOKUP(K210,'THÀNH PHẨM'!$B:$F,5,0),"")</f>
        <v/>
      </c>
      <c r="O210" s="289"/>
      <c r="P210" s="292">
        <f t="shared" si="2"/>
        <v>0</v>
      </c>
      <c r="Q210" s="289"/>
      <c r="R210" s="289"/>
      <c r="S210" s="293">
        <f t="shared" si="62"/>
        <v>0</v>
      </c>
      <c r="T210" s="294"/>
      <c r="U210" s="295">
        <f t="shared" si="68"/>
        <v>0</v>
      </c>
      <c r="V210" s="296"/>
      <c r="W210" s="297"/>
      <c r="X210" s="298"/>
      <c r="Y210" s="292" t="str">
        <f t="shared" si="69"/>
        <v/>
      </c>
      <c r="Z210" s="366">
        <f t="shared" si="70"/>
        <v>0</v>
      </c>
      <c r="AA210" s="299" t="str">
        <f t="shared" si="71"/>
        <v/>
      </c>
      <c r="AB210" s="300"/>
      <c r="AC210" s="301"/>
      <c r="AD210" s="302"/>
      <c r="AE210" s="303"/>
      <c r="AF210" s="304"/>
      <c r="AG210" s="304"/>
      <c r="AH210" s="304"/>
      <c r="AI210" s="304"/>
      <c r="AJ210" s="304"/>
      <c r="AK210" s="305"/>
      <c r="AL210" s="283"/>
      <c r="AM210" s="284"/>
    </row>
    <row r="211" ht="15.75" customHeight="1">
      <c r="A211" s="282">
        <f t="shared" si="1"/>
        <v>207</v>
      </c>
      <c r="B211" s="283"/>
      <c r="C211" s="284"/>
      <c r="D211" s="338"/>
      <c r="E211" s="286"/>
      <c r="F211" s="287"/>
      <c r="G211" s="288" t="str">
        <f>+IFERROR(VLOOKUP(F211,NVL!$B:$C,2,0),"")</f>
        <v/>
      </c>
      <c r="H211" s="288" t="str">
        <f>+IFERROR(VLOOKUP(F211,NVL!$B:$D,3,0),"")</f>
        <v/>
      </c>
      <c r="I211" s="288" t="str">
        <f>+IFERROR(VLOOKUP(F211,NVL!$B:$F,4,0),"")</f>
        <v/>
      </c>
      <c r="J211" s="289"/>
      <c r="K211" s="290"/>
      <c r="L211" s="291" t="str">
        <f>+IFERROR(VLOOKUP(K211,'THÀNH PHẨM'!$B:$F,3,0),"")</f>
        <v/>
      </c>
      <c r="M211" s="291" t="str">
        <f>+IFERROR(VLOOKUP(K211,'THÀNH PHẨM'!$B:$F,4,0),"")</f>
        <v/>
      </c>
      <c r="N211" s="291" t="str">
        <f>+IFERROR(VLOOKUP(K211,'THÀNH PHẨM'!$B:$F,5,0),"")</f>
        <v/>
      </c>
      <c r="O211" s="289"/>
      <c r="P211" s="292">
        <f t="shared" si="2"/>
        <v>0</v>
      </c>
      <c r="Q211" s="289"/>
      <c r="R211" s="289"/>
      <c r="S211" s="293">
        <f t="shared" si="62"/>
        <v>0</v>
      </c>
      <c r="T211" s="294"/>
      <c r="U211" s="295">
        <f t="shared" si="68"/>
        <v>0</v>
      </c>
      <c r="V211" s="296"/>
      <c r="W211" s="297"/>
      <c r="X211" s="298"/>
      <c r="Y211" s="292" t="str">
        <f t="shared" si="69"/>
        <v/>
      </c>
      <c r="Z211" s="366">
        <f t="shared" si="70"/>
        <v>0</v>
      </c>
      <c r="AA211" s="299" t="str">
        <f t="shared" si="71"/>
        <v/>
      </c>
      <c r="AB211" s="300"/>
      <c r="AC211" s="301"/>
      <c r="AD211" s="302"/>
      <c r="AE211" s="303"/>
      <c r="AF211" s="304"/>
      <c r="AG211" s="304"/>
      <c r="AH211" s="304"/>
      <c r="AI211" s="304"/>
      <c r="AJ211" s="304"/>
      <c r="AK211" s="305"/>
      <c r="AL211" s="283"/>
      <c r="AM211" s="284"/>
    </row>
    <row r="212" ht="15.75" customHeight="1">
      <c r="A212" s="282">
        <f t="shared" si="1"/>
        <v>208</v>
      </c>
      <c r="B212" s="283"/>
      <c r="C212" s="284"/>
      <c r="D212" s="338"/>
      <c r="E212" s="286"/>
      <c r="F212" s="287"/>
      <c r="G212" s="288" t="str">
        <f>+IFERROR(VLOOKUP(F212,NVL!$B:$C,2,0),"")</f>
        <v/>
      </c>
      <c r="H212" s="288" t="str">
        <f>+IFERROR(VLOOKUP(F212,NVL!$B:$D,3,0),"")</f>
        <v/>
      </c>
      <c r="I212" s="288" t="str">
        <f>+IFERROR(VLOOKUP(F212,NVL!$B:$F,4,0),"")</f>
        <v/>
      </c>
      <c r="J212" s="289"/>
      <c r="K212" s="427"/>
      <c r="L212" s="291" t="str">
        <f>+IFERROR(VLOOKUP(K212,'THÀNH PHẨM'!$B:$F,3,0),"")</f>
        <v/>
      </c>
      <c r="M212" s="291" t="str">
        <f>+IFERROR(VLOOKUP(K212,'THÀNH PHẨM'!$B:$F,4,0),"")</f>
        <v/>
      </c>
      <c r="N212" s="291" t="str">
        <f>+IFERROR(VLOOKUP(K212,'THÀNH PHẨM'!$B:$F,5,0),"")</f>
        <v/>
      </c>
      <c r="O212" s="289"/>
      <c r="P212" s="292">
        <f t="shared" si="2"/>
        <v>0</v>
      </c>
      <c r="Q212" s="289"/>
      <c r="R212" s="289"/>
      <c r="S212" s="293">
        <f t="shared" si="62"/>
        <v>0</v>
      </c>
      <c r="T212" s="294"/>
      <c r="U212" s="295">
        <f t="shared" si="68"/>
        <v>0</v>
      </c>
      <c r="V212" s="296"/>
      <c r="W212" s="297"/>
      <c r="X212" s="298"/>
      <c r="Y212" s="292" t="str">
        <f t="shared" si="69"/>
        <v/>
      </c>
      <c r="Z212" s="366">
        <f t="shared" si="70"/>
        <v>0</v>
      </c>
      <c r="AA212" s="299" t="str">
        <f t="shared" si="71"/>
        <v/>
      </c>
      <c r="AB212" s="300"/>
      <c r="AC212" s="301"/>
      <c r="AD212" s="302"/>
      <c r="AE212" s="303"/>
      <c r="AF212" s="304"/>
      <c r="AG212" s="304"/>
      <c r="AH212" s="304"/>
      <c r="AI212" s="304"/>
      <c r="AJ212" s="304"/>
      <c r="AK212" s="305"/>
      <c r="AL212" s="283"/>
      <c r="AM212" s="284"/>
    </row>
    <row r="213" ht="15.75" customHeight="1">
      <c r="A213" s="282">
        <f t="shared" si="1"/>
        <v>209</v>
      </c>
      <c r="B213" s="283"/>
      <c r="C213" s="284"/>
      <c r="D213" s="338"/>
      <c r="E213" s="286"/>
      <c r="F213" s="287"/>
      <c r="G213" s="288" t="str">
        <f>+IFERROR(VLOOKUP(F213,NVL!$B:$C,2,0),"")</f>
        <v/>
      </c>
      <c r="H213" s="288" t="str">
        <f>+IFERROR(VLOOKUP(F213,NVL!$B:$D,3,0),"")</f>
        <v/>
      </c>
      <c r="I213" s="288" t="str">
        <f>+IFERROR(VLOOKUP(F213,NVL!$B:$F,4,0),"")</f>
        <v/>
      </c>
      <c r="J213" s="289"/>
      <c r="K213" s="290"/>
      <c r="L213" s="291" t="str">
        <f>+IFERROR(VLOOKUP(K213,'THÀNH PHẨM'!$B:$F,3,0),"")</f>
        <v/>
      </c>
      <c r="M213" s="291" t="str">
        <f>+IFERROR(VLOOKUP(K213,'THÀNH PHẨM'!$B:$F,4,0),"")</f>
        <v/>
      </c>
      <c r="N213" s="291" t="str">
        <f>+IFERROR(VLOOKUP(K213,'THÀNH PHẨM'!$B:$F,5,0),"")</f>
        <v/>
      </c>
      <c r="O213" s="289"/>
      <c r="P213" s="292">
        <f t="shared" si="2"/>
        <v>0</v>
      </c>
      <c r="Q213" s="289"/>
      <c r="R213" s="289"/>
      <c r="S213" s="293">
        <f t="shared" si="62"/>
        <v>0</v>
      </c>
      <c r="T213" s="294"/>
      <c r="U213" s="295">
        <f t="shared" si="68"/>
        <v>0</v>
      </c>
      <c r="V213" s="296"/>
      <c r="W213" s="297"/>
      <c r="X213" s="298"/>
      <c r="Y213" s="292" t="str">
        <f t="shared" si="69"/>
        <v/>
      </c>
      <c r="Z213" s="366">
        <f t="shared" si="70"/>
        <v>0</v>
      </c>
      <c r="AA213" s="299" t="str">
        <f t="shared" si="71"/>
        <v/>
      </c>
      <c r="AB213" s="300"/>
      <c r="AC213" s="301"/>
      <c r="AD213" s="302"/>
      <c r="AE213" s="303"/>
      <c r="AF213" s="304"/>
      <c r="AG213" s="304"/>
      <c r="AH213" s="304"/>
      <c r="AI213" s="304"/>
      <c r="AJ213" s="304"/>
      <c r="AK213" s="305"/>
      <c r="AL213" s="283"/>
      <c r="AM213" s="284"/>
    </row>
    <row r="214" ht="15.75" customHeight="1">
      <c r="A214" s="282">
        <f t="shared" si="1"/>
        <v>210</v>
      </c>
      <c r="B214" s="283"/>
      <c r="C214" s="335"/>
      <c r="D214" s="338"/>
      <c r="E214" s="286"/>
      <c r="F214" s="287"/>
      <c r="G214" s="288" t="str">
        <f>+IFERROR(VLOOKUP(F214,NVL!$B:$C,2,0),"")</f>
        <v/>
      </c>
      <c r="H214" s="288" t="str">
        <f>+IFERROR(VLOOKUP(F214,NVL!$B:$D,3,0),"")</f>
        <v/>
      </c>
      <c r="I214" s="288" t="str">
        <f>+IFERROR(VLOOKUP(F214,NVL!$B:$F,4,0),"")</f>
        <v/>
      </c>
      <c r="J214" s="289"/>
      <c r="K214" s="290"/>
      <c r="L214" s="291" t="str">
        <f>+IFERROR(VLOOKUP(K214,'THÀNH PHẨM'!$B:$F,3,0),"")</f>
        <v/>
      </c>
      <c r="M214" s="291" t="str">
        <f>+IFERROR(VLOOKUP(K214,'THÀNH PHẨM'!$B:$F,4,0),"")</f>
        <v/>
      </c>
      <c r="N214" s="291" t="str">
        <f>+IFERROR(VLOOKUP(K214,'THÀNH PHẨM'!$B:$F,5,0),"")</f>
        <v/>
      </c>
      <c r="O214" s="289"/>
      <c r="P214" s="292">
        <f t="shared" si="2"/>
        <v>0</v>
      </c>
      <c r="Q214" s="289"/>
      <c r="R214" s="289"/>
      <c r="S214" s="293">
        <f t="shared" si="62"/>
        <v>0</v>
      </c>
      <c r="T214" s="294"/>
      <c r="U214" s="295">
        <f t="shared" si="68"/>
        <v>0</v>
      </c>
      <c r="V214" s="296"/>
      <c r="W214" s="297"/>
      <c r="X214" s="298"/>
      <c r="Y214" s="292" t="str">
        <f t="shared" si="69"/>
        <v/>
      </c>
      <c r="Z214" s="366">
        <f t="shared" si="70"/>
        <v>0</v>
      </c>
      <c r="AA214" s="299" t="str">
        <f t="shared" si="71"/>
        <v/>
      </c>
      <c r="AB214" s="300"/>
      <c r="AC214" s="301"/>
      <c r="AD214" s="302"/>
      <c r="AE214" s="303"/>
      <c r="AF214" s="304"/>
      <c r="AG214" s="304"/>
      <c r="AH214" s="304"/>
      <c r="AI214" s="304"/>
      <c r="AJ214" s="304"/>
      <c r="AK214" s="305"/>
      <c r="AL214" s="283"/>
      <c r="AM214" s="284"/>
    </row>
    <row r="215" ht="15.75" customHeight="1">
      <c r="A215" s="282">
        <f t="shared" si="1"/>
        <v>211</v>
      </c>
      <c r="B215" s="283"/>
      <c r="C215" s="284"/>
      <c r="D215" s="338"/>
      <c r="E215" s="286"/>
      <c r="F215" s="287"/>
      <c r="G215" s="288" t="str">
        <f>+IFERROR(VLOOKUP(F215,NVL!$B:$C,2,0),"")</f>
        <v/>
      </c>
      <c r="H215" s="288" t="str">
        <f>+IFERROR(VLOOKUP(F215,NVL!$B:$D,3,0),"")</f>
        <v/>
      </c>
      <c r="I215" s="288" t="str">
        <f>+IFERROR(VLOOKUP(F215,NVL!$B:$F,4,0),"")</f>
        <v/>
      </c>
      <c r="J215" s="289"/>
      <c r="K215" s="290"/>
      <c r="L215" s="291" t="str">
        <f>+IFERROR(VLOOKUP(K215,'THÀNH PHẨM'!$B:$F,3,0),"")</f>
        <v/>
      </c>
      <c r="M215" s="291" t="str">
        <f>+IFERROR(VLOOKUP(K215,'THÀNH PHẨM'!$B:$F,4,0),"")</f>
        <v/>
      </c>
      <c r="N215" s="291" t="str">
        <f>+IFERROR(VLOOKUP(K215,'THÀNH PHẨM'!$B:$F,5,0),"")</f>
        <v/>
      </c>
      <c r="O215" s="289"/>
      <c r="P215" s="292">
        <f t="shared" si="2"/>
        <v>0</v>
      </c>
      <c r="Q215" s="289"/>
      <c r="R215" s="289"/>
      <c r="S215" s="293">
        <f t="shared" si="62"/>
        <v>0</v>
      </c>
      <c r="T215" s="294"/>
      <c r="U215" s="295">
        <f t="shared" si="68"/>
        <v>0</v>
      </c>
      <c r="V215" s="296"/>
      <c r="W215" s="297"/>
      <c r="X215" s="298"/>
      <c r="Y215" s="292" t="str">
        <f t="shared" si="69"/>
        <v/>
      </c>
      <c r="Z215" s="366">
        <f t="shared" si="70"/>
        <v>0</v>
      </c>
      <c r="AA215" s="299" t="str">
        <f t="shared" si="71"/>
        <v/>
      </c>
      <c r="AB215" s="300"/>
      <c r="AC215" s="301"/>
      <c r="AD215" s="302"/>
      <c r="AE215" s="303"/>
      <c r="AF215" s="304"/>
      <c r="AG215" s="304"/>
      <c r="AH215" s="304"/>
      <c r="AI215" s="304"/>
      <c r="AJ215" s="304"/>
      <c r="AK215" s="305"/>
      <c r="AL215" s="283"/>
      <c r="AM215" s="284"/>
    </row>
    <row r="216" ht="15.75" customHeight="1">
      <c r="A216" s="282">
        <f t="shared" si="1"/>
        <v>212</v>
      </c>
      <c r="B216" s="283"/>
      <c r="C216" s="284"/>
      <c r="D216" s="338"/>
      <c r="E216" s="286"/>
      <c r="F216" s="287"/>
      <c r="G216" s="288" t="str">
        <f>+IFERROR(VLOOKUP(F216,NVL!$B:$C,2,0),"")</f>
        <v/>
      </c>
      <c r="H216" s="288" t="str">
        <f>+IFERROR(VLOOKUP(F216,NVL!$B:$D,3,0),"")</f>
        <v/>
      </c>
      <c r="I216" s="288" t="str">
        <f>+IFERROR(VLOOKUP(F216,NVL!$B:$F,4,0),"")</f>
        <v/>
      </c>
      <c r="J216" s="289"/>
      <c r="K216" s="290"/>
      <c r="L216" s="291" t="str">
        <f>+IFERROR(VLOOKUP(K216,'THÀNH PHẨM'!$B:$F,3,0),"")</f>
        <v/>
      </c>
      <c r="M216" s="291" t="str">
        <f>+IFERROR(VLOOKUP(K216,'THÀNH PHẨM'!$B:$F,4,0),"")</f>
        <v/>
      </c>
      <c r="N216" s="291" t="str">
        <f>+IFERROR(VLOOKUP(K216,'THÀNH PHẨM'!$B:$F,5,0),"")</f>
        <v/>
      </c>
      <c r="O216" s="289"/>
      <c r="P216" s="292">
        <f t="shared" si="2"/>
        <v>0</v>
      </c>
      <c r="Q216" s="289"/>
      <c r="R216" s="289"/>
      <c r="S216" s="293">
        <f t="shared" si="62"/>
        <v>0</v>
      </c>
      <c r="T216" s="294"/>
      <c r="U216" s="295">
        <f t="shared" si="68"/>
        <v>0</v>
      </c>
      <c r="V216" s="296"/>
      <c r="W216" s="297"/>
      <c r="X216" s="298"/>
      <c r="Y216" s="292" t="str">
        <f t="shared" si="69"/>
        <v/>
      </c>
      <c r="Z216" s="366">
        <f t="shared" si="70"/>
        <v>0</v>
      </c>
      <c r="AA216" s="299" t="str">
        <f t="shared" si="71"/>
        <v/>
      </c>
      <c r="AB216" s="300"/>
      <c r="AC216" s="301"/>
      <c r="AD216" s="302"/>
      <c r="AE216" s="303"/>
      <c r="AF216" s="304"/>
      <c r="AG216" s="304"/>
      <c r="AH216" s="304"/>
      <c r="AI216" s="304"/>
      <c r="AJ216" s="304"/>
      <c r="AK216" s="305"/>
      <c r="AL216" s="283"/>
      <c r="AM216" s="284"/>
    </row>
    <row r="217" ht="15.75" customHeight="1">
      <c r="A217" s="282">
        <f t="shared" si="1"/>
        <v>213</v>
      </c>
      <c r="B217" s="283"/>
      <c r="C217" s="284"/>
      <c r="D217" s="338"/>
      <c r="E217" s="286"/>
      <c r="F217" s="287"/>
      <c r="G217" s="288" t="str">
        <f>+IFERROR(VLOOKUP(F217,NVL!$B:$C,2,0),"")</f>
        <v/>
      </c>
      <c r="H217" s="288" t="str">
        <f>+IFERROR(VLOOKUP(F217,NVL!$B:$D,3,0),"")</f>
        <v/>
      </c>
      <c r="I217" s="288" t="str">
        <f>+IFERROR(VLOOKUP(F217,NVL!$B:$F,4,0),"")</f>
        <v/>
      </c>
      <c r="J217" s="289"/>
      <c r="K217" s="290"/>
      <c r="L217" s="291" t="str">
        <f>+IFERROR(VLOOKUP(K217,'THÀNH PHẨM'!$B:$F,3,0),"")</f>
        <v/>
      </c>
      <c r="M217" s="291" t="str">
        <f>+IFERROR(VLOOKUP(K217,'THÀNH PHẨM'!$B:$F,4,0),"")</f>
        <v/>
      </c>
      <c r="N217" s="291" t="str">
        <f>+IFERROR(VLOOKUP(K217,'THÀNH PHẨM'!$B:$F,5,0),"")</f>
        <v/>
      </c>
      <c r="O217" s="289"/>
      <c r="P217" s="292">
        <f t="shared" si="2"/>
        <v>0</v>
      </c>
      <c r="Q217" s="289"/>
      <c r="R217" s="289"/>
      <c r="S217" s="293">
        <f t="shared" si="62"/>
        <v>0</v>
      </c>
      <c r="T217" s="294"/>
      <c r="U217" s="295">
        <f t="shared" si="68"/>
        <v>0</v>
      </c>
      <c r="V217" s="296"/>
      <c r="W217" s="297"/>
      <c r="X217" s="298"/>
      <c r="Y217" s="292" t="str">
        <f t="shared" si="69"/>
        <v/>
      </c>
      <c r="Z217" s="366">
        <f t="shared" si="70"/>
        <v>0</v>
      </c>
      <c r="AA217" s="299" t="str">
        <f t="shared" si="71"/>
        <v/>
      </c>
      <c r="AB217" s="300"/>
      <c r="AC217" s="301"/>
      <c r="AD217" s="302"/>
      <c r="AE217" s="303"/>
      <c r="AF217" s="304"/>
      <c r="AG217" s="304"/>
      <c r="AH217" s="304"/>
      <c r="AI217" s="304"/>
      <c r="AJ217" s="304"/>
      <c r="AK217" s="305"/>
      <c r="AL217" s="283"/>
      <c r="AM217" s="284"/>
    </row>
    <row r="218" ht="15.75" customHeight="1">
      <c r="A218" s="282">
        <f t="shared" si="1"/>
        <v>214</v>
      </c>
      <c r="B218" s="283"/>
      <c r="C218" s="284"/>
      <c r="D218" s="338"/>
      <c r="E218" s="286"/>
      <c r="F218" s="287"/>
      <c r="G218" s="288" t="str">
        <f>+IFERROR(VLOOKUP(F218,NVL!$B:$C,2,0),"")</f>
        <v/>
      </c>
      <c r="H218" s="288" t="str">
        <f>+IFERROR(VLOOKUP(F218,NVL!$B:$D,3,0),"")</f>
        <v/>
      </c>
      <c r="I218" s="288" t="str">
        <f>+IFERROR(VLOOKUP(F218,NVL!$B:$F,4,0),"")</f>
        <v/>
      </c>
      <c r="J218" s="289"/>
      <c r="K218" s="290"/>
      <c r="L218" s="291" t="str">
        <f>+IFERROR(VLOOKUP(K218,'THÀNH PHẨM'!$B:$F,3,0),"")</f>
        <v/>
      </c>
      <c r="M218" s="291" t="str">
        <f>+IFERROR(VLOOKUP(K218,'THÀNH PHẨM'!$B:$F,4,0),"")</f>
        <v/>
      </c>
      <c r="N218" s="291" t="str">
        <f>+IFERROR(VLOOKUP(K218,'THÀNH PHẨM'!$B:$F,5,0),"")</f>
        <v/>
      </c>
      <c r="O218" s="289"/>
      <c r="P218" s="292">
        <f t="shared" si="2"/>
        <v>0</v>
      </c>
      <c r="Q218" s="289"/>
      <c r="R218" s="289"/>
      <c r="S218" s="293">
        <f t="shared" si="62"/>
        <v>0</v>
      </c>
      <c r="T218" s="294"/>
      <c r="U218" s="295">
        <f t="shared" si="68"/>
        <v>0</v>
      </c>
      <c r="V218" s="296"/>
      <c r="W218" s="297"/>
      <c r="X218" s="298"/>
      <c r="Y218" s="292" t="str">
        <f t="shared" si="69"/>
        <v/>
      </c>
      <c r="Z218" s="366">
        <f t="shared" si="70"/>
        <v>0</v>
      </c>
      <c r="AA218" s="299" t="str">
        <f t="shared" si="71"/>
        <v/>
      </c>
      <c r="AB218" s="300"/>
      <c r="AC218" s="301"/>
      <c r="AD218" s="302"/>
      <c r="AE218" s="303"/>
      <c r="AF218" s="304"/>
      <c r="AG218" s="304"/>
      <c r="AH218" s="304"/>
      <c r="AI218" s="304"/>
      <c r="AJ218" s="304"/>
      <c r="AK218" s="305"/>
      <c r="AL218" s="283"/>
      <c r="AM218" s="284"/>
    </row>
    <row r="219" ht="15.75" customHeight="1">
      <c r="A219" s="282">
        <f t="shared" si="1"/>
        <v>215</v>
      </c>
      <c r="B219" s="283"/>
      <c r="C219" s="284"/>
      <c r="D219" s="338"/>
      <c r="E219" s="286"/>
      <c r="F219" s="287"/>
      <c r="G219" s="288" t="str">
        <f>+IFERROR(VLOOKUP(F219,NVL!$B:$C,2,0),"")</f>
        <v/>
      </c>
      <c r="H219" s="288" t="str">
        <f>+IFERROR(VLOOKUP(F219,NVL!$B:$D,3,0),"")</f>
        <v/>
      </c>
      <c r="I219" s="288" t="str">
        <f>+IFERROR(VLOOKUP(F219,NVL!$B:$F,4,0),"")</f>
        <v/>
      </c>
      <c r="J219" s="289"/>
      <c r="K219" s="290"/>
      <c r="L219" s="291" t="str">
        <f>+IFERROR(VLOOKUP(K219,'THÀNH PHẨM'!$B:$F,3,0),"")</f>
        <v/>
      </c>
      <c r="M219" s="291" t="str">
        <f>+IFERROR(VLOOKUP(K219,'THÀNH PHẨM'!$B:$F,4,0),"")</f>
        <v/>
      </c>
      <c r="N219" s="291" t="str">
        <f>+IFERROR(VLOOKUP(K219,'THÀNH PHẨM'!$B:$F,5,0),"")</f>
        <v/>
      </c>
      <c r="O219" s="289"/>
      <c r="P219" s="292">
        <f t="shared" si="2"/>
        <v>0</v>
      </c>
      <c r="Q219" s="289"/>
      <c r="R219" s="289"/>
      <c r="S219" s="293">
        <f t="shared" si="62"/>
        <v>0</v>
      </c>
      <c r="T219" s="294"/>
      <c r="U219" s="295">
        <f t="shared" si="68"/>
        <v>0</v>
      </c>
      <c r="V219" s="296"/>
      <c r="W219" s="297"/>
      <c r="X219" s="298"/>
      <c r="Y219" s="292" t="str">
        <f t="shared" si="69"/>
        <v/>
      </c>
      <c r="Z219" s="366">
        <f t="shared" si="70"/>
        <v>0</v>
      </c>
      <c r="AA219" s="299" t="str">
        <f t="shared" si="71"/>
        <v/>
      </c>
      <c r="AB219" s="300"/>
      <c r="AC219" s="301"/>
      <c r="AD219" s="302"/>
      <c r="AE219" s="303"/>
      <c r="AF219" s="304"/>
      <c r="AG219" s="304"/>
      <c r="AH219" s="304"/>
      <c r="AI219" s="304"/>
      <c r="AJ219" s="304"/>
      <c r="AK219" s="305"/>
      <c r="AL219" s="283"/>
      <c r="AM219" s="284"/>
    </row>
    <row r="220" ht="15.75" customHeight="1">
      <c r="A220" s="282">
        <f t="shared" si="1"/>
        <v>216</v>
      </c>
      <c r="B220" s="283"/>
      <c r="C220" s="284"/>
      <c r="D220" s="338"/>
      <c r="E220" s="286"/>
      <c r="F220" s="287"/>
      <c r="G220" s="288" t="str">
        <f>+IFERROR(VLOOKUP(F220,NVL!$B:$C,2,0),"")</f>
        <v/>
      </c>
      <c r="H220" s="288" t="str">
        <f>+IFERROR(VLOOKUP(F220,NVL!$B:$D,3,0),"")</f>
        <v/>
      </c>
      <c r="I220" s="288" t="str">
        <f>+IFERROR(VLOOKUP(F220,NVL!$B:$F,4,0),"")</f>
        <v/>
      </c>
      <c r="J220" s="289"/>
      <c r="K220" s="290"/>
      <c r="L220" s="291" t="str">
        <f>+IFERROR(VLOOKUP(K220,'THÀNH PHẨM'!$B:$F,3,0),"")</f>
        <v/>
      </c>
      <c r="M220" s="291" t="str">
        <f>+IFERROR(VLOOKUP(K220,'THÀNH PHẨM'!$B:$F,4,0),"")</f>
        <v/>
      </c>
      <c r="N220" s="291" t="str">
        <f>+IFERROR(VLOOKUP(K220,'THÀNH PHẨM'!$B:$F,5,0),"")</f>
        <v/>
      </c>
      <c r="O220" s="289"/>
      <c r="P220" s="292">
        <f t="shared" si="2"/>
        <v>0</v>
      </c>
      <c r="Q220" s="289"/>
      <c r="R220" s="289"/>
      <c r="S220" s="293">
        <f t="shared" si="62"/>
        <v>0</v>
      </c>
      <c r="T220" s="294"/>
      <c r="U220" s="295">
        <f t="shared" si="68"/>
        <v>0</v>
      </c>
      <c r="V220" s="296"/>
      <c r="W220" s="297"/>
      <c r="X220" s="298"/>
      <c r="Y220" s="292" t="str">
        <f t="shared" si="69"/>
        <v/>
      </c>
      <c r="Z220" s="366">
        <f t="shared" si="70"/>
        <v>0</v>
      </c>
      <c r="AA220" s="299" t="str">
        <f t="shared" si="71"/>
        <v/>
      </c>
      <c r="AB220" s="300"/>
      <c r="AC220" s="301"/>
      <c r="AD220" s="302"/>
      <c r="AE220" s="303"/>
      <c r="AF220" s="304"/>
      <c r="AG220" s="304"/>
      <c r="AH220" s="304"/>
      <c r="AI220" s="304"/>
      <c r="AJ220" s="304"/>
      <c r="AK220" s="305"/>
      <c r="AL220" s="283"/>
      <c r="AM220" s="284"/>
    </row>
    <row r="221" ht="15.75" customHeight="1">
      <c r="A221" s="282">
        <f t="shared" si="1"/>
        <v>217</v>
      </c>
      <c r="B221" s="283"/>
      <c r="C221" s="284"/>
      <c r="D221" s="338"/>
      <c r="E221" s="286"/>
      <c r="F221" s="287"/>
      <c r="G221" s="288" t="str">
        <f>+IFERROR(VLOOKUP(F221,NVL!$B:$C,2,0),"")</f>
        <v/>
      </c>
      <c r="H221" s="288" t="str">
        <f>+IFERROR(VLOOKUP(F221,NVL!$B:$D,3,0),"")</f>
        <v/>
      </c>
      <c r="I221" s="288" t="str">
        <f>+IFERROR(VLOOKUP(F221,NVL!$B:$F,4,0),"")</f>
        <v/>
      </c>
      <c r="J221" s="289"/>
      <c r="K221" s="290"/>
      <c r="L221" s="291" t="str">
        <f>+IFERROR(VLOOKUP(K221,'THÀNH PHẨM'!$B:$F,3,0),"")</f>
        <v/>
      </c>
      <c r="M221" s="291" t="str">
        <f>+IFERROR(VLOOKUP(K221,'THÀNH PHẨM'!$B:$F,4,0),"")</f>
        <v/>
      </c>
      <c r="N221" s="291" t="str">
        <f>+IFERROR(VLOOKUP(K221,'THÀNH PHẨM'!$B:$F,5,0),"")</f>
        <v/>
      </c>
      <c r="O221" s="289"/>
      <c r="P221" s="292">
        <f t="shared" si="2"/>
        <v>0</v>
      </c>
      <c r="Q221" s="289"/>
      <c r="R221" s="289"/>
      <c r="S221" s="293">
        <f t="shared" si="62"/>
        <v>0</v>
      </c>
      <c r="T221" s="294"/>
      <c r="U221" s="295">
        <f t="shared" si="68"/>
        <v>0</v>
      </c>
      <c r="V221" s="296"/>
      <c r="W221" s="297"/>
      <c r="X221" s="298"/>
      <c r="Y221" s="292" t="str">
        <f t="shared" si="69"/>
        <v/>
      </c>
      <c r="Z221" s="366">
        <f t="shared" si="70"/>
        <v>0</v>
      </c>
      <c r="AA221" s="299" t="str">
        <f t="shared" si="71"/>
        <v/>
      </c>
      <c r="AB221" s="300"/>
      <c r="AC221" s="301"/>
      <c r="AD221" s="302"/>
      <c r="AE221" s="303"/>
      <c r="AF221" s="304"/>
      <c r="AG221" s="304"/>
      <c r="AH221" s="304"/>
      <c r="AI221" s="304"/>
      <c r="AJ221" s="304"/>
      <c r="AK221" s="305"/>
      <c r="AL221" s="283"/>
      <c r="AM221" s="284"/>
    </row>
    <row r="222" ht="15.75" customHeight="1">
      <c r="A222" s="282">
        <f t="shared" si="1"/>
        <v>218</v>
      </c>
      <c r="B222" s="283"/>
      <c r="C222" s="284"/>
      <c r="D222" s="338"/>
      <c r="E222" s="286"/>
      <c r="F222" s="287"/>
      <c r="G222" s="288" t="str">
        <f>+IFERROR(VLOOKUP(F222,NVL!$B:$C,2,0),"")</f>
        <v/>
      </c>
      <c r="H222" s="288" t="str">
        <f>+IFERROR(VLOOKUP(F222,NVL!$B:$D,3,0),"")</f>
        <v/>
      </c>
      <c r="I222" s="288" t="str">
        <f>+IFERROR(VLOOKUP(F222,NVL!$B:$F,4,0),"")</f>
        <v/>
      </c>
      <c r="J222" s="289"/>
      <c r="K222" s="290"/>
      <c r="L222" s="291" t="str">
        <f>+IFERROR(VLOOKUP(K222,'THÀNH PHẨM'!$B:$F,3,0),"")</f>
        <v/>
      </c>
      <c r="M222" s="291" t="str">
        <f>+IFERROR(VLOOKUP(K222,'THÀNH PHẨM'!$B:$F,4,0),"")</f>
        <v/>
      </c>
      <c r="N222" s="291" t="str">
        <f>+IFERROR(VLOOKUP(K222,'THÀNH PHẨM'!$B:$F,5,0),"")</f>
        <v/>
      </c>
      <c r="O222" s="289"/>
      <c r="P222" s="292">
        <f t="shared" si="2"/>
        <v>0</v>
      </c>
      <c r="Q222" s="289"/>
      <c r="R222" s="289"/>
      <c r="S222" s="293">
        <f t="shared" si="62"/>
        <v>0</v>
      </c>
      <c r="T222" s="294"/>
      <c r="U222" s="295">
        <f t="shared" si="68"/>
        <v>0</v>
      </c>
      <c r="V222" s="296"/>
      <c r="W222" s="297"/>
      <c r="X222" s="298"/>
      <c r="Y222" s="292" t="str">
        <f t="shared" si="69"/>
        <v/>
      </c>
      <c r="Z222" s="366">
        <f t="shared" si="70"/>
        <v>0</v>
      </c>
      <c r="AA222" s="299" t="str">
        <f t="shared" si="71"/>
        <v/>
      </c>
      <c r="AB222" s="300"/>
      <c r="AC222" s="301"/>
      <c r="AD222" s="302"/>
      <c r="AE222" s="303"/>
      <c r="AF222" s="304"/>
      <c r="AG222" s="304"/>
      <c r="AH222" s="304"/>
      <c r="AI222" s="304"/>
      <c r="AJ222" s="304"/>
      <c r="AK222" s="305"/>
      <c r="AL222" s="283"/>
      <c r="AM222" s="284"/>
    </row>
    <row r="223" ht="15.75" customHeight="1">
      <c r="A223" s="282">
        <f t="shared" si="1"/>
        <v>219</v>
      </c>
      <c r="B223" s="283"/>
      <c r="C223" s="284"/>
      <c r="D223" s="338"/>
      <c r="E223" s="286"/>
      <c r="F223" s="287"/>
      <c r="G223" s="288" t="str">
        <f>+IFERROR(VLOOKUP(F223,NVL!$B:$C,2,0),"")</f>
        <v/>
      </c>
      <c r="H223" s="288" t="str">
        <f>+IFERROR(VLOOKUP(F223,NVL!$B:$D,3,0),"")</f>
        <v/>
      </c>
      <c r="I223" s="288" t="str">
        <f>+IFERROR(VLOOKUP(F223,NVL!$B:$F,4,0),"")</f>
        <v/>
      </c>
      <c r="J223" s="289"/>
      <c r="K223" s="290"/>
      <c r="L223" s="291" t="str">
        <f>+IFERROR(VLOOKUP(K223,'THÀNH PHẨM'!$B:$F,3,0),"")</f>
        <v/>
      </c>
      <c r="M223" s="291" t="str">
        <f>+IFERROR(VLOOKUP(K223,'THÀNH PHẨM'!$B:$F,4,0),"")</f>
        <v/>
      </c>
      <c r="N223" s="291" t="str">
        <f>+IFERROR(VLOOKUP(K223,'THÀNH PHẨM'!$B:$F,5,0),"")</f>
        <v/>
      </c>
      <c r="O223" s="289"/>
      <c r="P223" s="292">
        <f t="shared" si="2"/>
        <v>0</v>
      </c>
      <c r="Q223" s="289"/>
      <c r="R223" s="289"/>
      <c r="S223" s="293">
        <f t="shared" si="62"/>
        <v>0</v>
      </c>
      <c r="T223" s="294"/>
      <c r="U223" s="295">
        <f t="shared" si="68"/>
        <v>0</v>
      </c>
      <c r="V223" s="296"/>
      <c r="W223" s="297"/>
      <c r="X223" s="298"/>
      <c r="Y223" s="292" t="str">
        <f t="shared" si="69"/>
        <v/>
      </c>
      <c r="Z223" s="366">
        <f t="shared" si="70"/>
        <v>0</v>
      </c>
      <c r="AA223" s="299" t="str">
        <f t="shared" si="71"/>
        <v/>
      </c>
      <c r="AB223" s="300"/>
      <c r="AC223" s="301"/>
      <c r="AD223" s="302"/>
      <c r="AE223" s="303"/>
      <c r="AF223" s="304"/>
      <c r="AG223" s="304"/>
      <c r="AH223" s="304"/>
      <c r="AI223" s="304"/>
      <c r="AJ223" s="304"/>
      <c r="AK223" s="305"/>
      <c r="AL223" s="283"/>
      <c r="AM223" s="284"/>
    </row>
    <row r="224" ht="15.75" customHeight="1">
      <c r="A224" s="282">
        <f t="shared" si="1"/>
        <v>220</v>
      </c>
      <c r="B224" s="283"/>
      <c r="C224" s="284"/>
      <c r="D224" s="338"/>
      <c r="E224" s="286"/>
      <c r="F224" s="287"/>
      <c r="G224" s="288" t="str">
        <f>+IFERROR(VLOOKUP(F224,NVL!$B:$C,2,0),"")</f>
        <v/>
      </c>
      <c r="H224" s="288" t="str">
        <f>+IFERROR(VLOOKUP(F224,NVL!$B:$D,3,0),"")</f>
        <v/>
      </c>
      <c r="I224" s="288" t="str">
        <f>+IFERROR(VLOOKUP(F224,NVL!$B:$F,4,0),"")</f>
        <v/>
      </c>
      <c r="J224" s="289"/>
      <c r="K224" s="290"/>
      <c r="L224" s="291" t="str">
        <f>+IFERROR(VLOOKUP(K224,'THÀNH PHẨM'!$B:$F,3,0),"")</f>
        <v/>
      </c>
      <c r="M224" s="291" t="str">
        <f>+IFERROR(VLOOKUP(K224,'THÀNH PHẨM'!$B:$F,4,0),"")</f>
        <v/>
      </c>
      <c r="N224" s="291" t="str">
        <f>+IFERROR(VLOOKUP(K224,'THÀNH PHẨM'!$B:$F,5,0),"")</f>
        <v/>
      </c>
      <c r="O224" s="289"/>
      <c r="P224" s="292">
        <f t="shared" si="2"/>
        <v>0</v>
      </c>
      <c r="Q224" s="289"/>
      <c r="R224" s="289"/>
      <c r="S224" s="293">
        <f t="shared" si="62"/>
        <v>0</v>
      </c>
      <c r="T224" s="294"/>
      <c r="U224" s="295">
        <f t="shared" si="68"/>
        <v>0</v>
      </c>
      <c r="V224" s="296"/>
      <c r="W224" s="297"/>
      <c r="X224" s="298"/>
      <c r="Y224" s="292" t="str">
        <f t="shared" si="69"/>
        <v/>
      </c>
      <c r="Z224" s="366">
        <f t="shared" si="70"/>
        <v>0</v>
      </c>
      <c r="AA224" s="299" t="str">
        <f t="shared" si="71"/>
        <v/>
      </c>
      <c r="AB224" s="300"/>
      <c r="AC224" s="301"/>
      <c r="AD224" s="302"/>
      <c r="AE224" s="303"/>
      <c r="AF224" s="304"/>
      <c r="AG224" s="304"/>
      <c r="AH224" s="304"/>
      <c r="AI224" s="304"/>
      <c r="AJ224" s="304"/>
      <c r="AK224" s="305"/>
      <c r="AL224" s="283"/>
      <c r="AM224" s="284"/>
    </row>
    <row r="225" ht="15.75" customHeight="1">
      <c r="A225" s="282">
        <f t="shared" si="1"/>
        <v>221</v>
      </c>
      <c r="B225" s="283"/>
      <c r="C225" s="284"/>
      <c r="D225" s="338"/>
      <c r="E225" s="286"/>
      <c r="F225" s="287"/>
      <c r="G225" s="288" t="str">
        <f>+IFERROR(VLOOKUP(F225,NVL!$B:$C,2,0),"")</f>
        <v/>
      </c>
      <c r="H225" s="288" t="str">
        <f>+IFERROR(VLOOKUP(F225,NVL!$B:$D,3,0),"")</f>
        <v/>
      </c>
      <c r="I225" s="288" t="str">
        <f>+IFERROR(VLOOKUP(F225,NVL!$B:$F,4,0),"")</f>
        <v/>
      </c>
      <c r="J225" s="289"/>
      <c r="K225" s="290"/>
      <c r="L225" s="291" t="str">
        <f>+IFERROR(VLOOKUP(K225,'THÀNH PHẨM'!$B:$F,3,0),"")</f>
        <v/>
      </c>
      <c r="M225" s="291" t="str">
        <f>+IFERROR(VLOOKUP(K225,'THÀNH PHẨM'!$B:$F,4,0),"")</f>
        <v/>
      </c>
      <c r="N225" s="291" t="str">
        <f>+IFERROR(VLOOKUP(K225,'THÀNH PHẨM'!$B:$F,5,0),"")</f>
        <v/>
      </c>
      <c r="O225" s="289"/>
      <c r="P225" s="292">
        <f t="shared" si="2"/>
        <v>0</v>
      </c>
      <c r="Q225" s="289"/>
      <c r="R225" s="289"/>
      <c r="S225" s="293">
        <f t="shared" si="62"/>
        <v>0</v>
      </c>
      <c r="T225" s="294"/>
      <c r="U225" s="295">
        <f t="shared" si="68"/>
        <v>0</v>
      </c>
      <c r="V225" s="296"/>
      <c r="W225" s="297"/>
      <c r="X225" s="298"/>
      <c r="Y225" s="292" t="str">
        <f t="shared" si="69"/>
        <v/>
      </c>
      <c r="Z225" s="366">
        <f t="shared" si="70"/>
        <v>0</v>
      </c>
      <c r="AA225" s="299" t="str">
        <f t="shared" si="71"/>
        <v/>
      </c>
      <c r="AB225" s="300"/>
      <c r="AC225" s="301"/>
      <c r="AD225" s="302"/>
      <c r="AE225" s="303"/>
      <c r="AF225" s="304"/>
      <c r="AG225" s="304"/>
      <c r="AH225" s="304"/>
      <c r="AI225" s="304"/>
      <c r="AJ225" s="304"/>
      <c r="AK225" s="305"/>
      <c r="AL225" s="283"/>
      <c r="AM225" s="431"/>
    </row>
    <row r="226" ht="15.75" customHeight="1">
      <c r="A226" s="282">
        <f t="shared" si="1"/>
        <v>222</v>
      </c>
      <c r="B226" s="283"/>
      <c r="C226" s="284"/>
      <c r="D226" s="338"/>
      <c r="E226" s="286"/>
      <c r="F226" s="287"/>
      <c r="G226" s="288" t="str">
        <f>+IFERROR(VLOOKUP(F226,NVL!$B:$C,2,0),"")</f>
        <v/>
      </c>
      <c r="H226" s="288" t="str">
        <f>+IFERROR(VLOOKUP(F226,NVL!$B:$D,3,0),"")</f>
        <v/>
      </c>
      <c r="I226" s="288" t="str">
        <f>+IFERROR(VLOOKUP(F226,NVL!$B:$F,4,0),"")</f>
        <v/>
      </c>
      <c r="J226" s="289"/>
      <c r="K226" s="290"/>
      <c r="L226" s="291" t="str">
        <f>+IFERROR(VLOOKUP(K226,'THÀNH PHẨM'!$B:$F,3,0),"")</f>
        <v/>
      </c>
      <c r="M226" s="291" t="str">
        <f>+IFERROR(VLOOKUP(K226,'THÀNH PHẨM'!$B:$F,4,0),"")</f>
        <v/>
      </c>
      <c r="N226" s="291" t="str">
        <f>+IFERROR(VLOOKUP(K226,'THÀNH PHẨM'!$B:$F,5,0),"")</f>
        <v/>
      </c>
      <c r="O226" s="289"/>
      <c r="P226" s="292">
        <f t="shared" si="2"/>
        <v>0</v>
      </c>
      <c r="Q226" s="289"/>
      <c r="R226" s="289"/>
      <c r="S226" s="293">
        <f t="shared" si="62"/>
        <v>0</v>
      </c>
      <c r="T226" s="294"/>
      <c r="U226" s="295">
        <f t="shared" si="68"/>
        <v>0</v>
      </c>
      <c r="V226" s="296"/>
      <c r="W226" s="297"/>
      <c r="X226" s="298"/>
      <c r="Y226" s="292" t="str">
        <f t="shared" si="69"/>
        <v/>
      </c>
      <c r="Z226" s="366">
        <f t="shared" si="70"/>
        <v>0</v>
      </c>
      <c r="AA226" s="299" t="str">
        <f t="shared" si="71"/>
        <v/>
      </c>
      <c r="AB226" s="300"/>
      <c r="AC226" s="301"/>
      <c r="AD226" s="302"/>
      <c r="AE226" s="303"/>
      <c r="AF226" s="304"/>
      <c r="AG226" s="304"/>
      <c r="AH226" s="304"/>
      <c r="AI226" s="304"/>
      <c r="AJ226" s="304"/>
      <c r="AK226" s="305"/>
      <c r="AL226" s="283"/>
      <c r="AM226" s="284"/>
    </row>
    <row r="227" ht="15.75" customHeight="1">
      <c r="A227" s="282">
        <f t="shared" si="1"/>
        <v>223</v>
      </c>
      <c r="B227" s="283"/>
      <c r="C227" s="284"/>
      <c r="D227" s="338"/>
      <c r="E227" s="286"/>
      <c r="F227" s="287"/>
      <c r="G227" s="288" t="str">
        <f>+IFERROR(VLOOKUP(F227,NVL!$B:$C,2,0),"")</f>
        <v/>
      </c>
      <c r="H227" s="288" t="str">
        <f>+IFERROR(VLOOKUP(F227,NVL!$B:$D,3,0),"")</f>
        <v/>
      </c>
      <c r="I227" s="288" t="str">
        <f>+IFERROR(VLOOKUP(F227,NVL!$B:$F,4,0),"")</f>
        <v/>
      </c>
      <c r="J227" s="289"/>
      <c r="K227" s="290"/>
      <c r="L227" s="291" t="str">
        <f>+IFERROR(VLOOKUP(K227,'THÀNH PHẨM'!$B:$F,3,0),"")</f>
        <v/>
      </c>
      <c r="M227" s="291" t="str">
        <f>+IFERROR(VLOOKUP(K227,'THÀNH PHẨM'!$B:$F,4,0),"")</f>
        <v/>
      </c>
      <c r="N227" s="291" t="str">
        <f>+IFERROR(VLOOKUP(K227,'THÀNH PHẨM'!$B:$F,5,0),"")</f>
        <v/>
      </c>
      <c r="O227" s="289"/>
      <c r="P227" s="292">
        <f t="shared" si="2"/>
        <v>0</v>
      </c>
      <c r="Q227" s="289"/>
      <c r="R227" s="289"/>
      <c r="S227" s="293">
        <f t="shared" si="62"/>
        <v>0</v>
      </c>
      <c r="T227" s="294"/>
      <c r="U227" s="295">
        <f t="shared" si="68"/>
        <v>0</v>
      </c>
      <c r="V227" s="296"/>
      <c r="W227" s="297"/>
      <c r="X227" s="298"/>
      <c r="Y227" s="292" t="str">
        <f t="shared" si="69"/>
        <v/>
      </c>
      <c r="Z227" s="366">
        <f t="shared" si="70"/>
        <v>0</v>
      </c>
      <c r="AA227" s="299" t="str">
        <f t="shared" si="71"/>
        <v/>
      </c>
      <c r="AB227" s="300"/>
      <c r="AC227" s="301"/>
      <c r="AD227" s="302"/>
      <c r="AE227" s="303"/>
      <c r="AF227" s="304"/>
      <c r="AG227" s="304"/>
      <c r="AH227" s="304"/>
      <c r="AI227" s="304"/>
      <c r="AJ227" s="304"/>
      <c r="AK227" s="305"/>
      <c r="AL227" s="283"/>
      <c r="AM227" s="284"/>
    </row>
    <row r="228" ht="15.75" customHeight="1">
      <c r="A228" s="282">
        <f t="shared" si="1"/>
        <v>224</v>
      </c>
      <c r="B228" s="283"/>
      <c r="C228" s="284"/>
      <c r="D228" s="338"/>
      <c r="E228" s="286"/>
      <c r="F228" s="287"/>
      <c r="G228" s="288" t="str">
        <f>+IFERROR(VLOOKUP(F228,NVL!$B:$C,2,0),"")</f>
        <v/>
      </c>
      <c r="H228" s="288" t="str">
        <f>+IFERROR(VLOOKUP(F228,NVL!$B:$D,3,0),"")</f>
        <v/>
      </c>
      <c r="I228" s="288" t="str">
        <f>+IFERROR(VLOOKUP(F228,NVL!$B:$F,4,0),"")</f>
        <v/>
      </c>
      <c r="J228" s="289"/>
      <c r="K228" s="290"/>
      <c r="L228" s="291" t="str">
        <f>+IFERROR(VLOOKUP(K228,'THÀNH PHẨM'!$B:$F,3,0),"")</f>
        <v/>
      </c>
      <c r="M228" s="291" t="str">
        <f>+IFERROR(VLOOKUP(K228,'THÀNH PHẨM'!$B:$F,4,0),"")</f>
        <v/>
      </c>
      <c r="N228" s="291" t="str">
        <f>+IFERROR(VLOOKUP(K228,'THÀNH PHẨM'!$B:$F,5,0),"")</f>
        <v/>
      </c>
      <c r="O228" s="289"/>
      <c r="P228" s="292">
        <f t="shared" si="2"/>
        <v>0</v>
      </c>
      <c r="Q228" s="289"/>
      <c r="R228" s="289"/>
      <c r="S228" s="293">
        <f t="shared" si="62"/>
        <v>0</v>
      </c>
      <c r="T228" s="294"/>
      <c r="U228" s="295">
        <f t="shared" si="68"/>
        <v>0</v>
      </c>
      <c r="V228" s="296"/>
      <c r="W228" s="297"/>
      <c r="X228" s="298"/>
      <c r="Y228" s="292" t="str">
        <f t="shared" si="69"/>
        <v/>
      </c>
      <c r="Z228" s="366">
        <f t="shared" si="70"/>
        <v>0</v>
      </c>
      <c r="AA228" s="299" t="str">
        <f t="shared" si="71"/>
        <v/>
      </c>
      <c r="AB228" s="300"/>
      <c r="AC228" s="301"/>
      <c r="AD228" s="302"/>
      <c r="AE228" s="303"/>
      <c r="AF228" s="304"/>
      <c r="AG228" s="304"/>
      <c r="AH228" s="304"/>
      <c r="AI228" s="304"/>
      <c r="AJ228" s="304"/>
      <c r="AK228" s="305"/>
      <c r="AL228" s="283"/>
      <c r="AM228" s="284"/>
    </row>
    <row r="229" ht="15.75" customHeight="1">
      <c r="A229" s="282">
        <f t="shared" si="1"/>
        <v>225</v>
      </c>
      <c r="B229" s="283"/>
      <c r="C229" s="284"/>
      <c r="D229" s="338"/>
      <c r="E229" s="286"/>
      <c r="F229" s="287"/>
      <c r="G229" s="288" t="str">
        <f>+IFERROR(VLOOKUP(F229,NVL!$B:$C,2,0),"")</f>
        <v/>
      </c>
      <c r="H229" s="288" t="str">
        <f>+IFERROR(VLOOKUP(F229,NVL!$B:$D,3,0),"")</f>
        <v/>
      </c>
      <c r="I229" s="288" t="str">
        <f>+IFERROR(VLOOKUP(F229,NVL!$B:$F,4,0),"")</f>
        <v/>
      </c>
      <c r="J229" s="289"/>
      <c r="K229" s="290"/>
      <c r="L229" s="291" t="str">
        <f>+IFERROR(VLOOKUP(K229,'THÀNH PHẨM'!$B:$F,3,0),"")</f>
        <v/>
      </c>
      <c r="M229" s="291" t="str">
        <f>+IFERROR(VLOOKUP(K229,'THÀNH PHẨM'!$B:$F,4,0),"")</f>
        <v/>
      </c>
      <c r="N229" s="291" t="str">
        <f>+IFERROR(VLOOKUP(K229,'THÀNH PHẨM'!$B:$F,5,0),"")</f>
        <v/>
      </c>
      <c r="O229" s="289"/>
      <c r="P229" s="292">
        <f t="shared" si="2"/>
        <v>0</v>
      </c>
      <c r="Q229" s="289"/>
      <c r="R229" s="289"/>
      <c r="S229" s="293">
        <f t="shared" si="62"/>
        <v>0</v>
      </c>
      <c r="T229" s="294"/>
      <c r="U229" s="295">
        <f t="shared" si="68"/>
        <v>0</v>
      </c>
      <c r="V229" s="296"/>
      <c r="W229" s="297"/>
      <c r="X229" s="298"/>
      <c r="Y229" s="292" t="str">
        <f t="shared" si="69"/>
        <v/>
      </c>
      <c r="Z229" s="366">
        <f t="shared" si="70"/>
        <v>0</v>
      </c>
      <c r="AA229" s="299" t="str">
        <f t="shared" si="71"/>
        <v/>
      </c>
      <c r="AB229" s="300"/>
      <c r="AC229" s="301"/>
      <c r="AD229" s="302"/>
      <c r="AE229" s="303"/>
      <c r="AF229" s="304"/>
      <c r="AG229" s="304"/>
      <c r="AH229" s="304"/>
      <c r="AI229" s="304"/>
      <c r="AJ229" s="304"/>
      <c r="AK229" s="305"/>
      <c r="AL229" s="283"/>
      <c r="AM229" s="284"/>
    </row>
    <row r="230" ht="15.75" customHeight="1">
      <c r="A230" s="282">
        <f t="shared" si="1"/>
        <v>226</v>
      </c>
      <c r="B230" s="283"/>
      <c r="C230" s="284"/>
      <c r="D230" s="338"/>
      <c r="E230" s="286"/>
      <c r="F230" s="287"/>
      <c r="G230" s="288" t="str">
        <f>+IFERROR(VLOOKUP(F230,NVL!$B:$C,2,0),"")</f>
        <v/>
      </c>
      <c r="H230" s="288" t="str">
        <f>+IFERROR(VLOOKUP(F230,NVL!$B:$D,3,0),"")</f>
        <v/>
      </c>
      <c r="I230" s="288" t="str">
        <f>+IFERROR(VLOOKUP(F230,NVL!$B:$F,4,0),"")</f>
        <v/>
      </c>
      <c r="J230" s="289"/>
      <c r="K230" s="290"/>
      <c r="L230" s="291" t="str">
        <f>+IFERROR(VLOOKUP(K230,'THÀNH PHẨM'!$B:$F,3,0),"")</f>
        <v/>
      </c>
      <c r="M230" s="291" t="str">
        <f>+IFERROR(VLOOKUP(K230,'THÀNH PHẨM'!$B:$F,4,0),"")</f>
        <v/>
      </c>
      <c r="N230" s="291" t="str">
        <f>+IFERROR(VLOOKUP(K230,'THÀNH PHẨM'!$B:$F,5,0),"")</f>
        <v/>
      </c>
      <c r="O230" s="289"/>
      <c r="P230" s="292">
        <f t="shared" si="2"/>
        <v>0</v>
      </c>
      <c r="Q230" s="289"/>
      <c r="R230" s="289"/>
      <c r="S230" s="293">
        <f t="shared" si="62"/>
        <v>0</v>
      </c>
      <c r="T230" s="294"/>
      <c r="U230" s="295">
        <f t="shared" si="68"/>
        <v>0</v>
      </c>
      <c r="V230" s="296"/>
      <c r="W230" s="297"/>
      <c r="X230" s="298"/>
      <c r="Y230" s="292" t="str">
        <f t="shared" si="69"/>
        <v/>
      </c>
      <c r="Z230" s="366">
        <f t="shared" si="70"/>
        <v>0</v>
      </c>
      <c r="AA230" s="299" t="str">
        <f t="shared" si="71"/>
        <v/>
      </c>
      <c r="AB230" s="300"/>
      <c r="AC230" s="301"/>
      <c r="AD230" s="302"/>
      <c r="AE230" s="303"/>
      <c r="AF230" s="304"/>
      <c r="AG230" s="304"/>
      <c r="AH230" s="304"/>
      <c r="AI230" s="304"/>
      <c r="AJ230" s="304"/>
      <c r="AK230" s="305"/>
      <c r="AL230" s="283"/>
      <c r="AM230" s="284"/>
    </row>
    <row r="231" ht="15.75" customHeight="1">
      <c r="A231" s="282">
        <f t="shared" si="1"/>
        <v>227</v>
      </c>
      <c r="B231" s="283"/>
      <c r="C231" s="284"/>
      <c r="D231" s="338"/>
      <c r="E231" s="286"/>
      <c r="F231" s="287"/>
      <c r="G231" s="288" t="str">
        <f>+IFERROR(VLOOKUP(F231,NVL!$B:$C,2,0),"")</f>
        <v/>
      </c>
      <c r="H231" s="288" t="str">
        <f>+IFERROR(VLOOKUP(F231,NVL!$B:$D,3,0),"")</f>
        <v/>
      </c>
      <c r="I231" s="288" t="str">
        <f>+IFERROR(VLOOKUP(F231,NVL!$B:$F,4,0),"")</f>
        <v/>
      </c>
      <c r="J231" s="289"/>
      <c r="K231" s="290"/>
      <c r="L231" s="291" t="str">
        <f>+IFERROR(VLOOKUP(K231,'THÀNH PHẨM'!$B:$F,3,0),"")</f>
        <v/>
      </c>
      <c r="M231" s="291" t="str">
        <f>+IFERROR(VLOOKUP(K231,'THÀNH PHẨM'!$B:$F,4,0),"")</f>
        <v/>
      </c>
      <c r="N231" s="291" t="str">
        <f>+IFERROR(VLOOKUP(K231,'THÀNH PHẨM'!$B:$F,5,0),"")</f>
        <v/>
      </c>
      <c r="O231" s="289"/>
      <c r="P231" s="292">
        <f t="shared" si="2"/>
        <v>0</v>
      </c>
      <c r="Q231" s="289"/>
      <c r="R231" s="289"/>
      <c r="S231" s="293">
        <f t="shared" si="62"/>
        <v>0</v>
      </c>
      <c r="T231" s="294"/>
      <c r="U231" s="295">
        <f t="shared" si="68"/>
        <v>0</v>
      </c>
      <c r="V231" s="296"/>
      <c r="W231" s="297"/>
      <c r="X231" s="298"/>
      <c r="Y231" s="292" t="str">
        <f t="shared" si="69"/>
        <v/>
      </c>
      <c r="Z231" s="366">
        <f t="shared" si="70"/>
        <v>0</v>
      </c>
      <c r="AA231" s="299" t="str">
        <f t="shared" si="71"/>
        <v/>
      </c>
      <c r="AB231" s="300"/>
      <c r="AC231" s="301"/>
      <c r="AD231" s="302"/>
      <c r="AE231" s="303"/>
      <c r="AF231" s="304"/>
      <c r="AG231" s="304"/>
      <c r="AH231" s="304"/>
      <c r="AI231" s="304"/>
      <c r="AJ231" s="304"/>
      <c r="AK231" s="305"/>
      <c r="AL231" s="283"/>
      <c r="AM231" s="284"/>
    </row>
    <row r="232" ht="15.75" customHeight="1">
      <c r="A232" s="282">
        <f t="shared" si="1"/>
        <v>228</v>
      </c>
      <c r="B232" s="283"/>
      <c r="C232" s="284"/>
      <c r="D232" s="338"/>
      <c r="E232" s="286"/>
      <c r="F232" s="287"/>
      <c r="G232" s="288" t="str">
        <f>+IFERROR(VLOOKUP(F232,NVL!$B:$C,2,0),"")</f>
        <v/>
      </c>
      <c r="H232" s="288" t="str">
        <f>+IFERROR(VLOOKUP(F232,NVL!$B:$D,3,0),"")</f>
        <v/>
      </c>
      <c r="I232" s="288" t="str">
        <f>+IFERROR(VLOOKUP(F232,NVL!$B:$F,4,0),"")</f>
        <v/>
      </c>
      <c r="J232" s="289"/>
      <c r="K232" s="290"/>
      <c r="L232" s="291" t="str">
        <f>+IFERROR(VLOOKUP(K232,'THÀNH PHẨM'!$B:$F,3,0),"")</f>
        <v/>
      </c>
      <c r="M232" s="291" t="str">
        <f>+IFERROR(VLOOKUP(K232,'THÀNH PHẨM'!$B:$F,4,0),"")</f>
        <v/>
      </c>
      <c r="N232" s="291" t="str">
        <f>+IFERROR(VLOOKUP(K232,'THÀNH PHẨM'!$B:$F,5,0),"")</f>
        <v/>
      </c>
      <c r="O232" s="289"/>
      <c r="P232" s="292">
        <f t="shared" si="2"/>
        <v>0</v>
      </c>
      <c r="Q232" s="289"/>
      <c r="R232" s="289"/>
      <c r="S232" s="293">
        <f t="shared" si="62"/>
        <v>0</v>
      </c>
      <c r="T232" s="294"/>
      <c r="U232" s="295">
        <f t="shared" si="68"/>
        <v>0</v>
      </c>
      <c r="V232" s="296"/>
      <c r="W232" s="297"/>
      <c r="X232" s="298"/>
      <c r="Y232" s="292" t="str">
        <f t="shared" si="69"/>
        <v/>
      </c>
      <c r="Z232" s="366">
        <f t="shared" si="70"/>
        <v>0</v>
      </c>
      <c r="AA232" s="299" t="str">
        <f t="shared" si="71"/>
        <v/>
      </c>
      <c r="AB232" s="300"/>
      <c r="AC232" s="301"/>
      <c r="AD232" s="302"/>
      <c r="AE232" s="303"/>
      <c r="AF232" s="304"/>
      <c r="AG232" s="304"/>
      <c r="AH232" s="304"/>
      <c r="AI232" s="304"/>
      <c r="AJ232" s="304"/>
      <c r="AK232" s="305"/>
      <c r="AL232" s="283"/>
      <c r="AM232" s="284"/>
    </row>
    <row r="233" ht="15.75" customHeight="1">
      <c r="A233" s="282">
        <f t="shared" si="1"/>
        <v>229</v>
      </c>
      <c r="B233" s="283"/>
      <c r="C233" s="284"/>
      <c r="D233" s="338"/>
      <c r="E233" s="286"/>
      <c r="F233" s="287"/>
      <c r="G233" s="288" t="str">
        <f>+IFERROR(VLOOKUP(F233,NVL!$B:$C,2,0),"")</f>
        <v/>
      </c>
      <c r="H233" s="288" t="str">
        <f>+IFERROR(VLOOKUP(F233,NVL!$B:$D,3,0),"")</f>
        <v/>
      </c>
      <c r="I233" s="288" t="str">
        <f>+IFERROR(VLOOKUP(F233,NVL!$B:$F,4,0),"")</f>
        <v/>
      </c>
      <c r="J233" s="289"/>
      <c r="K233" s="290"/>
      <c r="L233" s="291" t="str">
        <f>+IFERROR(VLOOKUP(K233,'THÀNH PHẨM'!$B:$F,3,0),"")</f>
        <v/>
      </c>
      <c r="M233" s="291" t="str">
        <f>+IFERROR(VLOOKUP(K233,'THÀNH PHẨM'!$B:$F,4,0),"")</f>
        <v/>
      </c>
      <c r="N233" s="291" t="str">
        <f>+IFERROR(VLOOKUP(K233,'THÀNH PHẨM'!$B:$F,5,0),"")</f>
        <v/>
      </c>
      <c r="O233" s="289"/>
      <c r="P233" s="292">
        <f t="shared" si="2"/>
        <v>0</v>
      </c>
      <c r="Q233" s="289"/>
      <c r="R233" s="289"/>
      <c r="S233" s="293">
        <f t="shared" si="62"/>
        <v>0</v>
      </c>
      <c r="T233" s="294"/>
      <c r="U233" s="295">
        <f t="shared" si="68"/>
        <v>0</v>
      </c>
      <c r="V233" s="296"/>
      <c r="W233" s="297"/>
      <c r="X233" s="298"/>
      <c r="Y233" s="292" t="str">
        <f t="shared" si="69"/>
        <v/>
      </c>
      <c r="Z233" s="366">
        <f t="shared" si="70"/>
        <v>0</v>
      </c>
      <c r="AA233" s="299" t="str">
        <f t="shared" si="71"/>
        <v/>
      </c>
      <c r="AB233" s="300"/>
      <c r="AC233" s="301"/>
      <c r="AD233" s="302"/>
      <c r="AE233" s="303"/>
      <c r="AF233" s="304"/>
      <c r="AG233" s="304"/>
      <c r="AH233" s="304"/>
      <c r="AI233" s="304"/>
      <c r="AJ233" s="304"/>
      <c r="AK233" s="298"/>
      <c r="AL233" s="283"/>
      <c r="AM233" s="284"/>
    </row>
    <row r="234" ht="15.75" customHeight="1">
      <c r="A234" s="282">
        <f t="shared" si="1"/>
        <v>230</v>
      </c>
      <c r="B234" s="283"/>
      <c r="C234" s="335"/>
      <c r="D234" s="338"/>
      <c r="E234" s="286"/>
      <c r="F234" s="287"/>
      <c r="G234" s="288" t="str">
        <f>+IFERROR(VLOOKUP(F234,NVL!$B:$C,2,0),"")</f>
        <v/>
      </c>
      <c r="H234" s="288" t="str">
        <f>+IFERROR(VLOOKUP(F234,NVL!$B:$D,3,0),"")</f>
        <v/>
      </c>
      <c r="I234" s="288" t="str">
        <f>+IFERROR(VLOOKUP(F234,NVL!$B:$F,4,0),"")</f>
        <v/>
      </c>
      <c r="J234" s="289"/>
      <c r="K234" s="290"/>
      <c r="L234" s="291" t="str">
        <f>+IFERROR(VLOOKUP(K234,'THÀNH PHẨM'!$B:$F,3,0),"")</f>
        <v/>
      </c>
      <c r="M234" s="291" t="str">
        <f>+IFERROR(VLOOKUP(K234,'THÀNH PHẨM'!$B:$F,4,0),"")</f>
        <v/>
      </c>
      <c r="N234" s="291" t="str">
        <f>+IFERROR(VLOOKUP(K234,'THÀNH PHẨM'!$B:$F,5,0),"")</f>
        <v/>
      </c>
      <c r="O234" s="289"/>
      <c r="P234" s="292">
        <f t="shared" si="2"/>
        <v>0</v>
      </c>
      <c r="Q234" s="289"/>
      <c r="R234" s="289"/>
      <c r="S234" s="293">
        <f t="shared" si="62"/>
        <v>0</v>
      </c>
      <c r="T234" s="294"/>
      <c r="U234" s="295">
        <f t="shared" si="68"/>
        <v>0</v>
      </c>
      <c r="V234" s="296"/>
      <c r="W234" s="297"/>
      <c r="X234" s="298"/>
      <c r="Y234" s="292" t="str">
        <f t="shared" si="69"/>
        <v/>
      </c>
      <c r="Z234" s="366">
        <f t="shared" si="70"/>
        <v>0</v>
      </c>
      <c r="AA234" s="299" t="str">
        <f t="shared" si="71"/>
        <v/>
      </c>
      <c r="AB234" s="300"/>
      <c r="AC234" s="301"/>
      <c r="AD234" s="302"/>
      <c r="AE234" s="303"/>
      <c r="AF234" s="304"/>
      <c r="AG234" s="304"/>
      <c r="AH234" s="304"/>
      <c r="AI234" s="304"/>
      <c r="AJ234" s="304"/>
      <c r="AK234" s="305"/>
      <c r="AL234" s="283"/>
      <c r="AM234" s="284"/>
    </row>
    <row r="235" ht="15.75" customHeight="1">
      <c r="A235" s="282">
        <f t="shared" si="1"/>
        <v>231</v>
      </c>
      <c r="B235" s="283"/>
      <c r="C235" s="284"/>
      <c r="D235" s="338"/>
      <c r="E235" s="286"/>
      <c r="F235" s="287"/>
      <c r="G235" s="288" t="str">
        <f>+IFERROR(VLOOKUP(F235,NVL!$B:$C,2,0),"")</f>
        <v/>
      </c>
      <c r="H235" s="288" t="str">
        <f>+IFERROR(VLOOKUP(F235,NVL!$B:$D,3,0),"")</f>
        <v/>
      </c>
      <c r="I235" s="288" t="str">
        <f>+IFERROR(VLOOKUP(F235,NVL!$B:$F,4,0),"")</f>
        <v/>
      </c>
      <c r="J235" s="289"/>
      <c r="K235" s="290"/>
      <c r="L235" s="291" t="str">
        <f>+IFERROR(VLOOKUP(K235,'THÀNH PHẨM'!$B:$F,3,0),"")</f>
        <v/>
      </c>
      <c r="M235" s="291" t="str">
        <f>+IFERROR(VLOOKUP(K235,'THÀNH PHẨM'!$B:$F,4,0),"")</f>
        <v/>
      </c>
      <c r="N235" s="291" t="str">
        <f>+IFERROR(VLOOKUP(K235,'THÀNH PHẨM'!$B:$F,5,0),"")</f>
        <v/>
      </c>
      <c r="O235" s="289"/>
      <c r="P235" s="292">
        <f t="shared" si="2"/>
        <v>0</v>
      </c>
      <c r="Q235" s="289"/>
      <c r="R235" s="289"/>
      <c r="S235" s="293">
        <f t="shared" si="62"/>
        <v>0</v>
      </c>
      <c r="T235" s="294"/>
      <c r="U235" s="295">
        <f t="shared" si="68"/>
        <v>0</v>
      </c>
      <c r="V235" s="296"/>
      <c r="W235" s="297"/>
      <c r="X235" s="298"/>
      <c r="Y235" s="292" t="str">
        <f t="shared" si="69"/>
        <v/>
      </c>
      <c r="Z235" s="366">
        <f t="shared" si="70"/>
        <v>0</v>
      </c>
      <c r="AA235" s="299" t="str">
        <f t="shared" si="71"/>
        <v/>
      </c>
      <c r="AB235" s="300"/>
      <c r="AC235" s="301"/>
      <c r="AD235" s="302"/>
      <c r="AE235" s="303"/>
      <c r="AF235" s="304"/>
      <c r="AG235" s="304"/>
      <c r="AH235" s="304"/>
      <c r="AI235" s="304"/>
      <c r="AJ235" s="304"/>
      <c r="AK235" s="305"/>
      <c r="AL235" s="283"/>
      <c r="AM235" s="284"/>
    </row>
    <row r="236" ht="15.75" customHeight="1">
      <c r="A236" s="282">
        <f t="shared" si="1"/>
        <v>232</v>
      </c>
      <c r="B236" s="283"/>
      <c r="C236" s="284"/>
      <c r="D236" s="338"/>
      <c r="E236" s="286"/>
      <c r="F236" s="287"/>
      <c r="G236" s="288" t="str">
        <f>+IFERROR(VLOOKUP(F236,NVL!$B:$C,2,0),"")</f>
        <v/>
      </c>
      <c r="H236" s="288" t="str">
        <f>+IFERROR(VLOOKUP(F236,NVL!$B:$D,3,0),"")</f>
        <v/>
      </c>
      <c r="I236" s="288" t="str">
        <f>+IFERROR(VLOOKUP(F236,NVL!$B:$F,4,0),"")</f>
        <v/>
      </c>
      <c r="J236" s="289"/>
      <c r="K236" s="290"/>
      <c r="L236" s="291" t="str">
        <f>+IFERROR(VLOOKUP(K236,'THÀNH PHẨM'!$B:$F,3,0),"")</f>
        <v/>
      </c>
      <c r="M236" s="291" t="str">
        <f>+IFERROR(VLOOKUP(K236,'THÀNH PHẨM'!$B:$F,4,0),"")</f>
        <v/>
      </c>
      <c r="N236" s="291" t="str">
        <f>+IFERROR(VLOOKUP(K236,'THÀNH PHẨM'!$B:$F,5,0),"")</f>
        <v/>
      </c>
      <c r="O236" s="289"/>
      <c r="P236" s="292">
        <f t="shared" si="2"/>
        <v>0</v>
      </c>
      <c r="Q236" s="289"/>
      <c r="R236" s="289"/>
      <c r="S236" s="293">
        <f t="shared" si="62"/>
        <v>0</v>
      </c>
      <c r="T236" s="294"/>
      <c r="U236" s="295">
        <f t="shared" si="68"/>
        <v>0</v>
      </c>
      <c r="V236" s="296"/>
      <c r="W236" s="297"/>
      <c r="X236" s="298"/>
      <c r="Y236" s="292" t="str">
        <f t="shared" si="69"/>
        <v/>
      </c>
      <c r="Z236" s="366">
        <f t="shared" si="70"/>
        <v>0</v>
      </c>
      <c r="AA236" s="299" t="str">
        <f t="shared" si="71"/>
        <v/>
      </c>
      <c r="AB236" s="300"/>
      <c r="AC236" s="301"/>
      <c r="AD236" s="302"/>
      <c r="AE236" s="303"/>
      <c r="AF236" s="304"/>
      <c r="AG236" s="304"/>
      <c r="AH236" s="304"/>
      <c r="AI236" s="304"/>
      <c r="AJ236" s="304"/>
      <c r="AK236" s="305"/>
      <c r="AL236" s="283"/>
      <c r="AM236" s="284"/>
    </row>
    <row r="237" ht="15.75" customHeight="1">
      <c r="A237" s="282">
        <f t="shared" si="1"/>
        <v>233</v>
      </c>
      <c r="B237" s="283"/>
      <c r="C237" s="284"/>
      <c r="D237" s="338"/>
      <c r="E237" s="286"/>
      <c r="F237" s="287"/>
      <c r="G237" s="288" t="str">
        <f>+IFERROR(VLOOKUP(F237,NVL!$B:$C,2,0),"")</f>
        <v/>
      </c>
      <c r="H237" s="288" t="str">
        <f>+IFERROR(VLOOKUP(F237,NVL!$B:$D,3,0),"")</f>
        <v/>
      </c>
      <c r="I237" s="288" t="str">
        <f>+IFERROR(VLOOKUP(F237,NVL!$B:$F,4,0),"")</f>
        <v/>
      </c>
      <c r="J237" s="289"/>
      <c r="K237" s="290"/>
      <c r="L237" s="291" t="str">
        <f>+IFERROR(VLOOKUP(K237,'THÀNH PHẨM'!$B:$F,3,0),"")</f>
        <v/>
      </c>
      <c r="M237" s="291" t="str">
        <f>+IFERROR(VLOOKUP(K237,'THÀNH PHẨM'!$B:$F,4,0),"")</f>
        <v/>
      </c>
      <c r="N237" s="291" t="str">
        <f>+IFERROR(VLOOKUP(K237,'THÀNH PHẨM'!$B:$F,5,0),"")</f>
        <v/>
      </c>
      <c r="O237" s="289"/>
      <c r="P237" s="292">
        <f t="shared" si="2"/>
        <v>0</v>
      </c>
      <c r="Q237" s="289"/>
      <c r="R237" s="289"/>
      <c r="S237" s="293">
        <f t="shared" si="62"/>
        <v>0</v>
      </c>
      <c r="T237" s="294"/>
      <c r="U237" s="295">
        <f t="shared" si="68"/>
        <v>0</v>
      </c>
      <c r="V237" s="296"/>
      <c r="W237" s="297"/>
      <c r="X237" s="298"/>
      <c r="Y237" s="292" t="str">
        <f t="shared" si="69"/>
        <v/>
      </c>
      <c r="Z237" s="366">
        <f t="shared" si="70"/>
        <v>0</v>
      </c>
      <c r="AA237" s="299" t="str">
        <f t="shared" si="71"/>
        <v/>
      </c>
      <c r="AB237" s="300"/>
      <c r="AC237" s="301"/>
      <c r="AD237" s="302"/>
      <c r="AE237" s="303"/>
      <c r="AF237" s="304"/>
      <c r="AG237" s="304"/>
      <c r="AH237" s="304"/>
      <c r="AI237" s="304"/>
      <c r="AJ237" s="304"/>
      <c r="AK237" s="305"/>
      <c r="AL237" s="283"/>
      <c r="AM237" s="284"/>
    </row>
    <row r="238" ht="15.75" customHeight="1">
      <c r="A238" s="282">
        <f t="shared" si="1"/>
        <v>234</v>
      </c>
      <c r="B238" s="283"/>
      <c r="C238" s="284"/>
      <c r="D238" s="338"/>
      <c r="E238" s="286"/>
      <c r="F238" s="287"/>
      <c r="G238" s="288" t="str">
        <f>+IFERROR(VLOOKUP(F238,NVL!$B:$C,2,0),"")</f>
        <v/>
      </c>
      <c r="H238" s="288" t="str">
        <f>+IFERROR(VLOOKUP(F238,NVL!$B:$D,3,0),"")</f>
        <v/>
      </c>
      <c r="I238" s="288" t="str">
        <f>+IFERROR(VLOOKUP(F238,NVL!$B:$F,4,0),"")</f>
        <v/>
      </c>
      <c r="J238" s="289"/>
      <c r="K238" s="290"/>
      <c r="L238" s="291" t="str">
        <f>+IFERROR(VLOOKUP(K238,'THÀNH PHẨM'!$B:$F,3,0),"")</f>
        <v/>
      </c>
      <c r="M238" s="291" t="str">
        <f>+IFERROR(VLOOKUP(K238,'THÀNH PHẨM'!$B:$F,4,0),"")</f>
        <v/>
      </c>
      <c r="N238" s="291" t="str">
        <f>+IFERROR(VLOOKUP(K238,'THÀNH PHẨM'!$B:$F,5,0),"")</f>
        <v/>
      </c>
      <c r="O238" s="289"/>
      <c r="P238" s="292">
        <f t="shared" si="2"/>
        <v>0</v>
      </c>
      <c r="Q238" s="289"/>
      <c r="R238" s="289"/>
      <c r="S238" s="293">
        <f t="shared" si="62"/>
        <v>0</v>
      </c>
      <c r="T238" s="294"/>
      <c r="U238" s="295">
        <f t="shared" si="68"/>
        <v>0</v>
      </c>
      <c r="V238" s="296"/>
      <c r="W238" s="297"/>
      <c r="X238" s="298"/>
      <c r="Y238" s="292" t="str">
        <f t="shared" si="69"/>
        <v/>
      </c>
      <c r="Z238" s="366">
        <f t="shared" si="70"/>
        <v>0</v>
      </c>
      <c r="AA238" s="299" t="str">
        <f t="shared" si="71"/>
        <v/>
      </c>
      <c r="AB238" s="300"/>
      <c r="AC238" s="301"/>
      <c r="AD238" s="302"/>
      <c r="AE238" s="303"/>
      <c r="AF238" s="304"/>
      <c r="AG238" s="304"/>
      <c r="AH238" s="304"/>
      <c r="AI238" s="304"/>
      <c r="AJ238" s="304"/>
      <c r="AK238" s="305"/>
      <c r="AL238" s="283"/>
      <c r="AM238" s="284"/>
    </row>
    <row r="239" ht="15.75" customHeight="1">
      <c r="A239" s="282">
        <f t="shared" si="1"/>
        <v>235</v>
      </c>
      <c r="B239" s="283"/>
      <c r="C239" s="284"/>
      <c r="D239" s="338"/>
      <c r="E239" s="286"/>
      <c r="F239" s="287"/>
      <c r="G239" s="288" t="str">
        <f>+IFERROR(VLOOKUP(F239,NVL!$B:$C,2,0),"")</f>
        <v/>
      </c>
      <c r="H239" s="288" t="str">
        <f>+IFERROR(VLOOKUP(F239,NVL!$B:$D,3,0),"")</f>
        <v/>
      </c>
      <c r="I239" s="288" t="str">
        <f>+IFERROR(VLOOKUP(F239,NVL!$B:$F,4,0),"")</f>
        <v/>
      </c>
      <c r="J239" s="289"/>
      <c r="K239" s="290"/>
      <c r="L239" s="291" t="str">
        <f>+IFERROR(VLOOKUP(K239,'THÀNH PHẨM'!$B:$F,3,0),"")</f>
        <v/>
      </c>
      <c r="M239" s="291" t="str">
        <f>+IFERROR(VLOOKUP(K239,'THÀNH PHẨM'!$B:$F,4,0),"")</f>
        <v/>
      </c>
      <c r="N239" s="291" t="str">
        <f>+IFERROR(VLOOKUP(K239,'THÀNH PHẨM'!$B:$F,5,0),"")</f>
        <v/>
      </c>
      <c r="O239" s="289"/>
      <c r="P239" s="292">
        <f t="shared" si="2"/>
        <v>0</v>
      </c>
      <c r="Q239" s="289"/>
      <c r="R239" s="289"/>
      <c r="S239" s="293">
        <f t="shared" si="62"/>
        <v>0</v>
      </c>
      <c r="T239" s="294"/>
      <c r="U239" s="295">
        <f t="shared" si="68"/>
        <v>0</v>
      </c>
      <c r="V239" s="296"/>
      <c r="W239" s="297"/>
      <c r="X239" s="298"/>
      <c r="Y239" s="292" t="str">
        <f t="shared" si="69"/>
        <v/>
      </c>
      <c r="Z239" s="366">
        <f t="shared" si="70"/>
        <v>0</v>
      </c>
      <c r="AA239" s="299" t="str">
        <f t="shared" si="71"/>
        <v/>
      </c>
      <c r="AB239" s="300"/>
      <c r="AC239" s="301"/>
      <c r="AD239" s="302"/>
      <c r="AE239" s="303"/>
      <c r="AF239" s="304"/>
      <c r="AG239" s="304"/>
      <c r="AH239" s="304"/>
      <c r="AI239" s="304"/>
      <c r="AJ239" s="304"/>
      <c r="AK239" s="305"/>
      <c r="AL239" s="283"/>
      <c r="AM239" s="284"/>
    </row>
    <row r="240" ht="15.75" customHeight="1">
      <c r="A240" s="282">
        <f t="shared" si="1"/>
        <v>236</v>
      </c>
      <c r="B240" s="283"/>
      <c r="C240" s="284"/>
      <c r="D240" s="338"/>
      <c r="E240" s="286"/>
      <c r="F240" s="287"/>
      <c r="G240" s="288" t="str">
        <f>+IFERROR(VLOOKUP(F240,NVL!$B:$C,2,0),"")</f>
        <v/>
      </c>
      <c r="H240" s="288" t="str">
        <f>+IFERROR(VLOOKUP(F240,NVL!$B:$D,3,0),"")</f>
        <v/>
      </c>
      <c r="I240" s="288" t="str">
        <f>+IFERROR(VLOOKUP(F240,NVL!$B:$F,4,0),"")</f>
        <v/>
      </c>
      <c r="J240" s="289"/>
      <c r="K240" s="290"/>
      <c r="L240" s="291" t="str">
        <f>+IFERROR(VLOOKUP(K240,'THÀNH PHẨM'!$B:$F,3,0),"")</f>
        <v/>
      </c>
      <c r="M240" s="291" t="str">
        <f>+IFERROR(VLOOKUP(K240,'THÀNH PHẨM'!$B:$F,4,0),"")</f>
        <v/>
      </c>
      <c r="N240" s="291" t="str">
        <f>+IFERROR(VLOOKUP(K240,'THÀNH PHẨM'!$B:$F,5,0),"")</f>
        <v/>
      </c>
      <c r="O240" s="289"/>
      <c r="P240" s="292">
        <f t="shared" si="2"/>
        <v>0</v>
      </c>
      <c r="Q240" s="289"/>
      <c r="R240" s="289"/>
      <c r="S240" s="293">
        <f t="shared" si="62"/>
        <v>0</v>
      </c>
      <c r="T240" s="294"/>
      <c r="U240" s="295">
        <f t="shared" si="68"/>
        <v>0</v>
      </c>
      <c r="V240" s="296"/>
      <c r="W240" s="297"/>
      <c r="X240" s="298"/>
      <c r="Y240" s="292" t="str">
        <f t="shared" si="69"/>
        <v/>
      </c>
      <c r="Z240" s="366">
        <f t="shared" si="70"/>
        <v>0</v>
      </c>
      <c r="AA240" s="299" t="str">
        <f t="shared" si="71"/>
        <v/>
      </c>
      <c r="AB240" s="300"/>
      <c r="AC240" s="301"/>
      <c r="AD240" s="302"/>
      <c r="AE240" s="303"/>
      <c r="AF240" s="304"/>
      <c r="AG240" s="304"/>
      <c r="AH240" s="304"/>
      <c r="AI240" s="304"/>
      <c r="AJ240" s="304"/>
      <c r="AK240" s="305"/>
      <c r="AL240" s="283"/>
      <c r="AM240" s="284"/>
    </row>
    <row r="241" ht="15.75" customHeight="1">
      <c r="A241" s="282">
        <f t="shared" si="1"/>
        <v>237</v>
      </c>
      <c r="B241" s="283"/>
      <c r="C241" s="284"/>
      <c r="D241" s="338"/>
      <c r="E241" s="286"/>
      <c r="F241" s="287"/>
      <c r="G241" s="288" t="str">
        <f>+IFERROR(VLOOKUP(F241,NVL!$B:$C,2,0),"")</f>
        <v/>
      </c>
      <c r="H241" s="288" t="str">
        <f>+IFERROR(VLOOKUP(F241,NVL!$B:$D,3,0),"")</f>
        <v/>
      </c>
      <c r="I241" s="288" t="str">
        <f>+IFERROR(VLOOKUP(F241,NVL!$B:$F,4,0),"")</f>
        <v/>
      </c>
      <c r="J241" s="289"/>
      <c r="K241" s="290"/>
      <c r="L241" s="291" t="str">
        <f>+IFERROR(VLOOKUP(K241,'THÀNH PHẨM'!$B:$F,3,0),"")</f>
        <v/>
      </c>
      <c r="M241" s="291" t="str">
        <f>+IFERROR(VLOOKUP(K241,'THÀNH PHẨM'!$B:$F,4,0),"")</f>
        <v/>
      </c>
      <c r="N241" s="291" t="str">
        <f>+IFERROR(VLOOKUP(K241,'THÀNH PHẨM'!$B:$F,5,0),"")</f>
        <v/>
      </c>
      <c r="O241" s="289"/>
      <c r="P241" s="292">
        <f t="shared" si="2"/>
        <v>0</v>
      </c>
      <c r="Q241" s="289"/>
      <c r="R241" s="289"/>
      <c r="S241" s="293">
        <f t="shared" si="62"/>
        <v>0</v>
      </c>
      <c r="T241" s="294"/>
      <c r="U241" s="295">
        <f t="shared" si="68"/>
        <v>0</v>
      </c>
      <c r="V241" s="296"/>
      <c r="W241" s="297"/>
      <c r="X241" s="298"/>
      <c r="Y241" s="292" t="str">
        <f t="shared" si="69"/>
        <v/>
      </c>
      <c r="Z241" s="366">
        <f t="shared" si="70"/>
        <v>0</v>
      </c>
      <c r="AA241" s="299" t="str">
        <f t="shared" si="71"/>
        <v/>
      </c>
      <c r="AB241" s="300"/>
      <c r="AC241" s="301"/>
      <c r="AD241" s="302"/>
      <c r="AE241" s="303"/>
      <c r="AF241" s="304"/>
      <c r="AG241" s="304"/>
      <c r="AH241" s="304"/>
      <c r="AI241" s="304"/>
      <c r="AJ241" s="304"/>
      <c r="AK241" s="305"/>
      <c r="AL241" s="283"/>
      <c r="AM241" s="284"/>
    </row>
    <row r="242" ht="15.75" customHeight="1">
      <c r="A242" s="282">
        <f t="shared" si="1"/>
        <v>238</v>
      </c>
      <c r="B242" s="283"/>
      <c r="C242" s="284"/>
      <c r="D242" s="338"/>
      <c r="E242" s="286"/>
      <c r="F242" s="287"/>
      <c r="G242" s="288" t="str">
        <f>+IFERROR(VLOOKUP(F242,NVL!$B:$C,2,0),"")</f>
        <v/>
      </c>
      <c r="H242" s="288" t="str">
        <f>+IFERROR(VLOOKUP(F242,NVL!$B:$D,3,0),"")</f>
        <v/>
      </c>
      <c r="I242" s="288" t="str">
        <f>+IFERROR(VLOOKUP(F242,NVL!$B:$F,4,0),"")</f>
        <v/>
      </c>
      <c r="J242" s="289"/>
      <c r="K242" s="290"/>
      <c r="L242" s="291" t="str">
        <f>+IFERROR(VLOOKUP(K242,'THÀNH PHẨM'!$B:$F,3,0),"")</f>
        <v/>
      </c>
      <c r="M242" s="291" t="str">
        <f>+IFERROR(VLOOKUP(K242,'THÀNH PHẨM'!$B:$F,4,0),"")</f>
        <v/>
      </c>
      <c r="N242" s="291" t="str">
        <f>+IFERROR(VLOOKUP(K242,'THÀNH PHẨM'!$B:$F,5,0),"")</f>
        <v/>
      </c>
      <c r="O242" s="289"/>
      <c r="P242" s="292">
        <f t="shared" si="2"/>
        <v>0</v>
      </c>
      <c r="Q242" s="289"/>
      <c r="R242" s="289"/>
      <c r="S242" s="293">
        <f t="shared" si="62"/>
        <v>0</v>
      </c>
      <c r="T242" s="294"/>
      <c r="U242" s="295">
        <f t="shared" si="68"/>
        <v>0</v>
      </c>
      <c r="V242" s="296"/>
      <c r="W242" s="297"/>
      <c r="X242" s="298"/>
      <c r="Y242" s="292" t="str">
        <f t="shared" si="69"/>
        <v/>
      </c>
      <c r="Z242" s="366">
        <f t="shared" si="70"/>
        <v>0</v>
      </c>
      <c r="AA242" s="299" t="str">
        <f t="shared" si="71"/>
        <v/>
      </c>
      <c r="AB242" s="300"/>
      <c r="AC242" s="301"/>
      <c r="AD242" s="302"/>
      <c r="AE242" s="303"/>
      <c r="AF242" s="304"/>
      <c r="AG242" s="304"/>
      <c r="AH242" s="304"/>
      <c r="AI242" s="304"/>
      <c r="AJ242" s="304"/>
      <c r="AK242" s="305"/>
      <c r="AL242" s="283"/>
      <c r="AM242" s="284"/>
    </row>
    <row r="243" ht="15.75" customHeight="1">
      <c r="A243" s="282">
        <f t="shared" si="1"/>
        <v>239</v>
      </c>
      <c r="B243" s="283"/>
      <c r="C243" s="284"/>
      <c r="D243" s="338"/>
      <c r="E243" s="286"/>
      <c r="F243" s="287"/>
      <c r="G243" s="288" t="str">
        <f>+IFERROR(VLOOKUP(F243,NVL!$B:$C,2,0),"")</f>
        <v/>
      </c>
      <c r="H243" s="288" t="str">
        <f>+IFERROR(VLOOKUP(F243,NVL!$B:$D,3,0),"")</f>
        <v/>
      </c>
      <c r="I243" s="288" t="str">
        <f>+IFERROR(VLOOKUP(F243,NVL!$B:$F,4,0),"")</f>
        <v/>
      </c>
      <c r="J243" s="289"/>
      <c r="K243" s="290"/>
      <c r="L243" s="291" t="str">
        <f>+IFERROR(VLOOKUP(K243,'THÀNH PHẨM'!$B:$F,3,0),"")</f>
        <v/>
      </c>
      <c r="M243" s="291" t="str">
        <f>+IFERROR(VLOOKUP(K243,'THÀNH PHẨM'!$B:$F,4,0),"")</f>
        <v/>
      </c>
      <c r="N243" s="291" t="str">
        <f>+IFERROR(VLOOKUP(K243,'THÀNH PHẨM'!$B:$F,5,0),"")</f>
        <v/>
      </c>
      <c r="O243" s="289"/>
      <c r="P243" s="292">
        <f t="shared" si="2"/>
        <v>0</v>
      </c>
      <c r="Q243" s="289"/>
      <c r="R243" s="289"/>
      <c r="S243" s="293">
        <f t="shared" si="62"/>
        <v>0</v>
      </c>
      <c r="T243" s="294"/>
      <c r="U243" s="295">
        <f t="shared" si="68"/>
        <v>0</v>
      </c>
      <c r="V243" s="296"/>
      <c r="W243" s="297"/>
      <c r="X243" s="298"/>
      <c r="Y243" s="292" t="str">
        <f t="shared" si="69"/>
        <v/>
      </c>
      <c r="Z243" s="366">
        <f t="shared" si="70"/>
        <v>0</v>
      </c>
      <c r="AA243" s="299" t="str">
        <f t="shared" si="71"/>
        <v/>
      </c>
      <c r="AB243" s="300"/>
      <c r="AC243" s="301"/>
      <c r="AD243" s="302"/>
      <c r="AE243" s="303"/>
      <c r="AF243" s="304"/>
      <c r="AG243" s="304"/>
      <c r="AH243" s="304"/>
      <c r="AI243" s="304"/>
      <c r="AJ243" s="304"/>
      <c r="AK243" s="305"/>
      <c r="AL243" s="283"/>
      <c r="AM243" s="284"/>
    </row>
    <row r="244" ht="15.75" customHeight="1">
      <c r="A244" s="282">
        <f t="shared" si="1"/>
        <v>240</v>
      </c>
      <c r="B244" s="283"/>
      <c r="C244" s="284"/>
      <c r="D244" s="338"/>
      <c r="E244" s="286"/>
      <c r="F244" s="287"/>
      <c r="G244" s="288" t="str">
        <f>+IFERROR(VLOOKUP(F244,NVL!$B:$C,2,0),"")</f>
        <v/>
      </c>
      <c r="H244" s="288" t="str">
        <f>+IFERROR(VLOOKUP(F244,NVL!$B:$D,3,0),"")</f>
        <v/>
      </c>
      <c r="I244" s="288" t="str">
        <f>+IFERROR(VLOOKUP(F244,NVL!$B:$F,4,0),"")</f>
        <v/>
      </c>
      <c r="J244" s="289"/>
      <c r="K244" s="290"/>
      <c r="L244" s="291" t="str">
        <f>+IFERROR(VLOOKUP(K244,'THÀNH PHẨM'!$B:$F,3,0),"")</f>
        <v/>
      </c>
      <c r="M244" s="291" t="str">
        <f>+IFERROR(VLOOKUP(K244,'THÀNH PHẨM'!$B:$F,4,0),"")</f>
        <v/>
      </c>
      <c r="N244" s="291" t="str">
        <f>+IFERROR(VLOOKUP(K244,'THÀNH PHẨM'!$B:$F,5,0),"")</f>
        <v/>
      </c>
      <c r="O244" s="289"/>
      <c r="P244" s="292">
        <f t="shared" si="2"/>
        <v>0</v>
      </c>
      <c r="Q244" s="289"/>
      <c r="R244" s="289"/>
      <c r="S244" s="293">
        <f t="shared" si="62"/>
        <v>0</v>
      </c>
      <c r="T244" s="294"/>
      <c r="U244" s="295">
        <f t="shared" si="68"/>
        <v>0</v>
      </c>
      <c r="V244" s="296"/>
      <c r="W244" s="297"/>
      <c r="X244" s="298"/>
      <c r="Y244" s="292" t="str">
        <f t="shared" si="69"/>
        <v/>
      </c>
      <c r="Z244" s="366">
        <f t="shared" si="70"/>
        <v>0</v>
      </c>
      <c r="AA244" s="299" t="str">
        <f t="shared" si="71"/>
        <v/>
      </c>
      <c r="AB244" s="300"/>
      <c r="AC244" s="301"/>
      <c r="AD244" s="302"/>
      <c r="AE244" s="303"/>
      <c r="AF244" s="304"/>
      <c r="AG244" s="304"/>
      <c r="AH244" s="304"/>
      <c r="AI244" s="304"/>
      <c r="AJ244" s="304"/>
      <c r="AK244" s="305"/>
      <c r="AL244" s="283"/>
      <c r="AM244" s="284"/>
    </row>
    <row r="245" ht="15.75" customHeight="1">
      <c r="A245" s="282">
        <f t="shared" si="1"/>
        <v>241</v>
      </c>
      <c r="B245" s="283"/>
      <c r="C245" s="284"/>
      <c r="D245" s="338"/>
      <c r="E245" s="286"/>
      <c r="F245" s="287"/>
      <c r="G245" s="288" t="str">
        <f>+IFERROR(VLOOKUP(F245,NVL!$B:$C,2,0),"")</f>
        <v/>
      </c>
      <c r="H245" s="288" t="str">
        <f>+IFERROR(VLOOKUP(F245,NVL!$B:$D,3,0),"")</f>
        <v/>
      </c>
      <c r="I245" s="288" t="str">
        <f>+IFERROR(VLOOKUP(F245,NVL!$B:$F,4,0),"")</f>
        <v/>
      </c>
      <c r="J245" s="289"/>
      <c r="K245" s="290"/>
      <c r="L245" s="291" t="str">
        <f>+IFERROR(VLOOKUP(K245,'THÀNH PHẨM'!$B:$F,3,0),"")</f>
        <v/>
      </c>
      <c r="M245" s="291" t="str">
        <f>+IFERROR(VLOOKUP(K245,'THÀNH PHẨM'!$B:$F,4,0),"")</f>
        <v/>
      </c>
      <c r="N245" s="291" t="str">
        <f>+IFERROR(VLOOKUP(K245,'THÀNH PHẨM'!$B:$F,5,0),"")</f>
        <v/>
      </c>
      <c r="O245" s="289"/>
      <c r="P245" s="292">
        <f t="shared" si="2"/>
        <v>0</v>
      </c>
      <c r="Q245" s="289"/>
      <c r="R245" s="289"/>
      <c r="S245" s="293">
        <f t="shared" si="62"/>
        <v>0</v>
      </c>
      <c r="T245" s="294"/>
      <c r="U245" s="295">
        <f t="shared" si="68"/>
        <v>0</v>
      </c>
      <c r="V245" s="296"/>
      <c r="W245" s="297"/>
      <c r="X245" s="298"/>
      <c r="Y245" s="292" t="str">
        <f t="shared" si="69"/>
        <v/>
      </c>
      <c r="Z245" s="366">
        <f t="shared" si="70"/>
        <v>0</v>
      </c>
      <c r="AA245" s="299" t="str">
        <f t="shared" si="71"/>
        <v/>
      </c>
      <c r="AB245" s="300"/>
      <c r="AC245" s="301"/>
      <c r="AD245" s="302"/>
      <c r="AE245" s="303"/>
      <c r="AF245" s="304"/>
      <c r="AG245" s="304"/>
      <c r="AH245" s="304"/>
      <c r="AI245" s="304"/>
      <c r="AJ245" s="304"/>
      <c r="AK245" s="305"/>
      <c r="AL245" s="283"/>
      <c r="AM245" s="284"/>
    </row>
    <row r="246" ht="15.75" customHeight="1">
      <c r="A246" s="282">
        <f t="shared" si="1"/>
        <v>242</v>
      </c>
      <c r="B246" s="283"/>
      <c r="C246" s="284"/>
      <c r="D246" s="338"/>
      <c r="E246" s="286"/>
      <c r="F246" s="287"/>
      <c r="G246" s="288" t="str">
        <f>+IFERROR(VLOOKUP(F246,NVL!$B:$C,2,0),"")</f>
        <v/>
      </c>
      <c r="H246" s="288" t="str">
        <f>+IFERROR(VLOOKUP(F246,NVL!$B:$D,3,0),"")</f>
        <v/>
      </c>
      <c r="I246" s="288" t="str">
        <f>+IFERROR(VLOOKUP(F246,NVL!$B:$F,4,0),"")</f>
        <v/>
      </c>
      <c r="J246" s="289"/>
      <c r="K246" s="290"/>
      <c r="L246" s="291" t="str">
        <f>+IFERROR(VLOOKUP(K246,'THÀNH PHẨM'!$B:$F,3,0),"")</f>
        <v/>
      </c>
      <c r="M246" s="291" t="str">
        <f>+IFERROR(VLOOKUP(K246,'THÀNH PHẨM'!$B:$F,4,0),"")</f>
        <v/>
      </c>
      <c r="N246" s="291" t="str">
        <f>+IFERROR(VLOOKUP(K246,'THÀNH PHẨM'!$B:$F,5,0),"")</f>
        <v/>
      </c>
      <c r="O246" s="289"/>
      <c r="P246" s="292">
        <f t="shared" si="2"/>
        <v>0</v>
      </c>
      <c r="Q246" s="289"/>
      <c r="R246" s="289"/>
      <c r="S246" s="293">
        <f t="shared" si="62"/>
        <v>0</v>
      </c>
      <c r="T246" s="294"/>
      <c r="U246" s="295">
        <f t="shared" si="68"/>
        <v>0</v>
      </c>
      <c r="V246" s="296"/>
      <c r="W246" s="297"/>
      <c r="X246" s="298"/>
      <c r="Y246" s="292" t="str">
        <f t="shared" si="69"/>
        <v/>
      </c>
      <c r="Z246" s="366">
        <f t="shared" si="70"/>
        <v>0</v>
      </c>
      <c r="AA246" s="299" t="str">
        <f t="shared" si="71"/>
        <v/>
      </c>
      <c r="AB246" s="300"/>
      <c r="AC246" s="301"/>
      <c r="AD246" s="302"/>
      <c r="AE246" s="303"/>
      <c r="AF246" s="304"/>
      <c r="AG246" s="304"/>
      <c r="AH246" s="304"/>
      <c r="AI246" s="304"/>
      <c r="AJ246" s="304"/>
      <c r="AK246" s="305"/>
      <c r="AL246" s="283"/>
      <c r="AM246" s="284"/>
    </row>
    <row r="247" ht="15.75" customHeight="1">
      <c r="A247" s="282">
        <f t="shared" si="1"/>
        <v>243</v>
      </c>
      <c r="B247" s="283"/>
      <c r="C247" s="284"/>
      <c r="D247" s="338"/>
      <c r="E247" s="286"/>
      <c r="F247" s="287"/>
      <c r="G247" s="288" t="str">
        <f>+IFERROR(VLOOKUP(F247,NVL!$B:$C,2,0),"")</f>
        <v/>
      </c>
      <c r="H247" s="288" t="str">
        <f>+IFERROR(VLOOKUP(F247,NVL!$B:$D,3,0),"")</f>
        <v/>
      </c>
      <c r="I247" s="288" t="str">
        <f>+IFERROR(VLOOKUP(F247,NVL!$B:$F,4,0),"")</f>
        <v/>
      </c>
      <c r="J247" s="289"/>
      <c r="K247" s="290"/>
      <c r="L247" s="291" t="str">
        <f>+IFERROR(VLOOKUP(K247,'THÀNH PHẨM'!$B:$F,3,0),"")</f>
        <v/>
      </c>
      <c r="M247" s="291" t="str">
        <f>+IFERROR(VLOOKUP(K247,'THÀNH PHẨM'!$B:$F,4,0),"")</f>
        <v/>
      </c>
      <c r="N247" s="291" t="str">
        <f>+IFERROR(VLOOKUP(K247,'THÀNH PHẨM'!$B:$F,5,0),"")</f>
        <v/>
      </c>
      <c r="O247" s="289"/>
      <c r="P247" s="292">
        <f t="shared" si="2"/>
        <v>0</v>
      </c>
      <c r="Q247" s="289"/>
      <c r="R247" s="289"/>
      <c r="S247" s="293">
        <f t="shared" si="62"/>
        <v>0</v>
      </c>
      <c r="T247" s="294"/>
      <c r="U247" s="295">
        <f t="shared" si="68"/>
        <v>0</v>
      </c>
      <c r="V247" s="296"/>
      <c r="W247" s="297"/>
      <c r="X247" s="298"/>
      <c r="Y247" s="292" t="str">
        <f t="shared" si="69"/>
        <v/>
      </c>
      <c r="Z247" s="366">
        <f t="shared" si="70"/>
        <v>0</v>
      </c>
      <c r="AA247" s="299" t="str">
        <f t="shared" si="71"/>
        <v/>
      </c>
      <c r="AB247" s="300"/>
      <c r="AC247" s="301"/>
      <c r="AD247" s="302"/>
      <c r="AE247" s="303"/>
      <c r="AF247" s="304"/>
      <c r="AG247" s="304"/>
      <c r="AH247" s="304"/>
      <c r="AI247" s="304"/>
      <c r="AJ247" s="304"/>
      <c r="AK247" s="305"/>
      <c r="AL247" s="283"/>
      <c r="AM247" s="284"/>
    </row>
    <row r="248" ht="15.75" customHeight="1">
      <c r="A248" s="282">
        <f t="shared" si="1"/>
        <v>244</v>
      </c>
      <c r="B248" s="283"/>
      <c r="C248" s="335"/>
      <c r="D248" s="338"/>
      <c r="E248" s="286"/>
      <c r="F248" s="287"/>
      <c r="G248" s="288" t="str">
        <f>+IFERROR(VLOOKUP(F248,NVL!$B:$C,2,0),"")</f>
        <v/>
      </c>
      <c r="H248" s="288" t="str">
        <f>+IFERROR(VLOOKUP(F248,NVL!$B:$D,3,0),"")</f>
        <v/>
      </c>
      <c r="I248" s="288" t="str">
        <f>+IFERROR(VLOOKUP(F248,NVL!$B:$F,4,0),"")</f>
        <v/>
      </c>
      <c r="J248" s="289"/>
      <c r="K248" s="290"/>
      <c r="L248" s="291" t="str">
        <f>+IFERROR(VLOOKUP(K248,'THÀNH PHẨM'!$B:$F,3,0),"")</f>
        <v/>
      </c>
      <c r="M248" s="291" t="str">
        <f>+IFERROR(VLOOKUP(K248,'THÀNH PHẨM'!$B:$F,4,0),"")</f>
        <v/>
      </c>
      <c r="N248" s="291" t="str">
        <f>+IFERROR(VLOOKUP(K248,'THÀNH PHẨM'!$B:$F,5,0),"")</f>
        <v/>
      </c>
      <c r="O248" s="289"/>
      <c r="P248" s="292">
        <f t="shared" si="2"/>
        <v>0</v>
      </c>
      <c r="Q248" s="289"/>
      <c r="R248" s="289"/>
      <c r="S248" s="293">
        <f t="shared" si="62"/>
        <v>0</v>
      </c>
      <c r="T248" s="294"/>
      <c r="U248" s="295">
        <f t="shared" si="68"/>
        <v>0</v>
      </c>
      <c r="V248" s="296"/>
      <c r="W248" s="297"/>
      <c r="X248" s="298"/>
      <c r="Y248" s="292" t="str">
        <f t="shared" si="69"/>
        <v/>
      </c>
      <c r="Z248" s="366">
        <f t="shared" si="70"/>
        <v>0</v>
      </c>
      <c r="AA248" s="299" t="str">
        <f t="shared" si="71"/>
        <v/>
      </c>
      <c r="AB248" s="300"/>
      <c r="AC248" s="301"/>
      <c r="AD248" s="302"/>
      <c r="AE248" s="303"/>
      <c r="AF248" s="304"/>
      <c r="AG248" s="304"/>
      <c r="AH248" s="304"/>
      <c r="AI248" s="304"/>
      <c r="AJ248" s="304"/>
      <c r="AK248" s="305"/>
      <c r="AL248" s="283"/>
      <c r="AM248" s="320"/>
    </row>
    <row r="249" ht="15.75" customHeight="1">
      <c r="A249" s="282">
        <f t="shared" si="1"/>
        <v>245</v>
      </c>
      <c r="B249" s="283"/>
      <c r="C249" s="284"/>
      <c r="D249" s="338"/>
      <c r="E249" s="286"/>
      <c r="F249" s="287"/>
      <c r="G249" s="288" t="str">
        <f>+IFERROR(VLOOKUP(F249,NVL!$B:$C,2,0),"")</f>
        <v/>
      </c>
      <c r="H249" s="288" t="str">
        <f>+IFERROR(VLOOKUP(F249,NVL!$B:$D,3,0),"")</f>
        <v/>
      </c>
      <c r="I249" s="288" t="str">
        <f>+IFERROR(VLOOKUP(F249,NVL!$B:$F,4,0),"")</f>
        <v/>
      </c>
      <c r="J249" s="289"/>
      <c r="K249" s="290"/>
      <c r="L249" s="291" t="str">
        <f>+IFERROR(VLOOKUP(K249,'THÀNH PHẨM'!$B:$F,3,0),"")</f>
        <v/>
      </c>
      <c r="M249" s="291" t="str">
        <f>+IFERROR(VLOOKUP(K249,'THÀNH PHẨM'!$B:$F,4,0),"")</f>
        <v/>
      </c>
      <c r="N249" s="291" t="str">
        <f>+IFERROR(VLOOKUP(K249,'THÀNH PHẨM'!$B:$F,5,0),"")</f>
        <v/>
      </c>
      <c r="O249" s="289"/>
      <c r="P249" s="292">
        <f t="shared" si="2"/>
        <v>0</v>
      </c>
      <c r="Q249" s="289"/>
      <c r="R249" s="289"/>
      <c r="S249" s="293">
        <f t="shared" si="62"/>
        <v>0</v>
      </c>
      <c r="T249" s="294"/>
      <c r="U249" s="295">
        <f t="shared" si="68"/>
        <v>0</v>
      </c>
      <c r="V249" s="296"/>
      <c r="W249" s="297"/>
      <c r="X249" s="298"/>
      <c r="Y249" s="292" t="str">
        <f t="shared" si="69"/>
        <v/>
      </c>
      <c r="Z249" s="366">
        <f t="shared" si="70"/>
        <v>0</v>
      </c>
      <c r="AA249" s="299" t="str">
        <f t="shared" si="71"/>
        <v/>
      </c>
      <c r="AB249" s="300"/>
      <c r="AC249" s="301"/>
      <c r="AD249" s="302"/>
      <c r="AE249" s="303"/>
      <c r="AF249" s="304"/>
      <c r="AG249" s="304"/>
      <c r="AH249" s="304"/>
      <c r="AI249" s="304"/>
      <c r="AJ249" s="304"/>
      <c r="AK249" s="305"/>
      <c r="AL249" s="283"/>
      <c r="AM249" s="284"/>
    </row>
    <row r="250" ht="15.75" customHeight="1">
      <c r="A250" s="282">
        <f t="shared" si="1"/>
        <v>246</v>
      </c>
      <c r="B250" s="283"/>
      <c r="C250" s="284"/>
      <c r="D250" s="338"/>
      <c r="E250" s="286"/>
      <c r="F250" s="287"/>
      <c r="G250" s="288" t="str">
        <f>+IFERROR(VLOOKUP(F250,NVL!$B:$C,2,0),"")</f>
        <v/>
      </c>
      <c r="H250" s="288" t="str">
        <f>+IFERROR(VLOOKUP(F250,NVL!$B:$D,3,0),"")</f>
        <v/>
      </c>
      <c r="I250" s="288" t="str">
        <f>+IFERROR(VLOOKUP(F250,NVL!$B:$F,4,0),"")</f>
        <v/>
      </c>
      <c r="J250" s="289"/>
      <c r="K250" s="290"/>
      <c r="L250" s="291" t="str">
        <f>+IFERROR(VLOOKUP(K250,'THÀNH PHẨM'!$B:$F,3,0),"")</f>
        <v/>
      </c>
      <c r="M250" s="291" t="str">
        <f>+IFERROR(VLOOKUP(K250,'THÀNH PHẨM'!$B:$F,4,0),"")</f>
        <v/>
      </c>
      <c r="N250" s="291" t="str">
        <f>+IFERROR(VLOOKUP(K250,'THÀNH PHẨM'!$B:$F,5,0),"")</f>
        <v/>
      </c>
      <c r="O250" s="289"/>
      <c r="P250" s="292">
        <f t="shared" si="2"/>
        <v>0</v>
      </c>
      <c r="Q250" s="289"/>
      <c r="R250" s="289"/>
      <c r="S250" s="293">
        <f t="shared" si="62"/>
        <v>0</v>
      </c>
      <c r="T250" s="294"/>
      <c r="U250" s="295">
        <f t="shared" si="68"/>
        <v>0</v>
      </c>
      <c r="V250" s="296"/>
      <c r="W250" s="297"/>
      <c r="X250" s="298"/>
      <c r="Y250" s="292" t="str">
        <f t="shared" si="69"/>
        <v/>
      </c>
      <c r="Z250" s="366">
        <f t="shared" si="70"/>
        <v>0</v>
      </c>
      <c r="AA250" s="299" t="str">
        <f t="shared" si="71"/>
        <v/>
      </c>
      <c r="AB250" s="300"/>
      <c r="AC250" s="301"/>
      <c r="AD250" s="302"/>
      <c r="AE250" s="303"/>
      <c r="AF250" s="304"/>
      <c r="AG250" s="304"/>
      <c r="AH250" s="304"/>
      <c r="AI250" s="304"/>
      <c r="AJ250" s="304"/>
      <c r="AK250" s="305"/>
      <c r="AL250" s="283"/>
      <c r="AM250" s="284"/>
    </row>
    <row r="251" ht="15.75" customHeight="1">
      <c r="A251" s="282">
        <f t="shared" si="1"/>
        <v>247</v>
      </c>
      <c r="B251" s="283"/>
      <c r="C251" s="284"/>
      <c r="D251" s="338"/>
      <c r="E251" s="286"/>
      <c r="F251" s="287"/>
      <c r="G251" s="288" t="str">
        <f>+IFERROR(VLOOKUP(F251,NVL!$B:$C,2,0),"")</f>
        <v/>
      </c>
      <c r="H251" s="288" t="str">
        <f>+IFERROR(VLOOKUP(F251,NVL!$B:$D,3,0),"")</f>
        <v/>
      </c>
      <c r="I251" s="288" t="str">
        <f>+IFERROR(VLOOKUP(F251,NVL!$B:$F,4,0),"")</f>
        <v/>
      </c>
      <c r="J251" s="289"/>
      <c r="K251" s="290"/>
      <c r="L251" s="291" t="str">
        <f>+IFERROR(VLOOKUP(K251,'THÀNH PHẨM'!$B:$F,3,0),"")</f>
        <v/>
      </c>
      <c r="M251" s="291" t="str">
        <f>+IFERROR(VLOOKUP(K251,'THÀNH PHẨM'!$B:$F,4,0),"")</f>
        <v/>
      </c>
      <c r="N251" s="291" t="str">
        <f>+IFERROR(VLOOKUP(K251,'THÀNH PHẨM'!$B:$F,5,0),"")</f>
        <v/>
      </c>
      <c r="O251" s="289"/>
      <c r="P251" s="292">
        <f t="shared" si="2"/>
        <v>0</v>
      </c>
      <c r="Q251" s="289"/>
      <c r="R251" s="289"/>
      <c r="S251" s="293">
        <f t="shared" si="62"/>
        <v>0</v>
      </c>
      <c r="T251" s="294"/>
      <c r="U251" s="295">
        <f t="shared" si="68"/>
        <v>0</v>
      </c>
      <c r="V251" s="296"/>
      <c r="W251" s="297"/>
      <c r="X251" s="298"/>
      <c r="Y251" s="292" t="str">
        <f t="shared" si="69"/>
        <v/>
      </c>
      <c r="Z251" s="366">
        <f t="shared" si="70"/>
        <v>0</v>
      </c>
      <c r="AA251" s="299" t="str">
        <f t="shared" si="71"/>
        <v/>
      </c>
      <c r="AB251" s="300"/>
      <c r="AC251" s="301"/>
      <c r="AD251" s="302"/>
      <c r="AE251" s="303"/>
      <c r="AF251" s="304"/>
      <c r="AG251" s="304"/>
      <c r="AH251" s="304"/>
      <c r="AI251" s="304"/>
      <c r="AJ251" s="304"/>
      <c r="AK251" s="305"/>
      <c r="AL251" s="283"/>
      <c r="AM251" s="284"/>
    </row>
    <row r="252" ht="15.75" customHeight="1">
      <c r="A252" s="282">
        <f t="shared" si="1"/>
        <v>248</v>
      </c>
      <c r="B252" s="283"/>
      <c r="C252" s="284"/>
      <c r="D252" s="338"/>
      <c r="E252" s="286"/>
      <c r="F252" s="287"/>
      <c r="G252" s="288" t="str">
        <f>+IFERROR(VLOOKUP(F252,NVL!$B:$C,2,0),"")</f>
        <v/>
      </c>
      <c r="H252" s="288" t="str">
        <f>+IFERROR(VLOOKUP(F252,NVL!$B:$D,3,0),"")</f>
        <v/>
      </c>
      <c r="I252" s="288" t="str">
        <f>+IFERROR(VLOOKUP(F252,NVL!$B:$F,4,0),"")</f>
        <v/>
      </c>
      <c r="J252" s="289"/>
      <c r="K252" s="290"/>
      <c r="L252" s="291" t="str">
        <f>+IFERROR(VLOOKUP(K252,'THÀNH PHẨM'!$B:$F,3,0),"")</f>
        <v/>
      </c>
      <c r="M252" s="291" t="str">
        <f>+IFERROR(VLOOKUP(K252,'THÀNH PHẨM'!$B:$F,4,0),"")</f>
        <v/>
      </c>
      <c r="N252" s="291" t="str">
        <f>+IFERROR(VLOOKUP(K252,'THÀNH PHẨM'!$B:$F,5,0),"")</f>
        <v/>
      </c>
      <c r="O252" s="289"/>
      <c r="P252" s="292">
        <f t="shared" si="2"/>
        <v>0</v>
      </c>
      <c r="Q252" s="289"/>
      <c r="R252" s="289"/>
      <c r="S252" s="293">
        <f t="shared" si="62"/>
        <v>0</v>
      </c>
      <c r="T252" s="294"/>
      <c r="U252" s="295">
        <f t="shared" si="68"/>
        <v>0</v>
      </c>
      <c r="V252" s="296"/>
      <c r="W252" s="297"/>
      <c r="X252" s="298"/>
      <c r="Y252" s="292" t="str">
        <f t="shared" si="69"/>
        <v/>
      </c>
      <c r="Z252" s="366">
        <f t="shared" si="70"/>
        <v>0</v>
      </c>
      <c r="AA252" s="299" t="str">
        <f t="shared" si="71"/>
        <v/>
      </c>
      <c r="AB252" s="300"/>
      <c r="AC252" s="301"/>
      <c r="AD252" s="302"/>
      <c r="AE252" s="303"/>
      <c r="AF252" s="304"/>
      <c r="AG252" s="304"/>
      <c r="AH252" s="304"/>
      <c r="AI252" s="304"/>
      <c r="AJ252" s="304"/>
      <c r="AK252" s="305"/>
      <c r="AL252" s="283"/>
      <c r="AM252" s="284"/>
    </row>
    <row r="253" ht="15.75" customHeight="1">
      <c r="A253" s="282">
        <f t="shared" si="1"/>
        <v>249</v>
      </c>
      <c r="B253" s="283"/>
      <c r="C253" s="284"/>
      <c r="D253" s="338"/>
      <c r="E253" s="286"/>
      <c r="F253" s="287"/>
      <c r="G253" s="288" t="str">
        <f>+IFERROR(VLOOKUP(F253,NVL!$B:$C,2,0),"")</f>
        <v/>
      </c>
      <c r="H253" s="288" t="str">
        <f>+IFERROR(VLOOKUP(F253,NVL!$B:$D,3,0),"")</f>
        <v/>
      </c>
      <c r="I253" s="288" t="str">
        <f>+IFERROR(VLOOKUP(F253,NVL!$B:$F,4,0),"")</f>
        <v/>
      </c>
      <c r="J253" s="289"/>
      <c r="K253" s="290"/>
      <c r="L253" s="291" t="str">
        <f>+IFERROR(VLOOKUP(K253,'THÀNH PHẨM'!$B:$F,3,0),"")</f>
        <v/>
      </c>
      <c r="M253" s="291" t="str">
        <f>+IFERROR(VLOOKUP(K253,'THÀNH PHẨM'!$B:$F,4,0),"")</f>
        <v/>
      </c>
      <c r="N253" s="291" t="str">
        <f>+IFERROR(VLOOKUP(K253,'THÀNH PHẨM'!$B:$F,5,0),"")</f>
        <v/>
      </c>
      <c r="O253" s="289"/>
      <c r="P253" s="292">
        <f t="shared" si="2"/>
        <v>0</v>
      </c>
      <c r="Q253" s="289"/>
      <c r="R253" s="289"/>
      <c r="S253" s="293">
        <f t="shared" si="62"/>
        <v>0</v>
      </c>
      <c r="T253" s="294"/>
      <c r="U253" s="295">
        <f t="shared" si="68"/>
        <v>0</v>
      </c>
      <c r="V253" s="296"/>
      <c r="W253" s="297"/>
      <c r="X253" s="298"/>
      <c r="Y253" s="292" t="str">
        <f t="shared" si="69"/>
        <v/>
      </c>
      <c r="Z253" s="366">
        <f t="shared" si="70"/>
        <v>0</v>
      </c>
      <c r="AA253" s="299" t="str">
        <f t="shared" si="71"/>
        <v/>
      </c>
      <c r="AB253" s="300"/>
      <c r="AC253" s="301"/>
      <c r="AD253" s="302"/>
      <c r="AE253" s="303"/>
      <c r="AF253" s="304"/>
      <c r="AG253" s="304"/>
      <c r="AH253" s="304"/>
      <c r="AI253" s="304"/>
      <c r="AJ253" s="304"/>
      <c r="AK253" s="305"/>
      <c r="AL253" s="283"/>
      <c r="AM253" s="284"/>
    </row>
    <row r="254" ht="15.75" customHeight="1">
      <c r="A254" s="282">
        <f t="shared" si="1"/>
        <v>250</v>
      </c>
      <c r="B254" s="283"/>
      <c r="C254" s="284"/>
      <c r="D254" s="338"/>
      <c r="E254" s="286"/>
      <c r="F254" s="287"/>
      <c r="G254" s="288" t="str">
        <f>+IFERROR(VLOOKUP(F254,NVL!$B:$C,2,0),"")</f>
        <v/>
      </c>
      <c r="H254" s="288" t="str">
        <f>+IFERROR(VLOOKUP(F254,NVL!$B:$D,3,0),"")</f>
        <v/>
      </c>
      <c r="I254" s="288" t="str">
        <f>+IFERROR(VLOOKUP(F254,NVL!$B:$F,4,0),"")</f>
        <v/>
      </c>
      <c r="J254" s="289"/>
      <c r="K254" s="290"/>
      <c r="L254" s="291" t="str">
        <f>+IFERROR(VLOOKUP(K254,'THÀNH PHẨM'!$B:$F,3,0),"")</f>
        <v/>
      </c>
      <c r="M254" s="291" t="str">
        <f>+IFERROR(VLOOKUP(K254,'THÀNH PHẨM'!$B:$F,4,0),"")</f>
        <v/>
      </c>
      <c r="N254" s="291" t="str">
        <f>+IFERROR(VLOOKUP(K254,'THÀNH PHẨM'!$B:$F,5,0),"")</f>
        <v/>
      </c>
      <c r="O254" s="289"/>
      <c r="P254" s="292">
        <f t="shared" si="2"/>
        <v>0</v>
      </c>
      <c r="Q254" s="289"/>
      <c r="R254" s="289"/>
      <c r="S254" s="293">
        <f t="shared" si="62"/>
        <v>0</v>
      </c>
      <c r="T254" s="294"/>
      <c r="U254" s="295">
        <f t="shared" si="68"/>
        <v>0</v>
      </c>
      <c r="V254" s="296"/>
      <c r="W254" s="297"/>
      <c r="X254" s="298"/>
      <c r="Y254" s="292" t="str">
        <f t="shared" si="69"/>
        <v/>
      </c>
      <c r="Z254" s="366">
        <f t="shared" si="70"/>
        <v>0</v>
      </c>
      <c r="AA254" s="299" t="str">
        <f t="shared" si="71"/>
        <v/>
      </c>
      <c r="AB254" s="300"/>
      <c r="AC254" s="301"/>
      <c r="AD254" s="302"/>
      <c r="AE254" s="303"/>
      <c r="AF254" s="304"/>
      <c r="AG254" s="304"/>
      <c r="AH254" s="304"/>
      <c r="AI254" s="304"/>
      <c r="AJ254" s="304"/>
      <c r="AK254" s="305"/>
      <c r="AL254" s="283"/>
      <c r="AM254" s="284"/>
    </row>
    <row r="255" ht="15.75" customHeight="1">
      <c r="A255" s="282">
        <f t="shared" si="1"/>
        <v>251</v>
      </c>
      <c r="B255" s="283"/>
      <c r="C255" s="284"/>
      <c r="D255" s="338"/>
      <c r="E255" s="286"/>
      <c r="F255" s="287"/>
      <c r="G255" s="288" t="str">
        <f>+IFERROR(VLOOKUP(F255,NVL!$B:$C,2,0),"")</f>
        <v/>
      </c>
      <c r="H255" s="288" t="str">
        <f>+IFERROR(VLOOKUP(F255,NVL!$B:$D,3,0),"")</f>
        <v/>
      </c>
      <c r="I255" s="288" t="str">
        <f>+IFERROR(VLOOKUP(F255,NVL!$B:$F,4,0),"")</f>
        <v/>
      </c>
      <c r="J255" s="289"/>
      <c r="K255" s="290"/>
      <c r="L255" s="291" t="str">
        <f>+IFERROR(VLOOKUP(K255,'THÀNH PHẨM'!$B:$F,3,0),"")</f>
        <v/>
      </c>
      <c r="M255" s="291" t="str">
        <f>+IFERROR(VLOOKUP(K255,'THÀNH PHẨM'!$B:$F,4,0),"")</f>
        <v/>
      </c>
      <c r="N255" s="291" t="str">
        <f>+IFERROR(VLOOKUP(K255,'THÀNH PHẨM'!$B:$F,5,0),"")</f>
        <v/>
      </c>
      <c r="O255" s="289"/>
      <c r="P255" s="292">
        <f t="shared" si="2"/>
        <v>0</v>
      </c>
      <c r="Q255" s="289"/>
      <c r="R255" s="289"/>
      <c r="S255" s="293">
        <f t="shared" si="62"/>
        <v>0</v>
      </c>
      <c r="T255" s="294"/>
      <c r="U255" s="295">
        <f t="shared" si="68"/>
        <v>0</v>
      </c>
      <c r="V255" s="296"/>
      <c r="W255" s="297"/>
      <c r="X255" s="298"/>
      <c r="Y255" s="292" t="str">
        <f t="shared" si="69"/>
        <v/>
      </c>
      <c r="Z255" s="366">
        <f t="shared" si="70"/>
        <v>0</v>
      </c>
      <c r="AA255" s="299" t="str">
        <f t="shared" si="71"/>
        <v/>
      </c>
      <c r="AB255" s="300"/>
      <c r="AC255" s="301"/>
      <c r="AD255" s="302"/>
      <c r="AE255" s="303"/>
      <c r="AF255" s="304"/>
      <c r="AG255" s="304"/>
      <c r="AH255" s="304"/>
      <c r="AI255" s="304"/>
      <c r="AJ255" s="304"/>
      <c r="AK255" s="305"/>
      <c r="AL255" s="283"/>
      <c r="AM255" s="284"/>
    </row>
    <row r="256" ht="15.75" customHeight="1">
      <c r="A256" s="282">
        <f t="shared" si="1"/>
        <v>252</v>
      </c>
      <c r="B256" s="283"/>
      <c r="C256" s="284"/>
      <c r="D256" s="338"/>
      <c r="E256" s="286"/>
      <c r="F256" s="287"/>
      <c r="G256" s="288" t="str">
        <f>+IFERROR(VLOOKUP(F256,NVL!$B:$C,2,0),"")</f>
        <v/>
      </c>
      <c r="H256" s="288" t="str">
        <f>+IFERROR(VLOOKUP(F256,NVL!$B:$D,3,0),"")</f>
        <v/>
      </c>
      <c r="I256" s="288" t="str">
        <f>+IFERROR(VLOOKUP(F256,NVL!$B:$F,4,0),"")</f>
        <v/>
      </c>
      <c r="J256" s="289"/>
      <c r="K256" s="290"/>
      <c r="L256" s="291" t="str">
        <f>+IFERROR(VLOOKUP(K256,'THÀNH PHẨM'!$B:$F,3,0),"")</f>
        <v/>
      </c>
      <c r="M256" s="291" t="str">
        <f>+IFERROR(VLOOKUP(K256,'THÀNH PHẨM'!$B:$F,4,0),"")</f>
        <v/>
      </c>
      <c r="N256" s="291" t="str">
        <f>+IFERROR(VLOOKUP(K256,'THÀNH PHẨM'!$B:$F,5,0),"")</f>
        <v/>
      </c>
      <c r="O256" s="289"/>
      <c r="P256" s="292">
        <f t="shared" si="2"/>
        <v>0</v>
      </c>
      <c r="Q256" s="289"/>
      <c r="R256" s="289"/>
      <c r="S256" s="293">
        <f t="shared" si="62"/>
        <v>0</v>
      </c>
      <c r="T256" s="294"/>
      <c r="U256" s="295">
        <f t="shared" si="68"/>
        <v>0</v>
      </c>
      <c r="V256" s="296"/>
      <c r="W256" s="297"/>
      <c r="X256" s="298"/>
      <c r="Y256" s="292" t="str">
        <f t="shared" si="69"/>
        <v/>
      </c>
      <c r="Z256" s="366">
        <f t="shared" si="70"/>
        <v>0</v>
      </c>
      <c r="AA256" s="299" t="str">
        <f t="shared" si="71"/>
        <v/>
      </c>
      <c r="AB256" s="300"/>
      <c r="AC256" s="301"/>
      <c r="AD256" s="302"/>
      <c r="AE256" s="303"/>
      <c r="AF256" s="304"/>
      <c r="AG256" s="304"/>
      <c r="AH256" s="304"/>
      <c r="AI256" s="304"/>
      <c r="AJ256" s="304"/>
      <c r="AK256" s="305"/>
      <c r="AL256" s="283"/>
      <c r="AM256" s="284"/>
    </row>
    <row r="257" ht="15.75" customHeight="1">
      <c r="A257" s="282">
        <f t="shared" si="1"/>
        <v>253</v>
      </c>
      <c r="B257" s="283"/>
      <c r="C257" s="284"/>
      <c r="D257" s="338"/>
      <c r="E257" s="286"/>
      <c r="F257" s="287"/>
      <c r="G257" s="288" t="str">
        <f>+IFERROR(VLOOKUP(F257,NVL!$B:$C,2,0),"")</f>
        <v/>
      </c>
      <c r="H257" s="288" t="str">
        <f>+IFERROR(VLOOKUP(F257,NVL!$B:$D,3,0),"")</f>
        <v/>
      </c>
      <c r="I257" s="288" t="str">
        <f>+IFERROR(VLOOKUP(F257,NVL!$B:$F,4,0),"")</f>
        <v/>
      </c>
      <c r="J257" s="289"/>
      <c r="K257" s="290"/>
      <c r="L257" s="291" t="str">
        <f>+IFERROR(VLOOKUP(K257,'THÀNH PHẨM'!$B:$F,3,0),"")</f>
        <v/>
      </c>
      <c r="M257" s="291" t="str">
        <f>+IFERROR(VLOOKUP(K257,'THÀNH PHẨM'!$B:$F,4,0),"")</f>
        <v/>
      </c>
      <c r="N257" s="291" t="str">
        <f>+IFERROR(VLOOKUP(K257,'THÀNH PHẨM'!$B:$F,5,0),"")</f>
        <v/>
      </c>
      <c r="O257" s="289"/>
      <c r="P257" s="292">
        <f t="shared" si="2"/>
        <v>0</v>
      </c>
      <c r="Q257" s="289"/>
      <c r="R257" s="289"/>
      <c r="S257" s="293">
        <f t="shared" si="62"/>
        <v>0</v>
      </c>
      <c r="T257" s="294"/>
      <c r="U257" s="295">
        <f t="shared" si="68"/>
        <v>0</v>
      </c>
      <c r="V257" s="296"/>
      <c r="W257" s="297"/>
      <c r="X257" s="298"/>
      <c r="Y257" s="292" t="str">
        <f t="shared" si="69"/>
        <v/>
      </c>
      <c r="Z257" s="366">
        <f t="shared" si="70"/>
        <v>0</v>
      </c>
      <c r="AA257" s="299" t="str">
        <f t="shared" si="71"/>
        <v/>
      </c>
      <c r="AB257" s="300"/>
      <c r="AC257" s="301"/>
      <c r="AD257" s="302"/>
      <c r="AE257" s="303"/>
      <c r="AF257" s="304"/>
      <c r="AG257" s="304"/>
      <c r="AH257" s="304"/>
      <c r="AI257" s="304"/>
      <c r="AJ257" s="304"/>
      <c r="AK257" s="305"/>
      <c r="AL257" s="283"/>
      <c r="AM257" s="284"/>
    </row>
    <row r="258" ht="15.75" customHeight="1">
      <c r="A258" s="282">
        <f t="shared" si="1"/>
        <v>254</v>
      </c>
      <c r="B258" s="283"/>
      <c r="C258" s="284"/>
      <c r="D258" s="338"/>
      <c r="E258" s="286"/>
      <c r="F258" s="287"/>
      <c r="G258" s="288" t="str">
        <f>+IFERROR(VLOOKUP(F258,NVL!$B:$C,2,0),"")</f>
        <v/>
      </c>
      <c r="H258" s="288" t="str">
        <f>+IFERROR(VLOOKUP(F258,NVL!$B:$D,3,0),"")</f>
        <v/>
      </c>
      <c r="I258" s="288" t="str">
        <f>+IFERROR(VLOOKUP(F258,NVL!$B:$F,4,0),"")</f>
        <v/>
      </c>
      <c r="J258" s="289"/>
      <c r="K258" s="290"/>
      <c r="L258" s="291" t="str">
        <f>+IFERROR(VLOOKUP(K258,'THÀNH PHẨM'!$B:$F,3,0),"")</f>
        <v/>
      </c>
      <c r="M258" s="291" t="str">
        <f>+IFERROR(VLOOKUP(K258,'THÀNH PHẨM'!$B:$F,4,0),"")</f>
        <v/>
      </c>
      <c r="N258" s="291" t="str">
        <f>+IFERROR(VLOOKUP(K258,'THÀNH PHẨM'!$B:$F,5,0),"")</f>
        <v/>
      </c>
      <c r="O258" s="289"/>
      <c r="P258" s="292">
        <f t="shared" si="2"/>
        <v>0</v>
      </c>
      <c r="Q258" s="289"/>
      <c r="R258" s="289"/>
      <c r="S258" s="293">
        <f t="shared" si="62"/>
        <v>0</v>
      </c>
      <c r="T258" s="294"/>
      <c r="U258" s="295">
        <f t="shared" si="68"/>
        <v>0</v>
      </c>
      <c r="V258" s="296"/>
      <c r="W258" s="297"/>
      <c r="X258" s="298"/>
      <c r="Y258" s="292" t="str">
        <f t="shared" si="69"/>
        <v/>
      </c>
      <c r="Z258" s="366">
        <f t="shared" si="70"/>
        <v>0</v>
      </c>
      <c r="AA258" s="299" t="str">
        <f t="shared" si="71"/>
        <v/>
      </c>
      <c r="AB258" s="300"/>
      <c r="AC258" s="301"/>
      <c r="AD258" s="302"/>
      <c r="AE258" s="303"/>
      <c r="AF258" s="304"/>
      <c r="AG258" s="304"/>
      <c r="AH258" s="304"/>
      <c r="AI258" s="304"/>
      <c r="AJ258" s="304"/>
      <c r="AK258" s="305"/>
      <c r="AL258" s="283"/>
      <c r="AM258" s="284"/>
    </row>
    <row r="259" ht="15.75" customHeight="1">
      <c r="A259" s="282">
        <f t="shared" si="1"/>
        <v>255</v>
      </c>
      <c r="B259" s="283"/>
      <c r="C259" s="284"/>
      <c r="D259" s="338"/>
      <c r="E259" s="286"/>
      <c r="F259" s="287"/>
      <c r="G259" s="288" t="str">
        <f>+IFERROR(VLOOKUP(F259,NVL!$B:$C,2,0),"")</f>
        <v/>
      </c>
      <c r="H259" s="288" t="str">
        <f>+IFERROR(VLOOKUP(F259,NVL!$B:$D,3,0),"")</f>
        <v/>
      </c>
      <c r="I259" s="288" t="str">
        <f>+IFERROR(VLOOKUP(F259,NVL!$B:$F,4,0),"")</f>
        <v/>
      </c>
      <c r="J259" s="289"/>
      <c r="K259" s="290"/>
      <c r="L259" s="291" t="str">
        <f>+IFERROR(VLOOKUP(K259,'THÀNH PHẨM'!$B:$F,3,0),"")</f>
        <v/>
      </c>
      <c r="M259" s="291" t="str">
        <f>+IFERROR(VLOOKUP(K259,'THÀNH PHẨM'!$B:$F,4,0),"")</f>
        <v/>
      </c>
      <c r="N259" s="291" t="str">
        <f>+IFERROR(VLOOKUP(K259,'THÀNH PHẨM'!$B:$F,5,0),"")</f>
        <v/>
      </c>
      <c r="O259" s="289"/>
      <c r="P259" s="292">
        <f t="shared" si="2"/>
        <v>0</v>
      </c>
      <c r="Q259" s="289"/>
      <c r="R259" s="289"/>
      <c r="S259" s="293">
        <f t="shared" si="62"/>
        <v>0</v>
      </c>
      <c r="T259" s="294"/>
      <c r="U259" s="295">
        <f t="shared" si="68"/>
        <v>0</v>
      </c>
      <c r="V259" s="296"/>
      <c r="W259" s="297"/>
      <c r="X259" s="298"/>
      <c r="Y259" s="292" t="str">
        <f t="shared" si="69"/>
        <v/>
      </c>
      <c r="Z259" s="366">
        <f t="shared" si="70"/>
        <v>0</v>
      </c>
      <c r="AA259" s="299" t="str">
        <f t="shared" si="71"/>
        <v/>
      </c>
      <c r="AB259" s="300"/>
      <c r="AC259" s="301"/>
      <c r="AD259" s="302"/>
      <c r="AE259" s="303"/>
      <c r="AF259" s="304"/>
      <c r="AG259" s="304"/>
      <c r="AH259" s="304"/>
      <c r="AI259" s="304"/>
      <c r="AJ259" s="304"/>
      <c r="AK259" s="305"/>
      <c r="AL259" s="283"/>
      <c r="AM259" s="284"/>
    </row>
    <row r="260" ht="15.75" customHeight="1">
      <c r="A260" s="282">
        <f t="shared" si="1"/>
        <v>256</v>
      </c>
      <c r="B260" s="283"/>
      <c r="C260" s="284"/>
      <c r="D260" s="338"/>
      <c r="E260" s="286"/>
      <c r="F260" s="287"/>
      <c r="G260" s="288" t="str">
        <f>+IFERROR(VLOOKUP(F260,NVL!$B:$C,2,0),"")</f>
        <v/>
      </c>
      <c r="H260" s="288" t="str">
        <f>+IFERROR(VLOOKUP(F260,NVL!$B:$D,3,0),"")</f>
        <v/>
      </c>
      <c r="I260" s="288" t="str">
        <f>+IFERROR(VLOOKUP(F260,NVL!$B:$F,4,0),"")</f>
        <v/>
      </c>
      <c r="J260" s="289"/>
      <c r="K260" s="290"/>
      <c r="L260" s="291" t="str">
        <f>+IFERROR(VLOOKUP(K260,'THÀNH PHẨM'!$B:$F,3,0),"")</f>
        <v/>
      </c>
      <c r="M260" s="291" t="str">
        <f>+IFERROR(VLOOKUP(K260,'THÀNH PHẨM'!$B:$F,4,0),"")</f>
        <v/>
      </c>
      <c r="N260" s="291" t="str">
        <f>+IFERROR(VLOOKUP(K260,'THÀNH PHẨM'!$B:$F,5,0),"")</f>
        <v/>
      </c>
      <c r="O260" s="289"/>
      <c r="P260" s="292">
        <f t="shared" si="2"/>
        <v>0</v>
      </c>
      <c r="Q260" s="289"/>
      <c r="R260" s="289"/>
      <c r="S260" s="293">
        <f t="shared" si="62"/>
        <v>0</v>
      </c>
      <c r="T260" s="294"/>
      <c r="U260" s="295">
        <f t="shared" si="68"/>
        <v>0</v>
      </c>
      <c r="V260" s="296"/>
      <c r="W260" s="297"/>
      <c r="X260" s="298"/>
      <c r="Y260" s="292" t="str">
        <f t="shared" si="69"/>
        <v/>
      </c>
      <c r="Z260" s="366">
        <f t="shared" si="70"/>
        <v>0</v>
      </c>
      <c r="AA260" s="299" t="str">
        <f t="shared" si="71"/>
        <v/>
      </c>
      <c r="AB260" s="300"/>
      <c r="AC260" s="301"/>
      <c r="AD260" s="302"/>
      <c r="AE260" s="303"/>
      <c r="AF260" s="304"/>
      <c r="AG260" s="304"/>
      <c r="AH260" s="304"/>
      <c r="AI260" s="304"/>
      <c r="AJ260" s="304"/>
      <c r="AK260" s="305"/>
      <c r="AL260" s="283"/>
      <c r="AM260" s="284"/>
    </row>
    <row r="261" ht="15.75" customHeight="1">
      <c r="A261" s="282">
        <f t="shared" si="1"/>
        <v>257</v>
      </c>
      <c r="B261" s="283"/>
      <c r="C261" s="284"/>
      <c r="D261" s="338"/>
      <c r="E261" s="286"/>
      <c r="F261" s="287"/>
      <c r="G261" s="288" t="str">
        <f>+IFERROR(VLOOKUP(F261,NVL!$B:$C,2,0),"")</f>
        <v/>
      </c>
      <c r="H261" s="288" t="str">
        <f>+IFERROR(VLOOKUP(F261,NVL!$B:$D,3,0),"")</f>
        <v/>
      </c>
      <c r="I261" s="288" t="str">
        <f>+IFERROR(VLOOKUP(F261,NVL!$B:$F,4,0),"")</f>
        <v/>
      </c>
      <c r="J261" s="289"/>
      <c r="K261" s="290"/>
      <c r="L261" s="291" t="str">
        <f>+IFERROR(VLOOKUP(K261,'THÀNH PHẨM'!$B:$F,3,0),"")</f>
        <v/>
      </c>
      <c r="M261" s="291" t="str">
        <f>+IFERROR(VLOOKUP(K261,'THÀNH PHẨM'!$B:$F,4,0),"")</f>
        <v/>
      </c>
      <c r="N261" s="291" t="str">
        <f>+IFERROR(VLOOKUP(K261,'THÀNH PHẨM'!$B:$F,5,0),"")</f>
        <v/>
      </c>
      <c r="O261" s="289"/>
      <c r="P261" s="292">
        <f t="shared" si="2"/>
        <v>0</v>
      </c>
      <c r="Q261" s="289"/>
      <c r="R261" s="289"/>
      <c r="S261" s="293">
        <f t="shared" si="62"/>
        <v>0</v>
      </c>
      <c r="T261" s="294"/>
      <c r="U261" s="295">
        <f t="shared" si="68"/>
        <v>0</v>
      </c>
      <c r="V261" s="296"/>
      <c r="W261" s="297"/>
      <c r="X261" s="298"/>
      <c r="Y261" s="292" t="str">
        <f t="shared" si="69"/>
        <v/>
      </c>
      <c r="Z261" s="366">
        <f t="shared" si="70"/>
        <v>0</v>
      </c>
      <c r="AA261" s="299" t="str">
        <f t="shared" si="71"/>
        <v/>
      </c>
      <c r="AB261" s="300"/>
      <c r="AC261" s="301"/>
      <c r="AD261" s="302"/>
      <c r="AE261" s="303"/>
      <c r="AF261" s="304"/>
      <c r="AG261" s="304"/>
      <c r="AH261" s="304"/>
      <c r="AI261" s="304"/>
      <c r="AJ261" s="304"/>
      <c r="AK261" s="305"/>
      <c r="AL261" s="283"/>
      <c r="AM261" s="284"/>
    </row>
    <row r="262" ht="15.75" customHeight="1">
      <c r="A262" s="282">
        <f t="shared" si="1"/>
        <v>258</v>
      </c>
      <c r="B262" s="283"/>
      <c r="C262" s="284"/>
      <c r="D262" s="338"/>
      <c r="E262" s="286"/>
      <c r="F262" s="287"/>
      <c r="G262" s="288" t="str">
        <f>+IFERROR(VLOOKUP(F262,NVL!$B:$C,2,0),"")</f>
        <v/>
      </c>
      <c r="H262" s="288" t="str">
        <f>+IFERROR(VLOOKUP(F262,NVL!$B:$D,3,0),"")</f>
        <v/>
      </c>
      <c r="I262" s="288" t="str">
        <f>+IFERROR(VLOOKUP(F262,NVL!$B:$F,4,0),"")</f>
        <v/>
      </c>
      <c r="J262" s="289"/>
      <c r="K262" s="290"/>
      <c r="L262" s="291" t="str">
        <f>+IFERROR(VLOOKUP(K262,'THÀNH PHẨM'!$B:$F,3,0),"")</f>
        <v/>
      </c>
      <c r="M262" s="291" t="str">
        <f>+IFERROR(VLOOKUP(K262,'THÀNH PHẨM'!$B:$F,4,0),"")</f>
        <v/>
      </c>
      <c r="N262" s="291" t="str">
        <f>+IFERROR(VLOOKUP(K262,'THÀNH PHẨM'!$B:$F,5,0),"")</f>
        <v/>
      </c>
      <c r="O262" s="289"/>
      <c r="P262" s="292">
        <f t="shared" si="2"/>
        <v>0</v>
      </c>
      <c r="Q262" s="289"/>
      <c r="R262" s="289"/>
      <c r="S262" s="293">
        <f t="shared" si="62"/>
        <v>0</v>
      </c>
      <c r="T262" s="294"/>
      <c r="U262" s="295">
        <f t="shared" si="68"/>
        <v>0</v>
      </c>
      <c r="V262" s="296"/>
      <c r="W262" s="297"/>
      <c r="X262" s="298"/>
      <c r="Y262" s="292" t="str">
        <f t="shared" si="69"/>
        <v/>
      </c>
      <c r="Z262" s="366">
        <f t="shared" si="70"/>
        <v>0</v>
      </c>
      <c r="AA262" s="299" t="str">
        <f t="shared" si="71"/>
        <v/>
      </c>
      <c r="AB262" s="300"/>
      <c r="AC262" s="301"/>
      <c r="AD262" s="302"/>
      <c r="AE262" s="303"/>
      <c r="AF262" s="304"/>
      <c r="AG262" s="304"/>
      <c r="AH262" s="304"/>
      <c r="AI262" s="304"/>
      <c r="AJ262" s="304"/>
      <c r="AK262" s="305"/>
      <c r="AL262" s="283"/>
      <c r="AM262" s="284"/>
    </row>
    <row r="263" ht="15.75" customHeight="1">
      <c r="A263" s="282">
        <f t="shared" si="1"/>
        <v>259</v>
      </c>
      <c r="B263" s="283"/>
      <c r="C263" s="335"/>
      <c r="D263" s="338"/>
      <c r="E263" s="286"/>
      <c r="F263" s="287"/>
      <c r="G263" s="288" t="str">
        <f>+IFERROR(VLOOKUP(F263,NVL!$B:$C,2,0),"")</f>
        <v/>
      </c>
      <c r="H263" s="288" t="str">
        <f>+IFERROR(VLOOKUP(F263,NVL!$B:$D,3,0),"")</f>
        <v/>
      </c>
      <c r="I263" s="288" t="str">
        <f>+IFERROR(VLOOKUP(F263,NVL!$B:$F,4,0),"")</f>
        <v/>
      </c>
      <c r="J263" s="289"/>
      <c r="K263" s="290"/>
      <c r="L263" s="291" t="str">
        <f>+IFERROR(VLOOKUP(K263,'THÀNH PHẨM'!$B:$F,3,0),"")</f>
        <v/>
      </c>
      <c r="M263" s="291" t="str">
        <f>+IFERROR(VLOOKUP(K263,'THÀNH PHẨM'!$B:$F,4,0),"")</f>
        <v/>
      </c>
      <c r="N263" s="291" t="str">
        <f>+IFERROR(VLOOKUP(K263,'THÀNH PHẨM'!$B:$F,5,0),"")</f>
        <v/>
      </c>
      <c r="O263" s="289"/>
      <c r="P263" s="292">
        <f t="shared" si="2"/>
        <v>0</v>
      </c>
      <c r="Q263" s="289"/>
      <c r="R263" s="289"/>
      <c r="S263" s="293">
        <f t="shared" si="62"/>
        <v>0</v>
      </c>
      <c r="T263" s="294"/>
      <c r="U263" s="295">
        <f t="shared" si="68"/>
        <v>0</v>
      </c>
      <c r="V263" s="296"/>
      <c r="W263" s="297"/>
      <c r="X263" s="298"/>
      <c r="Y263" s="292" t="str">
        <f t="shared" si="69"/>
        <v/>
      </c>
      <c r="Z263" s="366">
        <f t="shared" si="70"/>
        <v>0</v>
      </c>
      <c r="AA263" s="299" t="str">
        <f t="shared" si="71"/>
        <v/>
      </c>
      <c r="AB263" s="300"/>
      <c r="AC263" s="301"/>
      <c r="AD263" s="302"/>
      <c r="AE263" s="303"/>
      <c r="AF263" s="304"/>
      <c r="AG263" s="304"/>
      <c r="AH263" s="304"/>
      <c r="AI263" s="304"/>
      <c r="AJ263" s="304"/>
      <c r="AK263" s="305"/>
      <c r="AL263" s="283"/>
      <c r="AM263" s="284"/>
    </row>
    <row r="264" ht="15.75" customHeight="1">
      <c r="A264" s="282">
        <f t="shared" si="1"/>
        <v>260</v>
      </c>
      <c r="B264" s="283"/>
      <c r="C264" s="284"/>
      <c r="D264" s="338"/>
      <c r="E264" s="286"/>
      <c r="F264" s="287"/>
      <c r="G264" s="288" t="str">
        <f>+IFERROR(VLOOKUP(F264,NVL!$B:$C,2,0),"")</f>
        <v/>
      </c>
      <c r="H264" s="288" t="str">
        <f>+IFERROR(VLOOKUP(F264,NVL!$B:$D,3,0),"")</f>
        <v/>
      </c>
      <c r="I264" s="288" t="str">
        <f>+IFERROR(VLOOKUP(F264,NVL!$B:$F,4,0),"")</f>
        <v/>
      </c>
      <c r="J264" s="432"/>
      <c r="K264" s="433"/>
      <c r="L264" s="291" t="str">
        <f>+IFERROR(VLOOKUP(K264,'THÀNH PHẨM'!$B:$F,3,0),"")</f>
        <v/>
      </c>
      <c r="M264" s="291" t="str">
        <f>+IFERROR(VLOOKUP(K264,'THÀNH PHẨM'!$B:$F,4,0),"")</f>
        <v/>
      </c>
      <c r="N264" s="291" t="str">
        <f>+IFERROR(VLOOKUP(K264,'THÀNH PHẨM'!$B:$F,5,0),"")</f>
        <v/>
      </c>
      <c r="O264" s="289"/>
      <c r="P264" s="292">
        <f t="shared" si="2"/>
        <v>0</v>
      </c>
      <c r="Q264" s="289"/>
      <c r="R264" s="289"/>
      <c r="S264" s="293">
        <f t="shared" si="62"/>
        <v>0</v>
      </c>
      <c r="T264" s="294"/>
      <c r="U264" s="295">
        <f t="shared" si="68"/>
        <v>0</v>
      </c>
      <c r="V264" s="296"/>
      <c r="W264" s="297"/>
      <c r="X264" s="298"/>
      <c r="Y264" s="292" t="str">
        <f t="shared" si="69"/>
        <v/>
      </c>
      <c r="Z264" s="366">
        <f t="shared" si="70"/>
        <v>0</v>
      </c>
      <c r="AA264" s="299" t="str">
        <f t="shared" si="71"/>
        <v/>
      </c>
      <c r="AB264" s="300"/>
      <c r="AC264" s="301"/>
      <c r="AD264" s="302"/>
      <c r="AE264" s="303"/>
      <c r="AF264" s="304"/>
      <c r="AG264" s="304"/>
      <c r="AH264" s="304"/>
      <c r="AI264" s="304"/>
      <c r="AJ264" s="304"/>
      <c r="AK264" s="305"/>
      <c r="AL264" s="283"/>
      <c r="AM264" s="284"/>
    </row>
    <row r="265" ht="15.75" customHeight="1">
      <c r="A265" s="282">
        <f t="shared" si="1"/>
        <v>261</v>
      </c>
      <c r="B265" s="283"/>
      <c r="C265" s="284"/>
      <c r="D265" s="338"/>
      <c r="E265" s="286"/>
      <c r="F265" s="287"/>
      <c r="G265" s="288" t="str">
        <f>+IFERROR(VLOOKUP(F265,NVL!$B:$C,2,0),"")</f>
        <v/>
      </c>
      <c r="H265" s="288" t="str">
        <f>+IFERROR(VLOOKUP(F265,NVL!$B:$D,3,0),"")</f>
        <v/>
      </c>
      <c r="I265" s="288" t="str">
        <f>+IFERROR(VLOOKUP(F265,NVL!$B:$F,4,0),"")</f>
        <v/>
      </c>
      <c r="J265" s="289"/>
      <c r="K265" s="290"/>
      <c r="L265" s="291" t="str">
        <f>+IFERROR(VLOOKUP(K265,'THÀNH PHẨM'!$B:$F,3,0),"")</f>
        <v/>
      </c>
      <c r="M265" s="291" t="str">
        <f>+IFERROR(VLOOKUP(K265,'THÀNH PHẨM'!$B:$F,4,0),"")</f>
        <v/>
      </c>
      <c r="N265" s="291" t="str">
        <f>+IFERROR(VLOOKUP(K265,'THÀNH PHẨM'!$B:$F,5,0),"")</f>
        <v/>
      </c>
      <c r="O265" s="289"/>
      <c r="P265" s="292">
        <f t="shared" si="2"/>
        <v>0</v>
      </c>
      <c r="Q265" s="289"/>
      <c r="R265" s="289"/>
      <c r="S265" s="293">
        <f t="shared" si="62"/>
        <v>0</v>
      </c>
      <c r="T265" s="294"/>
      <c r="U265" s="295">
        <f t="shared" si="68"/>
        <v>0</v>
      </c>
      <c r="V265" s="296"/>
      <c r="W265" s="297"/>
      <c r="X265" s="298"/>
      <c r="Y265" s="292" t="str">
        <f t="shared" si="69"/>
        <v/>
      </c>
      <c r="Z265" s="366">
        <f t="shared" si="70"/>
        <v>0</v>
      </c>
      <c r="AA265" s="299" t="str">
        <f t="shared" si="71"/>
        <v/>
      </c>
      <c r="AB265" s="300"/>
      <c r="AC265" s="301"/>
      <c r="AD265" s="302"/>
      <c r="AE265" s="303"/>
      <c r="AF265" s="304"/>
      <c r="AG265" s="304"/>
      <c r="AH265" s="304"/>
      <c r="AI265" s="304"/>
      <c r="AJ265" s="304"/>
      <c r="AK265" s="305"/>
      <c r="AL265" s="283"/>
      <c r="AM265" s="284"/>
    </row>
    <row r="266" ht="15.75" customHeight="1">
      <c r="A266" s="282">
        <f t="shared" si="1"/>
        <v>262</v>
      </c>
      <c r="B266" s="283"/>
      <c r="C266" s="284"/>
      <c r="D266" s="338"/>
      <c r="E266" s="286"/>
      <c r="F266" s="287"/>
      <c r="G266" s="288" t="str">
        <f>+IFERROR(VLOOKUP(F266,NVL!$B:$C,2,0),"")</f>
        <v/>
      </c>
      <c r="H266" s="288" t="str">
        <f>+IFERROR(VLOOKUP(F266,NVL!$B:$D,3,0),"")</f>
        <v/>
      </c>
      <c r="I266" s="288" t="str">
        <f>+IFERROR(VLOOKUP(F266,NVL!$B:$F,4,0),"")</f>
        <v/>
      </c>
      <c r="J266" s="289"/>
      <c r="K266" s="290"/>
      <c r="L266" s="291" t="str">
        <f>+IFERROR(VLOOKUP(K266,'THÀNH PHẨM'!$B:$F,3,0),"")</f>
        <v/>
      </c>
      <c r="M266" s="291" t="str">
        <f>+IFERROR(VLOOKUP(K266,'THÀNH PHẨM'!$B:$F,4,0),"")</f>
        <v/>
      </c>
      <c r="N266" s="291" t="str">
        <f>+IFERROR(VLOOKUP(K266,'THÀNH PHẨM'!$B:$F,5,0),"")</f>
        <v/>
      </c>
      <c r="O266" s="289"/>
      <c r="P266" s="292">
        <f t="shared" si="2"/>
        <v>0</v>
      </c>
      <c r="Q266" s="289"/>
      <c r="R266" s="289"/>
      <c r="S266" s="293">
        <f t="shared" si="62"/>
        <v>0</v>
      </c>
      <c r="T266" s="294"/>
      <c r="U266" s="295">
        <f t="shared" si="68"/>
        <v>0</v>
      </c>
      <c r="V266" s="296"/>
      <c r="W266" s="297"/>
      <c r="X266" s="298"/>
      <c r="Y266" s="292" t="str">
        <f t="shared" si="69"/>
        <v/>
      </c>
      <c r="Z266" s="366">
        <f t="shared" si="70"/>
        <v>0</v>
      </c>
      <c r="AA266" s="299" t="str">
        <f t="shared" si="71"/>
        <v/>
      </c>
      <c r="AB266" s="300"/>
      <c r="AC266" s="301"/>
      <c r="AD266" s="302"/>
      <c r="AE266" s="303"/>
      <c r="AF266" s="304"/>
      <c r="AG266" s="304"/>
      <c r="AH266" s="304"/>
      <c r="AI266" s="304"/>
      <c r="AJ266" s="304"/>
      <c r="AK266" s="305"/>
      <c r="AL266" s="283"/>
      <c r="AM266" s="284"/>
    </row>
    <row r="267" ht="15.75" customHeight="1">
      <c r="A267" s="282">
        <f t="shared" si="1"/>
        <v>263</v>
      </c>
      <c r="B267" s="283"/>
      <c r="C267" s="284"/>
      <c r="D267" s="338"/>
      <c r="E267" s="286"/>
      <c r="F267" s="287"/>
      <c r="G267" s="288" t="str">
        <f>+IFERROR(VLOOKUP(F267,NVL!$B:$C,2,0),"")</f>
        <v/>
      </c>
      <c r="H267" s="288" t="str">
        <f>+IFERROR(VLOOKUP(F267,NVL!$B:$D,3,0),"")</f>
        <v/>
      </c>
      <c r="I267" s="288" t="str">
        <f>+IFERROR(VLOOKUP(F267,NVL!$B:$F,4,0),"")</f>
        <v/>
      </c>
      <c r="J267" s="289"/>
      <c r="K267" s="290"/>
      <c r="L267" s="291" t="str">
        <f>+IFERROR(VLOOKUP(K267,'THÀNH PHẨM'!$B:$F,3,0),"")</f>
        <v/>
      </c>
      <c r="M267" s="291" t="str">
        <f>+IFERROR(VLOOKUP(K267,'THÀNH PHẨM'!$B:$F,4,0),"")</f>
        <v/>
      </c>
      <c r="N267" s="291" t="str">
        <f>+IFERROR(VLOOKUP(K267,'THÀNH PHẨM'!$B:$F,5,0),"")</f>
        <v/>
      </c>
      <c r="O267" s="289"/>
      <c r="P267" s="292">
        <f t="shared" si="2"/>
        <v>0</v>
      </c>
      <c r="Q267" s="289"/>
      <c r="R267" s="289"/>
      <c r="S267" s="293">
        <f t="shared" si="62"/>
        <v>0</v>
      </c>
      <c r="T267" s="294"/>
      <c r="U267" s="295">
        <f t="shared" si="68"/>
        <v>0</v>
      </c>
      <c r="V267" s="296"/>
      <c r="W267" s="297"/>
      <c r="X267" s="298"/>
      <c r="Y267" s="292" t="str">
        <f t="shared" si="69"/>
        <v/>
      </c>
      <c r="Z267" s="366">
        <f t="shared" si="70"/>
        <v>0</v>
      </c>
      <c r="AA267" s="299" t="str">
        <f t="shared" si="71"/>
        <v/>
      </c>
      <c r="AB267" s="300"/>
      <c r="AC267" s="301"/>
      <c r="AD267" s="302"/>
      <c r="AE267" s="303"/>
      <c r="AF267" s="304"/>
      <c r="AG267" s="304"/>
      <c r="AH267" s="304"/>
      <c r="AI267" s="304"/>
      <c r="AJ267" s="304"/>
      <c r="AK267" s="305"/>
      <c r="AL267" s="283"/>
      <c r="AM267" s="284"/>
    </row>
    <row r="268" ht="15.75" customHeight="1">
      <c r="A268" s="282">
        <f t="shared" si="1"/>
        <v>264</v>
      </c>
      <c r="B268" s="283"/>
      <c r="C268" s="284"/>
      <c r="D268" s="338"/>
      <c r="E268" s="286"/>
      <c r="F268" s="287"/>
      <c r="G268" s="288" t="str">
        <f>+IFERROR(VLOOKUP(F268,NVL!$B:$C,2,0),"")</f>
        <v/>
      </c>
      <c r="H268" s="288" t="str">
        <f>+IFERROR(VLOOKUP(F268,NVL!$B:$D,3,0),"")</f>
        <v/>
      </c>
      <c r="I268" s="288" t="str">
        <f>+IFERROR(VLOOKUP(F268,NVL!$B:$F,4,0),"")</f>
        <v/>
      </c>
      <c r="J268" s="289"/>
      <c r="K268" s="290"/>
      <c r="L268" s="291" t="str">
        <f>+IFERROR(VLOOKUP(K268,'THÀNH PHẨM'!$B:$F,3,0),"")</f>
        <v/>
      </c>
      <c r="M268" s="291" t="str">
        <f>+IFERROR(VLOOKUP(K268,'THÀNH PHẨM'!$B:$F,4,0),"")</f>
        <v/>
      </c>
      <c r="N268" s="291" t="str">
        <f>+IFERROR(VLOOKUP(K268,'THÀNH PHẨM'!$B:$F,5,0),"")</f>
        <v/>
      </c>
      <c r="O268" s="289"/>
      <c r="P268" s="292">
        <f t="shared" si="2"/>
        <v>0</v>
      </c>
      <c r="Q268" s="289"/>
      <c r="R268" s="289"/>
      <c r="S268" s="293">
        <f t="shared" si="62"/>
        <v>0</v>
      </c>
      <c r="T268" s="294"/>
      <c r="U268" s="295">
        <f t="shared" si="68"/>
        <v>0</v>
      </c>
      <c r="V268" s="296"/>
      <c r="W268" s="297"/>
      <c r="X268" s="298"/>
      <c r="Y268" s="292" t="str">
        <f t="shared" si="69"/>
        <v/>
      </c>
      <c r="Z268" s="366">
        <f t="shared" si="70"/>
        <v>0</v>
      </c>
      <c r="AA268" s="299" t="str">
        <f t="shared" si="71"/>
        <v/>
      </c>
      <c r="AB268" s="300"/>
      <c r="AC268" s="301"/>
      <c r="AD268" s="302"/>
      <c r="AE268" s="303"/>
      <c r="AF268" s="304"/>
      <c r="AG268" s="304"/>
      <c r="AH268" s="304"/>
      <c r="AI268" s="304"/>
      <c r="AJ268" s="304"/>
      <c r="AK268" s="305"/>
      <c r="AL268" s="283"/>
      <c r="AM268" s="284"/>
    </row>
    <row r="269" ht="15.75" customHeight="1">
      <c r="A269" s="282">
        <f t="shared" si="1"/>
        <v>265</v>
      </c>
      <c r="B269" s="283"/>
      <c r="C269" s="284"/>
      <c r="D269" s="338"/>
      <c r="E269" s="286"/>
      <c r="F269" s="287"/>
      <c r="G269" s="288" t="str">
        <f>+IFERROR(VLOOKUP(F269,NVL!$B:$C,2,0),"")</f>
        <v/>
      </c>
      <c r="H269" s="288" t="str">
        <f>+IFERROR(VLOOKUP(F269,NVL!$B:$D,3,0),"")</f>
        <v/>
      </c>
      <c r="I269" s="288" t="str">
        <f>+IFERROR(VLOOKUP(F269,NVL!$B:$F,4,0),"")</f>
        <v/>
      </c>
      <c r="J269" s="289"/>
      <c r="K269" s="290"/>
      <c r="L269" s="291" t="str">
        <f>+IFERROR(VLOOKUP(K269,'THÀNH PHẨM'!$B:$F,3,0),"")</f>
        <v/>
      </c>
      <c r="M269" s="291" t="str">
        <f>+IFERROR(VLOOKUP(K269,'THÀNH PHẨM'!$B:$F,4,0),"")</f>
        <v/>
      </c>
      <c r="N269" s="291" t="str">
        <f>+IFERROR(VLOOKUP(K269,'THÀNH PHẨM'!$B:$F,5,0),"")</f>
        <v/>
      </c>
      <c r="O269" s="289"/>
      <c r="P269" s="292">
        <f t="shared" si="2"/>
        <v>0</v>
      </c>
      <c r="Q269" s="289"/>
      <c r="R269" s="289"/>
      <c r="S269" s="293">
        <f t="shared" si="62"/>
        <v>0</v>
      </c>
      <c r="T269" s="294"/>
      <c r="U269" s="295">
        <f t="shared" si="68"/>
        <v>0</v>
      </c>
      <c r="V269" s="296"/>
      <c r="W269" s="297"/>
      <c r="X269" s="298"/>
      <c r="Y269" s="292" t="str">
        <f t="shared" si="69"/>
        <v/>
      </c>
      <c r="Z269" s="366">
        <f t="shared" si="70"/>
        <v>0</v>
      </c>
      <c r="AA269" s="299" t="str">
        <f t="shared" si="71"/>
        <v/>
      </c>
      <c r="AB269" s="300"/>
      <c r="AC269" s="301"/>
      <c r="AD269" s="302"/>
      <c r="AE269" s="303"/>
      <c r="AF269" s="304"/>
      <c r="AG269" s="304"/>
      <c r="AH269" s="304"/>
      <c r="AI269" s="304"/>
      <c r="AJ269" s="304"/>
      <c r="AK269" s="305"/>
      <c r="AL269" s="283"/>
      <c r="AM269" s="284"/>
    </row>
    <row r="270" ht="15.75" customHeight="1">
      <c r="A270" s="282">
        <f t="shared" si="1"/>
        <v>266</v>
      </c>
      <c r="B270" s="283"/>
      <c r="C270" s="284"/>
      <c r="D270" s="338"/>
      <c r="E270" s="286"/>
      <c r="F270" s="287"/>
      <c r="G270" s="288" t="str">
        <f>+IFERROR(VLOOKUP(F270,NVL!$B:$C,2,0),"")</f>
        <v/>
      </c>
      <c r="H270" s="288" t="str">
        <f>+IFERROR(VLOOKUP(F270,NVL!$B:$D,3,0),"")</f>
        <v/>
      </c>
      <c r="I270" s="288" t="str">
        <f>+IFERROR(VLOOKUP(F270,NVL!$B:$F,4,0),"")</f>
        <v/>
      </c>
      <c r="J270" s="289"/>
      <c r="K270" s="290"/>
      <c r="L270" s="291" t="str">
        <f>+IFERROR(VLOOKUP(K270,'THÀNH PHẨM'!$B:$F,3,0),"")</f>
        <v/>
      </c>
      <c r="M270" s="291" t="str">
        <f>+IFERROR(VLOOKUP(K270,'THÀNH PHẨM'!$B:$F,4,0),"")</f>
        <v/>
      </c>
      <c r="N270" s="291" t="str">
        <f>+IFERROR(VLOOKUP(K270,'THÀNH PHẨM'!$B:$F,5,0),"")</f>
        <v/>
      </c>
      <c r="O270" s="289"/>
      <c r="P270" s="292">
        <f t="shared" si="2"/>
        <v>0</v>
      </c>
      <c r="Q270" s="289"/>
      <c r="R270" s="289"/>
      <c r="S270" s="293">
        <f t="shared" si="62"/>
        <v>0</v>
      </c>
      <c r="T270" s="294"/>
      <c r="U270" s="295">
        <f t="shared" si="68"/>
        <v>0</v>
      </c>
      <c r="V270" s="296"/>
      <c r="W270" s="297"/>
      <c r="X270" s="298"/>
      <c r="Y270" s="292" t="str">
        <f t="shared" si="69"/>
        <v/>
      </c>
      <c r="Z270" s="366">
        <f t="shared" si="70"/>
        <v>0</v>
      </c>
      <c r="AA270" s="299" t="str">
        <f t="shared" si="71"/>
        <v/>
      </c>
      <c r="AB270" s="300"/>
      <c r="AC270" s="301"/>
      <c r="AD270" s="302"/>
      <c r="AE270" s="303"/>
      <c r="AF270" s="304"/>
      <c r="AG270" s="304"/>
      <c r="AH270" s="304"/>
      <c r="AI270" s="304"/>
      <c r="AJ270" s="304"/>
      <c r="AK270" s="305"/>
      <c r="AL270" s="283"/>
      <c r="AM270" s="284"/>
    </row>
    <row r="271" ht="15.75" customHeight="1">
      <c r="A271" s="282">
        <f t="shared" si="1"/>
        <v>267</v>
      </c>
      <c r="B271" s="283"/>
      <c r="C271" s="284"/>
      <c r="D271" s="338"/>
      <c r="E271" s="286"/>
      <c r="F271" s="287"/>
      <c r="G271" s="288" t="str">
        <f>+IFERROR(VLOOKUP(F271,NVL!$B:$C,2,0),"")</f>
        <v/>
      </c>
      <c r="H271" s="288" t="str">
        <f>+IFERROR(VLOOKUP(F271,NVL!$B:$D,3,0),"")</f>
        <v/>
      </c>
      <c r="I271" s="288" t="str">
        <f>+IFERROR(VLOOKUP(F271,NVL!$B:$F,4,0),"")</f>
        <v/>
      </c>
      <c r="J271" s="289"/>
      <c r="K271" s="290"/>
      <c r="L271" s="291" t="str">
        <f>+IFERROR(VLOOKUP(K271,'THÀNH PHẨM'!$B:$F,3,0),"")</f>
        <v/>
      </c>
      <c r="M271" s="291" t="str">
        <f>+IFERROR(VLOOKUP(K271,'THÀNH PHẨM'!$B:$F,4,0),"")</f>
        <v/>
      </c>
      <c r="N271" s="291" t="str">
        <f>+IFERROR(VLOOKUP(K271,'THÀNH PHẨM'!$B:$F,5,0),"")</f>
        <v/>
      </c>
      <c r="O271" s="289"/>
      <c r="P271" s="292">
        <f t="shared" si="2"/>
        <v>0</v>
      </c>
      <c r="Q271" s="289"/>
      <c r="R271" s="289"/>
      <c r="S271" s="293">
        <f t="shared" si="62"/>
        <v>0</v>
      </c>
      <c r="T271" s="294"/>
      <c r="U271" s="295">
        <f t="shared" si="68"/>
        <v>0</v>
      </c>
      <c r="V271" s="296"/>
      <c r="W271" s="297"/>
      <c r="X271" s="298"/>
      <c r="Y271" s="292" t="str">
        <f t="shared" si="69"/>
        <v/>
      </c>
      <c r="Z271" s="366">
        <f t="shared" si="70"/>
        <v>0</v>
      </c>
      <c r="AA271" s="299" t="str">
        <f t="shared" si="71"/>
        <v/>
      </c>
      <c r="AB271" s="300"/>
      <c r="AC271" s="301"/>
      <c r="AD271" s="302"/>
      <c r="AE271" s="303"/>
      <c r="AF271" s="304"/>
      <c r="AG271" s="304"/>
      <c r="AH271" s="304"/>
      <c r="AI271" s="304"/>
      <c r="AJ271" s="304"/>
      <c r="AK271" s="305"/>
      <c r="AL271" s="283"/>
      <c r="AM271" s="284"/>
    </row>
    <row r="272" ht="15.75" customHeight="1">
      <c r="A272" s="282">
        <f t="shared" si="1"/>
        <v>268</v>
      </c>
      <c r="B272" s="283"/>
      <c r="C272" s="284"/>
      <c r="D272" s="338"/>
      <c r="E272" s="286"/>
      <c r="F272" s="287"/>
      <c r="G272" s="288" t="str">
        <f>+IFERROR(VLOOKUP(F272,NVL!$B:$C,2,0),"")</f>
        <v/>
      </c>
      <c r="H272" s="288" t="str">
        <f>+IFERROR(VLOOKUP(F272,NVL!$B:$D,3,0),"")</f>
        <v/>
      </c>
      <c r="I272" s="288" t="str">
        <f>+IFERROR(VLOOKUP(F272,NVL!$B:$F,4,0),"")</f>
        <v/>
      </c>
      <c r="J272" s="289"/>
      <c r="K272" s="290"/>
      <c r="L272" s="291" t="str">
        <f>+IFERROR(VLOOKUP(K272,'THÀNH PHẨM'!$B:$F,3,0),"")</f>
        <v/>
      </c>
      <c r="M272" s="291" t="str">
        <f>+IFERROR(VLOOKUP(K272,'THÀNH PHẨM'!$B:$F,4,0),"")</f>
        <v/>
      </c>
      <c r="N272" s="291" t="str">
        <f>+IFERROR(VLOOKUP(K272,'THÀNH PHẨM'!$B:$F,5,0),"")</f>
        <v/>
      </c>
      <c r="O272" s="289"/>
      <c r="P272" s="292">
        <f t="shared" si="2"/>
        <v>0</v>
      </c>
      <c r="Q272" s="289"/>
      <c r="R272" s="289"/>
      <c r="S272" s="293">
        <f t="shared" si="62"/>
        <v>0</v>
      </c>
      <c r="T272" s="294"/>
      <c r="U272" s="295">
        <f t="shared" si="68"/>
        <v>0</v>
      </c>
      <c r="V272" s="296"/>
      <c r="W272" s="297"/>
      <c r="X272" s="298"/>
      <c r="Y272" s="292" t="str">
        <f t="shared" si="69"/>
        <v/>
      </c>
      <c r="Z272" s="366">
        <f t="shared" si="70"/>
        <v>0</v>
      </c>
      <c r="AA272" s="299" t="str">
        <f t="shared" si="71"/>
        <v/>
      </c>
      <c r="AB272" s="300"/>
      <c r="AC272" s="301"/>
      <c r="AD272" s="302"/>
      <c r="AE272" s="303"/>
      <c r="AF272" s="304"/>
      <c r="AG272" s="304"/>
      <c r="AH272" s="304"/>
      <c r="AI272" s="304"/>
      <c r="AJ272" s="304"/>
      <c r="AK272" s="305"/>
      <c r="AL272" s="283"/>
      <c r="AM272" s="284"/>
    </row>
    <row r="273" ht="15.75" customHeight="1">
      <c r="A273" s="282">
        <f t="shared" si="1"/>
        <v>269</v>
      </c>
      <c r="B273" s="283"/>
      <c r="C273" s="284"/>
      <c r="D273" s="338"/>
      <c r="E273" s="286"/>
      <c r="F273" s="287"/>
      <c r="G273" s="288" t="str">
        <f>+IFERROR(VLOOKUP(F273,NVL!$B:$C,2,0),"")</f>
        <v/>
      </c>
      <c r="H273" s="288" t="str">
        <f>+IFERROR(VLOOKUP(F273,NVL!$B:$D,3,0),"")</f>
        <v/>
      </c>
      <c r="I273" s="288" t="str">
        <f>+IFERROR(VLOOKUP(F273,NVL!$B:$F,4,0),"")</f>
        <v/>
      </c>
      <c r="J273" s="289"/>
      <c r="K273" s="290"/>
      <c r="L273" s="291" t="str">
        <f>+IFERROR(VLOOKUP(K273,'THÀNH PHẨM'!$B:$F,3,0),"")</f>
        <v/>
      </c>
      <c r="M273" s="291" t="str">
        <f>+IFERROR(VLOOKUP(K273,'THÀNH PHẨM'!$B:$F,4,0),"")</f>
        <v/>
      </c>
      <c r="N273" s="291" t="str">
        <f>+IFERROR(VLOOKUP(K273,'THÀNH PHẨM'!$B:$F,5,0),"")</f>
        <v/>
      </c>
      <c r="O273" s="289"/>
      <c r="P273" s="292">
        <f t="shared" si="2"/>
        <v>0</v>
      </c>
      <c r="Q273" s="289"/>
      <c r="R273" s="289"/>
      <c r="S273" s="293">
        <f t="shared" si="62"/>
        <v>0</v>
      </c>
      <c r="T273" s="294"/>
      <c r="U273" s="295">
        <f t="shared" si="68"/>
        <v>0</v>
      </c>
      <c r="V273" s="296"/>
      <c r="W273" s="297"/>
      <c r="X273" s="298"/>
      <c r="Y273" s="292" t="str">
        <f t="shared" si="69"/>
        <v/>
      </c>
      <c r="Z273" s="366">
        <f t="shared" si="70"/>
        <v>0</v>
      </c>
      <c r="AA273" s="299" t="str">
        <f t="shared" si="71"/>
        <v/>
      </c>
      <c r="AB273" s="300"/>
      <c r="AC273" s="301"/>
      <c r="AD273" s="302"/>
      <c r="AE273" s="303"/>
      <c r="AF273" s="304"/>
      <c r="AG273" s="304"/>
      <c r="AH273" s="304"/>
      <c r="AI273" s="304"/>
      <c r="AJ273" s="304"/>
      <c r="AK273" s="305"/>
      <c r="AL273" s="283"/>
      <c r="AM273" s="284"/>
    </row>
    <row r="274" ht="15.75" customHeight="1">
      <c r="A274" s="282">
        <f t="shared" si="1"/>
        <v>270</v>
      </c>
      <c r="B274" s="283"/>
      <c r="C274" s="284"/>
      <c r="D274" s="338"/>
      <c r="E274" s="286"/>
      <c r="F274" s="287"/>
      <c r="G274" s="288" t="str">
        <f>+IFERROR(VLOOKUP(F274,NVL!$B:$C,2,0),"")</f>
        <v/>
      </c>
      <c r="H274" s="288" t="str">
        <f>+IFERROR(VLOOKUP(F274,NVL!$B:$D,3,0),"")</f>
        <v/>
      </c>
      <c r="I274" s="288" t="str">
        <f>+IFERROR(VLOOKUP(F274,NVL!$B:$F,4,0),"")</f>
        <v/>
      </c>
      <c r="J274" s="289"/>
      <c r="K274" s="290"/>
      <c r="L274" s="291" t="str">
        <f>+IFERROR(VLOOKUP(K274,'THÀNH PHẨM'!$B:$F,3,0),"")</f>
        <v/>
      </c>
      <c r="M274" s="291" t="str">
        <f>+IFERROR(VLOOKUP(K274,'THÀNH PHẨM'!$B:$F,4,0),"")</f>
        <v/>
      </c>
      <c r="N274" s="291" t="str">
        <f>+IFERROR(VLOOKUP(K274,'THÀNH PHẨM'!$B:$F,5,0),"")</f>
        <v/>
      </c>
      <c r="O274" s="289"/>
      <c r="P274" s="292">
        <f t="shared" si="2"/>
        <v>0</v>
      </c>
      <c r="Q274" s="289"/>
      <c r="R274" s="289"/>
      <c r="S274" s="293">
        <f t="shared" si="62"/>
        <v>0</v>
      </c>
      <c r="T274" s="294"/>
      <c r="U274" s="295">
        <f t="shared" si="68"/>
        <v>0</v>
      </c>
      <c r="V274" s="296"/>
      <c r="W274" s="297"/>
      <c r="X274" s="298"/>
      <c r="Y274" s="292" t="str">
        <f t="shared" si="69"/>
        <v/>
      </c>
      <c r="Z274" s="366">
        <f t="shared" si="70"/>
        <v>0</v>
      </c>
      <c r="AA274" s="299" t="str">
        <f t="shared" si="71"/>
        <v/>
      </c>
      <c r="AB274" s="300"/>
      <c r="AC274" s="301"/>
      <c r="AD274" s="302"/>
      <c r="AE274" s="303"/>
      <c r="AF274" s="304"/>
      <c r="AG274" s="304"/>
      <c r="AH274" s="304"/>
      <c r="AI274" s="304"/>
      <c r="AJ274" s="304"/>
      <c r="AK274" s="305"/>
      <c r="AL274" s="283"/>
      <c r="AM274" s="284"/>
    </row>
    <row r="275" ht="15.75" customHeight="1">
      <c r="A275" s="282">
        <f t="shared" si="1"/>
        <v>271</v>
      </c>
      <c r="B275" s="283"/>
      <c r="C275" s="284"/>
      <c r="D275" s="338"/>
      <c r="E275" s="286"/>
      <c r="F275" s="287"/>
      <c r="G275" s="288" t="str">
        <f>+IFERROR(VLOOKUP(F275,NVL!$B:$C,2,0),"")</f>
        <v/>
      </c>
      <c r="H275" s="288" t="str">
        <f>+IFERROR(VLOOKUP(F275,NVL!$B:$D,3,0),"")</f>
        <v/>
      </c>
      <c r="I275" s="288" t="str">
        <f>+IFERROR(VLOOKUP(F275,NVL!$B:$F,4,0),"")</f>
        <v/>
      </c>
      <c r="J275" s="289"/>
      <c r="K275" s="290"/>
      <c r="L275" s="291" t="str">
        <f>+IFERROR(VLOOKUP(K275,'THÀNH PHẨM'!$B:$F,3,0),"")</f>
        <v/>
      </c>
      <c r="M275" s="291" t="str">
        <f>+IFERROR(VLOOKUP(K275,'THÀNH PHẨM'!$B:$F,4,0),"")</f>
        <v/>
      </c>
      <c r="N275" s="291" t="str">
        <f>+IFERROR(VLOOKUP(K275,'THÀNH PHẨM'!$B:$F,5,0),"")</f>
        <v/>
      </c>
      <c r="O275" s="289"/>
      <c r="P275" s="292">
        <f t="shared" si="2"/>
        <v>0</v>
      </c>
      <c r="Q275" s="289"/>
      <c r="R275" s="289"/>
      <c r="S275" s="293">
        <f t="shared" si="62"/>
        <v>0</v>
      </c>
      <c r="T275" s="294"/>
      <c r="U275" s="295">
        <f t="shared" si="68"/>
        <v>0</v>
      </c>
      <c r="V275" s="296"/>
      <c r="W275" s="297"/>
      <c r="X275" s="298"/>
      <c r="Y275" s="292" t="str">
        <f t="shared" si="69"/>
        <v/>
      </c>
      <c r="Z275" s="366">
        <f t="shared" si="70"/>
        <v>0</v>
      </c>
      <c r="AA275" s="299" t="str">
        <f t="shared" si="71"/>
        <v/>
      </c>
      <c r="AB275" s="300"/>
      <c r="AC275" s="301"/>
      <c r="AD275" s="302"/>
      <c r="AE275" s="303"/>
      <c r="AF275" s="304"/>
      <c r="AG275" s="304"/>
      <c r="AH275" s="304"/>
      <c r="AI275" s="304"/>
      <c r="AJ275" s="304"/>
      <c r="AK275" s="305"/>
      <c r="AL275" s="283"/>
      <c r="AM275" s="284"/>
    </row>
    <row r="276" ht="15.75" customHeight="1">
      <c r="A276" s="282">
        <f t="shared" si="1"/>
        <v>272</v>
      </c>
      <c r="B276" s="283"/>
      <c r="C276" s="284"/>
      <c r="D276" s="338"/>
      <c r="E276" s="286"/>
      <c r="F276" s="287"/>
      <c r="G276" s="288" t="str">
        <f>+IFERROR(VLOOKUP(F276,NVL!$B:$C,2,0),"")</f>
        <v/>
      </c>
      <c r="H276" s="288" t="str">
        <f>+IFERROR(VLOOKUP(F276,NVL!$B:$D,3,0),"")</f>
        <v/>
      </c>
      <c r="I276" s="288" t="str">
        <f>+IFERROR(VLOOKUP(F276,NVL!$B:$F,4,0),"")</f>
        <v/>
      </c>
      <c r="J276" s="289"/>
      <c r="K276" s="290"/>
      <c r="L276" s="291" t="str">
        <f>+IFERROR(VLOOKUP(K276,'THÀNH PHẨM'!$B:$F,3,0),"")</f>
        <v/>
      </c>
      <c r="M276" s="291" t="str">
        <f>+IFERROR(VLOOKUP(K276,'THÀNH PHẨM'!$B:$F,4,0),"")</f>
        <v/>
      </c>
      <c r="N276" s="291" t="str">
        <f>+IFERROR(VLOOKUP(K276,'THÀNH PHẨM'!$B:$F,5,0),"")</f>
        <v/>
      </c>
      <c r="O276" s="289"/>
      <c r="P276" s="292">
        <f t="shared" si="2"/>
        <v>0</v>
      </c>
      <c r="Q276" s="289"/>
      <c r="R276" s="289"/>
      <c r="S276" s="293">
        <f t="shared" si="62"/>
        <v>0</v>
      </c>
      <c r="T276" s="294"/>
      <c r="U276" s="295">
        <f t="shared" si="68"/>
        <v>0</v>
      </c>
      <c r="V276" s="296"/>
      <c r="W276" s="297"/>
      <c r="X276" s="298"/>
      <c r="Y276" s="292" t="str">
        <f t="shared" si="69"/>
        <v/>
      </c>
      <c r="Z276" s="366">
        <f t="shared" si="70"/>
        <v>0</v>
      </c>
      <c r="AA276" s="299" t="str">
        <f t="shared" si="71"/>
        <v/>
      </c>
      <c r="AB276" s="300"/>
      <c r="AC276" s="301"/>
      <c r="AD276" s="302"/>
      <c r="AE276" s="303"/>
      <c r="AF276" s="304"/>
      <c r="AG276" s="304"/>
      <c r="AH276" s="304"/>
      <c r="AI276" s="304"/>
      <c r="AJ276" s="304"/>
      <c r="AK276" s="305"/>
      <c r="AL276" s="283"/>
      <c r="AM276" s="284"/>
    </row>
    <row r="277" ht="15.75" customHeight="1">
      <c r="A277" s="282">
        <f t="shared" si="1"/>
        <v>273</v>
      </c>
      <c r="B277" s="283"/>
      <c r="C277" s="284"/>
      <c r="D277" s="338"/>
      <c r="E277" s="286"/>
      <c r="F277" s="287"/>
      <c r="G277" s="288" t="str">
        <f>+IFERROR(VLOOKUP(F277,NVL!$B:$C,2,0),"")</f>
        <v/>
      </c>
      <c r="H277" s="288" t="str">
        <f>+IFERROR(VLOOKUP(F277,NVL!$B:$D,3,0),"")</f>
        <v/>
      </c>
      <c r="I277" s="288" t="str">
        <f>+IFERROR(VLOOKUP(F277,NVL!$B:$F,4,0),"")</f>
        <v/>
      </c>
      <c r="J277" s="289"/>
      <c r="K277" s="290"/>
      <c r="L277" s="291" t="str">
        <f>+IFERROR(VLOOKUP(K277,'THÀNH PHẨM'!$B:$F,3,0),"")</f>
        <v/>
      </c>
      <c r="M277" s="291" t="str">
        <f>+IFERROR(VLOOKUP(K277,'THÀNH PHẨM'!$B:$F,4,0),"")</f>
        <v/>
      </c>
      <c r="N277" s="291" t="str">
        <f>+IFERROR(VLOOKUP(K277,'THÀNH PHẨM'!$B:$F,5,0),"")</f>
        <v/>
      </c>
      <c r="O277" s="289"/>
      <c r="P277" s="292">
        <f t="shared" si="2"/>
        <v>0</v>
      </c>
      <c r="Q277" s="289"/>
      <c r="R277" s="289"/>
      <c r="S277" s="293">
        <f t="shared" si="62"/>
        <v>0</v>
      </c>
      <c r="T277" s="294"/>
      <c r="U277" s="295">
        <f t="shared" si="68"/>
        <v>0</v>
      </c>
      <c r="V277" s="296"/>
      <c r="W277" s="297"/>
      <c r="X277" s="298"/>
      <c r="Y277" s="292" t="str">
        <f t="shared" si="69"/>
        <v/>
      </c>
      <c r="Z277" s="366">
        <f t="shared" si="70"/>
        <v>0</v>
      </c>
      <c r="AA277" s="299" t="str">
        <f t="shared" si="71"/>
        <v/>
      </c>
      <c r="AB277" s="300"/>
      <c r="AC277" s="301"/>
      <c r="AD277" s="302"/>
      <c r="AE277" s="303"/>
      <c r="AF277" s="304"/>
      <c r="AG277" s="304"/>
      <c r="AH277" s="304"/>
      <c r="AI277" s="304"/>
      <c r="AJ277" s="304"/>
      <c r="AK277" s="305"/>
      <c r="AL277" s="283"/>
      <c r="AM277" s="284"/>
    </row>
    <row r="278" ht="15.75" customHeight="1">
      <c r="A278" s="282">
        <f t="shared" si="1"/>
        <v>274</v>
      </c>
      <c r="B278" s="283"/>
      <c r="C278" s="284"/>
      <c r="D278" s="338"/>
      <c r="E278" s="286"/>
      <c r="F278" s="287"/>
      <c r="G278" s="288" t="str">
        <f>+IFERROR(VLOOKUP(F278,NVL!$B:$C,2,0),"")</f>
        <v/>
      </c>
      <c r="H278" s="288" t="str">
        <f>+IFERROR(VLOOKUP(F278,NVL!$B:$D,3,0),"")</f>
        <v/>
      </c>
      <c r="I278" s="288" t="str">
        <f>+IFERROR(VLOOKUP(F278,NVL!$B:$F,4,0),"")</f>
        <v/>
      </c>
      <c r="J278" s="289"/>
      <c r="K278" s="290"/>
      <c r="L278" s="291" t="str">
        <f>+IFERROR(VLOOKUP(K278,'THÀNH PHẨM'!$B:$F,3,0),"")</f>
        <v/>
      </c>
      <c r="M278" s="291" t="str">
        <f>+IFERROR(VLOOKUP(K278,'THÀNH PHẨM'!$B:$F,4,0),"")</f>
        <v/>
      </c>
      <c r="N278" s="291" t="str">
        <f>+IFERROR(VLOOKUP(K278,'THÀNH PHẨM'!$B:$F,5,0),"")</f>
        <v/>
      </c>
      <c r="O278" s="289"/>
      <c r="P278" s="292">
        <f t="shared" si="2"/>
        <v>0</v>
      </c>
      <c r="Q278" s="289"/>
      <c r="R278" s="289"/>
      <c r="S278" s="293">
        <f t="shared" si="62"/>
        <v>0</v>
      </c>
      <c r="T278" s="294"/>
      <c r="U278" s="295">
        <f t="shared" si="68"/>
        <v>0</v>
      </c>
      <c r="V278" s="296"/>
      <c r="W278" s="297"/>
      <c r="X278" s="298"/>
      <c r="Y278" s="292" t="str">
        <f t="shared" si="69"/>
        <v/>
      </c>
      <c r="Z278" s="366">
        <f t="shared" si="70"/>
        <v>0</v>
      </c>
      <c r="AA278" s="299" t="str">
        <f t="shared" si="71"/>
        <v/>
      </c>
      <c r="AB278" s="300"/>
      <c r="AC278" s="301"/>
      <c r="AD278" s="302"/>
      <c r="AE278" s="303"/>
      <c r="AF278" s="304"/>
      <c r="AG278" s="304"/>
      <c r="AH278" s="304"/>
      <c r="AI278" s="304"/>
      <c r="AJ278" s="304"/>
      <c r="AK278" s="305"/>
      <c r="AL278" s="283"/>
      <c r="AM278" s="284"/>
    </row>
    <row r="279" ht="15.75" customHeight="1">
      <c r="A279" s="282">
        <f t="shared" si="1"/>
        <v>275</v>
      </c>
      <c r="B279" s="283"/>
      <c r="C279" s="284"/>
      <c r="D279" s="338"/>
      <c r="E279" s="286"/>
      <c r="F279" s="287"/>
      <c r="G279" s="288" t="str">
        <f>+IFERROR(VLOOKUP(F279,NVL!$B:$C,2,0),"")</f>
        <v/>
      </c>
      <c r="H279" s="288" t="str">
        <f>+IFERROR(VLOOKUP(F279,NVL!$B:$D,3,0),"")</f>
        <v/>
      </c>
      <c r="I279" s="288" t="str">
        <f>+IFERROR(VLOOKUP(F279,NVL!$B:$F,4,0),"")</f>
        <v/>
      </c>
      <c r="J279" s="289"/>
      <c r="K279" s="290"/>
      <c r="L279" s="291" t="str">
        <f>+IFERROR(VLOOKUP(K279,'THÀNH PHẨM'!$B:$F,3,0),"")</f>
        <v/>
      </c>
      <c r="M279" s="291" t="str">
        <f>+IFERROR(VLOOKUP(K279,'THÀNH PHẨM'!$B:$F,4,0),"")</f>
        <v/>
      </c>
      <c r="N279" s="291" t="str">
        <f>+IFERROR(VLOOKUP(K279,'THÀNH PHẨM'!$B:$F,5,0),"")</f>
        <v/>
      </c>
      <c r="O279" s="289"/>
      <c r="P279" s="292">
        <f t="shared" si="2"/>
        <v>0</v>
      </c>
      <c r="Q279" s="289"/>
      <c r="R279" s="289"/>
      <c r="S279" s="293">
        <f t="shared" si="62"/>
        <v>0</v>
      </c>
      <c r="T279" s="294"/>
      <c r="U279" s="295">
        <f t="shared" si="68"/>
        <v>0</v>
      </c>
      <c r="V279" s="296"/>
      <c r="W279" s="297"/>
      <c r="X279" s="298"/>
      <c r="Y279" s="292" t="str">
        <f t="shared" si="69"/>
        <v/>
      </c>
      <c r="Z279" s="366">
        <f t="shared" si="70"/>
        <v>0</v>
      </c>
      <c r="AA279" s="299" t="str">
        <f t="shared" si="71"/>
        <v/>
      </c>
      <c r="AB279" s="300"/>
      <c r="AC279" s="301"/>
      <c r="AD279" s="302"/>
      <c r="AE279" s="303"/>
      <c r="AF279" s="304"/>
      <c r="AG279" s="304"/>
      <c r="AH279" s="304"/>
      <c r="AI279" s="304"/>
      <c r="AJ279" s="304"/>
      <c r="AK279" s="305"/>
      <c r="AL279" s="283"/>
      <c r="AM279" s="284"/>
    </row>
    <row r="280" ht="15.75" customHeight="1">
      <c r="A280" s="282">
        <f t="shared" si="1"/>
        <v>276</v>
      </c>
      <c r="B280" s="283"/>
      <c r="C280" s="284"/>
      <c r="D280" s="338"/>
      <c r="E280" s="286"/>
      <c r="F280" s="287"/>
      <c r="G280" s="288" t="str">
        <f>+IFERROR(VLOOKUP(F280,NVL!$B:$C,2,0),"")</f>
        <v/>
      </c>
      <c r="H280" s="288" t="str">
        <f>+IFERROR(VLOOKUP(F280,NVL!$B:$D,3,0),"")</f>
        <v/>
      </c>
      <c r="I280" s="288" t="str">
        <f>+IFERROR(VLOOKUP(F280,NVL!$B:$F,4,0),"")</f>
        <v/>
      </c>
      <c r="J280" s="289"/>
      <c r="K280" s="290"/>
      <c r="L280" s="291" t="str">
        <f>+IFERROR(VLOOKUP(K280,'THÀNH PHẨM'!$B:$F,3,0),"")</f>
        <v/>
      </c>
      <c r="M280" s="291" t="str">
        <f>+IFERROR(VLOOKUP(K280,'THÀNH PHẨM'!$B:$F,4,0),"")</f>
        <v/>
      </c>
      <c r="N280" s="291" t="str">
        <f>+IFERROR(VLOOKUP(K280,'THÀNH PHẨM'!$B:$F,5,0),"")</f>
        <v/>
      </c>
      <c r="O280" s="289"/>
      <c r="P280" s="292">
        <f t="shared" si="2"/>
        <v>0</v>
      </c>
      <c r="Q280" s="289"/>
      <c r="R280" s="289"/>
      <c r="S280" s="293">
        <f t="shared" si="62"/>
        <v>0</v>
      </c>
      <c r="T280" s="294"/>
      <c r="U280" s="295">
        <f t="shared" si="68"/>
        <v>0</v>
      </c>
      <c r="V280" s="296"/>
      <c r="W280" s="297"/>
      <c r="X280" s="298"/>
      <c r="Y280" s="292" t="str">
        <f t="shared" si="69"/>
        <v/>
      </c>
      <c r="Z280" s="366">
        <f t="shared" si="70"/>
        <v>0</v>
      </c>
      <c r="AA280" s="299" t="str">
        <f t="shared" si="71"/>
        <v/>
      </c>
      <c r="AB280" s="300"/>
      <c r="AC280" s="301"/>
      <c r="AD280" s="302"/>
      <c r="AE280" s="303"/>
      <c r="AF280" s="304"/>
      <c r="AG280" s="304"/>
      <c r="AH280" s="304"/>
      <c r="AI280" s="304"/>
      <c r="AJ280" s="304"/>
      <c r="AK280" s="305"/>
      <c r="AL280" s="283"/>
      <c r="AM280" s="284"/>
    </row>
    <row r="281" ht="15.75" customHeight="1">
      <c r="A281" s="282">
        <f t="shared" si="1"/>
        <v>277</v>
      </c>
      <c r="B281" s="283"/>
      <c r="C281" s="284"/>
      <c r="D281" s="338"/>
      <c r="E281" s="286"/>
      <c r="F281" s="287"/>
      <c r="G281" s="288" t="str">
        <f>+IFERROR(VLOOKUP(F281,NVL!$B:$C,2,0),"")</f>
        <v/>
      </c>
      <c r="H281" s="288" t="str">
        <f>+IFERROR(VLOOKUP(F281,NVL!$B:$D,3,0),"")</f>
        <v/>
      </c>
      <c r="I281" s="288" t="str">
        <f>+IFERROR(VLOOKUP(F281,NVL!$B:$F,4,0),"")</f>
        <v/>
      </c>
      <c r="J281" s="289"/>
      <c r="K281" s="290"/>
      <c r="L281" s="291" t="str">
        <f>+IFERROR(VLOOKUP(K281,'THÀNH PHẨM'!$B:$F,3,0),"")</f>
        <v/>
      </c>
      <c r="M281" s="291" t="str">
        <f>+IFERROR(VLOOKUP(K281,'THÀNH PHẨM'!$B:$F,4,0),"")</f>
        <v/>
      </c>
      <c r="N281" s="291" t="str">
        <f>+IFERROR(VLOOKUP(K281,'THÀNH PHẨM'!$B:$F,5,0),"")</f>
        <v/>
      </c>
      <c r="O281" s="289"/>
      <c r="P281" s="292">
        <f t="shared" si="2"/>
        <v>0</v>
      </c>
      <c r="Q281" s="289"/>
      <c r="R281" s="289"/>
      <c r="S281" s="293">
        <f t="shared" si="62"/>
        <v>0</v>
      </c>
      <c r="T281" s="294"/>
      <c r="U281" s="295">
        <f t="shared" si="68"/>
        <v>0</v>
      </c>
      <c r="V281" s="296"/>
      <c r="W281" s="297"/>
      <c r="X281" s="298"/>
      <c r="Y281" s="292" t="str">
        <f t="shared" si="69"/>
        <v/>
      </c>
      <c r="Z281" s="366">
        <f t="shared" si="70"/>
        <v>0</v>
      </c>
      <c r="AA281" s="299" t="str">
        <f t="shared" si="71"/>
        <v/>
      </c>
      <c r="AB281" s="300"/>
      <c r="AC281" s="301"/>
      <c r="AD281" s="302"/>
      <c r="AE281" s="303"/>
      <c r="AF281" s="304"/>
      <c r="AG281" s="304"/>
      <c r="AH281" s="304"/>
      <c r="AI281" s="304"/>
      <c r="AJ281" s="304"/>
      <c r="AK281" s="305"/>
      <c r="AL281" s="283"/>
      <c r="AM281" s="284"/>
    </row>
    <row r="282" ht="15.75" customHeight="1">
      <c r="A282" s="282">
        <f t="shared" si="1"/>
        <v>278</v>
      </c>
      <c r="B282" s="283"/>
      <c r="C282" s="284"/>
      <c r="D282" s="338"/>
      <c r="E282" s="286"/>
      <c r="F282" s="287"/>
      <c r="G282" s="288" t="str">
        <f>+IFERROR(VLOOKUP(F282,NVL!$B:$C,2,0),"")</f>
        <v/>
      </c>
      <c r="H282" s="288" t="str">
        <f>+IFERROR(VLOOKUP(F282,NVL!$B:$D,3,0),"")</f>
        <v/>
      </c>
      <c r="I282" s="288" t="str">
        <f>+IFERROR(VLOOKUP(F282,NVL!$B:$F,4,0),"")</f>
        <v/>
      </c>
      <c r="J282" s="289"/>
      <c r="K282" s="290"/>
      <c r="L282" s="291" t="str">
        <f>+IFERROR(VLOOKUP(K282,'THÀNH PHẨM'!$B:$F,3,0),"")</f>
        <v/>
      </c>
      <c r="M282" s="291" t="str">
        <f>+IFERROR(VLOOKUP(K282,'THÀNH PHẨM'!$B:$F,4,0),"")</f>
        <v/>
      </c>
      <c r="N282" s="291" t="str">
        <f>+IFERROR(VLOOKUP(K282,'THÀNH PHẨM'!$B:$F,5,0),"")</f>
        <v/>
      </c>
      <c r="O282" s="289"/>
      <c r="P282" s="292">
        <f t="shared" si="2"/>
        <v>0</v>
      </c>
      <c r="Q282" s="289"/>
      <c r="R282" s="289"/>
      <c r="S282" s="293">
        <f t="shared" si="62"/>
        <v>0</v>
      </c>
      <c r="T282" s="294"/>
      <c r="U282" s="295">
        <f t="shared" si="68"/>
        <v>0</v>
      </c>
      <c r="V282" s="296"/>
      <c r="W282" s="297"/>
      <c r="X282" s="298"/>
      <c r="Y282" s="292" t="str">
        <f t="shared" si="69"/>
        <v/>
      </c>
      <c r="Z282" s="366">
        <f t="shared" si="70"/>
        <v>0</v>
      </c>
      <c r="AA282" s="299" t="str">
        <f t="shared" si="71"/>
        <v/>
      </c>
      <c r="AB282" s="300"/>
      <c r="AC282" s="301"/>
      <c r="AD282" s="302"/>
      <c r="AE282" s="303"/>
      <c r="AF282" s="304"/>
      <c r="AG282" s="304"/>
      <c r="AH282" s="304"/>
      <c r="AI282" s="304"/>
      <c r="AJ282" s="304"/>
      <c r="AK282" s="305"/>
      <c r="AL282" s="283"/>
      <c r="AM282" s="284"/>
    </row>
    <row r="283" ht="15.75" customHeight="1">
      <c r="A283" s="282">
        <f t="shared" si="1"/>
        <v>279</v>
      </c>
      <c r="B283" s="283"/>
      <c r="C283" s="284"/>
      <c r="D283" s="338"/>
      <c r="E283" s="286"/>
      <c r="F283" s="287"/>
      <c r="G283" s="288" t="str">
        <f>+IFERROR(VLOOKUP(F283,NVL!$B:$C,2,0),"")</f>
        <v/>
      </c>
      <c r="H283" s="288" t="str">
        <f>+IFERROR(VLOOKUP(F283,NVL!$B:$D,3,0),"")</f>
        <v/>
      </c>
      <c r="I283" s="288" t="str">
        <f>+IFERROR(VLOOKUP(F283,NVL!$B:$F,4,0),"")</f>
        <v/>
      </c>
      <c r="J283" s="289"/>
      <c r="K283" s="290"/>
      <c r="L283" s="291" t="str">
        <f>+IFERROR(VLOOKUP(K283,'THÀNH PHẨM'!$B:$F,3,0),"")</f>
        <v/>
      </c>
      <c r="M283" s="291" t="str">
        <f>+IFERROR(VLOOKUP(K283,'THÀNH PHẨM'!$B:$F,4,0),"")</f>
        <v/>
      </c>
      <c r="N283" s="291" t="str">
        <f>+IFERROR(VLOOKUP(K283,'THÀNH PHẨM'!$B:$F,5,0),"")</f>
        <v/>
      </c>
      <c r="O283" s="289"/>
      <c r="P283" s="292">
        <f t="shared" si="2"/>
        <v>0</v>
      </c>
      <c r="Q283" s="289"/>
      <c r="R283" s="289"/>
      <c r="S283" s="293">
        <f t="shared" si="62"/>
        <v>0</v>
      </c>
      <c r="T283" s="294"/>
      <c r="U283" s="295">
        <f t="shared" si="68"/>
        <v>0</v>
      </c>
      <c r="V283" s="296"/>
      <c r="W283" s="297"/>
      <c r="X283" s="298"/>
      <c r="Y283" s="292" t="str">
        <f t="shared" si="69"/>
        <v/>
      </c>
      <c r="Z283" s="366">
        <f t="shared" si="70"/>
        <v>0</v>
      </c>
      <c r="AA283" s="299" t="str">
        <f t="shared" si="71"/>
        <v/>
      </c>
      <c r="AB283" s="300"/>
      <c r="AC283" s="301"/>
      <c r="AD283" s="302"/>
      <c r="AE283" s="303"/>
      <c r="AF283" s="304"/>
      <c r="AG283" s="304"/>
      <c r="AH283" s="304"/>
      <c r="AI283" s="304"/>
      <c r="AJ283" s="304"/>
      <c r="AK283" s="305"/>
      <c r="AL283" s="283"/>
      <c r="AM283" s="284"/>
    </row>
    <row r="284" ht="15.75" customHeight="1">
      <c r="A284" s="282">
        <f t="shared" si="1"/>
        <v>280</v>
      </c>
      <c r="B284" s="283"/>
      <c r="C284" s="284"/>
      <c r="D284" s="338"/>
      <c r="E284" s="286"/>
      <c r="F284" s="287"/>
      <c r="G284" s="288" t="str">
        <f>+IFERROR(VLOOKUP(F284,NVL!$B:$C,2,0),"")</f>
        <v/>
      </c>
      <c r="H284" s="288" t="str">
        <f>+IFERROR(VLOOKUP(F284,NVL!$B:$D,3,0),"")</f>
        <v/>
      </c>
      <c r="I284" s="288" t="str">
        <f>+IFERROR(VLOOKUP(F284,NVL!$B:$F,4,0),"")</f>
        <v/>
      </c>
      <c r="J284" s="289"/>
      <c r="K284" s="290"/>
      <c r="L284" s="291" t="str">
        <f>+IFERROR(VLOOKUP(K284,'THÀNH PHẨM'!$B:$F,3,0),"")</f>
        <v/>
      </c>
      <c r="M284" s="291" t="str">
        <f>+IFERROR(VLOOKUP(K284,'THÀNH PHẨM'!$B:$F,4,0),"")</f>
        <v/>
      </c>
      <c r="N284" s="291" t="str">
        <f>+IFERROR(VLOOKUP(K284,'THÀNH PHẨM'!$B:$F,5,0),"")</f>
        <v/>
      </c>
      <c r="O284" s="289"/>
      <c r="P284" s="292">
        <f t="shared" si="2"/>
        <v>0</v>
      </c>
      <c r="Q284" s="289"/>
      <c r="R284" s="289"/>
      <c r="S284" s="293">
        <f t="shared" si="62"/>
        <v>0</v>
      </c>
      <c r="T284" s="294"/>
      <c r="U284" s="295">
        <f t="shared" si="68"/>
        <v>0</v>
      </c>
      <c r="V284" s="296"/>
      <c r="W284" s="297"/>
      <c r="X284" s="298"/>
      <c r="Y284" s="292" t="str">
        <f t="shared" si="69"/>
        <v/>
      </c>
      <c r="Z284" s="366">
        <f t="shared" si="70"/>
        <v>0</v>
      </c>
      <c r="AA284" s="299" t="str">
        <f t="shared" si="71"/>
        <v/>
      </c>
      <c r="AB284" s="300"/>
      <c r="AC284" s="301"/>
      <c r="AD284" s="302"/>
      <c r="AE284" s="303"/>
      <c r="AF284" s="304"/>
      <c r="AG284" s="304"/>
      <c r="AH284" s="304"/>
      <c r="AI284" s="304"/>
      <c r="AJ284" s="304"/>
      <c r="AK284" s="305"/>
      <c r="AL284" s="283"/>
      <c r="AM284" s="284"/>
    </row>
    <row r="285" ht="15.75" customHeight="1">
      <c r="A285" s="282">
        <f t="shared" si="1"/>
        <v>281</v>
      </c>
      <c r="B285" s="283"/>
      <c r="C285" s="284"/>
      <c r="D285" s="338"/>
      <c r="E285" s="286"/>
      <c r="F285" s="287"/>
      <c r="G285" s="288" t="str">
        <f>+IFERROR(VLOOKUP(F285,NVL!$B:$C,2,0),"")</f>
        <v/>
      </c>
      <c r="H285" s="288" t="str">
        <f>+IFERROR(VLOOKUP(F285,NVL!$B:$D,3,0),"")</f>
        <v/>
      </c>
      <c r="I285" s="288" t="str">
        <f>+IFERROR(VLOOKUP(F285,NVL!$B:$F,4,0),"")</f>
        <v/>
      </c>
      <c r="J285" s="289"/>
      <c r="K285" s="290"/>
      <c r="L285" s="291" t="str">
        <f>+IFERROR(VLOOKUP(K285,'THÀNH PHẨM'!$B:$F,3,0),"")</f>
        <v/>
      </c>
      <c r="M285" s="291" t="str">
        <f>+IFERROR(VLOOKUP(K285,'THÀNH PHẨM'!$B:$F,4,0),"")</f>
        <v/>
      </c>
      <c r="N285" s="291" t="str">
        <f>+IFERROR(VLOOKUP(K285,'THÀNH PHẨM'!$B:$F,5,0),"")</f>
        <v/>
      </c>
      <c r="O285" s="289"/>
      <c r="P285" s="292">
        <f t="shared" si="2"/>
        <v>0</v>
      </c>
      <c r="Q285" s="289"/>
      <c r="R285" s="289"/>
      <c r="S285" s="293">
        <f t="shared" si="62"/>
        <v>0</v>
      </c>
      <c r="T285" s="294"/>
      <c r="U285" s="295">
        <f t="shared" si="68"/>
        <v>0</v>
      </c>
      <c r="V285" s="296"/>
      <c r="W285" s="297"/>
      <c r="X285" s="298"/>
      <c r="Y285" s="292" t="str">
        <f t="shared" si="69"/>
        <v/>
      </c>
      <c r="Z285" s="366">
        <f t="shared" si="70"/>
        <v>0</v>
      </c>
      <c r="AA285" s="299" t="str">
        <f t="shared" si="71"/>
        <v/>
      </c>
      <c r="AB285" s="300"/>
      <c r="AC285" s="301"/>
      <c r="AD285" s="302"/>
      <c r="AE285" s="303"/>
      <c r="AF285" s="304"/>
      <c r="AG285" s="304"/>
      <c r="AH285" s="304"/>
      <c r="AI285" s="304"/>
      <c r="AJ285" s="304"/>
      <c r="AK285" s="305"/>
      <c r="AL285" s="283"/>
      <c r="AM285" s="284"/>
    </row>
    <row r="286" ht="15.75" customHeight="1">
      <c r="A286" s="282">
        <f t="shared" si="1"/>
        <v>282</v>
      </c>
      <c r="B286" s="283"/>
      <c r="C286" s="284"/>
      <c r="D286" s="338"/>
      <c r="E286" s="286"/>
      <c r="F286" s="287"/>
      <c r="G286" s="288" t="str">
        <f>+IFERROR(VLOOKUP(F286,NVL!$B:$C,2,0),"")</f>
        <v/>
      </c>
      <c r="H286" s="288" t="str">
        <f>+IFERROR(VLOOKUP(F286,NVL!$B:$D,3,0),"")</f>
        <v/>
      </c>
      <c r="I286" s="288" t="str">
        <f>+IFERROR(VLOOKUP(F286,NVL!$B:$F,4,0),"")</f>
        <v/>
      </c>
      <c r="J286" s="289"/>
      <c r="K286" s="290"/>
      <c r="L286" s="291" t="str">
        <f>+IFERROR(VLOOKUP(K286,'THÀNH PHẨM'!$B:$F,3,0),"")</f>
        <v/>
      </c>
      <c r="M286" s="291" t="str">
        <f>+IFERROR(VLOOKUP(K286,'THÀNH PHẨM'!$B:$F,4,0),"")</f>
        <v/>
      </c>
      <c r="N286" s="291" t="str">
        <f>+IFERROR(VLOOKUP(K286,'THÀNH PHẨM'!$B:$F,5,0),"")</f>
        <v/>
      </c>
      <c r="O286" s="289"/>
      <c r="P286" s="292">
        <f t="shared" si="2"/>
        <v>0</v>
      </c>
      <c r="Q286" s="289"/>
      <c r="R286" s="289"/>
      <c r="S286" s="293">
        <f t="shared" si="62"/>
        <v>0</v>
      </c>
      <c r="T286" s="294"/>
      <c r="U286" s="295">
        <f t="shared" si="68"/>
        <v>0</v>
      </c>
      <c r="V286" s="296"/>
      <c r="W286" s="297"/>
      <c r="X286" s="298"/>
      <c r="Y286" s="292" t="str">
        <f t="shared" si="69"/>
        <v/>
      </c>
      <c r="Z286" s="366">
        <f t="shared" si="70"/>
        <v>0</v>
      </c>
      <c r="AA286" s="299" t="str">
        <f t="shared" si="71"/>
        <v/>
      </c>
      <c r="AB286" s="300"/>
      <c r="AC286" s="301"/>
      <c r="AD286" s="302"/>
      <c r="AE286" s="303"/>
      <c r="AF286" s="304"/>
      <c r="AG286" s="304"/>
      <c r="AH286" s="304"/>
      <c r="AI286" s="304"/>
      <c r="AJ286" s="304"/>
      <c r="AK286" s="305"/>
      <c r="AL286" s="283"/>
      <c r="AM286" s="284"/>
    </row>
    <row r="287" ht="15.75" customHeight="1">
      <c r="A287" s="282">
        <f t="shared" si="1"/>
        <v>283</v>
      </c>
      <c r="B287" s="283"/>
      <c r="C287" s="284"/>
      <c r="D287" s="338"/>
      <c r="E287" s="286"/>
      <c r="F287" s="287"/>
      <c r="G287" s="288" t="str">
        <f>+IFERROR(VLOOKUP(F287,NVL!$B:$C,2,0),"")</f>
        <v/>
      </c>
      <c r="H287" s="288" t="str">
        <f>+IFERROR(VLOOKUP(F287,NVL!$B:$D,3,0),"")</f>
        <v/>
      </c>
      <c r="I287" s="288" t="str">
        <f>+IFERROR(VLOOKUP(F287,NVL!$B:$F,4,0),"")</f>
        <v/>
      </c>
      <c r="J287" s="289"/>
      <c r="K287" s="290"/>
      <c r="L287" s="291" t="str">
        <f>+IFERROR(VLOOKUP(K287,'THÀNH PHẨM'!$B:$F,3,0),"")</f>
        <v/>
      </c>
      <c r="M287" s="291" t="str">
        <f>+IFERROR(VLOOKUP(K287,'THÀNH PHẨM'!$B:$F,4,0),"")</f>
        <v/>
      </c>
      <c r="N287" s="291" t="str">
        <f>+IFERROR(VLOOKUP(K287,'THÀNH PHẨM'!$B:$F,5,0),"")</f>
        <v/>
      </c>
      <c r="O287" s="289"/>
      <c r="P287" s="292">
        <f t="shared" si="2"/>
        <v>0</v>
      </c>
      <c r="Q287" s="289"/>
      <c r="R287" s="289"/>
      <c r="S287" s="293">
        <f t="shared" si="62"/>
        <v>0</v>
      </c>
      <c r="T287" s="294"/>
      <c r="U287" s="295">
        <f t="shared" si="68"/>
        <v>0</v>
      </c>
      <c r="V287" s="296"/>
      <c r="W287" s="297"/>
      <c r="X287" s="298"/>
      <c r="Y287" s="292" t="str">
        <f t="shared" si="69"/>
        <v/>
      </c>
      <c r="Z287" s="366">
        <f t="shared" si="70"/>
        <v>0</v>
      </c>
      <c r="AA287" s="299" t="str">
        <f t="shared" si="71"/>
        <v/>
      </c>
      <c r="AB287" s="300"/>
      <c r="AC287" s="301"/>
      <c r="AD287" s="302"/>
      <c r="AE287" s="303"/>
      <c r="AF287" s="304"/>
      <c r="AG287" s="304"/>
      <c r="AH287" s="304"/>
      <c r="AI287" s="304"/>
      <c r="AJ287" s="304"/>
      <c r="AK287" s="305"/>
      <c r="AL287" s="283"/>
      <c r="AM287" s="284"/>
    </row>
    <row r="288" ht="15.75" customHeight="1">
      <c r="A288" s="282">
        <f t="shared" si="1"/>
        <v>284</v>
      </c>
      <c r="B288" s="283"/>
      <c r="C288" s="284"/>
      <c r="D288" s="338"/>
      <c r="E288" s="286"/>
      <c r="F288" s="287"/>
      <c r="G288" s="288" t="str">
        <f>+IFERROR(VLOOKUP(F288,NVL!$B:$C,2,0),"")</f>
        <v/>
      </c>
      <c r="H288" s="288" t="str">
        <f>+IFERROR(VLOOKUP(F288,NVL!$B:$D,3,0),"")</f>
        <v/>
      </c>
      <c r="I288" s="288" t="str">
        <f>+IFERROR(VLOOKUP(F288,NVL!$B:$F,4,0),"")</f>
        <v/>
      </c>
      <c r="J288" s="289"/>
      <c r="K288" s="290"/>
      <c r="L288" s="291" t="str">
        <f>+IFERROR(VLOOKUP(K288,'THÀNH PHẨM'!$B:$F,3,0),"")</f>
        <v/>
      </c>
      <c r="M288" s="291" t="str">
        <f>+IFERROR(VLOOKUP(K288,'THÀNH PHẨM'!$B:$F,4,0),"")</f>
        <v/>
      </c>
      <c r="N288" s="291" t="str">
        <f>+IFERROR(VLOOKUP(K288,'THÀNH PHẨM'!$B:$F,5,0),"")</f>
        <v/>
      </c>
      <c r="O288" s="289"/>
      <c r="P288" s="292">
        <f t="shared" si="2"/>
        <v>0</v>
      </c>
      <c r="Q288" s="289"/>
      <c r="R288" s="289"/>
      <c r="S288" s="293">
        <f t="shared" si="62"/>
        <v>0</v>
      </c>
      <c r="T288" s="294"/>
      <c r="U288" s="295">
        <f t="shared" si="68"/>
        <v>0</v>
      </c>
      <c r="V288" s="296"/>
      <c r="W288" s="297"/>
      <c r="X288" s="298"/>
      <c r="Y288" s="292" t="str">
        <f t="shared" si="69"/>
        <v/>
      </c>
      <c r="Z288" s="366">
        <f t="shared" si="70"/>
        <v>0</v>
      </c>
      <c r="AA288" s="299" t="str">
        <f t="shared" si="71"/>
        <v/>
      </c>
      <c r="AB288" s="300"/>
      <c r="AC288" s="301"/>
      <c r="AD288" s="302"/>
      <c r="AE288" s="303"/>
      <c r="AF288" s="304"/>
      <c r="AG288" s="304"/>
      <c r="AH288" s="304"/>
      <c r="AI288" s="304"/>
      <c r="AJ288" s="304"/>
      <c r="AK288" s="305"/>
      <c r="AL288" s="283"/>
      <c r="AM288" s="284"/>
    </row>
    <row r="289" ht="15.75" customHeight="1">
      <c r="A289" s="282">
        <f t="shared" si="1"/>
        <v>285</v>
      </c>
      <c r="B289" s="283"/>
      <c r="C289" s="284"/>
      <c r="D289" s="338"/>
      <c r="E289" s="286"/>
      <c r="F289" s="287"/>
      <c r="G289" s="288" t="str">
        <f>+IFERROR(VLOOKUP(F289,NVL!$B:$C,2,0),"")</f>
        <v/>
      </c>
      <c r="H289" s="288" t="str">
        <f>+IFERROR(VLOOKUP(F289,NVL!$B:$D,3,0),"")</f>
        <v/>
      </c>
      <c r="I289" s="288" t="str">
        <f>+IFERROR(VLOOKUP(F289,NVL!$B:$F,4,0),"")</f>
        <v/>
      </c>
      <c r="J289" s="289"/>
      <c r="K289" s="290"/>
      <c r="L289" s="291" t="str">
        <f>+IFERROR(VLOOKUP(K289,'THÀNH PHẨM'!$B:$F,3,0),"")</f>
        <v/>
      </c>
      <c r="M289" s="291" t="str">
        <f>+IFERROR(VLOOKUP(K289,'THÀNH PHẨM'!$B:$F,4,0),"")</f>
        <v/>
      </c>
      <c r="N289" s="291" t="str">
        <f>+IFERROR(VLOOKUP(K289,'THÀNH PHẨM'!$B:$F,5,0),"")</f>
        <v/>
      </c>
      <c r="O289" s="289"/>
      <c r="P289" s="292">
        <f t="shared" si="2"/>
        <v>0</v>
      </c>
      <c r="Q289" s="289"/>
      <c r="R289" s="289"/>
      <c r="S289" s="293">
        <f t="shared" si="62"/>
        <v>0</v>
      </c>
      <c r="T289" s="294"/>
      <c r="U289" s="295">
        <f t="shared" si="68"/>
        <v>0</v>
      </c>
      <c r="V289" s="296"/>
      <c r="W289" s="297"/>
      <c r="X289" s="298"/>
      <c r="Y289" s="292" t="str">
        <f t="shared" si="69"/>
        <v/>
      </c>
      <c r="Z289" s="366">
        <f t="shared" si="70"/>
        <v>0</v>
      </c>
      <c r="AA289" s="299" t="str">
        <f t="shared" si="71"/>
        <v/>
      </c>
      <c r="AB289" s="300"/>
      <c r="AC289" s="301"/>
      <c r="AD289" s="302"/>
      <c r="AE289" s="303"/>
      <c r="AF289" s="304"/>
      <c r="AG289" s="304"/>
      <c r="AH289" s="304"/>
      <c r="AI289" s="304"/>
      <c r="AJ289" s="304"/>
      <c r="AK289" s="305"/>
      <c r="AL289" s="283"/>
      <c r="AM289" s="284"/>
    </row>
    <row r="290" ht="15.75" customHeight="1">
      <c r="A290" s="282">
        <f t="shared" si="1"/>
        <v>286</v>
      </c>
      <c r="B290" s="283"/>
      <c r="C290" s="284"/>
      <c r="D290" s="338"/>
      <c r="E290" s="286"/>
      <c r="F290" s="287"/>
      <c r="G290" s="288" t="str">
        <f>+IFERROR(VLOOKUP(F290,NVL!$B:$C,2,0),"")</f>
        <v/>
      </c>
      <c r="H290" s="288" t="str">
        <f>+IFERROR(VLOOKUP(F290,NVL!$B:$D,3,0),"")</f>
        <v/>
      </c>
      <c r="I290" s="288" t="str">
        <f>+IFERROR(VLOOKUP(F290,NVL!$B:$F,4,0),"")</f>
        <v/>
      </c>
      <c r="J290" s="289"/>
      <c r="K290" s="290"/>
      <c r="L290" s="291" t="str">
        <f>+IFERROR(VLOOKUP(K290,'THÀNH PHẨM'!$B:$F,3,0),"")</f>
        <v/>
      </c>
      <c r="M290" s="291" t="str">
        <f>+IFERROR(VLOOKUP(K290,'THÀNH PHẨM'!$B:$F,4,0),"")</f>
        <v/>
      </c>
      <c r="N290" s="291" t="str">
        <f>+IFERROR(VLOOKUP(K290,'THÀNH PHẨM'!$B:$F,5,0),"")</f>
        <v/>
      </c>
      <c r="O290" s="289"/>
      <c r="P290" s="292">
        <f t="shared" si="2"/>
        <v>0</v>
      </c>
      <c r="Q290" s="289"/>
      <c r="R290" s="289"/>
      <c r="S290" s="293">
        <f t="shared" si="62"/>
        <v>0</v>
      </c>
      <c r="T290" s="294"/>
      <c r="U290" s="295">
        <f t="shared" si="68"/>
        <v>0</v>
      </c>
      <c r="V290" s="296"/>
      <c r="W290" s="297"/>
      <c r="X290" s="298"/>
      <c r="Y290" s="292" t="str">
        <f t="shared" si="69"/>
        <v/>
      </c>
      <c r="Z290" s="366">
        <f t="shared" si="70"/>
        <v>0</v>
      </c>
      <c r="AA290" s="299" t="str">
        <f t="shared" si="71"/>
        <v/>
      </c>
      <c r="AB290" s="300"/>
      <c r="AC290" s="301"/>
      <c r="AD290" s="302"/>
      <c r="AE290" s="303"/>
      <c r="AF290" s="304"/>
      <c r="AG290" s="304"/>
      <c r="AH290" s="304"/>
      <c r="AI290" s="304"/>
      <c r="AJ290" s="304"/>
      <c r="AK290" s="305"/>
      <c r="AL290" s="283"/>
      <c r="AM290" s="284"/>
    </row>
    <row r="291" ht="15.75" customHeight="1">
      <c r="A291" s="282">
        <f t="shared" si="1"/>
        <v>287</v>
      </c>
      <c r="B291" s="283"/>
      <c r="C291" s="284"/>
      <c r="D291" s="338"/>
      <c r="E291" s="286"/>
      <c r="F291" s="287"/>
      <c r="G291" s="288" t="str">
        <f>+IFERROR(VLOOKUP(F291,NVL!$B:$C,2,0),"")</f>
        <v/>
      </c>
      <c r="H291" s="288" t="str">
        <f>+IFERROR(VLOOKUP(F291,NVL!$B:$D,3,0),"")</f>
        <v/>
      </c>
      <c r="I291" s="288" t="str">
        <f>+IFERROR(VLOOKUP(F291,NVL!$B:$F,4,0),"")</f>
        <v/>
      </c>
      <c r="J291" s="289"/>
      <c r="K291" s="290"/>
      <c r="L291" s="291" t="str">
        <f>+IFERROR(VLOOKUP(K291,'THÀNH PHẨM'!$B:$F,3,0),"")</f>
        <v/>
      </c>
      <c r="M291" s="291" t="str">
        <f>+IFERROR(VLOOKUP(K291,'THÀNH PHẨM'!$B:$F,4,0),"")</f>
        <v/>
      </c>
      <c r="N291" s="291" t="str">
        <f>+IFERROR(VLOOKUP(K291,'THÀNH PHẨM'!$B:$F,5,0),"")</f>
        <v/>
      </c>
      <c r="O291" s="289"/>
      <c r="P291" s="292">
        <f t="shared" si="2"/>
        <v>0</v>
      </c>
      <c r="Q291" s="289"/>
      <c r="R291" s="289"/>
      <c r="S291" s="293">
        <f t="shared" si="62"/>
        <v>0</v>
      </c>
      <c r="T291" s="294"/>
      <c r="U291" s="295">
        <f t="shared" si="68"/>
        <v>0</v>
      </c>
      <c r="V291" s="296"/>
      <c r="W291" s="297"/>
      <c r="X291" s="298"/>
      <c r="Y291" s="292" t="str">
        <f t="shared" si="69"/>
        <v/>
      </c>
      <c r="Z291" s="366">
        <f t="shared" si="70"/>
        <v>0</v>
      </c>
      <c r="AA291" s="299" t="str">
        <f t="shared" si="71"/>
        <v/>
      </c>
      <c r="AB291" s="300"/>
      <c r="AC291" s="301"/>
      <c r="AD291" s="302"/>
      <c r="AE291" s="303"/>
      <c r="AF291" s="304"/>
      <c r="AG291" s="304"/>
      <c r="AH291" s="304"/>
      <c r="AI291" s="304"/>
      <c r="AJ291" s="304"/>
      <c r="AK291" s="305"/>
      <c r="AL291" s="283"/>
      <c r="AM291" s="284"/>
    </row>
    <row r="292" ht="15.75" customHeight="1">
      <c r="A292" s="282">
        <f t="shared" si="1"/>
        <v>288</v>
      </c>
      <c r="B292" s="283"/>
      <c r="C292" s="284"/>
      <c r="D292" s="338"/>
      <c r="E292" s="286"/>
      <c r="F292" s="287"/>
      <c r="G292" s="288" t="str">
        <f>+IFERROR(VLOOKUP(F292,NVL!$B:$C,2,0),"")</f>
        <v/>
      </c>
      <c r="H292" s="288" t="str">
        <f>+IFERROR(VLOOKUP(F292,NVL!$B:$D,3,0),"")</f>
        <v/>
      </c>
      <c r="I292" s="288" t="str">
        <f>+IFERROR(VLOOKUP(F292,NVL!$B:$F,4,0),"")</f>
        <v/>
      </c>
      <c r="J292" s="289"/>
      <c r="K292" s="290"/>
      <c r="L292" s="291" t="str">
        <f>+IFERROR(VLOOKUP(K292,'THÀNH PHẨM'!$B:$F,3,0),"")</f>
        <v/>
      </c>
      <c r="M292" s="291" t="str">
        <f>+IFERROR(VLOOKUP(K292,'THÀNH PHẨM'!$B:$F,4,0),"")</f>
        <v/>
      </c>
      <c r="N292" s="291" t="str">
        <f>+IFERROR(VLOOKUP(K292,'THÀNH PHẨM'!$B:$F,5,0),"")</f>
        <v/>
      </c>
      <c r="O292" s="289"/>
      <c r="P292" s="292">
        <f t="shared" si="2"/>
        <v>0</v>
      </c>
      <c r="Q292" s="289"/>
      <c r="R292" s="289"/>
      <c r="S292" s="293">
        <f t="shared" si="62"/>
        <v>0</v>
      </c>
      <c r="T292" s="294"/>
      <c r="U292" s="295">
        <f t="shared" si="68"/>
        <v>0</v>
      </c>
      <c r="V292" s="296"/>
      <c r="W292" s="297"/>
      <c r="X292" s="298"/>
      <c r="Y292" s="292" t="str">
        <f t="shared" si="69"/>
        <v/>
      </c>
      <c r="Z292" s="366">
        <f t="shared" si="70"/>
        <v>0</v>
      </c>
      <c r="AA292" s="299" t="str">
        <f t="shared" si="71"/>
        <v/>
      </c>
      <c r="AB292" s="300"/>
      <c r="AC292" s="301"/>
      <c r="AD292" s="302"/>
      <c r="AE292" s="303"/>
      <c r="AF292" s="304"/>
      <c r="AG292" s="304"/>
      <c r="AH292" s="304"/>
      <c r="AI292" s="304"/>
      <c r="AJ292" s="304"/>
      <c r="AK292" s="305"/>
      <c r="AL292" s="283"/>
      <c r="AM292" s="284"/>
    </row>
    <row r="293" ht="15.75" customHeight="1">
      <c r="A293" s="282">
        <f t="shared" si="1"/>
        <v>289</v>
      </c>
      <c r="B293" s="283"/>
      <c r="C293" s="284"/>
      <c r="D293" s="338"/>
      <c r="E293" s="286"/>
      <c r="F293" s="287"/>
      <c r="G293" s="288" t="str">
        <f>+IFERROR(VLOOKUP(F293,NVL!$B:$C,2,0),"")</f>
        <v/>
      </c>
      <c r="H293" s="288" t="str">
        <f>+IFERROR(VLOOKUP(F293,NVL!$B:$D,3,0),"")</f>
        <v/>
      </c>
      <c r="I293" s="288" t="str">
        <f>+IFERROR(VLOOKUP(F293,NVL!$B:$F,4,0),"")</f>
        <v/>
      </c>
      <c r="J293" s="289"/>
      <c r="K293" s="290"/>
      <c r="L293" s="291" t="str">
        <f>+IFERROR(VLOOKUP(K293,'THÀNH PHẨM'!$B:$F,3,0),"")</f>
        <v/>
      </c>
      <c r="M293" s="291" t="str">
        <f>+IFERROR(VLOOKUP(K293,'THÀNH PHẨM'!$B:$F,4,0),"")</f>
        <v/>
      </c>
      <c r="N293" s="291" t="str">
        <f>+IFERROR(VLOOKUP(K293,'THÀNH PHẨM'!$B:$F,5,0),"")</f>
        <v/>
      </c>
      <c r="O293" s="289"/>
      <c r="P293" s="292">
        <f t="shared" si="2"/>
        <v>0</v>
      </c>
      <c r="Q293" s="289"/>
      <c r="R293" s="289"/>
      <c r="S293" s="293">
        <f t="shared" si="62"/>
        <v>0</v>
      </c>
      <c r="T293" s="294"/>
      <c r="U293" s="295">
        <f t="shared" si="68"/>
        <v>0</v>
      </c>
      <c r="V293" s="296"/>
      <c r="W293" s="297"/>
      <c r="X293" s="298"/>
      <c r="Y293" s="292" t="str">
        <f t="shared" si="69"/>
        <v/>
      </c>
      <c r="Z293" s="366">
        <f t="shared" si="70"/>
        <v>0</v>
      </c>
      <c r="AA293" s="299" t="str">
        <f t="shared" si="71"/>
        <v/>
      </c>
      <c r="AB293" s="300"/>
      <c r="AC293" s="301"/>
      <c r="AD293" s="302"/>
      <c r="AE293" s="303"/>
      <c r="AF293" s="304"/>
      <c r="AG293" s="304"/>
      <c r="AH293" s="304"/>
      <c r="AI293" s="304"/>
      <c r="AJ293" s="304"/>
      <c r="AK293" s="305"/>
      <c r="AL293" s="283"/>
      <c r="AM293" s="284"/>
    </row>
    <row r="294" ht="15.75" customHeight="1">
      <c r="A294" s="282">
        <f t="shared" si="1"/>
        <v>290</v>
      </c>
      <c r="B294" s="283"/>
      <c r="C294" s="284"/>
      <c r="D294" s="338"/>
      <c r="E294" s="286"/>
      <c r="F294" s="287"/>
      <c r="G294" s="288" t="str">
        <f>+IFERROR(VLOOKUP(F294,NVL!$B:$C,2,0),"")</f>
        <v/>
      </c>
      <c r="H294" s="288" t="str">
        <f>+IFERROR(VLOOKUP(F294,NVL!$B:$D,3,0),"")</f>
        <v/>
      </c>
      <c r="I294" s="288" t="str">
        <f>+IFERROR(VLOOKUP(F294,NVL!$B:$F,4,0),"")</f>
        <v/>
      </c>
      <c r="J294" s="289"/>
      <c r="K294" s="290"/>
      <c r="L294" s="291" t="str">
        <f>+IFERROR(VLOOKUP(K294,'THÀNH PHẨM'!$B:$F,3,0),"")</f>
        <v/>
      </c>
      <c r="M294" s="291" t="str">
        <f>+IFERROR(VLOOKUP(K294,'THÀNH PHẨM'!$B:$F,4,0),"")</f>
        <v/>
      </c>
      <c r="N294" s="291" t="str">
        <f>+IFERROR(VLOOKUP(K294,'THÀNH PHẨM'!$B:$F,5,0),"")</f>
        <v/>
      </c>
      <c r="O294" s="289"/>
      <c r="P294" s="292">
        <f t="shared" si="2"/>
        <v>0</v>
      </c>
      <c r="Q294" s="289"/>
      <c r="R294" s="289"/>
      <c r="S294" s="293">
        <f t="shared" si="62"/>
        <v>0</v>
      </c>
      <c r="T294" s="294"/>
      <c r="U294" s="295">
        <f t="shared" si="68"/>
        <v>0</v>
      </c>
      <c r="V294" s="296"/>
      <c r="W294" s="297"/>
      <c r="X294" s="298"/>
      <c r="Y294" s="292" t="str">
        <f t="shared" si="69"/>
        <v/>
      </c>
      <c r="Z294" s="366">
        <f t="shared" si="70"/>
        <v>0</v>
      </c>
      <c r="AA294" s="299" t="str">
        <f t="shared" si="71"/>
        <v/>
      </c>
      <c r="AB294" s="300"/>
      <c r="AC294" s="301"/>
      <c r="AD294" s="302"/>
      <c r="AE294" s="303"/>
      <c r="AF294" s="304"/>
      <c r="AG294" s="304"/>
      <c r="AH294" s="304"/>
      <c r="AI294" s="304"/>
      <c r="AJ294" s="304"/>
      <c r="AK294" s="305"/>
      <c r="AL294" s="283"/>
      <c r="AM294" s="284"/>
    </row>
    <row r="295" ht="15.75" customHeight="1">
      <c r="A295" s="282">
        <f t="shared" si="1"/>
        <v>291</v>
      </c>
      <c r="B295" s="283"/>
      <c r="C295" s="284"/>
      <c r="D295" s="338"/>
      <c r="E295" s="286"/>
      <c r="F295" s="287"/>
      <c r="G295" s="288" t="str">
        <f>+IFERROR(VLOOKUP(F295,NVL!$B:$C,2,0),"")</f>
        <v/>
      </c>
      <c r="H295" s="288" t="str">
        <f>+IFERROR(VLOOKUP(F295,NVL!$B:$D,3,0),"")</f>
        <v/>
      </c>
      <c r="I295" s="288" t="str">
        <f>+IFERROR(VLOOKUP(F295,NVL!$B:$F,4,0),"")</f>
        <v/>
      </c>
      <c r="J295" s="289"/>
      <c r="K295" s="290"/>
      <c r="L295" s="291" t="str">
        <f>+IFERROR(VLOOKUP(K295,'THÀNH PHẨM'!$B:$F,3,0),"")</f>
        <v/>
      </c>
      <c r="M295" s="291" t="str">
        <f>+IFERROR(VLOOKUP(K295,'THÀNH PHẨM'!$B:$F,4,0),"")</f>
        <v/>
      </c>
      <c r="N295" s="291" t="str">
        <f>+IFERROR(VLOOKUP(K295,'THÀNH PHẨM'!$B:$F,5,0),"")</f>
        <v/>
      </c>
      <c r="O295" s="289"/>
      <c r="P295" s="292">
        <f t="shared" si="2"/>
        <v>0</v>
      </c>
      <c r="Q295" s="289"/>
      <c r="R295" s="289"/>
      <c r="S295" s="293">
        <f t="shared" si="62"/>
        <v>0</v>
      </c>
      <c r="T295" s="294"/>
      <c r="U295" s="295">
        <f t="shared" si="68"/>
        <v>0</v>
      </c>
      <c r="V295" s="296"/>
      <c r="W295" s="297"/>
      <c r="X295" s="298"/>
      <c r="Y295" s="292" t="str">
        <f t="shared" si="69"/>
        <v/>
      </c>
      <c r="Z295" s="366">
        <f t="shared" si="70"/>
        <v>0</v>
      </c>
      <c r="AA295" s="299" t="str">
        <f t="shared" si="71"/>
        <v/>
      </c>
      <c r="AB295" s="300"/>
      <c r="AC295" s="301"/>
      <c r="AD295" s="302"/>
      <c r="AE295" s="303"/>
      <c r="AF295" s="304"/>
      <c r="AG295" s="304"/>
      <c r="AH295" s="304"/>
      <c r="AI295" s="304"/>
      <c r="AJ295" s="304"/>
      <c r="AK295" s="305"/>
      <c r="AL295" s="283"/>
      <c r="AM295" s="284"/>
    </row>
    <row r="296" ht="15.75" customHeight="1">
      <c r="A296" s="282">
        <f t="shared" si="1"/>
        <v>292</v>
      </c>
      <c r="B296" s="283"/>
      <c r="C296" s="284"/>
      <c r="D296" s="338"/>
      <c r="E296" s="286"/>
      <c r="F296" s="287"/>
      <c r="G296" s="288" t="str">
        <f>+IFERROR(VLOOKUP(F296,NVL!$B:$C,2,0),"")</f>
        <v/>
      </c>
      <c r="H296" s="288" t="str">
        <f>+IFERROR(VLOOKUP(F296,NVL!$B:$D,3,0),"")</f>
        <v/>
      </c>
      <c r="I296" s="288" t="str">
        <f>+IFERROR(VLOOKUP(F296,NVL!$B:$F,4,0),"")</f>
        <v/>
      </c>
      <c r="J296" s="289"/>
      <c r="K296" s="290"/>
      <c r="L296" s="291" t="str">
        <f>+IFERROR(VLOOKUP(K296,'THÀNH PHẨM'!$B:$F,3,0),"")</f>
        <v/>
      </c>
      <c r="M296" s="291" t="str">
        <f>+IFERROR(VLOOKUP(K296,'THÀNH PHẨM'!$B:$F,4,0),"")</f>
        <v/>
      </c>
      <c r="N296" s="291" t="str">
        <f>+IFERROR(VLOOKUP(K296,'THÀNH PHẨM'!$B:$F,5,0),"")</f>
        <v/>
      </c>
      <c r="O296" s="289"/>
      <c r="P296" s="292">
        <f t="shared" si="2"/>
        <v>0</v>
      </c>
      <c r="Q296" s="289"/>
      <c r="R296" s="289"/>
      <c r="S296" s="293">
        <f t="shared" si="62"/>
        <v>0</v>
      </c>
      <c r="T296" s="294"/>
      <c r="U296" s="295">
        <f t="shared" si="68"/>
        <v>0</v>
      </c>
      <c r="V296" s="296"/>
      <c r="W296" s="297"/>
      <c r="X296" s="298"/>
      <c r="Y296" s="292" t="str">
        <f t="shared" si="69"/>
        <v/>
      </c>
      <c r="Z296" s="366">
        <f t="shared" si="70"/>
        <v>0</v>
      </c>
      <c r="AA296" s="299" t="str">
        <f t="shared" si="71"/>
        <v/>
      </c>
      <c r="AB296" s="300"/>
      <c r="AC296" s="301"/>
      <c r="AD296" s="302"/>
      <c r="AE296" s="303"/>
      <c r="AF296" s="304"/>
      <c r="AG296" s="304"/>
      <c r="AH296" s="304"/>
      <c r="AI296" s="304"/>
      <c r="AJ296" s="304"/>
      <c r="AK296" s="305"/>
      <c r="AL296" s="283"/>
      <c r="AM296" s="284"/>
    </row>
    <row r="297" ht="15.75" customHeight="1">
      <c r="A297" s="282">
        <f t="shared" si="1"/>
        <v>293</v>
      </c>
      <c r="B297" s="283"/>
      <c r="C297" s="284"/>
      <c r="D297" s="338"/>
      <c r="E297" s="286"/>
      <c r="F297" s="287"/>
      <c r="G297" s="288" t="str">
        <f>+IFERROR(VLOOKUP(F297,NVL!$B:$C,2,0),"")</f>
        <v/>
      </c>
      <c r="H297" s="288" t="str">
        <f>+IFERROR(VLOOKUP(F297,NVL!$B:$D,3,0),"")</f>
        <v/>
      </c>
      <c r="I297" s="288" t="str">
        <f>+IFERROR(VLOOKUP(F297,NVL!$B:$F,4,0),"")</f>
        <v/>
      </c>
      <c r="J297" s="289"/>
      <c r="K297" s="290"/>
      <c r="L297" s="291" t="str">
        <f>+IFERROR(VLOOKUP(K297,'THÀNH PHẨM'!$B:$F,3,0),"")</f>
        <v/>
      </c>
      <c r="M297" s="291" t="str">
        <f>+IFERROR(VLOOKUP(K297,'THÀNH PHẨM'!$B:$F,4,0),"")</f>
        <v/>
      </c>
      <c r="N297" s="291" t="str">
        <f>+IFERROR(VLOOKUP(K297,'THÀNH PHẨM'!$B:$F,5,0),"")</f>
        <v/>
      </c>
      <c r="O297" s="289"/>
      <c r="P297" s="292">
        <f t="shared" si="2"/>
        <v>0</v>
      </c>
      <c r="Q297" s="289"/>
      <c r="R297" s="289"/>
      <c r="S297" s="293">
        <f t="shared" si="62"/>
        <v>0</v>
      </c>
      <c r="T297" s="294"/>
      <c r="U297" s="295">
        <f t="shared" si="68"/>
        <v>0</v>
      </c>
      <c r="V297" s="296"/>
      <c r="W297" s="297"/>
      <c r="X297" s="298"/>
      <c r="Y297" s="292" t="str">
        <f t="shared" si="69"/>
        <v/>
      </c>
      <c r="Z297" s="366">
        <f t="shared" si="70"/>
        <v>0</v>
      </c>
      <c r="AA297" s="299" t="str">
        <f t="shared" si="71"/>
        <v/>
      </c>
      <c r="AB297" s="300"/>
      <c r="AC297" s="301"/>
      <c r="AD297" s="302"/>
      <c r="AE297" s="303"/>
      <c r="AF297" s="304"/>
      <c r="AG297" s="304"/>
      <c r="AH297" s="304"/>
      <c r="AI297" s="304"/>
      <c r="AJ297" s="304"/>
      <c r="AK297" s="305"/>
      <c r="AL297" s="283"/>
      <c r="AM297" s="284"/>
    </row>
    <row r="298" ht="15.75" customHeight="1">
      <c r="A298" s="282">
        <f t="shared" si="1"/>
        <v>294</v>
      </c>
      <c r="B298" s="283"/>
      <c r="C298" s="284"/>
      <c r="D298" s="338"/>
      <c r="E298" s="286"/>
      <c r="F298" s="287"/>
      <c r="G298" s="288" t="str">
        <f>+IFERROR(VLOOKUP(F298,NVL!$B:$C,2,0),"")</f>
        <v/>
      </c>
      <c r="H298" s="288" t="str">
        <f>+IFERROR(VLOOKUP(F298,NVL!$B:$D,3,0),"")</f>
        <v/>
      </c>
      <c r="I298" s="288" t="str">
        <f>+IFERROR(VLOOKUP(F298,NVL!$B:$F,4,0),"")</f>
        <v/>
      </c>
      <c r="J298" s="289"/>
      <c r="K298" s="290"/>
      <c r="L298" s="291" t="str">
        <f>+IFERROR(VLOOKUP(K298,'THÀNH PHẨM'!$B:$F,3,0),"")</f>
        <v/>
      </c>
      <c r="M298" s="291" t="str">
        <f>+IFERROR(VLOOKUP(K298,'THÀNH PHẨM'!$B:$F,4,0),"")</f>
        <v/>
      </c>
      <c r="N298" s="291" t="str">
        <f>+IFERROR(VLOOKUP(K298,'THÀNH PHẨM'!$B:$F,5,0),"")</f>
        <v/>
      </c>
      <c r="O298" s="289"/>
      <c r="P298" s="292">
        <f t="shared" si="2"/>
        <v>0</v>
      </c>
      <c r="Q298" s="289"/>
      <c r="R298" s="289"/>
      <c r="S298" s="293">
        <f t="shared" si="62"/>
        <v>0</v>
      </c>
      <c r="T298" s="294"/>
      <c r="U298" s="295">
        <f t="shared" si="68"/>
        <v>0</v>
      </c>
      <c r="V298" s="296"/>
      <c r="W298" s="297"/>
      <c r="X298" s="298"/>
      <c r="Y298" s="292" t="str">
        <f t="shared" si="69"/>
        <v/>
      </c>
      <c r="Z298" s="366">
        <f t="shared" si="70"/>
        <v>0</v>
      </c>
      <c r="AA298" s="299" t="str">
        <f t="shared" si="71"/>
        <v/>
      </c>
      <c r="AB298" s="300"/>
      <c r="AC298" s="301"/>
      <c r="AD298" s="302"/>
      <c r="AE298" s="303"/>
      <c r="AF298" s="304"/>
      <c r="AG298" s="304"/>
      <c r="AH298" s="304"/>
      <c r="AI298" s="304"/>
      <c r="AJ298" s="304"/>
      <c r="AK298" s="305"/>
      <c r="AL298" s="283"/>
      <c r="AM298" s="284"/>
    </row>
    <row r="299" ht="15.75" customHeight="1">
      <c r="A299" s="282">
        <f t="shared" si="1"/>
        <v>295</v>
      </c>
      <c r="B299" s="283"/>
      <c r="C299" s="284"/>
      <c r="D299" s="338"/>
      <c r="E299" s="286"/>
      <c r="F299" s="287"/>
      <c r="G299" s="288" t="str">
        <f>+IFERROR(VLOOKUP(F299,NVL!$B:$C,2,0),"")</f>
        <v/>
      </c>
      <c r="H299" s="288" t="str">
        <f>+IFERROR(VLOOKUP(F299,NVL!$B:$D,3,0),"")</f>
        <v/>
      </c>
      <c r="I299" s="288" t="str">
        <f>+IFERROR(VLOOKUP(F299,NVL!$B:$F,4,0),"")</f>
        <v/>
      </c>
      <c r="J299" s="289"/>
      <c r="K299" s="290"/>
      <c r="L299" s="291" t="str">
        <f>+IFERROR(VLOOKUP(K299,'THÀNH PHẨM'!$B:$F,3,0),"")</f>
        <v/>
      </c>
      <c r="M299" s="291" t="str">
        <f>+IFERROR(VLOOKUP(K299,'THÀNH PHẨM'!$B:$F,4,0),"")</f>
        <v/>
      </c>
      <c r="N299" s="291" t="str">
        <f>+IFERROR(VLOOKUP(K299,'THÀNH PHẨM'!$B:$F,5,0),"")</f>
        <v/>
      </c>
      <c r="O299" s="289"/>
      <c r="P299" s="292">
        <f t="shared" si="2"/>
        <v>0</v>
      </c>
      <c r="Q299" s="289"/>
      <c r="R299" s="289"/>
      <c r="S299" s="293">
        <f t="shared" si="62"/>
        <v>0</v>
      </c>
      <c r="T299" s="294"/>
      <c r="U299" s="295">
        <f t="shared" si="68"/>
        <v>0</v>
      </c>
      <c r="V299" s="296"/>
      <c r="W299" s="297"/>
      <c r="X299" s="298"/>
      <c r="Y299" s="292" t="str">
        <f t="shared" si="69"/>
        <v/>
      </c>
      <c r="Z299" s="366">
        <f t="shared" si="70"/>
        <v>0</v>
      </c>
      <c r="AA299" s="299" t="str">
        <f t="shared" si="71"/>
        <v/>
      </c>
      <c r="AB299" s="300"/>
      <c r="AC299" s="301"/>
      <c r="AD299" s="302"/>
      <c r="AE299" s="303"/>
      <c r="AF299" s="304"/>
      <c r="AG299" s="304"/>
      <c r="AH299" s="304"/>
      <c r="AI299" s="304"/>
      <c r="AJ299" s="304"/>
      <c r="AK299" s="305"/>
      <c r="AL299" s="283"/>
      <c r="AM299" s="284"/>
    </row>
    <row r="300" ht="15.75" customHeight="1">
      <c r="A300" s="282">
        <f t="shared" si="1"/>
        <v>296</v>
      </c>
      <c r="B300" s="283"/>
      <c r="C300" s="284"/>
      <c r="D300" s="338"/>
      <c r="E300" s="286"/>
      <c r="F300" s="287"/>
      <c r="G300" s="288" t="str">
        <f>+IFERROR(VLOOKUP(F300,NVL!$B:$C,2,0),"")</f>
        <v/>
      </c>
      <c r="H300" s="288" t="str">
        <f>+IFERROR(VLOOKUP(F300,NVL!$B:$D,3,0),"")</f>
        <v/>
      </c>
      <c r="I300" s="288" t="str">
        <f>+IFERROR(VLOOKUP(F300,NVL!$B:$F,4,0),"")</f>
        <v/>
      </c>
      <c r="J300" s="289"/>
      <c r="K300" s="290"/>
      <c r="L300" s="291" t="str">
        <f>+IFERROR(VLOOKUP(K300,'THÀNH PHẨM'!$B:$F,3,0),"")</f>
        <v/>
      </c>
      <c r="M300" s="291" t="str">
        <f>+IFERROR(VLOOKUP(K300,'THÀNH PHẨM'!$B:$F,4,0),"")</f>
        <v/>
      </c>
      <c r="N300" s="291" t="str">
        <f>+IFERROR(VLOOKUP(K300,'THÀNH PHẨM'!$B:$F,5,0),"")</f>
        <v/>
      </c>
      <c r="O300" s="289"/>
      <c r="P300" s="292">
        <f t="shared" si="2"/>
        <v>0</v>
      </c>
      <c r="Q300" s="289"/>
      <c r="R300" s="289"/>
      <c r="S300" s="293">
        <f t="shared" si="62"/>
        <v>0</v>
      </c>
      <c r="T300" s="294"/>
      <c r="U300" s="295">
        <f t="shared" si="68"/>
        <v>0</v>
      </c>
      <c r="V300" s="296"/>
      <c r="W300" s="297"/>
      <c r="X300" s="298"/>
      <c r="Y300" s="292" t="str">
        <f t="shared" si="69"/>
        <v/>
      </c>
      <c r="Z300" s="366">
        <f t="shared" si="70"/>
        <v>0</v>
      </c>
      <c r="AA300" s="299" t="str">
        <f t="shared" si="71"/>
        <v/>
      </c>
      <c r="AB300" s="300"/>
      <c r="AC300" s="301"/>
      <c r="AD300" s="302"/>
      <c r="AE300" s="303"/>
      <c r="AF300" s="304"/>
      <c r="AG300" s="304"/>
      <c r="AH300" s="304"/>
      <c r="AI300" s="304"/>
      <c r="AJ300" s="304"/>
      <c r="AK300" s="305"/>
      <c r="AL300" s="283"/>
      <c r="AM300" s="284"/>
    </row>
    <row r="301" ht="15.75" customHeight="1">
      <c r="A301" s="282">
        <f t="shared" si="1"/>
        <v>297</v>
      </c>
      <c r="B301" s="283"/>
      <c r="C301" s="284"/>
      <c r="D301" s="338"/>
      <c r="E301" s="286"/>
      <c r="F301" s="287"/>
      <c r="G301" s="288" t="str">
        <f>+IFERROR(VLOOKUP(F301,NVL!$B:$C,2,0),"")</f>
        <v/>
      </c>
      <c r="H301" s="288" t="str">
        <f>+IFERROR(VLOOKUP(F301,NVL!$B:$D,3,0),"")</f>
        <v/>
      </c>
      <c r="I301" s="288" t="str">
        <f>+IFERROR(VLOOKUP(F301,NVL!$B:$F,4,0),"")</f>
        <v/>
      </c>
      <c r="J301" s="289"/>
      <c r="K301" s="290"/>
      <c r="L301" s="291" t="str">
        <f>+IFERROR(VLOOKUP(K301,'THÀNH PHẨM'!$B:$F,3,0),"")</f>
        <v/>
      </c>
      <c r="M301" s="291" t="str">
        <f>+IFERROR(VLOOKUP(K301,'THÀNH PHẨM'!$B:$F,4,0),"")</f>
        <v/>
      </c>
      <c r="N301" s="291" t="str">
        <f>+IFERROR(VLOOKUP(K301,'THÀNH PHẨM'!$B:$F,5,0),"")</f>
        <v/>
      </c>
      <c r="O301" s="289"/>
      <c r="P301" s="292">
        <f t="shared" si="2"/>
        <v>0</v>
      </c>
      <c r="Q301" s="289"/>
      <c r="R301" s="289"/>
      <c r="S301" s="293">
        <f t="shared" si="62"/>
        <v>0</v>
      </c>
      <c r="T301" s="294"/>
      <c r="U301" s="295">
        <f t="shared" si="68"/>
        <v>0</v>
      </c>
      <c r="V301" s="296"/>
      <c r="W301" s="297"/>
      <c r="X301" s="298"/>
      <c r="Y301" s="292" t="str">
        <f t="shared" si="69"/>
        <v/>
      </c>
      <c r="Z301" s="366">
        <f t="shared" si="70"/>
        <v>0</v>
      </c>
      <c r="AA301" s="299" t="str">
        <f t="shared" si="71"/>
        <v/>
      </c>
      <c r="AB301" s="300"/>
      <c r="AC301" s="301"/>
      <c r="AD301" s="302"/>
      <c r="AE301" s="303"/>
      <c r="AF301" s="304"/>
      <c r="AG301" s="304"/>
      <c r="AH301" s="304"/>
      <c r="AI301" s="304"/>
      <c r="AJ301" s="304"/>
      <c r="AK301" s="305"/>
      <c r="AL301" s="283"/>
      <c r="AM301" s="284"/>
    </row>
    <row r="302" ht="15.75" customHeight="1">
      <c r="A302" s="282">
        <f t="shared" si="1"/>
        <v>298</v>
      </c>
      <c r="B302" s="283"/>
      <c r="C302" s="284"/>
      <c r="D302" s="338"/>
      <c r="E302" s="286"/>
      <c r="F302" s="287"/>
      <c r="G302" s="288" t="str">
        <f>+IFERROR(VLOOKUP(F302,NVL!$B:$C,2,0),"")</f>
        <v/>
      </c>
      <c r="H302" s="288" t="str">
        <f>+IFERROR(VLOOKUP(F302,NVL!$B:$D,3,0),"")</f>
        <v/>
      </c>
      <c r="I302" s="288" t="str">
        <f>+IFERROR(VLOOKUP(F302,NVL!$B:$F,4,0),"")</f>
        <v/>
      </c>
      <c r="J302" s="289"/>
      <c r="K302" s="290"/>
      <c r="L302" s="291" t="str">
        <f>+IFERROR(VLOOKUP(K302,'THÀNH PHẨM'!$B:$F,3,0),"")</f>
        <v/>
      </c>
      <c r="M302" s="291" t="str">
        <f>+IFERROR(VLOOKUP(K302,'THÀNH PHẨM'!$B:$F,4,0),"")</f>
        <v/>
      </c>
      <c r="N302" s="291" t="str">
        <f>+IFERROR(VLOOKUP(K302,'THÀNH PHẨM'!$B:$F,5,0),"")</f>
        <v/>
      </c>
      <c r="O302" s="289"/>
      <c r="P302" s="292">
        <f t="shared" si="2"/>
        <v>0</v>
      </c>
      <c r="Q302" s="289"/>
      <c r="R302" s="289"/>
      <c r="S302" s="293">
        <f t="shared" si="62"/>
        <v>0</v>
      </c>
      <c r="T302" s="294"/>
      <c r="U302" s="295">
        <f t="shared" si="68"/>
        <v>0</v>
      </c>
      <c r="V302" s="296"/>
      <c r="W302" s="297"/>
      <c r="X302" s="298"/>
      <c r="Y302" s="292" t="str">
        <f t="shared" si="69"/>
        <v/>
      </c>
      <c r="Z302" s="366">
        <f t="shared" si="70"/>
        <v>0</v>
      </c>
      <c r="AA302" s="299" t="str">
        <f t="shared" si="71"/>
        <v/>
      </c>
      <c r="AB302" s="300"/>
      <c r="AC302" s="301"/>
      <c r="AD302" s="302"/>
      <c r="AE302" s="303"/>
      <c r="AF302" s="304"/>
      <c r="AG302" s="304"/>
      <c r="AH302" s="304"/>
      <c r="AI302" s="304"/>
      <c r="AJ302" s="304"/>
      <c r="AK302" s="305"/>
      <c r="AL302" s="283"/>
      <c r="AM302" s="284"/>
    </row>
    <row r="303" ht="15.75" customHeight="1">
      <c r="A303" s="282">
        <f t="shared" si="1"/>
        <v>299</v>
      </c>
      <c r="B303" s="283"/>
      <c r="C303" s="284"/>
      <c r="D303" s="338"/>
      <c r="E303" s="286"/>
      <c r="F303" s="287"/>
      <c r="G303" s="288" t="str">
        <f>+IFERROR(VLOOKUP(F303,NVL!$B:$C,2,0),"")</f>
        <v/>
      </c>
      <c r="H303" s="288" t="str">
        <f>+IFERROR(VLOOKUP(F303,NVL!$B:$D,3,0),"")</f>
        <v/>
      </c>
      <c r="I303" s="288" t="str">
        <f>+IFERROR(VLOOKUP(F303,NVL!$B:$F,4,0),"")</f>
        <v/>
      </c>
      <c r="J303" s="289"/>
      <c r="K303" s="290"/>
      <c r="L303" s="291" t="str">
        <f>+IFERROR(VLOOKUP(K303,'THÀNH PHẨM'!$B:$F,3,0),"")</f>
        <v/>
      </c>
      <c r="M303" s="291" t="str">
        <f>+IFERROR(VLOOKUP(K303,'THÀNH PHẨM'!$B:$F,4,0),"")</f>
        <v/>
      </c>
      <c r="N303" s="291" t="str">
        <f>+IFERROR(VLOOKUP(K303,'THÀNH PHẨM'!$B:$F,5,0),"")</f>
        <v/>
      </c>
      <c r="O303" s="289"/>
      <c r="P303" s="292">
        <f t="shared" si="2"/>
        <v>0</v>
      </c>
      <c r="Q303" s="289"/>
      <c r="R303" s="289"/>
      <c r="S303" s="293">
        <f t="shared" si="62"/>
        <v>0</v>
      </c>
      <c r="T303" s="294"/>
      <c r="U303" s="295">
        <f t="shared" si="68"/>
        <v>0</v>
      </c>
      <c r="V303" s="296"/>
      <c r="W303" s="297"/>
      <c r="X303" s="298"/>
      <c r="Y303" s="292" t="str">
        <f t="shared" si="69"/>
        <v/>
      </c>
      <c r="Z303" s="366">
        <f t="shared" si="70"/>
        <v>0</v>
      </c>
      <c r="AA303" s="299" t="str">
        <f t="shared" si="71"/>
        <v/>
      </c>
      <c r="AB303" s="300"/>
      <c r="AC303" s="301"/>
      <c r="AD303" s="302"/>
      <c r="AE303" s="303"/>
      <c r="AF303" s="304"/>
      <c r="AG303" s="304"/>
      <c r="AH303" s="304"/>
      <c r="AI303" s="304"/>
      <c r="AJ303" s="304"/>
      <c r="AK303" s="305"/>
      <c r="AL303" s="283"/>
      <c r="AM303" s="284"/>
    </row>
    <row r="304" ht="15.75" customHeight="1">
      <c r="A304" s="282">
        <f t="shared" si="1"/>
        <v>300</v>
      </c>
      <c r="B304" s="283"/>
      <c r="C304" s="284"/>
      <c r="D304" s="338"/>
      <c r="E304" s="286"/>
      <c r="F304" s="287"/>
      <c r="G304" s="288" t="str">
        <f>+IFERROR(VLOOKUP(F304,NVL!$B:$C,2,0),"")</f>
        <v/>
      </c>
      <c r="H304" s="288" t="str">
        <f>+IFERROR(VLOOKUP(F304,NVL!$B:$D,3,0),"")</f>
        <v/>
      </c>
      <c r="I304" s="288" t="str">
        <f>+IFERROR(VLOOKUP(F304,NVL!$B:$F,4,0),"")</f>
        <v/>
      </c>
      <c r="J304" s="289"/>
      <c r="K304" s="290"/>
      <c r="L304" s="291" t="str">
        <f>+IFERROR(VLOOKUP(K304,'THÀNH PHẨM'!$B:$F,3,0),"")</f>
        <v/>
      </c>
      <c r="M304" s="291" t="str">
        <f>+IFERROR(VLOOKUP(K304,'THÀNH PHẨM'!$B:$F,4,0),"")</f>
        <v/>
      </c>
      <c r="N304" s="291" t="str">
        <f>+IFERROR(VLOOKUP(K304,'THÀNH PHẨM'!$B:$F,5,0),"")</f>
        <v/>
      </c>
      <c r="O304" s="289"/>
      <c r="P304" s="292">
        <f t="shared" si="2"/>
        <v>0</v>
      </c>
      <c r="Q304" s="289"/>
      <c r="R304" s="289"/>
      <c r="S304" s="293">
        <f t="shared" si="62"/>
        <v>0</v>
      </c>
      <c r="T304" s="294"/>
      <c r="U304" s="295">
        <f t="shared" si="68"/>
        <v>0</v>
      </c>
      <c r="V304" s="296"/>
      <c r="W304" s="297"/>
      <c r="X304" s="298"/>
      <c r="Y304" s="292" t="str">
        <f t="shared" si="69"/>
        <v/>
      </c>
      <c r="Z304" s="366">
        <f t="shared" si="70"/>
        <v>0</v>
      </c>
      <c r="AA304" s="299" t="str">
        <f t="shared" si="71"/>
        <v/>
      </c>
      <c r="AB304" s="300"/>
      <c r="AC304" s="301"/>
      <c r="AD304" s="302"/>
      <c r="AE304" s="303"/>
      <c r="AF304" s="304"/>
      <c r="AG304" s="304"/>
      <c r="AH304" s="304"/>
      <c r="AI304" s="304"/>
      <c r="AJ304" s="304"/>
      <c r="AK304" s="305"/>
      <c r="AL304" s="283"/>
      <c r="AM304" s="284"/>
    </row>
    <row r="305" ht="15.75" customHeight="1">
      <c r="A305" s="282">
        <f t="shared" si="1"/>
        <v>301</v>
      </c>
      <c r="B305" s="283"/>
      <c r="C305" s="284"/>
      <c r="D305" s="338"/>
      <c r="E305" s="286"/>
      <c r="F305" s="287"/>
      <c r="G305" s="288" t="str">
        <f>+IFERROR(VLOOKUP(F305,NVL!$B:$C,2,0),"")</f>
        <v/>
      </c>
      <c r="H305" s="288" t="str">
        <f>+IFERROR(VLOOKUP(F305,NVL!$B:$D,3,0),"")</f>
        <v/>
      </c>
      <c r="I305" s="288" t="str">
        <f>+IFERROR(VLOOKUP(F305,NVL!$B:$F,4,0),"")</f>
        <v/>
      </c>
      <c r="J305" s="289"/>
      <c r="K305" s="290"/>
      <c r="L305" s="291" t="str">
        <f>+IFERROR(VLOOKUP(K305,'THÀNH PHẨM'!$B:$F,3,0),"")</f>
        <v/>
      </c>
      <c r="M305" s="291" t="str">
        <f>+IFERROR(VLOOKUP(K305,'THÀNH PHẨM'!$B:$F,4,0),"")</f>
        <v/>
      </c>
      <c r="N305" s="291" t="str">
        <f>+IFERROR(VLOOKUP(K305,'THÀNH PHẨM'!$B:$F,5,0),"")</f>
        <v/>
      </c>
      <c r="O305" s="289"/>
      <c r="P305" s="292">
        <f t="shared" si="2"/>
        <v>0</v>
      </c>
      <c r="Q305" s="289"/>
      <c r="R305" s="289"/>
      <c r="S305" s="293">
        <f t="shared" si="62"/>
        <v>0</v>
      </c>
      <c r="T305" s="294"/>
      <c r="U305" s="295">
        <f t="shared" si="68"/>
        <v>0</v>
      </c>
      <c r="V305" s="296"/>
      <c r="W305" s="297"/>
      <c r="X305" s="298"/>
      <c r="Y305" s="292" t="str">
        <f t="shared" si="69"/>
        <v/>
      </c>
      <c r="Z305" s="366">
        <f t="shared" si="70"/>
        <v>0</v>
      </c>
      <c r="AA305" s="299" t="str">
        <f t="shared" si="71"/>
        <v/>
      </c>
      <c r="AB305" s="300"/>
      <c r="AC305" s="301"/>
      <c r="AD305" s="302"/>
      <c r="AE305" s="303"/>
      <c r="AF305" s="304"/>
      <c r="AG305" s="304"/>
      <c r="AH305" s="304"/>
      <c r="AI305" s="304"/>
      <c r="AJ305" s="304"/>
      <c r="AK305" s="305"/>
      <c r="AL305" s="283"/>
      <c r="AM305" s="284"/>
    </row>
    <row r="306" ht="15.75" customHeight="1">
      <c r="A306" s="282">
        <f t="shared" si="1"/>
        <v>302</v>
      </c>
      <c r="B306" s="283"/>
      <c r="C306" s="284"/>
      <c r="D306" s="338"/>
      <c r="E306" s="286"/>
      <c r="F306" s="287"/>
      <c r="G306" s="288" t="str">
        <f>+IFERROR(VLOOKUP(F306,NVL!$B:$C,2,0),"")</f>
        <v/>
      </c>
      <c r="H306" s="288" t="str">
        <f>+IFERROR(VLOOKUP(F306,NVL!$B:$D,3,0),"")</f>
        <v/>
      </c>
      <c r="I306" s="288" t="str">
        <f>+IFERROR(VLOOKUP(F306,NVL!$B:$F,4,0),"")</f>
        <v/>
      </c>
      <c r="J306" s="289"/>
      <c r="K306" s="290"/>
      <c r="L306" s="291" t="str">
        <f>+IFERROR(VLOOKUP(K306,'THÀNH PHẨM'!$B:$F,3,0),"")</f>
        <v/>
      </c>
      <c r="M306" s="291" t="str">
        <f>+IFERROR(VLOOKUP(K306,'THÀNH PHẨM'!$B:$F,4,0),"")</f>
        <v/>
      </c>
      <c r="N306" s="291" t="str">
        <f>+IFERROR(VLOOKUP(K306,'THÀNH PHẨM'!$B:$F,5,0),"")</f>
        <v/>
      </c>
      <c r="O306" s="289"/>
      <c r="P306" s="292">
        <f t="shared" si="2"/>
        <v>0</v>
      </c>
      <c r="Q306" s="289"/>
      <c r="R306" s="289"/>
      <c r="S306" s="293">
        <f t="shared" si="62"/>
        <v>0</v>
      </c>
      <c r="T306" s="294"/>
      <c r="U306" s="295">
        <f t="shared" si="68"/>
        <v>0</v>
      </c>
      <c r="V306" s="296"/>
      <c r="W306" s="297"/>
      <c r="X306" s="298"/>
      <c r="Y306" s="292" t="str">
        <f t="shared" si="69"/>
        <v/>
      </c>
      <c r="Z306" s="366">
        <f t="shared" si="70"/>
        <v>0</v>
      </c>
      <c r="AA306" s="299" t="str">
        <f t="shared" si="71"/>
        <v/>
      </c>
      <c r="AB306" s="300"/>
      <c r="AC306" s="301"/>
      <c r="AD306" s="302"/>
      <c r="AE306" s="303"/>
      <c r="AF306" s="304"/>
      <c r="AG306" s="304"/>
      <c r="AH306" s="304"/>
      <c r="AI306" s="304"/>
      <c r="AJ306" s="304"/>
      <c r="AK306" s="305"/>
      <c r="AL306" s="283"/>
      <c r="AM306" s="284"/>
    </row>
    <row r="307" ht="15.75" customHeight="1">
      <c r="A307" s="282">
        <f t="shared" si="1"/>
        <v>303</v>
      </c>
      <c r="B307" s="283"/>
      <c r="C307" s="284"/>
      <c r="D307" s="338"/>
      <c r="E307" s="286"/>
      <c r="F307" s="287"/>
      <c r="G307" s="288" t="str">
        <f>+IFERROR(VLOOKUP(F307,NVL!$B:$C,2,0),"")</f>
        <v/>
      </c>
      <c r="H307" s="288" t="str">
        <f>+IFERROR(VLOOKUP(F307,NVL!$B:$D,3,0),"")</f>
        <v/>
      </c>
      <c r="I307" s="288" t="str">
        <f>+IFERROR(VLOOKUP(F307,NVL!$B:$F,4,0),"")</f>
        <v/>
      </c>
      <c r="J307" s="289"/>
      <c r="K307" s="290"/>
      <c r="L307" s="291" t="str">
        <f>+IFERROR(VLOOKUP(K307,'THÀNH PHẨM'!$B:$F,3,0),"")</f>
        <v/>
      </c>
      <c r="M307" s="291" t="str">
        <f>+IFERROR(VLOOKUP(K307,'THÀNH PHẨM'!$B:$F,4,0),"")</f>
        <v/>
      </c>
      <c r="N307" s="291" t="str">
        <f>+IFERROR(VLOOKUP(K307,'THÀNH PHẨM'!$B:$F,5,0),"")</f>
        <v/>
      </c>
      <c r="O307" s="289"/>
      <c r="P307" s="292">
        <f t="shared" si="2"/>
        <v>0</v>
      </c>
      <c r="Q307" s="289"/>
      <c r="R307" s="289"/>
      <c r="S307" s="293">
        <f t="shared" si="62"/>
        <v>0</v>
      </c>
      <c r="T307" s="294"/>
      <c r="U307" s="295">
        <f t="shared" si="68"/>
        <v>0</v>
      </c>
      <c r="V307" s="296"/>
      <c r="W307" s="297"/>
      <c r="X307" s="298"/>
      <c r="Y307" s="292" t="str">
        <f t="shared" si="69"/>
        <v/>
      </c>
      <c r="Z307" s="366">
        <f t="shared" si="70"/>
        <v>0</v>
      </c>
      <c r="AA307" s="299" t="str">
        <f t="shared" si="71"/>
        <v/>
      </c>
      <c r="AB307" s="300"/>
      <c r="AC307" s="301"/>
      <c r="AD307" s="302"/>
      <c r="AE307" s="303"/>
      <c r="AF307" s="304"/>
      <c r="AG307" s="304"/>
      <c r="AH307" s="304"/>
      <c r="AI307" s="304"/>
      <c r="AJ307" s="304"/>
      <c r="AK307" s="305"/>
      <c r="AL307" s="283"/>
      <c r="AM307" s="284"/>
    </row>
    <row r="308" ht="15.75" customHeight="1">
      <c r="A308" s="282">
        <f t="shared" si="1"/>
        <v>304</v>
      </c>
      <c r="B308" s="283"/>
      <c r="C308" s="284"/>
      <c r="D308" s="338"/>
      <c r="E308" s="286"/>
      <c r="F308" s="287"/>
      <c r="G308" s="288" t="str">
        <f>+IFERROR(VLOOKUP(F308,NVL!$B:$C,2,0),"")</f>
        <v/>
      </c>
      <c r="H308" s="288" t="str">
        <f>+IFERROR(VLOOKUP(F308,NVL!$B:$D,3,0),"")</f>
        <v/>
      </c>
      <c r="I308" s="288" t="str">
        <f>+IFERROR(VLOOKUP(F308,NVL!$B:$F,4,0),"")</f>
        <v/>
      </c>
      <c r="J308" s="289"/>
      <c r="K308" s="290"/>
      <c r="L308" s="291" t="str">
        <f>+IFERROR(VLOOKUP(K308,'THÀNH PHẨM'!$B:$F,3,0),"")</f>
        <v/>
      </c>
      <c r="M308" s="291" t="str">
        <f>+IFERROR(VLOOKUP(K308,'THÀNH PHẨM'!$B:$F,4,0),"")</f>
        <v/>
      </c>
      <c r="N308" s="291" t="str">
        <f>+IFERROR(VLOOKUP(K308,'THÀNH PHẨM'!$B:$F,5,0),"")</f>
        <v/>
      </c>
      <c r="O308" s="289"/>
      <c r="P308" s="292">
        <f t="shared" si="2"/>
        <v>0</v>
      </c>
      <c r="Q308" s="289"/>
      <c r="R308" s="289"/>
      <c r="S308" s="293">
        <f t="shared" si="62"/>
        <v>0</v>
      </c>
      <c r="T308" s="294"/>
      <c r="U308" s="295">
        <f t="shared" si="68"/>
        <v>0</v>
      </c>
      <c r="V308" s="296"/>
      <c r="W308" s="297"/>
      <c r="X308" s="298"/>
      <c r="Y308" s="292" t="str">
        <f t="shared" si="69"/>
        <v/>
      </c>
      <c r="Z308" s="366">
        <f t="shared" si="70"/>
        <v>0</v>
      </c>
      <c r="AA308" s="299" t="str">
        <f t="shared" si="71"/>
        <v/>
      </c>
      <c r="AB308" s="300"/>
      <c r="AC308" s="301"/>
      <c r="AD308" s="302"/>
      <c r="AE308" s="303"/>
      <c r="AF308" s="304"/>
      <c r="AG308" s="304"/>
      <c r="AH308" s="304"/>
      <c r="AI308" s="304"/>
      <c r="AJ308" s="304"/>
      <c r="AK308" s="305"/>
      <c r="AL308" s="283"/>
      <c r="AM308" s="284"/>
    </row>
    <row r="309" ht="15.75" customHeight="1">
      <c r="A309" s="282">
        <f t="shared" si="1"/>
        <v>305</v>
      </c>
      <c r="B309" s="283"/>
      <c r="C309" s="284"/>
      <c r="D309" s="338"/>
      <c r="E309" s="286"/>
      <c r="F309" s="287"/>
      <c r="G309" s="288" t="str">
        <f>+IFERROR(VLOOKUP(F309,NVL!$B:$C,2,0),"")</f>
        <v/>
      </c>
      <c r="H309" s="288" t="str">
        <f>+IFERROR(VLOOKUP(F309,NVL!$B:$D,3,0),"")</f>
        <v/>
      </c>
      <c r="I309" s="288" t="str">
        <f>+IFERROR(VLOOKUP(F309,NVL!$B:$F,4,0),"")</f>
        <v/>
      </c>
      <c r="J309" s="289"/>
      <c r="K309" s="290"/>
      <c r="L309" s="291" t="str">
        <f>+IFERROR(VLOOKUP(K309,'THÀNH PHẨM'!$B:$F,3,0),"")</f>
        <v/>
      </c>
      <c r="M309" s="291" t="str">
        <f>+IFERROR(VLOOKUP(K309,'THÀNH PHẨM'!$B:$F,4,0),"")</f>
        <v/>
      </c>
      <c r="N309" s="291" t="str">
        <f>+IFERROR(VLOOKUP(K309,'THÀNH PHẨM'!$B:$F,5,0),"")</f>
        <v/>
      </c>
      <c r="O309" s="289"/>
      <c r="P309" s="292">
        <f t="shared" si="2"/>
        <v>0</v>
      </c>
      <c r="Q309" s="289"/>
      <c r="R309" s="289"/>
      <c r="S309" s="293">
        <f t="shared" si="62"/>
        <v>0</v>
      </c>
      <c r="T309" s="294"/>
      <c r="U309" s="295">
        <f t="shared" si="68"/>
        <v>0</v>
      </c>
      <c r="V309" s="296"/>
      <c r="W309" s="297"/>
      <c r="X309" s="298"/>
      <c r="Y309" s="292" t="str">
        <f t="shared" si="69"/>
        <v/>
      </c>
      <c r="Z309" s="366">
        <f t="shared" si="70"/>
        <v>0</v>
      </c>
      <c r="AA309" s="299" t="str">
        <f t="shared" si="71"/>
        <v/>
      </c>
      <c r="AB309" s="300"/>
      <c r="AC309" s="301"/>
      <c r="AD309" s="302"/>
      <c r="AE309" s="303"/>
      <c r="AF309" s="304"/>
      <c r="AG309" s="304"/>
      <c r="AH309" s="304"/>
      <c r="AI309" s="304"/>
      <c r="AJ309" s="304"/>
      <c r="AK309" s="305"/>
      <c r="AL309" s="283"/>
      <c r="AM309" s="284"/>
    </row>
    <row r="310" ht="15.75" customHeight="1">
      <c r="A310" s="282">
        <f t="shared" si="1"/>
        <v>306</v>
      </c>
      <c r="B310" s="283"/>
      <c r="C310" s="284"/>
      <c r="D310" s="338"/>
      <c r="E310" s="286"/>
      <c r="F310" s="287"/>
      <c r="G310" s="288" t="str">
        <f>+IFERROR(VLOOKUP(F310,NVL!$B:$C,2,0),"")</f>
        <v/>
      </c>
      <c r="H310" s="288" t="str">
        <f>+IFERROR(VLOOKUP(F310,NVL!$B:$D,3,0),"")</f>
        <v/>
      </c>
      <c r="I310" s="288" t="str">
        <f>+IFERROR(VLOOKUP(F310,NVL!$B:$F,4,0),"")</f>
        <v/>
      </c>
      <c r="J310" s="289"/>
      <c r="K310" s="290"/>
      <c r="L310" s="291" t="str">
        <f>+IFERROR(VLOOKUP(K310,'THÀNH PHẨM'!$B:$F,3,0),"")</f>
        <v/>
      </c>
      <c r="M310" s="291" t="str">
        <f>+IFERROR(VLOOKUP(K310,'THÀNH PHẨM'!$B:$F,4,0),"")</f>
        <v/>
      </c>
      <c r="N310" s="291" t="str">
        <f>+IFERROR(VLOOKUP(K310,'THÀNH PHẨM'!$B:$F,5,0),"")</f>
        <v/>
      </c>
      <c r="O310" s="289"/>
      <c r="P310" s="292">
        <f t="shared" si="2"/>
        <v>0</v>
      </c>
      <c r="Q310" s="289"/>
      <c r="R310" s="289"/>
      <c r="S310" s="293">
        <f t="shared" si="62"/>
        <v>0</v>
      </c>
      <c r="T310" s="294"/>
      <c r="U310" s="295">
        <f t="shared" si="68"/>
        <v>0</v>
      </c>
      <c r="V310" s="296"/>
      <c r="W310" s="297"/>
      <c r="X310" s="298"/>
      <c r="Y310" s="292" t="str">
        <f t="shared" si="69"/>
        <v/>
      </c>
      <c r="Z310" s="366">
        <f t="shared" si="70"/>
        <v>0</v>
      </c>
      <c r="AA310" s="299" t="str">
        <f t="shared" si="71"/>
        <v/>
      </c>
      <c r="AB310" s="300"/>
      <c r="AC310" s="301"/>
      <c r="AD310" s="302"/>
      <c r="AE310" s="303"/>
      <c r="AF310" s="304"/>
      <c r="AG310" s="304"/>
      <c r="AH310" s="304"/>
      <c r="AI310" s="304"/>
      <c r="AJ310" s="304"/>
      <c r="AK310" s="305"/>
      <c r="AL310" s="283"/>
      <c r="AM310" s="284"/>
    </row>
    <row r="311" ht="15.75" customHeight="1">
      <c r="A311" s="282">
        <f t="shared" si="1"/>
        <v>307</v>
      </c>
      <c r="B311" s="283"/>
      <c r="C311" s="284"/>
      <c r="D311" s="338"/>
      <c r="E311" s="286"/>
      <c r="F311" s="287"/>
      <c r="G311" s="288" t="str">
        <f>+IFERROR(VLOOKUP(F311,NVL!$B:$C,2,0),"")</f>
        <v/>
      </c>
      <c r="H311" s="288" t="str">
        <f>+IFERROR(VLOOKUP(F311,NVL!$B:$D,3,0),"")</f>
        <v/>
      </c>
      <c r="I311" s="288" t="str">
        <f>+IFERROR(VLOOKUP(F311,NVL!$B:$F,4,0),"")</f>
        <v/>
      </c>
      <c r="J311" s="289"/>
      <c r="K311" s="290"/>
      <c r="L311" s="291" t="str">
        <f>+IFERROR(VLOOKUP(K311,'THÀNH PHẨM'!$B:$F,3,0),"")</f>
        <v/>
      </c>
      <c r="M311" s="291" t="str">
        <f>+IFERROR(VLOOKUP(K311,'THÀNH PHẨM'!$B:$F,4,0),"")</f>
        <v/>
      </c>
      <c r="N311" s="291" t="str">
        <f>+IFERROR(VLOOKUP(K311,'THÀNH PHẨM'!$B:$F,5,0),"")</f>
        <v/>
      </c>
      <c r="O311" s="289"/>
      <c r="P311" s="292">
        <f t="shared" si="2"/>
        <v>0</v>
      </c>
      <c r="Q311" s="289"/>
      <c r="R311" s="289"/>
      <c r="S311" s="293">
        <f t="shared" si="62"/>
        <v>0</v>
      </c>
      <c r="T311" s="294"/>
      <c r="U311" s="295">
        <f t="shared" si="68"/>
        <v>0</v>
      </c>
      <c r="V311" s="296"/>
      <c r="W311" s="297"/>
      <c r="X311" s="298"/>
      <c r="Y311" s="292" t="str">
        <f t="shared" si="69"/>
        <v/>
      </c>
      <c r="Z311" s="366">
        <f t="shared" si="70"/>
        <v>0</v>
      </c>
      <c r="AA311" s="299" t="str">
        <f t="shared" si="71"/>
        <v/>
      </c>
      <c r="AB311" s="300"/>
      <c r="AC311" s="301"/>
      <c r="AD311" s="302"/>
      <c r="AE311" s="303"/>
      <c r="AF311" s="304"/>
      <c r="AG311" s="304"/>
      <c r="AH311" s="304"/>
      <c r="AI311" s="304"/>
      <c r="AJ311" s="304"/>
      <c r="AK311" s="305"/>
      <c r="AL311" s="283"/>
      <c r="AM311" s="284"/>
    </row>
    <row r="312" ht="15.75" customHeight="1">
      <c r="A312" s="282">
        <f t="shared" si="1"/>
        <v>308</v>
      </c>
      <c r="B312" s="283"/>
      <c r="C312" s="284"/>
      <c r="D312" s="338"/>
      <c r="E312" s="286"/>
      <c r="F312" s="287"/>
      <c r="G312" s="288" t="str">
        <f>+IFERROR(VLOOKUP(F312,NVL!$B:$C,2,0),"")</f>
        <v/>
      </c>
      <c r="H312" s="288" t="str">
        <f>+IFERROR(VLOOKUP(F312,NVL!$B:$D,3,0),"")</f>
        <v/>
      </c>
      <c r="I312" s="288" t="str">
        <f>+IFERROR(VLOOKUP(F312,NVL!$B:$F,4,0),"")</f>
        <v/>
      </c>
      <c r="J312" s="289"/>
      <c r="K312" s="290"/>
      <c r="L312" s="291" t="str">
        <f>+IFERROR(VLOOKUP(K312,'THÀNH PHẨM'!$B:$F,3,0),"")</f>
        <v/>
      </c>
      <c r="M312" s="291" t="str">
        <f>+IFERROR(VLOOKUP(K312,'THÀNH PHẨM'!$B:$F,4,0),"")</f>
        <v/>
      </c>
      <c r="N312" s="291" t="str">
        <f>+IFERROR(VLOOKUP(K312,'THÀNH PHẨM'!$B:$F,5,0),"")</f>
        <v/>
      </c>
      <c r="O312" s="289"/>
      <c r="P312" s="292">
        <f t="shared" si="2"/>
        <v>0</v>
      </c>
      <c r="Q312" s="289"/>
      <c r="R312" s="289"/>
      <c r="S312" s="293">
        <f t="shared" si="62"/>
        <v>0</v>
      </c>
      <c r="T312" s="294"/>
      <c r="U312" s="295">
        <f t="shared" si="68"/>
        <v>0</v>
      </c>
      <c r="V312" s="296"/>
      <c r="W312" s="297"/>
      <c r="X312" s="298"/>
      <c r="Y312" s="292" t="str">
        <f t="shared" si="69"/>
        <v/>
      </c>
      <c r="Z312" s="366">
        <f t="shared" si="70"/>
        <v>0</v>
      </c>
      <c r="AA312" s="299" t="str">
        <f t="shared" si="71"/>
        <v/>
      </c>
      <c r="AB312" s="300"/>
      <c r="AC312" s="301"/>
      <c r="AD312" s="302"/>
      <c r="AE312" s="303"/>
      <c r="AF312" s="304"/>
      <c r="AG312" s="304"/>
      <c r="AH312" s="304"/>
      <c r="AI312" s="304"/>
      <c r="AJ312" s="304"/>
      <c r="AK312" s="305"/>
      <c r="AL312" s="283"/>
      <c r="AM312" s="284"/>
    </row>
    <row r="313" ht="15.75" customHeight="1">
      <c r="A313" s="282">
        <f t="shared" si="1"/>
        <v>309</v>
      </c>
      <c r="B313" s="283"/>
      <c r="C313" s="284"/>
      <c r="D313" s="338"/>
      <c r="E313" s="286"/>
      <c r="F313" s="287"/>
      <c r="G313" s="288" t="str">
        <f>+IFERROR(VLOOKUP(F313,NVL!$B:$C,2,0),"")</f>
        <v/>
      </c>
      <c r="H313" s="288" t="str">
        <f>+IFERROR(VLOOKUP(F313,NVL!$B:$D,3,0),"")</f>
        <v/>
      </c>
      <c r="I313" s="288" t="str">
        <f>+IFERROR(VLOOKUP(F313,NVL!$B:$F,4,0),"")</f>
        <v/>
      </c>
      <c r="J313" s="289"/>
      <c r="K313" s="290"/>
      <c r="L313" s="291" t="str">
        <f>+IFERROR(VLOOKUP(K313,'THÀNH PHẨM'!$B:$F,3,0),"")</f>
        <v/>
      </c>
      <c r="M313" s="291" t="str">
        <f>+IFERROR(VLOOKUP(K313,'THÀNH PHẨM'!$B:$F,4,0),"")</f>
        <v/>
      </c>
      <c r="N313" s="291" t="str">
        <f>+IFERROR(VLOOKUP(K313,'THÀNH PHẨM'!$B:$F,5,0),"")</f>
        <v/>
      </c>
      <c r="O313" s="289"/>
      <c r="P313" s="292">
        <f t="shared" si="2"/>
        <v>0</v>
      </c>
      <c r="Q313" s="289"/>
      <c r="R313" s="289"/>
      <c r="S313" s="293">
        <f t="shared" si="62"/>
        <v>0</v>
      </c>
      <c r="T313" s="294"/>
      <c r="U313" s="295">
        <f t="shared" si="68"/>
        <v>0</v>
      </c>
      <c r="V313" s="296"/>
      <c r="W313" s="297"/>
      <c r="X313" s="298"/>
      <c r="Y313" s="292" t="str">
        <f t="shared" si="69"/>
        <v/>
      </c>
      <c r="Z313" s="366">
        <f t="shared" si="70"/>
        <v>0</v>
      </c>
      <c r="AA313" s="299" t="str">
        <f t="shared" si="71"/>
        <v/>
      </c>
      <c r="AB313" s="300"/>
      <c r="AC313" s="301"/>
      <c r="AD313" s="302"/>
      <c r="AE313" s="303"/>
      <c r="AF313" s="304"/>
      <c r="AG313" s="304"/>
      <c r="AH313" s="304"/>
      <c r="AI313" s="304"/>
      <c r="AJ313" s="304"/>
      <c r="AK313" s="305"/>
      <c r="AL313" s="283"/>
      <c r="AM313" s="284"/>
    </row>
    <row r="314" ht="15.75" customHeight="1">
      <c r="A314" s="282">
        <f t="shared" si="1"/>
        <v>310</v>
      </c>
      <c r="B314" s="283"/>
      <c r="C314" s="284"/>
      <c r="D314" s="338"/>
      <c r="E314" s="286"/>
      <c r="F314" s="287"/>
      <c r="G314" s="288" t="str">
        <f>+IFERROR(VLOOKUP(F314,NVL!$B:$C,2,0),"")</f>
        <v/>
      </c>
      <c r="H314" s="288" t="str">
        <f>+IFERROR(VLOOKUP(F314,NVL!$B:$D,3,0),"")</f>
        <v/>
      </c>
      <c r="I314" s="288" t="str">
        <f>+IFERROR(VLOOKUP(F314,NVL!$B:$F,4,0),"")</f>
        <v/>
      </c>
      <c r="J314" s="289"/>
      <c r="K314" s="290"/>
      <c r="L314" s="291" t="str">
        <f>+IFERROR(VLOOKUP(K314,'THÀNH PHẨM'!$B:$F,3,0),"")</f>
        <v/>
      </c>
      <c r="M314" s="291" t="str">
        <f>+IFERROR(VLOOKUP(K314,'THÀNH PHẨM'!$B:$F,4,0),"")</f>
        <v/>
      </c>
      <c r="N314" s="291" t="str">
        <f>+IFERROR(VLOOKUP(K314,'THÀNH PHẨM'!$B:$F,5,0),"")</f>
        <v/>
      </c>
      <c r="O314" s="289"/>
      <c r="P314" s="292">
        <f t="shared" si="2"/>
        <v>0</v>
      </c>
      <c r="Q314" s="289"/>
      <c r="R314" s="289"/>
      <c r="S314" s="293">
        <f t="shared" si="62"/>
        <v>0</v>
      </c>
      <c r="T314" s="294"/>
      <c r="U314" s="295">
        <f t="shared" si="68"/>
        <v>0</v>
      </c>
      <c r="V314" s="296"/>
      <c r="W314" s="297"/>
      <c r="X314" s="298"/>
      <c r="Y314" s="292" t="str">
        <f t="shared" si="69"/>
        <v/>
      </c>
      <c r="Z314" s="366">
        <f t="shared" si="70"/>
        <v>0</v>
      </c>
      <c r="AA314" s="299" t="str">
        <f t="shared" si="71"/>
        <v/>
      </c>
      <c r="AB314" s="300"/>
      <c r="AC314" s="301"/>
      <c r="AD314" s="302"/>
      <c r="AE314" s="303"/>
      <c r="AF314" s="304"/>
      <c r="AG314" s="304"/>
      <c r="AH314" s="304"/>
      <c r="AI314" s="304"/>
      <c r="AJ314" s="304"/>
      <c r="AK314" s="305"/>
      <c r="AL314" s="283"/>
      <c r="AM314" s="284"/>
    </row>
    <row r="315" ht="15.75" customHeight="1">
      <c r="A315" s="282">
        <f t="shared" si="1"/>
        <v>311</v>
      </c>
      <c r="B315" s="283"/>
      <c r="C315" s="284"/>
      <c r="D315" s="338"/>
      <c r="E315" s="286"/>
      <c r="F315" s="287"/>
      <c r="G315" s="288" t="str">
        <f>+IFERROR(VLOOKUP(F315,NVL!$B:$C,2,0),"")</f>
        <v/>
      </c>
      <c r="H315" s="288" t="str">
        <f>+IFERROR(VLOOKUP(F315,NVL!$B:$D,3,0),"")</f>
        <v/>
      </c>
      <c r="I315" s="288" t="str">
        <f>+IFERROR(VLOOKUP(F315,NVL!$B:$F,4,0),"")</f>
        <v/>
      </c>
      <c r="J315" s="289"/>
      <c r="K315" s="290"/>
      <c r="L315" s="291" t="str">
        <f>+IFERROR(VLOOKUP(K315,'THÀNH PHẨM'!$B:$F,3,0),"")</f>
        <v/>
      </c>
      <c r="M315" s="291" t="str">
        <f>+IFERROR(VLOOKUP(K315,'THÀNH PHẨM'!$B:$F,4,0),"")</f>
        <v/>
      </c>
      <c r="N315" s="291" t="str">
        <f>+IFERROR(VLOOKUP(K315,'THÀNH PHẨM'!$B:$F,5,0),"")</f>
        <v/>
      </c>
      <c r="O315" s="289"/>
      <c r="P315" s="292">
        <f t="shared" si="2"/>
        <v>0</v>
      </c>
      <c r="Q315" s="289"/>
      <c r="R315" s="289"/>
      <c r="S315" s="293">
        <f t="shared" si="62"/>
        <v>0</v>
      </c>
      <c r="T315" s="294"/>
      <c r="U315" s="295">
        <f t="shared" si="68"/>
        <v>0</v>
      </c>
      <c r="V315" s="296"/>
      <c r="W315" s="297"/>
      <c r="X315" s="298"/>
      <c r="Y315" s="292" t="str">
        <f t="shared" si="69"/>
        <v/>
      </c>
      <c r="Z315" s="366">
        <f t="shared" si="70"/>
        <v>0</v>
      </c>
      <c r="AA315" s="299" t="str">
        <f t="shared" si="71"/>
        <v/>
      </c>
      <c r="AB315" s="300"/>
      <c r="AC315" s="301"/>
      <c r="AD315" s="302"/>
      <c r="AE315" s="303"/>
      <c r="AF315" s="304"/>
      <c r="AG315" s="304"/>
      <c r="AH315" s="304"/>
      <c r="AI315" s="304"/>
      <c r="AJ315" s="304"/>
      <c r="AK315" s="305"/>
      <c r="AL315" s="283"/>
      <c r="AM315" s="446"/>
    </row>
    <row r="316" ht="15.75" customHeight="1">
      <c r="A316" s="282">
        <f t="shared" si="1"/>
        <v>312</v>
      </c>
      <c r="B316" s="283"/>
      <c r="C316" s="284"/>
      <c r="D316" s="338"/>
      <c r="E316" s="286"/>
      <c r="F316" s="287"/>
      <c r="G316" s="288" t="str">
        <f>+IFERROR(VLOOKUP(F316,NVL!$B:$C,2,0),"")</f>
        <v/>
      </c>
      <c r="H316" s="288" t="str">
        <f>+IFERROR(VLOOKUP(F316,NVL!$B:$D,3,0),"")</f>
        <v/>
      </c>
      <c r="I316" s="288" t="str">
        <f>+IFERROR(VLOOKUP(F316,NVL!$B:$F,4,0),"")</f>
        <v/>
      </c>
      <c r="J316" s="289"/>
      <c r="K316" s="290"/>
      <c r="L316" s="291" t="str">
        <f>+IFERROR(VLOOKUP(K316,'THÀNH PHẨM'!$B:$F,3,0),"")</f>
        <v/>
      </c>
      <c r="M316" s="291" t="str">
        <f>+IFERROR(VLOOKUP(K316,'THÀNH PHẨM'!$B:$F,4,0),"")</f>
        <v/>
      </c>
      <c r="N316" s="291" t="str">
        <f>+IFERROR(VLOOKUP(K316,'THÀNH PHẨM'!$B:$F,5,0),"")</f>
        <v/>
      </c>
      <c r="O316" s="289"/>
      <c r="P316" s="292">
        <f t="shared" si="2"/>
        <v>0</v>
      </c>
      <c r="Q316" s="289"/>
      <c r="R316" s="289"/>
      <c r="S316" s="293">
        <f t="shared" si="62"/>
        <v>0</v>
      </c>
      <c r="T316" s="294"/>
      <c r="U316" s="295">
        <f t="shared" si="68"/>
        <v>0</v>
      </c>
      <c r="V316" s="296"/>
      <c r="W316" s="297"/>
      <c r="X316" s="298"/>
      <c r="Y316" s="292" t="str">
        <f t="shared" si="69"/>
        <v/>
      </c>
      <c r="Z316" s="366">
        <f t="shared" si="70"/>
        <v>0</v>
      </c>
      <c r="AA316" s="299" t="str">
        <f t="shared" si="71"/>
        <v/>
      </c>
      <c r="AB316" s="300"/>
      <c r="AC316" s="301"/>
      <c r="AD316" s="302"/>
      <c r="AE316" s="303"/>
      <c r="AF316" s="304"/>
      <c r="AG316" s="304"/>
      <c r="AH316" s="304"/>
      <c r="AI316" s="304"/>
      <c r="AJ316" s="304"/>
      <c r="AK316" s="305"/>
      <c r="AL316" s="283"/>
      <c r="AM316" s="284"/>
    </row>
    <row r="317" ht="15.75" customHeight="1">
      <c r="A317" s="282">
        <f t="shared" si="1"/>
        <v>313</v>
      </c>
      <c r="B317" s="283"/>
      <c r="C317" s="284"/>
      <c r="D317" s="338"/>
      <c r="E317" s="286"/>
      <c r="F317" s="287"/>
      <c r="G317" s="288" t="str">
        <f>+IFERROR(VLOOKUP(F317,NVL!$B:$C,2,0),"")</f>
        <v/>
      </c>
      <c r="H317" s="288" t="str">
        <f>+IFERROR(VLOOKUP(F317,NVL!$B:$D,3,0),"")</f>
        <v/>
      </c>
      <c r="I317" s="288" t="str">
        <f>+IFERROR(VLOOKUP(F317,NVL!$B:$F,4,0),"")</f>
        <v/>
      </c>
      <c r="J317" s="289"/>
      <c r="K317" s="290"/>
      <c r="L317" s="291" t="str">
        <f>+IFERROR(VLOOKUP(K317,'THÀNH PHẨM'!$B:$F,3,0),"")</f>
        <v/>
      </c>
      <c r="M317" s="291" t="str">
        <f>+IFERROR(VLOOKUP(K317,'THÀNH PHẨM'!$B:$F,4,0),"")</f>
        <v/>
      </c>
      <c r="N317" s="291" t="str">
        <f>+IFERROR(VLOOKUP(K317,'THÀNH PHẨM'!$B:$F,5,0),"")</f>
        <v/>
      </c>
      <c r="O317" s="289"/>
      <c r="P317" s="292">
        <f t="shared" si="2"/>
        <v>0</v>
      </c>
      <c r="Q317" s="289"/>
      <c r="R317" s="289"/>
      <c r="S317" s="293">
        <f t="shared" si="62"/>
        <v>0</v>
      </c>
      <c r="T317" s="294"/>
      <c r="U317" s="295">
        <f t="shared" si="68"/>
        <v>0</v>
      </c>
      <c r="V317" s="296"/>
      <c r="W317" s="297"/>
      <c r="X317" s="298"/>
      <c r="Y317" s="292" t="str">
        <f t="shared" si="69"/>
        <v/>
      </c>
      <c r="Z317" s="366">
        <f t="shared" si="70"/>
        <v>0</v>
      </c>
      <c r="AA317" s="299" t="str">
        <f t="shared" si="71"/>
        <v/>
      </c>
      <c r="AB317" s="300"/>
      <c r="AC317" s="301"/>
      <c r="AD317" s="302"/>
      <c r="AE317" s="303"/>
      <c r="AF317" s="304"/>
      <c r="AG317" s="304"/>
      <c r="AH317" s="304"/>
      <c r="AI317" s="304"/>
      <c r="AJ317" s="304"/>
      <c r="AK317" s="305"/>
      <c r="AL317" s="283"/>
      <c r="AM317" s="284"/>
    </row>
    <row r="318" ht="15.75" customHeight="1">
      <c r="A318" s="282">
        <f t="shared" si="1"/>
        <v>314</v>
      </c>
      <c r="B318" s="283"/>
      <c r="C318" s="284"/>
      <c r="D318" s="338"/>
      <c r="E318" s="286"/>
      <c r="F318" s="287"/>
      <c r="G318" s="288" t="str">
        <f>+IFERROR(VLOOKUP(F318,NVL!$B:$C,2,0),"")</f>
        <v/>
      </c>
      <c r="H318" s="288" t="str">
        <f>+IFERROR(VLOOKUP(F318,NVL!$B:$D,3,0),"")</f>
        <v/>
      </c>
      <c r="I318" s="288" t="str">
        <f>+IFERROR(VLOOKUP(F318,NVL!$B:$F,4,0),"")</f>
        <v/>
      </c>
      <c r="J318" s="289"/>
      <c r="K318" s="290"/>
      <c r="L318" s="291" t="str">
        <f>+IFERROR(VLOOKUP(K318,'THÀNH PHẨM'!$B:$F,3,0),"")</f>
        <v/>
      </c>
      <c r="M318" s="291" t="str">
        <f>+IFERROR(VLOOKUP(K318,'THÀNH PHẨM'!$B:$F,4,0),"")</f>
        <v/>
      </c>
      <c r="N318" s="291" t="str">
        <f>+IFERROR(VLOOKUP(K318,'THÀNH PHẨM'!$B:$F,5,0),"")</f>
        <v/>
      </c>
      <c r="O318" s="289"/>
      <c r="P318" s="292">
        <f t="shared" si="2"/>
        <v>0</v>
      </c>
      <c r="Q318" s="289"/>
      <c r="R318" s="289"/>
      <c r="S318" s="293">
        <f t="shared" si="62"/>
        <v>0</v>
      </c>
      <c r="T318" s="294"/>
      <c r="U318" s="295">
        <f t="shared" si="68"/>
        <v>0</v>
      </c>
      <c r="V318" s="296"/>
      <c r="W318" s="297"/>
      <c r="X318" s="298"/>
      <c r="Y318" s="292" t="str">
        <f t="shared" si="69"/>
        <v/>
      </c>
      <c r="Z318" s="366">
        <f t="shared" si="70"/>
        <v>0</v>
      </c>
      <c r="AA318" s="299" t="str">
        <f t="shared" si="71"/>
        <v/>
      </c>
      <c r="AB318" s="300"/>
      <c r="AC318" s="301"/>
      <c r="AD318" s="302"/>
      <c r="AE318" s="303"/>
      <c r="AF318" s="304"/>
      <c r="AG318" s="304"/>
      <c r="AH318" s="304"/>
      <c r="AI318" s="304"/>
      <c r="AJ318" s="304"/>
      <c r="AK318" s="305"/>
      <c r="AL318" s="283"/>
      <c r="AM318" s="284"/>
    </row>
    <row r="319" ht="15.75" customHeight="1">
      <c r="A319" s="282">
        <f t="shared" si="1"/>
        <v>315</v>
      </c>
      <c r="B319" s="283"/>
      <c r="C319" s="284"/>
      <c r="D319" s="338"/>
      <c r="E319" s="286"/>
      <c r="F319" s="287"/>
      <c r="G319" s="288" t="str">
        <f>+IFERROR(VLOOKUP(F319,NVL!$B:$C,2,0),"")</f>
        <v/>
      </c>
      <c r="H319" s="288" t="str">
        <f>+IFERROR(VLOOKUP(F319,NVL!$B:$D,3,0),"")</f>
        <v/>
      </c>
      <c r="I319" s="288" t="str">
        <f>+IFERROR(VLOOKUP(F319,NVL!$B:$F,4,0),"")</f>
        <v/>
      </c>
      <c r="J319" s="289"/>
      <c r="K319" s="290"/>
      <c r="L319" s="291" t="str">
        <f>+IFERROR(VLOOKUP(K319,'THÀNH PHẨM'!$B:$F,3,0),"")</f>
        <v/>
      </c>
      <c r="M319" s="291" t="str">
        <f>+IFERROR(VLOOKUP(K319,'THÀNH PHẨM'!$B:$F,4,0),"")</f>
        <v/>
      </c>
      <c r="N319" s="291" t="str">
        <f>+IFERROR(VLOOKUP(K319,'THÀNH PHẨM'!$B:$F,5,0),"")</f>
        <v/>
      </c>
      <c r="O319" s="289"/>
      <c r="P319" s="292">
        <f t="shared" si="2"/>
        <v>0</v>
      </c>
      <c r="Q319" s="289"/>
      <c r="R319" s="289"/>
      <c r="S319" s="293">
        <f t="shared" si="62"/>
        <v>0</v>
      </c>
      <c r="T319" s="294"/>
      <c r="U319" s="295">
        <f t="shared" si="68"/>
        <v>0</v>
      </c>
      <c r="V319" s="296"/>
      <c r="W319" s="297"/>
      <c r="X319" s="298"/>
      <c r="Y319" s="292" t="str">
        <f t="shared" si="69"/>
        <v/>
      </c>
      <c r="Z319" s="366">
        <f t="shared" si="70"/>
        <v>0</v>
      </c>
      <c r="AA319" s="299" t="str">
        <f t="shared" si="71"/>
        <v/>
      </c>
      <c r="AB319" s="300"/>
      <c r="AC319" s="301"/>
      <c r="AD319" s="302"/>
      <c r="AE319" s="303"/>
      <c r="AF319" s="304"/>
      <c r="AG319" s="304"/>
      <c r="AH319" s="304"/>
      <c r="AI319" s="304"/>
      <c r="AJ319" s="304"/>
      <c r="AK319" s="305"/>
      <c r="AL319" s="283"/>
      <c r="AM319" s="284"/>
    </row>
    <row r="320" ht="15.75" customHeight="1">
      <c r="A320" s="282">
        <f t="shared" si="1"/>
        <v>316</v>
      </c>
      <c r="B320" s="283"/>
      <c r="C320" s="284"/>
      <c r="D320" s="338"/>
      <c r="E320" s="286"/>
      <c r="F320" s="287"/>
      <c r="G320" s="288" t="str">
        <f>+IFERROR(VLOOKUP(F320,NVL!$B:$C,2,0),"")</f>
        <v/>
      </c>
      <c r="H320" s="288" t="str">
        <f>+IFERROR(VLOOKUP(F320,NVL!$B:$D,3,0),"")</f>
        <v/>
      </c>
      <c r="I320" s="288" t="str">
        <f>+IFERROR(VLOOKUP(F320,NVL!$B:$F,4,0),"")</f>
        <v/>
      </c>
      <c r="J320" s="289"/>
      <c r="K320" s="290"/>
      <c r="L320" s="291" t="str">
        <f>+IFERROR(VLOOKUP(K320,'THÀNH PHẨM'!$B:$F,3,0),"")</f>
        <v/>
      </c>
      <c r="M320" s="291" t="str">
        <f>+IFERROR(VLOOKUP(K320,'THÀNH PHẨM'!$B:$F,4,0),"")</f>
        <v/>
      </c>
      <c r="N320" s="291" t="str">
        <f>+IFERROR(VLOOKUP(K320,'THÀNH PHẨM'!$B:$F,5,0),"")</f>
        <v/>
      </c>
      <c r="O320" s="289"/>
      <c r="P320" s="292">
        <f t="shared" si="2"/>
        <v>0</v>
      </c>
      <c r="Q320" s="289"/>
      <c r="R320" s="289"/>
      <c r="S320" s="293">
        <f t="shared" si="62"/>
        <v>0</v>
      </c>
      <c r="T320" s="294"/>
      <c r="U320" s="295">
        <f t="shared" si="68"/>
        <v>0</v>
      </c>
      <c r="V320" s="296"/>
      <c r="W320" s="297"/>
      <c r="X320" s="298"/>
      <c r="Y320" s="292" t="str">
        <f t="shared" si="69"/>
        <v/>
      </c>
      <c r="Z320" s="366">
        <f t="shared" si="70"/>
        <v>0</v>
      </c>
      <c r="AA320" s="299" t="str">
        <f t="shared" si="71"/>
        <v/>
      </c>
      <c r="AB320" s="300"/>
      <c r="AC320" s="301"/>
      <c r="AD320" s="302"/>
      <c r="AE320" s="303"/>
      <c r="AF320" s="304"/>
      <c r="AG320" s="304"/>
      <c r="AH320" s="304"/>
      <c r="AI320" s="304"/>
      <c r="AJ320" s="304"/>
      <c r="AK320" s="305"/>
      <c r="AL320" s="283"/>
      <c r="AM320" s="284"/>
    </row>
    <row r="321" ht="15.75" customHeight="1">
      <c r="A321" s="282">
        <f t="shared" si="1"/>
        <v>317</v>
      </c>
      <c r="B321" s="283"/>
      <c r="C321" s="284"/>
      <c r="D321" s="338"/>
      <c r="E321" s="286"/>
      <c r="F321" s="287"/>
      <c r="G321" s="288" t="str">
        <f>+IFERROR(VLOOKUP(F321,NVL!$B:$C,2,0),"")</f>
        <v/>
      </c>
      <c r="H321" s="288" t="str">
        <f>+IFERROR(VLOOKUP(F321,NVL!$B:$D,3,0),"")</f>
        <v/>
      </c>
      <c r="I321" s="288" t="str">
        <f>+IFERROR(VLOOKUP(F321,NVL!$B:$F,4,0),"")</f>
        <v/>
      </c>
      <c r="J321" s="289"/>
      <c r="K321" s="290"/>
      <c r="L321" s="291" t="str">
        <f>+IFERROR(VLOOKUP(K321,'THÀNH PHẨM'!$B:$F,3,0),"")</f>
        <v/>
      </c>
      <c r="M321" s="291" t="str">
        <f>+IFERROR(VLOOKUP(K321,'THÀNH PHẨM'!$B:$F,4,0),"")</f>
        <v/>
      </c>
      <c r="N321" s="291" t="str">
        <f>+IFERROR(VLOOKUP(K321,'THÀNH PHẨM'!$B:$F,5,0),"")</f>
        <v/>
      </c>
      <c r="O321" s="289"/>
      <c r="P321" s="292">
        <f t="shared" si="2"/>
        <v>0</v>
      </c>
      <c r="Q321" s="289"/>
      <c r="R321" s="289"/>
      <c r="S321" s="293">
        <f t="shared" si="62"/>
        <v>0</v>
      </c>
      <c r="T321" s="294"/>
      <c r="U321" s="295">
        <f t="shared" si="68"/>
        <v>0</v>
      </c>
      <c r="V321" s="296"/>
      <c r="W321" s="297"/>
      <c r="X321" s="298"/>
      <c r="Y321" s="292" t="str">
        <f t="shared" si="69"/>
        <v/>
      </c>
      <c r="Z321" s="366">
        <f t="shared" si="70"/>
        <v>0</v>
      </c>
      <c r="AA321" s="299" t="str">
        <f t="shared" si="71"/>
        <v/>
      </c>
      <c r="AB321" s="300"/>
      <c r="AC321" s="301"/>
      <c r="AD321" s="302"/>
      <c r="AE321" s="303"/>
      <c r="AF321" s="304"/>
      <c r="AG321" s="304"/>
      <c r="AH321" s="304"/>
      <c r="AI321" s="304"/>
      <c r="AJ321" s="304"/>
      <c r="AK321" s="305"/>
      <c r="AL321" s="283"/>
      <c r="AM321" s="284"/>
    </row>
    <row r="322" ht="15.75" customHeight="1">
      <c r="A322" s="282">
        <f t="shared" si="1"/>
        <v>318</v>
      </c>
      <c r="B322" s="283"/>
      <c r="C322" s="284"/>
      <c r="D322" s="338"/>
      <c r="E322" s="286"/>
      <c r="F322" s="287"/>
      <c r="G322" s="288" t="str">
        <f>+IFERROR(VLOOKUP(F322,NVL!$B:$C,2,0),"")</f>
        <v/>
      </c>
      <c r="H322" s="288" t="str">
        <f>+IFERROR(VLOOKUP(F322,NVL!$B:$D,3,0),"")</f>
        <v/>
      </c>
      <c r="I322" s="288" t="str">
        <f>+IFERROR(VLOOKUP(F322,NVL!$B:$F,4,0),"")</f>
        <v/>
      </c>
      <c r="J322" s="289"/>
      <c r="K322" s="290"/>
      <c r="L322" s="291" t="str">
        <f>+IFERROR(VLOOKUP(K322,'THÀNH PHẨM'!$B:$F,3,0),"")</f>
        <v/>
      </c>
      <c r="M322" s="291" t="str">
        <f>+IFERROR(VLOOKUP(K322,'THÀNH PHẨM'!$B:$F,4,0),"")</f>
        <v/>
      </c>
      <c r="N322" s="291" t="str">
        <f>+IFERROR(VLOOKUP(K322,'THÀNH PHẨM'!$B:$F,5,0),"")</f>
        <v/>
      </c>
      <c r="O322" s="289"/>
      <c r="P322" s="292">
        <f t="shared" si="2"/>
        <v>0</v>
      </c>
      <c r="Q322" s="289"/>
      <c r="R322" s="289"/>
      <c r="S322" s="293">
        <f t="shared" si="62"/>
        <v>0</v>
      </c>
      <c r="T322" s="294"/>
      <c r="U322" s="295">
        <f t="shared" si="68"/>
        <v>0</v>
      </c>
      <c r="V322" s="296"/>
      <c r="W322" s="297"/>
      <c r="X322" s="298"/>
      <c r="Y322" s="292" t="str">
        <f t="shared" si="69"/>
        <v/>
      </c>
      <c r="Z322" s="366">
        <f t="shared" si="70"/>
        <v>0</v>
      </c>
      <c r="AA322" s="299" t="str">
        <f t="shared" si="71"/>
        <v/>
      </c>
      <c r="AB322" s="300"/>
      <c r="AC322" s="301"/>
      <c r="AD322" s="302"/>
      <c r="AE322" s="303"/>
      <c r="AF322" s="304"/>
      <c r="AG322" s="304"/>
      <c r="AH322" s="304"/>
      <c r="AI322" s="304"/>
      <c r="AJ322" s="304"/>
      <c r="AK322" s="305"/>
      <c r="AL322" s="283"/>
      <c r="AM322" s="284"/>
    </row>
    <row r="323" ht="15.75" customHeight="1">
      <c r="A323" s="282">
        <f t="shared" si="1"/>
        <v>319</v>
      </c>
      <c r="B323" s="283"/>
      <c r="C323" s="284"/>
      <c r="D323" s="338"/>
      <c r="E323" s="286"/>
      <c r="F323" s="287"/>
      <c r="G323" s="288" t="str">
        <f>+IFERROR(VLOOKUP(F323,NVL!$B:$C,2,0),"")</f>
        <v/>
      </c>
      <c r="H323" s="288" t="str">
        <f>+IFERROR(VLOOKUP(F323,NVL!$B:$D,3,0),"")</f>
        <v/>
      </c>
      <c r="I323" s="288" t="str">
        <f>+IFERROR(VLOOKUP(F323,NVL!$B:$F,4,0),"")</f>
        <v/>
      </c>
      <c r="J323" s="289"/>
      <c r="K323" s="290"/>
      <c r="L323" s="291" t="str">
        <f>+IFERROR(VLOOKUP(K323,'THÀNH PHẨM'!$B:$F,3,0),"")</f>
        <v/>
      </c>
      <c r="M323" s="291" t="str">
        <f>+IFERROR(VLOOKUP(K323,'THÀNH PHẨM'!$B:$F,4,0),"")</f>
        <v/>
      </c>
      <c r="N323" s="291" t="str">
        <f>+IFERROR(VLOOKUP(K323,'THÀNH PHẨM'!$B:$F,5,0),"")</f>
        <v/>
      </c>
      <c r="O323" s="289"/>
      <c r="P323" s="292">
        <f t="shared" si="2"/>
        <v>0</v>
      </c>
      <c r="Q323" s="289"/>
      <c r="R323" s="289"/>
      <c r="S323" s="293">
        <f t="shared" si="62"/>
        <v>0</v>
      </c>
      <c r="T323" s="294"/>
      <c r="U323" s="295">
        <f t="shared" si="68"/>
        <v>0</v>
      </c>
      <c r="V323" s="296"/>
      <c r="W323" s="297"/>
      <c r="X323" s="298"/>
      <c r="Y323" s="292" t="str">
        <f t="shared" si="69"/>
        <v/>
      </c>
      <c r="Z323" s="366">
        <f t="shared" si="70"/>
        <v>0</v>
      </c>
      <c r="AA323" s="299" t="str">
        <f t="shared" si="71"/>
        <v/>
      </c>
      <c r="AB323" s="300"/>
      <c r="AC323" s="301"/>
      <c r="AD323" s="302"/>
      <c r="AE323" s="303"/>
      <c r="AF323" s="304"/>
      <c r="AG323" s="304"/>
      <c r="AH323" s="304"/>
      <c r="AI323" s="304"/>
      <c r="AJ323" s="304"/>
      <c r="AK323" s="305"/>
      <c r="AL323" s="283"/>
      <c r="AM323" s="284"/>
    </row>
    <row r="324" ht="15.75" customHeight="1">
      <c r="A324" s="282">
        <f t="shared" si="1"/>
        <v>320</v>
      </c>
      <c r="B324" s="283"/>
      <c r="C324" s="284"/>
      <c r="D324" s="338"/>
      <c r="E324" s="286"/>
      <c r="F324" s="287"/>
      <c r="G324" s="288" t="str">
        <f>+IFERROR(VLOOKUP(F324,NVL!$B:$C,2,0),"")</f>
        <v/>
      </c>
      <c r="H324" s="288" t="str">
        <f>+IFERROR(VLOOKUP(F324,NVL!$B:$D,3,0),"")</f>
        <v/>
      </c>
      <c r="I324" s="288" t="str">
        <f>+IFERROR(VLOOKUP(F324,NVL!$B:$F,4,0),"")</f>
        <v/>
      </c>
      <c r="J324" s="289"/>
      <c r="K324" s="290"/>
      <c r="L324" s="291" t="str">
        <f>+IFERROR(VLOOKUP(K324,'THÀNH PHẨM'!$B:$F,3,0),"")</f>
        <v/>
      </c>
      <c r="M324" s="291" t="str">
        <f>+IFERROR(VLOOKUP(K324,'THÀNH PHẨM'!$B:$F,4,0),"")</f>
        <v/>
      </c>
      <c r="N324" s="291" t="str">
        <f>+IFERROR(VLOOKUP(K324,'THÀNH PHẨM'!$B:$F,5,0),"")</f>
        <v/>
      </c>
      <c r="O324" s="289"/>
      <c r="P324" s="292">
        <f t="shared" si="2"/>
        <v>0</v>
      </c>
      <c r="Q324" s="289"/>
      <c r="R324" s="289"/>
      <c r="S324" s="293">
        <f t="shared" si="62"/>
        <v>0</v>
      </c>
      <c r="T324" s="294"/>
      <c r="U324" s="295">
        <f t="shared" si="68"/>
        <v>0</v>
      </c>
      <c r="V324" s="296"/>
      <c r="W324" s="297"/>
      <c r="X324" s="298"/>
      <c r="Y324" s="292" t="str">
        <f t="shared" si="69"/>
        <v/>
      </c>
      <c r="Z324" s="366">
        <f t="shared" si="70"/>
        <v>0</v>
      </c>
      <c r="AA324" s="299" t="str">
        <f t="shared" si="71"/>
        <v/>
      </c>
      <c r="AB324" s="300"/>
      <c r="AC324" s="301"/>
      <c r="AD324" s="302"/>
      <c r="AE324" s="303"/>
      <c r="AF324" s="304"/>
      <c r="AG324" s="304"/>
      <c r="AH324" s="304"/>
      <c r="AI324" s="304"/>
      <c r="AJ324" s="304"/>
      <c r="AK324" s="305"/>
      <c r="AL324" s="283"/>
      <c r="AM324" s="284"/>
    </row>
    <row r="325" ht="15.75" customHeight="1">
      <c r="A325" s="282">
        <f t="shared" si="1"/>
        <v>321</v>
      </c>
      <c r="B325" s="283"/>
      <c r="C325" s="284"/>
      <c r="D325" s="338"/>
      <c r="E325" s="286"/>
      <c r="F325" s="287"/>
      <c r="G325" s="288" t="str">
        <f>+IFERROR(VLOOKUP(F325,NVL!$B:$C,2,0),"")</f>
        <v/>
      </c>
      <c r="H325" s="288" t="str">
        <f>+IFERROR(VLOOKUP(F325,NVL!$B:$D,3,0),"")</f>
        <v/>
      </c>
      <c r="I325" s="288" t="str">
        <f>+IFERROR(VLOOKUP(F325,NVL!$B:$F,4,0),"")</f>
        <v/>
      </c>
      <c r="J325" s="289"/>
      <c r="K325" s="290"/>
      <c r="L325" s="291" t="str">
        <f>+IFERROR(VLOOKUP(K325,'THÀNH PHẨM'!$B:$F,3,0),"")</f>
        <v/>
      </c>
      <c r="M325" s="291" t="str">
        <f>+IFERROR(VLOOKUP(K325,'THÀNH PHẨM'!$B:$F,4,0),"")</f>
        <v/>
      </c>
      <c r="N325" s="291" t="str">
        <f>+IFERROR(VLOOKUP(K325,'THÀNH PHẨM'!$B:$F,5,0),"")</f>
        <v/>
      </c>
      <c r="O325" s="289"/>
      <c r="P325" s="292">
        <f t="shared" si="2"/>
        <v>0</v>
      </c>
      <c r="Q325" s="289"/>
      <c r="R325" s="289"/>
      <c r="S325" s="293">
        <f t="shared" si="62"/>
        <v>0</v>
      </c>
      <c r="T325" s="294"/>
      <c r="U325" s="295">
        <f t="shared" si="68"/>
        <v>0</v>
      </c>
      <c r="V325" s="296"/>
      <c r="W325" s="297"/>
      <c r="X325" s="298"/>
      <c r="Y325" s="292" t="str">
        <f t="shared" si="69"/>
        <v/>
      </c>
      <c r="Z325" s="366">
        <f t="shared" si="70"/>
        <v>0</v>
      </c>
      <c r="AA325" s="299" t="str">
        <f t="shared" si="71"/>
        <v/>
      </c>
      <c r="AB325" s="300"/>
      <c r="AC325" s="301"/>
      <c r="AD325" s="302"/>
      <c r="AE325" s="303"/>
      <c r="AF325" s="304"/>
      <c r="AG325" s="304"/>
      <c r="AH325" s="304"/>
      <c r="AI325" s="304"/>
      <c r="AJ325" s="304"/>
      <c r="AK325" s="305"/>
      <c r="AL325" s="283"/>
      <c r="AM325" s="284"/>
    </row>
    <row r="326" ht="15.75" customHeight="1">
      <c r="A326" s="282">
        <f t="shared" si="1"/>
        <v>322</v>
      </c>
      <c r="B326" s="283"/>
      <c r="C326" s="284"/>
      <c r="D326" s="338"/>
      <c r="E326" s="286"/>
      <c r="F326" s="287"/>
      <c r="G326" s="288" t="str">
        <f>+IFERROR(VLOOKUP(F326,NVL!$B:$C,2,0),"")</f>
        <v/>
      </c>
      <c r="H326" s="288" t="str">
        <f>+IFERROR(VLOOKUP(F326,NVL!$B:$D,3,0),"")</f>
        <v/>
      </c>
      <c r="I326" s="288" t="str">
        <f>+IFERROR(VLOOKUP(F326,NVL!$B:$F,4,0),"")</f>
        <v/>
      </c>
      <c r="J326" s="289"/>
      <c r="K326" s="290"/>
      <c r="L326" s="291" t="str">
        <f>+IFERROR(VLOOKUP(K326,'THÀNH PHẨM'!$B:$F,3,0),"")</f>
        <v/>
      </c>
      <c r="M326" s="291" t="str">
        <f>+IFERROR(VLOOKUP(K326,'THÀNH PHẨM'!$B:$F,4,0),"")</f>
        <v/>
      </c>
      <c r="N326" s="291" t="str">
        <f>+IFERROR(VLOOKUP(K326,'THÀNH PHẨM'!$B:$F,5,0),"")</f>
        <v/>
      </c>
      <c r="O326" s="289"/>
      <c r="P326" s="292">
        <f t="shared" si="2"/>
        <v>0</v>
      </c>
      <c r="Q326" s="289"/>
      <c r="R326" s="289"/>
      <c r="S326" s="293">
        <f t="shared" si="62"/>
        <v>0</v>
      </c>
      <c r="T326" s="294"/>
      <c r="U326" s="295">
        <f t="shared" si="68"/>
        <v>0</v>
      </c>
      <c r="V326" s="296"/>
      <c r="W326" s="297"/>
      <c r="X326" s="298"/>
      <c r="Y326" s="292" t="str">
        <f t="shared" si="69"/>
        <v/>
      </c>
      <c r="Z326" s="366">
        <f t="shared" si="70"/>
        <v>0</v>
      </c>
      <c r="AA326" s="299" t="str">
        <f t="shared" si="71"/>
        <v/>
      </c>
      <c r="AB326" s="300"/>
      <c r="AC326" s="301"/>
      <c r="AD326" s="302"/>
      <c r="AE326" s="303"/>
      <c r="AF326" s="304"/>
      <c r="AG326" s="304"/>
      <c r="AH326" s="304"/>
      <c r="AI326" s="304"/>
      <c r="AJ326" s="304"/>
      <c r="AK326" s="298"/>
      <c r="AL326" s="283"/>
      <c r="AM326" s="284"/>
    </row>
    <row r="327" ht="15.75" customHeight="1">
      <c r="A327" s="282">
        <f t="shared" si="1"/>
        <v>323</v>
      </c>
      <c r="B327" s="283"/>
      <c r="C327" s="284"/>
      <c r="D327" s="338"/>
      <c r="E327" s="286"/>
      <c r="F327" s="287"/>
      <c r="G327" s="288" t="str">
        <f>+IFERROR(VLOOKUP(F327,NVL!$B:$C,2,0),"")</f>
        <v/>
      </c>
      <c r="H327" s="288" t="str">
        <f>+IFERROR(VLOOKUP(F327,NVL!$B:$D,3,0),"")</f>
        <v/>
      </c>
      <c r="I327" s="288" t="str">
        <f>+IFERROR(VLOOKUP(F327,NVL!$B:$F,4,0),"")</f>
        <v/>
      </c>
      <c r="J327" s="289"/>
      <c r="K327" s="290"/>
      <c r="L327" s="291" t="str">
        <f>+IFERROR(VLOOKUP(K327,'THÀNH PHẨM'!$B:$F,3,0),"")</f>
        <v/>
      </c>
      <c r="M327" s="291" t="str">
        <f>+IFERROR(VLOOKUP(K327,'THÀNH PHẨM'!$B:$F,4,0),"")</f>
        <v/>
      </c>
      <c r="N327" s="291" t="str">
        <f>+IFERROR(VLOOKUP(K327,'THÀNH PHẨM'!$B:$F,5,0),"")</f>
        <v/>
      </c>
      <c r="O327" s="289"/>
      <c r="P327" s="292">
        <f t="shared" si="2"/>
        <v>0</v>
      </c>
      <c r="Q327" s="289"/>
      <c r="R327" s="289"/>
      <c r="S327" s="293">
        <f t="shared" si="62"/>
        <v>0</v>
      </c>
      <c r="T327" s="294"/>
      <c r="U327" s="295">
        <f t="shared" si="68"/>
        <v>0</v>
      </c>
      <c r="V327" s="296"/>
      <c r="W327" s="297"/>
      <c r="X327" s="298"/>
      <c r="Y327" s="292" t="str">
        <f t="shared" si="69"/>
        <v/>
      </c>
      <c r="Z327" s="366">
        <f t="shared" si="70"/>
        <v>0</v>
      </c>
      <c r="AA327" s="299" t="str">
        <f t="shared" si="71"/>
        <v/>
      </c>
      <c r="AB327" s="300"/>
      <c r="AC327" s="301"/>
      <c r="AD327" s="302"/>
      <c r="AE327" s="303"/>
      <c r="AF327" s="304"/>
      <c r="AG327" s="304"/>
      <c r="AH327" s="304"/>
      <c r="AI327" s="304"/>
      <c r="AJ327" s="304"/>
      <c r="AK327" s="305"/>
      <c r="AL327" s="283"/>
      <c r="AM327" s="284"/>
    </row>
    <row r="328" ht="15.75" customHeight="1">
      <c r="A328" s="282">
        <f t="shared" si="1"/>
        <v>324</v>
      </c>
      <c r="B328" s="283"/>
      <c r="C328" s="284"/>
      <c r="D328" s="338"/>
      <c r="E328" s="286"/>
      <c r="F328" s="287"/>
      <c r="G328" s="288" t="str">
        <f>+IFERROR(VLOOKUP(F328,NVL!$B:$C,2,0),"")</f>
        <v/>
      </c>
      <c r="H328" s="288" t="str">
        <f>+IFERROR(VLOOKUP(F328,NVL!$B:$D,3,0),"")</f>
        <v/>
      </c>
      <c r="I328" s="288" t="str">
        <f>+IFERROR(VLOOKUP(F328,NVL!$B:$F,4,0),"")</f>
        <v/>
      </c>
      <c r="J328" s="289"/>
      <c r="K328" s="290"/>
      <c r="L328" s="291" t="str">
        <f>+IFERROR(VLOOKUP(K328,'THÀNH PHẨM'!$B:$F,3,0),"")</f>
        <v/>
      </c>
      <c r="M328" s="291" t="str">
        <f>+IFERROR(VLOOKUP(K328,'THÀNH PHẨM'!$B:$F,4,0),"")</f>
        <v/>
      </c>
      <c r="N328" s="291" t="str">
        <f>+IFERROR(VLOOKUP(K328,'THÀNH PHẨM'!$B:$F,5,0),"")</f>
        <v/>
      </c>
      <c r="O328" s="289"/>
      <c r="P328" s="292">
        <f t="shared" si="2"/>
        <v>0</v>
      </c>
      <c r="Q328" s="289"/>
      <c r="R328" s="289"/>
      <c r="S328" s="293">
        <f t="shared" si="62"/>
        <v>0</v>
      </c>
      <c r="T328" s="294"/>
      <c r="U328" s="295">
        <f t="shared" si="68"/>
        <v>0</v>
      </c>
      <c r="V328" s="296"/>
      <c r="W328" s="297"/>
      <c r="X328" s="298"/>
      <c r="Y328" s="292" t="str">
        <f t="shared" si="69"/>
        <v/>
      </c>
      <c r="Z328" s="366">
        <f t="shared" si="70"/>
        <v>0</v>
      </c>
      <c r="AA328" s="299" t="str">
        <f t="shared" si="71"/>
        <v/>
      </c>
      <c r="AB328" s="300"/>
      <c r="AC328" s="301"/>
      <c r="AD328" s="302"/>
      <c r="AE328" s="303"/>
      <c r="AF328" s="304"/>
      <c r="AG328" s="304"/>
      <c r="AH328" s="304"/>
      <c r="AI328" s="304"/>
      <c r="AJ328" s="304"/>
      <c r="AK328" s="305"/>
      <c r="AL328" s="283"/>
      <c r="AM328" s="284"/>
    </row>
    <row r="329" ht="15.75" customHeight="1">
      <c r="A329" s="282">
        <f t="shared" si="1"/>
        <v>325</v>
      </c>
      <c r="B329" s="283"/>
      <c r="C329" s="284"/>
      <c r="D329" s="338"/>
      <c r="E329" s="286"/>
      <c r="F329" s="287"/>
      <c r="G329" s="288" t="str">
        <f>+IFERROR(VLOOKUP(F329,NVL!$B:$C,2,0),"")</f>
        <v/>
      </c>
      <c r="H329" s="288" t="str">
        <f>+IFERROR(VLOOKUP(F329,NVL!$B:$D,3,0),"")</f>
        <v/>
      </c>
      <c r="I329" s="288" t="str">
        <f>+IFERROR(VLOOKUP(F329,NVL!$B:$F,4,0),"")</f>
        <v/>
      </c>
      <c r="J329" s="289"/>
      <c r="K329" s="290"/>
      <c r="L329" s="291" t="str">
        <f>+IFERROR(VLOOKUP(K329,'THÀNH PHẨM'!$B:$F,3,0),"")</f>
        <v/>
      </c>
      <c r="M329" s="291" t="str">
        <f>+IFERROR(VLOOKUP(K329,'THÀNH PHẨM'!$B:$F,4,0),"")</f>
        <v/>
      </c>
      <c r="N329" s="291" t="str">
        <f>+IFERROR(VLOOKUP(K329,'THÀNH PHẨM'!$B:$F,5,0),"")</f>
        <v/>
      </c>
      <c r="O329" s="289"/>
      <c r="P329" s="292">
        <f t="shared" si="2"/>
        <v>0</v>
      </c>
      <c r="Q329" s="289"/>
      <c r="R329" s="289"/>
      <c r="S329" s="293">
        <f t="shared" si="62"/>
        <v>0</v>
      </c>
      <c r="T329" s="294"/>
      <c r="U329" s="295">
        <f t="shared" si="68"/>
        <v>0</v>
      </c>
      <c r="V329" s="296"/>
      <c r="W329" s="297"/>
      <c r="X329" s="298"/>
      <c r="Y329" s="292" t="str">
        <f t="shared" si="69"/>
        <v/>
      </c>
      <c r="Z329" s="366">
        <f t="shared" si="70"/>
        <v>0</v>
      </c>
      <c r="AA329" s="299" t="str">
        <f t="shared" si="71"/>
        <v/>
      </c>
      <c r="AB329" s="300"/>
      <c r="AC329" s="301"/>
      <c r="AD329" s="302"/>
      <c r="AE329" s="303"/>
      <c r="AF329" s="304"/>
      <c r="AG329" s="304"/>
      <c r="AH329" s="304"/>
      <c r="AI329" s="304"/>
      <c r="AJ329" s="304"/>
      <c r="AK329" s="305"/>
      <c r="AL329" s="283"/>
      <c r="AM329" s="284"/>
    </row>
    <row r="330" ht="15.75" customHeight="1">
      <c r="A330" s="282">
        <f t="shared" si="1"/>
        <v>326</v>
      </c>
      <c r="B330" s="283"/>
      <c r="C330" s="284"/>
      <c r="D330" s="338"/>
      <c r="E330" s="286"/>
      <c r="F330" s="287"/>
      <c r="G330" s="288" t="str">
        <f>+IFERROR(VLOOKUP(F330,NVL!$B:$C,2,0),"")</f>
        <v/>
      </c>
      <c r="H330" s="288" t="str">
        <f>+IFERROR(VLOOKUP(F330,NVL!$B:$D,3,0),"")</f>
        <v/>
      </c>
      <c r="I330" s="288" t="str">
        <f>+IFERROR(VLOOKUP(F330,NVL!$B:$F,4,0),"")</f>
        <v/>
      </c>
      <c r="J330" s="289"/>
      <c r="K330" s="290"/>
      <c r="L330" s="291" t="str">
        <f>+IFERROR(VLOOKUP(K330,'THÀNH PHẨM'!$B:$F,3,0),"")</f>
        <v/>
      </c>
      <c r="M330" s="291" t="str">
        <f>+IFERROR(VLOOKUP(K330,'THÀNH PHẨM'!$B:$F,4,0),"")</f>
        <v/>
      </c>
      <c r="N330" s="291" t="str">
        <f>+IFERROR(VLOOKUP(K330,'THÀNH PHẨM'!$B:$F,5,0),"")</f>
        <v/>
      </c>
      <c r="O330" s="289"/>
      <c r="P330" s="292">
        <f t="shared" si="2"/>
        <v>0</v>
      </c>
      <c r="Q330" s="289"/>
      <c r="R330" s="289"/>
      <c r="S330" s="293">
        <f t="shared" si="62"/>
        <v>0</v>
      </c>
      <c r="T330" s="294"/>
      <c r="U330" s="295">
        <f t="shared" si="68"/>
        <v>0</v>
      </c>
      <c r="V330" s="296"/>
      <c r="W330" s="297"/>
      <c r="X330" s="298"/>
      <c r="Y330" s="292" t="str">
        <f t="shared" si="69"/>
        <v/>
      </c>
      <c r="Z330" s="366">
        <f t="shared" si="70"/>
        <v>0</v>
      </c>
      <c r="AA330" s="299" t="str">
        <f t="shared" si="71"/>
        <v/>
      </c>
      <c r="AB330" s="300"/>
      <c r="AC330" s="301"/>
      <c r="AD330" s="302"/>
      <c r="AE330" s="303"/>
      <c r="AF330" s="304"/>
      <c r="AG330" s="304"/>
      <c r="AH330" s="304"/>
      <c r="AI330" s="304"/>
      <c r="AJ330" s="304"/>
      <c r="AK330" s="305"/>
      <c r="AL330" s="283"/>
      <c r="AM330" s="284"/>
    </row>
    <row r="331" ht="15.75" customHeight="1">
      <c r="A331" s="282">
        <f t="shared" si="1"/>
        <v>327</v>
      </c>
      <c r="B331" s="283"/>
      <c r="C331" s="284"/>
      <c r="D331" s="338"/>
      <c r="E331" s="286"/>
      <c r="F331" s="287"/>
      <c r="G331" s="288" t="str">
        <f>+IFERROR(VLOOKUP(F331,NVL!$B:$C,2,0),"")</f>
        <v/>
      </c>
      <c r="H331" s="288" t="str">
        <f>+IFERROR(VLOOKUP(F331,NVL!$B:$D,3,0),"")</f>
        <v/>
      </c>
      <c r="I331" s="288" t="str">
        <f>+IFERROR(VLOOKUP(F331,NVL!$B:$F,4,0),"")</f>
        <v/>
      </c>
      <c r="J331" s="289"/>
      <c r="K331" s="427"/>
      <c r="L331" s="291" t="str">
        <f>+IFERROR(VLOOKUP(K331,'THÀNH PHẨM'!$B:$F,3,0),"")</f>
        <v/>
      </c>
      <c r="M331" s="291" t="str">
        <f>+IFERROR(VLOOKUP(K331,'THÀNH PHẨM'!$B:$F,4,0),"")</f>
        <v/>
      </c>
      <c r="N331" s="291" t="str">
        <f>+IFERROR(VLOOKUP(K331,'THÀNH PHẨM'!$B:$F,5,0),"")</f>
        <v/>
      </c>
      <c r="O331" s="289"/>
      <c r="P331" s="292">
        <f t="shared" si="2"/>
        <v>0</v>
      </c>
      <c r="Q331" s="289"/>
      <c r="R331" s="289"/>
      <c r="S331" s="293">
        <f t="shared" si="62"/>
        <v>0</v>
      </c>
      <c r="T331" s="294"/>
      <c r="U331" s="295">
        <f t="shared" si="68"/>
        <v>0</v>
      </c>
      <c r="V331" s="296"/>
      <c r="W331" s="297"/>
      <c r="X331" s="298"/>
      <c r="Y331" s="292" t="str">
        <f t="shared" si="69"/>
        <v/>
      </c>
      <c r="Z331" s="366">
        <f t="shared" si="70"/>
        <v>0</v>
      </c>
      <c r="AA331" s="299" t="str">
        <f t="shared" si="71"/>
        <v/>
      </c>
      <c r="AB331" s="300"/>
      <c r="AC331" s="301"/>
      <c r="AD331" s="302"/>
      <c r="AE331" s="303"/>
      <c r="AF331" s="304"/>
      <c r="AG331" s="304"/>
      <c r="AH331" s="304"/>
      <c r="AI331" s="304"/>
      <c r="AJ331" s="304"/>
      <c r="AK331" s="305"/>
      <c r="AL331" s="283"/>
      <c r="AM331" s="284"/>
    </row>
    <row r="332" ht="15.75" customHeight="1">
      <c r="A332" s="282">
        <f t="shared" si="1"/>
        <v>328</v>
      </c>
      <c r="B332" s="283"/>
      <c r="C332" s="284"/>
      <c r="D332" s="338"/>
      <c r="E332" s="286"/>
      <c r="F332" s="287"/>
      <c r="G332" s="288" t="str">
        <f>+IFERROR(VLOOKUP(F332,NVL!$B:$C,2,0),"")</f>
        <v/>
      </c>
      <c r="H332" s="288" t="str">
        <f>+IFERROR(VLOOKUP(F332,NVL!$B:$D,3,0),"")</f>
        <v/>
      </c>
      <c r="I332" s="288" t="str">
        <f>+IFERROR(VLOOKUP(F332,NVL!$B:$F,4,0),"")</f>
        <v/>
      </c>
      <c r="J332" s="289"/>
      <c r="K332" s="290"/>
      <c r="L332" s="291" t="str">
        <f>+IFERROR(VLOOKUP(K332,'THÀNH PHẨM'!$B:$F,3,0),"")</f>
        <v/>
      </c>
      <c r="M332" s="291" t="str">
        <f>+IFERROR(VLOOKUP(K332,'THÀNH PHẨM'!$B:$F,4,0),"")</f>
        <v/>
      </c>
      <c r="N332" s="291" t="str">
        <f>+IFERROR(VLOOKUP(K332,'THÀNH PHẨM'!$B:$F,5,0),"")</f>
        <v/>
      </c>
      <c r="O332" s="289"/>
      <c r="P332" s="292">
        <f t="shared" si="2"/>
        <v>0</v>
      </c>
      <c r="Q332" s="289"/>
      <c r="R332" s="289"/>
      <c r="S332" s="293">
        <f t="shared" si="62"/>
        <v>0</v>
      </c>
      <c r="T332" s="294"/>
      <c r="U332" s="295">
        <f t="shared" si="68"/>
        <v>0</v>
      </c>
      <c r="V332" s="296"/>
      <c r="W332" s="297"/>
      <c r="X332" s="298"/>
      <c r="Y332" s="292" t="str">
        <f t="shared" si="69"/>
        <v/>
      </c>
      <c r="Z332" s="366">
        <f t="shared" si="70"/>
        <v>0</v>
      </c>
      <c r="AA332" s="299" t="str">
        <f t="shared" si="71"/>
        <v/>
      </c>
      <c r="AB332" s="300"/>
      <c r="AC332" s="301"/>
      <c r="AD332" s="302"/>
      <c r="AE332" s="303"/>
      <c r="AF332" s="304"/>
      <c r="AG332" s="304"/>
      <c r="AH332" s="304"/>
      <c r="AI332" s="304"/>
      <c r="AJ332" s="304"/>
      <c r="AK332" s="305"/>
      <c r="AL332" s="283"/>
      <c r="AM332" s="284"/>
    </row>
    <row r="333" ht="15.75" customHeight="1">
      <c r="A333" s="282">
        <f t="shared" si="1"/>
        <v>329</v>
      </c>
      <c r="B333" s="283"/>
      <c r="C333" s="284"/>
      <c r="D333" s="338"/>
      <c r="E333" s="286"/>
      <c r="F333" s="287"/>
      <c r="G333" s="288" t="str">
        <f>+IFERROR(VLOOKUP(F333,NVL!$B:$C,2,0),"")</f>
        <v/>
      </c>
      <c r="H333" s="288" t="str">
        <f>+IFERROR(VLOOKUP(F333,NVL!$B:$D,3,0),"")</f>
        <v/>
      </c>
      <c r="I333" s="288" t="str">
        <f>+IFERROR(VLOOKUP(F333,NVL!$B:$F,4,0),"")</f>
        <v/>
      </c>
      <c r="J333" s="289"/>
      <c r="K333" s="290"/>
      <c r="L333" s="291" t="str">
        <f>+IFERROR(VLOOKUP(K333,'THÀNH PHẨM'!$B:$F,3,0),"")</f>
        <v/>
      </c>
      <c r="M333" s="291" t="str">
        <f>+IFERROR(VLOOKUP(K333,'THÀNH PHẨM'!$B:$F,4,0),"")</f>
        <v/>
      </c>
      <c r="N333" s="291" t="str">
        <f>+IFERROR(VLOOKUP(K333,'THÀNH PHẨM'!$B:$F,5,0),"")</f>
        <v/>
      </c>
      <c r="O333" s="289"/>
      <c r="P333" s="292">
        <f t="shared" si="2"/>
        <v>0</v>
      </c>
      <c r="Q333" s="289"/>
      <c r="R333" s="289"/>
      <c r="S333" s="293">
        <f t="shared" si="62"/>
        <v>0</v>
      </c>
      <c r="T333" s="294"/>
      <c r="U333" s="295">
        <f t="shared" si="68"/>
        <v>0</v>
      </c>
      <c r="V333" s="296"/>
      <c r="W333" s="297"/>
      <c r="X333" s="298"/>
      <c r="Y333" s="292" t="str">
        <f t="shared" si="69"/>
        <v/>
      </c>
      <c r="Z333" s="366">
        <f t="shared" si="70"/>
        <v>0</v>
      </c>
      <c r="AA333" s="299" t="str">
        <f t="shared" si="71"/>
        <v/>
      </c>
      <c r="AB333" s="300"/>
      <c r="AC333" s="301"/>
      <c r="AD333" s="302"/>
      <c r="AE333" s="303"/>
      <c r="AF333" s="304"/>
      <c r="AG333" s="304"/>
      <c r="AH333" s="304"/>
      <c r="AI333" s="304"/>
      <c r="AJ333" s="304"/>
      <c r="AK333" s="305"/>
      <c r="AL333" s="283"/>
      <c r="AM333" s="284"/>
    </row>
    <row r="334" ht="15.75" customHeight="1">
      <c r="A334" s="282">
        <f t="shared" si="1"/>
        <v>330</v>
      </c>
      <c r="B334" s="283"/>
      <c r="C334" s="284"/>
      <c r="D334" s="338"/>
      <c r="E334" s="286"/>
      <c r="F334" s="287"/>
      <c r="G334" s="288" t="str">
        <f>+IFERROR(VLOOKUP(F334,NVL!$B:$C,2,0),"")</f>
        <v/>
      </c>
      <c r="H334" s="288" t="str">
        <f>+IFERROR(VLOOKUP(F334,NVL!$B:$D,3,0),"")</f>
        <v/>
      </c>
      <c r="I334" s="288" t="str">
        <f>+IFERROR(VLOOKUP(F334,NVL!$B:$F,4,0),"")</f>
        <v/>
      </c>
      <c r="J334" s="289"/>
      <c r="K334" s="290"/>
      <c r="L334" s="291" t="str">
        <f>+IFERROR(VLOOKUP(K334,'THÀNH PHẨM'!$B:$F,3,0),"")</f>
        <v/>
      </c>
      <c r="M334" s="291" t="str">
        <f>+IFERROR(VLOOKUP(K334,'THÀNH PHẨM'!$B:$F,4,0),"")</f>
        <v/>
      </c>
      <c r="N334" s="291" t="str">
        <f>+IFERROR(VLOOKUP(K334,'THÀNH PHẨM'!$B:$F,5,0),"")</f>
        <v/>
      </c>
      <c r="O334" s="289"/>
      <c r="P334" s="292">
        <f t="shared" si="2"/>
        <v>0</v>
      </c>
      <c r="Q334" s="289"/>
      <c r="R334" s="289"/>
      <c r="S334" s="293">
        <f t="shared" si="62"/>
        <v>0</v>
      </c>
      <c r="T334" s="294"/>
      <c r="U334" s="295">
        <f t="shared" si="68"/>
        <v>0</v>
      </c>
      <c r="V334" s="296"/>
      <c r="W334" s="297"/>
      <c r="X334" s="298"/>
      <c r="Y334" s="292" t="str">
        <f t="shared" si="69"/>
        <v/>
      </c>
      <c r="Z334" s="366">
        <f t="shared" si="70"/>
        <v>0</v>
      </c>
      <c r="AA334" s="299" t="str">
        <f t="shared" si="71"/>
        <v/>
      </c>
      <c r="AB334" s="300"/>
      <c r="AC334" s="301"/>
      <c r="AD334" s="302"/>
      <c r="AE334" s="303"/>
      <c r="AF334" s="304"/>
      <c r="AG334" s="304"/>
      <c r="AH334" s="304"/>
      <c r="AI334" s="304"/>
      <c r="AJ334" s="304"/>
      <c r="AK334" s="305"/>
      <c r="AL334" s="283"/>
      <c r="AM334" s="284"/>
    </row>
    <row r="335" ht="15.75" customHeight="1">
      <c r="A335" s="282">
        <f t="shared" si="1"/>
        <v>331</v>
      </c>
      <c r="B335" s="283"/>
      <c r="C335" s="284"/>
      <c r="D335" s="338"/>
      <c r="E335" s="286"/>
      <c r="F335" s="287"/>
      <c r="G335" s="288" t="str">
        <f>+IFERROR(VLOOKUP(F335,NVL!$B:$C,2,0),"")</f>
        <v/>
      </c>
      <c r="H335" s="288" t="str">
        <f>+IFERROR(VLOOKUP(F335,NVL!$B:$D,3,0),"")</f>
        <v/>
      </c>
      <c r="I335" s="288" t="str">
        <f>+IFERROR(VLOOKUP(F335,NVL!$B:$F,4,0),"")</f>
        <v/>
      </c>
      <c r="J335" s="289"/>
      <c r="K335" s="290"/>
      <c r="L335" s="291" t="str">
        <f>+IFERROR(VLOOKUP(K335,'THÀNH PHẨM'!$B:$F,3,0),"")</f>
        <v/>
      </c>
      <c r="M335" s="291" t="str">
        <f>+IFERROR(VLOOKUP(K335,'THÀNH PHẨM'!$B:$F,4,0),"")</f>
        <v/>
      </c>
      <c r="N335" s="291" t="str">
        <f>+IFERROR(VLOOKUP(K335,'THÀNH PHẨM'!$B:$F,5,0),"")</f>
        <v/>
      </c>
      <c r="O335" s="289"/>
      <c r="P335" s="292">
        <f t="shared" si="2"/>
        <v>0</v>
      </c>
      <c r="Q335" s="289"/>
      <c r="R335" s="289"/>
      <c r="S335" s="293">
        <f t="shared" si="62"/>
        <v>0</v>
      </c>
      <c r="T335" s="294"/>
      <c r="U335" s="295">
        <f t="shared" si="68"/>
        <v>0</v>
      </c>
      <c r="V335" s="296"/>
      <c r="W335" s="297"/>
      <c r="X335" s="298"/>
      <c r="Y335" s="292" t="str">
        <f t="shared" si="69"/>
        <v/>
      </c>
      <c r="Z335" s="366">
        <f t="shared" si="70"/>
        <v>0</v>
      </c>
      <c r="AA335" s="299" t="str">
        <f t="shared" si="71"/>
        <v/>
      </c>
      <c r="AB335" s="300"/>
      <c r="AC335" s="301"/>
      <c r="AD335" s="302"/>
      <c r="AE335" s="303"/>
      <c r="AF335" s="304"/>
      <c r="AG335" s="304"/>
      <c r="AH335" s="304"/>
      <c r="AI335" s="304"/>
      <c r="AJ335" s="304"/>
      <c r="AK335" s="305"/>
      <c r="AL335" s="283"/>
      <c r="AM335" s="284"/>
    </row>
    <row r="336" ht="15.75" customHeight="1">
      <c r="A336" s="282">
        <f t="shared" si="1"/>
        <v>332</v>
      </c>
      <c r="B336" s="283"/>
      <c r="C336" s="284"/>
      <c r="D336" s="338"/>
      <c r="E336" s="286"/>
      <c r="F336" s="287"/>
      <c r="G336" s="288" t="str">
        <f>+IFERROR(VLOOKUP(F336,NVL!$B:$C,2,0),"")</f>
        <v/>
      </c>
      <c r="H336" s="288" t="str">
        <f>+IFERROR(VLOOKUP(F336,NVL!$B:$D,3,0),"")</f>
        <v/>
      </c>
      <c r="I336" s="288" t="str">
        <f>+IFERROR(VLOOKUP(F336,NVL!$B:$F,4,0),"")</f>
        <v/>
      </c>
      <c r="J336" s="289"/>
      <c r="K336" s="290"/>
      <c r="L336" s="291" t="str">
        <f>+IFERROR(VLOOKUP(K336,'THÀNH PHẨM'!$B:$F,3,0),"")</f>
        <v/>
      </c>
      <c r="M336" s="291" t="str">
        <f>+IFERROR(VLOOKUP(K336,'THÀNH PHẨM'!$B:$F,4,0),"")</f>
        <v/>
      </c>
      <c r="N336" s="291" t="str">
        <f>+IFERROR(VLOOKUP(K336,'THÀNH PHẨM'!$B:$F,5,0),"")</f>
        <v/>
      </c>
      <c r="O336" s="289"/>
      <c r="P336" s="292">
        <f t="shared" si="2"/>
        <v>0</v>
      </c>
      <c r="Q336" s="289"/>
      <c r="R336" s="289"/>
      <c r="S336" s="293">
        <f t="shared" si="62"/>
        <v>0</v>
      </c>
      <c r="T336" s="294"/>
      <c r="U336" s="295">
        <f t="shared" si="68"/>
        <v>0</v>
      </c>
      <c r="V336" s="296"/>
      <c r="W336" s="297"/>
      <c r="X336" s="298"/>
      <c r="Y336" s="292" t="str">
        <f t="shared" si="69"/>
        <v/>
      </c>
      <c r="Z336" s="366">
        <f t="shared" si="70"/>
        <v>0</v>
      </c>
      <c r="AA336" s="299" t="str">
        <f t="shared" si="71"/>
        <v/>
      </c>
      <c r="AB336" s="300"/>
      <c r="AC336" s="301"/>
      <c r="AD336" s="302"/>
      <c r="AE336" s="303"/>
      <c r="AF336" s="304"/>
      <c r="AG336" s="304"/>
      <c r="AH336" s="304"/>
      <c r="AI336" s="304"/>
      <c r="AJ336" s="304"/>
      <c r="AK336" s="305"/>
      <c r="AL336" s="283"/>
      <c r="AM336" s="284"/>
    </row>
    <row r="337" ht="15.75" customHeight="1">
      <c r="A337" s="282">
        <f t="shared" si="1"/>
        <v>333</v>
      </c>
      <c r="B337" s="283"/>
      <c r="C337" s="284"/>
      <c r="D337" s="338"/>
      <c r="E337" s="286"/>
      <c r="F337" s="287"/>
      <c r="G337" s="288" t="str">
        <f>+IFERROR(VLOOKUP(F337,NVL!$B:$C,2,0),"")</f>
        <v/>
      </c>
      <c r="H337" s="288" t="str">
        <f>+IFERROR(VLOOKUP(F337,NVL!$B:$D,3,0),"")</f>
        <v/>
      </c>
      <c r="I337" s="288" t="str">
        <f>+IFERROR(VLOOKUP(F337,NVL!$B:$F,4,0),"")</f>
        <v/>
      </c>
      <c r="J337" s="289"/>
      <c r="K337" s="290"/>
      <c r="L337" s="291" t="str">
        <f>+IFERROR(VLOOKUP(K337,'THÀNH PHẨM'!$B:$F,3,0),"")</f>
        <v/>
      </c>
      <c r="M337" s="291" t="str">
        <f>+IFERROR(VLOOKUP(K337,'THÀNH PHẨM'!$B:$F,4,0),"")</f>
        <v/>
      </c>
      <c r="N337" s="291" t="str">
        <f>+IFERROR(VLOOKUP(K337,'THÀNH PHẨM'!$B:$F,5,0),"")</f>
        <v/>
      </c>
      <c r="O337" s="289"/>
      <c r="P337" s="292">
        <f t="shared" si="2"/>
        <v>0</v>
      </c>
      <c r="Q337" s="289"/>
      <c r="R337" s="289"/>
      <c r="S337" s="293">
        <f t="shared" si="62"/>
        <v>0</v>
      </c>
      <c r="T337" s="294"/>
      <c r="U337" s="295">
        <f t="shared" si="68"/>
        <v>0</v>
      </c>
      <c r="V337" s="296"/>
      <c r="W337" s="297"/>
      <c r="X337" s="298"/>
      <c r="Y337" s="292" t="str">
        <f t="shared" si="69"/>
        <v/>
      </c>
      <c r="Z337" s="366">
        <f t="shared" si="70"/>
        <v>0</v>
      </c>
      <c r="AA337" s="299" t="str">
        <f t="shared" si="71"/>
        <v/>
      </c>
      <c r="AB337" s="300"/>
      <c r="AC337" s="301"/>
      <c r="AD337" s="302"/>
      <c r="AE337" s="303"/>
      <c r="AF337" s="304"/>
      <c r="AG337" s="304"/>
      <c r="AH337" s="304"/>
      <c r="AI337" s="304"/>
      <c r="AJ337" s="304"/>
      <c r="AK337" s="305"/>
      <c r="AL337" s="283"/>
      <c r="AM337" s="284"/>
    </row>
    <row r="338" ht="15.75" customHeight="1">
      <c r="A338" s="282">
        <f t="shared" si="1"/>
        <v>334</v>
      </c>
      <c r="B338" s="283"/>
      <c r="C338" s="284"/>
      <c r="D338" s="338"/>
      <c r="E338" s="286"/>
      <c r="F338" s="287"/>
      <c r="G338" s="288" t="str">
        <f>+IFERROR(VLOOKUP(F338,NVL!$B:$C,2,0),"")</f>
        <v/>
      </c>
      <c r="H338" s="288" t="str">
        <f>+IFERROR(VLOOKUP(F338,NVL!$B:$D,3,0),"")</f>
        <v/>
      </c>
      <c r="I338" s="288" t="str">
        <f>+IFERROR(VLOOKUP(F338,NVL!$B:$F,4,0),"")</f>
        <v/>
      </c>
      <c r="J338" s="289"/>
      <c r="K338" s="290"/>
      <c r="L338" s="291" t="str">
        <f>+IFERROR(VLOOKUP(K338,'THÀNH PHẨM'!$B:$F,3,0),"")</f>
        <v/>
      </c>
      <c r="M338" s="291" t="str">
        <f>+IFERROR(VLOOKUP(K338,'THÀNH PHẨM'!$B:$F,4,0),"")</f>
        <v/>
      </c>
      <c r="N338" s="291" t="str">
        <f>+IFERROR(VLOOKUP(K338,'THÀNH PHẨM'!$B:$F,5,0),"")</f>
        <v/>
      </c>
      <c r="O338" s="289"/>
      <c r="P338" s="292">
        <f t="shared" si="2"/>
        <v>0</v>
      </c>
      <c r="Q338" s="289"/>
      <c r="R338" s="289"/>
      <c r="S338" s="293">
        <f t="shared" si="62"/>
        <v>0</v>
      </c>
      <c r="T338" s="294"/>
      <c r="U338" s="295">
        <f t="shared" si="68"/>
        <v>0</v>
      </c>
      <c r="V338" s="296"/>
      <c r="W338" s="297"/>
      <c r="X338" s="298"/>
      <c r="Y338" s="292" t="str">
        <f t="shared" si="69"/>
        <v/>
      </c>
      <c r="Z338" s="366">
        <f t="shared" si="70"/>
        <v>0</v>
      </c>
      <c r="AA338" s="299" t="str">
        <f t="shared" si="71"/>
        <v/>
      </c>
      <c r="AB338" s="300"/>
      <c r="AC338" s="301"/>
      <c r="AD338" s="302"/>
      <c r="AE338" s="303"/>
      <c r="AF338" s="304"/>
      <c r="AG338" s="304"/>
      <c r="AH338" s="304"/>
      <c r="AI338" s="304"/>
      <c r="AJ338" s="304"/>
      <c r="AK338" s="305"/>
      <c r="AL338" s="283"/>
      <c r="AM338" s="284"/>
    </row>
    <row r="339" ht="15.75" customHeight="1">
      <c r="A339" s="282">
        <f t="shared" si="1"/>
        <v>335</v>
      </c>
      <c r="B339" s="283"/>
      <c r="C339" s="284"/>
      <c r="D339" s="338"/>
      <c r="E339" s="286"/>
      <c r="F339" s="287"/>
      <c r="G339" s="288" t="str">
        <f>+IFERROR(VLOOKUP(F339,NVL!$B:$C,2,0),"")</f>
        <v/>
      </c>
      <c r="H339" s="288" t="str">
        <f>+IFERROR(VLOOKUP(F339,NVL!$B:$D,3,0),"")</f>
        <v/>
      </c>
      <c r="I339" s="288" t="str">
        <f>+IFERROR(VLOOKUP(F339,NVL!$B:$F,4,0),"")</f>
        <v/>
      </c>
      <c r="J339" s="289"/>
      <c r="K339" s="290"/>
      <c r="L339" s="291" t="str">
        <f>+IFERROR(VLOOKUP(K339,'THÀNH PHẨM'!$B:$F,3,0),"")</f>
        <v/>
      </c>
      <c r="M339" s="291" t="str">
        <f>+IFERROR(VLOOKUP(K339,'THÀNH PHẨM'!$B:$F,4,0),"")</f>
        <v/>
      </c>
      <c r="N339" s="291" t="str">
        <f>+IFERROR(VLOOKUP(K339,'THÀNH PHẨM'!$B:$F,5,0),"")</f>
        <v/>
      </c>
      <c r="O339" s="289"/>
      <c r="P339" s="292">
        <f t="shared" si="2"/>
        <v>0</v>
      </c>
      <c r="Q339" s="289"/>
      <c r="R339" s="289"/>
      <c r="S339" s="293">
        <f t="shared" si="62"/>
        <v>0</v>
      </c>
      <c r="T339" s="294"/>
      <c r="U339" s="295">
        <f t="shared" si="68"/>
        <v>0</v>
      </c>
      <c r="V339" s="296"/>
      <c r="W339" s="297"/>
      <c r="X339" s="298"/>
      <c r="Y339" s="292" t="str">
        <f t="shared" si="69"/>
        <v/>
      </c>
      <c r="Z339" s="366">
        <f t="shared" si="70"/>
        <v>0</v>
      </c>
      <c r="AA339" s="299" t="str">
        <f t="shared" si="71"/>
        <v/>
      </c>
      <c r="AB339" s="300"/>
      <c r="AC339" s="301"/>
      <c r="AD339" s="302"/>
      <c r="AE339" s="303"/>
      <c r="AF339" s="304"/>
      <c r="AG339" s="304"/>
      <c r="AH339" s="304"/>
      <c r="AI339" s="304"/>
      <c r="AJ339" s="304"/>
      <c r="AK339" s="305"/>
      <c r="AL339" s="283"/>
      <c r="AM339" s="284"/>
    </row>
    <row r="340" ht="15.75" customHeight="1">
      <c r="A340" s="282">
        <f t="shared" si="1"/>
        <v>336</v>
      </c>
      <c r="B340" s="283"/>
      <c r="C340" s="284"/>
      <c r="D340" s="338"/>
      <c r="E340" s="286"/>
      <c r="F340" s="287"/>
      <c r="G340" s="288" t="str">
        <f>+IFERROR(VLOOKUP(F340,NVL!$B:$C,2,0),"")</f>
        <v/>
      </c>
      <c r="H340" s="288" t="str">
        <f>+IFERROR(VLOOKUP(F340,NVL!$B:$D,3,0),"")</f>
        <v/>
      </c>
      <c r="I340" s="288" t="str">
        <f>+IFERROR(VLOOKUP(F340,NVL!$B:$F,4,0),"")</f>
        <v/>
      </c>
      <c r="J340" s="289"/>
      <c r="K340" s="290"/>
      <c r="L340" s="291" t="str">
        <f>+IFERROR(VLOOKUP(K340,'THÀNH PHẨM'!$B:$F,3,0),"")</f>
        <v/>
      </c>
      <c r="M340" s="291" t="str">
        <f>+IFERROR(VLOOKUP(K340,'THÀNH PHẨM'!$B:$F,4,0),"")</f>
        <v/>
      </c>
      <c r="N340" s="291" t="str">
        <f>+IFERROR(VLOOKUP(K340,'THÀNH PHẨM'!$B:$F,5,0),"")</f>
        <v/>
      </c>
      <c r="O340" s="289"/>
      <c r="P340" s="292">
        <f t="shared" si="2"/>
        <v>0</v>
      </c>
      <c r="Q340" s="289"/>
      <c r="R340" s="289"/>
      <c r="S340" s="293">
        <f t="shared" si="62"/>
        <v>0</v>
      </c>
      <c r="T340" s="294"/>
      <c r="U340" s="295">
        <f t="shared" si="68"/>
        <v>0</v>
      </c>
      <c r="V340" s="296"/>
      <c r="W340" s="297"/>
      <c r="X340" s="298"/>
      <c r="Y340" s="292" t="str">
        <f t="shared" si="69"/>
        <v/>
      </c>
      <c r="Z340" s="366">
        <f t="shared" si="70"/>
        <v>0</v>
      </c>
      <c r="AA340" s="299" t="str">
        <f t="shared" si="71"/>
        <v/>
      </c>
      <c r="AB340" s="300"/>
      <c r="AC340" s="301"/>
      <c r="AD340" s="302"/>
      <c r="AE340" s="303"/>
      <c r="AF340" s="304"/>
      <c r="AG340" s="304"/>
      <c r="AH340" s="304"/>
      <c r="AI340" s="304"/>
      <c r="AJ340" s="304"/>
      <c r="AK340" s="305"/>
      <c r="AL340" s="283"/>
      <c r="AM340" s="284"/>
    </row>
    <row r="341" ht="15.75" customHeight="1">
      <c r="A341" s="282">
        <f t="shared" si="1"/>
        <v>337</v>
      </c>
      <c r="B341" s="283"/>
      <c r="C341" s="284"/>
      <c r="D341" s="338"/>
      <c r="E341" s="286"/>
      <c r="F341" s="287"/>
      <c r="G341" s="288" t="str">
        <f>+IFERROR(VLOOKUP(F341,NVL!$B:$C,2,0),"")</f>
        <v/>
      </c>
      <c r="H341" s="288" t="str">
        <f>+IFERROR(VLOOKUP(F341,NVL!$B:$D,3,0),"")</f>
        <v/>
      </c>
      <c r="I341" s="288" t="str">
        <f>+IFERROR(VLOOKUP(F341,NVL!$B:$F,4,0),"")</f>
        <v/>
      </c>
      <c r="J341" s="289"/>
      <c r="K341" s="290"/>
      <c r="L341" s="291" t="str">
        <f>+IFERROR(VLOOKUP(K341,'THÀNH PHẨM'!$B:$F,3,0),"")</f>
        <v/>
      </c>
      <c r="M341" s="291" t="str">
        <f>+IFERROR(VLOOKUP(K341,'THÀNH PHẨM'!$B:$F,4,0),"")</f>
        <v/>
      </c>
      <c r="N341" s="291" t="str">
        <f>+IFERROR(VLOOKUP(K341,'THÀNH PHẨM'!$B:$F,5,0),"")</f>
        <v/>
      </c>
      <c r="O341" s="289"/>
      <c r="P341" s="292">
        <f t="shared" si="2"/>
        <v>0</v>
      </c>
      <c r="Q341" s="289"/>
      <c r="R341" s="289"/>
      <c r="S341" s="293">
        <f t="shared" si="62"/>
        <v>0</v>
      </c>
      <c r="T341" s="294"/>
      <c r="U341" s="295">
        <f t="shared" si="68"/>
        <v>0</v>
      </c>
      <c r="V341" s="296"/>
      <c r="W341" s="297"/>
      <c r="X341" s="298"/>
      <c r="Y341" s="292" t="str">
        <f t="shared" si="69"/>
        <v/>
      </c>
      <c r="Z341" s="366">
        <f t="shared" si="70"/>
        <v>0</v>
      </c>
      <c r="AA341" s="299" t="str">
        <f t="shared" si="71"/>
        <v/>
      </c>
      <c r="AB341" s="300"/>
      <c r="AC341" s="301"/>
      <c r="AD341" s="302"/>
      <c r="AE341" s="303"/>
      <c r="AF341" s="304"/>
      <c r="AG341" s="304"/>
      <c r="AH341" s="304"/>
      <c r="AI341" s="304"/>
      <c r="AJ341" s="304"/>
      <c r="AK341" s="305"/>
      <c r="AL341" s="283"/>
      <c r="AM341" s="284"/>
    </row>
    <row r="342" ht="15.75" customHeight="1">
      <c r="A342" s="282">
        <f t="shared" si="1"/>
        <v>338</v>
      </c>
      <c r="B342" s="283"/>
      <c r="C342" s="284"/>
      <c r="D342" s="338"/>
      <c r="E342" s="286"/>
      <c r="F342" s="287"/>
      <c r="G342" s="288" t="str">
        <f>+IFERROR(VLOOKUP(F342,NVL!$B:$C,2,0),"")</f>
        <v/>
      </c>
      <c r="H342" s="288" t="str">
        <f>+IFERROR(VLOOKUP(F342,NVL!$B:$D,3,0),"")</f>
        <v/>
      </c>
      <c r="I342" s="288" t="str">
        <f>+IFERROR(VLOOKUP(F342,NVL!$B:$F,4,0),"")</f>
        <v/>
      </c>
      <c r="J342" s="289"/>
      <c r="K342" s="290"/>
      <c r="L342" s="291" t="str">
        <f>+IFERROR(VLOOKUP(K342,'THÀNH PHẨM'!$B:$F,3,0),"")</f>
        <v/>
      </c>
      <c r="M342" s="291" t="str">
        <f>+IFERROR(VLOOKUP(K342,'THÀNH PHẨM'!$B:$F,4,0),"")</f>
        <v/>
      </c>
      <c r="N342" s="291" t="str">
        <f>+IFERROR(VLOOKUP(K342,'THÀNH PHẨM'!$B:$F,5,0),"")</f>
        <v/>
      </c>
      <c r="O342" s="289"/>
      <c r="P342" s="292">
        <f t="shared" si="2"/>
        <v>0</v>
      </c>
      <c r="Q342" s="289"/>
      <c r="R342" s="289"/>
      <c r="S342" s="293">
        <f t="shared" si="62"/>
        <v>0</v>
      </c>
      <c r="T342" s="294"/>
      <c r="U342" s="295">
        <f t="shared" si="68"/>
        <v>0</v>
      </c>
      <c r="V342" s="296"/>
      <c r="W342" s="297"/>
      <c r="X342" s="298"/>
      <c r="Y342" s="292" t="str">
        <f t="shared" si="69"/>
        <v/>
      </c>
      <c r="Z342" s="366">
        <f t="shared" si="70"/>
        <v>0</v>
      </c>
      <c r="AA342" s="299" t="str">
        <f t="shared" si="71"/>
        <v/>
      </c>
      <c r="AB342" s="300"/>
      <c r="AC342" s="301"/>
      <c r="AD342" s="302"/>
      <c r="AE342" s="303"/>
      <c r="AF342" s="304"/>
      <c r="AG342" s="304"/>
      <c r="AH342" s="304"/>
      <c r="AI342" s="304"/>
      <c r="AJ342" s="304"/>
      <c r="AK342" s="305"/>
      <c r="AL342" s="283"/>
      <c r="AM342" s="284"/>
    </row>
    <row r="343" ht="15.75" customHeight="1">
      <c r="A343" s="282">
        <f t="shared" si="1"/>
        <v>339</v>
      </c>
      <c r="B343" s="283"/>
      <c r="C343" s="284"/>
      <c r="D343" s="338"/>
      <c r="E343" s="286"/>
      <c r="F343" s="287"/>
      <c r="G343" s="288" t="str">
        <f>+IFERROR(VLOOKUP(F343,NVL!$B:$C,2,0),"")</f>
        <v/>
      </c>
      <c r="H343" s="288" t="str">
        <f>+IFERROR(VLOOKUP(F343,NVL!$B:$D,3,0),"")</f>
        <v/>
      </c>
      <c r="I343" s="288" t="str">
        <f>+IFERROR(VLOOKUP(F343,NVL!$B:$F,4,0),"")</f>
        <v/>
      </c>
      <c r="J343" s="289"/>
      <c r="K343" s="290"/>
      <c r="L343" s="291" t="str">
        <f>+IFERROR(VLOOKUP(K343,'THÀNH PHẨM'!$B:$F,3,0),"")</f>
        <v/>
      </c>
      <c r="M343" s="291" t="str">
        <f>+IFERROR(VLOOKUP(K343,'THÀNH PHẨM'!$B:$F,4,0),"")</f>
        <v/>
      </c>
      <c r="N343" s="291" t="str">
        <f>+IFERROR(VLOOKUP(K343,'THÀNH PHẨM'!$B:$F,5,0),"")</f>
        <v/>
      </c>
      <c r="O343" s="289"/>
      <c r="P343" s="292">
        <f t="shared" si="2"/>
        <v>0</v>
      </c>
      <c r="Q343" s="289"/>
      <c r="R343" s="289"/>
      <c r="S343" s="293">
        <f t="shared" si="62"/>
        <v>0</v>
      </c>
      <c r="T343" s="294"/>
      <c r="U343" s="295">
        <f t="shared" si="68"/>
        <v>0</v>
      </c>
      <c r="V343" s="296"/>
      <c r="W343" s="297"/>
      <c r="X343" s="298"/>
      <c r="Y343" s="292" t="str">
        <f t="shared" si="69"/>
        <v/>
      </c>
      <c r="Z343" s="366">
        <f t="shared" si="70"/>
        <v>0</v>
      </c>
      <c r="AA343" s="299" t="str">
        <f t="shared" si="71"/>
        <v/>
      </c>
      <c r="AB343" s="300"/>
      <c r="AC343" s="301"/>
      <c r="AD343" s="302"/>
      <c r="AE343" s="303"/>
      <c r="AF343" s="304"/>
      <c r="AG343" s="304"/>
      <c r="AH343" s="304"/>
      <c r="AI343" s="304"/>
      <c r="AJ343" s="304"/>
      <c r="AK343" s="305"/>
      <c r="AL343" s="283"/>
      <c r="AM343" s="284"/>
    </row>
    <row r="344" ht="15.75" customHeight="1">
      <c r="A344" s="282">
        <f t="shared" si="1"/>
        <v>340</v>
      </c>
      <c r="B344" s="283"/>
      <c r="C344" s="284"/>
      <c r="D344" s="338"/>
      <c r="E344" s="286"/>
      <c r="F344" s="287"/>
      <c r="G344" s="288" t="str">
        <f>+IFERROR(VLOOKUP(F344,NVL!$B:$C,2,0),"")</f>
        <v/>
      </c>
      <c r="H344" s="288" t="str">
        <f>+IFERROR(VLOOKUP(F344,NVL!$B:$D,3,0),"")</f>
        <v/>
      </c>
      <c r="I344" s="288" t="str">
        <f>+IFERROR(VLOOKUP(F344,NVL!$B:$F,4,0),"")</f>
        <v/>
      </c>
      <c r="J344" s="289"/>
      <c r="K344" s="290"/>
      <c r="L344" s="291" t="str">
        <f>+IFERROR(VLOOKUP(K344,'THÀNH PHẨM'!$B:$F,3,0),"")</f>
        <v/>
      </c>
      <c r="M344" s="291" t="str">
        <f>+IFERROR(VLOOKUP(K344,'THÀNH PHẨM'!$B:$F,4,0),"")</f>
        <v/>
      </c>
      <c r="N344" s="291" t="str">
        <f>+IFERROR(VLOOKUP(K344,'THÀNH PHẨM'!$B:$F,5,0),"")</f>
        <v/>
      </c>
      <c r="O344" s="289"/>
      <c r="P344" s="292">
        <f t="shared" si="2"/>
        <v>0</v>
      </c>
      <c r="Q344" s="289"/>
      <c r="R344" s="289"/>
      <c r="S344" s="293">
        <f t="shared" si="62"/>
        <v>0</v>
      </c>
      <c r="T344" s="294"/>
      <c r="U344" s="295">
        <f t="shared" si="68"/>
        <v>0</v>
      </c>
      <c r="V344" s="296"/>
      <c r="W344" s="297"/>
      <c r="X344" s="298"/>
      <c r="Y344" s="292" t="str">
        <f t="shared" si="69"/>
        <v/>
      </c>
      <c r="Z344" s="366">
        <f t="shared" si="70"/>
        <v>0</v>
      </c>
      <c r="AA344" s="299" t="str">
        <f t="shared" si="71"/>
        <v/>
      </c>
      <c r="AB344" s="300"/>
      <c r="AC344" s="301"/>
      <c r="AD344" s="302"/>
      <c r="AE344" s="303"/>
      <c r="AF344" s="304"/>
      <c r="AG344" s="304"/>
      <c r="AH344" s="304"/>
      <c r="AI344" s="304"/>
      <c r="AJ344" s="304"/>
      <c r="AK344" s="305"/>
      <c r="AL344" s="283"/>
      <c r="AM344" s="284"/>
    </row>
    <row r="345" ht="15.75" customHeight="1">
      <c r="A345" s="282">
        <f t="shared" si="1"/>
        <v>341</v>
      </c>
      <c r="B345" s="283"/>
      <c r="C345" s="284"/>
      <c r="D345" s="338"/>
      <c r="E345" s="286"/>
      <c r="F345" s="287"/>
      <c r="G345" s="288" t="str">
        <f>+IFERROR(VLOOKUP(F345,NVL!$B:$C,2,0),"")</f>
        <v/>
      </c>
      <c r="H345" s="288" t="str">
        <f>+IFERROR(VLOOKUP(F345,NVL!$B:$D,3,0),"")</f>
        <v/>
      </c>
      <c r="I345" s="288" t="str">
        <f>+IFERROR(VLOOKUP(F345,NVL!$B:$F,4,0),"")</f>
        <v/>
      </c>
      <c r="J345" s="289"/>
      <c r="K345" s="290"/>
      <c r="L345" s="291" t="str">
        <f>+IFERROR(VLOOKUP(K345,'THÀNH PHẨM'!$B:$F,3,0),"")</f>
        <v/>
      </c>
      <c r="M345" s="291" t="str">
        <f>+IFERROR(VLOOKUP(K345,'THÀNH PHẨM'!$B:$F,4,0),"")</f>
        <v/>
      </c>
      <c r="N345" s="291" t="str">
        <f>+IFERROR(VLOOKUP(K345,'THÀNH PHẨM'!$B:$F,5,0),"")</f>
        <v/>
      </c>
      <c r="O345" s="289"/>
      <c r="P345" s="292">
        <f t="shared" si="2"/>
        <v>0</v>
      </c>
      <c r="Q345" s="289"/>
      <c r="R345" s="289"/>
      <c r="S345" s="293">
        <f t="shared" si="62"/>
        <v>0</v>
      </c>
      <c r="T345" s="294"/>
      <c r="U345" s="295">
        <f t="shared" si="68"/>
        <v>0</v>
      </c>
      <c r="V345" s="296"/>
      <c r="W345" s="297"/>
      <c r="X345" s="298"/>
      <c r="Y345" s="292" t="str">
        <f t="shared" si="69"/>
        <v/>
      </c>
      <c r="Z345" s="366">
        <f t="shared" si="70"/>
        <v>0</v>
      </c>
      <c r="AA345" s="299" t="str">
        <f t="shared" si="71"/>
        <v/>
      </c>
      <c r="AB345" s="300"/>
      <c r="AC345" s="301"/>
      <c r="AD345" s="302"/>
      <c r="AE345" s="303"/>
      <c r="AF345" s="304"/>
      <c r="AG345" s="304"/>
      <c r="AH345" s="304"/>
      <c r="AI345" s="304"/>
      <c r="AJ345" s="304"/>
      <c r="AK345" s="305"/>
      <c r="AL345" s="283"/>
      <c r="AM345" s="284"/>
    </row>
    <row r="346" ht="15.75" customHeight="1">
      <c r="A346" s="282">
        <f t="shared" si="1"/>
        <v>342</v>
      </c>
      <c r="B346" s="283"/>
      <c r="C346" s="284"/>
      <c r="D346" s="338"/>
      <c r="E346" s="286"/>
      <c r="F346" s="287"/>
      <c r="G346" s="288" t="str">
        <f>+IFERROR(VLOOKUP(F346,NVL!$B:$C,2,0),"")</f>
        <v/>
      </c>
      <c r="H346" s="288" t="str">
        <f>+IFERROR(VLOOKUP(F346,NVL!$B:$D,3,0),"")</f>
        <v/>
      </c>
      <c r="I346" s="288" t="str">
        <f>+IFERROR(VLOOKUP(F346,NVL!$B:$F,4,0),"")</f>
        <v/>
      </c>
      <c r="J346" s="289"/>
      <c r="K346" s="290"/>
      <c r="L346" s="291" t="str">
        <f>+IFERROR(VLOOKUP(K346,'THÀNH PHẨM'!$B:$F,3,0),"")</f>
        <v/>
      </c>
      <c r="M346" s="291" t="str">
        <f>+IFERROR(VLOOKUP(K346,'THÀNH PHẨM'!$B:$F,4,0),"")</f>
        <v/>
      </c>
      <c r="N346" s="291" t="str">
        <f>+IFERROR(VLOOKUP(K346,'THÀNH PHẨM'!$B:$F,5,0),"")</f>
        <v/>
      </c>
      <c r="O346" s="289"/>
      <c r="P346" s="292">
        <f t="shared" si="2"/>
        <v>0</v>
      </c>
      <c r="Q346" s="289"/>
      <c r="R346" s="289"/>
      <c r="S346" s="293">
        <f t="shared" si="62"/>
        <v>0</v>
      </c>
      <c r="T346" s="294"/>
      <c r="U346" s="295">
        <f t="shared" si="68"/>
        <v>0</v>
      </c>
      <c r="V346" s="296"/>
      <c r="W346" s="297"/>
      <c r="X346" s="298"/>
      <c r="Y346" s="292" t="str">
        <f t="shared" si="69"/>
        <v/>
      </c>
      <c r="Z346" s="366">
        <f t="shared" si="70"/>
        <v>0</v>
      </c>
      <c r="AA346" s="299" t="str">
        <f t="shared" si="71"/>
        <v/>
      </c>
      <c r="AB346" s="300"/>
      <c r="AC346" s="301"/>
      <c r="AD346" s="302"/>
      <c r="AE346" s="303"/>
      <c r="AF346" s="304"/>
      <c r="AG346" s="304"/>
      <c r="AH346" s="304"/>
      <c r="AI346" s="304"/>
      <c r="AJ346" s="304"/>
      <c r="AK346" s="305"/>
      <c r="AL346" s="283"/>
      <c r="AM346" s="284"/>
    </row>
    <row r="347" ht="15.75" customHeight="1">
      <c r="A347" s="282">
        <f t="shared" si="1"/>
        <v>343</v>
      </c>
      <c r="B347" s="283"/>
      <c r="C347" s="284"/>
      <c r="D347" s="338"/>
      <c r="E347" s="286"/>
      <c r="F347" s="287"/>
      <c r="G347" s="288" t="str">
        <f>+IFERROR(VLOOKUP(F347,NVL!$B:$C,2,0),"")</f>
        <v/>
      </c>
      <c r="H347" s="288" t="str">
        <f>+IFERROR(VLOOKUP(F347,NVL!$B:$D,3,0),"")</f>
        <v/>
      </c>
      <c r="I347" s="288" t="str">
        <f>+IFERROR(VLOOKUP(F347,NVL!$B:$F,4,0),"")</f>
        <v/>
      </c>
      <c r="J347" s="289"/>
      <c r="K347" s="290"/>
      <c r="L347" s="291" t="str">
        <f>+IFERROR(VLOOKUP(K347,'THÀNH PHẨM'!$B:$F,3,0),"")</f>
        <v/>
      </c>
      <c r="M347" s="291" t="str">
        <f>+IFERROR(VLOOKUP(K347,'THÀNH PHẨM'!$B:$F,4,0),"")</f>
        <v/>
      </c>
      <c r="N347" s="291" t="str">
        <f>+IFERROR(VLOOKUP(K347,'THÀNH PHẨM'!$B:$F,5,0),"")</f>
        <v/>
      </c>
      <c r="O347" s="289"/>
      <c r="P347" s="292">
        <f t="shared" si="2"/>
        <v>0</v>
      </c>
      <c r="Q347" s="289"/>
      <c r="R347" s="289"/>
      <c r="S347" s="293">
        <f t="shared" si="62"/>
        <v>0</v>
      </c>
      <c r="T347" s="294"/>
      <c r="U347" s="295">
        <f t="shared" si="68"/>
        <v>0</v>
      </c>
      <c r="V347" s="296"/>
      <c r="W347" s="297"/>
      <c r="X347" s="298"/>
      <c r="Y347" s="292" t="str">
        <f t="shared" si="69"/>
        <v/>
      </c>
      <c r="Z347" s="366">
        <f t="shared" si="70"/>
        <v>0</v>
      </c>
      <c r="AA347" s="299" t="str">
        <f t="shared" si="71"/>
        <v/>
      </c>
      <c r="AB347" s="300"/>
      <c r="AC347" s="301"/>
      <c r="AD347" s="302"/>
      <c r="AE347" s="303"/>
      <c r="AF347" s="304"/>
      <c r="AG347" s="304"/>
      <c r="AH347" s="304"/>
      <c r="AI347" s="304"/>
      <c r="AJ347" s="304"/>
      <c r="AK347" s="305"/>
      <c r="AL347" s="283"/>
      <c r="AM347" s="284"/>
    </row>
    <row r="348" ht="15.75" customHeight="1">
      <c r="A348" s="282">
        <f t="shared" si="1"/>
        <v>344</v>
      </c>
      <c r="B348" s="283"/>
      <c r="C348" s="284"/>
      <c r="D348" s="338"/>
      <c r="E348" s="286"/>
      <c r="F348" s="287"/>
      <c r="G348" s="288" t="str">
        <f>+IFERROR(VLOOKUP(F348,NVL!$B:$C,2,0),"")</f>
        <v/>
      </c>
      <c r="H348" s="288" t="str">
        <f>+IFERROR(VLOOKUP(F348,NVL!$B:$D,3,0),"")</f>
        <v/>
      </c>
      <c r="I348" s="288" t="str">
        <f>+IFERROR(VLOOKUP(F348,NVL!$B:$F,4,0),"")</f>
        <v/>
      </c>
      <c r="J348" s="289"/>
      <c r="K348" s="290"/>
      <c r="L348" s="291" t="str">
        <f>+IFERROR(VLOOKUP(K348,'THÀNH PHẨM'!$B:$F,3,0),"")</f>
        <v/>
      </c>
      <c r="M348" s="291" t="str">
        <f>+IFERROR(VLOOKUP(K348,'THÀNH PHẨM'!$B:$F,4,0),"")</f>
        <v/>
      </c>
      <c r="N348" s="291" t="str">
        <f>+IFERROR(VLOOKUP(K348,'THÀNH PHẨM'!$B:$F,5,0),"")</f>
        <v/>
      </c>
      <c r="O348" s="289"/>
      <c r="P348" s="292">
        <f t="shared" si="2"/>
        <v>0</v>
      </c>
      <c r="Q348" s="289"/>
      <c r="R348" s="289"/>
      <c r="S348" s="293">
        <f t="shared" si="62"/>
        <v>0</v>
      </c>
      <c r="T348" s="294"/>
      <c r="U348" s="295">
        <f t="shared" si="68"/>
        <v>0</v>
      </c>
      <c r="V348" s="296"/>
      <c r="W348" s="297"/>
      <c r="X348" s="298"/>
      <c r="Y348" s="292" t="str">
        <f t="shared" si="69"/>
        <v/>
      </c>
      <c r="Z348" s="366">
        <f t="shared" si="70"/>
        <v>0</v>
      </c>
      <c r="AA348" s="299" t="str">
        <f t="shared" si="71"/>
        <v/>
      </c>
      <c r="AB348" s="300"/>
      <c r="AC348" s="301"/>
      <c r="AD348" s="302"/>
      <c r="AE348" s="303"/>
      <c r="AF348" s="304"/>
      <c r="AG348" s="304"/>
      <c r="AH348" s="304"/>
      <c r="AI348" s="304"/>
      <c r="AJ348" s="304"/>
      <c r="AK348" s="305"/>
      <c r="AL348" s="283"/>
      <c r="AM348" s="284"/>
    </row>
    <row r="349" ht="15.75" customHeight="1">
      <c r="A349" s="282">
        <f t="shared" si="1"/>
        <v>345</v>
      </c>
      <c r="B349" s="283"/>
      <c r="C349" s="284"/>
      <c r="D349" s="338"/>
      <c r="E349" s="286"/>
      <c r="F349" s="287"/>
      <c r="G349" s="288" t="str">
        <f>+IFERROR(VLOOKUP(F349,NVL!$B:$C,2,0),"")</f>
        <v/>
      </c>
      <c r="H349" s="288" t="str">
        <f>+IFERROR(VLOOKUP(F349,NVL!$B:$D,3,0),"")</f>
        <v/>
      </c>
      <c r="I349" s="288" t="str">
        <f>+IFERROR(VLOOKUP(F349,NVL!$B:$F,4,0),"")</f>
        <v/>
      </c>
      <c r="J349" s="289"/>
      <c r="K349" s="290"/>
      <c r="L349" s="291" t="str">
        <f>+IFERROR(VLOOKUP(K349,'THÀNH PHẨM'!$B:$F,3,0),"")</f>
        <v/>
      </c>
      <c r="M349" s="291" t="str">
        <f>+IFERROR(VLOOKUP(K349,'THÀNH PHẨM'!$B:$F,4,0),"")</f>
        <v/>
      </c>
      <c r="N349" s="291" t="str">
        <f>+IFERROR(VLOOKUP(K349,'THÀNH PHẨM'!$B:$F,5,0),"")</f>
        <v/>
      </c>
      <c r="O349" s="289"/>
      <c r="P349" s="292">
        <f t="shared" si="2"/>
        <v>0</v>
      </c>
      <c r="Q349" s="289"/>
      <c r="R349" s="289"/>
      <c r="S349" s="293">
        <f t="shared" si="62"/>
        <v>0</v>
      </c>
      <c r="T349" s="294"/>
      <c r="U349" s="295">
        <f t="shared" si="68"/>
        <v>0</v>
      </c>
      <c r="V349" s="296"/>
      <c r="W349" s="297"/>
      <c r="X349" s="298"/>
      <c r="Y349" s="292" t="str">
        <f t="shared" si="69"/>
        <v/>
      </c>
      <c r="Z349" s="366">
        <f t="shared" si="70"/>
        <v>0</v>
      </c>
      <c r="AA349" s="299" t="str">
        <f t="shared" si="71"/>
        <v/>
      </c>
      <c r="AB349" s="300"/>
      <c r="AC349" s="301"/>
      <c r="AD349" s="302"/>
      <c r="AE349" s="303"/>
      <c r="AF349" s="304"/>
      <c r="AG349" s="304"/>
      <c r="AH349" s="304"/>
      <c r="AI349" s="304"/>
      <c r="AJ349" s="304"/>
      <c r="AK349" s="305"/>
      <c r="AL349" s="283"/>
      <c r="AM349" s="284"/>
    </row>
    <row r="350" ht="15.75" customHeight="1">
      <c r="A350" s="282">
        <f t="shared" si="1"/>
        <v>346</v>
      </c>
      <c r="B350" s="283"/>
      <c r="C350" s="284"/>
      <c r="D350" s="338"/>
      <c r="E350" s="286"/>
      <c r="F350" s="287"/>
      <c r="G350" s="288" t="str">
        <f>+IFERROR(VLOOKUP(F350,NVL!$B:$C,2,0),"")</f>
        <v/>
      </c>
      <c r="H350" s="288" t="str">
        <f>+IFERROR(VLOOKUP(F350,NVL!$B:$D,3,0),"")</f>
        <v/>
      </c>
      <c r="I350" s="288" t="str">
        <f>+IFERROR(VLOOKUP(F350,NVL!$B:$F,4,0),"")</f>
        <v/>
      </c>
      <c r="J350" s="289"/>
      <c r="K350" s="290"/>
      <c r="L350" s="291" t="str">
        <f>+IFERROR(VLOOKUP(K350,'THÀNH PHẨM'!$B:$F,3,0),"")</f>
        <v/>
      </c>
      <c r="M350" s="291" t="str">
        <f>+IFERROR(VLOOKUP(K350,'THÀNH PHẨM'!$B:$F,4,0),"")</f>
        <v/>
      </c>
      <c r="N350" s="291" t="str">
        <f>+IFERROR(VLOOKUP(K350,'THÀNH PHẨM'!$B:$F,5,0),"")</f>
        <v/>
      </c>
      <c r="O350" s="289"/>
      <c r="P350" s="292">
        <f t="shared" si="2"/>
        <v>0</v>
      </c>
      <c r="Q350" s="289"/>
      <c r="R350" s="289"/>
      <c r="S350" s="293">
        <f t="shared" si="62"/>
        <v>0</v>
      </c>
      <c r="T350" s="294"/>
      <c r="U350" s="295">
        <f t="shared" si="68"/>
        <v>0</v>
      </c>
      <c r="V350" s="296"/>
      <c r="W350" s="297"/>
      <c r="X350" s="298"/>
      <c r="Y350" s="292" t="str">
        <f t="shared" si="69"/>
        <v/>
      </c>
      <c r="Z350" s="366">
        <f t="shared" si="70"/>
        <v>0</v>
      </c>
      <c r="AA350" s="299" t="str">
        <f t="shared" si="71"/>
        <v/>
      </c>
      <c r="AB350" s="300"/>
      <c r="AC350" s="301"/>
      <c r="AD350" s="302"/>
      <c r="AE350" s="303"/>
      <c r="AF350" s="304"/>
      <c r="AG350" s="304"/>
      <c r="AH350" s="304"/>
      <c r="AI350" s="304"/>
      <c r="AJ350" s="304"/>
      <c r="AK350" s="305"/>
      <c r="AL350" s="283"/>
      <c r="AM350" s="284"/>
    </row>
    <row r="351" ht="15.75" customHeight="1">
      <c r="A351" s="282">
        <f t="shared" si="1"/>
        <v>347</v>
      </c>
      <c r="B351" s="283"/>
      <c r="C351" s="284"/>
      <c r="D351" s="338"/>
      <c r="E351" s="286"/>
      <c r="F351" s="287"/>
      <c r="G351" s="288" t="str">
        <f>+IFERROR(VLOOKUP(F351,NVL!$B:$C,2,0),"")</f>
        <v/>
      </c>
      <c r="H351" s="288" t="str">
        <f>+IFERROR(VLOOKUP(F351,NVL!$B:$D,3,0),"")</f>
        <v/>
      </c>
      <c r="I351" s="288" t="str">
        <f>+IFERROR(VLOOKUP(F351,NVL!$B:$F,4,0),"")</f>
        <v/>
      </c>
      <c r="J351" s="289"/>
      <c r="K351" s="290"/>
      <c r="L351" s="291" t="str">
        <f>+IFERROR(VLOOKUP(K351,'THÀNH PHẨM'!$B:$F,3,0),"")</f>
        <v/>
      </c>
      <c r="M351" s="291" t="str">
        <f>+IFERROR(VLOOKUP(K351,'THÀNH PHẨM'!$B:$F,4,0),"")</f>
        <v/>
      </c>
      <c r="N351" s="291" t="str">
        <f>+IFERROR(VLOOKUP(K351,'THÀNH PHẨM'!$B:$F,5,0),"")</f>
        <v/>
      </c>
      <c r="O351" s="289"/>
      <c r="P351" s="292">
        <f t="shared" si="2"/>
        <v>0</v>
      </c>
      <c r="Q351" s="289"/>
      <c r="R351" s="289"/>
      <c r="S351" s="293">
        <f t="shared" si="62"/>
        <v>0</v>
      </c>
      <c r="T351" s="294"/>
      <c r="U351" s="295">
        <f t="shared" si="68"/>
        <v>0</v>
      </c>
      <c r="V351" s="296"/>
      <c r="W351" s="297"/>
      <c r="X351" s="298"/>
      <c r="Y351" s="292" t="str">
        <f t="shared" si="69"/>
        <v/>
      </c>
      <c r="Z351" s="366">
        <f t="shared" si="70"/>
        <v>0</v>
      </c>
      <c r="AA351" s="299" t="str">
        <f t="shared" si="71"/>
        <v/>
      </c>
      <c r="AB351" s="300"/>
      <c r="AC351" s="301"/>
      <c r="AD351" s="302"/>
      <c r="AE351" s="303"/>
      <c r="AF351" s="304"/>
      <c r="AG351" s="304"/>
      <c r="AH351" s="304"/>
      <c r="AI351" s="304"/>
      <c r="AJ351" s="304"/>
      <c r="AK351" s="305"/>
      <c r="AL351" s="283"/>
      <c r="AM351" s="284"/>
    </row>
    <row r="352" ht="15.75" customHeight="1">
      <c r="A352" s="282">
        <f t="shared" si="1"/>
        <v>348</v>
      </c>
      <c r="B352" s="283"/>
      <c r="C352" s="284"/>
      <c r="D352" s="338"/>
      <c r="E352" s="286"/>
      <c r="F352" s="287"/>
      <c r="G352" s="288" t="str">
        <f>+IFERROR(VLOOKUP(F352,NVL!$B:$C,2,0),"")</f>
        <v/>
      </c>
      <c r="H352" s="288" t="str">
        <f>+IFERROR(VLOOKUP(F352,NVL!$B:$D,3,0),"")</f>
        <v/>
      </c>
      <c r="I352" s="288" t="str">
        <f>+IFERROR(VLOOKUP(F352,NVL!$B:$F,4,0),"")</f>
        <v/>
      </c>
      <c r="J352" s="289"/>
      <c r="K352" s="290"/>
      <c r="L352" s="291" t="str">
        <f>+IFERROR(VLOOKUP(K352,'THÀNH PHẨM'!$B:$F,3,0),"")</f>
        <v/>
      </c>
      <c r="M352" s="291" t="str">
        <f>+IFERROR(VLOOKUP(K352,'THÀNH PHẨM'!$B:$F,4,0),"")</f>
        <v/>
      </c>
      <c r="N352" s="291" t="str">
        <f>+IFERROR(VLOOKUP(K352,'THÀNH PHẨM'!$B:$F,5,0),"")</f>
        <v/>
      </c>
      <c r="O352" s="289"/>
      <c r="P352" s="292">
        <f t="shared" si="2"/>
        <v>0</v>
      </c>
      <c r="Q352" s="289"/>
      <c r="R352" s="289"/>
      <c r="S352" s="293">
        <f t="shared" si="62"/>
        <v>0</v>
      </c>
      <c r="T352" s="294"/>
      <c r="U352" s="295">
        <f t="shared" si="68"/>
        <v>0</v>
      </c>
      <c r="V352" s="296"/>
      <c r="W352" s="297"/>
      <c r="X352" s="298"/>
      <c r="Y352" s="292" t="str">
        <f t="shared" si="69"/>
        <v/>
      </c>
      <c r="Z352" s="366">
        <f t="shared" si="70"/>
        <v>0</v>
      </c>
      <c r="AA352" s="299" t="str">
        <f t="shared" si="71"/>
        <v/>
      </c>
      <c r="AB352" s="300"/>
      <c r="AC352" s="301"/>
      <c r="AD352" s="302"/>
      <c r="AE352" s="303"/>
      <c r="AF352" s="304"/>
      <c r="AG352" s="304"/>
      <c r="AH352" s="304"/>
      <c r="AI352" s="304"/>
      <c r="AJ352" s="304"/>
      <c r="AK352" s="305"/>
      <c r="AL352" s="283"/>
      <c r="AM352" s="284"/>
    </row>
    <row r="353" ht="15.75" customHeight="1">
      <c r="A353" s="282">
        <f t="shared" si="1"/>
        <v>349</v>
      </c>
      <c r="B353" s="283"/>
      <c r="C353" s="284"/>
      <c r="D353" s="338"/>
      <c r="E353" s="286"/>
      <c r="F353" s="287"/>
      <c r="G353" s="288" t="str">
        <f>+IFERROR(VLOOKUP(F353,NVL!$B:$C,2,0),"")</f>
        <v/>
      </c>
      <c r="H353" s="288" t="str">
        <f>+IFERROR(VLOOKUP(F353,NVL!$B:$D,3,0),"")</f>
        <v/>
      </c>
      <c r="I353" s="288" t="str">
        <f>+IFERROR(VLOOKUP(F353,NVL!$B:$F,4,0),"")</f>
        <v/>
      </c>
      <c r="J353" s="289"/>
      <c r="K353" s="290"/>
      <c r="L353" s="291" t="str">
        <f>+IFERROR(VLOOKUP(K353,'THÀNH PHẨM'!$B:$F,3,0),"")</f>
        <v/>
      </c>
      <c r="M353" s="291" t="str">
        <f>+IFERROR(VLOOKUP(K353,'THÀNH PHẨM'!$B:$F,4,0),"")</f>
        <v/>
      </c>
      <c r="N353" s="291" t="str">
        <f>+IFERROR(VLOOKUP(K353,'THÀNH PHẨM'!$B:$F,5,0),"")</f>
        <v/>
      </c>
      <c r="O353" s="289"/>
      <c r="P353" s="292">
        <f t="shared" si="2"/>
        <v>0</v>
      </c>
      <c r="Q353" s="289"/>
      <c r="R353" s="289"/>
      <c r="S353" s="293">
        <f t="shared" si="62"/>
        <v>0</v>
      </c>
      <c r="T353" s="294"/>
      <c r="U353" s="295">
        <f t="shared" si="68"/>
        <v>0</v>
      </c>
      <c r="V353" s="296"/>
      <c r="W353" s="297"/>
      <c r="X353" s="298"/>
      <c r="Y353" s="292" t="str">
        <f t="shared" si="69"/>
        <v/>
      </c>
      <c r="Z353" s="366">
        <f t="shared" si="70"/>
        <v>0</v>
      </c>
      <c r="AA353" s="299" t="str">
        <f t="shared" si="71"/>
        <v/>
      </c>
      <c r="AB353" s="300"/>
      <c r="AC353" s="301"/>
      <c r="AD353" s="302"/>
      <c r="AE353" s="303"/>
      <c r="AF353" s="304"/>
      <c r="AG353" s="304"/>
      <c r="AH353" s="304"/>
      <c r="AI353" s="304"/>
      <c r="AJ353" s="304"/>
      <c r="AK353" s="305"/>
      <c r="AL353" s="283"/>
      <c r="AM353" s="284"/>
    </row>
    <row r="354" ht="15.75" customHeight="1">
      <c r="A354" s="282">
        <f t="shared" si="1"/>
        <v>350</v>
      </c>
      <c r="B354" s="283"/>
      <c r="C354" s="284"/>
      <c r="D354" s="338"/>
      <c r="E354" s="286"/>
      <c r="F354" s="287"/>
      <c r="G354" s="288" t="str">
        <f>+IFERROR(VLOOKUP(F354,NVL!$B:$C,2,0),"")</f>
        <v/>
      </c>
      <c r="H354" s="288" t="str">
        <f>+IFERROR(VLOOKUP(F354,NVL!$B:$D,3,0),"")</f>
        <v/>
      </c>
      <c r="I354" s="288" t="str">
        <f>+IFERROR(VLOOKUP(F354,NVL!$B:$F,4,0),"")</f>
        <v/>
      </c>
      <c r="J354" s="289"/>
      <c r="K354" s="290"/>
      <c r="L354" s="291" t="str">
        <f>+IFERROR(VLOOKUP(K354,'THÀNH PHẨM'!$B:$F,3,0),"")</f>
        <v/>
      </c>
      <c r="M354" s="291" t="str">
        <f>+IFERROR(VLOOKUP(K354,'THÀNH PHẨM'!$B:$F,4,0),"")</f>
        <v/>
      </c>
      <c r="N354" s="291" t="str">
        <f>+IFERROR(VLOOKUP(K354,'THÀNH PHẨM'!$B:$F,5,0),"")</f>
        <v/>
      </c>
      <c r="O354" s="289"/>
      <c r="P354" s="292">
        <f t="shared" si="2"/>
        <v>0</v>
      </c>
      <c r="Q354" s="289"/>
      <c r="R354" s="289"/>
      <c r="S354" s="293">
        <f t="shared" si="62"/>
        <v>0</v>
      </c>
      <c r="T354" s="294"/>
      <c r="U354" s="295">
        <f t="shared" si="68"/>
        <v>0</v>
      </c>
      <c r="V354" s="296"/>
      <c r="W354" s="297"/>
      <c r="X354" s="298"/>
      <c r="Y354" s="292" t="str">
        <f t="shared" si="69"/>
        <v/>
      </c>
      <c r="Z354" s="366">
        <f t="shared" si="70"/>
        <v>0</v>
      </c>
      <c r="AA354" s="299" t="str">
        <f t="shared" si="71"/>
        <v/>
      </c>
      <c r="AB354" s="300"/>
      <c r="AC354" s="301"/>
      <c r="AD354" s="302"/>
      <c r="AE354" s="303"/>
      <c r="AF354" s="304"/>
      <c r="AG354" s="304"/>
      <c r="AH354" s="304"/>
      <c r="AI354" s="304"/>
      <c r="AJ354" s="304"/>
      <c r="AK354" s="305"/>
      <c r="AL354" s="283"/>
      <c r="AM354" s="284"/>
    </row>
    <row r="355" ht="15.75" customHeight="1">
      <c r="A355" s="282">
        <f t="shared" si="1"/>
        <v>351</v>
      </c>
      <c r="B355" s="283"/>
      <c r="C355" s="284"/>
      <c r="D355" s="338"/>
      <c r="E355" s="286"/>
      <c r="F355" s="287"/>
      <c r="G355" s="288" t="str">
        <f>+IFERROR(VLOOKUP(F355,NVL!$B:$C,2,0),"")</f>
        <v/>
      </c>
      <c r="H355" s="288" t="str">
        <f>+IFERROR(VLOOKUP(F355,NVL!$B:$D,3,0),"")</f>
        <v/>
      </c>
      <c r="I355" s="288" t="str">
        <f>+IFERROR(VLOOKUP(F355,NVL!$B:$F,4,0),"")</f>
        <v/>
      </c>
      <c r="J355" s="289"/>
      <c r="K355" s="290"/>
      <c r="L355" s="291" t="str">
        <f>+IFERROR(VLOOKUP(K355,'THÀNH PHẨM'!$B:$F,3,0),"")</f>
        <v/>
      </c>
      <c r="M355" s="291" t="str">
        <f>+IFERROR(VLOOKUP(K355,'THÀNH PHẨM'!$B:$F,4,0),"")</f>
        <v/>
      </c>
      <c r="N355" s="291" t="str">
        <f>+IFERROR(VLOOKUP(K355,'THÀNH PHẨM'!$B:$F,5,0),"")</f>
        <v/>
      </c>
      <c r="O355" s="289"/>
      <c r="P355" s="292">
        <f t="shared" si="2"/>
        <v>0</v>
      </c>
      <c r="Q355" s="289"/>
      <c r="R355" s="289"/>
      <c r="S355" s="293">
        <f t="shared" si="62"/>
        <v>0</v>
      </c>
      <c r="T355" s="294"/>
      <c r="U355" s="295">
        <f t="shared" si="68"/>
        <v>0</v>
      </c>
      <c r="V355" s="296"/>
      <c r="W355" s="297"/>
      <c r="X355" s="298"/>
      <c r="Y355" s="292" t="str">
        <f t="shared" si="69"/>
        <v/>
      </c>
      <c r="Z355" s="366">
        <f t="shared" si="70"/>
        <v>0</v>
      </c>
      <c r="AA355" s="299" t="str">
        <f t="shared" si="71"/>
        <v/>
      </c>
      <c r="AB355" s="300"/>
      <c r="AC355" s="301"/>
      <c r="AD355" s="302"/>
      <c r="AE355" s="303"/>
      <c r="AF355" s="304"/>
      <c r="AG355" s="304"/>
      <c r="AH355" s="304"/>
      <c r="AI355" s="304"/>
      <c r="AJ355" s="304"/>
      <c r="AK355" s="305"/>
      <c r="AL355" s="283"/>
      <c r="AM355" s="284"/>
    </row>
    <row r="356" ht="15.75" customHeight="1">
      <c r="A356" s="282">
        <f t="shared" si="1"/>
        <v>352</v>
      </c>
      <c r="B356" s="283"/>
      <c r="C356" s="284"/>
      <c r="D356" s="338"/>
      <c r="E356" s="286"/>
      <c r="F356" s="287"/>
      <c r="G356" s="288" t="str">
        <f>+IFERROR(VLOOKUP(F356,NVL!$B:$C,2,0),"")</f>
        <v/>
      </c>
      <c r="H356" s="288" t="str">
        <f>+IFERROR(VLOOKUP(F356,NVL!$B:$D,3,0),"")</f>
        <v/>
      </c>
      <c r="I356" s="288" t="str">
        <f>+IFERROR(VLOOKUP(F356,NVL!$B:$F,4,0),"")</f>
        <v/>
      </c>
      <c r="J356" s="289"/>
      <c r="K356" s="290"/>
      <c r="L356" s="291" t="str">
        <f>+IFERROR(VLOOKUP(K356,'THÀNH PHẨM'!$B:$F,3,0),"")</f>
        <v/>
      </c>
      <c r="M356" s="291" t="str">
        <f>+IFERROR(VLOOKUP(K356,'THÀNH PHẨM'!$B:$F,4,0),"")</f>
        <v/>
      </c>
      <c r="N356" s="291" t="str">
        <f>+IFERROR(VLOOKUP(K356,'THÀNH PHẨM'!$B:$F,5,0),"")</f>
        <v/>
      </c>
      <c r="O356" s="289"/>
      <c r="P356" s="292">
        <f t="shared" si="2"/>
        <v>0</v>
      </c>
      <c r="Q356" s="289"/>
      <c r="R356" s="289"/>
      <c r="S356" s="293">
        <f t="shared" si="62"/>
        <v>0</v>
      </c>
      <c r="T356" s="294"/>
      <c r="U356" s="295">
        <f t="shared" si="68"/>
        <v>0</v>
      </c>
      <c r="V356" s="296"/>
      <c r="W356" s="297"/>
      <c r="X356" s="298"/>
      <c r="Y356" s="292" t="str">
        <f t="shared" si="69"/>
        <v/>
      </c>
      <c r="Z356" s="366">
        <f t="shared" si="70"/>
        <v>0</v>
      </c>
      <c r="AA356" s="299" t="str">
        <f t="shared" si="71"/>
        <v/>
      </c>
      <c r="AB356" s="300"/>
      <c r="AC356" s="301"/>
      <c r="AD356" s="302"/>
      <c r="AE356" s="303"/>
      <c r="AF356" s="304"/>
      <c r="AG356" s="304"/>
      <c r="AH356" s="304"/>
      <c r="AI356" s="304"/>
      <c r="AJ356" s="304"/>
      <c r="AK356" s="305"/>
      <c r="AL356" s="283"/>
      <c r="AM356" s="284"/>
    </row>
    <row r="357" ht="15.75" customHeight="1">
      <c r="A357" s="282">
        <f t="shared" si="1"/>
        <v>353</v>
      </c>
      <c r="B357" s="283"/>
      <c r="C357" s="284"/>
      <c r="D357" s="338"/>
      <c r="E357" s="286"/>
      <c r="F357" s="287"/>
      <c r="G357" s="288" t="str">
        <f>+IFERROR(VLOOKUP(F357,NVL!$B:$C,2,0),"")</f>
        <v/>
      </c>
      <c r="H357" s="288" t="str">
        <f>+IFERROR(VLOOKUP(F357,NVL!$B:$D,3,0),"")</f>
        <v/>
      </c>
      <c r="I357" s="288" t="str">
        <f>+IFERROR(VLOOKUP(F357,NVL!$B:$F,4,0),"")</f>
        <v/>
      </c>
      <c r="J357" s="289"/>
      <c r="K357" s="290"/>
      <c r="L357" s="291" t="str">
        <f>+IFERROR(VLOOKUP(K357,'THÀNH PHẨM'!$B:$F,3,0),"")</f>
        <v/>
      </c>
      <c r="M357" s="291" t="str">
        <f>+IFERROR(VLOOKUP(K357,'THÀNH PHẨM'!$B:$F,4,0),"")</f>
        <v/>
      </c>
      <c r="N357" s="291" t="str">
        <f>+IFERROR(VLOOKUP(K357,'THÀNH PHẨM'!$B:$F,5,0),"")</f>
        <v/>
      </c>
      <c r="O357" s="289"/>
      <c r="P357" s="292">
        <f t="shared" si="2"/>
        <v>0</v>
      </c>
      <c r="Q357" s="289"/>
      <c r="R357" s="289"/>
      <c r="S357" s="293">
        <f t="shared" si="62"/>
        <v>0</v>
      </c>
      <c r="T357" s="294"/>
      <c r="U357" s="295">
        <f t="shared" si="68"/>
        <v>0</v>
      </c>
      <c r="V357" s="296"/>
      <c r="W357" s="297"/>
      <c r="X357" s="298"/>
      <c r="Y357" s="292" t="str">
        <f t="shared" si="69"/>
        <v/>
      </c>
      <c r="Z357" s="366">
        <f t="shared" si="70"/>
        <v>0</v>
      </c>
      <c r="AA357" s="299" t="str">
        <f t="shared" si="71"/>
        <v/>
      </c>
      <c r="AB357" s="300"/>
      <c r="AC357" s="301"/>
      <c r="AD357" s="302"/>
      <c r="AE357" s="303"/>
      <c r="AF357" s="304"/>
      <c r="AG357" s="304"/>
      <c r="AH357" s="304"/>
      <c r="AI357" s="304"/>
      <c r="AJ357" s="304"/>
      <c r="AK357" s="305"/>
      <c r="AL357" s="283"/>
      <c r="AM357" s="284"/>
    </row>
    <row r="358" ht="15.75" customHeight="1">
      <c r="A358" s="282">
        <f t="shared" si="1"/>
        <v>354</v>
      </c>
      <c r="B358" s="283"/>
      <c r="C358" s="284"/>
      <c r="D358" s="338"/>
      <c r="E358" s="286"/>
      <c r="F358" s="287"/>
      <c r="G358" s="288" t="str">
        <f>+IFERROR(VLOOKUP(F358,NVL!$B:$C,2,0),"")</f>
        <v/>
      </c>
      <c r="H358" s="288" t="str">
        <f>+IFERROR(VLOOKUP(F358,NVL!$B:$D,3,0),"")</f>
        <v/>
      </c>
      <c r="I358" s="288" t="str">
        <f>+IFERROR(VLOOKUP(F358,NVL!$B:$F,4,0),"")</f>
        <v/>
      </c>
      <c r="J358" s="289"/>
      <c r="K358" s="290"/>
      <c r="L358" s="291" t="str">
        <f>+IFERROR(VLOOKUP(K358,'THÀNH PHẨM'!$B:$F,3,0),"")</f>
        <v/>
      </c>
      <c r="M358" s="291" t="str">
        <f>+IFERROR(VLOOKUP(K358,'THÀNH PHẨM'!$B:$F,4,0),"")</f>
        <v/>
      </c>
      <c r="N358" s="291" t="str">
        <f>+IFERROR(VLOOKUP(K358,'THÀNH PHẨM'!$B:$F,5,0),"")</f>
        <v/>
      </c>
      <c r="O358" s="289"/>
      <c r="P358" s="292">
        <f t="shared" si="2"/>
        <v>0</v>
      </c>
      <c r="Q358" s="289"/>
      <c r="R358" s="289"/>
      <c r="S358" s="293">
        <f t="shared" si="62"/>
        <v>0</v>
      </c>
      <c r="T358" s="294"/>
      <c r="U358" s="295">
        <f t="shared" si="68"/>
        <v>0</v>
      </c>
      <c r="V358" s="296"/>
      <c r="W358" s="297"/>
      <c r="X358" s="298"/>
      <c r="Y358" s="292" t="str">
        <f t="shared" si="69"/>
        <v/>
      </c>
      <c r="Z358" s="366">
        <f t="shared" si="70"/>
        <v>0</v>
      </c>
      <c r="AA358" s="299" t="str">
        <f t="shared" si="71"/>
        <v/>
      </c>
      <c r="AB358" s="300"/>
      <c r="AC358" s="301"/>
      <c r="AD358" s="302"/>
      <c r="AE358" s="303"/>
      <c r="AF358" s="304"/>
      <c r="AG358" s="304"/>
      <c r="AH358" s="304"/>
      <c r="AI358" s="304"/>
      <c r="AJ358" s="304"/>
      <c r="AK358" s="305"/>
      <c r="AL358" s="283"/>
      <c r="AM358" s="284"/>
    </row>
    <row r="359" ht="15.75" customHeight="1">
      <c r="A359" s="282">
        <f t="shared" si="1"/>
        <v>355</v>
      </c>
      <c r="B359" s="283"/>
      <c r="C359" s="284"/>
      <c r="D359" s="338"/>
      <c r="E359" s="286"/>
      <c r="F359" s="287"/>
      <c r="G359" s="288" t="str">
        <f>+IFERROR(VLOOKUP(F359,NVL!$B:$C,2,0),"")</f>
        <v/>
      </c>
      <c r="H359" s="288" t="str">
        <f>+IFERROR(VLOOKUP(F359,NVL!$B:$D,3,0),"")</f>
        <v/>
      </c>
      <c r="I359" s="288" t="str">
        <f>+IFERROR(VLOOKUP(F359,NVL!$B:$F,4,0),"")</f>
        <v/>
      </c>
      <c r="J359" s="289"/>
      <c r="K359" s="290"/>
      <c r="L359" s="291" t="str">
        <f>+IFERROR(VLOOKUP(K359,'THÀNH PHẨM'!$B:$F,3,0),"")</f>
        <v/>
      </c>
      <c r="M359" s="291" t="str">
        <f>+IFERROR(VLOOKUP(K359,'THÀNH PHẨM'!$B:$F,4,0),"")</f>
        <v/>
      </c>
      <c r="N359" s="291" t="str">
        <f>+IFERROR(VLOOKUP(K359,'THÀNH PHẨM'!$B:$F,5,0),"")</f>
        <v/>
      </c>
      <c r="O359" s="289"/>
      <c r="P359" s="292">
        <f t="shared" si="2"/>
        <v>0</v>
      </c>
      <c r="Q359" s="289"/>
      <c r="R359" s="289"/>
      <c r="S359" s="293">
        <f t="shared" si="62"/>
        <v>0</v>
      </c>
      <c r="T359" s="294"/>
      <c r="U359" s="295">
        <f t="shared" si="68"/>
        <v>0</v>
      </c>
      <c r="V359" s="296"/>
      <c r="W359" s="297"/>
      <c r="X359" s="298"/>
      <c r="Y359" s="292" t="str">
        <f t="shared" si="69"/>
        <v/>
      </c>
      <c r="Z359" s="366">
        <f t="shared" si="70"/>
        <v>0</v>
      </c>
      <c r="AA359" s="299" t="str">
        <f t="shared" si="71"/>
        <v/>
      </c>
      <c r="AB359" s="300"/>
      <c r="AC359" s="301"/>
      <c r="AD359" s="302"/>
      <c r="AE359" s="303"/>
      <c r="AF359" s="304"/>
      <c r="AG359" s="304"/>
      <c r="AH359" s="304"/>
      <c r="AI359" s="304"/>
      <c r="AJ359" s="304"/>
      <c r="AK359" s="305"/>
      <c r="AL359" s="283"/>
      <c r="AM359" s="284"/>
    </row>
    <row r="360" ht="15.75" customHeight="1">
      <c r="A360" s="282">
        <f t="shared" si="1"/>
        <v>356</v>
      </c>
      <c r="B360" s="283"/>
      <c r="C360" s="284"/>
      <c r="D360" s="338"/>
      <c r="E360" s="286"/>
      <c r="F360" s="287"/>
      <c r="G360" s="288" t="str">
        <f>+IFERROR(VLOOKUP(F360,NVL!$B:$C,2,0),"")</f>
        <v/>
      </c>
      <c r="H360" s="288" t="str">
        <f>+IFERROR(VLOOKUP(F360,NVL!$B:$D,3,0),"")</f>
        <v/>
      </c>
      <c r="I360" s="288" t="str">
        <f>+IFERROR(VLOOKUP(F360,NVL!$B:$F,4,0),"")</f>
        <v/>
      </c>
      <c r="J360" s="289"/>
      <c r="K360" s="290"/>
      <c r="L360" s="291" t="str">
        <f>+IFERROR(VLOOKUP(K360,'THÀNH PHẨM'!$B:$F,3,0),"")</f>
        <v/>
      </c>
      <c r="M360" s="291" t="str">
        <f>+IFERROR(VLOOKUP(K360,'THÀNH PHẨM'!$B:$F,4,0),"")</f>
        <v/>
      </c>
      <c r="N360" s="291" t="str">
        <f>+IFERROR(VLOOKUP(K360,'THÀNH PHẨM'!$B:$F,5,0),"")</f>
        <v/>
      </c>
      <c r="O360" s="289"/>
      <c r="P360" s="292">
        <f t="shared" si="2"/>
        <v>0</v>
      </c>
      <c r="Q360" s="289"/>
      <c r="R360" s="289"/>
      <c r="S360" s="293">
        <f t="shared" si="62"/>
        <v>0</v>
      </c>
      <c r="T360" s="294"/>
      <c r="U360" s="295">
        <f t="shared" si="68"/>
        <v>0</v>
      </c>
      <c r="V360" s="296"/>
      <c r="W360" s="297"/>
      <c r="X360" s="298"/>
      <c r="Y360" s="292" t="str">
        <f t="shared" si="69"/>
        <v/>
      </c>
      <c r="Z360" s="366">
        <f t="shared" si="70"/>
        <v>0</v>
      </c>
      <c r="AA360" s="299" t="str">
        <f t="shared" si="71"/>
        <v/>
      </c>
      <c r="AB360" s="300"/>
      <c r="AC360" s="301"/>
      <c r="AD360" s="302"/>
      <c r="AE360" s="303"/>
      <c r="AF360" s="304"/>
      <c r="AG360" s="304"/>
      <c r="AH360" s="304"/>
      <c r="AI360" s="304"/>
      <c r="AJ360" s="304"/>
      <c r="AK360" s="305"/>
      <c r="AL360" s="283"/>
      <c r="AM360" s="284"/>
    </row>
    <row r="361" ht="15.75" customHeight="1">
      <c r="A361" s="282">
        <f t="shared" si="1"/>
        <v>357</v>
      </c>
      <c r="B361" s="283"/>
      <c r="C361" s="284"/>
      <c r="D361" s="338"/>
      <c r="E361" s="286"/>
      <c r="F361" s="287"/>
      <c r="G361" s="288" t="str">
        <f>+IFERROR(VLOOKUP(F361,NVL!$B:$C,2,0),"")</f>
        <v/>
      </c>
      <c r="H361" s="288" t="str">
        <f>+IFERROR(VLOOKUP(F361,NVL!$B:$D,3,0),"")</f>
        <v/>
      </c>
      <c r="I361" s="288" t="str">
        <f>+IFERROR(VLOOKUP(F361,NVL!$B:$F,4,0),"")</f>
        <v/>
      </c>
      <c r="J361" s="289"/>
      <c r="K361" s="290"/>
      <c r="L361" s="291" t="str">
        <f>+IFERROR(VLOOKUP(K361,'THÀNH PHẨM'!$B:$F,3,0),"")</f>
        <v/>
      </c>
      <c r="M361" s="291" t="str">
        <f>+IFERROR(VLOOKUP(K361,'THÀNH PHẨM'!$B:$F,4,0),"")</f>
        <v/>
      </c>
      <c r="N361" s="291" t="str">
        <f>+IFERROR(VLOOKUP(K361,'THÀNH PHẨM'!$B:$F,5,0),"")</f>
        <v/>
      </c>
      <c r="O361" s="289"/>
      <c r="P361" s="292">
        <f t="shared" si="2"/>
        <v>0</v>
      </c>
      <c r="Q361" s="289"/>
      <c r="R361" s="289"/>
      <c r="S361" s="293">
        <f t="shared" si="62"/>
        <v>0</v>
      </c>
      <c r="T361" s="294"/>
      <c r="U361" s="295">
        <f t="shared" si="68"/>
        <v>0</v>
      </c>
      <c r="V361" s="296"/>
      <c r="W361" s="297"/>
      <c r="X361" s="298"/>
      <c r="Y361" s="292" t="str">
        <f t="shared" si="69"/>
        <v/>
      </c>
      <c r="Z361" s="366">
        <f t="shared" si="70"/>
        <v>0</v>
      </c>
      <c r="AA361" s="299" t="str">
        <f t="shared" si="71"/>
        <v/>
      </c>
      <c r="AB361" s="300"/>
      <c r="AC361" s="301"/>
      <c r="AD361" s="302"/>
      <c r="AE361" s="303"/>
      <c r="AF361" s="304"/>
      <c r="AG361" s="304"/>
      <c r="AH361" s="304"/>
      <c r="AI361" s="304"/>
      <c r="AJ361" s="304"/>
      <c r="AK361" s="305"/>
      <c r="AL361" s="283"/>
      <c r="AM361" s="284"/>
    </row>
    <row r="362" ht="15.75" customHeight="1">
      <c r="A362" s="282">
        <f t="shared" si="1"/>
        <v>358</v>
      </c>
      <c r="B362" s="283"/>
      <c r="C362" s="284"/>
      <c r="D362" s="338"/>
      <c r="E362" s="286"/>
      <c r="F362" s="287"/>
      <c r="G362" s="288" t="str">
        <f>+IFERROR(VLOOKUP(F362,NVL!$B:$C,2,0),"")</f>
        <v/>
      </c>
      <c r="H362" s="288" t="str">
        <f>+IFERROR(VLOOKUP(F362,NVL!$B:$D,3,0),"")</f>
        <v/>
      </c>
      <c r="I362" s="288" t="str">
        <f>+IFERROR(VLOOKUP(F362,NVL!$B:$F,4,0),"")</f>
        <v/>
      </c>
      <c r="J362" s="289"/>
      <c r="K362" s="290"/>
      <c r="L362" s="291" t="str">
        <f>+IFERROR(VLOOKUP(K362,'THÀNH PHẨM'!$B:$F,3,0),"")</f>
        <v/>
      </c>
      <c r="M362" s="291" t="str">
        <f>+IFERROR(VLOOKUP(K362,'THÀNH PHẨM'!$B:$F,4,0),"")</f>
        <v/>
      </c>
      <c r="N362" s="291" t="str">
        <f>+IFERROR(VLOOKUP(K362,'THÀNH PHẨM'!$B:$F,5,0),"")</f>
        <v/>
      </c>
      <c r="O362" s="289"/>
      <c r="P362" s="292">
        <f t="shared" si="2"/>
        <v>0</v>
      </c>
      <c r="Q362" s="289"/>
      <c r="R362" s="289"/>
      <c r="S362" s="293">
        <f t="shared" si="62"/>
        <v>0</v>
      </c>
      <c r="T362" s="294"/>
      <c r="U362" s="295">
        <f t="shared" si="68"/>
        <v>0</v>
      </c>
      <c r="V362" s="296"/>
      <c r="W362" s="297"/>
      <c r="X362" s="298"/>
      <c r="Y362" s="292" t="str">
        <f t="shared" si="69"/>
        <v/>
      </c>
      <c r="Z362" s="366">
        <f t="shared" si="70"/>
        <v>0</v>
      </c>
      <c r="AA362" s="299" t="str">
        <f t="shared" si="71"/>
        <v/>
      </c>
      <c r="AB362" s="300"/>
      <c r="AC362" s="301"/>
      <c r="AD362" s="302"/>
      <c r="AE362" s="303"/>
      <c r="AF362" s="304"/>
      <c r="AG362" s="304"/>
      <c r="AH362" s="304"/>
      <c r="AI362" s="304"/>
      <c r="AJ362" s="304"/>
      <c r="AK362" s="305"/>
      <c r="AL362" s="283"/>
      <c r="AM362" s="284"/>
    </row>
    <row r="363" ht="15.75" customHeight="1">
      <c r="A363" s="282">
        <f t="shared" si="1"/>
        <v>359</v>
      </c>
      <c r="B363" s="283"/>
      <c r="C363" s="284"/>
      <c r="D363" s="338"/>
      <c r="E363" s="286"/>
      <c r="F363" s="287"/>
      <c r="G363" s="288" t="str">
        <f>+IFERROR(VLOOKUP(F363,NVL!$B:$C,2,0),"")</f>
        <v/>
      </c>
      <c r="H363" s="288" t="str">
        <f>+IFERROR(VLOOKUP(F363,NVL!$B:$D,3,0),"")</f>
        <v/>
      </c>
      <c r="I363" s="288" t="str">
        <f>+IFERROR(VLOOKUP(F363,NVL!$B:$F,4,0),"")</f>
        <v/>
      </c>
      <c r="J363" s="289"/>
      <c r="K363" s="290"/>
      <c r="L363" s="291" t="str">
        <f>+IFERROR(VLOOKUP(K363,'THÀNH PHẨM'!$B:$F,3,0),"")</f>
        <v/>
      </c>
      <c r="M363" s="291" t="str">
        <f>+IFERROR(VLOOKUP(K363,'THÀNH PHẨM'!$B:$F,4,0),"")</f>
        <v/>
      </c>
      <c r="N363" s="291" t="str">
        <f>+IFERROR(VLOOKUP(K363,'THÀNH PHẨM'!$B:$F,5,0),"")</f>
        <v/>
      </c>
      <c r="O363" s="289"/>
      <c r="P363" s="292">
        <f t="shared" si="2"/>
        <v>0</v>
      </c>
      <c r="Q363" s="289"/>
      <c r="R363" s="289"/>
      <c r="S363" s="293">
        <f t="shared" si="62"/>
        <v>0</v>
      </c>
      <c r="T363" s="294"/>
      <c r="U363" s="295">
        <f t="shared" si="68"/>
        <v>0</v>
      </c>
      <c r="V363" s="296"/>
      <c r="W363" s="297"/>
      <c r="X363" s="298"/>
      <c r="Y363" s="292" t="str">
        <f t="shared" si="69"/>
        <v/>
      </c>
      <c r="Z363" s="366">
        <f t="shared" si="70"/>
        <v>0</v>
      </c>
      <c r="AA363" s="299" t="str">
        <f t="shared" si="71"/>
        <v/>
      </c>
      <c r="AB363" s="300"/>
      <c r="AC363" s="301"/>
      <c r="AD363" s="302"/>
      <c r="AE363" s="303"/>
      <c r="AF363" s="304"/>
      <c r="AG363" s="304"/>
      <c r="AH363" s="304"/>
      <c r="AI363" s="304"/>
      <c r="AJ363" s="304"/>
      <c r="AK363" s="305"/>
      <c r="AL363" s="283"/>
      <c r="AM363" s="284"/>
    </row>
    <row r="364" ht="15.75" customHeight="1">
      <c r="A364" s="282">
        <f t="shared" si="1"/>
        <v>360</v>
      </c>
      <c r="B364" s="283"/>
      <c r="C364" s="284"/>
      <c r="D364" s="338"/>
      <c r="E364" s="286"/>
      <c r="F364" s="287"/>
      <c r="G364" s="288" t="str">
        <f>+IFERROR(VLOOKUP(F364,NVL!$B:$C,2,0),"")</f>
        <v/>
      </c>
      <c r="H364" s="288" t="str">
        <f>+IFERROR(VLOOKUP(F364,NVL!$B:$D,3,0),"")</f>
        <v/>
      </c>
      <c r="I364" s="288" t="str">
        <f>+IFERROR(VLOOKUP(F364,NVL!$B:$F,4,0),"")</f>
        <v/>
      </c>
      <c r="J364" s="289"/>
      <c r="K364" s="290"/>
      <c r="L364" s="291" t="str">
        <f>+IFERROR(VLOOKUP(K364,'THÀNH PHẨM'!$B:$F,3,0),"")</f>
        <v/>
      </c>
      <c r="M364" s="291" t="str">
        <f>+IFERROR(VLOOKUP(K364,'THÀNH PHẨM'!$B:$F,4,0),"")</f>
        <v/>
      </c>
      <c r="N364" s="291" t="str">
        <f>+IFERROR(VLOOKUP(K364,'THÀNH PHẨM'!$B:$F,5,0),"")</f>
        <v/>
      </c>
      <c r="O364" s="289"/>
      <c r="P364" s="292">
        <f t="shared" si="2"/>
        <v>0</v>
      </c>
      <c r="Q364" s="289"/>
      <c r="R364" s="289"/>
      <c r="S364" s="293">
        <f t="shared" si="62"/>
        <v>0</v>
      </c>
      <c r="T364" s="294"/>
      <c r="U364" s="295">
        <f t="shared" si="68"/>
        <v>0</v>
      </c>
      <c r="V364" s="296"/>
      <c r="W364" s="297"/>
      <c r="X364" s="298"/>
      <c r="Y364" s="292" t="str">
        <f t="shared" si="69"/>
        <v/>
      </c>
      <c r="Z364" s="366">
        <f t="shared" si="70"/>
        <v>0</v>
      </c>
      <c r="AA364" s="299" t="str">
        <f t="shared" si="71"/>
        <v/>
      </c>
      <c r="AB364" s="300"/>
      <c r="AC364" s="301"/>
      <c r="AD364" s="302"/>
      <c r="AE364" s="303"/>
      <c r="AF364" s="304"/>
      <c r="AG364" s="304"/>
      <c r="AH364" s="304"/>
      <c r="AI364" s="304"/>
      <c r="AJ364" s="304"/>
      <c r="AK364" s="305"/>
      <c r="AL364" s="283"/>
      <c r="AM364" s="284"/>
    </row>
    <row r="365" ht="15.75" customHeight="1">
      <c r="A365" s="282">
        <f t="shared" si="1"/>
        <v>361</v>
      </c>
      <c r="B365" s="283"/>
      <c r="C365" s="284"/>
      <c r="D365" s="338"/>
      <c r="E365" s="286"/>
      <c r="F365" s="287"/>
      <c r="G365" s="288" t="str">
        <f>+IFERROR(VLOOKUP(F365,NVL!$B:$C,2,0),"")</f>
        <v/>
      </c>
      <c r="H365" s="288" t="str">
        <f>+IFERROR(VLOOKUP(F365,NVL!$B:$D,3,0),"")</f>
        <v/>
      </c>
      <c r="I365" s="288" t="str">
        <f>+IFERROR(VLOOKUP(F365,NVL!$B:$F,4,0),"")</f>
        <v/>
      </c>
      <c r="J365" s="289"/>
      <c r="K365" s="290"/>
      <c r="L365" s="291" t="str">
        <f>+IFERROR(VLOOKUP(K365,'THÀNH PHẨM'!$B:$F,3,0),"")</f>
        <v/>
      </c>
      <c r="M365" s="291" t="str">
        <f>+IFERROR(VLOOKUP(K365,'THÀNH PHẨM'!$B:$F,4,0),"")</f>
        <v/>
      </c>
      <c r="N365" s="291" t="str">
        <f>+IFERROR(VLOOKUP(K365,'THÀNH PHẨM'!$B:$F,5,0),"")</f>
        <v/>
      </c>
      <c r="O365" s="289"/>
      <c r="P365" s="292">
        <f t="shared" si="2"/>
        <v>0</v>
      </c>
      <c r="Q365" s="289"/>
      <c r="R365" s="289"/>
      <c r="S365" s="293">
        <f t="shared" si="62"/>
        <v>0</v>
      </c>
      <c r="T365" s="294"/>
      <c r="U365" s="295">
        <f t="shared" si="68"/>
        <v>0</v>
      </c>
      <c r="V365" s="296"/>
      <c r="W365" s="297"/>
      <c r="X365" s="298"/>
      <c r="Y365" s="292" t="str">
        <f t="shared" si="69"/>
        <v/>
      </c>
      <c r="Z365" s="366">
        <f t="shared" si="70"/>
        <v>0</v>
      </c>
      <c r="AA365" s="299" t="str">
        <f t="shared" si="71"/>
        <v/>
      </c>
      <c r="AB365" s="300"/>
      <c r="AC365" s="301"/>
      <c r="AD365" s="302"/>
      <c r="AE365" s="303"/>
      <c r="AF365" s="304"/>
      <c r="AG365" s="304"/>
      <c r="AH365" s="304"/>
      <c r="AI365" s="304"/>
      <c r="AJ365" s="304"/>
      <c r="AK365" s="305"/>
      <c r="AL365" s="283"/>
      <c r="AM365" s="320"/>
    </row>
    <row r="366" ht="15.75" customHeight="1">
      <c r="A366" s="282">
        <f t="shared" si="1"/>
        <v>362</v>
      </c>
      <c r="B366" s="283"/>
      <c r="C366" s="284"/>
      <c r="D366" s="338"/>
      <c r="E366" s="286"/>
      <c r="F366" s="287"/>
      <c r="G366" s="288" t="str">
        <f>+IFERROR(VLOOKUP(F366,NVL!$B:$C,2,0),"")</f>
        <v/>
      </c>
      <c r="H366" s="288" t="str">
        <f>+IFERROR(VLOOKUP(F366,NVL!$B:$D,3,0),"")</f>
        <v/>
      </c>
      <c r="I366" s="288" t="str">
        <f>+IFERROR(VLOOKUP(F366,NVL!$B:$F,4,0),"")</f>
        <v/>
      </c>
      <c r="J366" s="289"/>
      <c r="K366" s="290"/>
      <c r="L366" s="291" t="str">
        <f>+IFERROR(VLOOKUP(K366,'THÀNH PHẨM'!$B:$F,3,0),"")</f>
        <v/>
      </c>
      <c r="M366" s="291" t="str">
        <f>+IFERROR(VLOOKUP(K366,'THÀNH PHẨM'!$B:$F,4,0),"")</f>
        <v/>
      </c>
      <c r="N366" s="291" t="str">
        <f>+IFERROR(VLOOKUP(K366,'THÀNH PHẨM'!$B:$F,5,0),"")</f>
        <v/>
      </c>
      <c r="O366" s="289"/>
      <c r="P366" s="292">
        <f t="shared" si="2"/>
        <v>0</v>
      </c>
      <c r="Q366" s="289"/>
      <c r="R366" s="289"/>
      <c r="S366" s="293">
        <f t="shared" si="62"/>
        <v>0</v>
      </c>
      <c r="T366" s="294"/>
      <c r="U366" s="295">
        <f t="shared" si="68"/>
        <v>0</v>
      </c>
      <c r="V366" s="296"/>
      <c r="W366" s="297"/>
      <c r="X366" s="298"/>
      <c r="Y366" s="292" t="str">
        <f t="shared" si="69"/>
        <v/>
      </c>
      <c r="Z366" s="366">
        <f t="shared" si="70"/>
        <v>0</v>
      </c>
      <c r="AA366" s="299" t="str">
        <f t="shared" si="71"/>
        <v/>
      </c>
      <c r="AB366" s="300"/>
      <c r="AC366" s="301"/>
      <c r="AD366" s="302"/>
      <c r="AE366" s="303"/>
      <c r="AF366" s="304"/>
      <c r="AG366" s="304"/>
      <c r="AH366" s="304"/>
      <c r="AI366" s="304"/>
      <c r="AJ366" s="304"/>
      <c r="AK366" s="305"/>
      <c r="AL366" s="283"/>
      <c r="AM366" s="284"/>
    </row>
    <row r="367" ht="15.75" customHeight="1">
      <c r="A367" s="282">
        <f t="shared" si="1"/>
        <v>363</v>
      </c>
      <c r="B367" s="283"/>
      <c r="C367" s="284"/>
      <c r="D367" s="338"/>
      <c r="E367" s="286"/>
      <c r="F367" s="287"/>
      <c r="G367" s="288" t="str">
        <f>+IFERROR(VLOOKUP(F367,NVL!$B:$C,2,0),"")</f>
        <v/>
      </c>
      <c r="H367" s="288" t="str">
        <f>+IFERROR(VLOOKUP(F367,NVL!$B:$D,3,0),"")</f>
        <v/>
      </c>
      <c r="I367" s="288" t="str">
        <f>+IFERROR(VLOOKUP(F367,NVL!$B:$F,4,0),"")</f>
        <v/>
      </c>
      <c r="J367" s="289"/>
      <c r="K367" s="290"/>
      <c r="L367" s="291" t="str">
        <f>+IFERROR(VLOOKUP(K367,'THÀNH PHẨM'!$B:$F,3,0),"")</f>
        <v/>
      </c>
      <c r="M367" s="291" t="str">
        <f>+IFERROR(VLOOKUP(K367,'THÀNH PHẨM'!$B:$F,4,0),"")</f>
        <v/>
      </c>
      <c r="N367" s="291" t="str">
        <f>+IFERROR(VLOOKUP(K367,'THÀNH PHẨM'!$B:$F,5,0),"")</f>
        <v/>
      </c>
      <c r="O367" s="289"/>
      <c r="P367" s="292">
        <f t="shared" si="2"/>
        <v>0</v>
      </c>
      <c r="Q367" s="289"/>
      <c r="R367" s="289"/>
      <c r="S367" s="293">
        <f t="shared" si="62"/>
        <v>0</v>
      </c>
      <c r="T367" s="294"/>
      <c r="U367" s="295">
        <f t="shared" si="68"/>
        <v>0</v>
      </c>
      <c r="V367" s="296"/>
      <c r="W367" s="297"/>
      <c r="X367" s="298"/>
      <c r="Y367" s="292" t="str">
        <f t="shared" si="69"/>
        <v/>
      </c>
      <c r="Z367" s="366">
        <f t="shared" si="70"/>
        <v>0</v>
      </c>
      <c r="AA367" s="299" t="str">
        <f t="shared" si="71"/>
        <v/>
      </c>
      <c r="AB367" s="300"/>
      <c r="AC367" s="301"/>
      <c r="AD367" s="302"/>
      <c r="AE367" s="303"/>
      <c r="AF367" s="304"/>
      <c r="AG367" s="304"/>
      <c r="AH367" s="304"/>
      <c r="AI367" s="304"/>
      <c r="AJ367" s="304"/>
      <c r="AK367" s="305"/>
      <c r="AL367" s="283"/>
      <c r="AM367" s="284"/>
    </row>
    <row r="368" ht="15.75" customHeight="1">
      <c r="A368" s="282">
        <f t="shared" si="1"/>
        <v>364</v>
      </c>
      <c r="B368" s="283"/>
      <c r="C368" s="284"/>
      <c r="D368" s="338"/>
      <c r="E368" s="286"/>
      <c r="F368" s="287"/>
      <c r="G368" s="288" t="str">
        <f>+IFERROR(VLOOKUP(F368,NVL!$B:$C,2,0),"")</f>
        <v/>
      </c>
      <c r="H368" s="288" t="str">
        <f>+IFERROR(VLOOKUP(F368,NVL!$B:$D,3,0),"")</f>
        <v/>
      </c>
      <c r="I368" s="288" t="str">
        <f>+IFERROR(VLOOKUP(F368,NVL!$B:$F,4,0),"")</f>
        <v/>
      </c>
      <c r="J368" s="289"/>
      <c r="K368" s="290"/>
      <c r="L368" s="291" t="str">
        <f>+IFERROR(VLOOKUP(K368,'THÀNH PHẨM'!$B:$F,3,0),"")</f>
        <v/>
      </c>
      <c r="M368" s="291" t="str">
        <f>+IFERROR(VLOOKUP(K368,'THÀNH PHẨM'!$B:$F,4,0),"")</f>
        <v/>
      </c>
      <c r="N368" s="291" t="str">
        <f>+IFERROR(VLOOKUP(K368,'THÀNH PHẨM'!$B:$F,5,0),"")</f>
        <v/>
      </c>
      <c r="O368" s="289"/>
      <c r="P368" s="292">
        <f t="shared" si="2"/>
        <v>0</v>
      </c>
      <c r="Q368" s="289"/>
      <c r="R368" s="289"/>
      <c r="S368" s="293">
        <f t="shared" si="62"/>
        <v>0</v>
      </c>
      <c r="T368" s="294"/>
      <c r="U368" s="295">
        <f t="shared" si="68"/>
        <v>0</v>
      </c>
      <c r="V368" s="296"/>
      <c r="W368" s="297"/>
      <c r="X368" s="298"/>
      <c r="Y368" s="292" t="str">
        <f t="shared" si="69"/>
        <v/>
      </c>
      <c r="Z368" s="366">
        <f t="shared" si="70"/>
        <v>0</v>
      </c>
      <c r="AA368" s="299" t="str">
        <f t="shared" si="71"/>
        <v/>
      </c>
      <c r="AB368" s="300"/>
      <c r="AC368" s="301"/>
      <c r="AD368" s="302"/>
      <c r="AE368" s="303"/>
      <c r="AF368" s="304"/>
      <c r="AG368" s="304"/>
      <c r="AH368" s="304"/>
      <c r="AI368" s="304"/>
      <c r="AJ368" s="304"/>
      <c r="AK368" s="305"/>
      <c r="AL368" s="283"/>
      <c r="AM368" s="284"/>
    </row>
    <row r="369" ht="15.75" customHeight="1">
      <c r="A369" s="282">
        <f t="shared" si="1"/>
        <v>365</v>
      </c>
      <c r="B369" s="283"/>
      <c r="C369" s="284"/>
      <c r="D369" s="338"/>
      <c r="E369" s="286"/>
      <c r="F369" s="287"/>
      <c r="G369" s="288" t="str">
        <f>+IFERROR(VLOOKUP(F369,NVL!$B:$C,2,0),"")</f>
        <v/>
      </c>
      <c r="H369" s="288" t="str">
        <f>+IFERROR(VLOOKUP(F369,NVL!$B:$D,3,0),"")</f>
        <v/>
      </c>
      <c r="I369" s="288" t="str">
        <f>+IFERROR(VLOOKUP(F369,NVL!$B:$F,4,0),"")</f>
        <v/>
      </c>
      <c r="J369" s="289"/>
      <c r="K369" s="290"/>
      <c r="L369" s="291" t="str">
        <f>+IFERROR(VLOOKUP(K369,'THÀNH PHẨM'!$B:$F,3,0),"")</f>
        <v/>
      </c>
      <c r="M369" s="291" t="str">
        <f>+IFERROR(VLOOKUP(K369,'THÀNH PHẨM'!$B:$F,4,0),"")</f>
        <v/>
      </c>
      <c r="N369" s="291" t="str">
        <f>+IFERROR(VLOOKUP(K369,'THÀNH PHẨM'!$B:$F,5,0),"")</f>
        <v/>
      </c>
      <c r="O369" s="289"/>
      <c r="P369" s="292">
        <f t="shared" si="2"/>
        <v>0</v>
      </c>
      <c r="Q369" s="289"/>
      <c r="R369" s="289"/>
      <c r="S369" s="293">
        <f t="shared" si="62"/>
        <v>0</v>
      </c>
      <c r="T369" s="294"/>
      <c r="U369" s="295">
        <f t="shared" si="68"/>
        <v>0</v>
      </c>
      <c r="V369" s="296"/>
      <c r="W369" s="297"/>
      <c r="X369" s="298"/>
      <c r="Y369" s="292" t="str">
        <f t="shared" si="69"/>
        <v/>
      </c>
      <c r="Z369" s="366">
        <f t="shared" si="70"/>
        <v>0</v>
      </c>
      <c r="AA369" s="299" t="str">
        <f t="shared" si="71"/>
        <v/>
      </c>
      <c r="AB369" s="300"/>
      <c r="AC369" s="301"/>
      <c r="AD369" s="302"/>
      <c r="AE369" s="303"/>
      <c r="AF369" s="304"/>
      <c r="AG369" s="304"/>
      <c r="AH369" s="304"/>
      <c r="AI369" s="304"/>
      <c r="AJ369" s="304"/>
      <c r="AK369" s="305"/>
      <c r="AL369" s="283"/>
      <c r="AM369" s="284"/>
    </row>
    <row r="370" ht="15.75" customHeight="1">
      <c r="A370" s="282">
        <f t="shared" si="1"/>
        <v>366</v>
      </c>
      <c r="B370" s="283"/>
      <c r="C370" s="284"/>
      <c r="D370" s="338"/>
      <c r="E370" s="286"/>
      <c r="F370" s="287"/>
      <c r="G370" s="288" t="str">
        <f>+IFERROR(VLOOKUP(F370,NVL!$B:$C,2,0),"")</f>
        <v/>
      </c>
      <c r="H370" s="288" t="str">
        <f>+IFERROR(VLOOKUP(F370,NVL!$B:$D,3,0),"")</f>
        <v/>
      </c>
      <c r="I370" s="288" t="str">
        <f>+IFERROR(VLOOKUP(F370,NVL!$B:$F,4,0),"")</f>
        <v/>
      </c>
      <c r="J370" s="289"/>
      <c r="K370" s="290"/>
      <c r="L370" s="291" t="str">
        <f>+IFERROR(VLOOKUP(K370,'THÀNH PHẨM'!$B:$F,3,0),"")</f>
        <v/>
      </c>
      <c r="M370" s="291" t="str">
        <f>+IFERROR(VLOOKUP(K370,'THÀNH PHẨM'!$B:$F,4,0),"")</f>
        <v/>
      </c>
      <c r="N370" s="291" t="str">
        <f>+IFERROR(VLOOKUP(K370,'THÀNH PHẨM'!$B:$F,5,0),"")</f>
        <v/>
      </c>
      <c r="O370" s="289"/>
      <c r="P370" s="292">
        <f t="shared" si="2"/>
        <v>0</v>
      </c>
      <c r="Q370" s="289"/>
      <c r="R370" s="289"/>
      <c r="S370" s="293">
        <f t="shared" si="62"/>
        <v>0</v>
      </c>
      <c r="T370" s="294"/>
      <c r="U370" s="295">
        <f t="shared" si="68"/>
        <v>0</v>
      </c>
      <c r="V370" s="296"/>
      <c r="W370" s="297"/>
      <c r="X370" s="298"/>
      <c r="Y370" s="292" t="str">
        <f t="shared" si="69"/>
        <v/>
      </c>
      <c r="Z370" s="366">
        <f t="shared" si="70"/>
        <v>0</v>
      </c>
      <c r="AA370" s="299" t="str">
        <f t="shared" si="71"/>
        <v/>
      </c>
      <c r="AB370" s="300"/>
      <c r="AC370" s="301"/>
      <c r="AD370" s="302"/>
      <c r="AE370" s="303"/>
      <c r="AF370" s="304"/>
      <c r="AG370" s="304"/>
      <c r="AH370" s="304"/>
      <c r="AI370" s="304"/>
      <c r="AJ370" s="304"/>
      <c r="AK370" s="305"/>
      <c r="AL370" s="283"/>
      <c r="AM370" s="284"/>
    </row>
    <row r="371" ht="15.75" customHeight="1">
      <c r="A371" s="282">
        <f t="shared" si="1"/>
        <v>367</v>
      </c>
      <c r="B371" s="283"/>
      <c r="C371" s="284"/>
      <c r="D371" s="338"/>
      <c r="E371" s="286"/>
      <c r="F371" s="287"/>
      <c r="G371" s="288" t="str">
        <f>+IFERROR(VLOOKUP(F371,NVL!$B:$C,2,0),"")</f>
        <v/>
      </c>
      <c r="H371" s="288" t="str">
        <f>+IFERROR(VLOOKUP(F371,NVL!$B:$D,3,0),"")</f>
        <v/>
      </c>
      <c r="I371" s="288" t="str">
        <f>+IFERROR(VLOOKUP(F371,NVL!$B:$F,4,0),"")</f>
        <v/>
      </c>
      <c r="J371" s="289"/>
      <c r="K371" s="290"/>
      <c r="L371" s="291" t="str">
        <f>+IFERROR(VLOOKUP(K371,'THÀNH PHẨM'!$B:$F,3,0),"")</f>
        <v/>
      </c>
      <c r="M371" s="291" t="str">
        <f>+IFERROR(VLOOKUP(K371,'THÀNH PHẨM'!$B:$F,4,0),"")</f>
        <v/>
      </c>
      <c r="N371" s="291" t="str">
        <f>+IFERROR(VLOOKUP(K371,'THÀNH PHẨM'!$B:$F,5,0),"")</f>
        <v/>
      </c>
      <c r="O371" s="289"/>
      <c r="P371" s="292">
        <f t="shared" si="2"/>
        <v>0</v>
      </c>
      <c r="Q371" s="289"/>
      <c r="R371" s="289"/>
      <c r="S371" s="293">
        <f t="shared" si="62"/>
        <v>0</v>
      </c>
      <c r="T371" s="294"/>
      <c r="U371" s="295">
        <f t="shared" si="68"/>
        <v>0</v>
      </c>
      <c r="V371" s="296"/>
      <c r="W371" s="297"/>
      <c r="X371" s="298"/>
      <c r="Y371" s="292" t="str">
        <f t="shared" si="69"/>
        <v/>
      </c>
      <c r="Z371" s="366">
        <f t="shared" si="70"/>
        <v>0</v>
      </c>
      <c r="AA371" s="299" t="str">
        <f t="shared" si="71"/>
        <v/>
      </c>
      <c r="AB371" s="300"/>
      <c r="AC371" s="301"/>
      <c r="AD371" s="302"/>
      <c r="AE371" s="303"/>
      <c r="AF371" s="304"/>
      <c r="AG371" s="304"/>
      <c r="AH371" s="304"/>
      <c r="AI371" s="304"/>
      <c r="AJ371" s="304"/>
      <c r="AK371" s="429"/>
      <c r="AL371" s="283"/>
      <c r="AM371" s="284"/>
    </row>
    <row r="372" ht="15.75" customHeight="1">
      <c r="A372" s="282">
        <f t="shared" si="1"/>
        <v>368</v>
      </c>
      <c r="B372" s="283"/>
      <c r="C372" s="284"/>
      <c r="D372" s="338"/>
      <c r="E372" s="286"/>
      <c r="F372" s="287"/>
      <c r="G372" s="288" t="str">
        <f>+IFERROR(VLOOKUP(F372,NVL!$B:$C,2,0),"")</f>
        <v/>
      </c>
      <c r="H372" s="288" t="str">
        <f>+IFERROR(VLOOKUP(F372,NVL!$B:$D,3,0),"")</f>
        <v/>
      </c>
      <c r="I372" s="288" t="str">
        <f>+IFERROR(VLOOKUP(F372,NVL!$B:$F,4,0),"")</f>
        <v/>
      </c>
      <c r="J372" s="289"/>
      <c r="K372" s="290"/>
      <c r="L372" s="291" t="str">
        <f>+IFERROR(VLOOKUP(K372,'THÀNH PHẨM'!$B:$F,3,0),"")</f>
        <v/>
      </c>
      <c r="M372" s="291" t="str">
        <f>+IFERROR(VLOOKUP(K372,'THÀNH PHẨM'!$B:$F,4,0),"")</f>
        <v/>
      </c>
      <c r="N372" s="291" t="str">
        <f>+IFERROR(VLOOKUP(K372,'THÀNH PHẨM'!$B:$F,5,0),"")</f>
        <v/>
      </c>
      <c r="O372" s="289"/>
      <c r="P372" s="292">
        <f t="shared" si="2"/>
        <v>0</v>
      </c>
      <c r="Q372" s="289"/>
      <c r="R372" s="289"/>
      <c r="S372" s="293">
        <f t="shared" si="62"/>
        <v>0</v>
      </c>
      <c r="T372" s="294"/>
      <c r="U372" s="295">
        <f t="shared" si="68"/>
        <v>0</v>
      </c>
      <c r="V372" s="296"/>
      <c r="W372" s="297"/>
      <c r="X372" s="298"/>
      <c r="Y372" s="292" t="str">
        <f t="shared" si="69"/>
        <v/>
      </c>
      <c r="Z372" s="366">
        <f t="shared" si="70"/>
        <v>0</v>
      </c>
      <c r="AA372" s="299" t="str">
        <f t="shared" si="71"/>
        <v/>
      </c>
      <c r="AB372" s="300"/>
      <c r="AC372" s="301"/>
      <c r="AD372" s="302"/>
      <c r="AE372" s="303"/>
      <c r="AF372" s="304"/>
      <c r="AG372" s="304"/>
      <c r="AH372" s="304"/>
      <c r="AI372" s="304"/>
      <c r="AJ372" s="304"/>
      <c r="AK372" s="305"/>
      <c r="AL372" s="283"/>
      <c r="AM372" s="284"/>
    </row>
    <row r="373" ht="15.75" customHeight="1">
      <c r="A373" s="282">
        <f t="shared" si="1"/>
        <v>369</v>
      </c>
      <c r="B373" s="283"/>
      <c r="C373" s="284"/>
      <c r="D373" s="338"/>
      <c r="E373" s="286"/>
      <c r="F373" s="287"/>
      <c r="G373" s="288" t="str">
        <f>+IFERROR(VLOOKUP(F373,NVL!$B:$C,2,0),"")</f>
        <v/>
      </c>
      <c r="H373" s="288" t="str">
        <f>+IFERROR(VLOOKUP(F373,NVL!$B:$D,3,0),"")</f>
        <v/>
      </c>
      <c r="I373" s="288" t="str">
        <f>+IFERROR(VLOOKUP(F373,NVL!$B:$F,4,0),"")</f>
        <v/>
      </c>
      <c r="J373" s="289"/>
      <c r="K373" s="290"/>
      <c r="L373" s="291" t="str">
        <f>+IFERROR(VLOOKUP(K373,'THÀNH PHẨM'!$B:$F,3,0),"")</f>
        <v/>
      </c>
      <c r="M373" s="291" t="str">
        <f>+IFERROR(VLOOKUP(K373,'THÀNH PHẨM'!$B:$F,4,0),"")</f>
        <v/>
      </c>
      <c r="N373" s="291" t="str">
        <f>+IFERROR(VLOOKUP(K373,'THÀNH PHẨM'!$B:$F,5,0),"")</f>
        <v/>
      </c>
      <c r="O373" s="289"/>
      <c r="P373" s="292">
        <f t="shared" si="2"/>
        <v>0</v>
      </c>
      <c r="Q373" s="289"/>
      <c r="R373" s="289"/>
      <c r="S373" s="293">
        <f t="shared" si="62"/>
        <v>0</v>
      </c>
      <c r="T373" s="294"/>
      <c r="U373" s="295">
        <f t="shared" si="68"/>
        <v>0</v>
      </c>
      <c r="V373" s="296"/>
      <c r="W373" s="297"/>
      <c r="X373" s="298"/>
      <c r="Y373" s="292" t="str">
        <f t="shared" si="69"/>
        <v/>
      </c>
      <c r="Z373" s="366">
        <f t="shared" si="70"/>
        <v>0</v>
      </c>
      <c r="AA373" s="299" t="str">
        <f t="shared" si="71"/>
        <v/>
      </c>
      <c r="AB373" s="300"/>
      <c r="AC373" s="301"/>
      <c r="AD373" s="302"/>
      <c r="AE373" s="303"/>
      <c r="AF373" s="304"/>
      <c r="AG373" s="304"/>
      <c r="AH373" s="304"/>
      <c r="AI373" s="304"/>
      <c r="AJ373" s="304"/>
      <c r="AK373" s="305"/>
      <c r="AL373" s="283"/>
      <c r="AM373" s="284"/>
    </row>
    <row r="374" ht="15.75" customHeight="1">
      <c r="A374" s="282">
        <f t="shared" si="1"/>
        <v>370</v>
      </c>
      <c r="B374" s="283"/>
      <c r="C374" s="284"/>
      <c r="D374" s="338"/>
      <c r="E374" s="286"/>
      <c r="F374" s="287"/>
      <c r="G374" s="288" t="str">
        <f>+IFERROR(VLOOKUP(F374,NVL!$B:$C,2,0),"")</f>
        <v/>
      </c>
      <c r="H374" s="288" t="str">
        <f>+IFERROR(VLOOKUP(F374,NVL!$B:$D,3,0),"")</f>
        <v/>
      </c>
      <c r="I374" s="288" t="str">
        <f>+IFERROR(VLOOKUP(F374,NVL!$B:$F,4,0),"")</f>
        <v/>
      </c>
      <c r="J374" s="289"/>
      <c r="K374" s="290"/>
      <c r="L374" s="291" t="str">
        <f>+IFERROR(VLOOKUP(K374,'THÀNH PHẨM'!$B:$F,3,0),"")</f>
        <v/>
      </c>
      <c r="M374" s="291" t="str">
        <f>+IFERROR(VLOOKUP(K374,'THÀNH PHẨM'!$B:$F,4,0),"")</f>
        <v/>
      </c>
      <c r="N374" s="291" t="str">
        <f>+IFERROR(VLOOKUP(K374,'THÀNH PHẨM'!$B:$F,5,0),"")</f>
        <v/>
      </c>
      <c r="O374" s="289"/>
      <c r="P374" s="292">
        <f t="shared" si="2"/>
        <v>0</v>
      </c>
      <c r="Q374" s="289"/>
      <c r="R374" s="289"/>
      <c r="S374" s="293">
        <f t="shared" si="62"/>
        <v>0</v>
      </c>
      <c r="T374" s="294"/>
      <c r="U374" s="295">
        <f t="shared" si="68"/>
        <v>0</v>
      </c>
      <c r="V374" s="296"/>
      <c r="W374" s="297"/>
      <c r="X374" s="298"/>
      <c r="Y374" s="292" t="str">
        <f t="shared" si="69"/>
        <v/>
      </c>
      <c r="Z374" s="366">
        <f t="shared" si="70"/>
        <v>0</v>
      </c>
      <c r="AA374" s="299" t="str">
        <f t="shared" si="71"/>
        <v/>
      </c>
      <c r="AB374" s="300"/>
      <c r="AC374" s="301"/>
      <c r="AD374" s="302"/>
      <c r="AE374" s="303"/>
      <c r="AF374" s="304"/>
      <c r="AG374" s="304"/>
      <c r="AH374" s="304"/>
      <c r="AI374" s="304"/>
      <c r="AJ374" s="304"/>
      <c r="AK374" s="305"/>
      <c r="AL374" s="283"/>
      <c r="AM374" s="284"/>
    </row>
    <row r="375" ht="15.75" customHeight="1">
      <c r="A375" s="282">
        <f t="shared" si="1"/>
        <v>371</v>
      </c>
      <c r="B375" s="283"/>
      <c r="C375" s="284"/>
      <c r="D375" s="338"/>
      <c r="E375" s="286"/>
      <c r="F375" s="287"/>
      <c r="G375" s="288" t="str">
        <f>+IFERROR(VLOOKUP(F375,NVL!$B:$C,2,0),"")</f>
        <v/>
      </c>
      <c r="H375" s="288" t="str">
        <f>+IFERROR(VLOOKUP(F375,NVL!$B:$D,3,0),"")</f>
        <v/>
      </c>
      <c r="I375" s="288" t="str">
        <f>+IFERROR(VLOOKUP(F375,NVL!$B:$F,4,0),"")</f>
        <v/>
      </c>
      <c r="J375" s="289"/>
      <c r="K375" s="290"/>
      <c r="L375" s="291" t="str">
        <f>+IFERROR(VLOOKUP(K375,'THÀNH PHẨM'!$B:$F,3,0),"")</f>
        <v/>
      </c>
      <c r="M375" s="291" t="str">
        <f>+IFERROR(VLOOKUP(K375,'THÀNH PHẨM'!$B:$F,4,0),"")</f>
        <v/>
      </c>
      <c r="N375" s="291" t="str">
        <f>+IFERROR(VLOOKUP(K375,'THÀNH PHẨM'!$B:$F,5,0),"")</f>
        <v/>
      </c>
      <c r="O375" s="289"/>
      <c r="P375" s="292">
        <f t="shared" si="2"/>
        <v>0</v>
      </c>
      <c r="Q375" s="289"/>
      <c r="R375" s="289"/>
      <c r="S375" s="293">
        <f t="shared" si="62"/>
        <v>0</v>
      </c>
      <c r="T375" s="294"/>
      <c r="U375" s="295">
        <f t="shared" si="68"/>
        <v>0</v>
      </c>
      <c r="V375" s="296"/>
      <c r="W375" s="297"/>
      <c r="X375" s="298"/>
      <c r="Y375" s="292" t="str">
        <f t="shared" si="69"/>
        <v/>
      </c>
      <c r="Z375" s="366">
        <f t="shared" si="70"/>
        <v>0</v>
      </c>
      <c r="AA375" s="299" t="str">
        <f t="shared" si="71"/>
        <v/>
      </c>
      <c r="AB375" s="300"/>
      <c r="AC375" s="301"/>
      <c r="AD375" s="302"/>
      <c r="AE375" s="303"/>
      <c r="AF375" s="304"/>
      <c r="AG375" s="304"/>
      <c r="AH375" s="304"/>
      <c r="AI375" s="304"/>
      <c r="AJ375" s="304"/>
      <c r="AK375" s="305"/>
      <c r="AL375" s="283"/>
      <c r="AM375" s="284"/>
    </row>
    <row r="376" ht="15.75" customHeight="1">
      <c r="A376" s="282">
        <f t="shared" si="1"/>
        <v>372</v>
      </c>
      <c r="B376" s="283"/>
      <c r="C376" s="284"/>
      <c r="D376" s="338"/>
      <c r="E376" s="286"/>
      <c r="F376" s="287"/>
      <c r="G376" s="288" t="str">
        <f>+IFERROR(VLOOKUP(F376,NVL!$B:$C,2,0),"")</f>
        <v/>
      </c>
      <c r="H376" s="288" t="str">
        <f>+IFERROR(VLOOKUP(F376,NVL!$B:$D,3,0),"")</f>
        <v/>
      </c>
      <c r="I376" s="288" t="str">
        <f>+IFERROR(VLOOKUP(F376,NVL!$B:$F,4,0),"")</f>
        <v/>
      </c>
      <c r="J376" s="289"/>
      <c r="K376" s="290"/>
      <c r="L376" s="291" t="str">
        <f>+IFERROR(VLOOKUP(K376,'THÀNH PHẨM'!$B:$F,3,0),"")</f>
        <v/>
      </c>
      <c r="M376" s="291" t="str">
        <f>+IFERROR(VLOOKUP(K376,'THÀNH PHẨM'!$B:$F,4,0),"")</f>
        <v/>
      </c>
      <c r="N376" s="291" t="str">
        <f>+IFERROR(VLOOKUP(K376,'THÀNH PHẨM'!$B:$F,5,0),"")</f>
        <v/>
      </c>
      <c r="O376" s="289"/>
      <c r="P376" s="292">
        <f t="shared" si="2"/>
        <v>0</v>
      </c>
      <c r="Q376" s="289"/>
      <c r="R376" s="289"/>
      <c r="S376" s="293">
        <f t="shared" si="62"/>
        <v>0</v>
      </c>
      <c r="T376" s="294"/>
      <c r="U376" s="295">
        <f t="shared" si="68"/>
        <v>0</v>
      </c>
      <c r="V376" s="296"/>
      <c r="W376" s="297"/>
      <c r="X376" s="298"/>
      <c r="Y376" s="292" t="str">
        <f t="shared" si="69"/>
        <v/>
      </c>
      <c r="Z376" s="366">
        <f t="shared" si="70"/>
        <v>0</v>
      </c>
      <c r="AA376" s="299" t="str">
        <f t="shared" si="71"/>
        <v/>
      </c>
      <c r="AB376" s="300"/>
      <c r="AC376" s="301"/>
      <c r="AD376" s="302"/>
      <c r="AE376" s="303"/>
      <c r="AF376" s="304"/>
      <c r="AG376" s="304"/>
      <c r="AH376" s="304"/>
      <c r="AI376" s="304"/>
      <c r="AJ376" s="304"/>
      <c r="AK376" s="305"/>
      <c r="AL376" s="283"/>
      <c r="AM376" s="284"/>
    </row>
    <row r="377" ht="15.75" customHeight="1">
      <c r="A377" s="282">
        <f t="shared" si="1"/>
        <v>373</v>
      </c>
      <c r="B377" s="283"/>
      <c r="C377" s="284"/>
      <c r="D377" s="338"/>
      <c r="E377" s="286"/>
      <c r="F377" s="287"/>
      <c r="G377" s="288" t="str">
        <f>+IFERROR(VLOOKUP(F377,NVL!$B:$C,2,0),"")</f>
        <v/>
      </c>
      <c r="H377" s="288" t="str">
        <f>+IFERROR(VLOOKUP(F377,NVL!$B:$D,3,0),"")</f>
        <v/>
      </c>
      <c r="I377" s="288" t="str">
        <f>+IFERROR(VLOOKUP(F377,NVL!$B:$F,4,0),"")</f>
        <v/>
      </c>
      <c r="J377" s="289"/>
      <c r="K377" s="290"/>
      <c r="L377" s="291" t="str">
        <f>+IFERROR(VLOOKUP(K377,'THÀNH PHẨM'!$B:$F,3,0),"")</f>
        <v/>
      </c>
      <c r="M377" s="291" t="str">
        <f>+IFERROR(VLOOKUP(K377,'THÀNH PHẨM'!$B:$F,4,0),"")</f>
        <v/>
      </c>
      <c r="N377" s="291" t="str">
        <f>+IFERROR(VLOOKUP(K377,'THÀNH PHẨM'!$B:$F,5,0),"")</f>
        <v/>
      </c>
      <c r="O377" s="289"/>
      <c r="P377" s="292">
        <f t="shared" si="2"/>
        <v>0</v>
      </c>
      <c r="Q377" s="289"/>
      <c r="R377" s="289"/>
      <c r="S377" s="293">
        <f t="shared" si="62"/>
        <v>0</v>
      </c>
      <c r="T377" s="294"/>
      <c r="U377" s="295">
        <f t="shared" si="68"/>
        <v>0</v>
      </c>
      <c r="V377" s="296"/>
      <c r="W377" s="297"/>
      <c r="X377" s="298"/>
      <c r="Y377" s="292" t="str">
        <f t="shared" si="69"/>
        <v/>
      </c>
      <c r="Z377" s="366">
        <f t="shared" si="70"/>
        <v>0</v>
      </c>
      <c r="AA377" s="299" t="str">
        <f t="shared" si="71"/>
        <v/>
      </c>
      <c r="AB377" s="300"/>
      <c r="AC377" s="301"/>
      <c r="AD377" s="302"/>
      <c r="AE377" s="303"/>
      <c r="AF377" s="304"/>
      <c r="AG377" s="304"/>
      <c r="AH377" s="304"/>
      <c r="AI377" s="304"/>
      <c r="AJ377" s="304"/>
      <c r="AK377" s="305"/>
      <c r="AL377" s="283"/>
      <c r="AM377" s="284"/>
    </row>
    <row r="378" ht="15.75" customHeight="1">
      <c r="A378" s="282">
        <f t="shared" si="1"/>
        <v>374</v>
      </c>
      <c r="B378" s="283"/>
      <c r="C378" s="284"/>
      <c r="D378" s="338"/>
      <c r="E378" s="286"/>
      <c r="F378" s="287"/>
      <c r="G378" s="288" t="str">
        <f>+IFERROR(VLOOKUP(F378,NVL!$B:$C,2,0),"")</f>
        <v/>
      </c>
      <c r="H378" s="288" t="str">
        <f>+IFERROR(VLOOKUP(F378,NVL!$B:$D,3,0),"")</f>
        <v/>
      </c>
      <c r="I378" s="288" t="str">
        <f>+IFERROR(VLOOKUP(F378,NVL!$B:$F,4,0),"")</f>
        <v/>
      </c>
      <c r="J378" s="289"/>
      <c r="K378" s="290"/>
      <c r="L378" s="291" t="str">
        <f>+IFERROR(VLOOKUP(K378,'THÀNH PHẨM'!$B:$F,3,0),"")</f>
        <v/>
      </c>
      <c r="M378" s="291" t="str">
        <f>+IFERROR(VLOOKUP(K378,'THÀNH PHẨM'!$B:$F,4,0),"")</f>
        <v/>
      </c>
      <c r="N378" s="291" t="str">
        <f>+IFERROR(VLOOKUP(K378,'THÀNH PHẨM'!$B:$F,5,0),"")</f>
        <v/>
      </c>
      <c r="O378" s="289"/>
      <c r="P378" s="292">
        <f t="shared" si="2"/>
        <v>0</v>
      </c>
      <c r="Q378" s="289"/>
      <c r="R378" s="289"/>
      <c r="S378" s="293">
        <f t="shared" si="62"/>
        <v>0</v>
      </c>
      <c r="T378" s="294"/>
      <c r="U378" s="295">
        <f t="shared" si="68"/>
        <v>0</v>
      </c>
      <c r="V378" s="296"/>
      <c r="W378" s="297"/>
      <c r="X378" s="298"/>
      <c r="Y378" s="292" t="str">
        <f t="shared" si="69"/>
        <v/>
      </c>
      <c r="Z378" s="366">
        <f t="shared" si="70"/>
        <v>0</v>
      </c>
      <c r="AA378" s="299" t="str">
        <f t="shared" si="71"/>
        <v/>
      </c>
      <c r="AB378" s="300"/>
      <c r="AC378" s="301"/>
      <c r="AD378" s="302"/>
      <c r="AE378" s="303"/>
      <c r="AF378" s="304"/>
      <c r="AG378" s="304"/>
      <c r="AH378" s="304"/>
      <c r="AI378" s="304"/>
      <c r="AJ378" s="304"/>
      <c r="AK378" s="305"/>
      <c r="AL378" s="283"/>
      <c r="AM378" s="284"/>
    </row>
    <row r="379" ht="15.75" customHeight="1">
      <c r="A379" s="282">
        <f t="shared" si="1"/>
        <v>375</v>
      </c>
      <c r="B379" s="283"/>
      <c r="C379" s="284"/>
      <c r="D379" s="338"/>
      <c r="E379" s="286"/>
      <c r="F379" s="287"/>
      <c r="G379" s="288" t="str">
        <f>+IFERROR(VLOOKUP(F379,NVL!$B:$C,2,0),"")</f>
        <v/>
      </c>
      <c r="H379" s="288" t="str">
        <f>+IFERROR(VLOOKUP(F379,NVL!$B:$D,3,0),"")</f>
        <v/>
      </c>
      <c r="I379" s="288" t="str">
        <f>+IFERROR(VLOOKUP(F379,NVL!$B:$F,4,0),"")</f>
        <v/>
      </c>
      <c r="J379" s="289"/>
      <c r="K379" s="290"/>
      <c r="L379" s="291" t="str">
        <f>+IFERROR(VLOOKUP(K379,'THÀNH PHẨM'!$B:$F,3,0),"")</f>
        <v/>
      </c>
      <c r="M379" s="291" t="str">
        <f>+IFERROR(VLOOKUP(K379,'THÀNH PHẨM'!$B:$F,4,0),"")</f>
        <v/>
      </c>
      <c r="N379" s="291" t="str">
        <f>+IFERROR(VLOOKUP(K379,'THÀNH PHẨM'!$B:$F,5,0),"")</f>
        <v/>
      </c>
      <c r="O379" s="289"/>
      <c r="P379" s="292">
        <f t="shared" si="2"/>
        <v>0</v>
      </c>
      <c r="Q379" s="289"/>
      <c r="R379" s="289"/>
      <c r="S379" s="293">
        <f t="shared" si="62"/>
        <v>0</v>
      </c>
      <c r="T379" s="294"/>
      <c r="U379" s="295">
        <f t="shared" si="68"/>
        <v>0</v>
      </c>
      <c r="V379" s="296"/>
      <c r="W379" s="297"/>
      <c r="X379" s="298"/>
      <c r="Y379" s="292" t="str">
        <f t="shared" si="69"/>
        <v/>
      </c>
      <c r="Z379" s="366">
        <f t="shared" si="70"/>
        <v>0</v>
      </c>
      <c r="AA379" s="299" t="str">
        <f t="shared" si="71"/>
        <v/>
      </c>
      <c r="AB379" s="300"/>
      <c r="AC379" s="301"/>
      <c r="AD379" s="302"/>
      <c r="AE379" s="303"/>
      <c r="AF379" s="304"/>
      <c r="AG379" s="304"/>
      <c r="AH379" s="304"/>
      <c r="AI379" s="304"/>
      <c r="AJ379" s="304"/>
      <c r="AK379" s="305"/>
      <c r="AL379" s="283"/>
      <c r="AM379" s="284"/>
    </row>
    <row r="380" ht="15.75" customHeight="1">
      <c r="A380" s="282">
        <f t="shared" si="1"/>
        <v>376</v>
      </c>
      <c r="B380" s="283"/>
      <c r="C380" s="284"/>
      <c r="D380" s="338"/>
      <c r="E380" s="286"/>
      <c r="F380" s="287"/>
      <c r="G380" s="288" t="str">
        <f>+IFERROR(VLOOKUP(F380,NVL!$B:$C,2,0),"")</f>
        <v/>
      </c>
      <c r="H380" s="288" t="str">
        <f>+IFERROR(VLOOKUP(F380,NVL!$B:$D,3,0),"")</f>
        <v/>
      </c>
      <c r="I380" s="288" t="str">
        <f>+IFERROR(VLOOKUP(F380,NVL!$B:$F,4,0),"")</f>
        <v/>
      </c>
      <c r="J380" s="289"/>
      <c r="K380" s="290"/>
      <c r="L380" s="291" t="str">
        <f>+IFERROR(VLOOKUP(K380,'THÀNH PHẨM'!$B:$F,3,0),"")</f>
        <v/>
      </c>
      <c r="M380" s="291" t="str">
        <f>+IFERROR(VLOOKUP(K380,'THÀNH PHẨM'!$B:$F,4,0),"")</f>
        <v/>
      </c>
      <c r="N380" s="291" t="str">
        <f>+IFERROR(VLOOKUP(K380,'THÀNH PHẨM'!$B:$F,5,0),"")</f>
        <v/>
      </c>
      <c r="O380" s="289"/>
      <c r="P380" s="292">
        <f t="shared" si="2"/>
        <v>0</v>
      </c>
      <c r="Q380" s="289"/>
      <c r="R380" s="289"/>
      <c r="S380" s="293">
        <f t="shared" si="62"/>
        <v>0</v>
      </c>
      <c r="T380" s="294"/>
      <c r="U380" s="295">
        <f t="shared" si="68"/>
        <v>0</v>
      </c>
      <c r="V380" s="296"/>
      <c r="W380" s="297"/>
      <c r="X380" s="298"/>
      <c r="Y380" s="292" t="str">
        <f t="shared" si="69"/>
        <v/>
      </c>
      <c r="Z380" s="366">
        <f t="shared" si="70"/>
        <v>0</v>
      </c>
      <c r="AA380" s="299" t="str">
        <f t="shared" si="71"/>
        <v/>
      </c>
      <c r="AB380" s="300"/>
      <c r="AC380" s="301"/>
      <c r="AD380" s="302"/>
      <c r="AE380" s="303"/>
      <c r="AF380" s="304"/>
      <c r="AG380" s="304"/>
      <c r="AH380" s="304"/>
      <c r="AI380" s="304"/>
      <c r="AJ380" s="304"/>
      <c r="AK380" s="305"/>
      <c r="AL380" s="283"/>
      <c r="AM380" s="284"/>
    </row>
    <row r="381" ht="15.75" customHeight="1">
      <c r="A381" s="282">
        <f t="shared" si="1"/>
        <v>377</v>
      </c>
      <c r="B381" s="283"/>
      <c r="C381" s="284"/>
      <c r="D381" s="338"/>
      <c r="E381" s="286"/>
      <c r="F381" s="287"/>
      <c r="G381" s="288" t="str">
        <f>+IFERROR(VLOOKUP(F381,NVL!$B:$C,2,0),"")</f>
        <v/>
      </c>
      <c r="H381" s="288" t="str">
        <f>+IFERROR(VLOOKUP(F381,NVL!$B:$D,3,0),"")</f>
        <v/>
      </c>
      <c r="I381" s="288" t="str">
        <f>+IFERROR(VLOOKUP(F381,NVL!$B:$F,4,0),"")</f>
        <v/>
      </c>
      <c r="J381" s="289"/>
      <c r="K381" s="290"/>
      <c r="L381" s="291" t="str">
        <f>+IFERROR(VLOOKUP(K381,'THÀNH PHẨM'!$B:$F,3,0),"")</f>
        <v/>
      </c>
      <c r="M381" s="291" t="str">
        <f>+IFERROR(VLOOKUP(K381,'THÀNH PHẨM'!$B:$F,4,0),"")</f>
        <v/>
      </c>
      <c r="N381" s="291" t="str">
        <f>+IFERROR(VLOOKUP(K381,'THÀNH PHẨM'!$B:$F,5,0),"")</f>
        <v/>
      </c>
      <c r="O381" s="289"/>
      <c r="P381" s="292">
        <f t="shared" si="2"/>
        <v>0</v>
      </c>
      <c r="Q381" s="289"/>
      <c r="R381" s="289"/>
      <c r="S381" s="293">
        <f t="shared" si="62"/>
        <v>0</v>
      </c>
      <c r="T381" s="294"/>
      <c r="U381" s="295">
        <f t="shared" si="68"/>
        <v>0</v>
      </c>
      <c r="V381" s="296"/>
      <c r="W381" s="297"/>
      <c r="X381" s="298"/>
      <c r="Y381" s="292" t="str">
        <f t="shared" si="69"/>
        <v/>
      </c>
      <c r="Z381" s="366">
        <f t="shared" si="70"/>
        <v>0</v>
      </c>
      <c r="AA381" s="299" t="str">
        <f t="shared" si="71"/>
        <v/>
      </c>
      <c r="AB381" s="300"/>
      <c r="AC381" s="301"/>
      <c r="AD381" s="302"/>
      <c r="AE381" s="303"/>
      <c r="AF381" s="304"/>
      <c r="AG381" s="304"/>
      <c r="AH381" s="304"/>
      <c r="AI381" s="304"/>
      <c r="AJ381" s="304"/>
      <c r="AK381" s="305"/>
      <c r="AL381" s="283"/>
      <c r="AM381" s="284"/>
    </row>
    <row r="382" ht="15.75" customHeight="1">
      <c r="A382" s="282">
        <f t="shared" si="1"/>
        <v>378</v>
      </c>
      <c r="B382" s="283"/>
      <c r="C382" s="284"/>
      <c r="D382" s="338"/>
      <c r="E382" s="286"/>
      <c r="F382" s="287"/>
      <c r="G382" s="288" t="str">
        <f>+IFERROR(VLOOKUP(F382,NVL!$B:$C,2,0),"")</f>
        <v/>
      </c>
      <c r="H382" s="288" t="str">
        <f>+IFERROR(VLOOKUP(F382,NVL!$B:$D,3,0),"")</f>
        <v/>
      </c>
      <c r="I382" s="288" t="str">
        <f>+IFERROR(VLOOKUP(F382,NVL!$B:$F,4,0),"")</f>
        <v/>
      </c>
      <c r="J382" s="289"/>
      <c r="K382" s="290"/>
      <c r="L382" s="291" t="str">
        <f>+IFERROR(VLOOKUP(K382,'THÀNH PHẨM'!$B:$F,3,0),"")</f>
        <v/>
      </c>
      <c r="M382" s="291" t="str">
        <f>+IFERROR(VLOOKUP(K382,'THÀNH PHẨM'!$B:$F,4,0),"")</f>
        <v/>
      </c>
      <c r="N382" s="291" t="str">
        <f>+IFERROR(VLOOKUP(K382,'THÀNH PHẨM'!$B:$F,5,0),"")</f>
        <v/>
      </c>
      <c r="O382" s="289"/>
      <c r="P382" s="292">
        <f t="shared" si="2"/>
        <v>0</v>
      </c>
      <c r="Q382" s="289"/>
      <c r="R382" s="289"/>
      <c r="S382" s="293">
        <f t="shared" si="62"/>
        <v>0</v>
      </c>
      <c r="T382" s="294"/>
      <c r="U382" s="295">
        <f t="shared" si="68"/>
        <v>0</v>
      </c>
      <c r="V382" s="296"/>
      <c r="W382" s="297"/>
      <c r="X382" s="298"/>
      <c r="Y382" s="292" t="str">
        <f t="shared" si="69"/>
        <v/>
      </c>
      <c r="Z382" s="366">
        <f t="shared" si="70"/>
        <v>0</v>
      </c>
      <c r="AA382" s="299" t="str">
        <f t="shared" si="71"/>
        <v/>
      </c>
      <c r="AB382" s="300"/>
      <c r="AC382" s="301"/>
      <c r="AD382" s="302"/>
      <c r="AE382" s="303"/>
      <c r="AF382" s="304"/>
      <c r="AG382" s="304"/>
      <c r="AH382" s="304"/>
      <c r="AI382" s="304"/>
      <c r="AJ382" s="304"/>
      <c r="AK382" s="305"/>
      <c r="AL382" s="283"/>
      <c r="AM382" s="284"/>
    </row>
    <row r="383" ht="15.75" customHeight="1">
      <c r="A383" s="282">
        <f t="shared" si="1"/>
        <v>379</v>
      </c>
      <c r="B383" s="283"/>
      <c r="C383" s="284"/>
      <c r="D383" s="338"/>
      <c r="E383" s="286"/>
      <c r="F383" s="287"/>
      <c r="G383" s="288" t="str">
        <f>+IFERROR(VLOOKUP(F383,NVL!$B:$C,2,0),"")</f>
        <v/>
      </c>
      <c r="H383" s="288" t="str">
        <f>+IFERROR(VLOOKUP(F383,NVL!$B:$D,3,0),"")</f>
        <v/>
      </c>
      <c r="I383" s="288" t="str">
        <f>+IFERROR(VLOOKUP(F383,NVL!$B:$F,4,0),"")</f>
        <v/>
      </c>
      <c r="J383" s="289"/>
      <c r="K383" s="290"/>
      <c r="L383" s="291" t="str">
        <f>+IFERROR(VLOOKUP(K383,'THÀNH PHẨM'!$B:$F,3,0),"")</f>
        <v/>
      </c>
      <c r="M383" s="291" t="str">
        <f>+IFERROR(VLOOKUP(K383,'THÀNH PHẨM'!$B:$F,4,0),"")</f>
        <v/>
      </c>
      <c r="N383" s="291" t="str">
        <f>+IFERROR(VLOOKUP(K383,'THÀNH PHẨM'!$B:$F,5,0),"")</f>
        <v/>
      </c>
      <c r="O383" s="289"/>
      <c r="P383" s="292">
        <f t="shared" si="2"/>
        <v>0</v>
      </c>
      <c r="Q383" s="289"/>
      <c r="R383" s="289"/>
      <c r="S383" s="293">
        <f t="shared" si="62"/>
        <v>0</v>
      </c>
      <c r="T383" s="294"/>
      <c r="U383" s="295">
        <f t="shared" si="68"/>
        <v>0</v>
      </c>
      <c r="V383" s="296"/>
      <c r="W383" s="297"/>
      <c r="X383" s="298"/>
      <c r="Y383" s="292" t="str">
        <f t="shared" si="69"/>
        <v/>
      </c>
      <c r="Z383" s="366">
        <f t="shared" si="70"/>
        <v>0</v>
      </c>
      <c r="AA383" s="299" t="str">
        <f t="shared" si="71"/>
        <v/>
      </c>
      <c r="AB383" s="300"/>
      <c r="AC383" s="301"/>
      <c r="AD383" s="302"/>
      <c r="AE383" s="303"/>
      <c r="AF383" s="304"/>
      <c r="AG383" s="304"/>
      <c r="AH383" s="304"/>
      <c r="AI383" s="304"/>
      <c r="AJ383" s="304"/>
      <c r="AK383" s="305"/>
      <c r="AL383" s="283"/>
      <c r="AM383" s="284"/>
    </row>
    <row r="384" ht="15.75" customHeight="1">
      <c r="A384" s="282">
        <f t="shared" si="1"/>
        <v>380</v>
      </c>
      <c r="B384" s="283"/>
      <c r="C384" s="284"/>
      <c r="D384" s="338"/>
      <c r="E384" s="286"/>
      <c r="F384" s="287"/>
      <c r="G384" s="288" t="str">
        <f>+IFERROR(VLOOKUP(F384,NVL!$B:$C,2,0),"")</f>
        <v/>
      </c>
      <c r="H384" s="288" t="str">
        <f>+IFERROR(VLOOKUP(F384,NVL!$B:$D,3,0),"")</f>
        <v/>
      </c>
      <c r="I384" s="288" t="str">
        <f>+IFERROR(VLOOKUP(F384,NVL!$B:$F,4,0),"")</f>
        <v/>
      </c>
      <c r="J384" s="289"/>
      <c r="K384" s="290"/>
      <c r="L384" s="291" t="str">
        <f>+IFERROR(VLOOKUP(K384,'THÀNH PHẨM'!$B:$F,3,0),"")</f>
        <v/>
      </c>
      <c r="M384" s="291" t="str">
        <f>+IFERROR(VLOOKUP(K384,'THÀNH PHẨM'!$B:$F,4,0),"")</f>
        <v/>
      </c>
      <c r="N384" s="291" t="str">
        <f>+IFERROR(VLOOKUP(K384,'THÀNH PHẨM'!$B:$F,5,0),"")</f>
        <v/>
      </c>
      <c r="O384" s="289"/>
      <c r="P384" s="292">
        <f t="shared" si="2"/>
        <v>0</v>
      </c>
      <c r="Q384" s="289"/>
      <c r="R384" s="289"/>
      <c r="S384" s="293">
        <f t="shared" si="62"/>
        <v>0</v>
      </c>
      <c r="T384" s="294"/>
      <c r="U384" s="295">
        <f t="shared" si="68"/>
        <v>0</v>
      </c>
      <c r="V384" s="296"/>
      <c r="W384" s="297"/>
      <c r="X384" s="298"/>
      <c r="Y384" s="292" t="str">
        <f t="shared" si="69"/>
        <v/>
      </c>
      <c r="Z384" s="366">
        <f t="shared" si="70"/>
        <v>0</v>
      </c>
      <c r="AA384" s="299" t="str">
        <f t="shared" si="71"/>
        <v/>
      </c>
      <c r="AB384" s="300"/>
      <c r="AC384" s="301"/>
      <c r="AD384" s="302"/>
      <c r="AE384" s="303"/>
      <c r="AF384" s="304"/>
      <c r="AG384" s="304"/>
      <c r="AH384" s="304"/>
      <c r="AI384" s="304"/>
      <c r="AJ384" s="304"/>
      <c r="AK384" s="305"/>
      <c r="AL384" s="283"/>
      <c r="AM384" s="284"/>
    </row>
    <row r="385" ht="15.75" customHeight="1">
      <c r="A385" s="282">
        <f t="shared" si="1"/>
        <v>381</v>
      </c>
      <c r="B385" s="283"/>
      <c r="C385" s="284"/>
      <c r="D385" s="338"/>
      <c r="E385" s="286"/>
      <c r="F385" s="287"/>
      <c r="G385" s="288" t="str">
        <f>+IFERROR(VLOOKUP(F385,NVL!$B:$C,2,0),"")</f>
        <v/>
      </c>
      <c r="H385" s="288" t="str">
        <f>+IFERROR(VLOOKUP(F385,NVL!$B:$D,3,0),"")</f>
        <v/>
      </c>
      <c r="I385" s="288" t="str">
        <f>+IFERROR(VLOOKUP(F385,NVL!$B:$F,4,0),"")</f>
        <v/>
      </c>
      <c r="J385" s="289"/>
      <c r="K385" s="290"/>
      <c r="L385" s="291" t="str">
        <f>+IFERROR(VLOOKUP(K385,'THÀNH PHẨM'!$B:$F,3,0),"")</f>
        <v/>
      </c>
      <c r="M385" s="291" t="str">
        <f>+IFERROR(VLOOKUP(K385,'THÀNH PHẨM'!$B:$F,4,0),"")</f>
        <v/>
      </c>
      <c r="N385" s="291" t="str">
        <f>+IFERROR(VLOOKUP(K385,'THÀNH PHẨM'!$B:$F,5,0),"")</f>
        <v/>
      </c>
      <c r="O385" s="289"/>
      <c r="P385" s="292">
        <f t="shared" si="2"/>
        <v>0</v>
      </c>
      <c r="Q385" s="289"/>
      <c r="R385" s="289"/>
      <c r="S385" s="293">
        <f t="shared" si="62"/>
        <v>0</v>
      </c>
      <c r="T385" s="294"/>
      <c r="U385" s="295">
        <f t="shared" si="68"/>
        <v>0</v>
      </c>
      <c r="V385" s="296"/>
      <c r="W385" s="297"/>
      <c r="X385" s="298"/>
      <c r="Y385" s="292" t="str">
        <f t="shared" si="69"/>
        <v/>
      </c>
      <c r="Z385" s="366">
        <f t="shared" si="70"/>
        <v>0</v>
      </c>
      <c r="AA385" s="299" t="str">
        <f t="shared" si="71"/>
        <v/>
      </c>
      <c r="AB385" s="300"/>
      <c r="AC385" s="301"/>
      <c r="AD385" s="302"/>
      <c r="AE385" s="303"/>
      <c r="AF385" s="304"/>
      <c r="AG385" s="304"/>
      <c r="AH385" s="304"/>
      <c r="AI385" s="304"/>
      <c r="AJ385" s="304"/>
      <c r="AK385" s="305"/>
      <c r="AL385" s="283"/>
      <c r="AM385" s="284"/>
    </row>
    <row r="386" ht="15.75" customHeight="1">
      <c r="A386" s="282">
        <f t="shared" si="1"/>
        <v>382</v>
      </c>
      <c r="B386" s="283"/>
      <c r="C386" s="284"/>
      <c r="D386" s="338"/>
      <c r="E386" s="286"/>
      <c r="F386" s="287"/>
      <c r="G386" s="288" t="str">
        <f>+IFERROR(VLOOKUP(F386,NVL!$B:$C,2,0),"")</f>
        <v/>
      </c>
      <c r="H386" s="288" t="str">
        <f>+IFERROR(VLOOKUP(F386,NVL!$B:$D,3,0),"")</f>
        <v/>
      </c>
      <c r="I386" s="288" t="str">
        <f>+IFERROR(VLOOKUP(F386,NVL!$B:$F,4,0),"")</f>
        <v/>
      </c>
      <c r="J386" s="289"/>
      <c r="K386" s="290"/>
      <c r="L386" s="291" t="str">
        <f>+IFERROR(VLOOKUP(K386,'THÀNH PHẨM'!$B:$F,3,0),"")</f>
        <v/>
      </c>
      <c r="M386" s="291" t="str">
        <f>+IFERROR(VLOOKUP(K386,'THÀNH PHẨM'!$B:$F,4,0),"")</f>
        <v/>
      </c>
      <c r="N386" s="291" t="str">
        <f>+IFERROR(VLOOKUP(K386,'THÀNH PHẨM'!$B:$F,5,0),"")</f>
        <v/>
      </c>
      <c r="O386" s="289"/>
      <c r="P386" s="292">
        <f t="shared" si="2"/>
        <v>0</v>
      </c>
      <c r="Q386" s="289"/>
      <c r="R386" s="289"/>
      <c r="S386" s="293">
        <f t="shared" si="62"/>
        <v>0</v>
      </c>
      <c r="T386" s="294"/>
      <c r="U386" s="295">
        <f t="shared" si="68"/>
        <v>0</v>
      </c>
      <c r="V386" s="296"/>
      <c r="W386" s="297"/>
      <c r="X386" s="298"/>
      <c r="Y386" s="292" t="str">
        <f t="shared" si="69"/>
        <v/>
      </c>
      <c r="Z386" s="366">
        <f t="shared" si="70"/>
        <v>0</v>
      </c>
      <c r="AA386" s="299" t="str">
        <f t="shared" si="71"/>
        <v/>
      </c>
      <c r="AB386" s="300"/>
      <c r="AC386" s="301"/>
      <c r="AD386" s="302"/>
      <c r="AE386" s="303"/>
      <c r="AF386" s="304"/>
      <c r="AG386" s="304"/>
      <c r="AH386" s="304"/>
      <c r="AI386" s="304"/>
      <c r="AJ386" s="304"/>
      <c r="AK386" s="305"/>
      <c r="AL386" s="283"/>
      <c r="AM386" s="284"/>
    </row>
    <row r="387" ht="15.75" customHeight="1">
      <c r="A387" s="282">
        <f t="shared" si="1"/>
        <v>383</v>
      </c>
      <c r="B387" s="283"/>
      <c r="C387" s="284"/>
      <c r="D387" s="338"/>
      <c r="E387" s="286"/>
      <c r="F387" s="287"/>
      <c r="G387" s="288" t="str">
        <f>+IFERROR(VLOOKUP(F387,NVL!$B:$C,2,0),"")</f>
        <v/>
      </c>
      <c r="H387" s="288" t="str">
        <f>+IFERROR(VLOOKUP(F387,NVL!$B:$D,3,0),"")</f>
        <v/>
      </c>
      <c r="I387" s="288" t="str">
        <f>+IFERROR(VLOOKUP(F387,NVL!$B:$F,4,0),"")</f>
        <v/>
      </c>
      <c r="J387" s="289"/>
      <c r="K387" s="290"/>
      <c r="L387" s="291" t="str">
        <f>+IFERROR(VLOOKUP(K387,'THÀNH PHẨM'!$B:$F,3,0),"")</f>
        <v/>
      </c>
      <c r="M387" s="291" t="str">
        <f>+IFERROR(VLOOKUP(K387,'THÀNH PHẨM'!$B:$F,4,0),"")</f>
        <v/>
      </c>
      <c r="N387" s="291" t="str">
        <f>+IFERROR(VLOOKUP(K387,'THÀNH PHẨM'!$B:$F,5,0),"")</f>
        <v/>
      </c>
      <c r="O387" s="289"/>
      <c r="P387" s="292">
        <f t="shared" si="2"/>
        <v>0</v>
      </c>
      <c r="Q387" s="289"/>
      <c r="R387" s="289"/>
      <c r="S387" s="293">
        <f t="shared" si="62"/>
        <v>0</v>
      </c>
      <c r="T387" s="294"/>
      <c r="U387" s="295">
        <f t="shared" si="68"/>
        <v>0</v>
      </c>
      <c r="V387" s="296"/>
      <c r="W387" s="297"/>
      <c r="X387" s="298"/>
      <c r="Y387" s="292" t="str">
        <f t="shared" si="69"/>
        <v/>
      </c>
      <c r="Z387" s="366">
        <f t="shared" si="70"/>
        <v>0</v>
      </c>
      <c r="AA387" s="299" t="str">
        <f t="shared" si="71"/>
        <v/>
      </c>
      <c r="AB387" s="300"/>
      <c r="AC387" s="301"/>
      <c r="AD387" s="302"/>
      <c r="AE387" s="303"/>
      <c r="AF387" s="304"/>
      <c r="AG387" s="304"/>
      <c r="AH387" s="304"/>
      <c r="AI387" s="304"/>
      <c r="AJ387" s="304"/>
      <c r="AK387" s="305"/>
      <c r="AL387" s="283"/>
      <c r="AM387" s="284"/>
    </row>
    <row r="388" ht="15.75" customHeight="1">
      <c r="A388" s="282">
        <f t="shared" si="1"/>
        <v>384</v>
      </c>
      <c r="B388" s="283"/>
      <c r="C388" s="284"/>
      <c r="D388" s="338"/>
      <c r="E388" s="286"/>
      <c r="F388" s="287"/>
      <c r="G388" s="288" t="str">
        <f>+IFERROR(VLOOKUP(F388,NVL!$B:$C,2,0),"")</f>
        <v/>
      </c>
      <c r="H388" s="288" t="str">
        <f>+IFERROR(VLOOKUP(F388,NVL!$B:$D,3,0),"")</f>
        <v/>
      </c>
      <c r="I388" s="288" t="str">
        <f>+IFERROR(VLOOKUP(F388,NVL!$B:$F,4,0),"")</f>
        <v/>
      </c>
      <c r="J388" s="289"/>
      <c r="K388" s="290"/>
      <c r="L388" s="291" t="str">
        <f>+IFERROR(VLOOKUP(K388,'THÀNH PHẨM'!$B:$F,3,0),"")</f>
        <v/>
      </c>
      <c r="M388" s="291" t="str">
        <f>+IFERROR(VLOOKUP(K388,'THÀNH PHẨM'!$B:$F,4,0),"")</f>
        <v/>
      </c>
      <c r="N388" s="291" t="str">
        <f>+IFERROR(VLOOKUP(K388,'THÀNH PHẨM'!$B:$F,5,0),"")</f>
        <v/>
      </c>
      <c r="O388" s="289"/>
      <c r="P388" s="292">
        <f t="shared" si="2"/>
        <v>0</v>
      </c>
      <c r="Q388" s="289"/>
      <c r="R388" s="289"/>
      <c r="S388" s="293">
        <f t="shared" si="62"/>
        <v>0</v>
      </c>
      <c r="T388" s="294"/>
      <c r="U388" s="295">
        <f t="shared" si="68"/>
        <v>0</v>
      </c>
      <c r="V388" s="296"/>
      <c r="W388" s="297"/>
      <c r="X388" s="298"/>
      <c r="Y388" s="292" t="str">
        <f t="shared" si="69"/>
        <v/>
      </c>
      <c r="Z388" s="366">
        <f t="shared" si="70"/>
        <v>0</v>
      </c>
      <c r="AA388" s="299" t="str">
        <f t="shared" si="71"/>
        <v/>
      </c>
      <c r="AB388" s="300"/>
      <c r="AC388" s="301"/>
      <c r="AD388" s="302"/>
      <c r="AE388" s="303"/>
      <c r="AF388" s="304"/>
      <c r="AG388" s="304"/>
      <c r="AH388" s="304"/>
      <c r="AI388" s="304"/>
      <c r="AJ388" s="304"/>
      <c r="AK388" s="305"/>
      <c r="AL388" s="283"/>
      <c r="AM388" s="284"/>
    </row>
    <row r="389" ht="15.75" customHeight="1">
      <c r="A389" s="282">
        <f t="shared" si="1"/>
        <v>385</v>
      </c>
      <c r="B389" s="283"/>
      <c r="C389" s="284"/>
      <c r="D389" s="338"/>
      <c r="E389" s="286"/>
      <c r="F389" s="287"/>
      <c r="G389" s="288" t="str">
        <f>+IFERROR(VLOOKUP(F389,NVL!$B:$C,2,0),"")</f>
        <v/>
      </c>
      <c r="H389" s="288" t="str">
        <f>+IFERROR(VLOOKUP(F389,NVL!$B:$D,3,0),"")</f>
        <v/>
      </c>
      <c r="I389" s="288" t="str">
        <f>+IFERROR(VLOOKUP(F389,NVL!$B:$F,4,0),"")</f>
        <v/>
      </c>
      <c r="J389" s="289"/>
      <c r="K389" s="290"/>
      <c r="L389" s="291" t="str">
        <f>+IFERROR(VLOOKUP(K389,'THÀNH PHẨM'!$B:$F,3,0),"")</f>
        <v/>
      </c>
      <c r="M389" s="291" t="str">
        <f>+IFERROR(VLOOKUP(K389,'THÀNH PHẨM'!$B:$F,4,0),"")</f>
        <v/>
      </c>
      <c r="N389" s="291" t="str">
        <f>+IFERROR(VLOOKUP(K389,'THÀNH PHẨM'!$B:$F,5,0),"")</f>
        <v/>
      </c>
      <c r="O389" s="289"/>
      <c r="P389" s="292">
        <f t="shared" si="2"/>
        <v>0</v>
      </c>
      <c r="Q389" s="289"/>
      <c r="R389" s="289"/>
      <c r="S389" s="293">
        <f t="shared" si="62"/>
        <v>0</v>
      </c>
      <c r="T389" s="294"/>
      <c r="U389" s="295">
        <f t="shared" si="68"/>
        <v>0</v>
      </c>
      <c r="V389" s="296"/>
      <c r="W389" s="297"/>
      <c r="X389" s="298"/>
      <c r="Y389" s="292" t="str">
        <f t="shared" si="69"/>
        <v/>
      </c>
      <c r="Z389" s="366">
        <f t="shared" si="70"/>
        <v>0</v>
      </c>
      <c r="AA389" s="299" t="str">
        <f t="shared" si="71"/>
        <v/>
      </c>
      <c r="AB389" s="300"/>
      <c r="AC389" s="301"/>
      <c r="AD389" s="302"/>
      <c r="AE389" s="303"/>
      <c r="AF389" s="304"/>
      <c r="AG389" s="304"/>
      <c r="AH389" s="304"/>
      <c r="AI389" s="304"/>
      <c r="AJ389" s="304"/>
      <c r="AK389" s="305"/>
      <c r="AL389" s="283"/>
      <c r="AM389" s="284"/>
    </row>
    <row r="390" ht="15.75" customHeight="1">
      <c r="A390" s="282">
        <f t="shared" si="1"/>
        <v>386</v>
      </c>
      <c r="B390" s="283"/>
      <c r="C390" s="284"/>
      <c r="D390" s="338"/>
      <c r="E390" s="286"/>
      <c r="F390" s="287"/>
      <c r="G390" s="288" t="str">
        <f>+IFERROR(VLOOKUP(F390,NVL!$B:$C,2,0),"")</f>
        <v/>
      </c>
      <c r="H390" s="288" t="str">
        <f>+IFERROR(VLOOKUP(F390,NVL!$B:$D,3,0),"")</f>
        <v/>
      </c>
      <c r="I390" s="288" t="str">
        <f>+IFERROR(VLOOKUP(F390,NVL!$B:$F,4,0),"")</f>
        <v/>
      </c>
      <c r="J390" s="289"/>
      <c r="K390" s="290"/>
      <c r="L390" s="291" t="str">
        <f>+IFERROR(VLOOKUP(K390,'THÀNH PHẨM'!$B:$F,3,0),"")</f>
        <v/>
      </c>
      <c r="M390" s="291" t="str">
        <f>+IFERROR(VLOOKUP(K390,'THÀNH PHẨM'!$B:$F,4,0),"")</f>
        <v/>
      </c>
      <c r="N390" s="291" t="str">
        <f>+IFERROR(VLOOKUP(K390,'THÀNH PHẨM'!$B:$F,5,0),"")</f>
        <v/>
      </c>
      <c r="O390" s="289"/>
      <c r="P390" s="292">
        <f t="shared" si="2"/>
        <v>0</v>
      </c>
      <c r="Q390" s="289"/>
      <c r="R390" s="289"/>
      <c r="S390" s="293">
        <f t="shared" si="62"/>
        <v>0</v>
      </c>
      <c r="T390" s="294"/>
      <c r="U390" s="295">
        <f t="shared" si="68"/>
        <v>0</v>
      </c>
      <c r="V390" s="296"/>
      <c r="W390" s="297"/>
      <c r="X390" s="298"/>
      <c r="Y390" s="292" t="str">
        <f t="shared" si="69"/>
        <v/>
      </c>
      <c r="Z390" s="366">
        <f t="shared" si="70"/>
        <v>0</v>
      </c>
      <c r="AA390" s="299" t="str">
        <f t="shared" si="71"/>
        <v/>
      </c>
      <c r="AB390" s="300"/>
      <c r="AC390" s="301"/>
      <c r="AD390" s="302"/>
      <c r="AE390" s="303"/>
      <c r="AF390" s="304"/>
      <c r="AG390" s="304"/>
      <c r="AH390" s="304"/>
      <c r="AI390" s="304"/>
      <c r="AJ390" s="304"/>
      <c r="AK390" s="305"/>
      <c r="AL390" s="283"/>
      <c r="AM390" s="284"/>
    </row>
    <row r="391" ht="15.75" customHeight="1">
      <c r="A391" s="282">
        <f t="shared" si="1"/>
        <v>387</v>
      </c>
      <c r="B391" s="283"/>
      <c r="C391" s="284"/>
      <c r="D391" s="338"/>
      <c r="E391" s="286"/>
      <c r="F391" s="287"/>
      <c r="G391" s="288" t="str">
        <f>+IFERROR(VLOOKUP(F391,NVL!$B:$C,2,0),"")</f>
        <v/>
      </c>
      <c r="H391" s="288" t="str">
        <f>+IFERROR(VLOOKUP(F391,NVL!$B:$D,3,0),"")</f>
        <v/>
      </c>
      <c r="I391" s="288" t="str">
        <f>+IFERROR(VLOOKUP(F391,NVL!$B:$F,4,0),"")</f>
        <v/>
      </c>
      <c r="J391" s="289"/>
      <c r="K391" s="290"/>
      <c r="L391" s="291" t="str">
        <f>+IFERROR(VLOOKUP(K391,'THÀNH PHẨM'!$B:$F,3,0),"")</f>
        <v/>
      </c>
      <c r="M391" s="291" t="str">
        <f>+IFERROR(VLOOKUP(K391,'THÀNH PHẨM'!$B:$F,4,0),"")</f>
        <v/>
      </c>
      <c r="N391" s="291" t="str">
        <f>+IFERROR(VLOOKUP(K391,'THÀNH PHẨM'!$B:$F,5,0),"")</f>
        <v/>
      </c>
      <c r="O391" s="289"/>
      <c r="P391" s="292">
        <f t="shared" si="2"/>
        <v>0</v>
      </c>
      <c r="Q391" s="289"/>
      <c r="R391" s="289"/>
      <c r="S391" s="293">
        <f t="shared" si="62"/>
        <v>0</v>
      </c>
      <c r="T391" s="294"/>
      <c r="U391" s="295">
        <f t="shared" si="68"/>
        <v>0</v>
      </c>
      <c r="V391" s="296"/>
      <c r="W391" s="297"/>
      <c r="X391" s="298"/>
      <c r="Y391" s="292" t="str">
        <f t="shared" si="69"/>
        <v/>
      </c>
      <c r="Z391" s="366">
        <f t="shared" si="70"/>
        <v>0</v>
      </c>
      <c r="AA391" s="299" t="str">
        <f t="shared" si="71"/>
        <v/>
      </c>
      <c r="AB391" s="300"/>
      <c r="AC391" s="301"/>
      <c r="AD391" s="302"/>
      <c r="AE391" s="303"/>
      <c r="AF391" s="304"/>
      <c r="AG391" s="304"/>
      <c r="AH391" s="304"/>
      <c r="AI391" s="304"/>
      <c r="AJ391" s="304"/>
      <c r="AK391" s="305"/>
      <c r="AL391" s="283"/>
      <c r="AM391" s="284"/>
    </row>
    <row r="392" ht="15.75" customHeight="1">
      <c r="A392" s="282">
        <f t="shared" si="1"/>
        <v>388</v>
      </c>
      <c r="B392" s="283"/>
      <c r="C392" s="284"/>
      <c r="D392" s="338"/>
      <c r="E392" s="286"/>
      <c r="F392" s="287"/>
      <c r="G392" s="288" t="str">
        <f>+IFERROR(VLOOKUP(F392,NVL!$B:$C,2,0),"")</f>
        <v/>
      </c>
      <c r="H392" s="288" t="str">
        <f>+IFERROR(VLOOKUP(F392,NVL!$B:$D,3,0),"")</f>
        <v/>
      </c>
      <c r="I392" s="288" t="str">
        <f>+IFERROR(VLOOKUP(F392,NVL!$B:$F,4,0),"")</f>
        <v/>
      </c>
      <c r="J392" s="289"/>
      <c r="K392" s="290"/>
      <c r="L392" s="291" t="str">
        <f>+IFERROR(VLOOKUP(K392,'THÀNH PHẨM'!$B:$F,3,0),"")</f>
        <v/>
      </c>
      <c r="M392" s="291" t="str">
        <f>+IFERROR(VLOOKUP(K392,'THÀNH PHẨM'!$B:$F,4,0),"")</f>
        <v/>
      </c>
      <c r="N392" s="291" t="str">
        <f>+IFERROR(VLOOKUP(K392,'THÀNH PHẨM'!$B:$F,5,0),"")</f>
        <v/>
      </c>
      <c r="O392" s="289"/>
      <c r="P392" s="292">
        <f t="shared" si="2"/>
        <v>0</v>
      </c>
      <c r="Q392" s="289"/>
      <c r="R392" s="289"/>
      <c r="S392" s="293">
        <f t="shared" si="62"/>
        <v>0</v>
      </c>
      <c r="T392" s="294"/>
      <c r="U392" s="295">
        <f t="shared" si="68"/>
        <v>0</v>
      </c>
      <c r="V392" s="296"/>
      <c r="W392" s="297"/>
      <c r="X392" s="298"/>
      <c r="Y392" s="292" t="str">
        <f t="shared" si="69"/>
        <v/>
      </c>
      <c r="Z392" s="366">
        <f t="shared" si="70"/>
        <v>0</v>
      </c>
      <c r="AA392" s="299" t="str">
        <f t="shared" si="71"/>
        <v/>
      </c>
      <c r="AB392" s="300"/>
      <c r="AC392" s="301"/>
      <c r="AD392" s="302"/>
      <c r="AE392" s="303"/>
      <c r="AF392" s="304"/>
      <c r="AG392" s="304"/>
      <c r="AH392" s="304"/>
      <c r="AI392" s="304"/>
      <c r="AJ392" s="304"/>
      <c r="AK392" s="305"/>
      <c r="AL392" s="283"/>
      <c r="AM392" s="284"/>
    </row>
    <row r="393" ht="15.75" customHeight="1">
      <c r="A393" s="282">
        <f t="shared" si="1"/>
        <v>389</v>
      </c>
      <c r="B393" s="283"/>
      <c r="C393" s="284"/>
      <c r="D393" s="338"/>
      <c r="E393" s="286"/>
      <c r="F393" s="287"/>
      <c r="G393" s="288" t="str">
        <f>+IFERROR(VLOOKUP(F393,NVL!$B:$C,2,0),"")</f>
        <v/>
      </c>
      <c r="H393" s="288" t="str">
        <f>+IFERROR(VLOOKUP(F393,NVL!$B:$D,3,0),"")</f>
        <v/>
      </c>
      <c r="I393" s="288" t="str">
        <f>+IFERROR(VLOOKUP(F393,NVL!$B:$F,4,0),"")</f>
        <v/>
      </c>
      <c r="J393" s="289"/>
      <c r="K393" s="290"/>
      <c r="L393" s="291" t="str">
        <f>+IFERROR(VLOOKUP(K393,'THÀNH PHẨM'!$B:$F,3,0),"")</f>
        <v/>
      </c>
      <c r="M393" s="291" t="str">
        <f>+IFERROR(VLOOKUP(K393,'THÀNH PHẨM'!$B:$F,4,0),"")</f>
        <v/>
      </c>
      <c r="N393" s="291" t="str">
        <f>+IFERROR(VLOOKUP(K393,'THÀNH PHẨM'!$B:$F,5,0),"")</f>
        <v/>
      </c>
      <c r="O393" s="289"/>
      <c r="P393" s="292">
        <f t="shared" si="2"/>
        <v>0</v>
      </c>
      <c r="Q393" s="289"/>
      <c r="R393" s="289"/>
      <c r="S393" s="293">
        <f t="shared" si="62"/>
        <v>0</v>
      </c>
      <c r="T393" s="294"/>
      <c r="U393" s="295">
        <f t="shared" si="68"/>
        <v>0</v>
      </c>
      <c r="V393" s="296"/>
      <c r="W393" s="297"/>
      <c r="X393" s="298"/>
      <c r="Y393" s="292" t="str">
        <f t="shared" si="69"/>
        <v/>
      </c>
      <c r="Z393" s="366">
        <f t="shared" si="70"/>
        <v>0</v>
      </c>
      <c r="AA393" s="299" t="str">
        <f t="shared" si="71"/>
        <v/>
      </c>
      <c r="AB393" s="300"/>
      <c r="AC393" s="301"/>
      <c r="AD393" s="302"/>
      <c r="AE393" s="303"/>
      <c r="AF393" s="304"/>
      <c r="AG393" s="304"/>
      <c r="AH393" s="304"/>
      <c r="AI393" s="304"/>
      <c r="AJ393" s="304"/>
      <c r="AK393" s="305"/>
      <c r="AL393" s="283"/>
      <c r="AM393" s="284"/>
    </row>
    <row r="394" ht="15.75" customHeight="1">
      <c r="A394" s="282">
        <f t="shared" si="1"/>
        <v>390</v>
      </c>
      <c r="B394" s="283"/>
      <c r="C394" s="284"/>
      <c r="D394" s="338"/>
      <c r="E394" s="286"/>
      <c r="F394" s="287"/>
      <c r="G394" s="288" t="str">
        <f>+IFERROR(VLOOKUP(F394,NVL!$B:$C,2,0),"")</f>
        <v/>
      </c>
      <c r="H394" s="288" t="str">
        <f>+IFERROR(VLOOKUP(F394,NVL!$B:$D,3,0),"")</f>
        <v/>
      </c>
      <c r="I394" s="288" t="str">
        <f>+IFERROR(VLOOKUP(F394,NVL!$B:$F,4,0),"")</f>
        <v/>
      </c>
      <c r="J394" s="289"/>
      <c r="K394" s="290"/>
      <c r="L394" s="291" t="str">
        <f>+IFERROR(VLOOKUP(K394,'THÀNH PHẨM'!$B:$F,3,0),"")</f>
        <v/>
      </c>
      <c r="M394" s="291" t="str">
        <f>+IFERROR(VLOOKUP(K394,'THÀNH PHẨM'!$B:$F,4,0),"")</f>
        <v/>
      </c>
      <c r="N394" s="291" t="str">
        <f>+IFERROR(VLOOKUP(K394,'THÀNH PHẨM'!$B:$F,5,0),"")</f>
        <v/>
      </c>
      <c r="O394" s="289"/>
      <c r="P394" s="292">
        <f t="shared" si="2"/>
        <v>0</v>
      </c>
      <c r="Q394" s="289"/>
      <c r="R394" s="289"/>
      <c r="S394" s="293">
        <f t="shared" si="62"/>
        <v>0</v>
      </c>
      <c r="T394" s="294"/>
      <c r="U394" s="295">
        <f t="shared" si="68"/>
        <v>0</v>
      </c>
      <c r="V394" s="296"/>
      <c r="W394" s="297"/>
      <c r="X394" s="298"/>
      <c r="Y394" s="292" t="str">
        <f t="shared" si="69"/>
        <v/>
      </c>
      <c r="Z394" s="366">
        <f t="shared" si="70"/>
        <v>0</v>
      </c>
      <c r="AA394" s="299" t="str">
        <f t="shared" si="71"/>
        <v/>
      </c>
      <c r="AB394" s="300"/>
      <c r="AC394" s="301"/>
      <c r="AD394" s="302"/>
      <c r="AE394" s="303"/>
      <c r="AF394" s="304"/>
      <c r="AG394" s="304"/>
      <c r="AH394" s="304"/>
      <c r="AI394" s="304"/>
      <c r="AJ394" s="304"/>
      <c r="AK394" s="305"/>
      <c r="AL394" s="283"/>
      <c r="AM394" s="284"/>
    </row>
    <row r="395" ht="15.75" customHeight="1">
      <c r="A395" s="282">
        <f t="shared" si="1"/>
        <v>391</v>
      </c>
      <c r="B395" s="283"/>
      <c r="C395" s="284"/>
      <c r="D395" s="338"/>
      <c r="E395" s="286"/>
      <c r="F395" s="287"/>
      <c r="G395" s="288" t="str">
        <f>+IFERROR(VLOOKUP(F395,NVL!$B:$C,2,0),"")</f>
        <v/>
      </c>
      <c r="H395" s="288" t="str">
        <f>+IFERROR(VLOOKUP(F395,NVL!$B:$D,3,0),"")</f>
        <v/>
      </c>
      <c r="I395" s="288" t="str">
        <f>+IFERROR(VLOOKUP(F395,NVL!$B:$F,4,0),"")</f>
        <v/>
      </c>
      <c r="J395" s="289"/>
      <c r="K395" s="290"/>
      <c r="L395" s="291" t="str">
        <f>+IFERROR(VLOOKUP(K395,'THÀNH PHẨM'!$B:$F,3,0),"")</f>
        <v/>
      </c>
      <c r="M395" s="291" t="str">
        <f>+IFERROR(VLOOKUP(K395,'THÀNH PHẨM'!$B:$F,4,0),"")</f>
        <v/>
      </c>
      <c r="N395" s="291" t="str">
        <f>+IFERROR(VLOOKUP(K395,'THÀNH PHẨM'!$B:$F,5,0),"")</f>
        <v/>
      </c>
      <c r="O395" s="289"/>
      <c r="P395" s="292">
        <f t="shared" si="2"/>
        <v>0</v>
      </c>
      <c r="Q395" s="289"/>
      <c r="R395" s="289"/>
      <c r="S395" s="293">
        <f t="shared" si="62"/>
        <v>0</v>
      </c>
      <c r="T395" s="294"/>
      <c r="U395" s="295">
        <f t="shared" si="68"/>
        <v>0</v>
      </c>
      <c r="V395" s="296"/>
      <c r="W395" s="297"/>
      <c r="X395" s="298"/>
      <c r="Y395" s="292" t="str">
        <f t="shared" si="69"/>
        <v/>
      </c>
      <c r="Z395" s="366">
        <f t="shared" si="70"/>
        <v>0</v>
      </c>
      <c r="AA395" s="299" t="str">
        <f t="shared" si="71"/>
        <v/>
      </c>
      <c r="AB395" s="300"/>
      <c r="AC395" s="301"/>
      <c r="AD395" s="302"/>
      <c r="AE395" s="303"/>
      <c r="AF395" s="304"/>
      <c r="AG395" s="304"/>
      <c r="AH395" s="304"/>
      <c r="AI395" s="304"/>
      <c r="AJ395" s="304"/>
      <c r="AK395" s="305"/>
      <c r="AL395" s="283"/>
      <c r="AM395" s="284"/>
    </row>
    <row r="396" ht="15.75" customHeight="1">
      <c r="A396" s="282">
        <f t="shared" si="1"/>
        <v>392</v>
      </c>
      <c r="B396" s="283"/>
      <c r="C396" s="284"/>
      <c r="D396" s="338"/>
      <c r="E396" s="286"/>
      <c r="F396" s="287"/>
      <c r="G396" s="288" t="str">
        <f>+IFERROR(VLOOKUP(F396,NVL!$B:$C,2,0),"")</f>
        <v/>
      </c>
      <c r="H396" s="288" t="str">
        <f>+IFERROR(VLOOKUP(F396,NVL!$B:$D,3,0),"")</f>
        <v/>
      </c>
      <c r="I396" s="288" t="str">
        <f>+IFERROR(VLOOKUP(F396,NVL!$B:$F,4,0),"")</f>
        <v/>
      </c>
      <c r="J396" s="289"/>
      <c r="K396" s="290"/>
      <c r="L396" s="291" t="str">
        <f>+IFERROR(VLOOKUP(K396,'THÀNH PHẨM'!$B:$F,3,0),"")</f>
        <v/>
      </c>
      <c r="M396" s="291" t="str">
        <f>+IFERROR(VLOOKUP(K396,'THÀNH PHẨM'!$B:$F,4,0),"")</f>
        <v/>
      </c>
      <c r="N396" s="291" t="str">
        <f>+IFERROR(VLOOKUP(K396,'THÀNH PHẨM'!$B:$F,5,0),"")</f>
        <v/>
      </c>
      <c r="O396" s="289"/>
      <c r="P396" s="292">
        <f t="shared" si="2"/>
        <v>0</v>
      </c>
      <c r="Q396" s="289"/>
      <c r="R396" s="289"/>
      <c r="S396" s="293">
        <f t="shared" si="62"/>
        <v>0</v>
      </c>
      <c r="T396" s="294"/>
      <c r="U396" s="295">
        <f t="shared" si="68"/>
        <v>0</v>
      </c>
      <c r="V396" s="296"/>
      <c r="W396" s="297"/>
      <c r="X396" s="298"/>
      <c r="Y396" s="292" t="str">
        <f t="shared" si="69"/>
        <v/>
      </c>
      <c r="Z396" s="366">
        <f t="shared" si="70"/>
        <v>0</v>
      </c>
      <c r="AA396" s="299" t="str">
        <f t="shared" si="71"/>
        <v/>
      </c>
      <c r="AB396" s="300"/>
      <c r="AC396" s="301"/>
      <c r="AD396" s="302"/>
      <c r="AE396" s="303"/>
      <c r="AF396" s="304"/>
      <c r="AG396" s="304"/>
      <c r="AH396" s="304"/>
      <c r="AI396" s="304"/>
      <c r="AJ396" s="304"/>
      <c r="AK396" s="305"/>
      <c r="AL396" s="283"/>
      <c r="AM396" s="284"/>
    </row>
    <row r="397" ht="15.75" customHeight="1">
      <c r="A397" s="282">
        <f t="shared" si="1"/>
        <v>393</v>
      </c>
      <c r="B397" s="283"/>
      <c r="C397" s="284"/>
      <c r="D397" s="338"/>
      <c r="E397" s="286"/>
      <c r="F397" s="287"/>
      <c r="G397" s="288" t="str">
        <f>+IFERROR(VLOOKUP(F397,NVL!$B:$C,2,0),"")</f>
        <v/>
      </c>
      <c r="H397" s="288" t="str">
        <f>+IFERROR(VLOOKUP(F397,NVL!$B:$D,3,0),"")</f>
        <v/>
      </c>
      <c r="I397" s="288" t="str">
        <f>+IFERROR(VLOOKUP(F397,NVL!$B:$F,4,0),"")</f>
        <v/>
      </c>
      <c r="J397" s="289"/>
      <c r="K397" s="290"/>
      <c r="L397" s="291" t="str">
        <f>+IFERROR(VLOOKUP(K397,'THÀNH PHẨM'!$B:$F,3,0),"")</f>
        <v/>
      </c>
      <c r="M397" s="291" t="str">
        <f>+IFERROR(VLOOKUP(K397,'THÀNH PHẨM'!$B:$F,4,0),"")</f>
        <v/>
      </c>
      <c r="N397" s="291" t="str">
        <f>+IFERROR(VLOOKUP(K397,'THÀNH PHẨM'!$B:$F,5,0),"")</f>
        <v/>
      </c>
      <c r="O397" s="289"/>
      <c r="P397" s="292">
        <f t="shared" si="2"/>
        <v>0</v>
      </c>
      <c r="Q397" s="289"/>
      <c r="R397" s="289"/>
      <c r="S397" s="293">
        <f t="shared" si="62"/>
        <v>0</v>
      </c>
      <c r="T397" s="294"/>
      <c r="U397" s="295">
        <f t="shared" si="68"/>
        <v>0</v>
      </c>
      <c r="V397" s="296"/>
      <c r="W397" s="297"/>
      <c r="X397" s="298"/>
      <c r="Y397" s="292" t="str">
        <f t="shared" si="69"/>
        <v/>
      </c>
      <c r="Z397" s="366">
        <f t="shared" si="70"/>
        <v>0</v>
      </c>
      <c r="AA397" s="299" t="str">
        <f t="shared" si="71"/>
        <v/>
      </c>
      <c r="AB397" s="300"/>
      <c r="AC397" s="301"/>
      <c r="AD397" s="302"/>
      <c r="AE397" s="303"/>
      <c r="AF397" s="304"/>
      <c r="AG397" s="304"/>
      <c r="AH397" s="304"/>
      <c r="AI397" s="304"/>
      <c r="AJ397" s="304"/>
      <c r="AK397" s="305"/>
      <c r="AL397" s="283"/>
      <c r="AM397" s="284"/>
    </row>
    <row r="398" ht="15.75" customHeight="1">
      <c r="A398" s="282">
        <f t="shared" si="1"/>
        <v>394</v>
      </c>
      <c r="B398" s="283"/>
      <c r="C398" s="284"/>
      <c r="D398" s="338"/>
      <c r="E398" s="286"/>
      <c r="F398" s="287"/>
      <c r="G398" s="288" t="str">
        <f>+IFERROR(VLOOKUP(F398,NVL!$B:$C,2,0),"")</f>
        <v/>
      </c>
      <c r="H398" s="288" t="str">
        <f>+IFERROR(VLOOKUP(F398,NVL!$B:$D,3,0),"")</f>
        <v/>
      </c>
      <c r="I398" s="288" t="str">
        <f>+IFERROR(VLOOKUP(F398,NVL!$B:$F,4,0),"")</f>
        <v/>
      </c>
      <c r="J398" s="289"/>
      <c r="K398" s="290"/>
      <c r="L398" s="291" t="str">
        <f>+IFERROR(VLOOKUP(K398,'THÀNH PHẨM'!$B:$F,3,0),"")</f>
        <v/>
      </c>
      <c r="M398" s="291" t="str">
        <f>+IFERROR(VLOOKUP(K398,'THÀNH PHẨM'!$B:$F,4,0),"")</f>
        <v/>
      </c>
      <c r="N398" s="291" t="str">
        <f>+IFERROR(VLOOKUP(K398,'THÀNH PHẨM'!$B:$F,5,0),"")</f>
        <v/>
      </c>
      <c r="O398" s="289"/>
      <c r="P398" s="292">
        <f t="shared" si="2"/>
        <v>0</v>
      </c>
      <c r="Q398" s="289"/>
      <c r="R398" s="289"/>
      <c r="S398" s="293">
        <f t="shared" si="62"/>
        <v>0</v>
      </c>
      <c r="T398" s="294"/>
      <c r="U398" s="295">
        <f t="shared" si="68"/>
        <v>0</v>
      </c>
      <c r="V398" s="296"/>
      <c r="W398" s="297"/>
      <c r="X398" s="298"/>
      <c r="Y398" s="292" t="str">
        <f t="shared" si="69"/>
        <v/>
      </c>
      <c r="Z398" s="366">
        <f t="shared" si="70"/>
        <v>0</v>
      </c>
      <c r="AA398" s="299" t="str">
        <f t="shared" si="71"/>
        <v/>
      </c>
      <c r="AB398" s="300"/>
      <c r="AC398" s="301"/>
      <c r="AD398" s="302"/>
      <c r="AE398" s="303"/>
      <c r="AF398" s="304"/>
      <c r="AG398" s="304"/>
      <c r="AH398" s="304"/>
      <c r="AI398" s="304"/>
      <c r="AJ398" s="304"/>
      <c r="AK398" s="305"/>
      <c r="AL398" s="283"/>
      <c r="AM398" s="284"/>
    </row>
    <row r="399" ht="15.75" customHeight="1">
      <c r="A399" s="282">
        <f t="shared" si="1"/>
        <v>395</v>
      </c>
      <c r="B399" s="283"/>
      <c r="C399" s="284"/>
      <c r="D399" s="338"/>
      <c r="E399" s="286"/>
      <c r="F399" s="287"/>
      <c r="G399" s="288" t="str">
        <f>+IFERROR(VLOOKUP(F399,NVL!$B:$C,2,0),"")</f>
        <v/>
      </c>
      <c r="H399" s="288" t="str">
        <f>+IFERROR(VLOOKUP(F399,NVL!$B:$D,3,0),"")</f>
        <v/>
      </c>
      <c r="I399" s="288" t="str">
        <f>+IFERROR(VLOOKUP(F399,NVL!$B:$F,4,0),"")</f>
        <v/>
      </c>
      <c r="J399" s="289"/>
      <c r="K399" s="290"/>
      <c r="L399" s="291" t="str">
        <f>+IFERROR(VLOOKUP(K399,'THÀNH PHẨM'!$B:$F,3,0),"")</f>
        <v/>
      </c>
      <c r="M399" s="291" t="str">
        <f>+IFERROR(VLOOKUP(K399,'THÀNH PHẨM'!$B:$F,4,0),"")</f>
        <v/>
      </c>
      <c r="N399" s="291" t="str">
        <f>+IFERROR(VLOOKUP(K399,'THÀNH PHẨM'!$B:$F,5,0),"")</f>
        <v/>
      </c>
      <c r="O399" s="289"/>
      <c r="P399" s="292">
        <f t="shared" si="2"/>
        <v>0</v>
      </c>
      <c r="Q399" s="289"/>
      <c r="R399" s="289"/>
      <c r="S399" s="293">
        <f t="shared" si="62"/>
        <v>0</v>
      </c>
      <c r="T399" s="294"/>
      <c r="U399" s="295">
        <f t="shared" si="68"/>
        <v>0</v>
      </c>
      <c r="V399" s="296"/>
      <c r="W399" s="297"/>
      <c r="X399" s="298"/>
      <c r="Y399" s="292" t="str">
        <f t="shared" si="69"/>
        <v/>
      </c>
      <c r="Z399" s="366">
        <f t="shared" si="70"/>
        <v>0</v>
      </c>
      <c r="AA399" s="299" t="str">
        <f t="shared" si="71"/>
        <v/>
      </c>
      <c r="AB399" s="300"/>
      <c r="AC399" s="301"/>
      <c r="AD399" s="302"/>
      <c r="AE399" s="303"/>
      <c r="AF399" s="304"/>
      <c r="AG399" s="304"/>
      <c r="AH399" s="304"/>
      <c r="AI399" s="304"/>
      <c r="AJ399" s="304"/>
      <c r="AK399" s="305"/>
      <c r="AL399" s="283"/>
      <c r="AM399" s="284"/>
    </row>
    <row r="400" ht="15.75" customHeight="1">
      <c r="A400" s="282">
        <f t="shared" si="1"/>
        <v>396</v>
      </c>
      <c r="B400" s="283"/>
      <c r="C400" s="284"/>
      <c r="D400" s="338"/>
      <c r="E400" s="286"/>
      <c r="F400" s="287"/>
      <c r="G400" s="288" t="str">
        <f>+IFERROR(VLOOKUP(F400,NVL!$B:$C,2,0),"")</f>
        <v/>
      </c>
      <c r="H400" s="288" t="str">
        <f>+IFERROR(VLOOKUP(F400,NVL!$B:$D,3,0),"")</f>
        <v/>
      </c>
      <c r="I400" s="288" t="str">
        <f>+IFERROR(VLOOKUP(F400,NVL!$B:$F,4,0),"")</f>
        <v/>
      </c>
      <c r="J400" s="289"/>
      <c r="K400" s="290"/>
      <c r="L400" s="291" t="str">
        <f>+IFERROR(VLOOKUP(K400,'THÀNH PHẨM'!$B:$F,3,0),"")</f>
        <v/>
      </c>
      <c r="M400" s="291" t="str">
        <f>+IFERROR(VLOOKUP(K400,'THÀNH PHẨM'!$B:$F,4,0),"")</f>
        <v/>
      </c>
      <c r="N400" s="291" t="str">
        <f>+IFERROR(VLOOKUP(K400,'THÀNH PHẨM'!$B:$F,5,0),"")</f>
        <v/>
      </c>
      <c r="O400" s="289"/>
      <c r="P400" s="292">
        <f t="shared" si="2"/>
        <v>0</v>
      </c>
      <c r="Q400" s="289"/>
      <c r="R400" s="289"/>
      <c r="S400" s="293">
        <f t="shared" si="62"/>
        <v>0</v>
      </c>
      <c r="T400" s="294"/>
      <c r="U400" s="295">
        <f t="shared" si="68"/>
        <v>0</v>
      </c>
      <c r="V400" s="296"/>
      <c r="W400" s="297"/>
      <c r="X400" s="298"/>
      <c r="Y400" s="292" t="str">
        <f t="shared" si="69"/>
        <v/>
      </c>
      <c r="Z400" s="366">
        <f t="shared" si="70"/>
        <v>0</v>
      </c>
      <c r="AA400" s="299" t="str">
        <f t="shared" si="71"/>
        <v/>
      </c>
      <c r="AB400" s="300"/>
      <c r="AC400" s="301"/>
      <c r="AD400" s="302"/>
      <c r="AE400" s="303"/>
      <c r="AF400" s="304"/>
      <c r="AG400" s="304"/>
      <c r="AH400" s="304"/>
      <c r="AI400" s="304"/>
      <c r="AJ400" s="304"/>
      <c r="AK400" s="305"/>
      <c r="AL400" s="283"/>
      <c r="AM400" s="284"/>
    </row>
    <row r="401" ht="15.75" customHeight="1">
      <c r="A401" s="282">
        <f t="shared" si="1"/>
        <v>397</v>
      </c>
      <c r="B401" s="283"/>
      <c r="C401" s="284"/>
      <c r="D401" s="338"/>
      <c r="E401" s="286"/>
      <c r="F401" s="287"/>
      <c r="G401" s="288" t="str">
        <f>+IFERROR(VLOOKUP(F401,NVL!$B:$C,2,0),"")</f>
        <v/>
      </c>
      <c r="H401" s="288" t="str">
        <f>+IFERROR(VLOOKUP(F401,NVL!$B:$D,3,0),"")</f>
        <v/>
      </c>
      <c r="I401" s="288" t="str">
        <f>+IFERROR(VLOOKUP(F401,NVL!$B:$F,4,0),"")</f>
        <v/>
      </c>
      <c r="J401" s="289"/>
      <c r="K401" s="290"/>
      <c r="L401" s="291" t="str">
        <f>+IFERROR(VLOOKUP(K401,'THÀNH PHẨM'!$B:$F,3,0),"")</f>
        <v/>
      </c>
      <c r="M401" s="291" t="str">
        <f>+IFERROR(VLOOKUP(K401,'THÀNH PHẨM'!$B:$F,4,0),"")</f>
        <v/>
      </c>
      <c r="N401" s="291" t="str">
        <f>+IFERROR(VLOOKUP(K401,'THÀNH PHẨM'!$B:$F,5,0),"")</f>
        <v/>
      </c>
      <c r="O401" s="289"/>
      <c r="P401" s="292">
        <f t="shared" si="2"/>
        <v>0</v>
      </c>
      <c r="Q401" s="289"/>
      <c r="R401" s="289"/>
      <c r="S401" s="293">
        <f t="shared" si="62"/>
        <v>0</v>
      </c>
      <c r="T401" s="294"/>
      <c r="U401" s="295">
        <f t="shared" si="68"/>
        <v>0</v>
      </c>
      <c r="V401" s="296"/>
      <c r="W401" s="297"/>
      <c r="X401" s="298"/>
      <c r="Y401" s="292" t="str">
        <f t="shared" si="69"/>
        <v/>
      </c>
      <c r="Z401" s="366">
        <f t="shared" si="70"/>
        <v>0</v>
      </c>
      <c r="AA401" s="299" t="str">
        <f t="shared" si="71"/>
        <v/>
      </c>
      <c r="AB401" s="300"/>
      <c r="AC401" s="301"/>
      <c r="AD401" s="302"/>
      <c r="AE401" s="303"/>
      <c r="AF401" s="304"/>
      <c r="AG401" s="304"/>
      <c r="AH401" s="304"/>
      <c r="AI401" s="304"/>
      <c r="AJ401" s="304"/>
      <c r="AK401" s="305"/>
      <c r="AL401" s="283"/>
      <c r="AM401" s="284"/>
    </row>
    <row r="402" ht="15.75" customHeight="1">
      <c r="A402" s="282">
        <f t="shared" si="1"/>
        <v>398</v>
      </c>
      <c r="B402" s="283"/>
      <c r="C402" s="284"/>
      <c r="D402" s="338"/>
      <c r="E402" s="286"/>
      <c r="F402" s="287"/>
      <c r="G402" s="288" t="str">
        <f>+IFERROR(VLOOKUP(F402,NVL!$B:$C,2,0),"")</f>
        <v/>
      </c>
      <c r="H402" s="288" t="str">
        <f>+IFERROR(VLOOKUP(F402,NVL!$B:$D,3,0),"")</f>
        <v/>
      </c>
      <c r="I402" s="288" t="str">
        <f>+IFERROR(VLOOKUP(F402,NVL!$B:$F,4,0),"")</f>
        <v/>
      </c>
      <c r="J402" s="289"/>
      <c r="K402" s="290"/>
      <c r="L402" s="291" t="str">
        <f>+IFERROR(VLOOKUP(K402,'THÀNH PHẨM'!$B:$F,3,0),"")</f>
        <v/>
      </c>
      <c r="M402" s="291" t="str">
        <f>+IFERROR(VLOOKUP(K402,'THÀNH PHẨM'!$B:$F,4,0),"")</f>
        <v/>
      </c>
      <c r="N402" s="291" t="str">
        <f>+IFERROR(VLOOKUP(K402,'THÀNH PHẨM'!$B:$F,5,0),"")</f>
        <v/>
      </c>
      <c r="O402" s="289"/>
      <c r="P402" s="292">
        <f t="shared" si="2"/>
        <v>0</v>
      </c>
      <c r="Q402" s="289"/>
      <c r="R402" s="289"/>
      <c r="S402" s="293">
        <f t="shared" si="62"/>
        <v>0</v>
      </c>
      <c r="T402" s="294"/>
      <c r="U402" s="295">
        <f t="shared" si="68"/>
        <v>0</v>
      </c>
      <c r="V402" s="296"/>
      <c r="W402" s="297"/>
      <c r="X402" s="298"/>
      <c r="Y402" s="292" t="str">
        <f t="shared" si="69"/>
        <v/>
      </c>
      <c r="Z402" s="366">
        <f t="shared" si="70"/>
        <v>0</v>
      </c>
      <c r="AA402" s="299" t="str">
        <f t="shared" si="71"/>
        <v/>
      </c>
      <c r="AB402" s="300"/>
      <c r="AC402" s="301"/>
      <c r="AD402" s="302"/>
      <c r="AE402" s="303"/>
      <c r="AF402" s="304"/>
      <c r="AG402" s="304"/>
      <c r="AH402" s="304"/>
      <c r="AI402" s="304"/>
      <c r="AJ402" s="304"/>
      <c r="AK402" s="305"/>
      <c r="AL402" s="283"/>
      <c r="AM402" s="284"/>
    </row>
    <row r="403" ht="15.75" customHeight="1">
      <c r="A403" s="282">
        <f t="shared" si="1"/>
        <v>399</v>
      </c>
      <c r="B403" s="283"/>
      <c r="C403" s="284"/>
      <c r="D403" s="338"/>
      <c r="E403" s="286"/>
      <c r="F403" s="287"/>
      <c r="G403" s="288" t="str">
        <f>+IFERROR(VLOOKUP(F403,NVL!$B:$C,2,0),"")</f>
        <v/>
      </c>
      <c r="H403" s="288" t="str">
        <f>+IFERROR(VLOOKUP(F403,NVL!$B:$D,3,0),"")</f>
        <v/>
      </c>
      <c r="I403" s="288" t="str">
        <f>+IFERROR(VLOOKUP(F403,NVL!$B:$F,4,0),"")</f>
        <v/>
      </c>
      <c r="J403" s="289"/>
      <c r="K403" s="290"/>
      <c r="L403" s="291" t="str">
        <f>+IFERROR(VLOOKUP(K403,'THÀNH PHẨM'!$B:$F,3,0),"")</f>
        <v/>
      </c>
      <c r="M403" s="291" t="str">
        <f>+IFERROR(VLOOKUP(K403,'THÀNH PHẨM'!$B:$F,4,0),"")</f>
        <v/>
      </c>
      <c r="N403" s="291" t="str">
        <f>+IFERROR(VLOOKUP(K403,'THÀNH PHẨM'!$B:$F,5,0),"")</f>
        <v/>
      </c>
      <c r="O403" s="289"/>
      <c r="P403" s="292">
        <f t="shared" si="2"/>
        <v>0</v>
      </c>
      <c r="Q403" s="289"/>
      <c r="R403" s="289"/>
      <c r="S403" s="293">
        <f t="shared" si="62"/>
        <v>0</v>
      </c>
      <c r="T403" s="294"/>
      <c r="U403" s="295">
        <f t="shared" si="68"/>
        <v>0</v>
      </c>
      <c r="V403" s="296"/>
      <c r="W403" s="297"/>
      <c r="X403" s="298"/>
      <c r="Y403" s="292" t="str">
        <f t="shared" si="69"/>
        <v/>
      </c>
      <c r="Z403" s="366">
        <f t="shared" si="70"/>
        <v>0</v>
      </c>
      <c r="AA403" s="299" t="str">
        <f t="shared" si="71"/>
        <v/>
      </c>
      <c r="AB403" s="300"/>
      <c r="AC403" s="301"/>
      <c r="AD403" s="302"/>
      <c r="AE403" s="303"/>
      <c r="AF403" s="304"/>
      <c r="AG403" s="304"/>
      <c r="AH403" s="304"/>
      <c r="AI403" s="304"/>
      <c r="AJ403" s="304"/>
      <c r="AK403" s="305"/>
      <c r="AL403" s="283"/>
      <c r="AM403" s="284"/>
    </row>
    <row r="404" ht="15.75" customHeight="1">
      <c r="A404" s="282">
        <f t="shared" si="1"/>
        <v>400</v>
      </c>
      <c r="B404" s="283"/>
      <c r="C404" s="284"/>
      <c r="D404" s="338"/>
      <c r="E404" s="286"/>
      <c r="F404" s="287"/>
      <c r="G404" s="288" t="str">
        <f>+IFERROR(VLOOKUP(F404,NVL!$B:$C,2,0),"")</f>
        <v/>
      </c>
      <c r="H404" s="288" t="str">
        <f>+IFERROR(VLOOKUP(F404,NVL!$B:$D,3,0),"")</f>
        <v/>
      </c>
      <c r="I404" s="288" t="str">
        <f>+IFERROR(VLOOKUP(F404,NVL!$B:$F,4,0),"")</f>
        <v/>
      </c>
      <c r="J404" s="289"/>
      <c r="K404" s="290"/>
      <c r="L404" s="291" t="str">
        <f>+IFERROR(VLOOKUP(K404,'THÀNH PHẨM'!$B:$F,3,0),"")</f>
        <v/>
      </c>
      <c r="M404" s="291" t="str">
        <f>+IFERROR(VLOOKUP(K404,'THÀNH PHẨM'!$B:$F,4,0),"")</f>
        <v/>
      </c>
      <c r="N404" s="291" t="str">
        <f>+IFERROR(VLOOKUP(K404,'THÀNH PHẨM'!$B:$F,5,0),"")</f>
        <v/>
      </c>
      <c r="O404" s="289"/>
      <c r="P404" s="292">
        <f t="shared" si="2"/>
        <v>0</v>
      </c>
      <c r="Q404" s="289"/>
      <c r="R404" s="289"/>
      <c r="S404" s="293">
        <f t="shared" si="62"/>
        <v>0</v>
      </c>
      <c r="T404" s="294"/>
      <c r="U404" s="295">
        <f t="shared" si="68"/>
        <v>0</v>
      </c>
      <c r="V404" s="296"/>
      <c r="W404" s="297"/>
      <c r="X404" s="298"/>
      <c r="Y404" s="292" t="str">
        <f t="shared" si="69"/>
        <v/>
      </c>
      <c r="Z404" s="366">
        <f t="shared" si="70"/>
        <v>0</v>
      </c>
      <c r="AA404" s="299" t="str">
        <f t="shared" si="71"/>
        <v/>
      </c>
      <c r="AB404" s="300"/>
      <c r="AC404" s="301"/>
      <c r="AD404" s="302"/>
      <c r="AE404" s="303"/>
      <c r="AF404" s="304"/>
      <c r="AG404" s="304"/>
      <c r="AH404" s="304"/>
      <c r="AI404" s="304"/>
      <c r="AJ404" s="304"/>
      <c r="AK404" s="305"/>
      <c r="AL404" s="283"/>
      <c r="AM404" s="284"/>
    </row>
    <row r="405" ht="15.75" customHeight="1">
      <c r="A405" s="282">
        <f t="shared" si="1"/>
        <v>401</v>
      </c>
      <c r="B405" s="283"/>
      <c r="C405" s="284"/>
      <c r="D405" s="338"/>
      <c r="E405" s="286"/>
      <c r="F405" s="287"/>
      <c r="G405" s="288" t="str">
        <f>+IFERROR(VLOOKUP(F405,NVL!$B:$C,2,0),"")</f>
        <v/>
      </c>
      <c r="H405" s="288" t="str">
        <f>+IFERROR(VLOOKUP(F405,NVL!$B:$D,3,0),"")</f>
        <v/>
      </c>
      <c r="I405" s="288" t="str">
        <f>+IFERROR(VLOOKUP(F405,NVL!$B:$F,4,0),"")</f>
        <v/>
      </c>
      <c r="J405" s="289"/>
      <c r="K405" s="290"/>
      <c r="L405" s="291" t="str">
        <f>+IFERROR(VLOOKUP(K405,'THÀNH PHẨM'!$B:$F,3,0),"")</f>
        <v/>
      </c>
      <c r="M405" s="291" t="str">
        <f>+IFERROR(VLOOKUP(K405,'THÀNH PHẨM'!$B:$F,4,0),"")</f>
        <v/>
      </c>
      <c r="N405" s="291" t="str">
        <f>+IFERROR(VLOOKUP(K405,'THÀNH PHẨM'!$B:$F,5,0),"")</f>
        <v/>
      </c>
      <c r="O405" s="289"/>
      <c r="P405" s="292">
        <f t="shared" si="2"/>
        <v>0</v>
      </c>
      <c r="Q405" s="289"/>
      <c r="R405" s="289"/>
      <c r="S405" s="293">
        <f t="shared" si="62"/>
        <v>0</v>
      </c>
      <c r="T405" s="294"/>
      <c r="U405" s="295">
        <f t="shared" si="68"/>
        <v>0</v>
      </c>
      <c r="V405" s="296"/>
      <c r="W405" s="297"/>
      <c r="X405" s="298"/>
      <c r="Y405" s="292" t="str">
        <f t="shared" si="69"/>
        <v/>
      </c>
      <c r="Z405" s="366">
        <f t="shared" si="70"/>
        <v>0</v>
      </c>
      <c r="AA405" s="299" t="str">
        <f t="shared" si="71"/>
        <v/>
      </c>
      <c r="AB405" s="300"/>
      <c r="AC405" s="301"/>
      <c r="AD405" s="302"/>
      <c r="AE405" s="303"/>
      <c r="AF405" s="304"/>
      <c r="AG405" s="304"/>
      <c r="AH405" s="304"/>
      <c r="AI405" s="304"/>
      <c r="AJ405" s="304"/>
      <c r="AK405" s="305"/>
      <c r="AL405" s="283"/>
      <c r="AM405" s="284"/>
    </row>
    <row r="406" ht="15.75" customHeight="1">
      <c r="A406" s="282">
        <f t="shared" si="1"/>
        <v>402</v>
      </c>
      <c r="B406" s="283"/>
      <c r="C406" s="284"/>
      <c r="D406" s="338"/>
      <c r="E406" s="286"/>
      <c r="F406" s="287"/>
      <c r="G406" s="288" t="str">
        <f>+IFERROR(VLOOKUP(F406,NVL!$B:$C,2,0),"")</f>
        <v/>
      </c>
      <c r="H406" s="288" t="str">
        <f>+IFERROR(VLOOKUP(F406,NVL!$B:$D,3,0),"")</f>
        <v/>
      </c>
      <c r="I406" s="288" t="str">
        <f>+IFERROR(VLOOKUP(F406,NVL!$B:$F,4,0),"")</f>
        <v/>
      </c>
      <c r="J406" s="289"/>
      <c r="K406" s="290"/>
      <c r="L406" s="291" t="str">
        <f>+IFERROR(VLOOKUP(K406,'THÀNH PHẨM'!$B:$F,3,0),"")</f>
        <v/>
      </c>
      <c r="M406" s="291" t="str">
        <f>+IFERROR(VLOOKUP(K406,'THÀNH PHẨM'!$B:$F,4,0),"")</f>
        <v/>
      </c>
      <c r="N406" s="291" t="str">
        <f>+IFERROR(VLOOKUP(K406,'THÀNH PHẨM'!$B:$F,5,0),"")</f>
        <v/>
      </c>
      <c r="O406" s="289"/>
      <c r="P406" s="292">
        <f t="shared" si="2"/>
        <v>0</v>
      </c>
      <c r="Q406" s="289"/>
      <c r="R406" s="289"/>
      <c r="S406" s="293">
        <f t="shared" si="62"/>
        <v>0</v>
      </c>
      <c r="T406" s="294"/>
      <c r="U406" s="295">
        <f t="shared" si="68"/>
        <v>0</v>
      </c>
      <c r="V406" s="296"/>
      <c r="W406" s="297"/>
      <c r="X406" s="298"/>
      <c r="Y406" s="292" t="str">
        <f t="shared" si="69"/>
        <v/>
      </c>
      <c r="Z406" s="366">
        <f t="shared" si="70"/>
        <v>0</v>
      </c>
      <c r="AA406" s="299" t="str">
        <f t="shared" si="71"/>
        <v/>
      </c>
      <c r="AB406" s="300"/>
      <c r="AC406" s="301"/>
      <c r="AD406" s="302"/>
      <c r="AE406" s="303"/>
      <c r="AF406" s="304"/>
      <c r="AG406" s="304"/>
      <c r="AH406" s="304"/>
      <c r="AI406" s="304"/>
      <c r="AJ406" s="304"/>
      <c r="AK406" s="305"/>
      <c r="AL406" s="283"/>
      <c r="AM406" s="284"/>
    </row>
    <row r="407" ht="15.75" customHeight="1">
      <c r="A407" s="282">
        <f t="shared" si="1"/>
        <v>403</v>
      </c>
      <c r="B407" s="283"/>
      <c r="C407" s="284"/>
      <c r="D407" s="338"/>
      <c r="E407" s="286"/>
      <c r="F407" s="287"/>
      <c r="G407" s="288" t="str">
        <f>+IFERROR(VLOOKUP(F407,NVL!$B:$C,2,0),"")</f>
        <v/>
      </c>
      <c r="H407" s="288" t="str">
        <f>+IFERROR(VLOOKUP(F407,NVL!$B:$D,3,0),"")</f>
        <v/>
      </c>
      <c r="I407" s="288" t="str">
        <f>+IFERROR(VLOOKUP(F407,NVL!$B:$F,4,0),"")</f>
        <v/>
      </c>
      <c r="J407" s="289"/>
      <c r="K407" s="290"/>
      <c r="L407" s="291" t="str">
        <f>+IFERROR(VLOOKUP(K407,'THÀNH PHẨM'!$B:$F,3,0),"")</f>
        <v/>
      </c>
      <c r="M407" s="291" t="str">
        <f>+IFERROR(VLOOKUP(K407,'THÀNH PHẨM'!$B:$F,4,0),"")</f>
        <v/>
      </c>
      <c r="N407" s="291" t="str">
        <f>+IFERROR(VLOOKUP(K407,'THÀNH PHẨM'!$B:$F,5,0),"")</f>
        <v/>
      </c>
      <c r="O407" s="289"/>
      <c r="P407" s="292">
        <f t="shared" si="2"/>
        <v>0</v>
      </c>
      <c r="Q407" s="289"/>
      <c r="R407" s="289"/>
      <c r="S407" s="293">
        <f t="shared" si="62"/>
        <v>0</v>
      </c>
      <c r="T407" s="294"/>
      <c r="U407" s="295">
        <f t="shared" si="68"/>
        <v>0</v>
      </c>
      <c r="V407" s="296"/>
      <c r="W407" s="297"/>
      <c r="X407" s="298"/>
      <c r="Y407" s="292" t="str">
        <f t="shared" si="69"/>
        <v/>
      </c>
      <c r="Z407" s="366">
        <f t="shared" si="70"/>
        <v>0</v>
      </c>
      <c r="AA407" s="299" t="str">
        <f t="shared" si="71"/>
        <v/>
      </c>
      <c r="AB407" s="300"/>
      <c r="AC407" s="301"/>
      <c r="AD407" s="302"/>
      <c r="AE407" s="303"/>
      <c r="AF407" s="304"/>
      <c r="AG407" s="304"/>
      <c r="AH407" s="304"/>
      <c r="AI407" s="304"/>
      <c r="AJ407" s="304"/>
      <c r="AK407" s="305"/>
      <c r="AL407" s="283"/>
      <c r="AM407" s="284"/>
    </row>
    <row r="408" ht="15.75" customHeight="1">
      <c r="A408" s="282">
        <f t="shared" si="1"/>
        <v>404</v>
      </c>
      <c r="B408" s="283"/>
      <c r="C408" s="284"/>
      <c r="D408" s="338"/>
      <c r="E408" s="286"/>
      <c r="F408" s="287"/>
      <c r="G408" s="288" t="str">
        <f>+IFERROR(VLOOKUP(F408,NVL!$B:$C,2,0),"")</f>
        <v/>
      </c>
      <c r="H408" s="288" t="str">
        <f>+IFERROR(VLOOKUP(F408,NVL!$B:$D,3,0),"")</f>
        <v/>
      </c>
      <c r="I408" s="288" t="str">
        <f>+IFERROR(VLOOKUP(F408,NVL!$B:$F,4,0),"")</f>
        <v/>
      </c>
      <c r="J408" s="289"/>
      <c r="K408" s="290"/>
      <c r="L408" s="291" t="str">
        <f>+IFERROR(VLOOKUP(K408,'THÀNH PHẨM'!$B:$F,3,0),"")</f>
        <v/>
      </c>
      <c r="M408" s="291" t="str">
        <f>+IFERROR(VLOOKUP(K408,'THÀNH PHẨM'!$B:$F,4,0),"")</f>
        <v/>
      </c>
      <c r="N408" s="291" t="str">
        <f>+IFERROR(VLOOKUP(K408,'THÀNH PHẨM'!$B:$F,5,0),"")</f>
        <v/>
      </c>
      <c r="O408" s="289"/>
      <c r="P408" s="292">
        <f t="shared" si="2"/>
        <v>0</v>
      </c>
      <c r="Q408" s="289"/>
      <c r="R408" s="289"/>
      <c r="S408" s="293">
        <f t="shared" si="62"/>
        <v>0</v>
      </c>
      <c r="T408" s="294"/>
      <c r="U408" s="295">
        <f t="shared" si="68"/>
        <v>0</v>
      </c>
      <c r="V408" s="296"/>
      <c r="W408" s="297"/>
      <c r="X408" s="298"/>
      <c r="Y408" s="292" t="str">
        <f t="shared" si="69"/>
        <v/>
      </c>
      <c r="Z408" s="366">
        <f t="shared" si="70"/>
        <v>0</v>
      </c>
      <c r="AA408" s="299" t="str">
        <f t="shared" si="71"/>
        <v/>
      </c>
      <c r="AB408" s="300"/>
      <c r="AC408" s="301"/>
      <c r="AD408" s="302"/>
      <c r="AE408" s="303"/>
      <c r="AF408" s="304"/>
      <c r="AG408" s="304"/>
      <c r="AH408" s="304"/>
      <c r="AI408" s="304"/>
      <c r="AJ408" s="304"/>
      <c r="AK408" s="305"/>
      <c r="AL408" s="283"/>
      <c r="AM408" s="284"/>
    </row>
    <row r="409" ht="15.75" customHeight="1">
      <c r="A409" s="282">
        <f t="shared" si="1"/>
        <v>405</v>
      </c>
      <c r="B409" s="283"/>
      <c r="C409" s="284"/>
      <c r="D409" s="338"/>
      <c r="E409" s="286"/>
      <c r="F409" s="287"/>
      <c r="G409" s="288" t="str">
        <f>+IFERROR(VLOOKUP(F409,NVL!$B:$C,2,0),"")</f>
        <v/>
      </c>
      <c r="H409" s="288" t="str">
        <f>+IFERROR(VLOOKUP(F409,NVL!$B:$D,3,0),"")</f>
        <v/>
      </c>
      <c r="I409" s="288" t="str">
        <f>+IFERROR(VLOOKUP(F409,NVL!$B:$F,4,0),"")</f>
        <v/>
      </c>
      <c r="J409" s="289"/>
      <c r="K409" s="290"/>
      <c r="L409" s="291" t="str">
        <f>+IFERROR(VLOOKUP(K409,'THÀNH PHẨM'!$B:$F,3,0),"")</f>
        <v/>
      </c>
      <c r="M409" s="291" t="str">
        <f>+IFERROR(VLOOKUP(K409,'THÀNH PHẨM'!$B:$F,4,0),"")</f>
        <v/>
      </c>
      <c r="N409" s="291" t="str">
        <f>+IFERROR(VLOOKUP(K409,'THÀNH PHẨM'!$B:$F,5,0),"")</f>
        <v/>
      </c>
      <c r="O409" s="289"/>
      <c r="P409" s="292">
        <f t="shared" si="2"/>
        <v>0</v>
      </c>
      <c r="Q409" s="289"/>
      <c r="R409" s="289"/>
      <c r="S409" s="293">
        <f t="shared" si="62"/>
        <v>0</v>
      </c>
      <c r="T409" s="294"/>
      <c r="U409" s="295">
        <f t="shared" si="68"/>
        <v>0</v>
      </c>
      <c r="V409" s="296"/>
      <c r="W409" s="297"/>
      <c r="X409" s="298"/>
      <c r="Y409" s="292" t="str">
        <f t="shared" si="69"/>
        <v/>
      </c>
      <c r="Z409" s="366">
        <f t="shared" si="70"/>
        <v>0</v>
      </c>
      <c r="AA409" s="299" t="str">
        <f t="shared" si="71"/>
        <v/>
      </c>
      <c r="AB409" s="300"/>
      <c r="AC409" s="301"/>
      <c r="AD409" s="302"/>
      <c r="AE409" s="303"/>
      <c r="AF409" s="304"/>
      <c r="AG409" s="304"/>
      <c r="AH409" s="304"/>
      <c r="AI409" s="304"/>
      <c r="AJ409" s="304"/>
      <c r="AK409" s="305"/>
      <c r="AL409" s="283"/>
      <c r="AM409" s="284"/>
    </row>
    <row r="410" ht="15.75" customHeight="1">
      <c r="A410" s="282">
        <f t="shared" si="1"/>
        <v>406</v>
      </c>
      <c r="B410" s="283"/>
      <c r="C410" s="284"/>
      <c r="D410" s="338"/>
      <c r="E410" s="286"/>
      <c r="F410" s="287"/>
      <c r="G410" s="288" t="str">
        <f>+IFERROR(VLOOKUP(F410,NVL!$B:$C,2,0),"")</f>
        <v/>
      </c>
      <c r="H410" s="288" t="str">
        <f>+IFERROR(VLOOKUP(F410,NVL!$B:$D,3,0),"")</f>
        <v/>
      </c>
      <c r="I410" s="288" t="str">
        <f>+IFERROR(VLOOKUP(F410,NVL!$B:$F,4,0),"")</f>
        <v/>
      </c>
      <c r="J410" s="289"/>
      <c r="K410" s="290"/>
      <c r="L410" s="291" t="str">
        <f>+IFERROR(VLOOKUP(K410,'THÀNH PHẨM'!$B:$F,3,0),"")</f>
        <v/>
      </c>
      <c r="M410" s="291" t="str">
        <f>+IFERROR(VLOOKUP(K410,'THÀNH PHẨM'!$B:$F,4,0),"")</f>
        <v/>
      </c>
      <c r="N410" s="291" t="str">
        <f>+IFERROR(VLOOKUP(K410,'THÀNH PHẨM'!$B:$F,5,0),"")</f>
        <v/>
      </c>
      <c r="O410" s="289"/>
      <c r="P410" s="292">
        <f t="shared" si="2"/>
        <v>0</v>
      </c>
      <c r="Q410" s="289"/>
      <c r="R410" s="289"/>
      <c r="S410" s="293">
        <f t="shared" si="62"/>
        <v>0</v>
      </c>
      <c r="T410" s="294"/>
      <c r="U410" s="295">
        <f t="shared" si="68"/>
        <v>0</v>
      </c>
      <c r="V410" s="296"/>
      <c r="W410" s="297"/>
      <c r="X410" s="298"/>
      <c r="Y410" s="292" t="str">
        <f t="shared" si="69"/>
        <v/>
      </c>
      <c r="Z410" s="366">
        <f t="shared" si="70"/>
        <v>0</v>
      </c>
      <c r="AA410" s="299" t="str">
        <f t="shared" si="71"/>
        <v/>
      </c>
      <c r="AB410" s="300"/>
      <c r="AC410" s="301"/>
      <c r="AD410" s="302"/>
      <c r="AE410" s="303"/>
      <c r="AF410" s="304"/>
      <c r="AG410" s="304"/>
      <c r="AH410" s="304"/>
      <c r="AI410" s="304"/>
      <c r="AJ410" s="304"/>
      <c r="AK410" s="305"/>
      <c r="AL410" s="283"/>
      <c r="AM410" s="446"/>
    </row>
    <row r="411" ht="15.75" customHeight="1">
      <c r="A411" s="282">
        <f t="shared" si="1"/>
        <v>407</v>
      </c>
      <c r="B411" s="283"/>
      <c r="C411" s="284"/>
      <c r="D411" s="338"/>
      <c r="E411" s="286"/>
      <c r="F411" s="287"/>
      <c r="G411" s="288" t="str">
        <f>+IFERROR(VLOOKUP(F411,NVL!$B:$C,2,0),"")</f>
        <v/>
      </c>
      <c r="H411" s="288" t="str">
        <f>+IFERROR(VLOOKUP(F411,NVL!$B:$D,3,0),"")</f>
        <v/>
      </c>
      <c r="I411" s="288" t="str">
        <f>+IFERROR(VLOOKUP(F411,NVL!$B:$F,4,0),"")</f>
        <v/>
      </c>
      <c r="J411" s="289"/>
      <c r="K411" s="290"/>
      <c r="L411" s="291" t="str">
        <f>+IFERROR(VLOOKUP(K411,'THÀNH PHẨM'!$B:$F,3,0),"")</f>
        <v/>
      </c>
      <c r="M411" s="291" t="str">
        <f>+IFERROR(VLOOKUP(K411,'THÀNH PHẨM'!$B:$F,4,0),"")</f>
        <v/>
      </c>
      <c r="N411" s="291" t="str">
        <f>+IFERROR(VLOOKUP(K411,'THÀNH PHẨM'!$B:$F,5,0),"")</f>
        <v/>
      </c>
      <c r="O411" s="289"/>
      <c r="P411" s="292">
        <f t="shared" si="2"/>
        <v>0</v>
      </c>
      <c r="Q411" s="289"/>
      <c r="R411" s="289"/>
      <c r="S411" s="293">
        <f t="shared" si="62"/>
        <v>0</v>
      </c>
      <c r="T411" s="294"/>
      <c r="U411" s="295">
        <f t="shared" si="68"/>
        <v>0</v>
      </c>
      <c r="V411" s="296"/>
      <c r="W411" s="297"/>
      <c r="X411" s="298"/>
      <c r="Y411" s="292" t="str">
        <f t="shared" si="69"/>
        <v/>
      </c>
      <c r="Z411" s="366">
        <f t="shared" si="70"/>
        <v>0</v>
      </c>
      <c r="AA411" s="299" t="str">
        <f t="shared" si="71"/>
        <v/>
      </c>
      <c r="AB411" s="300"/>
      <c r="AC411" s="301"/>
      <c r="AD411" s="302"/>
      <c r="AE411" s="303"/>
      <c r="AF411" s="304"/>
      <c r="AG411" s="304"/>
      <c r="AH411" s="304"/>
      <c r="AI411" s="304"/>
      <c r="AJ411" s="304"/>
      <c r="AK411" s="305"/>
      <c r="AL411" s="283"/>
      <c r="AM411" s="284"/>
    </row>
    <row r="412" ht="15.75" customHeight="1">
      <c r="A412" s="282">
        <f t="shared" si="1"/>
        <v>408</v>
      </c>
      <c r="B412" s="283"/>
      <c r="C412" s="284"/>
      <c r="D412" s="338"/>
      <c r="E412" s="286"/>
      <c r="F412" s="287"/>
      <c r="G412" s="288" t="str">
        <f>+IFERROR(VLOOKUP(F412,NVL!$B:$C,2,0),"")</f>
        <v/>
      </c>
      <c r="H412" s="288" t="str">
        <f>+IFERROR(VLOOKUP(F412,NVL!$B:$D,3,0),"")</f>
        <v/>
      </c>
      <c r="I412" s="288" t="str">
        <f>+IFERROR(VLOOKUP(F412,NVL!$B:$F,4,0),"")</f>
        <v/>
      </c>
      <c r="J412" s="289"/>
      <c r="K412" s="290"/>
      <c r="L412" s="291" t="str">
        <f>+IFERROR(VLOOKUP(K412,'THÀNH PHẨM'!$B:$F,3,0),"")</f>
        <v/>
      </c>
      <c r="M412" s="291" t="str">
        <f>+IFERROR(VLOOKUP(K412,'THÀNH PHẨM'!$B:$F,4,0),"")</f>
        <v/>
      </c>
      <c r="N412" s="291" t="str">
        <f>+IFERROR(VLOOKUP(K412,'THÀNH PHẨM'!$B:$F,5,0),"")</f>
        <v/>
      </c>
      <c r="O412" s="289"/>
      <c r="P412" s="292">
        <f t="shared" si="2"/>
        <v>0</v>
      </c>
      <c r="Q412" s="289"/>
      <c r="R412" s="289"/>
      <c r="S412" s="293">
        <f t="shared" si="62"/>
        <v>0</v>
      </c>
      <c r="T412" s="294"/>
      <c r="U412" s="295">
        <f t="shared" si="68"/>
        <v>0</v>
      </c>
      <c r="V412" s="296"/>
      <c r="W412" s="297"/>
      <c r="X412" s="298"/>
      <c r="Y412" s="292" t="str">
        <f t="shared" si="69"/>
        <v/>
      </c>
      <c r="Z412" s="366">
        <f t="shared" si="70"/>
        <v>0</v>
      </c>
      <c r="AA412" s="299" t="str">
        <f t="shared" si="71"/>
        <v/>
      </c>
      <c r="AB412" s="300"/>
      <c r="AC412" s="301"/>
      <c r="AD412" s="302"/>
      <c r="AE412" s="303"/>
      <c r="AF412" s="304"/>
      <c r="AG412" s="304"/>
      <c r="AH412" s="304"/>
      <c r="AI412" s="304"/>
      <c r="AJ412" s="304"/>
      <c r="AK412" s="305"/>
      <c r="AL412" s="283"/>
      <c r="AM412" s="284"/>
    </row>
    <row r="413" ht="15.75" customHeight="1">
      <c r="A413" s="282">
        <f t="shared" si="1"/>
        <v>409</v>
      </c>
      <c r="B413" s="283"/>
      <c r="C413" s="284"/>
      <c r="D413" s="338"/>
      <c r="E413" s="286"/>
      <c r="F413" s="287"/>
      <c r="G413" s="288" t="str">
        <f>+IFERROR(VLOOKUP(F413,NVL!$B:$C,2,0),"")</f>
        <v/>
      </c>
      <c r="H413" s="288" t="str">
        <f>+IFERROR(VLOOKUP(F413,NVL!$B:$D,3,0),"")</f>
        <v/>
      </c>
      <c r="I413" s="288" t="str">
        <f>+IFERROR(VLOOKUP(F413,NVL!$B:$F,4,0),"")</f>
        <v/>
      </c>
      <c r="J413" s="289"/>
      <c r="K413" s="290"/>
      <c r="L413" s="291" t="str">
        <f>+IFERROR(VLOOKUP(K413,'THÀNH PHẨM'!$B:$F,3,0),"")</f>
        <v/>
      </c>
      <c r="M413" s="291" t="str">
        <f>+IFERROR(VLOOKUP(K413,'THÀNH PHẨM'!$B:$F,4,0),"")</f>
        <v/>
      </c>
      <c r="N413" s="291" t="str">
        <f>+IFERROR(VLOOKUP(K413,'THÀNH PHẨM'!$B:$F,5,0),"")</f>
        <v/>
      </c>
      <c r="O413" s="289"/>
      <c r="P413" s="292">
        <f t="shared" si="2"/>
        <v>0</v>
      </c>
      <c r="Q413" s="289"/>
      <c r="R413" s="289"/>
      <c r="S413" s="293">
        <f t="shared" si="62"/>
        <v>0</v>
      </c>
      <c r="T413" s="294"/>
      <c r="U413" s="295">
        <f t="shared" si="68"/>
        <v>0</v>
      </c>
      <c r="V413" s="296"/>
      <c r="W413" s="297"/>
      <c r="X413" s="298"/>
      <c r="Y413" s="292" t="str">
        <f t="shared" si="69"/>
        <v/>
      </c>
      <c r="Z413" s="366">
        <f t="shared" si="70"/>
        <v>0</v>
      </c>
      <c r="AA413" s="299" t="str">
        <f t="shared" si="71"/>
        <v/>
      </c>
      <c r="AB413" s="300"/>
      <c r="AC413" s="301"/>
      <c r="AD413" s="302"/>
      <c r="AE413" s="303"/>
      <c r="AF413" s="304"/>
      <c r="AG413" s="304"/>
      <c r="AH413" s="304"/>
      <c r="AI413" s="304"/>
      <c r="AJ413" s="304"/>
      <c r="AK413" s="305"/>
      <c r="AL413" s="283"/>
      <c r="AM413" s="284"/>
    </row>
    <row r="414" ht="15.75" customHeight="1">
      <c r="A414" s="282">
        <f t="shared" si="1"/>
        <v>410</v>
      </c>
      <c r="B414" s="283"/>
      <c r="C414" s="284"/>
      <c r="D414" s="338"/>
      <c r="E414" s="286"/>
      <c r="F414" s="287"/>
      <c r="G414" s="288" t="str">
        <f>+IFERROR(VLOOKUP(F414,NVL!$B:$C,2,0),"")</f>
        <v/>
      </c>
      <c r="H414" s="288" t="str">
        <f>+IFERROR(VLOOKUP(F414,NVL!$B:$D,3,0),"")</f>
        <v/>
      </c>
      <c r="I414" s="288" t="str">
        <f>+IFERROR(VLOOKUP(F414,NVL!$B:$F,4,0),"")</f>
        <v/>
      </c>
      <c r="J414" s="289"/>
      <c r="K414" s="290"/>
      <c r="L414" s="291" t="str">
        <f>+IFERROR(VLOOKUP(K414,'THÀNH PHẨM'!$B:$F,3,0),"")</f>
        <v/>
      </c>
      <c r="M414" s="291" t="str">
        <f>+IFERROR(VLOOKUP(K414,'THÀNH PHẨM'!$B:$F,4,0),"")</f>
        <v/>
      </c>
      <c r="N414" s="291" t="str">
        <f>+IFERROR(VLOOKUP(K414,'THÀNH PHẨM'!$B:$F,5,0),"")</f>
        <v/>
      </c>
      <c r="O414" s="289"/>
      <c r="P414" s="292">
        <f t="shared" si="2"/>
        <v>0</v>
      </c>
      <c r="Q414" s="289"/>
      <c r="R414" s="289"/>
      <c r="S414" s="293">
        <f t="shared" si="62"/>
        <v>0</v>
      </c>
      <c r="T414" s="294"/>
      <c r="U414" s="295">
        <f t="shared" si="68"/>
        <v>0</v>
      </c>
      <c r="V414" s="296"/>
      <c r="W414" s="297"/>
      <c r="X414" s="298"/>
      <c r="Y414" s="292" t="str">
        <f t="shared" si="69"/>
        <v/>
      </c>
      <c r="Z414" s="366">
        <f t="shared" si="70"/>
        <v>0</v>
      </c>
      <c r="AA414" s="299" t="str">
        <f t="shared" si="71"/>
        <v/>
      </c>
      <c r="AB414" s="300"/>
      <c r="AC414" s="301"/>
      <c r="AD414" s="302"/>
      <c r="AE414" s="303"/>
      <c r="AF414" s="304"/>
      <c r="AG414" s="304"/>
      <c r="AH414" s="304"/>
      <c r="AI414" s="304"/>
      <c r="AJ414" s="304"/>
      <c r="AK414" s="305"/>
      <c r="AL414" s="283"/>
      <c r="AM414" s="284"/>
    </row>
    <row r="415" ht="15.75" customHeight="1">
      <c r="A415" s="282">
        <f t="shared" si="1"/>
        <v>411</v>
      </c>
      <c r="B415" s="283"/>
      <c r="C415" s="284"/>
      <c r="D415" s="338"/>
      <c r="E415" s="286"/>
      <c r="F415" s="287"/>
      <c r="G415" s="288" t="str">
        <f>+IFERROR(VLOOKUP(F415,NVL!$B:$C,2,0),"")</f>
        <v/>
      </c>
      <c r="H415" s="288" t="str">
        <f>+IFERROR(VLOOKUP(F415,NVL!$B:$D,3,0),"")</f>
        <v/>
      </c>
      <c r="I415" s="288" t="str">
        <f>+IFERROR(VLOOKUP(F415,NVL!$B:$F,4,0),"")</f>
        <v/>
      </c>
      <c r="J415" s="289"/>
      <c r="K415" s="290"/>
      <c r="L415" s="291" t="str">
        <f>+IFERROR(VLOOKUP(K415,'THÀNH PHẨM'!$B:$F,3,0),"")</f>
        <v/>
      </c>
      <c r="M415" s="291" t="str">
        <f>+IFERROR(VLOOKUP(K415,'THÀNH PHẨM'!$B:$F,4,0),"")</f>
        <v/>
      </c>
      <c r="N415" s="291" t="str">
        <f>+IFERROR(VLOOKUP(K415,'THÀNH PHẨM'!$B:$F,5,0),"")</f>
        <v/>
      </c>
      <c r="O415" s="289"/>
      <c r="P415" s="292">
        <f t="shared" si="2"/>
        <v>0</v>
      </c>
      <c r="Q415" s="289"/>
      <c r="R415" s="289"/>
      <c r="S415" s="293">
        <f t="shared" si="62"/>
        <v>0</v>
      </c>
      <c r="T415" s="294"/>
      <c r="U415" s="295">
        <f t="shared" si="68"/>
        <v>0</v>
      </c>
      <c r="V415" s="296"/>
      <c r="W415" s="297"/>
      <c r="X415" s="298"/>
      <c r="Y415" s="292" t="str">
        <f t="shared" si="69"/>
        <v/>
      </c>
      <c r="Z415" s="366">
        <f t="shared" si="70"/>
        <v>0</v>
      </c>
      <c r="AA415" s="299" t="str">
        <f t="shared" si="71"/>
        <v/>
      </c>
      <c r="AB415" s="300"/>
      <c r="AC415" s="301"/>
      <c r="AD415" s="302"/>
      <c r="AE415" s="303"/>
      <c r="AF415" s="304"/>
      <c r="AG415" s="304"/>
      <c r="AH415" s="304"/>
      <c r="AI415" s="304"/>
      <c r="AJ415" s="304"/>
      <c r="AK415" s="305"/>
      <c r="AL415" s="283"/>
      <c r="AM415" s="284"/>
    </row>
    <row r="416" ht="15.75" customHeight="1">
      <c r="A416" s="282">
        <f t="shared" si="1"/>
        <v>412</v>
      </c>
      <c r="B416" s="283"/>
      <c r="C416" s="284"/>
      <c r="D416" s="338"/>
      <c r="E416" s="286"/>
      <c r="F416" s="287"/>
      <c r="G416" s="288" t="str">
        <f>+IFERROR(VLOOKUP(F416,NVL!$B:$C,2,0),"")</f>
        <v/>
      </c>
      <c r="H416" s="288" t="str">
        <f>+IFERROR(VLOOKUP(F416,NVL!$B:$D,3,0),"")</f>
        <v/>
      </c>
      <c r="I416" s="288" t="str">
        <f>+IFERROR(VLOOKUP(F416,NVL!$B:$F,4,0),"")</f>
        <v/>
      </c>
      <c r="J416" s="289"/>
      <c r="K416" s="290"/>
      <c r="L416" s="291" t="str">
        <f>+IFERROR(VLOOKUP(K416,'THÀNH PHẨM'!$B:$F,3,0),"")</f>
        <v/>
      </c>
      <c r="M416" s="291" t="str">
        <f>+IFERROR(VLOOKUP(K416,'THÀNH PHẨM'!$B:$F,4,0),"")</f>
        <v/>
      </c>
      <c r="N416" s="291" t="str">
        <f>+IFERROR(VLOOKUP(K416,'THÀNH PHẨM'!$B:$F,5,0),"")</f>
        <v/>
      </c>
      <c r="O416" s="289"/>
      <c r="P416" s="292">
        <f t="shared" si="2"/>
        <v>0</v>
      </c>
      <c r="Q416" s="289"/>
      <c r="R416" s="289"/>
      <c r="S416" s="293">
        <f t="shared" si="62"/>
        <v>0</v>
      </c>
      <c r="T416" s="294"/>
      <c r="U416" s="295">
        <f t="shared" si="68"/>
        <v>0</v>
      </c>
      <c r="V416" s="296"/>
      <c r="W416" s="297"/>
      <c r="X416" s="298"/>
      <c r="Y416" s="292" t="str">
        <f t="shared" si="69"/>
        <v/>
      </c>
      <c r="Z416" s="366">
        <f t="shared" si="70"/>
        <v>0</v>
      </c>
      <c r="AA416" s="299" t="str">
        <f t="shared" si="71"/>
        <v/>
      </c>
      <c r="AB416" s="300"/>
      <c r="AC416" s="301"/>
      <c r="AD416" s="302"/>
      <c r="AE416" s="303"/>
      <c r="AF416" s="304"/>
      <c r="AG416" s="304"/>
      <c r="AH416" s="304"/>
      <c r="AI416" s="304"/>
      <c r="AJ416" s="304"/>
      <c r="AK416" s="305"/>
      <c r="AL416" s="283"/>
      <c r="AM416" s="284"/>
    </row>
    <row r="417" ht="15.75" customHeight="1">
      <c r="A417" s="282">
        <f t="shared" si="1"/>
        <v>413</v>
      </c>
      <c r="B417" s="283"/>
      <c r="C417" s="284"/>
      <c r="D417" s="338"/>
      <c r="E417" s="286"/>
      <c r="F417" s="287"/>
      <c r="G417" s="288" t="str">
        <f>+IFERROR(VLOOKUP(F417,NVL!$B:$C,2,0),"")</f>
        <v/>
      </c>
      <c r="H417" s="288" t="str">
        <f>+IFERROR(VLOOKUP(F417,NVL!$B:$D,3,0),"")</f>
        <v/>
      </c>
      <c r="I417" s="288" t="str">
        <f>+IFERROR(VLOOKUP(F417,NVL!$B:$F,4,0),"")</f>
        <v/>
      </c>
      <c r="J417" s="289"/>
      <c r="K417" s="290"/>
      <c r="L417" s="291" t="str">
        <f>+IFERROR(VLOOKUP(K417,'THÀNH PHẨM'!$B:$F,3,0),"")</f>
        <v/>
      </c>
      <c r="M417" s="291" t="str">
        <f>+IFERROR(VLOOKUP(K417,'THÀNH PHẨM'!$B:$F,4,0),"")</f>
        <v/>
      </c>
      <c r="N417" s="291" t="str">
        <f>+IFERROR(VLOOKUP(K417,'THÀNH PHẨM'!$B:$F,5,0),"")</f>
        <v/>
      </c>
      <c r="O417" s="289"/>
      <c r="P417" s="292">
        <f t="shared" si="2"/>
        <v>0</v>
      </c>
      <c r="Q417" s="289"/>
      <c r="R417" s="289"/>
      <c r="S417" s="293">
        <f t="shared" si="62"/>
        <v>0</v>
      </c>
      <c r="T417" s="294"/>
      <c r="U417" s="295">
        <f t="shared" si="68"/>
        <v>0</v>
      </c>
      <c r="V417" s="296"/>
      <c r="W417" s="297"/>
      <c r="X417" s="298"/>
      <c r="Y417" s="292" t="str">
        <f t="shared" si="69"/>
        <v/>
      </c>
      <c r="Z417" s="366">
        <f t="shared" si="70"/>
        <v>0</v>
      </c>
      <c r="AA417" s="299" t="str">
        <f t="shared" si="71"/>
        <v/>
      </c>
      <c r="AB417" s="300"/>
      <c r="AC417" s="301"/>
      <c r="AD417" s="302"/>
      <c r="AE417" s="303"/>
      <c r="AF417" s="304"/>
      <c r="AG417" s="304"/>
      <c r="AH417" s="304"/>
      <c r="AI417" s="304"/>
      <c r="AJ417" s="304"/>
      <c r="AK417" s="305"/>
      <c r="AL417" s="283"/>
      <c r="AM417" s="284"/>
    </row>
    <row r="418" ht="15.75" customHeight="1">
      <c r="A418" s="282">
        <f t="shared" si="1"/>
        <v>414</v>
      </c>
      <c r="B418" s="283"/>
      <c r="C418" s="284"/>
      <c r="D418" s="338"/>
      <c r="E418" s="286"/>
      <c r="F418" s="287"/>
      <c r="G418" s="288" t="str">
        <f>+IFERROR(VLOOKUP(F418,NVL!$B:$C,2,0),"")</f>
        <v/>
      </c>
      <c r="H418" s="288" t="str">
        <f>+IFERROR(VLOOKUP(F418,NVL!$B:$D,3,0),"")</f>
        <v/>
      </c>
      <c r="I418" s="288" t="str">
        <f>+IFERROR(VLOOKUP(F418,NVL!$B:$F,4,0),"")</f>
        <v/>
      </c>
      <c r="J418" s="289"/>
      <c r="K418" s="290"/>
      <c r="L418" s="291" t="str">
        <f>+IFERROR(VLOOKUP(K418,'THÀNH PHẨM'!$B:$F,3,0),"")</f>
        <v/>
      </c>
      <c r="M418" s="291" t="str">
        <f>+IFERROR(VLOOKUP(K418,'THÀNH PHẨM'!$B:$F,4,0),"")</f>
        <v/>
      </c>
      <c r="N418" s="291" t="str">
        <f>+IFERROR(VLOOKUP(K418,'THÀNH PHẨM'!$B:$F,5,0),"")</f>
        <v/>
      </c>
      <c r="O418" s="289"/>
      <c r="P418" s="292">
        <f t="shared" si="2"/>
        <v>0</v>
      </c>
      <c r="Q418" s="289"/>
      <c r="R418" s="289"/>
      <c r="S418" s="293">
        <f t="shared" si="62"/>
        <v>0</v>
      </c>
      <c r="T418" s="294"/>
      <c r="U418" s="295">
        <f t="shared" si="68"/>
        <v>0</v>
      </c>
      <c r="V418" s="296"/>
      <c r="W418" s="297"/>
      <c r="X418" s="298"/>
      <c r="Y418" s="292" t="str">
        <f t="shared" si="69"/>
        <v/>
      </c>
      <c r="Z418" s="366">
        <f t="shared" si="70"/>
        <v>0</v>
      </c>
      <c r="AA418" s="299" t="str">
        <f t="shared" si="71"/>
        <v/>
      </c>
      <c r="AB418" s="300"/>
      <c r="AC418" s="301"/>
      <c r="AD418" s="302"/>
      <c r="AE418" s="303"/>
      <c r="AF418" s="304"/>
      <c r="AG418" s="304"/>
      <c r="AH418" s="304"/>
      <c r="AI418" s="304"/>
      <c r="AJ418" s="304"/>
      <c r="AK418" s="305"/>
      <c r="AL418" s="283"/>
      <c r="AM418" s="284"/>
    </row>
    <row r="419" ht="15.75" customHeight="1">
      <c r="A419" s="282">
        <f t="shared" si="1"/>
        <v>415</v>
      </c>
      <c r="B419" s="283"/>
      <c r="C419" s="284"/>
      <c r="D419" s="338"/>
      <c r="E419" s="286"/>
      <c r="F419" s="287"/>
      <c r="G419" s="288" t="str">
        <f>+IFERROR(VLOOKUP(F419,NVL!$B:$C,2,0),"")</f>
        <v/>
      </c>
      <c r="H419" s="288" t="str">
        <f>+IFERROR(VLOOKUP(F419,NVL!$B:$D,3,0),"")</f>
        <v/>
      </c>
      <c r="I419" s="288" t="str">
        <f>+IFERROR(VLOOKUP(F419,NVL!$B:$F,4,0),"")</f>
        <v/>
      </c>
      <c r="J419" s="289"/>
      <c r="K419" s="290"/>
      <c r="L419" s="291" t="str">
        <f>+IFERROR(VLOOKUP(K419,'THÀNH PHẨM'!$B:$F,3,0),"")</f>
        <v/>
      </c>
      <c r="M419" s="291" t="str">
        <f>+IFERROR(VLOOKUP(K419,'THÀNH PHẨM'!$B:$F,4,0),"")</f>
        <v/>
      </c>
      <c r="N419" s="291" t="str">
        <f>+IFERROR(VLOOKUP(K419,'THÀNH PHẨM'!$B:$F,5,0),"")</f>
        <v/>
      </c>
      <c r="O419" s="289"/>
      <c r="P419" s="292">
        <f t="shared" si="2"/>
        <v>0</v>
      </c>
      <c r="Q419" s="289"/>
      <c r="R419" s="289"/>
      <c r="S419" s="293">
        <f t="shared" si="62"/>
        <v>0</v>
      </c>
      <c r="T419" s="294"/>
      <c r="U419" s="295">
        <f t="shared" si="68"/>
        <v>0</v>
      </c>
      <c r="V419" s="296"/>
      <c r="W419" s="297"/>
      <c r="X419" s="298"/>
      <c r="Y419" s="292" t="str">
        <f t="shared" si="69"/>
        <v/>
      </c>
      <c r="Z419" s="366">
        <f t="shared" si="70"/>
        <v>0</v>
      </c>
      <c r="AA419" s="299" t="str">
        <f t="shared" si="71"/>
        <v/>
      </c>
      <c r="AB419" s="300"/>
      <c r="AC419" s="301"/>
      <c r="AD419" s="302"/>
      <c r="AE419" s="303"/>
      <c r="AF419" s="304"/>
      <c r="AG419" s="304"/>
      <c r="AH419" s="304"/>
      <c r="AI419" s="304"/>
      <c r="AJ419" s="304"/>
      <c r="AK419" s="305"/>
      <c r="AL419" s="283"/>
      <c r="AM419" s="284"/>
    </row>
    <row r="420" ht="15.75" customHeight="1">
      <c r="A420" s="282">
        <f t="shared" si="1"/>
        <v>416</v>
      </c>
      <c r="B420" s="283"/>
      <c r="C420" s="284"/>
      <c r="D420" s="338"/>
      <c r="E420" s="286"/>
      <c r="F420" s="287"/>
      <c r="G420" s="288" t="str">
        <f>+IFERROR(VLOOKUP(F420,NVL!$B:$C,2,0),"")</f>
        <v/>
      </c>
      <c r="H420" s="288" t="str">
        <f>+IFERROR(VLOOKUP(F420,NVL!$B:$D,3,0),"")</f>
        <v/>
      </c>
      <c r="I420" s="288" t="str">
        <f>+IFERROR(VLOOKUP(F420,NVL!$B:$F,4,0),"")</f>
        <v/>
      </c>
      <c r="J420" s="289"/>
      <c r="K420" s="290"/>
      <c r="L420" s="291" t="str">
        <f>+IFERROR(VLOOKUP(K420,'THÀNH PHẨM'!$B:$F,3,0),"")</f>
        <v/>
      </c>
      <c r="M420" s="291" t="str">
        <f>+IFERROR(VLOOKUP(K420,'THÀNH PHẨM'!$B:$F,4,0),"")</f>
        <v/>
      </c>
      <c r="N420" s="291" t="str">
        <f>+IFERROR(VLOOKUP(K420,'THÀNH PHẨM'!$B:$F,5,0),"")</f>
        <v/>
      </c>
      <c r="O420" s="289"/>
      <c r="P420" s="292">
        <f t="shared" si="2"/>
        <v>0</v>
      </c>
      <c r="Q420" s="289"/>
      <c r="R420" s="289"/>
      <c r="S420" s="293">
        <f t="shared" si="62"/>
        <v>0</v>
      </c>
      <c r="T420" s="294"/>
      <c r="U420" s="295">
        <f t="shared" si="68"/>
        <v>0</v>
      </c>
      <c r="V420" s="296"/>
      <c r="W420" s="297"/>
      <c r="X420" s="298"/>
      <c r="Y420" s="292" t="str">
        <f t="shared" si="69"/>
        <v/>
      </c>
      <c r="Z420" s="366">
        <f t="shared" si="70"/>
        <v>0</v>
      </c>
      <c r="AA420" s="299" t="str">
        <f t="shared" si="71"/>
        <v/>
      </c>
      <c r="AB420" s="300"/>
      <c r="AC420" s="301"/>
      <c r="AD420" s="302"/>
      <c r="AE420" s="303"/>
      <c r="AF420" s="304"/>
      <c r="AG420" s="304"/>
      <c r="AH420" s="304"/>
      <c r="AI420" s="304"/>
      <c r="AJ420" s="304"/>
      <c r="AK420" s="305"/>
      <c r="AL420" s="283"/>
      <c r="AM420" s="284"/>
    </row>
    <row r="421" ht="15.75" customHeight="1">
      <c r="A421" s="282">
        <f t="shared" si="1"/>
        <v>417</v>
      </c>
      <c r="B421" s="283"/>
      <c r="C421" s="284"/>
      <c r="D421" s="338"/>
      <c r="E421" s="286"/>
      <c r="F421" s="287"/>
      <c r="G421" s="288" t="str">
        <f>+IFERROR(VLOOKUP(F421,NVL!$B:$C,2,0),"")</f>
        <v/>
      </c>
      <c r="H421" s="288" t="str">
        <f>+IFERROR(VLOOKUP(F421,NVL!$B:$D,3,0),"")</f>
        <v/>
      </c>
      <c r="I421" s="288" t="str">
        <f>+IFERROR(VLOOKUP(F421,NVL!$B:$F,4,0),"")</f>
        <v/>
      </c>
      <c r="J421" s="289"/>
      <c r="K421" s="290"/>
      <c r="L421" s="291" t="str">
        <f>+IFERROR(VLOOKUP(K421,'THÀNH PHẨM'!$B:$F,3,0),"")</f>
        <v/>
      </c>
      <c r="M421" s="291" t="str">
        <f>+IFERROR(VLOOKUP(K421,'THÀNH PHẨM'!$B:$F,4,0),"")</f>
        <v/>
      </c>
      <c r="N421" s="291" t="str">
        <f>+IFERROR(VLOOKUP(K421,'THÀNH PHẨM'!$B:$F,5,0),"")</f>
        <v/>
      </c>
      <c r="O421" s="289"/>
      <c r="P421" s="292">
        <f t="shared" si="2"/>
        <v>0</v>
      </c>
      <c r="Q421" s="289"/>
      <c r="R421" s="289"/>
      <c r="S421" s="293">
        <f t="shared" si="62"/>
        <v>0</v>
      </c>
      <c r="T421" s="294"/>
      <c r="U421" s="295">
        <f t="shared" si="68"/>
        <v>0</v>
      </c>
      <c r="V421" s="296"/>
      <c r="W421" s="297"/>
      <c r="X421" s="298"/>
      <c r="Y421" s="292" t="str">
        <f t="shared" si="69"/>
        <v/>
      </c>
      <c r="Z421" s="366">
        <f t="shared" si="70"/>
        <v>0</v>
      </c>
      <c r="AA421" s="299" t="str">
        <f t="shared" si="71"/>
        <v/>
      </c>
      <c r="AB421" s="300"/>
      <c r="AC421" s="301"/>
      <c r="AD421" s="302"/>
      <c r="AE421" s="303"/>
      <c r="AF421" s="304"/>
      <c r="AG421" s="304"/>
      <c r="AH421" s="304"/>
      <c r="AI421" s="304"/>
      <c r="AJ421" s="304"/>
      <c r="AK421" s="305"/>
      <c r="AL421" s="283"/>
      <c r="AM421" s="284"/>
    </row>
    <row r="422" ht="15.75" customHeight="1">
      <c r="A422" s="282">
        <f t="shared" si="1"/>
        <v>418</v>
      </c>
      <c r="B422" s="283"/>
      <c r="C422" s="284"/>
      <c r="D422" s="338"/>
      <c r="E422" s="286"/>
      <c r="F422" s="287"/>
      <c r="G422" s="288" t="str">
        <f>+IFERROR(VLOOKUP(F422,NVL!$B:$C,2,0),"")</f>
        <v/>
      </c>
      <c r="H422" s="288" t="str">
        <f>+IFERROR(VLOOKUP(F422,NVL!$B:$D,3,0),"")</f>
        <v/>
      </c>
      <c r="I422" s="288" t="str">
        <f>+IFERROR(VLOOKUP(F422,NVL!$B:$F,4,0),"")</f>
        <v/>
      </c>
      <c r="J422" s="289"/>
      <c r="K422" s="290"/>
      <c r="L422" s="291" t="str">
        <f>+IFERROR(VLOOKUP(K422,'THÀNH PHẨM'!$B:$F,3,0),"")</f>
        <v/>
      </c>
      <c r="M422" s="291" t="str">
        <f>+IFERROR(VLOOKUP(K422,'THÀNH PHẨM'!$B:$F,4,0),"")</f>
        <v/>
      </c>
      <c r="N422" s="291" t="str">
        <f>+IFERROR(VLOOKUP(K422,'THÀNH PHẨM'!$B:$F,5,0),"")</f>
        <v/>
      </c>
      <c r="O422" s="289"/>
      <c r="P422" s="292">
        <f t="shared" si="2"/>
        <v>0</v>
      </c>
      <c r="Q422" s="289"/>
      <c r="R422" s="289"/>
      <c r="S422" s="293">
        <f t="shared" si="62"/>
        <v>0</v>
      </c>
      <c r="T422" s="294"/>
      <c r="U422" s="295">
        <f t="shared" si="68"/>
        <v>0</v>
      </c>
      <c r="V422" s="296"/>
      <c r="W422" s="297"/>
      <c r="X422" s="298"/>
      <c r="Y422" s="292" t="str">
        <f t="shared" si="69"/>
        <v/>
      </c>
      <c r="Z422" s="366">
        <f t="shared" si="70"/>
        <v>0</v>
      </c>
      <c r="AA422" s="299" t="str">
        <f t="shared" si="71"/>
        <v/>
      </c>
      <c r="AB422" s="300"/>
      <c r="AC422" s="301"/>
      <c r="AD422" s="302"/>
      <c r="AE422" s="303"/>
      <c r="AF422" s="304"/>
      <c r="AG422" s="304"/>
      <c r="AH422" s="304"/>
      <c r="AI422" s="304"/>
      <c r="AJ422" s="304"/>
      <c r="AK422" s="305"/>
      <c r="AL422" s="283"/>
      <c r="AM422" s="284"/>
    </row>
    <row r="423" ht="15.75" customHeight="1">
      <c r="A423" s="282">
        <f t="shared" si="1"/>
        <v>419</v>
      </c>
      <c r="B423" s="283"/>
      <c r="C423" s="284"/>
      <c r="D423" s="338"/>
      <c r="E423" s="286"/>
      <c r="F423" s="287"/>
      <c r="G423" s="288" t="str">
        <f>+IFERROR(VLOOKUP(F423,NVL!$B:$C,2,0),"")</f>
        <v/>
      </c>
      <c r="H423" s="288" t="str">
        <f>+IFERROR(VLOOKUP(F423,NVL!$B:$D,3,0),"")</f>
        <v/>
      </c>
      <c r="I423" s="288" t="str">
        <f>+IFERROR(VLOOKUP(F423,NVL!$B:$F,4,0),"")</f>
        <v/>
      </c>
      <c r="J423" s="289"/>
      <c r="K423" s="290"/>
      <c r="L423" s="291" t="str">
        <f>+IFERROR(VLOOKUP(K423,'THÀNH PHẨM'!$B:$F,3,0),"")</f>
        <v/>
      </c>
      <c r="M423" s="291" t="str">
        <f>+IFERROR(VLOOKUP(K423,'THÀNH PHẨM'!$B:$F,4,0),"")</f>
        <v/>
      </c>
      <c r="N423" s="291" t="str">
        <f>+IFERROR(VLOOKUP(K423,'THÀNH PHẨM'!$B:$F,5,0),"")</f>
        <v/>
      </c>
      <c r="O423" s="289"/>
      <c r="P423" s="292">
        <f t="shared" si="2"/>
        <v>0</v>
      </c>
      <c r="Q423" s="289"/>
      <c r="R423" s="289"/>
      <c r="S423" s="293">
        <f t="shared" si="62"/>
        <v>0</v>
      </c>
      <c r="T423" s="294"/>
      <c r="U423" s="295">
        <f t="shared" si="68"/>
        <v>0</v>
      </c>
      <c r="V423" s="296"/>
      <c r="W423" s="297"/>
      <c r="X423" s="298"/>
      <c r="Y423" s="292" t="str">
        <f t="shared" si="69"/>
        <v/>
      </c>
      <c r="Z423" s="366">
        <f t="shared" si="70"/>
        <v>0</v>
      </c>
      <c r="AA423" s="299" t="str">
        <f t="shared" si="71"/>
        <v/>
      </c>
      <c r="AB423" s="300"/>
      <c r="AC423" s="301"/>
      <c r="AD423" s="302"/>
      <c r="AE423" s="303"/>
      <c r="AF423" s="304"/>
      <c r="AG423" s="304"/>
      <c r="AH423" s="304"/>
      <c r="AI423" s="304"/>
      <c r="AJ423" s="304"/>
      <c r="AK423" s="305"/>
      <c r="AL423" s="283"/>
      <c r="AM423" s="284"/>
    </row>
    <row r="424" ht="15.75" customHeight="1">
      <c r="A424" s="282">
        <f t="shared" si="1"/>
        <v>420</v>
      </c>
      <c r="B424" s="283"/>
      <c r="C424" s="284"/>
      <c r="D424" s="338"/>
      <c r="E424" s="286"/>
      <c r="F424" s="287"/>
      <c r="G424" s="288" t="str">
        <f>+IFERROR(VLOOKUP(F424,NVL!$B:$C,2,0),"")</f>
        <v/>
      </c>
      <c r="H424" s="288" t="str">
        <f>+IFERROR(VLOOKUP(F424,NVL!$B:$D,3,0),"")</f>
        <v/>
      </c>
      <c r="I424" s="288" t="str">
        <f>+IFERROR(VLOOKUP(F424,NVL!$B:$F,4,0),"")</f>
        <v/>
      </c>
      <c r="J424" s="289"/>
      <c r="K424" s="290"/>
      <c r="L424" s="291" t="str">
        <f>+IFERROR(VLOOKUP(K424,'THÀNH PHẨM'!$B:$F,3,0),"")</f>
        <v/>
      </c>
      <c r="M424" s="291" t="str">
        <f>+IFERROR(VLOOKUP(K424,'THÀNH PHẨM'!$B:$F,4,0),"")</f>
        <v/>
      </c>
      <c r="N424" s="291" t="str">
        <f>+IFERROR(VLOOKUP(K424,'THÀNH PHẨM'!$B:$F,5,0),"")</f>
        <v/>
      </c>
      <c r="O424" s="289"/>
      <c r="P424" s="292">
        <f t="shared" si="2"/>
        <v>0</v>
      </c>
      <c r="Q424" s="289"/>
      <c r="R424" s="289"/>
      <c r="S424" s="293">
        <f t="shared" si="62"/>
        <v>0</v>
      </c>
      <c r="T424" s="294"/>
      <c r="U424" s="295">
        <f t="shared" si="68"/>
        <v>0</v>
      </c>
      <c r="V424" s="296"/>
      <c r="W424" s="297"/>
      <c r="X424" s="298"/>
      <c r="Y424" s="292" t="str">
        <f t="shared" si="69"/>
        <v/>
      </c>
      <c r="Z424" s="366">
        <f t="shared" si="70"/>
        <v>0</v>
      </c>
      <c r="AA424" s="299" t="str">
        <f t="shared" si="71"/>
        <v/>
      </c>
      <c r="AB424" s="300"/>
      <c r="AC424" s="301"/>
      <c r="AD424" s="302"/>
      <c r="AE424" s="303"/>
      <c r="AF424" s="304"/>
      <c r="AG424" s="304"/>
      <c r="AH424" s="304"/>
      <c r="AI424" s="304"/>
      <c r="AJ424" s="304"/>
      <c r="AK424" s="305"/>
      <c r="AL424" s="283"/>
      <c r="AM424" s="284"/>
    </row>
    <row r="425" ht="15.75" customHeight="1">
      <c r="A425" s="282">
        <f t="shared" si="1"/>
        <v>421</v>
      </c>
      <c r="B425" s="283"/>
      <c r="C425" s="284"/>
      <c r="D425" s="338"/>
      <c r="E425" s="286"/>
      <c r="F425" s="287"/>
      <c r="G425" s="288" t="str">
        <f>+IFERROR(VLOOKUP(F425,NVL!$B:$C,2,0),"")</f>
        <v/>
      </c>
      <c r="H425" s="288" t="str">
        <f>+IFERROR(VLOOKUP(F425,NVL!$B:$D,3,0),"")</f>
        <v/>
      </c>
      <c r="I425" s="288" t="str">
        <f>+IFERROR(VLOOKUP(F425,NVL!$B:$F,4,0),"")</f>
        <v/>
      </c>
      <c r="J425" s="289"/>
      <c r="K425" s="290"/>
      <c r="L425" s="291" t="str">
        <f>+IFERROR(VLOOKUP(K425,'THÀNH PHẨM'!$B:$F,3,0),"")</f>
        <v/>
      </c>
      <c r="M425" s="291" t="str">
        <f>+IFERROR(VLOOKUP(K425,'THÀNH PHẨM'!$B:$F,4,0),"")</f>
        <v/>
      </c>
      <c r="N425" s="291" t="str">
        <f>+IFERROR(VLOOKUP(K425,'THÀNH PHẨM'!$B:$F,5,0),"")</f>
        <v/>
      </c>
      <c r="O425" s="289"/>
      <c r="P425" s="292">
        <f t="shared" si="2"/>
        <v>0</v>
      </c>
      <c r="Q425" s="289"/>
      <c r="R425" s="289"/>
      <c r="S425" s="293">
        <f t="shared" si="62"/>
        <v>0</v>
      </c>
      <c r="T425" s="294"/>
      <c r="U425" s="295">
        <f t="shared" si="68"/>
        <v>0</v>
      </c>
      <c r="V425" s="296"/>
      <c r="W425" s="297"/>
      <c r="X425" s="298"/>
      <c r="Y425" s="292" t="str">
        <f t="shared" si="69"/>
        <v/>
      </c>
      <c r="Z425" s="366">
        <f t="shared" si="70"/>
        <v>0</v>
      </c>
      <c r="AA425" s="299" t="str">
        <f t="shared" si="71"/>
        <v/>
      </c>
      <c r="AB425" s="300"/>
      <c r="AC425" s="301"/>
      <c r="AD425" s="302"/>
      <c r="AE425" s="303"/>
      <c r="AF425" s="304"/>
      <c r="AG425" s="304"/>
      <c r="AH425" s="304"/>
      <c r="AI425" s="304"/>
      <c r="AJ425" s="304"/>
      <c r="AK425" s="305"/>
      <c r="AL425" s="283"/>
      <c r="AM425" s="284"/>
    </row>
    <row r="426" ht="15.75" customHeight="1">
      <c r="A426" s="282">
        <f t="shared" si="1"/>
        <v>422</v>
      </c>
      <c r="B426" s="283"/>
      <c r="C426" s="284"/>
      <c r="D426" s="338"/>
      <c r="E426" s="286"/>
      <c r="F426" s="287"/>
      <c r="G426" s="288" t="str">
        <f>+IFERROR(VLOOKUP(F426,NVL!$B:$C,2,0),"")</f>
        <v/>
      </c>
      <c r="H426" s="288" t="str">
        <f>+IFERROR(VLOOKUP(F426,NVL!$B:$D,3,0),"")</f>
        <v/>
      </c>
      <c r="I426" s="288" t="str">
        <f>+IFERROR(VLOOKUP(F426,NVL!$B:$F,4,0),"")</f>
        <v/>
      </c>
      <c r="J426" s="289"/>
      <c r="K426" s="290"/>
      <c r="L426" s="291" t="str">
        <f>+IFERROR(VLOOKUP(K426,'THÀNH PHẨM'!$B:$F,3,0),"")</f>
        <v/>
      </c>
      <c r="M426" s="291" t="str">
        <f>+IFERROR(VLOOKUP(K426,'THÀNH PHẨM'!$B:$F,4,0),"")</f>
        <v/>
      </c>
      <c r="N426" s="291" t="str">
        <f>+IFERROR(VLOOKUP(K426,'THÀNH PHẨM'!$B:$F,5,0),"")</f>
        <v/>
      </c>
      <c r="O426" s="289"/>
      <c r="P426" s="292">
        <f t="shared" si="2"/>
        <v>0</v>
      </c>
      <c r="Q426" s="289"/>
      <c r="R426" s="289"/>
      <c r="S426" s="293">
        <f t="shared" si="62"/>
        <v>0</v>
      </c>
      <c r="T426" s="294"/>
      <c r="U426" s="295">
        <f t="shared" si="68"/>
        <v>0</v>
      </c>
      <c r="V426" s="296"/>
      <c r="W426" s="297"/>
      <c r="X426" s="298"/>
      <c r="Y426" s="292" t="str">
        <f t="shared" si="69"/>
        <v/>
      </c>
      <c r="Z426" s="366">
        <f t="shared" si="70"/>
        <v>0</v>
      </c>
      <c r="AA426" s="299" t="str">
        <f t="shared" si="71"/>
        <v/>
      </c>
      <c r="AB426" s="300"/>
      <c r="AC426" s="301"/>
      <c r="AD426" s="302"/>
      <c r="AE426" s="303"/>
      <c r="AF426" s="304"/>
      <c r="AG426" s="304"/>
      <c r="AH426" s="304"/>
      <c r="AI426" s="304"/>
      <c r="AJ426" s="304"/>
      <c r="AK426" s="305"/>
      <c r="AL426" s="283"/>
      <c r="AM426" s="284"/>
    </row>
    <row r="427" ht="15.75" customHeight="1">
      <c r="A427" s="282">
        <f t="shared" si="1"/>
        <v>423</v>
      </c>
      <c r="B427" s="283"/>
      <c r="C427" s="284"/>
      <c r="D427" s="338"/>
      <c r="E427" s="286"/>
      <c r="F427" s="287"/>
      <c r="G427" s="288" t="str">
        <f>+IFERROR(VLOOKUP(F427,NVL!$B:$C,2,0),"")</f>
        <v/>
      </c>
      <c r="H427" s="288" t="str">
        <f>+IFERROR(VLOOKUP(F427,NVL!$B:$D,3,0),"")</f>
        <v/>
      </c>
      <c r="I427" s="288" t="str">
        <f>+IFERROR(VLOOKUP(F427,NVL!$B:$F,4,0),"")</f>
        <v/>
      </c>
      <c r="J427" s="289"/>
      <c r="K427" s="290"/>
      <c r="L427" s="291" t="str">
        <f>+IFERROR(VLOOKUP(K427,'THÀNH PHẨM'!$B:$F,3,0),"")</f>
        <v/>
      </c>
      <c r="M427" s="291" t="str">
        <f>+IFERROR(VLOOKUP(K427,'THÀNH PHẨM'!$B:$F,4,0),"")</f>
        <v/>
      </c>
      <c r="N427" s="291" t="str">
        <f>+IFERROR(VLOOKUP(K427,'THÀNH PHẨM'!$B:$F,5,0),"")</f>
        <v/>
      </c>
      <c r="O427" s="289"/>
      <c r="P427" s="292">
        <f t="shared" si="2"/>
        <v>0</v>
      </c>
      <c r="Q427" s="289"/>
      <c r="R427" s="289"/>
      <c r="S427" s="293">
        <f t="shared" si="62"/>
        <v>0</v>
      </c>
      <c r="T427" s="294"/>
      <c r="U427" s="295">
        <f t="shared" si="68"/>
        <v>0</v>
      </c>
      <c r="V427" s="296"/>
      <c r="W427" s="297"/>
      <c r="X427" s="298"/>
      <c r="Y427" s="292" t="str">
        <f t="shared" si="69"/>
        <v/>
      </c>
      <c r="Z427" s="366">
        <f t="shared" si="70"/>
        <v>0</v>
      </c>
      <c r="AA427" s="299" t="str">
        <f t="shared" si="71"/>
        <v/>
      </c>
      <c r="AB427" s="300"/>
      <c r="AC427" s="301"/>
      <c r="AD427" s="302"/>
      <c r="AE427" s="303"/>
      <c r="AF427" s="304"/>
      <c r="AG427" s="304"/>
      <c r="AH427" s="304"/>
      <c r="AI427" s="304"/>
      <c r="AJ427" s="304"/>
      <c r="AK427" s="305"/>
      <c r="AL427" s="283"/>
      <c r="AM427" s="284"/>
    </row>
    <row r="428" ht="15.75" customHeight="1">
      <c r="A428" s="282">
        <f t="shared" si="1"/>
        <v>424</v>
      </c>
      <c r="B428" s="283"/>
      <c r="C428" s="284"/>
      <c r="D428" s="338"/>
      <c r="E428" s="286"/>
      <c r="F428" s="287"/>
      <c r="G428" s="288" t="str">
        <f>+IFERROR(VLOOKUP(F428,NVL!$B:$C,2,0),"")</f>
        <v/>
      </c>
      <c r="H428" s="288" t="str">
        <f>+IFERROR(VLOOKUP(F428,NVL!$B:$D,3,0),"")</f>
        <v/>
      </c>
      <c r="I428" s="288" t="str">
        <f>+IFERROR(VLOOKUP(F428,NVL!$B:$F,4,0),"")</f>
        <v/>
      </c>
      <c r="J428" s="289"/>
      <c r="K428" s="290"/>
      <c r="L428" s="291" t="str">
        <f>+IFERROR(VLOOKUP(K428,'THÀNH PHẨM'!$B:$F,3,0),"")</f>
        <v/>
      </c>
      <c r="M428" s="291" t="str">
        <f>+IFERROR(VLOOKUP(K428,'THÀNH PHẨM'!$B:$F,4,0),"")</f>
        <v/>
      </c>
      <c r="N428" s="291" t="str">
        <f>+IFERROR(VLOOKUP(K428,'THÀNH PHẨM'!$B:$F,5,0),"")</f>
        <v/>
      </c>
      <c r="O428" s="289"/>
      <c r="P428" s="292">
        <f t="shared" si="2"/>
        <v>0</v>
      </c>
      <c r="Q428" s="289"/>
      <c r="R428" s="289"/>
      <c r="S428" s="293">
        <f t="shared" si="62"/>
        <v>0</v>
      </c>
      <c r="T428" s="294"/>
      <c r="U428" s="295">
        <f t="shared" si="68"/>
        <v>0</v>
      </c>
      <c r="V428" s="296"/>
      <c r="W428" s="297"/>
      <c r="X428" s="298"/>
      <c r="Y428" s="292" t="str">
        <f t="shared" si="69"/>
        <v/>
      </c>
      <c r="Z428" s="366">
        <f t="shared" si="70"/>
        <v>0</v>
      </c>
      <c r="AA428" s="299" t="str">
        <f t="shared" si="71"/>
        <v/>
      </c>
      <c r="AB428" s="300"/>
      <c r="AC428" s="301"/>
      <c r="AD428" s="302"/>
      <c r="AE428" s="303"/>
      <c r="AF428" s="304"/>
      <c r="AG428" s="304"/>
      <c r="AH428" s="304"/>
      <c r="AI428" s="304"/>
      <c r="AJ428" s="304"/>
      <c r="AK428" s="305"/>
      <c r="AL428" s="283"/>
      <c r="AM428" s="284"/>
    </row>
    <row r="429" ht="15.75" customHeight="1">
      <c r="A429" s="282">
        <f t="shared" si="1"/>
        <v>425</v>
      </c>
      <c r="B429" s="283"/>
      <c r="C429" s="284"/>
      <c r="D429" s="338"/>
      <c r="E429" s="286"/>
      <c r="F429" s="287"/>
      <c r="G429" s="288" t="str">
        <f>+IFERROR(VLOOKUP(F429,NVL!$B:$C,2,0),"")</f>
        <v/>
      </c>
      <c r="H429" s="288" t="str">
        <f>+IFERROR(VLOOKUP(F429,NVL!$B:$D,3,0),"")</f>
        <v/>
      </c>
      <c r="I429" s="288" t="str">
        <f>+IFERROR(VLOOKUP(F429,NVL!$B:$F,4,0),"")</f>
        <v/>
      </c>
      <c r="J429" s="289"/>
      <c r="K429" s="290"/>
      <c r="L429" s="291" t="str">
        <f>+IFERROR(VLOOKUP(K429,'THÀNH PHẨM'!$B:$F,3,0),"")</f>
        <v/>
      </c>
      <c r="M429" s="291" t="str">
        <f>+IFERROR(VLOOKUP(K429,'THÀNH PHẨM'!$B:$F,4,0),"")</f>
        <v/>
      </c>
      <c r="N429" s="291" t="str">
        <f>+IFERROR(VLOOKUP(K429,'THÀNH PHẨM'!$B:$F,5,0),"")</f>
        <v/>
      </c>
      <c r="O429" s="289"/>
      <c r="P429" s="292">
        <f t="shared" si="2"/>
        <v>0</v>
      </c>
      <c r="Q429" s="289"/>
      <c r="R429" s="289"/>
      <c r="S429" s="293">
        <f t="shared" si="62"/>
        <v>0</v>
      </c>
      <c r="T429" s="294"/>
      <c r="U429" s="295">
        <f t="shared" si="68"/>
        <v>0</v>
      </c>
      <c r="V429" s="296"/>
      <c r="W429" s="297"/>
      <c r="X429" s="298"/>
      <c r="Y429" s="292" t="str">
        <f t="shared" si="69"/>
        <v/>
      </c>
      <c r="Z429" s="366">
        <f t="shared" si="70"/>
        <v>0</v>
      </c>
      <c r="AA429" s="299" t="str">
        <f t="shared" si="71"/>
        <v/>
      </c>
      <c r="AB429" s="300"/>
      <c r="AC429" s="301"/>
      <c r="AD429" s="302"/>
      <c r="AE429" s="303"/>
      <c r="AF429" s="304"/>
      <c r="AG429" s="304"/>
      <c r="AH429" s="304"/>
      <c r="AI429" s="304"/>
      <c r="AJ429" s="304"/>
      <c r="AK429" s="305"/>
      <c r="AL429" s="283"/>
      <c r="AM429" s="284"/>
    </row>
    <row r="430" ht="15.75" customHeight="1">
      <c r="A430" s="282">
        <f t="shared" si="1"/>
        <v>426</v>
      </c>
      <c r="B430" s="283"/>
      <c r="C430" s="284"/>
      <c r="D430" s="338"/>
      <c r="E430" s="286"/>
      <c r="F430" s="287"/>
      <c r="G430" s="288" t="str">
        <f>+IFERROR(VLOOKUP(F430,NVL!$B:$C,2,0),"")</f>
        <v/>
      </c>
      <c r="H430" s="288" t="str">
        <f>+IFERROR(VLOOKUP(F430,NVL!$B:$D,3,0),"")</f>
        <v/>
      </c>
      <c r="I430" s="288" t="str">
        <f>+IFERROR(VLOOKUP(F430,NVL!$B:$F,4,0),"")</f>
        <v/>
      </c>
      <c r="J430" s="289"/>
      <c r="K430" s="290"/>
      <c r="L430" s="291" t="str">
        <f>+IFERROR(VLOOKUP(K430,'THÀNH PHẨM'!$B:$F,3,0),"")</f>
        <v/>
      </c>
      <c r="M430" s="291" t="str">
        <f>+IFERROR(VLOOKUP(K430,'THÀNH PHẨM'!$B:$F,4,0),"")</f>
        <v/>
      </c>
      <c r="N430" s="291" t="str">
        <f>+IFERROR(VLOOKUP(K430,'THÀNH PHẨM'!$B:$F,5,0),"")</f>
        <v/>
      </c>
      <c r="O430" s="289"/>
      <c r="P430" s="292">
        <f t="shared" si="2"/>
        <v>0</v>
      </c>
      <c r="Q430" s="289"/>
      <c r="R430" s="289"/>
      <c r="S430" s="293">
        <f t="shared" si="62"/>
        <v>0</v>
      </c>
      <c r="T430" s="294"/>
      <c r="U430" s="295">
        <f t="shared" si="68"/>
        <v>0</v>
      </c>
      <c r="V430" s="296"/>
      <c r="W430" s="297"/>
      <c r="X430" s="298"/>
      <c r="Y430" s="292" t="str">
        <f t="shared" si="69"/>
        <v/>
      </c>
      <c r="Z430" s="366">
        <f t="shared" si="70"/>
        <v>0</v>
      </c>
      <c r="AA430" s="299" t="str">
        <f t="shared" si="71"/>
        <v/>
      </c>
      <c r="AB430" s="300"/>
      <c r="AC430" s="301"/>
      <c r="AD430" s="302"/>
      <c r="AE430" s="303"/>
      <c r="AF430" s="304"/>
      <c r="AG430" s="304"/>
      <c r="AH430" s="304"/>
      <c r="AI430" s="304"/>
      <c r="AJ430" s="304"/>
      <c r="AK430" s="305"/>
      <c r="AL430" s="283"/>
      <c r="AM430" s="284"/>
    </row>
    <row r="431" ht="15.75" customHeight="1">
      <c r="A431" s="282">
        <f t="shared" si="1"/>
        <v>427</v>
      </c>
      <c r="B431" s="283"/>
      <c r="C431" s="284"/>
      <c r="D431" s="338"/>
      <c r="E431" s="286"/>
      <c r="F431" s="287"/>
      <c r="G431" s="288" t="str">
        <f>+IFERROR(VLOOKUP(F431,NVL!$B:$C,2,0),"")</f>
        <v/>
      </c>
      <c r="H431" s="288" t="str">
        <f>+IFERROR(VLOOKUP(F431,NVL!$B:$D,3,0),"")</f>
        <v/>
      </c>
      <c r="I431" s="288" t="str">
        <f>+IFERROR(VLOOKUP(F431,NVL!$B:$F,4,0),"")</f>
        <v/>
      </c>
      <c r="J431" s="289"/>
      <c r="K431" s="290"/>
      <c r="L431" s="291" t="str">
        <f>+IFERROR(VLOOKUP(K431,'THÀNH PHẨM'!$B:$F,3,0),"")</f>
        <v/>
      </c>
      <c r="M431" s="291" t="str">
        <f>+IFERROR(VLOOKUP(K431,'THÀNH PHẨM'!$B:$F,4,0),"")</f>
        <v/>
      </c>
      <c r="N431" s="291" t="str">
        <f>+IFERROR(VLOOKUP(K431,'THÀNH PHẨM'!$B:$F,5,0),"")</f>
        <v/>
      </c>
      <c r="O431" s="289"/>
      <c r="P431" s="292">
        <f t="shared" si="2"/>
        <v>0</v>
      </c>
      <c r="Q431" s="289"/>
      <c r="R431" s="289"/>
      <c r="S431" s="293">
        <f t="shared" si="62"/>
        <v>0</v>
      </c>
      <c r="T431" s="294"/>
      <c r="U431" s="295">
        <f t="shared" si="68"/>
        <v>0</v>
      </c>
      <c r="V431" s="296"/>
      <c r="W431" s="297"/>
      <c r="X431" s="298"/>
      <c r="Y431" s="292" t="str">
        <f t="shared" si="69"/>
        <v/>
      </c>
      <c r="Z431" s="366">
        <f t="shared" si="70"/>
        <v>0</v>
      </c>
      <c r="AA431" s="299" t="str">
        <f t="shared" si="71"/>
        <v/>
      </c>
      <c r="AB431" s="300"/>
      <c r="AC431" s="301"/>
      <c r="AD431" s="302"/>
      <c r="AE431" s="303"/>
      <c r="AF431" s="304"/>
      <c r="AG431" s="304"/>
      <c r="AH431" s="304"/>
      <c r="AI431" s="304"/>
      <c r="AJ431" s="304"/>
      <c r="AK431" s="305"/>
      <c r="AL431" s="283"/>
      <c r="AM431" s="284"/>
    </row>
    <row r="432" ht="15.75" customHeight="1">
      <c r="A432" s="282">
        <f t="shared" si="1"/>
        <v>428</v>
      </c>
      <c r="B432" s="283"/>
      <c r="C432" s="284"/>
      <c r="D432" s="338"/>
      <c r="E432" s="286"/>
      <c r="F432" s="287"/>
      <c r="G432" s="288" t="str">
        <f>+IFERROR(VLOOKUP(F432,NVL!$B:$C,2,0),"")</f>
        <v/>
      </c>
      <c r="H432" s="288" t="str">
        <f>+IFERROR(VLOOKUP(F432,NVL!$B:$D,3,0),"")</f>
        <v/>
      </c>
      <c r="I432" s="288" t="str">
        <f>+IFERROR(VLOOKUP(F432,NVL!$B:$F,4,0),"")</f>
        <v/>
      </c>
      <c r="J432" s="289"/>
      <c r="K432" s="290"/>
      <c r="L432" s="291" t="str">
        <f>+IFERROR(VLOOKUP(K432,'THÀNH PHẨM'!$B:$F,3,0),"")</f>
        <v/>
      </c>
      <c r="M432" s="291" t="str">
        <f>+IFERROR(VLOOKUP(K432,'THÀNH PHẨM'!$B:$F,4,0),"")</f>
        <v/>
      </c>
      <c r="N432" s="291" t="str">
        <f>+IFERROR(VLOOKUP(K432,'THÀNH PHẨM'!$B:$F,5,0),"")</f>
        <v/>
      </c>
      <c r="O432" s="289"/>
      <c r="P432" s="292">
        <f t="shared" si="2"/>
        <v>0</v>
      </c>
      <c r="Q432" s="289"/>
      <c r="R432" s="289"/>
      <c r="S432" s="293">
        <f t="shared" si="62"/>
        <v>0</v>
      </c>
      <c r="T432" s="294"/>
      <c r="U432" s="295">
        <f t="shared" si="68"/>
        <v>0</v>
      </c>
      <c r="V432" s="296"/>
      <c r="W432" s="297"/>
      <c r="X432" s="298"/>
      <c r="Y432" s="292" t="str">
        <f t="shared" si="69"/>
        <v/>
      </c>
      <c r="Z432" s="366">
        <f t="shared" si="70"/>
        <v>0</v>
      </c>
      <c r="AA432" s="299" t="str">
        <f t="shared" si="71"/>
        <v/>
      </c>
      <c r="AB432" s="300"/>
      <c r="AC432" s="301"/>
      <c r="AD432" s="302"/>
      <c r="AE432" s="303"/>
      <c r="AF432" s="304"/>
      <c r="AG432" s="304"/>
      <c r="AH432" s="304"/>
      <c r="AI432" s="304"/>
      <c r="AJ432" s="304"/>
      <c r="AK432" s="305"/>
      <c r="AL432" s="283"/>
      <c r="AM432" s="284"/>
    </row>
    <row r="433" ht="15.75" customHeight="1">
      <c r="A433" s="282">
        <f t="shared" si="1"/>
        <v>429</v>
      </c>
      <c r="B433" s="283"/>
      <c r="C433" s="284"/>
      <c r="D433" s="338"/>
      <c r="E433" s="286"/>
      <c r="F433" s="287"/>
      <c r="G433" s="288" t="str">
        <f>+IFERROR(VLOOKUP(F433,NVL!$B:$C,2,0),"")</f>
        <v/>
      </c>
      <c r="H433" s="288" t="str">
        <f>+IFERROR(VLOOKUP(F433,NVL!$B:$D,3,0),"")</f>
        <v/>
      </c>
      <c r="I433" s="288" t="str">
        <f>+IFERROR(VLOOKUP(F433,NVL!$B:$F,4,0),"")</f>
        <v/>
      </c>
      <c r="J433" s="289"/>
      <c r="K433" s="290"/>
      <c r="L433" s="291" t="str">
        <f>+IFERROR(VLOOKUP(K433,'THÀNH PHẨM'!$B:$F,3,0),"")</f>
        <v/>
      </c>
      <c r="M433" s="291" t="str">
        <f>+IFERROR(VLOOKUP(K433,'THÀNH PHẨM'!$B:$F,4,0),"")</f>
        <v/>
      </c>
      <c r="N433" s="291" t="str">
        <f>+IFERROR(VLOOKUP(K433,'THÀNH PHẨM'!$B:$F,5,0),"")</f>
        <v/>
      </c>
      <c r="O433" s="289"/>
      <c r="P433" s="292">
        <f t="shared" si="2"/>
        <v>0</v>
      </c>
      <c r="Q433" s="289"/>
      <c r="R433" s="289"/>
      <c r="S433" s="293">
        <f t="shared" si="62"/>
        <v>0</v>
      </c>
      <c r="T433" s="294"/>
      <c r="U433" s="295">
        <f t="shared" si="68"/>
        <v>0</v>
      </c>
      <c r="V433" s="296"/>
      <c r="W433" s="297"/>
      <c r="X433" s="298"/>
      <c r="Y433" s="292" t="str">
        <f t="shared" si="69"/>
        <v/>
      </c>
      <c r="Z433" s="366">
        <f t="shared" si="70"/>
        <v>0</v>
      </c>
      <c r="AA433" s="299" t="str">
        <f t="shared" si="71"/>
        <v/>
      </c>
      <c r="AB433" s="300"/>
      <c r="AC433" s="301"/>
      <c r="AD433" s="302"/>
      <c r="AE433" s="303"/>
      <c r="AF433" s="304"/>
      <c r="AG433" s="304"/>
      <c r="AH433" s="304"/>
      <c r="AI433" s="304"/>
      <c r="AJ433" s="304"/>
      <c r="AK433" s="305"/>
      <c r="AL433" s="283"/>
      <c r="AM433" s="284"/>
    </row>
    <row r="434" ht="15.75" customHeight="1">
      <c r="A434" s="282">
        <f t="shared" si="1"/>
        <v>430</v>
      </c>
      <c r="B434" s="283"/>
      <c r="C434" s="284"/>
      <c r="D434" s="338"/>
      <c r="E434" s="286"/>
      <c r="F434" s="287"/>
      <c r="G434" s="288" t="str">
        <f>+IFERROR(VLOOKUP(F434,NVL!$B:$C,2,0),"")</f>
        <v/>
      </c>
      <c r="H434" s="288" t="str">
        <f>+IFERROR(VLOOKUP(F434,NVL!$B:$D,3,0),"")</f>
        <v/>
      </c>
      <c r="I434" s="288" t="str">
        <f>+IFERROR(VLOOKUP(F434,NVL!$B:$F,4,0),"")</f>
        <v/>
      </c>
      <c r="J434" s="289"/>
      <c r="K434" s="290"/>
      <c r="L434" s="291" t="str">
        <f>+IFERROR(VLOOKUP(K434,'THÀNH PHẨM'!$B:$F,3,0),"")</f>
        <v/>
      </c>
      <c r="M434" s="291" t="str">
        <f>+IFERROR(VLOOKUP(K434,'THÀNH PHẨM'!$B:$F,4,0),"")</f>
        <v/>
      </c>
      <c r="N434" s="291" t="str">
        <f>+IFERROR(VLOOKUP(K434,'THÀNH PHẨM'!$B:$F,5,0),"")</f>
        <v/>
      </c>
      <c r="O434" s="289"/>
      <c r="P434" s="292">
        <f t="shared" si="2"/>
        <v>0</v>
      </c>
      <c r="Q434" s="289"/>
      <c r="R434" s="289"/>
      <c r="S434" s="293">
        <f t="shared" si="62"/>
        <v>0</v>
      </c>
      <c r="T434" s="294"/>
      <c r="U434" s="295">
        <f t="shared" si="68"/>
        <v>0</v>
      </c>
      <c r="V434" s="296"/>
      <c r="W434" s="297"/>
      <c r="X434" s="298"/>
      <c r="Y434" s="292" t="str">
        <f t="shared" si="69"/>
        <v/>
      </c>
      <c r="Z434" s="366">
        <f t="shared" si="70"/>
        <v>0</v>
      </c>
      <c r="AA434" s="299" t="str">
        <f t="shared" si="71"/>
        <v/>
      </c>
      <c r="AB434" s="300"/>
      <c r="AC434" s="301"/>
      <c r="AD434" s="302"/>
      <c r="AE434" s="303"/>
      <c r="AF434" s="304"/>
      <c r="AG434" s="304"/>
      <c r="AH434" s="304"/>
      <c r="AI434" s="304"/>
      <c r="AJ434" s="304"/>
      <c r="AK434" s="305"/>
      <c r="AL434" s="283"/>
      <c r="AM434" s="284"/>
    </row>
    <row r="435" ht="15.75" customHeight="1">
      <c r="A435" s="282">
        <f t="shared" si="1"/>
        <v>431</v>
      </c>
      <c r="B435" s="283"/>
      <c r="C435" s="284"/>
      <c r="D435" s="338"/>
      <c r="E435" s="286"/>
      <c r="F435" s="287"/>
      <c r="G435" s="288" t="str">
        <f>+IFERROR(VLOOKUP(F435,NVL!$B:$C,2,0),"")</f>
        <v/>
      </c>
      <c r="H435" s="288" t="str">
        <f>+IFERROR(VLOOKUP(F435,NVL!$B:$D,3,0),"")</f>
        <v/>
      </c>
      <c r="I435" s="288" t="str">
        <f>+IFERROR(VLOOKUP(F435,NVL!$B:$F,4,0),"")</f>
        <v/>
      </c>
      <c r="J435" s="289"/>
      <c r="K435" s="290"/>
      <c r="L435" s="291" t="str">
        <f>+IFERROR(VLOOKUP(K435,'THÀNH PHẨM'!$B:$F,3,0),"")</f>
        <v/>
      </c>
      <c r="M435" s="291" t="str">
        <f>+IFERROR(VLOOKUP(K435,'THÀNH PHẨM'!$B:$F,4,0),"")</f>
        <v/>
      </c>
      <c r="N435" s="291" t="str">
        <f>+IFERROR(VLOOKUP(K435,'THÀNH PHẨM'!$B:$F,5,0),"")</f>
        <v/>
      </c>
      <c r="O435" s="289"/>
      <c r="P435" s="292">
        <f t="shared" si="2"/>
        <v>0</v>
      </c>
      <c r="Q435" s="289"/>
      <c r="R435" s="289"/>
      <c r="S435" s="293">
        <f t="shared" si="62"/>
        <v>0</v>
      </c>
      <c r="T435" s="294"/>
      <c r="U435" s="295">
        <f t="shared" si="68"/>
        <v>0</v>
      </c>
      <c r="V435" s="296"/>
      <c r="W435" s="297"/>
      <c r="X435" s="298"/>
      <c r="Y435" s="292" t="str">
        <f t="shared" si="69"/>
        <v/>
      </c>
      <c r="Z435" s="366">
        <f t="shared" si="70"/>
        <v>0</v>
      </c>
      <c r="AA435" s="299" t="str">
        <f t="shared" si="71"/>
        <v/>
      </c>
      <c r="AB435" s="300"/>
      <c r="AC435" s="301"/>
      <c r="AD435" s="302"/>
      <c r="AE435" s="303"/>
      <c r="AF435" s="304"/>
      <c r="AG435" s="304"/>
      <c r="AH435" s="304"/>
      <c r="AI435" s="304"/>
      <c r="AJ435" s="304"/>
      <c r="AK435" s="305"/>
      <c r="AL435" s="283"/>
      <c r="AM435" s="284"/>
    </row>
    <row r="436" ht="15.75" customHeight="1">
      <c r="A436" s="282">
        <f t="shared" si="1"/>
        <v>432</v>
      </c>
      <c r="B436" s="283"/>
      <c r="C436" s="284"/>
      <c r="D436" s="338"/>
      <c r="E436" s="286"/>
      <c r="F436" s="287"/>
      <c r="G436" s="288" t="str">
        <f>+IFERROR(VLOOKUP(F436,NVL!$B:$C,2,0),"")</f>
        <v/>
      </c>
      <c r="H436" s="288" t="str">
        <f>+IFERROR(VLOOKUP(F436,NVL!$B:$D,3,0),"")</f>
        <v/>
      </c>
      <c r="I436" s="288" t="str">
        <f>+IFERROR(VLOOKUP(F436,NVL!$B:$F,4,0),"")</f>
        <v/>
      </c>
      <c r="J436" s="289"/>
      <c r="K436" s="290"/>
      <c r="L436" s="291" t="str">
        <f>+IFERROR(VLOOKUP(K436,'THÀNH PHẨM'!$B:$F,3,0),"")</f>
        <v/>
      </c>
      <c r="M436" s="291" t="str">
        <f>+IFERROR(VLOOKUP(K436,'THÀNH PHẨM'!$B:$F,4,0),"")</f>
        <v/>
      </c>
      <c r="N436" s="291" t="str">
        <f>+IFERROR(VLOOKUP(K436,'THÀNH PHẨM'!$B:$F,5,0),"")</f>
        <v/>
      </c>
      <c r="O436" s="289"/>
      <c r="P436" s="292">
        <f t="shared" si="2"/>
        <v>0</v>
      </c>
      <c r="Q436" s="289"/>
      <c r="R436" s="289"/>
      <c r="S436" s="293">
        <f t="shared" si="62"/>
        <v>0</v>
      </c>
      <c r="T436" s="294"/>
      <c r="U436" s="295">
        <f t="shared" si="68"/>
        <v>0</v>
      </c>
      <c r="V436" s="296"/>
      <c r="W436" s="297"/>
      <c r="X436" s="298"/>
      <c r="Y436" s="292" t="str">
        <f t="shared" si="69"/>
        <v/>
      </c>
      <c r="Z436" s="366">
        <f t="shared" si="70"/>
        <v>0</v>
      </c>
      <c r="AA436" s="299" t="str">
        <f t="shared" si="71"/>
        <v/>
      </c>
      <c r="AB436" s="300"/>
      <c r="AC436" s="301"/>
      <c r="AD436" s="302"/>
      <c r="AE436" s="303"/>
      <c r="AF436" s="304"/>
      <c r="AG436" s="304"/>
      <c r="AH436" s="304"/>
      <c r="AI436" s="304"/>
      <c r="AJ436" s="304"/>
      <c r="AK436" s="305"/>
      <c r="AL436" s="283"/>
      <c r="AM436" s="284"/>
    </row>
    <row r="437" ht="15.75" customHeight="1">
      <c r="A437" s="282">
        <f t="shared" si="1"/>
        <v>433</v>
      </c>
      <c r="B437" s="283"/>
      <c r="C437" s="284"/>
      <c r="D437" s="338"/>
      <c r="E437" s="286"/>
      <c r="F437" s="287"/>
      <c r="G437" s="288" t="str">
        <f>+IFERROR(VLOOKUP(F437,NVL!$B:$C,2,0),"")</f>
        <v/>
      </c>
      <c r="H437" s="288" t="str">
        <f>+IFERROR(VLOOKUP(F437,NVL!$B:$D,3,0),"")</f>
        <v/>
      </c>
      <c r="I437" s="288" t="str">
        <f>+IFERROR(VLOOKUP(F437,NVL!$B:$F,4,0),"")</f>
        <v/>
      </c>
      <c r="J437" s="289"/>
      <c r="K437" s="290"/>
      <c r="L437" s="291" t="str">
        <f>+IFERROR(VLOOKUP(K437,'THÀNH PHẨM'!$B:$F,3,0),"")</f>
        <v/>
      </c>
      <c r="M437" s="291" t="str">
        <f>+IFERROR(VLOOKUP(K437,'THÀNH PHẨM'!$B:$F,4,0),"")</f>
        <v/>
      </c>
      <c r="N437" s="291" t="str">
        <f>+IFERROR(VLOOKUP(K437,'THÀNH PHẨM'!$B:$F,5,0),"")</f>
        <v/>
      </c>
      <c r="O437" s="289"/>
      <c r="P437" s="292">
        <f t="shared" si="2"/>
        <v>0</v>
      </c>
      <c r="Q437" s="289"/>
      <c r="R437" s="289"/>
      <c r="S437" s="293">
        <f t="shared" si="62"/>
        <v>0</v>
      </c>
      <c r="T437" s="294"/>
      <c r="U437" s="295">
        <f t="shared" si="68"/>
        <v>0</v>
      </c>
      <c r="V437" s="296"/>
      <c r="W437" s="297"/>
      <c r="X437" s="298"/>
      <c r="Y437" s="292" t="str">
        <f t="shared" si="69"/>
        <v/>
      </c>
      <c r="Z437" s="366">
        <f t="shared" si="70"/>
        <v>0</v>
      </c>
      <c r="AA437" s="299" t="str">
        <f t="shared" si="71"/>
        <v/>
      </c>
      <c r="AB437" s="300"/>
      <c r="AC437" s="301"/>
      <c r="AD437" s="302"/>
      <c r="AE437" s="303"/>
      <c r="AF437" s="304"/>
      <c r="AG437" s="304"/>
      <c r="AH437" s="304"/>
      <c r="AI437" s="304"/>
      <c r="AJ437" s="304"/>
      <c r="AK437" s="305"/>
      <c r="AL437" s="283"/>
      <c r="AM437" s="284"/>
    </row>
    <row r="438" ht="15.75" customHeight="1">
      <c r="A438" s="282">
        <f t="shared" si="1"/>
        <v>434</v>
      </c>
      <c r="B438" s="283"/>
      <c r="C438" s="284"/>
      <c r="D438" s="338"/>
      <c r="E438" s="286"/>
      <c r="F438" s="287"/>
      <c r="G438" s="288" t="str">
        <f>+IFERROR(VLOOKUP(F438,NVL!$B:$C,2,0),"")</f>
        <v/>
      </c>
      <c r="H438" s="288" t="str">
        <f>+IFERROR(VLOOKUP(F438,NVL!$B:$D,3,0),"")</f>
        <v/>
      </c>
      <c r="I438" s="288" t="str">
        <f>+IFERROR(VLOOKUP(F438,NVL!$B:$F,4,0),"")</f>
        <v/>
      </c>
      <c r="J438" s="289"/>
      <c r="K438" s="290"/>
      <c r="L438" s="291" t="str">
        <f>+IFERROR(VLOOKUP(K438,'THÀNH PHẨM'!$B:$F,3,0),"")</f>
        <v/>
      </c>
      <c r="M438" s="291" t="str">
        <f>+IFERROR(VLOOKUP(K438,'THÀNH PHẨM'!$B:$F,4,0),"")</f>
        <v/>
      </c>
      <c r="N438" s="291" t="str">
        <f>+IFERROR(VLOOKUP(K438,'THÀNH PHẨM'!$B:$F,5,0),"")</f>
        <v/>
      </c>
      <c r="O438" s="289"/>
      <c r="P438" s="292">
        <f t="shared" si="2"/>
        <v>0</v>
      </c>
      <c r="Q438" s="289"/>
      <c r="R438" s="289"/>
      <c r="S438" s="293">
        <f t="shared" si="62"/>
        <v>0</v>
      </c>
      <c r="T438" s="294"/>
      <c r="U438" s="295">
        <f t="shared" si="68"/>
        <v>0</v>
      </c>
      <c r="V438" s="296"/>
      <c r="W438" s="297"/>
      <c r="X438" s="298"/>
      <c r="Y438" s="292" t="str">
        <f t="shared" si="69"/>
        <v/>
      </c>
      <c r="Z438" s="366">
        <f t="shared" si="70"/>
        <v>0</v>
      </c>
      <c r="AA438" s="299" t="str">
        <f t="shared" si="71"/>
        <v/>
      </c>
      <c r="AB438" s="300"/>
      <c r="AC438" s="301"/>
      <c r="AD438" s="302"/>
      <c r="AE438" s="303"/>
      <c r="AF438" s="304"/>
      <c r="AG438" s="304"/>
      <c r="AH438" s="304"/>
      <c r="AI438" s="304"/>
      <c r="AJ438" s="304"/>
      <c r="AK438" s="305"/>
      <c r="AL438" s="283"/>
      <c r="AM438" s="320"/>
    </row>
    <row r="439" ht="15.75" customHeight="1">
      <c r="A439" s="282">
        <f t="shared" si="1"/>
        <v>435</v>
      </c>
      <c r="B439" s="283"/>
      <c r="C439" s="284"/>
      <c r="D439" s="338"/>
      <c r="E439" s="286"/>
      <c r="F439" s="287"/>
      <c r="G439" s="288" t="str">
        <f>+IFERROR(VLOOKUP(F439,NVL!$B:$C,2,0),"")</f>
        <v/>
      </c>
      <c r="H439" s="288" t="str">
        <f>+IFERROR(VLOOKUP(F439,NVL!$B:$D,3,0),"")</f>
        <v/>
      </c>
      <c r="I439" s="288" t="str">
        <f>+IFERROR(VLOOKUP(F439,NVL!$B:$F,4,0),"")</f>
        <v/>
      </c>
      <c r="J439" s="289"/>
      <c r="K439" s="290"/>
      <c r="L439" s="291" t="str">
        <f>+IFERROR(VLOOKUP(K439,'THÀNH PHẨM'!$B:$F,3,0),"")</f>
        <v/>
      </c>
      <c r="M439" s="291" t="str">
        <f>+IFERROR(VLOOKUP(K439,'THÀNH PHẨM'!$B:$F,4,0),"")</f>
        <v/>
      </c>
      <c r="N439" s="291" t="str">
        <f>+IFERROR(VLOOKUP(K439,'THÀNH PHẨM'!$B:$F,5,0),"")</f>
        <v/>
      </c>
      <c r="O439" s="289"/>
      <c r="P439" s="292">
        <f t="shared" si="2"/>
        <v>0</v>
      </c>
      <c r="Q439" s="289"/>
      <c r="R439" s="289"/>
      <c r="S439" s="293">
        <f t="shared" si="62"/>
        <v>0</v>
      </c>
      <c r="T439" s="294"/>
      <c r="U439" s="295">
        <f t="shared" si="68"/>
        <v>0</v>
      </c>
      <c r="V439" s="296"/>
      <c r="W439" s="297"/>
      <c r="X439" s="298"/>
      <c r="Y439" s="292" t="str">
        <f t="shared" si="69"/>
        <v/>
      </c>
      <c r="Z439" s="366">
        <f t="shared" si="70"/>
        <v>0</v>
      </c>
      <c r="AA439" s="299" t="str">
        <f t="shared" si="71"/>
        <v/>
      </c>
      <c r="AB439" s="300"/>
      <c r="AC439" s="301"/>
      <c r="AD439" s="302"/>
      <c r="AE439" s="303"/>
      <c r="AF439" s="304"/>
      <c r="AG439" s="304"/>
      <c r="AH439" s="304"/>
      <c r="AI439" s="304"/>
      <c r="AJ439" s="304"/>
      <c r="AK439" s="305"/>
      <c r="AL439" s="283"/>
      <c r="AM439" s="284"/>
    </row>
    <row r="440" ht="15.75" customHeight="1">
      <c r="A440" s="282">
        <f t="shared" si="1"/>
        <v>436</v>
      </c>
      <c r="B440" s="283"/>
      <c r="C440" s="284"/>
      <c r="D440" s="338"/>
      <c r="E440" s="286"/>
      <c r="F440" s="287"/>
      <c r="G440" s="288" t="str">
        <f>+IFERROR(VLOOKUP(F440,NVL!$B:$C,2,0),"")</f>
        <v/>
      </c>
      <c r="H440" s="288" t="str">
        <f>+IFERROR(VLOOKUP(F440,NVL!$B:$D,3,0),"")</f>
        <v/>
      </c>
      <c r="I440" s="288" t="str">
        <f>+IFERROR(VLOOKUP(F440,NVL!$B:$F,4,0),"")</f>
        <v/>
      </c>
      <c r="J440" s="289"/>
      <c r="K440" s="290"/>
      <c r="L440" s="291" t="str">
        <f>+IFERROR(VLOOKUP(K440,'THÀNH PHẨM'!$B:$F,3,0),"")</f>
        <v/>
      </c>
      <c r="M440" s="291" t="str">
        <f>+IFERROR(VLOOKUP(K440,'THÀNH PHẨM'!$B:$F,4,0),"")</f>
        <v/>
      </c>
      <c r="N440" s="291" t="str">
        <f>+IFERROR(VLOOKUP(K440,'THÀNH PHẨM'!$B:$F,5,0),"")</f>
        <v/>
      </c>
      <c r="O440" s="289"/>
      <c r="P440" s="292">
        <f t="shared" si="2"/>
        <v>0</v>
      </c>
      <c r="Q440" s="289"/>
      <c r="R440" s="289"/>
      <c r="S440" s="293">
        <f t="shared" si="62"/>
        <v>0</v>
      </c>
      <c r="T440" s="294"/>
      <c r="U440" s="295">
        <f t="shared" si="68"/>
        <v>0</v>
      </c>
      <c r="V440" s="296"/>
      <c r="W440" s="297"/>
      <c r="X440" s="298"/>
      <c r="Y440" s="292" t="str">
        <f t="shared" si="69"/>
        <v/>
      </c>
      <c r="Z440" s="366">
        <f t="shared" si="70"/>
        <v>0</v>
      </c>
      <c r="AA440" s="299" t="str">
        <f t="shared" si="71"/>
        <v/>
      </c>
      <c r="AB440" s="300"/>
      <c r="AC440" s="301"/>
      <c r="AD440" s="302"/>
      <c r="AE440" s="303"/>
      <c r="AF440" s="304"/>
      <c r="AG440" s="304"/>
      <c r="AH440" s="304"/>
      <c r="AI440" s="304"/>
      <c r="AJ440" s="304"/>
      <c r="AK440" s="305"/>
      <c r="AL440" s="283"/>
      <c r="AM440" s="284"/>
    </row>
    <row r="441" ht="15.75" customHeight="1">
      <c r="A441" s="282">
        <f t="shared" si="1"/>
        <v>437</v>
      </c>
      <c r="B441" s="283"/>
      <c r="C441" s="284"/>
      <c r="D441" s="338"/>
      <c r="E441" s="286"/>
      <c r="F441" s="287"/>
      <c r="G441" s="288" t="str">
        <f>+IFERROR(VLOOKUP(F441,NVL!$B:$C,2,0),"")</f>
        <v/>
      </c>
      <c r="H441" s="288" t="str">
        <f>+IFERROR(VLOOKUP(F441,NVL!$B:$D,3,0),"")</f>
        <v/>
      </c>
      <c r="I441" s="288" t="str">
        <f>+IFERROR(VLOOKUP(F441,NVL!$B:$F,4,0),"")</f>
        <v/>
      </c>
      <c r="J441" s="289"/>
      <c r="K441" s="290"/>
      <c r="L441" s="291" t="str">
        <f>+IFERROR(VLOOKUP(K441,'THÀNH PHẨM'!$B:$F,3,0),"")</f>
        <v/>
      </c>
      <c r="M441" s="291" t="str">
        <f>+IFERROR(VLOOKUP(K441,'THÀNH PHẨM'!$B:$F,4,0),"")</f>
        <v/>
      </c>
      <c r="N441" s="291" t="str">
        <f>+IFERROR(VLOOKUP(K441,'THÀNH PHẨM'!$B:$F,5,0),"")</f>
        <v/>
      </c>
      <c r="O441" s="289"/>
      <c r="P441" s="292">
        <f t="shared" si="2"/>
        <v>0</v>
      </c>
      <c r="Q441" s="289"/>
      <c r="R441" s="289"/>
      <c r="S441" s="293">
        <f t="shared" si="62"/>
        <v>0</v>
      </c>
      <c r="T441" s="294"/>
      <c r="U441" s="295">
        <f t="shared" si="68"/>
        <v>0</v>
      </c>
      <c r="V441" s="296"/>
      <c r="W441" s="297"/>
      <c r="X441" s="298"/>
      <c r="Y441" s="292" t="str">
        <f t="shared" si="69"/>
        <v/>
      </c>
      <c r="Z441" s="366">
        <f t="shared" si="70"/>
        <v>0</v>
      </c>
      <c r="AA441" s="299" t="str">
        <f t="shared" si="71"/>
        <v/>
      </c>
      <c r="AB441" s="300"/>
      <c r="AC441" s="301"/>
      <c r="AD441" s="302"/>
      <c r="AE441" s="303"/>
      <c r="AF441" s="304"/>
      <c r="AG441" s="304"/>
      <c r="AH441" s="304"/>
      <c r="AI441" s="304"/>
      <c r="AJ441" s="304"/>
      <c r="AK441" s="305"/>
      <c r="AL441" s="283"/>
      <c r="AM441" s="284"/>
    </row>
    <row r="442" ht="15.75" customHeight="1">
      <c r="A442" s="282">
        <f t="shared" si="1"/>
        <v>438</v>
      </c>
      <c r="B442" s="283"/>
      <c r="C442" s="284"/>
      <c r="D442" s="338"/>
      <c r="E442" s="286"/>
      <c r="F442" s="287"/>
      <c r="G442" s="288" t="str">
        <f>+IFERROR(VLOOKUP(F442,NVL!$B:$C,2,0),"")</f>
        <v/>
      </c>
      <c r="H442" s="288" t="str">
        <f>+IFERROR(VLOOKUP(F442,NVL!$B:$D,3,0),"")</f>
        <v/>
      </c>
      <c r="I442" s="288" t="str">
        <f>+IFERROR(VLOOKUP(F442,NVL!$B:$F,4,0),"")</f>
        <v/>
      </c>
      <c r="J442" s="289"/>
      <c r="K442" s="290"/>
      <c r="L442" s="291" t="str">
        <f>+IFERROR(VLOOKUP(K442,'THÀNH PHẨM'!$B:$F,3,0),"")</f>
        <v/>
      </c>
      <c r="M442" s="291" t="str">
        <f>+IFERROR(VLOOKUP(K442,'THÀNH PHẨM'!$B:$F,4,0),"")</f>
        <v/>
      </c>
      <c r="N442" s="291" t="str">
        <f>+IFERROR(VLOOKUP(K442,'THÀNH PHẨM'!$B:$F,5,0),"")</f>
        <v/>
      </c>
      <c r="O442" s="289"/>
      <c r="P442" s="292">
        <f t="shared" si="2"/>
        <v>0</v>
      </c>
      <c r="Q442" s="289"/>
      <c r="R442" s="289"/>
      <c r="S442" s="293">
        <f t="shared" si="62"/>
        <v>0</v>
      </c>
      <c r="T442" s="294"/>
      <c r="U442" s="295">
        <f t="shared" si="68"/>
        <v>0</v>
      </c>
      <c r="V442" s="296"/>
      <c r="W442" s="297"/>
      <c r="X442" s="298"/>
      <c r="Y442" s="292" t="str">
        <f t="shared" si="69"/>
        <v/>
      </c>
      <c r="Z442" s="366">
        <f t="shared" si="70"/>
        <v>0</v>
      </c>
      <c r="AA442" s="299" t="str">
        <f t="shared" si="71"/>
        <v/>
      </c>
      <c r="AB442" s="300"/>
      <c r="AC442" s="301"/>
      <c r="AD442" s="302"/>
      <c r="AE442" s="303"/>
      <c r="AF442" s="304"/>
      <c r="AG442" s="304"/>
      <c r="AH442" s="304"/>
      <c r="AI442" s="304"/>
      <c r="AJ442" s="304"/>
      <c r="AK442" s="305"/>
      <c r="AL442" s="283"/>
      <c r="AM442" s="284"/>
    </row>
    <row r="443" ht="15.75" customHeight="1">
      <c r="A443" s="282">
        <f t="shared" si="1"/>
        <v>439</v>
      </c>
      <c r="B443" s="283"/>
      <c r="C443" s="284"/>
      <c r="D443" s="338"/>
      <c r="E443" s="286"/>
      <c r="F443" s="287"/>
      <c r="G443" s="288" t="str">
        <f>+IFERROR(VLOOKUP(F443,NVL!$B:$C,2,0),"")</f>
        <v/>
      </c>
      <c r="H443" s="288" t="str">
        <f>+IFERROR(VLOOKUP(F443,NVL!$B:$D,3,0),"")</f>
        <v/>
      </c>
      <c r="I443" s="288" t="str">
        <f>+IFERROR(VLOOKUP(F443,NVL!$B:$F,4,0),"")</f>
        <v/>
      </c>
      <c r="J443" s="289"/>
      <c r="K443" s="290"/>
      <c r="L443" s="291" t="str">
        <f>+IFERROR(VLOOKUP(K443,'THÀNH PHẨM'!$B:$F,3,0),"")</f>
        <v/>
      </c>
      <c r="M443" s="291" t="str">
        <f>+IFERROR(VLOOKUP(K443,'THÀNH PHẨM'!$B:$F,4,0),"")</f>
        <v/>
      </c>
      <c r="N443" s="291" t="str">
        <f>+IFERROR(VLOOKUP(K443,'THÀNH PHẨM'!$B:$F,5,0),"")</f>
        <v/>
      </c>
      <c r="O443" s="289"/>
      <c r="P443" s="292">
        <f t="shared" si="2"/>
        <v>0</v>
      </c>
      <c r="Q443" s="289"/>
      <c r="R443" s="289"/>
      <c r="S443" s="293">
        <f t="shared" si="62"/>
        <v>0</v>
      </c>
      <c r="T443" s="294"/>
      <c r="U443" s="295">
        <f t="shared" si="68"/>
        <v>0</v>
      </c>
      <c r="V443" s="296"/>
      <c r="W443" s="297"/>
      <c r="X443" s="298"/>
      <c r="Y443" s="292" t="str">
        <f t="shared" si="69"/>
        <v/>
      </c>
      <c r="Z443" s="366">
        <f t="shared" si="70"/>
        <v>0</v>
      </c>
      <c r="AA443" s="299" t="str">
        <f t="shared" si="71"/>
        <v/>
      </c>
      <c r="AB443" s="300"/>
      <c r="AC443" s="301"/>
      <c r="AD443" s="302"/>
      <c r="AE443" s="303"/>
      <c r="AF443" s="304"/>
      <c r="AG443" s="304"/>
      <c r="AH443" s="304"/>
      <c r="AI443" s="304"/>
      <c r="AJ443" s="304"/>
      <c r="AK443" s="305"/>
      <c r="AL443" s="283"/>
      <c r="AM443" s="284"/>
    </row>
    <row r="444" ht="15.75" customHeight="1">
      <c r="A444" s="282">
        <f t="shared" si="1"/>
        <v>440</v>
      </c>
      <c r="B444" s="283"/>
      <c r="C444" s="284"/>
      <c r="D444" s="338"/>
      <c r="E444" s="286"/>
      <c r="F444" s="287"/>
      <c r="G444" s="288" t="str">
        <f>+IFERROR(VLOOKUP(F444,NVL!$B:$C,2,0),"")</f>
        <v/>
      </c>
      <c r="H444" s="288" t="str">
        <f>+IFERROR(VLOOKUP(F444,NVL!$B:$D,3,0),"")</f>
        <v/>
      </c>
      <c r="I444" s="288" t="str">
        <f>+IFERROR(VLOOKUP(F444,NVL!$B:$F,4,0),"")</f>
        <v/>
      </c>
      <c r="J444" s="289"/>
      <c r="K444" s="290"/>
      <c r="L444" s="291" t="str">
        <f>+IFERROR(VLOOKUP(K444,'THÀNH PHẨM'!$B:$F,3,0),"")</f>
        <v/>
      </c>
      <c r="M444" s="291" t="str">
        <f>+IFERROR(VLOOKUP(K444,'THÀNH PHẨM'!$B:$F,4,0),"")</f>
        <v/>
      </c>
      <c r="N444" s="291" t="str">
        <f>+IFERROR(VLOOKUP(K444,'THÀNH PHẨM'!$B:$F,5,0),"")</f>
        <v/>
      </c>
      <c r="O444" s="289"/>
      <c r="P444" s="292">
        <f t="shared" si="2"/>
        <v>0</v>
      </c>
      <c r="Q444" s="289"/>
      <c r="R444" s="289"/>
      <c r="S444" s="293">
        <f t="shared" si="62"/>
        <v>0</v>
      </c>
      <c r="T444" s="294"/>
      <c r="U444" s="295">
        <f t="shared" si="68"/>
        <v>0</v>
      </c>
      <c r="V444" s="296"/>
      <c r="W444" s="297"/>
      <c r="X444" s="298"/>
      <c r="Y444" s="292" t="str">
        <f t="shared" si="69"/>
        <v/>
      </c>
      <c r="Z444" s="366">
        <f t="shared" si="70"/>
        <v>0</v>
      </c>
      <c r="AA444" s="299" t="str">
        <f t="shared" si="71"/>
        <v/>
      </c>
      <c r="AB444" s="300"/>
      <c r="AC444" s="301"/>
      <c r="AD444" s="302"/>
      <c r="AE444" s="303"/>
      <c r="AF444" s="304"/>
      <c r="AG444" s="304"/>
      <c r="AH444" s="304"/>
      <c r="AI444" s="304"/>
      <c r="AJ444" s="304"/>
      <c r="AK444" s="305"/>
      <c r="AL444" s="283"/>
      <c r="AM444" s="284"/>
    </row>
    <row r="445" ht="15.75" customHeight="1">
      <c r="A445" s="282">
        <f t="shared" si="1"/>
        <v>441</v>
      </c>
      <c r="B445" s="283"/>
      <c r="C445" s="284"/>
      <c r="D445" s="338"/>
      <c r="E445" s="286"/>
      <c r="F445" s="287"/>
      <c r="G445" s="288" t="str">
        <f>+IFERROR(VLOOKUP(F445,NVL!$B:$C,2,0),"")</f>
        <v/>
      </c>
      <c r="H445" s="288" t="str">
        <f>+IFERROR(VLOOKUP(F445,NVL!$B:$D,3,0),"")</f>
        <v/>
      </c>
      <c r="I445" s="288" t="str">
        <f>+IFERROR(VLOOKUP(F445,NVL!$B:$F,4,0),"")</f>
        <v/>
      </c>
      <c r="J445" s="289"/>
      <c r="K445" s="290"/>
      <c r="L445" s="291" t="str">
        <f>+IFERROR(VLOOKUP(K445,'THÀNH PHẨM'!$B:$F,3,0),"")</f>
        <v/>
      </c>
      <c r="M445" s="291" t="str">
        <f>+IFERROR(VLOOKUP(K445,'THÀNH PHẨM'!$B:$F,4,0),"")</f>
        <v/>
      </c>
      <c r="N445" s="291" t="str">
        <f>+IFERROR(VLOOKUP(K445,'THÀNH PHẨM'!$B:$F,5,0),"")</f>
        <v/>
      </c>
      <c r="O445" s="289"/>
      <c r="P445" s="292">
        <f t="shared" si="2"/>
        <v>0</v>
      </c>
      <c r="Q445" s="289"/>
      <c r="R445" s="289"/>
      <c r="S445" s="293">
        <f t="shared" si="62"/>
        <v>0</v>
      </c>
      <c r="T445" s="294"/>
      <c r="U445" s="295">
        <f t="shared" si="68"/>
        <v>0</v>
      </c>
      <c r="V445" s="296"/>
      <c r="W445" s="297"/>
      <c r="X445" s="298"/>
      <c r="Y445" s="292" t="str">
        <f t="shared" si="69"/>
        <v/>
      </c>
      <c r="Z445" s="366">
        <f t="shared" si="70"/>
        <v>0</v>
      </c>
      <c r="AA445" s="299" t="str">
        <f t="shared" si="71"/>
        <v/>
      </c>
      <c r="AB445" s="300"/>
      <c r="AC445" s="301"/>
      <c r="AD445" s="302"/>
      <c r="AE445" s="303"/>
      <c r="AF445" s="304"/>
      <c r="AG445" s="304"/>
      <c r="AH445" s="304"/>
      <c r="AI445" s="304"/>
      <c r="AJ445" s="304"/>
      <c r="AK445" s="305"/>
      <c r="AL445" s="283"/>
      <c r="AM445" s="284"/>
    </row>
    <row r="446" ht="15.75" customHeight="1">
      <c r="A446" s="282">
        <f t="shared" si="1"/>
        <v>442</v>
      </c>
      <c r="B446" s="283"/>
      <c r="C446" s="284"/>
      <c r="D446" s="338"/>
      <c r="E446" s="286"/>
      <c r="F446" s="287"/>
      <c r="G446" s="288" t="str">
        <f>+IFERROR(VLOOKUP(F446,NVL!$B:$C,2,0),"")</f>
        <v/>
      </c>
      <c r="H446" s="288" t="str">
        <f>+IFERROR(VLOOKUP(F446,NVL!$B:$D,3,0),"")</f>
        <v/>
      </c>
      <c r="I446" s="288" t="str">
        <f>+IFERROR(VLOOKUP(F446,NVL!$B:$F,4,0),"")</f>
        <v/>
      </c>
      <c r="J446" s="289"/>
      <c r="K446" s="290"/>
      <c r="L446" s="291" t="str">
        <f>+IFERROR(VLOOKUP(K446,'THÀNH PHẨM'!$B:$F,3,0),"")</f>
        <v/>
      </c>
      <c r="M446" s="291" t="str">
        <f>+IFERROR(VLOOKUP(K446,'THÀNH PHẨM'!$B:$F,4,0),"")</f>
        <v/>
      </c>
      <c r="N446" s="291" t="str">
        <f>+IFERROR(VLOOKUP(K446,'THÀNH PHẨM'!$B:$F,5,0),"")</f>
        <v/>
      </c>
      <c r="O446" s="289"/>
      <c r="P446" s="292">
        <f t="shared" si="2"/>
        <v>0</v>
      </c>
      <c r="Q446" s="289"/>
      <c r="R446" s="289"/>
      <c r="S446" s="293">
        <f t="shared" si="62"/>
        <v>0</v>
      </c>
      <c r="T446" s="294"/>
      <c r="U446" s="295">
        <f t="shared" si="68"/>
        <v>0</v>
      </c>
      <c r="V446" s="296"/>
      <c r="W446" s="297"/>
      <c r="X446" s="298"/>
      <c r="Y446" s="292" t="str">
        <f t="shared" si="69"/>
        <v/>
      </c>
      <c r="Z446" s="366">
        <f t="shared" si="70"/>
        <v>0</v>
      </c>
      <c r="AA446" s="299" t="str">
        <f t="shared" si="71"/>
        <v/>
      </c>
      <c r="AB446" s="300"/>
      <c r="AC446" s="301"/>
      <c r="AD446" s="302"/>
      <c r="AE446" s="303"/>
      <c r="AF446" s="304"/>
      <c r="AG446" s="304"/>
      <c r="AH446" s="304"/>
      <c r="AI446" s="304"/>
      <c r="AJ446" s="304"/>
      <c r="AK446" s="305"/>
      <c r="AL446" s="283"/>
      <c r="AM446" s="284"/>
    </row>
    <row r="447" ht="15.75" customHeight="1">
      <c r="A447" s="282">
        <f t="shared" si="1"/>
        <v>443</v>
      </c>
      <c r="B447" s="283"/>
      <c r="C447" s="284"/>
      <c r="D447" s="338"/>
      <c r="E447" s="286"/>
      <c r="F447" s="287"/>
      <c r="G447" s="288" t="str">
        <f>+IFERROR(VLOOKUP(F447,NVL!$B:$C,2,0),"")</f>
        <v/>
      </c>
      <c r="H447" s="288" t="str">
        <f>+IFERROR(VLOOKUP(F447,NVL!$B:$D,3,0),"")</f>
        <v/>
      </c>
      <c r="I447" s="288" t="str">
        <f>+IFERROR(VLOOKUP(F447,NVL!$B:$F,4,0),"")</f>
        <v/>
      </c>
      <c r="J447" s="289"/>
      <c r="K447" s="290"/>
      <c r="L447" s="291" t="str">
        <f>+IFERROR(VLOOKUP(K447,'THÀNH PHẨM'!$B:$F,3,0),"")</f>
        <v/>
      </c>
      <c r="M447" s="291" t="str">
        <f>+IFERROR(VLOOKUP(K447,'THÀNH PHẨM'!$B:$F,4,0),"")</f>
        <v/>
      </c>
      <c r="N447" s="291" t="str">
        <f>+IFERROR(VLOOKUP(K447,'THÀNH PHẨM'!$B:$F,5,0),"")</f>
        <v/>
      </c>
      <c r="O447" s="289"/>
      <c r="P447" s="292">
        <f t="shared" si="2"/>
        <v>0</v>
      </c>
      <c r="Q447" s="289"/>
      <c r="R447" s="289"/>
      <c r="S447" s="293">
        <f t="shared" si="62"/>
        <v>0</v>
      </c>
      <c r="T447" s="294"/>
      <c r="U447" s="295">
        <f t="shared" si="68"/>
        <v>0</v>
      </c>
      <c r="V447" s="296"/>
      <c r="W447" s="297"/>
      <c r="X447" s="298"/>
      <c r="Y447" s="292" t="str">
        <f t="shared" si="69"/>
        <v/>
      </c>
      <c r="Z447" s="366">
        <f t="shared" si="70"/>
        <v>0</v>
      </c>
      <c r="AA447" s="299" t="str">
        <f t="shared" si="71"/>
        <v/>
      </c>
      <c r="AB447" s="300"/>
      <c r="AC447" s="301"/>
      <c r="AD447" s="302"/>
      <c r="AE447" s="303"/>
      <c r="AF447" s="304"/>
      <c r="AG447" s="304"/>
      <c r="AH447" s="304"/>
      <c r="AI447" s="304"/>
      <c r="AJ447" s="304"/>
      <c r="AK447" s="305"/>
      <c r="AL447" s="283"/>
      <c r="AM447" s="284"/>
    </row>
    <row r="448" ht="15.75" customHeight="1">
      <c r="A448" s="282">
        <f t="shared" si="1"/>
        <v>444</v>
      </c>
      <c r="B448" s="283"/>
      <c r="C448" s="284"/>
      <c r="D448" s="338"/>
      <c r="E448" s="286"/>
      <c r="F448" s="287"/>
      <c r="G448" s="288" t="str">
        <f>+IFERROR(VLOOKUP(F448,NVL!$B:$C,2,0),"")</f>
        <v/>
      </c>
      <c r="H448" s="288" t="str">
        <f>+IFERROR(VLOOKUP(F448,NVL!$B:$D,3,0),"")</f>
        <v/>
      </c>
      <c r="I448" s="288" t="str">
        <f>+IFERROR(VLOOKUP(F448,NVL!$B:$F,4,0),"")</f>
        <v/>
      </c>
      <c r="J448" s="289"/>
      <c r="K448" s="290"/>
      <c r="L448" s="291" t="str">
        <f>+IFERROR(VLOOKUP(K448,'THÀNH PHẨM'!$B:$F,3,0),"")</f>
        <v/>
      </c>
      <c r="M448" s="291" t="str">
        <f>+IFERROR(VLOOKUP(K448,'THÀNH PHẨM'!$B:$F,4,0),"")</f>
        <v/>
      </c>
      <c r="N448" s="291" t="str">
        <f>+IFERROR(VLOOKUP(K448,'THÀNH PHẨM'!$B:$F,5,0),"")</f>
        <v/>
      </c>
      <c r="O448" s="289"/>
      <c r="P448" s="292">
        <f t="shared" si="2"/>
        <v>0</v>
      </c>
      <c r="Q448" s="289"/>
      <c r="R448" s="289"/>
      <c r="S448" s="293">
        <f t="shared" si="62"/>
        <v>0</v>
      </c>
      <c r="T448" s="294"/>
      <c r="U448" s="295">
        <f t="shared" si="68"/>
        <v>0</v>
      </c>
      <c r="V448" s="296"/>
      <c r="W448" s="297"/>
      <c r="X448" s="298"/>
      <c r="Y448" s="292" t="str">
        <f t="shared" si="69"/>
        <v/>
      </c>
      <c r="Z448" s="366">
        <f t="shared" si="70"/>
        <v>0</v>
      </c>
      <c r="AA448" s="299" t="str">
        <f t="shared" si="71"/>
        <v/>
      </c>
      <c r="AB448" s="300"/>
      <c r="AC448" s="301"/>
      <c r="AD448" s="302"/>
      <c r="AE448" s="303"/>
      <c r="AF448" s="304"/>
      <c r="AG448" s="304"/>
      <c r="AH448" s="304"/>
      <c r="AI448" s="304"/>
      <c r="AJ448" s="304"/>
      <c r="AK448" s="305"/>
      <c r="AL448" s="283"/>
      <c r="AM448" s="284"/>
    </row>
    <row r="449" ht="15.75" customHeight="1">
      <c r="A449" s="282">
        <f t="shared" si="1"/>
        <v>445</v>
      </c>
      <c r="B449" s="283"/>
      <c r="C449" s="284"/>
      <c r="D449" s="338"/>
      <c r="E449" s="286"/>
      <c r="F449" s="287"/>
      <c r="G449" s="288" t="str">
        <f>+IFERROR(VLOOKUP(F449,NVL!$B:$C,2,0),"")</f>
        <v/>
      </c>
      <c r="H449" s="288" t="str">
        <f>+IFERROR(VLOOKUP(F449,NVL!$B:$D,3,0),"")</f>
        <v/>
      </c>
      <c r="I449" s="288" t="str">
        <f>+IFERROR(VLOOKUP(F449,NVL!$B:$F,4,0),"")</f>
        <v/>
      </c>
      <c r="J449" s="289"/>
      <c r="K449" s="290"/>
      <c r="L449" s="291" t="str">
        <f>+IFERROR(VLOOKUP(K449,'THÀNH PHẨM'!$B:$F,3,0),"")</f>
        <v/>
      </c>
      <c r="M449" s="291" t="str">
        <f>+IFERROR(VLOOKUP(K449,'THÀNH PHẨM'!$B:$F,4,0),"")</f>
        <v/>
      </c>
      <c r="N449" s="291" t="str">
        <f>+IFERROR(VLOOKUP(K449,'THÀNH PHẨM'!$B:$F,5,0),"")</f>
        <v/>
      </c>
      <c r="O449" s="289"/>
      <c r="P449" s="292">
        <f t="shared" si="2"/>
        <v>0</v>
      </c>
      <c r="Q449" s="289"/>
      <c r="R449" s="289"/>
      <c r="S449" s="293">
        <f t="shared" si="62"/>
        <v>0</v>
      </c>
      <c r="T449" s="294"/>
      <c r="U449" s="295">
        <f t="shared" si="68"/>
        <v>0</v>
      </c>
      <c r="V449" s="296"/>
      <c r="W449" s="297"/>
      <c r="X449" s="298"/>
      <c r="Y449" s="292" t="str">
        <f t="shared" si="69"/>
        <v/>
      </c>
      <c r="Z449" s="366">
        <f t="shared" si="70"/>
        <v>0</v>
      </c>
      <c r="AA449" s="299" t="str">
        <f t="shared" si="71"/>
        <v/>
      </c>
      <c r="AB449" s="300"/>
      <c r="AC449" s="301"/>
      <c r="AD449" s="302"/>
      <c r="AE449" s="303"/>
      <c r="AF449" s="304"/>
      <c r="AG449" s="304"/>
      <c r="AH449" s="304"/>
      <c r="AI449" s="304"/>
      <c r="AJ449" s="304"/>
      <c r="AK449" s="305"/>
      <c r="AL449" s="283"/>
      <c r="AM449" s="284"/>
    </row>
    <row r="450" ht="15.75" customHeight="1">
      <c r="A450" s="282">
        <f t="shared" si="1"/>
        <v>446</v>
      </c>
      <c r="B450" s="283"/>
      <c r="C450" s="284"/>
      <c r="D450" s="338"/>
      <c r="E450" s="286"/>
      <c r="F450" s="287"/>
      <c r="G450" s="288" t="str">
        <f>+IFERROR(VLOOKUP(F450,NVL!$B:$C,2,0),"")</f>
        <v/>
      </c>
      <c r="H450" s="288" t="str">
        <f>+IFERROR(VLOOKUP(F450,NVL!$B:$D,3,0),"")</f>
        <v/>
      </c>
      <c r="I450" s="288" t="str">
        <f>+IFERROR(VLOOKUP(F450,NVL!$B:$F,4,0),"")</f>
        <v/>
      </c>
      <c r="J450" s="289"/>
      <c r="K450" s="290"/>
      <c r="L450" s="291" t="str">
        <f>+IFERROR(VLOOKUP(K450,'THÀNH PHẨM'!$B:$F,3,0),"")</f>
        <v/>
      </c>
      <c r="M450" s="291" t="str">
        <f>+IFERROR(VLOOKUP(K450,'THÀNH PHẨM'!$B:$F,4,0),"")</f>
        <v/>
      </c>
      <c r="N450" s="291" t="str">
        <f>+IFERROR(VLOOKUP(K450,'THÀNH PHẨM'!$B:$F,5,0),"")</f>
        <v/>
      </c>
      <c r="O450" s="289"/>
      <c r="P450" s="292">
        <f t="shared" si="2"/>
        <v>0</v>
      </c>
      <c r="Q450" s="289"/>
      <c r="R450" s="289"/>
      <c r="S450" s="293">
        <f t="shared" si="62"/>
        <v>0</v>
      </c>
      <c r="T450" s="294"/>
      <c r="U450" s="295">
        <f t="shared" si="68"/>
        <v>0</v>
      </c>
      <c r="V450" s="296"/>
      <c r="W450" s="297"/>
      <c r="X450" s="298"/>
      <c r="Y450" s="292" t="str">
        <f t="shared" si="69"/>
        <v/>
      </c>
      <c r="Z450" s="366">
        <f t="shared" si="70"/>
        <v>0</v>
      </c>
      <c r="AA450" s="299" t="str">
        <f t="shared" si="71"/>
        <v/>
      </c>
      <c r="AB450" s="300"/>
      <c r="AC450" s="301"/>
      <c r="AD450" s="302"/>
      <c r="AE450" s="303"/>
      <c r="AF450" s="304"/>
      <c r="AG450" s="304"/>
      <c r="AH450" s="304"/>
      <c r="AI450" s="304"/>
      <c r="AJ450" s="304"/>
      <c r="AK450" s="305"/>
      <c r="AL450" s="283"/>
      <c r="AM450" s="284"/>
    </row>
    <row r="451" ht="15.75" customHeight="1">
      <c r="A451" s="282">
        <f t="shared" si="1"/>
        <v>447</v>
      </c>
      <c r="B451" s="283"/>
      <c r="C451" s="284"/>
      <c r="D451" s="338"/>
      <c r="E451" s="286"/>
      <c r="F451" s="287"/>
      <c r="G451" s="288" t="str">
        <f>+IFERROR(VLOOKUP(F451,NVL!$B:$C,2,0),"")</f>
        <v/>
      </c>
      <c r="H451" s="288" t="str">
        <f>+IFERROR(VLOOKUP(F451,NVL!$B:$D,3,0),"")</f>
        <v/>
      </c>
      <c r="I451" s="288" t="str">
        <f>+IFERROR(VLOOKUP(F451,NVL!$B:$F,4,0),"")</f>
        <v/>
      </c>
      <c r="J451" s="289"/>
      <c r="K451" s="290"/>
      <c r="L451" s="291" t="str">
        <f>+IFERROR(VLOOKUP(K451,'THÀNH PHẨM'!$B:$F,3,0),"")</f>
        <v/>
      </c>
      <c r="M451" s="291" t="str">
        <f>+IFERROR(VLOOKUP(K451,'THÀNH PHẨM'!$B:$F,4,0),"")</f>
        <v/>
      </c>
      <c r="N451" s="291" t="str">
        <f>+IFERROR(VLOOKUP(K451,'THÀNH PHẨM'!$B:$F,5,0),"")</f>
        <v/>
      </c>
      <c r="O451" s="289"/>
      <c r="P451" s="292">
        <f t="shared" si="2"/>
        <v>0</v>
      </c>
      <c r="Q451" s="289"/>
      <c r="R451" s="289"/>
      <c r="S451" s="293">
        <f t="shared" si="62"/>
        <v>0</v>
      </c>
      <c r="T451" s="294"/>
      <c r="U451" s="295">
        <f t="shared" si="68"/>
        <v>0</v>
      </c>
      <c r="V451" s="296"/>
      <c r="W451" s="297"/>
      <c r="X451" s="298"/>
      <c r="Y451" s="292" t="str">
        <f t="shared" si="69"/>
        <v/>
      </c>
      <c r="Z451" s="366">
        <f t="shared" si="70"/>
        <v>0</v>
      </c>
      <c r="AA451" s="299" t="str">
        <f t="shared" si="71"/>
        <v/>
      </c>
      <c r="AB451" s="300"/>
      <c r="AC451" s="301"/>
      <c r="AD451" s="302"/>
      <c r="AE451" s="303"/>
      <c r="AF451" s="304"/>
      <c r="AG451" s="304"/>
      <c r="AH451" s="304"/>
      <c r="AI451" s="304"/>
      <c r="AJ451" s="304"/>
      <c r="AK451" s="305"/>
      <c r="AL451" s="283"/>
      <c r="AM451" s="284"/>
    </row>
    <row r="452" ht="15.75" customHeight="1">
      <c r="A452" s="282">
        <f t="shared" si="1"/>
        <v>448</v>
      </c>
      <c r="B452" s="283"/>
      <c r="C452" s="284"/>
      <c r="D452" s="338"/>
      <c r="E452" s="286"/>
      <c r="F452" s="287"/>
      <c r="G452" s="288" t="str">
        <f>+IFERROR(VLOOKUP(F452,NVL!$B:$C,2,0),"")</f>
        <v/>
      </c>
      <c r="H452" s="288" t="str">
        <f>+IFERROR(VLOOKUP(F452,NVL!$B:$D,3,0),"")</f>
        <v/>
      </c>
      <c r="I452" s="288" t="str">
        <f>+IFERROR(VLOOKUP(F452,NVL!$B:$F,4,0),"")</f>
        <v/>
      </c>
      <c r="J452" s="289"/>
      <c r="K452" s="290"/>
      <c r="L452" s="291" t="str">
        <f>+IFERROR(VLOOKUP(K452,'THÀNH PHẨM'!$B:$F,3,0),"")</f>
        <v/>
      </c>
      <c r="M452" s="291" t="str">
        <f>+IFERROR(VLOOKUP(K452,'THÀNH PHẨM'!$B:$F,4,0),"")</f>
        <v/>
      </c>
      <c r="N452" s="291" t="str">
        <f>+IFERROR(VLOOKUP(K452,'THÀNH PHẨM'!$B:$F,5,0),"")</f>
        <v/>
      </c>
      <c r="O452" s="289"/>
      <c r="P452" s="292">
        <f t="shared" si="2"/>
        <v>0</v>
      </c>
      <c r="Q452" s="289"/>
      <c r="R452" s="289"/>
      <c r="S452" s="293">
        <f t="shared" si="62"/>
        <v>0</v>
      </c>
      <c r="T452" s="294"/>
      <c r="U452" s="295">
        <f t="shared" si="68"/>
        <v>0</v>
      </c>
      <c r="V452" s="296"/>
      <c r="W452" s="297"/>
      <c r="X452" s="298"/>
      <c r="Y452" s="292" t="str">
        <f t="shared" si="69"/>
        <v/>
      </c>
      <c r="Z452" s="366">
        <f t="shared" si="70"/>
        <v>0</v>
      </c>
      <c r="AA452" s="299" t="str">
        <f t="shared" si="71"/>
        <v/>
      </c>
      <c r="AB452" s="300"/>
      <c r="AC452" s="301"/>
      <c r="AD452" s="302"/>
      <c r="AE452" s="303"/>
      <c r="AF452" s="304"/>
      <c r="AG452" s="304"/>
      <c r="AH452" s="304"/>
      <c r="AI452" s="304"/>
      <c r="AJ452" s="304"/>
      <c r="AK452" s="305"/>
      <c r="AL452" s="283"/>
      <c r="AM452" s="284"/>
    </row>
    <row r="453" ht="15.75" customHeight="1">
      <c r="A453" s="282">
        <f t="shared" si="1"/>
        <v>449</v>
      </c>
      <c r="B453" s="283"/>
      <c r="C453" s="284"/>
      <c r="D453" s="338"/>
      <c r="E453" s="286"/>
      <c r="F453" s="287"/>
      <c r="G453" s="288" t="str">
        <f>+IFERROR(VLOOKUP(F453,NVL!$B:$C,2,0),"")</f>
        <v/>
      </c>
      <c r="H453" s="288" t="str">
        <f>+IFERROR(VLOOKUP(F453,NVL!$B:$D,3,0),"")</f>
        <v/>
      </c>
      <c r="I453" s="288" t="str">
        <f>+IFERROR(VLOOKUP(F453,NVL!$B:$F,4,0),"")</f>
        <v/>
      </c>
      <c r="J453" s="289"/>
      <c r="K453" s="290"/>
      <c r="L453" s="291" t="str">
        <f>+IFERROR(VLOOKUP(K453,'THÀNH PHẨM'!$B:$F,3,0),"")</f>
        <v/>
      </c>
      <c r="M453" s="291" t="str">
        <f>+IFERROR(VLOOKUP(K453,'THÀNH PHẨM'!$B:$F,4,0),"")</f>
        <v/>
      </c>
      <c r="N453" s="291" t="str">
        <f>+IFERROR(VLOOKUP(K453,'THÀNH PHẨM'!$B:$F,5,0),"")</f>
        <v/>
      </c>
      <c r="O453" s="289"/>
      <c r="P453" s="292">
        <f t="shared" si="2"/>
        <v>0</v>
      </c>
      <c r="Q453" s="289"/>
      <c r="R453" s="289"/>
      <c r="S453" s="293">
        <f t="shared" si="62"/>
        <v>0</v>
      </c>
      <c r="T453" s="294"/>
      <c r="U453" s="295">
        <f t="shared" si="68"/>
        <v>0</v>
      </c>
      <c r="V453" s="296"/>
      <c r="W453" s="297"/>
      <c r="X453" s="298"/>
      <c r="Y453" s="292" t="str">
        <f t="shared" si="69"/>
        <v/>
      </c>
      <c r="Z453" s="366">
        <f t="shared" si="70"/>
        <v>0</v>
      </c>
      <c r="AA453" s="299" t="str">
        <f t="shared" si="71"/>
        <v/>
      </c>
      <c r="AB453" s="300"/>
      <c r="AC453" s="301"/>
      <c r="AD453" s="302"/>
      <c r="AE453" s="303"/>
      <c r="AF453" s="304"/>
      <c r="AG453" s="304"/>
      <c r="AH453" s="304"/>
      <c r="AI453" s="304"/>
      <c r="AJ453" s="304"/>
      <c r="AK453" s="305"/>
      <c r="AL453" s="283"/>
      <c r="AM453" s="284"/>
    </row>
    <row r="454" ht="15.75" customHeight="1">
      <c r="A454" s="282">
        <f t="shared" si="1"/>
        <v>450</v>
      </c>
      <c r="B454" s="283"/>
      <c r="C454" s="284"/>
      <c r="D454" s="338"/>
      <c r="E454" s="286"/>
      <c r="F454" s="287"/>
      <c r="G454" s="288" t="str">
        <f>+IFERROR(VLOOKUP(F454,NVL!$B:$C,2,0),"")</f>
        <v/>
      </c>
      <c r="H454" s="288" t="str">
        <f>+IFERROR(VLOOKUP(F454,NVL!$B:$D,3,0),"")</f>
        <v/>
      </c>
      <c r="I454" s="288" t="str">
        <f>+IFERROR(VLOOKUP(F454,NVL!$B:$F,4,0),"")</f>
        <v/>
      </c>
      <c r="J454" s="289"/>
      <c r="K454" s="290"/>
      <c r="L454" s="291" t="str">
        <f>+IFERROR(VLOOKUP(K454,'THÀNH PHẨM'!$B:$F,3,0),"")</f>
        <v/>
      </c>
      <c r="M454" s="291" t="str">
        <f>+IFERROR(VLOOKUP(K454,'THÀNH PHẨM'!$B:$F,4,0),"")</f>
        <v/>
      </c>
      <c r="N454" s="291" t="str">
        <f>+IFERROR(VLOOKUP(K454,'THÀNH PHẨM'!$B:$F,5,0),"")</f>
        <v/>
      </c>
      <c r="O454" s="289"/>
      <c r="P454" s="292">
        <f t="shared" si="2"/>
        <v>0</v>
      </c>
      <c r="Q454" s="289"/>
      <c r="R454" s="289"/>
      <c r="S454" s="293">
        <f t="shared" si="62"/>
        <v>0</v>
      </c>
      <c r="T454" s="294"/>
      <c r="U454" s="295">
        <f t="shared" si="68"/>
        <v>0</v>
      </c>
      <c r="V454" s="296"/>
      <c r="W454" s="297"/>
      <c r="X454" s="298"/>
      <c r="Y454" s="292" t="str">
        <f t="shared" si="69"/>
        <v/>
      </c>
      <c r="Z454" s="366">
        <f t="shared" si="70"/>
        <v>0</v>
      </c>
      <c r="AA454" s="299" t="str">
        <f t="shared" si="71"/>
        <v/>
      </c>
      <c r="AB454" s="300"/>
      <c r="AC454" s="301"/>
      <c r="AD454" s="302"/>
      <c r="AE454" s="303"/>
      <c r="AF454" s="304"/>
      <c r="AG454" s="304"/>
      <c r="AH454" s="304"/>
      <c r="AI454" s="304"/>
      <c r="AJ454" s="304"/>
      <c r="AK454" s="305"/>
      <c r="AL454" s="283"/>
      <c r="AM454" s="284"/>
    </row>
    <row r="455" ht="15.75" customHeight="1">
      <c r="A455" s="282">
        <f t="shared" si="1"/>
        <v>451</v>
      </c>
      <c r="B455" s="283"/>
      <c r="C455" s="284"/>
      <c r="D455" s="338"/>
      <c r="E455" s="286"/>
      <c r="F455" s="287"/>
      <c r="G455" s="288" t="str">
        <f>+IFERROR(VLOOKUP(F455,NVL!$B:$C,2,0),"")</f>
        <v/>
      </c>
      <c r="H455" s="288" t="str">
        <f>+IFERROR(VLOOKUP(F455,NVL!$B:$D,3,0),"")</f>
        <v/>
      </c>
      <c r="I455" s="288" t="str">
        <f>+IFERROR(VLOOKUP(F455,NVL!$B:$F,4,0),"")</f>
        <v/>
      </c>
      <c r="J455" s="289"/>
      <c r="K455" s="290"/>
      <c r="L455" s="291" t="str">
        <f>+IFERROR(VLOOKUP(K455,'THÀNH PHẨM'!$B:$F,3,0),"")</f>
        <v/>
      </c>
      <c r="M455" s="291" t="str">
        <f>+IFERROR(VLOOKUP(K455,'THÀNH PHẨM'!$B:$F,4,0),"")</f>
        <v/>
      </c>
      <c r="N455" s="291" t="str">
        <f>+IFERROR(VLOOKUP(K455,'THÀNH PHẨM'!$B:$F,5,0),"")</f>
        <v/>
      </c>
      <c r="O455" s="289"/>
      <c r="P455" s="292">
        <f t="shared" si="2"/>
        <v>0</v>
      </c>
      <c r="Q455" s="289"/>
      <c r="R455" s="289"/>
      <c r="S455" s="293">
        <f t="shared" si="62"/>
        <v>0</v>
      </c>
      <c r="T455" s="294"/>
      <c r="U455" s="295">
        <f t="shared" si="68"/>
        <v>0</v>
      </c>
      <c r="V455" s="296"/>
      <c r="W455" s="297"/>
      <c r="X455" s="298"/>
      <c r="Y455" s="292" t="str">
        <f t="shared" si="69"/>
        <v/>
      </c>
      <c r="Z455" s="366">
        <f t="shared" si="70"/>
        <v>0</v>
      </c>
      <c r="AA455" s="299" t="str">
        <f t="shared" si="71"/>
        <v/>
      </c>
      <c r="AB455" s="300"/>
      <c r="AC455" s="301"/>
      <c r="AD455" s="302"/>
      <c r="AE455" s="303"/>
      <c r="AF455" s="304"/>
      <c r="AG455" s="304"/>
      <c r="AH455" s="304"/>
      <c r="AI455" s="304"/>
      <c r="AJ455" s="304"/>
      <c r="AK455" s="305"/>
      <c r="AL455" s="283"/>
      <c r="AM455" s="284"/>
    </row>
    <row r="456" ht="15.75" customHeight="1">
      <c r="A456" s="282">
        <f t="shared" si="1"/>
        <v>452</v>
      </c>
      <c r="B456" s="283"/>
      <c r="C456" s="284"/>
      <c r="D456" s="338"/>
      <c r="E456" s="286"/>
      <c r="F456" s="287"/>
      <c r="G456" s="288" t="str">
        <f>+IFERROR(VLOOKUP(F456,NVL!$B:$C,2,0),"")</f>
        <v/>
      </c>
      <c r="H456" s="288" t="str">
        <f>+IFERROR(VLOOKUP(F456,NVL!$B:$D,3,0),"")</f>
        <v/>
      </c>
      <c r="I456" s="288" t="str">
        <f>+IFERROR(VLOOKUP(F456,NVL!$B:$F,4,0),"")</f>
        <v/>
      </c>
      <c r="J456" s="289"/>
      <c r="K456" s="290"/>
      <c r="L456" s="291" t="str">
        <f>+IFERROR(VLOOKUP(K456,'THÀNH PHẨM'!$B:$F,3,0),"")</f>
        <v/>
      </c>
      <c r="M456" s="291" t="str">
        <f>+IFERROR(VLOOKUP(K456,'THÀNH PHẨM'!$B:$F,4,0),"")</f>
        <v/>
      </c>
      <c r="N456" s="291" t="str">
        <f>+IFERROR(VLOOKUP(K456,'THÀNH PHẨM'!$B:$F,5,0),"")</f>
        <v/>
      </c>
      <c r="O456" s="289"/>
      <c r="P456" s="292">
        <f t="shared" si="2"/>
        <v>0</v>
      </c>
      <c r="Q456" s="289"/>
      <c r="R456" s="289"/>
      <c r="S456" s="293">
        <f t="shared" si="62"/>
        <v>0</v>
      </c>
      <c r="T456" s="294"/>
      <c r="U456" s="295">
        <f t="shared" si="68"/>
        <v>0</v>
      </c>
      <c r="V456" s="296"/>
      <c r="W456" s="297"/>
      <c r="X456" s="298"/>
      <c r="Y456" s="292" t="str">
        <f t="shared" si="69"/>
        <v/>
      </c>
      <c r="Z456" s="366">
        <f t="shared" si="70"/>
        <v>0</v>
      </c>
      <c r="AA456" s="299" t="str">
        <f t="shared" si="71"/>
        <v/>
      </c>
      <c r="AB456" s="300"/>
      <c r="AC456" s="301"/>
      <c r="AD456" s="302"/>
      <c r="AE456" s="303"/>
      <c r="AF456" s="304"/>
      <c r="AG456" s="304"/>
      <c r="AH456" s="304"/>
      <c r="AI456" s="304"/>
      <c r="AJ456" s="304"/>
      <c r="AK456" s="305"/>
      <c r="AL456" s="283"/>
      <c r="AM456" s="284"/>
    </row>
    <row r="457" ht="15.75" customHeight="1">
      <c r="A457" s="282">
        <f t="shared" si="1"/>
        <v>453</v>
      </c>
      <c r="B457" s="283"/>
      <c r="C457" s="284"/>
      <c r="D457" s="338"/>
      <c r="E457" s="286"/>
      <c r="F457" s="287"/>
      <c r="G457" s="288" t="str">
        <f>+IFERROR(VLOOKUP(F457,NVL!$B:$C,2,0),"")</f>
        <v/>
      </c>
      <c r="H457" s="288" t="str">
        <f>+IFERROR(VLOOKUP(F457,NVL!$B:$D,3,0),"")</f>
        <v/>
      </c>
      <c r="I457" s="288" t="str">
        <f>+IFERROR(VLOOKUP(F457,NVL!$B:$F,4,0),"")</f>
        <v/>
      </c>
      <c r="J457" s="289"/>
      <c r="K457" s="290"/>
      <c r="L457" s="291" t="str">
        <f>+IFERROR(VLOOKUP(K457,'THÀNH PHẨM'!$B:$F,3,0),"")</f>
        <v/>
      </c>
      <c r="M457" s="291" t="str">
        <f>+IFERROR(VLOOKUP(K457,'THÀNH PHẨM'!$B:$F,4,0),"")</f>
        <v/>
      </c>
      <c r="N457" s="291" t="str">
        <f>+IFERROR(VLOOKUP(K457,'THÀNH PHẨM'!$B:$F,5,0),"")</f>
        <v/>
      </c>
      <c r="O457" s="289"/>
      <c r="P457" s="292">
        <f t="shared" si="2"/>
        <v>0</v>
      </c>
      <c r="Q457" s="289"/>
      <c r="R457" s="289"/>
      <c r="S457" s="293">
        <f t="shared" si="62"/>
        <v>0</v>
      </c>
      <c r="T457" s="294"/>
      <c r="U457" s="295">
        <f t="shared" si="68"/>
        <v>0</v>
      </c>
      <c r="V457" s="296"/>
      <c r="W457" s="297"/>
      <c r="X457" s="298"/>
      <c r="Y457" s="292" t="str">
        <f t="shared" si="69"/>
        <v/>
      </c>
      <c r="Z457" s="366">
        <f t="shared" si="70"/>
        <v>0</v>
      </c>
      <c r="AA457" s="299" t="str">
        <f t="shared" si="71"/>
        <v/>
      </c>
      <c r="AB457" s="300"/>
      <c r="AC457" s="301"/>
      <c r="AD457" s="302"/>
      <c r="AE457" s="303"/>
      <c r="AF457" s="304"/>
      <c r="AG457" s="304"/>
      <c r="AH457" s="304"/>
      <c r="AI457" s="304"/>
      <c r="AJ457" s="304"/>
      <c r="AK457" s="305"/>
      <c r="AL457" s="283"/>
      <c r="AM457" s="284"/>
    </row>
    <row r="458" ht="15.75" customHeight="1">
      <c r="A458" s="282">
        <f t="shared" si="1"/>
        <v>454</v>
      </c>
      <c r="B458" s="283"/>
      <c r="C458" s="284"/>
      <c r="D458" s="338"/>
      <c r="E458" s="286"/>
      <c r="F458" s="287"/>
      <c r="G458" s="288" t="str">
        <f>+IFERROR(VLOOKUP(F458,NVL!$B:$C,2,0),"")</f>
        <v/>
      </c>
      <c r="H458" s="288" t="str">
        <f>+IFERROR(VLOOKUP(F458,NVL!$B:$D,3,0),"")</f>
        <v/>
      </c>
      <c r="I458" s="288" t="str">
        <f>+IFERROR(VLOOKUP(F458,NVL!$B:$F,4,0),"")</f>
        <v/>
      </c>
      <c r="J458" s="289"/>
      <c r="K458" s="290"/>
      <c r="L458" s="291" t="str">
        <f>+IFERROR(VLOOKUP(K458,'THÀNH PHẨM'!$B:$F,3,0),"")</f>
        <v/>
      </c>
      <c r="M458" s="291" t="str">
        <f>+IFERROR(VLOOKUP(K458,'THÀNH PHẨM'!$B:$F,4,0),"")</f>
        <v/>
      </c>
      <c r="N458" s="291" t="str">
        <f>+IFERROR(VLOOKUP(K458,'THÀNH PHẨM'!$B:$F,5,0),"")</f>
        <v/>
      </c>
      <c r="O458" s="289"/>
      <c r="P458" s="292">
        <f t="shared" si="2"/>
        <v>0</v>
      </c>
      <c r="Q458" s="289"/>
      <c r="R458" s="289"/>
      <c r="S458" s="293">
        <f t="shared" si="62"/>
        <v>0</v>
      </c>
      <c r="T458" s="294"/>
      <c r="U458" s="295">
        <f t="shared" si="68"/>
        <v>0</v>
      </c>
      <c r="V458" s="296"/>
      <c r="W458" s="297"/>
      <c r="X458" s="298"/>
      <c r="Y458" s="292" t="str">
        <f t="shared" si="69"/>
        <v/>
      </c>
      <c r="Z458" s="366">
        <f t="shared" si="70"/>
        <v>0</v>
      </c>
      <c r="AA458" s="299" t="str">
        <f t="shared" si="71"/>
        <v/>
      </c>
      <c r="AB458" s="300"/>
      <c r="AC458" s="301"/>
      <c r="AD458" s="302"/>
      <c r="AE458" s="303"/>
      <c r="AF458" s="304"/>
      <c r="AG458" s="304"/>
      <c r="AH458" s="304"/>
      <c r="AI458" s="304"/>
      <c r="AJ458" s="304"/>
      <c r="AK458" s="305"/>
      <c r="AL458" s="283"/>
      <c r="AM458" s="284"/>
    </row>
    <row r="459" ht="15.75" customHeight="1">
      <c r="A459" s="282">
        <f t="shared" si="1"/>
        <v>455</v>
      </c>
      <c r="B459" s="283"/>
      <c r="C459" s="284"/>
      <c r="D459" s="338"/>
      <c r="E459" s="286"/>
      <c r="F459" s="287"/>
      <c r="G459" s="288" t="str">
        <f>+IFERROR(VLOOKUP(F459,NVL!$B:$C,2,0),"")</f>
        <v/>
      </c>
      <c r="H459" s="288" t="str">
        <f>+IFERROR(VLOOKUP(F459,NVL!$B:$D,3,0),"")</f>
        <v/>
      </c>
      <c r="I459" s="288" t="str">
        <f>+IFERROR(VLOOKUP(F459,NVL!$B:$F,4,0),"")</f>
        <v/>
      </c>
      <c r="J459" s="289"/>
      <c r="K459" s="290"/>
      <c r="L459" s="291" t="str">
        <f>+IFERROR(VLOOKUP(K459,'THÀNH PHẨM'!$B:$F,3,0),"")</f>
        <v/>
      </c>
      <c r="M459" s="291" t="str">
        <f>+IFERROR(VLOOKUP(K459,'THÀNH PHẨM'!$B:$F,4,0),"")</f>
        <v/>
      </c>
      <c r="N459" s="291" t="str">
        <f>+IFERROR(VLOOKUP(K459,'THÀNH PHẨM'!$B:$F,5,0),"")</f>
        <v/>
      </c>
      <c r="O459" s="289"/>
      <c r="P459" s="292">
        <f t="shared" si="2"/>
        <v>0</v>
      </c>
      <c r="Q459" s="289"/>
      <c r="R459" s="289"/>
      <c r="S459" s="293">
        <f t="shared" si="62"/>
        <v>0</v>
      </c>
      <c r="T459" s="294"/>
      <c r="U459" s="295">
        <f t="shared" si="68"/>
        <v>0</v>
      </c>
      <c r="V459" s="296"/>
      <c r="W459" s="297"/>
      <c r="X459" s="298"/>
      <c r="Y459" s="292" t="str">
        <f t="shared" si="69"/>
        <v/>
      </c>
      <c r="Z459" s="366">
        <f t="shared" si="70"/>
        <v>0</v>
      </c>
      <c r="AA459" s="299" t="str">
        <f t="shared" si="71"/>
        <v/>
      </c>
      <c r="AB459" s="300"/>
      <c r="AC459" s="301"/>
      <c r="AD459" s="302"/>
      <c r="AE459" s="303"/>
      <c r="AF459" s="304"/>
      <c r="AG459" s="304"/>
      <c r="AH459" s="304"/>
      <c r="AI459" s="304"/>
      <c r="AJ459" s="304"/>
      <c r="AK459" s="305"/>
      <c r="AL459" s="283"/>
      <c r="AM459" s="284"/>
    </row>
    <row r="460" ht="15.75" customHeight="1">
      <c r="A460" s="282">
        <f t="shared" si="1"/>
        <v>456</v>
      </c>
      <c r="B460" s="283"/>
      <c r="C460" s="284"/>
      <c r="D460" s="338"/>
      <c r="E460" s="286"/>
      <c r="F460" s="287"/>
      <c r="G460" s="288" t="str">
        <f>+IFERROR(VLOOKUP(F460,NVL!$B:$C,2,0),"")</f>
        <v/>
      </c>
      <c r="H460" s="288" t="str">
        <f>+IFERROR(VLOOKUP(F460,NVL!$B:$D,3,0),"")</f>
        <v/>
      </c>
      <c r="I460" s="288" t="str">
        <f>+IFERROR(VLOOKUP(F460,NVL!$B:$F,4,0),"")</f>
        <v/>
      </c>
      <c r="J460" s="289"/>
      <c r="K460" s="290"/>
      <c r="L460" s="291" t="str">
        <f>+IFERROR(VLOOKUP(K460,'THÀNH PHẨM'!$B:$F,3,0),"")</f>
        <v/>
      </c>
      <c r="M460" s="291" t="str">
        <f>+IFERROR(VLOOKUP(K460,'THÀNH PHẨM'!$B:$F,4,0),"")</f>
        <v/>
      </c>
      <c r="N460" s="291" t="str">
        <f>+IFERROR(VLOOKUP(K460,'THÀNH PHẨM'!$B:$F,5,0),"")</f>
        <v/>
      </c>
      <c r="O460" s="289"/>
      <c r="P460" s="292">
        <f t="shared" si="2"/>
        <v>0</v>
      </c>
      <c r="Q460" s="289"/>
      <c r="R460" s="289"/>
      <c r="S460" s="293">
        <f t="shared" si="62"/>
        <v>0</v>
      </c>
      <c r="T460" s="294"/>
      <c r="U460" s="295">
        <f t="shared" si="68"/>
        <v>0</v>
      </c>
      <c r="V460" s="296"/>
      <c r="W460" s="297"/>
      <c r="X460" s="298"/>
      <c r="Y460" s="292" t="str">
        <f t="shared" si="69"/>
        <v/>
      </c>
      <c r="Z460" s="366">
        <f t="shared" si="70"/>
        <v>0</v>
      </c>
      <c r="AA460" s="299" t="str">
        <f t="shared" si="71"/>
        <v/>
      </c>
      <c r="AB460" s="300"/>
      <c r="AC460" s="301"/>
      <c r="AD460" s="302"/>
      <c r="AE460" s="303"/>
      <c r="AF460" s="304"/>
      <c r="AG460" s="304"/>
      <c r="AH460" s="304"/>
      <c r="AI460" s="304"/>
      <c r="AJ460" s="304"/>
      <c r="AK460" s="305"/>
      <c r="AL460" s="283"/>
      <c r="AM460" s="284"/>
    </row>
    <row r="461" ht="15.75" customHeight="1">
      <c r="A461" s="282">
        <f t="shared" si="1"/>
        <v>457</v>
      </c>
      <c r="B461" s="283"/>
      <c r="C461" s="284"/>
      <c r="D461" s="338"/>
      <c r="E461" s="286"/>
      <c r="F461" s="287"/>
      <c r="G461" s="288" t="str">
        <f>+IFERROR(VLOOKUP(F461,NVL!$B:$C,2,0),"")</f>
        <v/>
      </c>
      <c r="H461" s="288" t="str">
        <f>+IFERROR(VLOOKUP(F461,NVL!$B:$D,3,0),"")</f>
        <v/>
      </c>
      <c r="I461" s="288" t="str">
        <f>+IFERROR(VLOOKUP(F461,NVL!$B:$F,4,0),"")</f>
        <v/>
      </c>
      <c r="J461" s="289"/>
      <c r="K461" s="290"/>
      <c r="L461" s="291" t="str">
        <f>+IFERROR(VLOOKUP(K461,'THÀNH PHẨM'!$B:$F,3,0),"")</f>
        <v/>
      </c>
      <c r="M461" s="291" t="str">
        <f>+IFERROR(VLOOKUP(K461,'THÀNH PHẨM'!$B:$F,4,0),"")</f>
        <v/>
      </c>
      <c r="N461" s="291" t="str">
        <f>+IFERROR(VLOOKUP(K461,'THÀNH PHẨM'!$B:$F,5,0),"")</f>
        <v/>
      </c>
      <c r="O461" s="289"/>
      <c r="P461" s="292">
        <f t="shared" si="2"/>
        <v>0</v>
      </c>
      <c r="Q461" s="289"/>
      <c r="R461" s="289"/>
      <c r="S461" s="293">
        <f t="shared" si="62"/>
        <v>0</v>
      </c>
      <c r="T461" s="294"/>
      <c r="U461" s="295">
        <f t="shared" si="68"/>
        <v>0</v>
      </c>
      <c r="V461" s="296"/>
      <c r="W461" s="297"/>
      <c r="X461" s="298"/>
      <c r="Y461" s="292" t="str">
        <f t="shared" si="69"/>
        <v/>
      </c>
      <c r="Z461" s="366">
        <f t="shared" si="70"/>
        <v>0</v>
      </c>
      <c r="AA461" s="299" t="str">
        <f t="shared" si="71"/>
        <v/>
      </c>
      <c r="AB461" s="300"/>
      <c r="AC461" s="301"/>
      <c r="AD461" s="302"/>
      <c r="AE461" s="303"/>
      <c r="AF461" s="304"/>
      <c r="AG461" s="304"/>
      <c r="AH461" s="304"/>
      <c r="AI461" s="304"/>
      <c r="AJ461" s="304"/>
      <c r="AK461" s="305"/>
      <c r="AL461" s="283"/>
      <c r="AM461" s="284"/>
    </row>
    <row r="462" ht="15.75" customHeight="1">
      <c r="A462" s="282">
        <f t="shared" si="1"/>
        <v>458</v>
      </c>
      <c r="B462" s="283"/>
      <c r="C462" s="284"/>
      <c r="D462" s="338"/>
      <c r="E462" s="286"/>
      <c r="F462" s="287"/>
      <c r="G462" s="288" t="str">
        <f>+IFERROR(VLOOKUP(F462,NVL!$B:$C,2,0),"")</f>
        <v/>
      </c>
      <c r="H462" s="288" t="str">
        <f>+IFERROR(VLOOKUP(F462,NVL!$B:$D,3,0),"")</f>
        <v/>
      </c>
      <c r="I462" s="288" t="str">
        <f>+IFERROR(VLOOKUP(F462,NVL!$B:$F,4,0),"")</f>
        <v/>
      </c>
      <c r="J462" s="289"/>
      <c r="K462" s="290"/>
      <c r="L462" s="291" t="str">
        <f>+IFERROR(VLOOKUP(K462,'THÀNH PHẨM'!$B:$F,3,0),"")</f>
        <v/>
      </c>
      <c r="M462" s="291" t="str">
        <f>+IFERROR(VLOOKUP(K462,'THÀNH PHẨM'!$B:$F,4,0),"")</f>
        <v/>
      </c>
      <c r="N462" s="291" t="str">
        <f>+IFERROR(VLOOKUP(K462,'THÀNH PHẨM'!$B:$F,5,0),"")</f>
        <v/>
      </c>
      <c r="O462" s="289"/>
      <c r="P462" s="292">
        <f t="shared" si="2"/>
        <v>0</v>
      </c>
      <c r="Q462" s="289"/>
      <c r="R462" s="289"/>
      <c r="S462" s="293">
        <f t="shared" si="62"/>
        <v>0</v>
      </c>
      <c r="T462" s="294"/>
      <c r="U462" s="295">
        <f t="shared" si="68"/>
        <v>0</v>
      </c>
      <c r="V462" s="296"/>
      <c r="W462" s="297"/>
      <c r="X462" s="298"/>
      <c r="Y462" s="292" t="str">
        <f t="shared" si="69"/>
        <v/>
      </c>
      <c r="Z462" s="366">
        <f t="shared" si="70"/>
        <v>0</v>
      </c>
      <c r="AA462" s="299" t="str">
        <f t="shared" si="71"/>
        <v/>
      </c>
      <c r="AB462" s="300"/>
      <c r="AC462" s="301"/>
      <c r="AD462" s="302"/>
      <c r="AE462" s="303"/>
      <c r="AF462" s="304"/>
      <c r="AG462" s="304"/>
      <c r="AH462" s="304"/>
      <c r="AI462" s="304"/>
      <c r="AJ462" s="304"/>
      <c r="AK462" s="305"/>
      <c r="AL462" s="283"/>
      <c r="AM462" s="284"/>
    </row>
    <row r="463" ht="15.75" customHeight="1">
      <c r="A463" s="282">
        <f t="shared" si="1"/>
        <v>459</v>
      </c>
      <c r="B463" s="283"/>
      <c r="C463" s="284"/>
      <c r="D463" s="338"/>
      <c r="E463" s="286"/>
      <c r="F463" s="287"/>
      <c r="G463" s="288" t="str">
        <f>+IFERROR(VLOOKUP(F463,NVL!$B:$C,2,0),"")</f>
        <v/>
      </c>
      <c r="H463" s="288" t="str">
        <f>+IFERROR(VLOOKUP(F463,NVL!$B:$D,3,0),"")</f>
        <v/>
      </c>
      <c r="I463" s="288" t="str">
        <f>+IFERROR(VLOOKUP(F463,NVL!$B:$F,4,0),"")</f>
        <v/>
      </c>
      <c r="J463" s="289"/>
      <c r="K463" s="290"/>
      <c r="L463" s="291" t="str">
        <f>+IFERROR(VLOOKUP(K463,'THÀNH PHẨM'!$B:$F,3,0),"")</f>
        <v/>
      </c>
      <c r="M463" s="291" t="str">
        <f>+IFERROR(VLOOKUP(K463,'THÀNH PHẨM'!$B:$F,4,0),"")</f>
        <v/>
      </c>
      <c r="N463" s="291" t="str">
        <f>+IFERROR(VLOOKUP(K463,'THÀNH PHẨM'!$B:$F,5,0),"")</f>
        <v/>
      </c>
      <c r="O463" s="289"/>
      <c r="P463" s="292">
        <f t="shared" si="2"/>
        <v>0</v>
      </c>
      <c r="Q463" s="289"/>
      <c r="R463" s="289"/>
      <c r="S463" s="293">
        <f t="shared" si="62"/>
        <v>0</v>
      </c>
      <c r="T463" s="294"/>
      <c r="U463" s="295">
        <f t="shared" si="68"/>
        <v>0</v>
      </c>
      <c r="V463" s="296"/>
      <c r="W463" s="297"/>
      <c r="X463" s="298"/>
      <c r="Y463" s="292" t="str">
        <f t="shared" si="69"/>
        <v/>
      </c>
      <c r="Z463" s="366">
        <f t="shared" si="70"/>
        <v>0</v>
      </c>
      <c r="AA463" s="299" t="str">
        <f t="shared" si="71"/>
        <v/>
      </c>
      <c r="AB463" s="300"/>
      <c r="AC463" s="301"/>
      <c r="AD463" s="302"/>
      <c r="AE463" s="303"/>
      <c r="AF463" s="304"/>
      <c r="AG463" s="304"/>
      <c r="AH463" s="304"/>
      <c r="AI463" s="304"/>
      <c r="AJ463" s="304"/>
      <c r="AK463" s="305"/>
      <c r="AL463" s="283"/>
      <c r="AM463" s="284"/>
    </row>
    <row r="464" ht="15.75" customHeight="1">
      <c r="A464" s="282">
        <f t="shared" si="1"/>
        <v>460</v>
      </c>
      <c r="B464" s="283"/>
      <c r="C464" s="284"/>
      <c r="D464" s="338"/>
      <c r="E464" s="286"/>
      <c r="F464" s="287"/>
      <c r="G464" s="288" t="str">
        <f>+IFERROR(VLOOKUP(F464,NVL!$B:$C,2,0),"")</f>
        <v/>
      </c>
      <c r="H464" s="288" t="str">
        <f>+IFERROR(VLOOKUP(F464,NVL!$B:$D,3,0),"")</f>
        <v/>
      </c>
      <c r="I464" s="288" t="str">
        <f>+IFERROR(VLOOKUP(F464,NVL!$B:$F,4,0),"")</f>
        <v/>
      </c>
      <c r="J464" s="289"/>
      <c r="K464" s="290"/>
      <c r="L464" s="291" t="str">
        <f>+IFERROR(VLOOKUP(K464,'THÀNH PHẨM'!$B:$F,3,0),"")</f>
        <v/>
      </c>
      <c r="M464" s="291" t="str">
        <f>+IFERROR(VLOOKUP(K464,'THÀNH PHẨM'!$B:$F,4,0),"")</f>
        <v/>
      </c>
      <c r="N464" s="291" t="str">
        <f>+IFERROR(VLOOKUP(K464,'THÀNH PHẨM'!$B:$F,5,0),"")</f>
        <v/>
      </c>
      <c r="O464" s="289"/>
      <c r="P464" s="292">
        <f t="shared" si="2"/>
        <v>0</v>
      </c>
      <c r="Q464" s="289"/>
      <c r="R464" s="289"/>
      <c r="S464" s="293">
        <f t="shared" si="62"/>
        <v>0</v>
      </c>
      <c r="T464" s="294"/>
      <c r="U464" s="295">
        <f t="shared" si="68"/>
        <v>0</v>
      </c>
      <c r="V464" s="296"/>
      <c r="W464" s="297"/>
      <c r="X464" s="298"/>
      <c r="Y464" s="292" t="str">
        <f t="shared" si="69"/>
        <v/>
      </c>
      <c r="Z464" s="366">
        <f t="shared" si="70"/>
        <v>0</v>
      </c>
      <c r="AA464" s="299" t="str">
        <f t="shared" si="71"/>
        <v/>
      </c>
      <c r="AB464" s="300"/>
      <c r="AC464" s="301"/>
      <c r="AD464" s="302"/>
      <c r="AE464" s="303"/>
      <c r="AF464" s="304"/>
      <c r="AG464" s="304"/>
      <c r="AH464" s="304"/>
      <c r="AI464" s="304"/>
      <c r="AJ464" s="304"/>
      <c r="AK464" s="305"/>
      <c r="AL464" s="283"/>
      <c r="AM464" s="284"/>
    </row>
    <row r="465" ht="15.75" customHeight="1">
      <c r="A465" s="282">
        <f t="shared" si="1"/>
        <v>461</v>
      </c>
      <c r="B465" s="283"/>
      <c r="C465" s="284"/>
      <c r="D465" s="338"/>
      <c r="E465" s="286"/>
      <c r="F465" s="287"/>
      <c r="G465" s="288" t="str">
        <f>+IFERROR(VLOOKUP(F465,NVL!$B:$C,2,0),"")</f>
        <v/>
      </c>
      <c r="H465" s="288" t="str">
        <f>+IFERROR(VLOOKUP(F465,NVL!$B:$D,3,0),"")</f>
        <v/>
      </c>
      <c r="I465" s="288" t="str">
        <f>+IFERROR(VLOOKUP(F465,NVL!$B:$F,4,0),"")</f>
        <v/>
      </c>
      <c r="J465" s="289"/>
      <c r="K465" s="290"/>
      <c r="L465" s="291" t="str">
        <f>+IFERROR(VLOOKUP(K465,'THÀNH PHẨM'!$B:$F,3,0),"")</f>
        <v/>
      </c>
      <c r="M465" s="291" t="str">
        <f>+IFERROR(VLOOKUP(K465,'THÀNH PHẨM'!$B:$F,4,0),"")</f>
        <v/>
      </c>
      <c r="N465" s="291" t="str">
        <f>+IFERROR(VLOOKUP(K465,'THÀNH PHẨM'!$B:$F,5,0),"")</f>
        <v/>
      </c>
      <c r="O465" s="289"/>
      <c r="P465" s="292">
        <f t="shared" si="2"/>
        <v>0</v>
      </c>
      <c r="Q465" s="289"/>
      <c r="R465" s="289"/>
      <c r="S465" s="293">
        <f t="shared" si="62"/>
        <v>0</v>
      </c>
      <c r="T465" s="294"/>
      <c r="U465" s="295">
        <f t="shared" si="68"/>
        <v>0</v>
      </c>
      <c r="V465" s="296"/>
      <c r="W465" s="297"/>
      <c r="X465" s="298"/>
      <c r="Y465" s="292" t="str">
        <f t="shared" si="69"/>
        <v/>
      </c>
      <c r="Z465" s="366">
        <f t="shared" si="70"/>
        <v>0</v>
      </c>
      <c r="AA465" s="299" t="str">
        <f t="shared" si="71"/>
        <v/>
      </c>
      <c r="AB465" s="300"/>
      <c r="AC465" s="301"/>
      <c r="AD465" s="302"/>
      <c r="AE465" s="303"/>
      <c r="AF465" s="304"/>
      <c r="AG465" s="304"/>
      <c r="AH465" s="304"/>
      <c r="AI465" s="304"/>
      <c r="AJ465" s="304"/>
      <c r="AK465" s="305"/>
      <c r="AL465" s="283"/>
      <c r="AM465" s="284"/>
    </row>
    <row r="466" ht="15.75" customHeight="1">
      <c r="A466" s="282">
        <f t="shared" si="1"/>
        <v>462</v>
      </c>
      <c r="B466" s="283"/>
      <c r="C466" s="284"/>
      <c r="D466" s="338"/>
      <c r="E466" s="286"/>
      <c r="F466" s="287"/>
      <c r="G466" s="288" t="str">
        <f>+IFERROR(VLOOKUP(F466,NVL!$B:$C,2,0),"")</f>
        <v/>
      </c>
      <c r="H466" s="288" t="str">
        <f>+IFERROR(VLOOKUP(F466,NVL!$B:$D,3,0),"")</f>
        <v/>
      </c>
      <c r="I466" s="288" t="str">
        <f>+IFERROR(VLOOKUP(F466,NVL!$B:$F,4,0),"")</f>
        <v/>
      </c>
      <c r="J466" s="289"/>
      <c r="K466" s="290"/>
      <c r="L466" s="291" t="str">
        <f>+IFERROR(VLOOKUP(K466,'THÀNH PHẨM'!$B:$F,3,0),"")</f>
        <v/>
      </c>
      <c r="M466" s="291" t="str">
        <f>+IFERROR(VLOOKUP(K466,'THÀNH PHẨM'!$B:$F,4,0),"")</f>
        <v/>
      </c>
      <c r="N466" s="291" t="str">
        <f>+IFERROR(VLOOKUP(K466,'THÀNH PHẨM'!$B:$F,5,0),"")</f>
        <v/>
      </c>
      <c r="O466" s="289"/>
      <c r="P466" s="292">
        <f t="shared" si="2"/>
        <v>0</v>
      </c>
      <c r="Q466" s="289"/>
      <c r="R466" s="289"/>
      <c r="S466" s="293">
        <f t="shared" si="62"/>
        <v>0</v>
      </c>
      <c r="T466" s="294"/>
      <c r="U466" s="295">
        <f t="shared" si="68"/>
        <v>0</v>
      </c>
      <c r="V466" s="296"/>
      <c r="W466" s="297"/>
      <c r="X466" s="298"/>
      <c r="Y466" s="292" t="str">
        <f t="shared" si="69"/>
        <v/>
      </c>
      <c r="Z466" s="366">
        <f t="shared" si="70"/>
        <v>0</v>
      </c>
      <c r="AA466" s="299" t="str">
        <f t="shared" si="71"/>
        <v/>
      </c>
      <c r="AB466" s="300"/>
      <c r="AC466" s="301"/>
      <c r="AD466" s="302"/>
      <c r="AE466" s="303"/>
      <c r="AF466" s="304"/>
      <c r="AG466" s="304"/>
      <c r="AH466" s="304"/>
      <c r="AI466" s="304"/>
      <c r="AJ466" s="304"/>
      <c r="AK466" s="305"/>
      <c r="AL466" s="283"/>
      <c r="AM466" s="284"/>
    </row>
    <row r="467" ht="15.75" customHeight="1">
      <c r="A467" s="282">
        <f t="shared" si="1"/>
        <v>463</v>
      </c>
      <c r="B467" s="283"/>
      <c r="C467" s="284"/>
      <c r="D467" s="338"/>
      <c r="E467" s="286"/>
      <c r="F467" s="287"/>
      <c r="G467" s="288" t="str">
        <f>+IFERROR(VLOOKUP(F467,NVL!$B:$C,2,0),"")</f>
        <v/>
      </c>
      <c r="H467" s="288" t="str">
        <f>+IFERROR(VLOOKUP(F467,NVL!$B:$D,3,0),"")</f>
        <v/>
      </c>
      <c r="I467" s="288" t="str">
        <f>+IFERROR(VLOOKUP(F467,NVL!$B:$F,4,0),"")</f>
        <v/>
      </c>
      <c r="J467" s="289"/>
      <c r="K467" s="290"/>
      <c r="L467" s="291" t="str">
        <f>+IFERROR(VLOOKUP(K467,'THÀNH PHẨM'!$B:$F,3,0),"")</f>
        <v/>
      </c>
      <c r="M467" s="291" t="str">
        <f>+IFERROR(VLOOKUP(K467,'THÀNH PHẨM'!$B:$F,4,0),"")</f>
        <v/>
      </c>
      <c r="N467" s="291" t="str">
        <f>+IFERROR(VLOOKUP(K467,'THÀNH PHẨM'!$B:$F,5,0),"")</f>
        <v/>
      </c>
      <c r="O467" s="289"/>
      <c r="P467" s="292">
        <f t="shared" si="2"/>
        <v>0</v>
      </c>
      <c r="Q467" s="289"/>
      <c r="R467" s="289"/>
      <c r="S467" s="293">
        <f t="shared" si="62"/>
        <v>0</v>
      </c>
      <c r="T467" s="294"/>
      <c r="U467" s="295">
        <f t="shared" si="68"/>
        <v>0</v>
      </c>
      <c r="V467" s="296"/>
      <c r="W467" s="297"/>
      <c r="X467" s="298"/>
      <c r="Y467" s="292" t="str">
        <f t="shared" si="69"/>
        <v/>
      </c>
      <c r="Z467" s="366">
        <f t="shared" si="70"/>
        <v>0</v>
      </c>
      <c r="AA467" s="299" t="str">
        <f t="shared" si="71"/>
        <v/>
      </c>
      <c r="AB467" s="300"/>
      <c r="AC467" s="301"/>
      <c r="AD467" s="302"/>
      <c r="AE467" s="303"/>
      <c r="AF467" s="304"/>
      <c r="AG467" s="304"/>
      <c r="AH467" s="304"/>
      <c r="AI467" s="304"/>
      <c r="AJ467" s="304"/>
      <c r="AK467" s="305"/>
      <c r="AL467" s="283"/>
      <c r="AM467" s="284"/>
    </row>
    <row r="468" ht="15.75" customHeight="1">
      <c r="A468" s="282">
        <f t="shared" si="1"/>
        <v>464</v>
      </c>
      <c r="B468" s="283"/>
      <c r="C468" s="284"/>
      <c r="D468" s="338"/>
      <c r="E468" s="286"/>
      <c r="F468" s="287"/>
      <c r="G468" s="288" t="str">
        <f>+IFERROR(VLOOKUP(F468,NVL!$B:$C,2,0),"")</f>
        <v/>
      </c>
      <c r="H468" s="288" t="str">
        <f>+IFERROR(VLOOKUP(F468,NVL!$B:$D,3,0),"")</f>
        <v/>
      </c>
      <c r="I468" s="288" t="str">
        <f>+IFERROR(VLOOKUP(F468,NVL!$B:$F,4,0),"")</f>
        <v/>
      </c>
      <c r="J468" s="289"/>
      <c r="K468" s="290"/>
      <c r="L468" s="291" t="str">
        <f>+IFERROR(VLOOKUP(K468,'THÀNH PHẨM'!$B:$F,3,0),"")</f>
        <v/>
      </c>
      <c r="M468" s="291" t="str">
        <f>+IFERROR(VLOOKUP(K468,'THÀNH PHẨM'!$B:$F,4,0),"")</f>
        <v/>
      </c>
      <c r="N468" s="291" t="str">
        <f>+IFERROR(VLOOKUP(K468,'THÀNH PHẨM'!$B:$F,5,0),"")</f>
        <v/>
      </c>
      <c r="O468" s="289"/>
      <c r="P468" s="292">
        <f t="shared" si="2"/>
        <v>0</v>
      </c>
      <c r="Q468" s="289"/>
      <c r="R468" s="289"/>
      <c r="S468" s="293">
        <f t="shared" si="62"/>
        <v>0</v>
      </c>
      <c r="T468" s="294"/>
      <c r="U468" s="295">
        <f t="shared" si="68"/>
        <v>0</v>
      </c>
      <c r="V468" s="296"/>
      <c r="W468" s="297"/>
      <c r="X468" s="298"/>
      <c r="Y468" s="292" t="str">
        <f t="shared" si="69"/>
        <v/>
      </c>
      <c r="Z468" s="366">
        <f t="shared" si="70"/>
        <v>0</v>
      </c>
      <c r="AA468" s="299" t="str">
        <f t="shared" si="71"/>
        <v/>
      </c>
      <c r="AB468" s="300"/>
      <c r="AC468" s="301"/>
      <c r="AD468" s="302"/>
      <c r="AE468" s="303"/>
      <c r="AF468" s="304"/>
      <c r="AG468" s="304"/>
      <c r="AH468" s="304"/>
      <c r="AI468" s="304"/>
      <c r="AJ468" s="304"/>
      <c r="AK468" s="305"/>
      <c r="AL468" s="283"/>
      <c r="AM468" s="284"/>
    </row>
    <row r="469" ht="15.75" customHeight="1">
      <c r="A469" s="282">
        <f t="shared" si="1"/>
        <v>465</v>
      </c>
      <c r="B469" s="283"/>
      <c r="C469" s="284"/>
      <c r="D469" s="338"/>
      <c r="E469" s="286"/>
      <c r="F469" s="287"/>
      <c r="G469" s="288" t="str">
        <f>+IFERROR(VLOOKUP(F469,NVL!$B:$C,2,0),"")</f>
        <v/>
      </c>
      <c r="H469" s="288" t="str">
        <f>+IFERROR(VLOOKUP(F469,NVL!$B:$D,3,0),"")</f>
        <v/>
      </c>
      <c r="I469" s="288" t="str">
        <f>+IFERROR(VLOOKUP(F469,NVL!$B:$F,4,0),"")</f>
        <v/>
      </c>
      <c r="J469" s="289"/>
      <c r="K469" s="290"/>
      <c r="L469" s="291" t="str">
        <f>+IFERROR(VLOOKUP(K469,'THÀNH PHẨM'!$B:$F,3,0),"")</f>
        <v/>
      </c>
      <c r="M469" s="291" t="str">
        <f>+IFERROR(VLOOKUP(K469,'THÀNH PHẨM'!$B:$F,4,0),"")</f>
        <v/>
      </c>
      <c r="N469" s="291" t="str">
        <f>+IFERROR(VLOOKUP(K469,'THÀNH PHẨM'!$B:$F,5,0),"")</f>
        <v/>
      </c>
      <c r="O469" s="289"/>
      <c r="P469" s="292">
        <f t="shared" si="2"/>
        <v>0</v>
      </c>
      <c r="Q469" s="289"/>
      <c r="R469" s="289"/>
      <c r="S469" s="293">
        <f t="shared" si="62"/>
        <v>0</v>
      </c>
      <c r="T469" s="294"/>
      <c r="U469" s="295">
        <f t="shared" si="68"/>
        <v>0</v>
      </c>
      <c r="V469" s="296"/>
      <c r="W469" s="297"/>
      <c r="X469" s="298"/>
      <c r="Y469" s="292" t="str">
        <f t="shared" si="69"/>
        <v/>
      </c>
      <c r="Z469" s="366">
        <f t="shared" si="70"/>
        <v>0</v>
      </c>
      <c r="AA469" s="299" t="str">
        <f t="shared" si="71"/>
        <v/>
      </c>
      <c r="AB469" s="300"/>
      <c r="AC469" s="301"/>
      <c r="AD469" s="302"/>
      <c r="AE469" s="303"/>
      <c r="AF469" s="304"/>
      <c r="AG469" s="304"/>
      <c r="AH469" s="304"/>
      <c r="AI469" s="304"/>
      <c r="AJ469" s="304"/>
      <c r="AK469" s="305"/>
      <c r="AL469" s="283"/>
      <c r="AM469" s="284"/>
    </row>
    <row r="470" ht="15.75" customHeight="1">
      <c r="A470" s="282">
        <f t="shared" si="1"/>
        <v>466</v>
      </c>
      <c r="B470" s="283"/>
      <c r="C470" s="284"/>
      <c r="D470" s="338"/>
      <c r="E470" s="286"/>
      <c r="F470" s="287"/>
      <c r="G470" s="288" t="str">
        <f>+IFERROR(VLOOKUP(F470,NVL!$B:$C,2,0),"")</f>
        <v/>
      </c>
      <c r="H470" s="288" t="str">
        <f>+IFERROR(VLOOKUP(F470,NVL!$B:$D,3,0),"")</f>
        <v/>
      </c>
      <c r="I470" s="288" t="str">
        <f>+IFERROR(VLOOKUP(F470,NVL!$B:$F,4,0),"")</f>
        <v/>
      </c>
      <c r="J470" s="289"/>
      <c r="K470" s="290"/>
      <c r="L470" s="291" t="str">
        <f>+IFERROR(VLOOKUP(K470,'THÀNH PHẨM'!$B:$F,3,0),"")</f>
        <v/>
      </c>
      <c r="M470" s="291" t="str">
        <f>+IFERROR(VLOOKUP(K470,'THÀNH PHẨM'!$B:$F,4,0),"")</f>
        <v/>
      </c>
      <c r="N470" s="291" t="str">
        <f>+IFERROR(VLOOKUP(K470,'THÀNH PHẨM'!$B:$F,5,0),"")</f>
        <v/>
      </c>
      <c r="O470" s="289"/>
      <c r="P470" s="292">
        <f t="shared" si="2"/>
        <v>0</v>
      </c>
      <c r="Q470" s="289"/>
      <c r="R470" s="289"/>
      <c r="S470" s="293">
        <f t="shared" si="62"/>
        <v>0</v>
      </c>
      <c r="T470" s="294"/>
      <c r="U470" s="295">
        <f t="shared" si="68"/>
        <v>0</v>
      </c>
      <c r="V470" s="296"/>
      <c r="W470" s="297"/>
      <c r="X470" s="298"/>
      <c r="Y470" s="292" t="str">
        <f t="shared" si="69"/>
        <v/>
      </c>
      <c r="Z470" s="366">
        <f t="shared" si="70"/>
        <v>0</v>
      </c>
      <c r="AA470" s="299" t="str">
        <f t="shared" si="71"/>
        <v/>
      </c>
      <c r="AB470" s="300"/>
      <c r="AC470" s="301"/>
      <c r="AD470" s="302"/>
      <c r="AE470" s="303"/>
      <c r="AF470" s="304"/>
      <c r="AG470" s="304"/>
      <c r="AH470" s="304"/>
      <c r="AI470" s="304"/>
      <c r="AJ470" s="304"/>
      <c r="AK470" s="305"/>
      <c r="AL470" s="283"/>
      <c r="AM470" s="284"/>
    </row>
    <row r="471" ht="15.75" customHeight="1">
      <c r="A471" s="282">
        <f t="shared" si="1"/>
        <v>467</v>
      </c>
      <c r="B471" s="283"/>
      <c r="C471" s="284"/>
      <c r="D471" s="338"/>
      <c r="E471" s="286"/>
      <c r="F471" s="287"/>
      <c r="G471" s="288" t="str">
        <f>+IFERROR(VLOOKUP(F471,NVL!$B:$C,2,0),"")</f>
        <v/>
      </c>
      <c r="H471" s="288" t="str">
        <f>+IFERROR(VLOOKUP(F471,NVL!$B:$D,3,0),"")</f>
        <v/>
      </c>
      <c r="I471" s="288" t="str">
        <f>+IFERROR(VLOOKUP(F471,NVL!$B:$F,4,0),"")</f>
        <v/>
      </c>
      <c r="J471" s="289"/>
      <c r="K471" s="290"/>
      <c r="L471" s="291" t="str">
        <f>+IFERROR(VLOOKUP(K471,'THÀNH PHẨM'!$B:$F,3,0),"")</f>
        <v/>
      </c>
      <c r="M471" s="291" t="str">
        <f>+IFERROR(VLOOKUP(K471,'THÀNH PHẨM'!$B:$F,4,0),"")</f>
        <v/>
      </c>
      <c r="N471" s="291" t="str">
        <f>+IFERROR(VLOOKUP(K471,'THÀNH PHẨM'!$B:$F,5,0),"")</f>
        <v/>
      </c>
      <c r="O471" s="289"/>
      <c r="P471" s="292">
        <f t="shared" si="2"/>
        <v>0</v>
      </c>
      <c r="Q471" s="289"/>
      <c r="R471" s="289"/>
      <c r="S471" s="293">
        <f t="shared" si="62"/>
        <v>0</v>
      </c>
      <c r="T471" s="294"/>
      <c r="U471" s="295">
        <f t="shared" si="68"/>
        <v>0</v>
      </c>
      <c r="V471" s="296"/>
      <c r="W471" s="297"/>
      <c r="X471" s="298"/>
      <c r="Y471" s="292" t="str">
        <f t="shared" si="69"/>
        <v/>
      </c>
      <c r="Z471" s="366">
        <f t="shared" si="70"/>
        <v>0</v>
      </c>
      <c r="AA471" s="299" t="str">
        <f t="shared" si="71"/>
        <v/>
      </c>
      <c r="AB471" s="300"/>
      <c r="AC471" s="301"/>
      <c r="AD471" s="302"/>
      <c r="AE471" s="303"/>
      <c r="AF471" s="304"/>
      <c r="AG471" s="304"/>
      <c r="AH471" s="304"/>
      <c r="AI471" s="304"/>
      <c r="AJ471" s="304"/>
      <c r="AK471" s="305"/>
      <c r="AL471" s="283"/>
      <c r="AM471" s="284"/>
    </row>
    <row r="472" ht="15.75" customHeight="1">
      <c r="A472" s="282">
        <f t="shared" si="1"/>
        <v>468</v>
      </c>
      <c r="B472" s="283"/>
      <c r="C472" s="284"/>
      <c r="D472" s="338"/>
      <c r="E472" s="286"/>
      <c r="F472" s="287"/>
      <c r="G472" s="288" t="str">
        <f>+IFERROR(VLOOKUP(F472,NVL!$B:$C,2,0),"")</f>
        <v/>
      </c>
      <c r="H472" s="288" t="str">
        <f>+IFERROR(VLOOKUP(F472,NVL!$B:$D,3,0),"")</f>
        <v/>
      </c>
      <c r="I472" s="288" t="str">
        <f>+IFERROR(VLOOKUP(F472,NVL!$B:$F,4,0),"")</f>
        <v/>
      </c>
      <c r="J472" s="289"/>
      <c r="K472" s="290"/>
      <c r="L472" s="291" t="str">
        <f>+IFERROR(VLOOKUP(K472,'THÀNH PHẨM'!$B:$F,3,0),"")</f>
        <v/>
      </c>
      <c r="M472" s="291" t="str">
        <f>+IFERROR(VLOOKUP(K472,'THÀNH PHẨM'!$B:$F,4,0),"")</f>
        <v/>
      </c>
      <c r="N472" s="291" t="str">
        <f>+IFERROR(VLOOKUP(K472,'THÀNH PHẨM'!$B:$F,5,0),"")</f>
        <v/>
      </c>
      <c r="O472" s="289"/>
      <c r="P472" s="292">
        <f t="shared" si="2"/>
        <v>0</v>
      </c>
      <c r="Q472" s="289"/>
      <c r="R472" s="289"/>
      <c r="S472" s="293">
        <f t="shared" si="62"/>
        <v>0</v>
      </c>
      <c r="T472" s="294"/>
      <c r="U472" s="295">
        <f t="shared" si="68"/>
        <v>0</v>
      </c>
      <c r="V472" s="296"/>
      <c r="W472" s="297"/>
      <c r="X472" s="298"/>
      <c r="Y472" s="292" t="str">
        <f t="shared" si="69"/>
        <v/>
      </c>
      <c r="Z472" s="366">
        <f t="shared" si="70"/>
        <v>0</v>
      </c>
      <c r="AA472" s="299" t="str">
        <f t="shared" si="71"/>
        <v/>
      </c>
      <c r="AB472" s="300"/>
      <c r="AC472" s="301"/>
      <c r="AD472" s="302"/>
      <c r="AE472" s="303"/>
      <c r="AF472" s="304"/>
      <c r="AG472" s="304"/>
      <c r="AH472" s="304"/>
      <c r="AI472" s="304"/>
      <c r="AJ472" s="304"/>
      <c r="AK472" s="305"/>
      <c r="AL472" s="283"/>
      <c r="AM472" s="284"/>
    </row>
    <row r="473" ht="15.75" customHeight="1">
      <c r="A473" s="282">
        <f t="shared" si="1"/>
        <v>469</v>
      </c>
      <c r="B473" s="283"/>
      <c r="C473" s="284"/>
      <c r="D473" s="338"/>
      <c r="E473" s="286"/>
      <c r="F473" s="287"/>
      <c r="G473" s="288" t="str">
        <f>+IFERROR(VLOOKUP(F473,NVL!$B:$C,2,0),"")</f>
        <v/>
      </c>
      <c r="H473" s="288" t="str">
        <f>+IFERROR(VLOOKUP(F473,NVL!$B:$D,3,0),"")</f>
        <v/>
      </c>
      <c r="I473" s="288" t="str">
        <f>+IFERROR(VLOOKUP(F473,NVL!$B:$F,4,0),"")</f>
        <v/>
      </c>
      <c r="J473" s="289"/>
      <c r="K473" s="290"/>
      <c r="L473" s="291" t="str">
        <f>+IFERROR(VLOOKUP(K473,'THÀNH PHẨM'!$B:$F,3,0),"")</f>
        <v/>
      </c>
      <c r="M473" s="291" t="str">
        <f>+IFERROR(VLOOKUP(K473,'THÀNH PHẨM'!$B:$F,4,0),"")</f>
        <v/>
      </c>
      <c r="N473" s="291" t="str">
        <f>+IFERROR(VLOOKUP(K473,'THÀNH PHẨM'!$B:$F,5,0),"")</f>
        <v/>
      </c>
      <c r="O473" s="289"/>
      <c r="P473" s="292">
        <f t="shared" si="2"/>
        <v>0</v>
      </c>
      <c r="Q473" s="289"/>
      <c r="R473" s="289"/>
      <c r="S473" s="293">
        <f t="shared" si="62"/>
        <v>0</v>
      </c>
      <c r="T473" s="294"/>
      <c r="U473" s="295">
        <f t="shared" si="68"/>
        <v>0</v>
      </c>
      <c r="V473" s="296"/>
      <c r="W473" s="297"/>
      <c r="X473" s="298"/>
      <c r="Y473" s="292" t="str">
        <f t="shared" si="69"/>
        <v/>
      </c>
      <c r="Z473" s="366">
        <f t="shared" si="70"/>
        <v>0</v>
      </c>
      <c r="AA473" s="299" t="str">
        <f t="shared" si="71"/>
        <v/>
      </c>
      <c r="AB473" s="300"/>
      <c r="AC473" s="301"/>
      <c r="AD473" s="302"/>
      <c r="AE473" s="303"/>
      <c r="AF473" s="304"/>
      <c r="AG473" s="304"/>
      <c r="AH473" s="304"/>
      <c r="AI473" s="304"/>
      <c r="AJ473" s="304"/>
      <c r="AK473" s="305"/>
      <c r="AL473" s="283"/>
      <c r="AM473" s="284"/>
    </row>
    <row r="474" ht="15.75" customHeight="1">
      <c r="A474" s="282">
        <f t="shared" si="1"/>
        <v>470</v>
      </c>
      <c r="B474" s="283"/>
      <c r="C474" s="284"/>
      <c r="D474" s="338"/>
      <c r="E474" s="286"/>
      <c r="F474" s="287"/>
      <c r="G474" s="288" t="str">
        <f>+IFERROR(VLOOKUP(F474,NVL!$B:$C,2,0),"")</f>
        <v/>
      </c>
      <c r="H474" s="288" t="str">
        <f>+IFERROR(VLOOKUP(F474,NVL!$B:$D,3,0),"")</f>
        <v/>
      </c>
      <c r="I474" s="288" t="str">
        <f>+IFERROR(VLOOKUP(F474,NVL!$B:$F,4,0),"")</f>
        <v/>
      </c>
      <c r="J474" s="289"/>
      <c r="K474" s="290"/>
      <c r="L474" s="291" t="str">
        <f>+IFERROR(VLOOKUP(K474,'THÀNH PHẨM'!$B:$F,3,0),"")</f>
        <v/>
      </c>
      <c r="M474" s="291" t="str">
        <f>+IFERROR(VLOOKUP(K474,'THÀNH PHẨM'!$B:$F,4,0),"")</f>
        <v/>
      </c>
      <c r="N474" s="291" t="str">
        <f>+IFERROR(VLOOKUP(K474,'THÀNH PHẨM'!$B:$F,5,0),"")</f>
        <v/>
      </c>
      <c r="O474" s="289"/>
      <c r="P474" s="292">
        <f t="shared" si="2"/>
        <v>0</v>
      </c>
      <c r="Q474" s="289"/>
      <c r="R474" s="289"/>
      <c r="S474" s="293">
        <f t="shared" si="62"/>
        <v>0</v>
      </c>
      <c r="T474" s="294"/>
      <c r="U474" s="295">
        <f t="shared" si="68"/>
        <v>0</v>
      </c>
      <c r="V474" s="296"/>
      <c r="W474" s="297"/>
      <c r="X474" s="298"/>
      <c r="Y474" s="292" t="str">
        <f t="shared" si="69"/>
        <v/>
      </c>
      <c r="Z474" s="366">
        <f t="shared" si="70"/>
        <v>0</v>
      </c>
      <c r="AA474" s="299" t="str">
        <f t="shared" si="71"/>
        <v/>
      </c>
      <c r="AB474" s="300"/>
      <c r="AC474" s="301"/>
      <c r="AD474" s="302"/>
      <c r="AE474" s="303"/>
      <c r="AF474" s="304"/>
      <c r="AG474" s="304"/>
      <c r="AH474" s="304"/>
      <c r="AI474" s="304"/>
      <c r="AJ474" s="304"/>
      <c r="AK474" s="305"/>
      <c r="AL474" s="283"/>
      <c r="AM474" s="284"/>
    </row>
    <row r="475" ht="15.75" customHeight="1">
      <c r="A475" s="282">
        <f t="shared" si="1"/>
        <v>471</v>
      </c>
      <c r="B475" s="283"/>
      <c r="C475" s="284"/>
      <c r="D475" s="338"/>
      <c r="E475" s="286"/>
      <c r="F475" s="287"/>
      <c r="G475" s="288" t="str">
        <f>+IFERROR(VLOOKUP(F475,NVL!$B:$C,2,0),"")</f>
        <v/>
      </c>
      <c r="H475" s="288" t="str">
        <f>+IFERROR(VLOOKUP(F475,NVL!$B:$D,3,0),"")</f>
        <v/>
      </c>
      <c r="I475" s="288" t="str">
        <f>+IFERROR(VLOOKUP(F475,NVL!$B:$F,4,0),"")</f>
        <v/>
      </c>
      <c r="J475" s="289"/>
      <c r="K475" s="290"/>
      <c r="L475" s="291" t="str">
        <f>+IFERROR(VLOOKUP(K475,'THÀNH PHẨM'!$B:$F,3,0),"")</f>
        <v/>
      </c>
      <c r="M475" s="291" t="str">
        <f>+IFERROR(VLOOKUP(K475,'THÀNH PHẨM'!$B:$F,4,0),"")</f>
        <v/>
      </c>
      <c r="N475" s="291" t="str">
        <f>+IFERROR(VLOOKUP(K475,'THÀNH PHẨM'!$B:$F,5,0),"")</f>
        <v/>
      </c>
      <c r="O475" s="289"/>
      <c r="P475" s="292">
        <f t="shared" si="2"/>
        <v>0</v>
      </c>
      <c r="Q475" s="289"/>
      <c r="R475" s="289"/>
      <c r="S475" s="293">
        <f t="shared" si="62"/>
        <v>0</v>
      </c>
      <c r="T475" s="294"/>
      <c r="U475" s="295">
        <f t="shared" si="68"/>
        <v>0</v>
      </c>
      <c r="V475" s="296"/>
      <c r="W475" s="297"/>
      <c r="X475" s="298"/>
      <c r="Y475" s="292" t="str">
        <f t="shared" si="69"/>
        <v/>
      </c>
      <c r="Z475" s="366">
        <f t="shared" si="70"/>
        <v>0</v>
      </c>
      <c r="AA475" s="299" t="str">
        <f t="shared" si="71"/>
        <v/>
      </c>
      <c r="AB475" s="300"/>
      <c r="AC475" s="301"/>
      <c r="AD475" s="302"/>
      <c r="AE475" s="303"/>
      <c r="AF475" s="304"/>
      <c r="AG475" s="304"/>
      <c r="AH475" s="304"/>
      <c r="AI475" s="304"/>
      <c r="AJ475" s="304"/>
      <c r="AK475" s="305"/>
      <c r="AL475" s="283"/>
      <c r="AM475" s="284"/>
    </row>
    <row r="476" ht="15.75" customHeight="1">
      <c r="A476" s="282">
        <f t="shared" si="1"/>
        <v>472</v>
      </c>
      <c r="B476" s="283"/>
      <c r="C476" s="284"/>
      <c r="D476" s="338"/>
      <c r="E476" s="286"/>
      <c r="F476" s="287"/>
      <c r="G476" s="288" t="str">
        <f>+IFERROR(VLOOKUP(F476,NVL!$B:$C,2,0),"")</f>
        <v/>
      </c>
      <c r="H476" s="288" t="str">
        <f>+IFERROR(VLOOKUP(F476,NVL!$B:$D,3,0),"")</f>
        <v/>
      </c>
      <c r="I476" s="288" t="str">
        <f>+IFERROR(VLOOKUP(F476,NVL!$B:$F,4,0),"")</f>
        <v/>
      </c>
      <c r="J476" s="289"/>
      <c r="K476" s="290"/>
      <c r="L476" s="291" t="str">
        <f>+IFERROR(VLOOKUP(K476,'THÀNH PHẨM'!$B:$F,3,0),"")</f>
        <v/>
      </c>
      <c r="M476" s="291" t="str">
        <f>+IFERROR(VLOOKUP(K476,'THÀNH PHẨM'!$B:$F,4,0),"")</f>
        <v/>
      </c>
      <c r="N476" s="291" t="str">
        <f>+IFERROR(VLOOKUP(K476,'THÀNH PHẨM'!$B:$F,5,0),"")</f>
        <v/>
      </c>
      <c r="O476" s="289"/>
      <c r="P476" s="292">
        <f t="shared" si="2"/>
        <v>0</v>
      </c>
      <c r="Q476" s="289"/>
      <c r="R476" s="289"/>
      <c r="S476" s="293">
        <f t="shared" si="62"/>
        <v>0</v>
      </c>
      <c r="T476" s="294"/>
      <c r="U476" s="295">
        <f t="shared" si="68"/>
        <v>0</v>
      </c>
      <c r="V476" s="296"/>
      <c r="W476" s="297"/>
      <c r="X476" s="298"/>
      <c r="Y476" s="292" t="str">
        <f t="shared" si="69"/>
        <v/>
      </c>
      <c r="Z476" s="366">
        <f t="shared" si="70"/>
        <v>0</v>
      </c>
      <c r="AA476" s="299" t="str">
        <f t="shared" si="71"/>
        <v/>
      </c>
      <c r="AB476" s="300"/>
      <c r="AC476" s="301"/>
      <c r="AD476" s="302"/>
      <c r="AE476" s="303"/>
      <c r="AF476" s="304"/>
      <c r="AG476" s="304"/>
      <c r="AH476" s="304"/>
      <c r="AI476" s="304"/>
      <c r="AJ476" s="304"/>
      <c r="AK476" s="305"/>
      <c r="AL476" s="283"/>
      <c r="AM476" s="284"/>
    </row>
    <row r="477" ht="15.75" customHeight="1">
      <c r="A477" s="282">
        <f t="shared" si="1"/>
        <v>473</v>
      </c>
      <c r="B477" s="283"/>
      <c r="C477" s="284"/>
      <c r="D477" s="338"/>
      <c r="E477" s="286"/>
      <c r="F477" s="287"/>
      <c r="G477" s="288" t="str">
        <f>+IFERROR(VLOOKUP(F477,NVL!$B:$C,2,0),"")</f>
        <v/>
      </c>
      <c r="H477" s="288" t="str">
        <f>+IFERROR(VLOOKUP(F477,NVL!$B:$D,3,0),"")</f>
        <v/>
      </c>
      <c r="I477" s="288" t="str">
        <f>+IFERROR(VLOOKUP(F477,NVL!$B:$F,4,0),"")</f>
        <v/>
      </c>
      <c r="J477" s="289"/>
      <c r="K477" s="290"/>
      <c r="L477" s="291" t="str">
        <f>+IFERROR(VLOOKUP(K477,'THÀNH PHẨM'!$B:$F,3,0),"")</f>
        <v/>
      </c>
      <c r="M477" s="291" t="str">
        <f>+IFERROR(VLOOKUP(K477,'THÀNH PHẨM'!$B:$F,4,0),"")</f>
        <v/>
      </c>
      <c r="N477" s="291" t="str">
        <f>+IFERROR(VLOOKUP(K477,'THÀNH PHẨM'!$B:$F,5,0),"")</f>
        <v/>
      </c>
      <c r="O477" s="289"/>
      <c r="P477" s="292">
        <f t="shared" si="2"/>
        <v>0</v>
      </c>
      <c r="Q477" s="289"/>
      <c r="R477" s="289"/>
      <c r="S477" s="293">
        <f t="shared" si="62"/>
        <v>0</v>
      </c>
      <c r="T477" s="294"/>
      <c r="U477" s="295">
        <f t="shared" si="68"/>
        <v>0</v>
      </c>
      <c r="V477" s="296"/>
      <c r="W477" s="297"/>
      <c r="X477" s="298"/>
      <c r="Y477" s="292" t="str">
        <f t="shared" si="69"/>
        <v/>
      </c>
      <c r="Z477" s="366">
        <f t="shared" si="70"/>
        <v>0</v>
      </c>
      <c r="AA477" s="299" t="str">
        <f t="shared" si="71"/>
        <v/>
      </c>
      <c r="AB477" s="300"/>
      <c r="AC477" s="301"/>
      <c r="AD477" s="302"/>
      <c r="AE477" s="303"/>
      <c r="AF477" s="304"/>
      <c r="AG477" s="304"/>
      <c r="AH477" s="304"/>
      <c r="AI477" s="304"/>
      <c r="AJ477" s="304"/>
      <c r="AK477" s="305"/>
      <c r="AL477" s="283"/>
      <c r="AM477" s="284"/>
    </row>
    <row r="478" ht="15.75" customHeight="1">
      <c r="A478" s="282">
        <f t="shared" si="1"/>
        <v>474</v>
      </c>
      <c r="B478" s="283"/>
      <c r="C478" s="284"/>
      <c r="D478" s="338"/>
      <c r="E478" s="286"/>
      <c r="F478" s="287"/>
      <c r="G478" s="288" t="str">
        <f>+IFERROR(VLOOKUP(F478,NVL!$B:$C,2,0),"")</f>
        <v/>
      </c>
      <c r="H478" s="288" t="str">
        <f>+IFERROR(VLOOKUP(F478,NVL!$B:$D,3,0),"")</f>
        <v/>
      </c>
      <c r="I478" s="288" t="str">
        <f>+IFERROR(VLOOKUP(F478,NVL!$B:$F,4,0),"")</f>
        <v/>
      </c>
      <c r="J478" s="289"/>
      <c r="K478" s="290"/>
      <c r="L478" s="291" t="str">
        <f>+IFERROR(VLOOKUP(K478,'THÀNH PHẨM'!$B:$F,3,0),"")</f>
        <v/>
      </c>
      <c r="M478" s="291" t="str">
        <f>+IFERROR(VLOOKUP(K478,'THÀNH PHẨM'!$B:$F,4,0),"")</f>
        <v/>
      </c>
      <c r="N478" s="291" t="str">
        <f>+IFERROR(VLOOKUP(K478,'THÀNH PHẨM'!$B:$F,5,0),"")</f>
        <v/>
      </c>
      <c r="O478" s="289"/>
      <c r="P478" s="292">
        <f t="shared" si="2"/>
        <v>0</v>
      </c>
      <c r="Q478" s="289"/>
      <c r="R478" s="289"/>
      <c r="S478" s="293">
        <f t="shared" si="62"/>
        <v>0</v>
      </c>
      <c r="T478" s="294"/>
      <c r="U478" s="295">
        <f t="shared" si="68"/>
        <v>0</v>
      </c>
      <c r="V478" s="296"/>
      <c r="W478" s="297"/>
      <c r="X478" s="298"/>
      <c r="Y478" s="292" t="str">
        <f t="shared" si="69"/>
        <v/>
      </c>
      <c r="Z478" s="366">
        <f t="shared" si="70"/>
        <v>0</v>
      </c>
      <c r="AA478" s="299" t="str">
        <f t="shared" si="71"/>
        <v/>
      </c>
      <c r="AB478" s="300"/>
      <c r="AC478" s="301"/>
      <c r="AD478" s="302"/>
      <c r="AE478" s="303"/>
      <c r="AF478" s="304"/>
      <c r="AG478" s="304"/>
      <c r="AH478" s="304"/>
      <c r="AI478" s="304"/>
      <c r="AJ478" s="304"/>
      <c r="AK478" s="305"/>
      <c r="AL478" s="283"/>
      <c r="AM478" s="284"/>
    </row>
    <row r="479" ht="15.75" customHeight="1">
      <c r="A479" s="282">
        <f t="shared" si="1"/>
        <v>475</v>
      </c>
      <c r="B479" s="283"/>
      <c r="C479" s="284"/>
      <c r="D479" s="338"/>
      <c r="E479" s="286"/>
      <c r="F479" s="287"/>
      <c r="G479" s="288" t="str">
        <f>+IFERROR(VLOOKUP(F479,NVL!$B:$C,2,0),"")</f>
        <v/>
      </c>
      <c r="H479" s="288" t="str">
        <f>+IFERROR(VLOOKUP(F479,NVL!$B:$D,3,0),"")</f>
        <v/>
      </c>
      <c r="I479" s="288" t="str">
        <f>+IFERROR(VLOOKUP(F479,NVL!$B:$F,4,0),"")</f>
        <v/>
      </c>
      <c r="J479" s="289"/>
      <c r="K479" s="290"/>
      <c r="L479" s="291" t="str">
        <f>+IFERROR(VLOOKUP(K479,'THÀNH PHẨM'!$B:$F,3,0),"")</f>
        <v/>
      </c>
      <c r="M479" s="291" t="str">
        <f>+IFERROR(VLOOKUP(K479,'THÀNH PHẨM'!$B:$F,4,0),"")</f>
        <v/>
      </c>
      <c r="N479" s="291" t="str">
        <f>+IFERROR(VLOOKUP(K479,'THÀNH PHẨM'!$B:$F,5,0),"")</f>
        <v/>
      </c>
      <c r="O479" s="289"/>
      <c r="P479" s="292">
        <f t="shared" si="2"/>
        <v>0</v>
      </c>
      <c r="Q479" s="289"/>
      <c r="R479" s="289"/>
      <c r="S479" s="293">
        <f t="shared" si="62"/>
        <v>0</v>
      </c>
      <c r="T479" s="294"/>
      <c r="U479" s="295">
        <f t="shared" si="68"/>
        <v>0</v>
      </c>
      <c r="V479" s="296"/>
      <c r="W479" s="297"/>
      <c r="X479" s="298"/>
      <c r="Y479" s="292" t="str">
        <f t="shared" si="69"/>
        <v/>
      </c>
      <c r="Z479" s="366">
        <f t="shared" si="70"/>
        <v>0</v>
      </c>
      <c r="AA479" s="299" t="str">
        <f t="shared" si="71"/>
        <v/>
      </c>
      <c r="AB479" s="300"/>
      <c r="AC479" s="301"/>
      <c r="AD479" s="302"/>
      <c r="AE479" s="303"/>
      <c r="AF479" s="304"/>
      <c r="AG479" s="304"/>
      <c r="AH479" s="304"/>
      <c r="AI479" s="304"/>
      <c r="AJ479" s="304"/>
      <c r="AK479" s="305"/>
      <c r="AL479" s="283"/>
      <c r="AM479" s="284"/>
    </row>
    <row r="480" ht="15.75" customHeight="1">
      <c r="A480" s="282">
        <f t="shared" si="1"/>
        <v>476</v>
      </c>
      <c r="B480" s="283"/>
      <c r="C480" s="284"/>
      <c r="D480" s="338"/>
      <c r="E480" s="286"/>
      <c r="F480" s="287"/>
      <c r="G480" s="288" t="str">
        <f>+IFERROR(VLOOKUP(F480,NVL!$B:$C,2,0),"")</f>
        <v/>
      </c>
      <c r="H480" s="288" t="str">
        <f>+IFERROR(VLOOKUP(F480,NVL!$B:$D,3,0),"")</f>
        <v/>
      </c>
      <c r="I480" s="288" t="str">
        <f>+IFERROR(VLOOKUP(F480,NVL!$B:$F,4,0),"")</f>
        <v/>
      </c>
      <c r="J480" s="289"/>
      <c r="K480" s="290"/>
      <c r="L480" s="291" t="str">
        <f>+IFERROR(VLOOKUP(K480,'THÀNH PHẨM'!$B:$F,3,0),"")</f>
        <v/>
      </c>
      <c r="M480" s="291" t="str">
        <f>+IFERROR(VLOOKUP(K480,'THÀNH PHẨM'!$B:$F,4,0),"")</f>
        <v/>
      </c>
      <c r="N480" s="291" t="str">
        <f>+IFERROR(VLOOKUP(K480,'THÀNH PHẨM'!$B:$F,5,0),"")</f>
        <v/>
      </c>
      <c r="O480" s="289"/>
      <c r="P480" s="292">
        <f t="shared" si="2"/>
        <v>0</v>
      </c>
      <c r="Q480" s="289"/>
      <c r="R480" s="289"/>
      <c r="S480" s="293">
        <f t="shared" si="62"/>
        <v>0</v>
      </c>
      <c r="T480" s="294"/>
      <c r="U480" s="295">
        <f t="shared" si="68"/>
        <v>0</v>
      </c>
      <c r="V480" s="296"/>
      <c r="W480" s="297"/>
      <c r="X480" s="298"/>
      <c r="Y480" s="292" t="str">
        <f t="shared" si="69"/>
        <v/>
      </c>
      <c r="Z480" s="366">
        <f t="shared" si="70"/>
        <v>0</v>
      </c>
      <c r="AA480" s="299" t="str">
        <f t="shared" si="71"/>
        <v/>
      </c>
      <c r="AB480" s="300"/>
      <c r="AC480" s="301"/>
      <c r="AD480" s="302"/>
      <c r="AE480" s="303"/>
      <c r="AF480" s="304"/>
      <c r="AG480" s="304"/>
      <c r="AH480" s="304"/>
      <c r="AI480" s="304"/>
      <c r="AJ480" s="304"/>
      <c r="AK480" s="305"/>
      <c r="AL480" s="283"/>
      <c r="AM480" s="284"/>
    </row>
    <row r="481" ht="15.75" customHeight="1">
      <c r="A481" s="282">
        <f t="shared" si="1"/>
        <v>477</v>
      </c>
      <c r="B481" s="283"/>
      <c r="C481" s="284"/>
      <c r="D481" s="338"/>
      <c r="E481" s="286"/>
      <c r="F481" s="287"/>
      <c r="G481" s="288" t="str">
        <f>+IFERROR(VLOOKUP(F481,NVL!$B:$C,2,0),"")</f>
        <v/>
      </c>
      <c r="H481" s="288" t="str">
        <f>+IFERROR(VLOOKUP(F481,NVL!$B:$D,3,0),"")</f>
        <v/>
      </c>
      <c r="I481" s="288" t="str">
        <f>+IFERROR(VLOOKUP(F481,NVL!$B:$F,4,0),"")</f>
        <v/>
      </c>
      <c r="J481" s="289"/>
      <c r="K481" s="290"/>
      <c r="L481" s="291" t="str">
        <f>+IFERROR(VLOOKUP(K481,'THÀNH PHẨM'!$B:$F,3,0),"")</f>
        <v/>
      </c>
      <c r="M481" s="291" t="str">
        <f>+IFERROR(VLOOKUP(K481,'THÀNH PHẨM'!$B:$F,4,0),"")</f>
        <v/>
      </c>
      <c r="N481" s="291" t="str">
        <f>+IFERROR(VLOOKUP(K481,'THÀNH PHẨM'!$B:$F,5,0),"")</f>
        <v/>
      </c>
      <c r="O481" s="289"/>
      <c r="P481" s="292">
        <f t="shared" si="2"/>
        <v>0</v>
      </c>
      <c r="Q481" s="289"/>
      <c r="R481" s="289"/>
      <c r="S481" s="293">
        <f t="shared" si="62"/>
        <v>0</v>
      </c>
      <c r="T481" s="294"/>
      <c r="U481" s="295">
        <f t="shared" si="68"/>
        <v>0</v>
      </c>
      <c r="V481" s="296"/>
      <c r="W481" s="297"/>
      <c r="X481" s="298"/>
      <c r="Y481" s="292" t="str">
        <f t="shared" si="69"/>
        <v/>
      </c>
      <c r="Z481" s="366">
        <f t="shared" si="70"/>
        <v>0</v>
      </c>
      <c r="AA481" s="299" t="str">
        <f t="shared" si="71"/>
        <v/>
      </c>
      <c r="AB481" s="300"/>
      <c r="AC481" s="301"/>
      <c r="AD481" s="302"/>
      <c r="AE481" s="303"/>
      <c r="AF481" s="304"/>
      <c r="AG481" s="304"/>
      <c r="AH481" s="304"/>
      <c r="AI481" s="304"/>
      <c r="AJ481" s="304"/>
      <c r="AK481" s="305"/>
      <c r="AL481" s="283"/>
      <c r="AM481" s="284"/>
    </row>
    <row r="482" ht="15.75" customHeight="1">
      <c r="A482" s="282">
        <f t="shared" si="1"/>
        <v>478</v>
      </c>
      <c r="B482" s="283"/>
      <c r="C482" s="284"/>
      <c r="D482" s="338"/>
      <c r="E482" s="286"/>
      <c r="F482" s="287"/>
      <c r="G482" s="288" t="str">
        <f>+IFERROR(VLOOKUP(F482,NVL!$B:$C,2,0),"")</f>
        <v/>
      </c>
      <c r="H482" s="288" t="str">
        <f>+IFERROR(VLOOKUP(F482,NVL!$B:$D,3,0),"")</f>
        <v/>
      </c>
      <c r="I482" s="288" t="str">
        <f>+IFERROR(VLOOKUP(F482,NVL!$B:$F,4,0),"")</f>
        <v/>
      </c>
      <c r="J482" s="289"/>
      <c r="K482" s="290"/>
      <c r="L482" s="291" t="str">
        <f>+IFERROR(VLOOKUP(K482,'THÀNH PHẨM'!$B:$F,3,0),"")</f>
        <v/>
      </c>
      <c r="M482" s="291" t="str">
        <f>+IFERROR(VLOOKUP(K482,'THÀNH PHẨM'!$B:$F,4,0),"")</f>
        <v/>
      </c>
      <c r="N482" s="291" t="str">
        <f>+IFERROR(VLOOKUP(K482,'THÀNH PHẨM'!$B:$F,5,0),"")</f>
        <v/>
      </c>
      <c r="O482" s="289"/>
      <c r="P482" s="292">
        <f t="shared" si="2"/>
        <v>0</v>
      </c>
      <c r="Q482" s="289"/>
      <c r="R482" s="289"/>
      <c r="S482" s="293">
        <f t="shared" si="62"/>
        <v>0</v>
      </c>
      <c r="T482" s="294"/>
      <c r="U482" s="295">
        <f t="shared" si="68"/>
        <v>0</v>
      </c>
      <c r="V482" s="296"/>
      <c r="W482" s="297"/>
      <c r="X482" s="298"/>
      <c r="Y482" s="292" t="str">
        <f t="shared" si="69"/>
        <v/>
      </c>
      <c r="Z482" s="366">
        <f t="shared" si="70"/>
        <v>0</v>
      </c>
      <c r="AA482" s="299" t="str">
        <f t="shared" si="71"/>
        <v/>
      </c>
      <c r="AB482" s="300"/>
      <c r="AC482" s="301"/>
      <c r="AD482" s="302"/>
      <c r="AE482" s="303"/>
      <c r="AF482" s="304"/>
      <c r="AG482" s="304"/>
      <c r="AH482" s="304"/>
      <c r="AI482" s="304"/>
      <c r="AJ482" s="304"/>
      <c r="AK482" s="305"/>
      <c r="AL482" s="283"/>
      <c r="AM482" s="284"/>
    </row>
    <row r="483" ht="15.75" customHeight="1">
      <c r="A483" s="282">
        <f t="shared" si="1"/>
        <v>479</v>
      </c>
      <c r="B483" s="283"/>
      <c r="C483" s="284"/>
      <c r="D483" s="338"/>
      <c r="E483" s="286"/>
      <c r="F483" s="287"/>
      <c r="G483" s="288" t="str">
        <f>+IFERROR(VLOOKUP(F483,NVL!$B:$C,2,0),"")</f>
        <v/>
      </c>
      <c r="H483" s="288" t="str">
        <f>+IFERROR(VLOOKUP(F483,NVL!$B:$D,3,0),"")</f>
        <v/>
      </c>
      <c r="I483" s="288" t="str">
        <f>+IFERROR(VLOOKUP(F483,NVL!$B:$F,4,0),"")</f>
        <v/>
      </c>
      <c r="J483" s="289"/>
      <c r="K483" s="290"/>
      <c r="L483" s="291" t="str">
        <f>+IFERROR(VLOOKUP(K483,'THÀNH PHẨM'!$B:$F,3,0),"")</f>
        <v/>
      </c>
      <c r="M483" s="291" t="str">
        <f>+IFERROR(VLOOKUP(K483,'THÀNH PHẨM'!$B:$F,4,0),"")</f>
        <v/>
      </c>
      <c r="N483" s="291" t="str">
        <f>+IFERROR(VLOOKUP(K483,'THÀNH PHẨM'!$B:$F,5,0),"")</f>
        <v/>
      </c>
      <c r="O483" s="289"/>
      <c r="P483" s="292">
        <f t="shared" si="2"/>
        <v>0</v>
      </c>
      <c r="Q483" s="289"/>
      <c r="R483" s="289"/>
      <c r="S483" s="293">
        <f t="shared" si="62"/>
        <v>0</v>
      </c>
      <c r="T483" s="294"/>
      <c r="U483" s="295">
        <f t="shared" si="68"/>
        <v>0</v>
      </c>
      <c r="V483" s="296"/>
      <c r="W483" s="297"/>
      <c r="X483" s="298"/>
      <c r="Y483" s="292" t="str">
        <f t="shared" si="69"/>
        <v/>
      </c>
      <c r="Z483" s="366">
        <f t="shared" si="70"/>
        <v>0</v>
      </c>
      <c r="AA483" s="299" t="str">
        <f t="shared" si="71"/>
        <v/>
      </c>
      <c r="AB483" s="300"/>
      <c r="AC483" s="301"/>
      <c r="AD483" s="302"/>
      <c r="AE483" s="303"/>
      <c r="AF483" s="304"/>
      <c r="AG483" s="304"/>
      <c r="AH483" s="304"/>
      <c r="AI483" s="304"/>
      <c r="AJ483" s="304"/>
      <c r="AK483" s="305"/>
      <c r="AL483" s="283"/>
      <c r="AM483" s="284"/>
    </row>
    <row r="484" ht="15.75" customHeight="1">
      <c r="A484" s="282">
        <f t="shared" si="1"/>
        <v>480</v>
      </c>
      <c r="B484" s="283"/>
      <c r="C484" s="284"/>
      <c r="D484" s="338"/>
      <c r="E484" s="286"/>
      <c r="F484" s="287"/>
      <c r="G484" s="288" t="str">
        <f>+IFERROR(VLOOKUP(F484,NVL!$B:$C,2,0),"")</f>
        <v/>
      </c>
      <c r="H484" s="288" t="str">
        <f>+IFERROR(VLOOKUP(F484,NVL!$B:$D,3,0),"")</f>
        <v/>
      </c>
      <c r="I484" s="288" t="str">
        <f>+IFERROR(VLOOKUP(F484,NVL!$B:$F,4,0),"")</f>
        <v/>
      </c>
      <c r="J484" s="289"/>
      <c r="K484" s="290"/>
      <c r="L484" s="291" t="str">
        <f>+IFERROR(VLOOKUP(K484,'THÀNH PHẨM'!$B:$F,3,0),"")</f>
        <v/>
      </c>
      <c r="M484" s="291" t="str">
        <f>+IFERROR(VLOOKUP(K484,'THÀNH PHẨM'!$B:$F,4,0),"")</f>
        <v/>
      </c>
      <c r="N484" s="291" t="str">
        <f>+IFERROR(VLOOKUP(K484,'THÀNH PHẨM'!$B:$F,5,0),"")</f>
        <v/>
      </c>
      <c r="O484" s="289"/>
      <c r="P484" s="292">
        <f t="shared" si="2"/>
        <v>0</v>
      </c>
      <c r="Q484" s="289"/>
      <c r="R484" s="289"/>
      <c r="S484" s="293">
        <f t="shared" si="62"/>
        <v>0</v>
      </c>
      <c r="T484" s="294"/>
      <c r="U484" s="295">
        <f t="shared" si="68"/>
        <v>0</v>
      </c>
      <c r="V484" s="296"/>
      <c r="W484" s="297"/>
      <c r="X484" s="298"/>
      <c r="Y484" s="292" t="str">
        <f t="shared" si="69"/>
        <v/>
      </c>
      <c r="Z484" s="366">
        <f t="shared" si="70"/>
        <v>0</v>
      </c>
      <c r="AA484" s="299" t="str">
        <f t="shared" si="71"/>
        <v/>
      </c>
      <c r="AB484" s="300"/>
      <c r="AC484" s="301"/>
      <c r="AD484" s="302"/>
      <c r="AE484" s="303"/>
      <c r="AF484" s="304"/>
      <c r="AG484" s="304"/>
      <c r="AH484" s="304"/>
      <c r="AI484" s="304"/>
      <c r="AJ484" s="304"/>
      <c r="AK484" s="305"/>
      <c r="AL484" s="283"/>
      <c r="AM484" s="284"/>
    </row>
    <row r="485" ht="15.75" customHeight="1">
      <c r="A485" s="282">
        <f t="shared" si="1"/>
        <v>481</v>
      </c>
      <c r="B485" s="283"/>
      <c r="C485" s="284"/>
      <c r="D485" s="338"/>
      <c r="E485" s="286"/>
      <c r="F485" s="287"/>
      <c r="G485" s="288" t="str">
        <f>+IFERROR(VLOOKUP(F485,NVL!$B:$C,2,0),"")</f>
        <v/>
      </c>
      <c r="H485" s="288" t="str">
        <f>+IFERROR(VLOOKUP(F485,NVL!$B:$D,3,0),"")</f>
        <v/>
      </c>
      <c r="I485" s="288" t="str">
        <f>+IFERROR(VLOOKUP(F485,NVL!$B:$F,4,0),"")</f>
        <v/>
      </c>
      <c r="J485" s="289"/>
      <c r="K485" s="290"/>
      <c r="L485" s="291" t="str">
        <f>+IFERROR(VLOOKUP(K485,'THÀNH PHẨM'!$B:$F,3,0),"")</f>
        <v/>
      </c>
      <c r="M485" s="291" t="str">
        <f>+IFERROR(VLOOKUP(K485,'THÀNH PHẨM'!$B:$F,4,0),"")</f>
        <v/>
      </c>
      <c r="N485" s="291" t="str">
        <f>+IFERROR(VLOOKUP(K485,'THÀNH PHẨM'!$B:$F,5,0),"")</f>
        <v/>
      </c>
      <c r="O485" s="289"/>
      <c r="P485" s="292">
        <f t="shared" si="2"/>
        <v>0</v>
      </c>
      <c r="Q485" s="289"/>
      <c r="R485" s="289"/>
      <c r="S485" s="293">
        <f t="shared" si="62"/>
        <v>0</v>
      </c>
      <c r="T485" s="294"/>
      <c r="U485" s="295">
        <f t="shared" si="68"/>
        <v>0</v>
      </c>
      <c r="V485" s="296"/>
      <c r="W485" s="297"/>
      <c r="X485" s="298"/>
      <c r="Y485" s="292" t="str">
        <f t="shared" si="69"/>
        <v/>
      </c>
      <c r="Z485" s="366">
        <f t="shared" si="70"/>
        <v>0</v>
      </c>
      <c r="AA485" s="299" t="str">
        <f t="shared" si="71"/>
        <v/>
      </c>
      <c r="AB485" s="300"/>
      <c r="AC485" s="301"/>
      <c r="AD485" s="302"/>
      <c r="AE485" s="303"/>
      <c r="AF485" s="304"/>
      <c r="AG485" s="304"/>
      <c r="AH485" s="304"/>
      <c r="AI485" s="304"/>
      <c r="AJ485" s="304"/>
      <c r="AK485" s="305"/>
      <c r="AL485" s="283"/>
      <c r="AM485" s="284"/>
    </row>
    <row r="486" ht="15.75" customHeight="1">
      <c r="A486" s="282">
        <f t="shared" si="1"/>
        <v>482</v>
      </c>
      <c r="B486" s="283"/>
      <c r="C486" s="284"/>
      <c r="D486" s="338"/>
      <c r="E486" s="286"/>
      <c r="F486" s="287"/>
      <c r="G486" s="288" t="str">
        <f>+IFERROR(VLOOKUP(F486,NVL!$B:$C,2,0),"")</f>
        <v/>
      </c>
      <c r="H486" s="288" t="str">
        <f>+IFERROR(VLOOKUP(F486,NVL!$B:$D,3,0),"")</f>
        <v/>
      </c>
      <c r="I486" s="288" t="str">
        <f>+IFERROR(VLOOKUP(F486,NVL!$B:$F,4,0),"")</f>
        <v/>
      </c>
      <c r="J486" s="289"/>
      <c r="K486" s="290"/>
      <c r="L486" s="291" t="str">
        <f>+IFERROR(VLOOKUP(K486,'THÀNH PHẨM'!$B:$F,3,0),"")</f>
        <v/>
      </c>
      <c r="M486" s="291" t="str">
        <f>+IFERROR(VLOOKUP(K486,'THÀNH PHẨM'!$B:$F,4,0),"")</f>
        <v/>
      </c>
      <c r="N486" s="291" t="str">
        <f>+IFERROR(VLOOKUP(K486,'THÀNH PHẨM'!$B:$F,5,0),"")</f>
        <v/>
      </c>
      <c r="O486" s="289"/>
      <c r="P486" s="292">
        <f t="shared" si="2"/>
        <v>0</v>
      </c>
      <c r="Q486" s="289"/>
      <c r="R486" s="289"/>
      <c r="S486" s="293">
        <f t="shared" si="62"/>
        <v>0</v>
      </c>
      <c r="T486" s="294"/>
      <c r="U486" s="295">
        <f t="shared" si="68"/>
        <v>0</v>
      </c>
      <c r="V486" s="296"/>
      <c r="W486" s="297"/>
      <c r="X486" s="298"/>
      <c r="Y486" s="292" t="str">
        <f t="shared" si="69"/>
        <v/>
      </c>
      <c r="Z486" s="366">
        <f t="shared" si="70"/>
        <v>0</v>
      </c>
      <c r="AA486" s="299" t="str">
        <f t="shared" si="71"/>
        <v/>
      </c>
      <c r="AB486" s="300"/>
      <c r="AC486" s="301"/>
      <c r="AD486" s="302"/>
      <c r="AE486" s="303"/>
      <c r="AF486" s="304"/>
      <c r="AG486" s="304"/>
      <c r="AH486" s="304"/>
      <c r="AI486" s="304"/>
      <c r="AJ486" s="304"/>
      <c r="AK486" s="305"/>
      <c r="AL486" s="283"/>
      <c r="AM486" s="284"/>
    </row>
    <row r="487" ht="15.75" customHeight="1">
      <c r="A487" s="282">
        <f t="shared" si="1"/>
        <v>483</v>
      </c>
      <c r="B487" s="283"/>
      <c r="C487" s="284"/>
      <c r="D487" s="338"/>
      <c r="E487" s="286"/>
      <c r="F487" s="287"/>
      <c r="G487" s="288" t="str">
        <f>+IFERROR(VLOOKUP(F487,NVL!$B:$C,2,0),"")</f>
        <v/>
      </c>
      <c r="H487" s="288" t="str">
        <f>+IFERROR(VLOOKUP(F487,NVL!$B:$D,3,0),"")</f>
        <v/>
      </c>
      <c r="I487" s="288" t="str">
        <f>+IFERROR(VLOOKUP(F487,NVL!$B:$F,4,0),"")</f>
        <v/>
      </c>
      <c r="J487" s="289"/>
      <c r="K487" s="290"/>
      <c r="L487" s="291" t="str">
        <f>+IFERROR(VLOOKUP(K487,'THÀNH PHẨM'!$B:$F,3,0),"")</f>
        <v/>
      </c>
      <c r="M487" s="291" t="str">
        <f>+IFERROR(VLOOKUP(K487,'THÀNH PHẨM'!$B:$F,4,0),"")</f>
        <v/>
      </c>
      <c r="N487" s="291" t="str">
        <f>+IFERROR(VLOOKUP(K487,'THÀNH PHẨM'!$B:$F,5,0),"")</f>
        <v/>
      </c>
      <c r="O487" s="289"/>
      <c r="P487" s="292">
        <f t="shared" si="2"/>
        <v>0</v>
      </c>
      <c r="Q487" s="289"/>
      <c r="R487" s="289"/>
      <c r="S487" s="293">
        <f t="shared" si="62"/>
        <v>0</v>
      </c>
      <c r="T487" s="294"/>
      <c r="U487" s="295">
        <f t="shared" si="68"/>
        <v>0</v>
      </c>
      <c r="V487" s="296"/>
      <c r="W487" s="297"/>
      <c r="X487" s="298"/>
      <c r="Y487" s="292" t="str">
        <f t="shared" si="69"/>
        <v/>
      </c>
      <c r="Z487" s="366">
        <f t="shared" si="70"/>
        <v>0</v>
      </c>
      <c r="AA487" s="299" t="str">
        <f t="shared" si="71"/>
        <v/>
      </c>
      <c r="AB487" s="300"/>
      <c r="AC487" s="301"/>
      <c r="AD487" s="302"/>
      <c r="AE487" s="303"/>
      <c r="AF487" s="304"/>
      <c r="AG487" s="304"/>
      <c r="AH487" s="304"/>
      <c r="AI487" s="304"/>
      <c r="AJ487" s="304"/>
      <c r="AK487" s="305"/>
      <c r="AL487" s="283"/>
      <c r="AM487" s="284"/>
    </row>
    <row r="488" ht="15.75" customHeight="1">
      <c r="A488" s="282">
        <f t="shared" si="1"/>
        <v>484</v>
      </c>
      <c r="B488" s="283"/>
      <c r="C488" s="284"/>
      <c r="D488" s="338"/>
      <c r="E488" s="286"/>
      <c r="F488" s="287"/>
      <c r="G488" s="288" t="str">
        <f>+IFERROR(VLOOKUP(F488,NVL!$B:$C,2,0),"")</f>
        <v/>
      </c>
      <c r="H488" s="288" t="str">
        <f>+IFERROR(VLOOKUP(F488,NVL!$B:$D,3,0),"")</f>
        <v/>
      </c>
      <c r="I488" s="288" t="str">
        <f>+IFERROR(VLOOKUP(F488,NVL!$B:$F,4,0),"")</f>
        <v/>
      </c>
      <c r="J488" s="289"/>
      <c r="K488" s="290"/>
      <c r="L488" s="291" t="str">
        <f>+IFERROR(VLOOKUP(K488,'THÀNH PHẨM'!$B:$F,3,0),"")</f>
        <v/>
      </c>
      <c r="M488" s="291" t="str">
        <f>+IFERROR(VLOOKUP(K488,'THÀNH PHẨM'!$B:$F,4,0),"")</f>
        <v/>
      </c>
      <c r="N488" s="291" t="str">
        <f>+IFERROR(VLOOKUP(K488,'THÀNH PHẨM'!$B:$F,5,0),"")</f>
        <v/>
      </c>
      <c r="O488" s="289"/>
      <c r="P488" s="292">
        <f t="shared" si="2"/>
        <v>0</v>
      </c>
      <c r="Q488" s="289"/>
      <c r="R488" s="289"/>
      <c r="S488" s="293">
        <f t="shared" si="62"/>
        <v>0</v>
      </c>
      <c r="T488" s="294"/>
      <c r="U488" s="295">
        <f t="shared" si="68"/>
        <v>0</v>
      </c>
      <c r="V488" s="296"/>
      <c r="W488" s="297"/>
      <c r="X488" s="298"/>
      <c r="Y488" s="292" t="str">
        <f t="shared" si="69"/>
        <v/>
      </c>
      <c r="Z488" s="366">
        <f t="shared" si="70"/>
        <v>0</v>
      </c>
      <c r="AA488" s="299" t="str">
        <f t="shared" si="71"/>
        <v/>
      </c>
      <c r="AB488" s="300"/>
      <c r="AC488" s="301"/>
      <c r="AD488" s="302"/>
      <c r="AE488" s="303"/>
      <c r="AF488" s="304"/>
      <c r="AG488" s="304"/>
      <c r="AH488" s="304"/>
      <c r="AI488" s="304"/>
      <c r="AJ488" s="304"/>
      <c r="AK488" s="305"/>
      <c r="AL488" s="283"/>
      <c r="AM488" s="284"/>
    </row>
    <row r="489" ht="15.75" customHeight="1">
      <c r="A489" s="282">
        <f t="shared" si="1"/>
        <v>485</v>
      </c>
      <c r="B489" s="283"/>
      <c r="C489" s="284"/>
      <c r="D489" s="338"/>
      <c r="E489" s="286"/>
      <c r="F489" s="287"/>
      <c r="G489" s="288" t="str">
        <f>+IFERROR(VLOOKUP(F489,NVL!$B:$C,2,0),"")</f>
        <v/>
      </c>
      <c r="H489" s="288" t="str">
        <f>+IFERROR(VLOOKUP(F489,NVL!$B:$D,3,0),"")</f>
        <v/>
      </c>
      <c r="I489" s="288" t="str">
        <f>+IFERROR(VLOOKUP(F489,NVL!$B:$F,4,0),"")</f>
        <v/>
      </c>
      <c r="J489" s="289"/>
      <c r="K489" s="290"/>
      <c r="L489" s="291" t="str">
        <f>+IFERROR(VLOOKUP(K489,'THÀNH PHẨM'!$B:$F,3,0),"")</f>
        <v/>
      </c>
      <c r="M489" s="291" t="str">
        <f>+IFERROR(VLOOKUP(K489,'THÀNH PHẨM'!$B:$F,4,0),"")</f>
        <v/>
      </c>
      <c r="N489" s="291" t="str">
        <f>+IFERROR(VLOOKUP(K489,'THÀNH PHẨM'!$B:$F,5,0),"")</f>
        <v/>
      </c>
      <c r="O489" s="289"/>
      <c r="P489" s="292">
        <f t="shared" si="2"/>
        <v>0</v>
      </c>
      <c r="Q489" s="289"/>
      <c r="R489" s="289"/>
      <c r="S489" s="293">
        <f t="shared" si="62"/>
        <v>0</v>
      </c>
      <c r="T489" s="294"/>
      <c r="U489" s="295">
        <f t="shared" si="68"/>
        <v>0</v>
      </c>
      <c r="V489" s="296"/>
      <c r="W489" s="297"/>
      <c r="X489" s="298"/>
      <c r="Y489" s="292" t="str">
        <f t="shared" si="69"/>
        <v/>
      </c>
      <c r="Z489" s="366">
        <f t="shared" si="70"/>
        <v>0</v>
      </c>
      <c r="AA489" s="299" t="str">
        <f t="shared" si="71"/>
        <v/>
      </c>
      <c r="AB489" s="300"/>
      <c r="AC489" s="301"/>
      <c r="AD489" s="302"/>
      <c r="AE489" s="303"/>
      <c r="AF489" s="304"/>
      <c r="AG489" s="304"/>
      <c r="AH489" s="304"/>
      <c r="AI489" s="304"/>
      <c r="AJ489" s="304"/>
      <c r="AK489" s="305"/>
      <c r="AL489" s="283"/>
      <c r="AM489" s="284"/>
    </row>
    <row r="490" ht="15.75" customHeight="1">
      <c r="A490" s="282">
        <f t="shared" si="1"/>
        <v>486</v>
      </c>
      <c r="B490" s="283"/>
      <c r="C490" s="284"/>
      <c r="D490" s="338"/>
      <c r="E490" s="286"/>
      <c r="F490" s="287"/>
      <c r="G490" s="288" t="str">
        <f>+IFERROR(VLOOKUP(F490,NVL!$B:$C,2,0),"")</f>
        <v/>
      </c>
      <c r="H490" s="288" t="str">
        <f>+IFERROR(VLOOKUP(F490,NVL!$B:$D,3,0),"")</f>
        <v/>
      </c>
      <c r="I490" s="288" t="str">
        <f>+IFERROR(VLOOKUP(F490,NVL!$B:$F,4,0),"")</f>
        <v/>
      </c>
      <c r="J490" s="289"/>
      <c r="K490" s="290"/>
      <c r="L490" s="291" t="str">
        <f>+IFERROR(VLOOKUP(K490,'THÀNH PHẨM'!$B:$F,3,0),"")</f>
        <v/>
      </c>
      <c r="M490" s="291" t="str">
        <f>+IFERROR(VLOOKUP(K490,'THÀNH PHẨM'!$B:$F,4,0),"")</f>
        <v/>
      </c>
      <c r="N490" s="291" t="str">
        <f>+IFERROR(VLOOKUP(K490,'THÀNH PHẨM'!$B:$F,5,0),"")</f>
        <v/>
      </c>
      <c r="O490" s="289"/>
      <c r="P490" s="292">
        <f t="shared" si="2"/>
        <v>0</v>
      </c>
      <c r="Q490" s="289"/>
      <c r="R490" s="289"/>
      <c r="S490" s="293">
        <f t="shared" si="62"/>
        <v>0</v>
      </c>
      <c r="T490" s="294"/>
      <c r="U490" s="295">
        <f t="shared" si="68"/>
        <v>0</v>
      </c>
      <c r="V490" s="296"/>
      <c r="W490" s="297"/>
      <c r="X490" s="298"/>
      <c r="Y490" s="292" t="str">
        <f t="shared" si="69"/>
        <v/>
      </c>
      <c r="Z490" s="366">
        <f t="shared" si="70"/>
        <v>0</v>
      </c>
      <c r="AA490" s="299" t="str">
        <f t="shared" si="71"/>
        <v/>
      </c>
      <c r="AB490" s="300"/>
      <c r="AC490" s="301"/>
      <c r="AD490" s="302"/>
      <c r="AE490" s="303"/>
      <c r="AF490" s="304"/>
      <c r="AG490" s="304"/>
      <c r="AH490" s="304"/>
      <c r="AI490" s="304"/>
      <c r="AJ490" s="304"/>
      <c r="AK490" s="305"/>
      <c r="AL490" s="283"/>
      <c r="AM490" s="284"/>
    </row>
    <row r="491" ht="15.75" customHeight="1">
      <c r="A491" s="282">
        <f t="shared" si="1"/>
        <v>487</v>
      </c>
      <c r="B491" s="283"/>
      <c r="C491" s="284"/>
      <c r="D491" s="338"/>
      <c r="E491" s="286"/>
      <c r="F491" s="287"/>
      <c r="G491" s="288" t="str">
        <f>+IFERROR(VLOOKUP(F491,NVL!$B:$C,2,0),"")</f>
        <v/>
      </c>
      <c r="H491" s="288" t="str">
        <f>+IFERROR(VLOOKUP(F491,NVL!$B:$D,3,0),"")</f>
        <v/>
      </c>
      <c r="I491" s="288" t="str">
        <f>+IFERROR(VLOOKUP(F491,NVL!$B:$F,4,0),"")</f>
        <v/>
      </c>
      <c r="J491" s="289"/>
      <c r="K491" s="290"/>
      <c r="L491" s="291" t="str">
        <f>+IFERROR(VLOOKUP(K491,'THÀNH PHẨM'!$B:$F,3,0),"")</f>
        <v/>
      </c>
      <c r="M491" s="291" t="str">
        <f>+IFERROR(VLOOKUP(K491,'THÀNH PHẨM'!$B:$F,4,0),"")</f>
        <v/>
      </c>
      <c r="N491" s="291" t="str">
        <f>+IFERROR(VLOOKUP(K491,'THÀNH PHẨM'!$B:$F,5,0),"")</f>
        <v/>
      </c>
      <c r="O491" s="289"/>
      <c r="P491" s="292">
        <f t="shared" si="2"/>
        <v>0</v>
      </c>
      <c r="Q491" s="289"/>
      <c r="R491" s="289"/>
      <c r="S491" s="293">
        <f t="shared" si="62"/>
        <v>0</v>
      </c>
      <c r="T491" s="294"/>
      <c r="U491" s="295">
        <f t="shared" si="68"/>
        <v>0</v>
      </c>
      <c r="V491" s="296"/>
      <c r="W491" s="297"/>
      <c r="X491" s="298"/>
      <c r="Y491" s="292" t="str">
        <f t="shared" si="69"/>
        <v/>
      </c>
      <c r="Z491" s="366">
        <f t="shared" si="70"/>
        <v>0</v>
      </c>
      <c r="AA491" s="299" t="str">
        <f t="shared" si="71"/>
        <v/>
      </c>
      <c r="AB491" s="300"/>
      <c r="AC491" s="301"/>
      <c r="AD491" s="302"/>
      <c r="AE491" s="303"/>
      <c r="AF491" s="304"/>
      <c r="AG491" s="304"/>
      <c r="AH491" s="304"/>
      <c r="AI491" s="304"/>
      <c r="AJ491" s="304"/>
      <c r="AK491" s="305"/>
      <c r="AL491" s="283"/>
      <c r="AM491" s="284"/>
    </row>
    <row r="492" ht="15.75" customHeight="1">
      <c r="A492" s="282">
        <f t="shared" si="1"/>
        <v>488</v>
      </c>
      <c r="B492" s="283"/>
      <c r="C492" s="284"/>
      <c r="D492" s="338"/>
      <c r="E492" s="286"/>
      <c r="F492" s="287"/>
      <c r="G492" s="288" t="str">
        <f>+IFERROR(VLOOKUP(F492,NVL!$B:$C,2,0),"")</f>
        <v/>
      </c>
      <c r="H492" s="288" t="str">
        <f>+IFERROR(VLOOKUP(F492,NVL!$B:$D,3,0),"")</f>
        <v/>
      </c>
      <c r="I492" s="288" t="str">
        <f>+IFERROR(VLOOKUP(F492,NVL!$B:$F,4,0),"")</f>
        <v/>
      </c>
      <c r="J492" s="289"/>
      <c r="K492" s="290"/>
      <c r="L492" s="291" t="str">
        <f>+IFERROR(VLOOKUP(K492,'THÀNH PHẨM'!$B:$F,3,0),"")</f>
        <v/>
      </c>
      <c r="M492" s="291" t="str">
        <f>+IFERROR(VLOOKUP(K492,'THÀNH PHẨM'!$B:$F,4,0),"")</f>
        <v/>
      </c>
      <c r="N492" s="291" t="str">
        <f>+IFERROR(VLOOKUP(K492,'THÀNH PHẨM'!$B:$F,5,0),"")</f>
        <v/>
      </c>
      <c r="O492" s="289"/>
      <c r="P492" s="292">
        <f t="shared" si="2"/>
        <v>0</v>
      </c>
      <c r="Q492" s="289"/>
      <c r="R492" s="289"/>
      <c r="S492" s="293">
        <f t="shared" si="62"/>
        <v>0</v>
      </c>
      <c r="T492" s="294"/>
      <c r="U492" s="295">
        <f t="shared" si="68"/>
        <v>0</v>
      </c>
      <c r="V492" s="296"/>
      <c r="W492" s="297"/>
      <c r="X492" s="298"/>
      <c r="Y492" s="292" t="str">
        <f t="shared" si="69"/>
        <v/>
      </c>
      <c r="Z492" s="366">
        <f t="shared" si="70"/>
        <v>0</v>
      </c>
      <c r="AA492" s="299" t="str">
        <f t="shared" si="71"/>
        <v/>
      </c>
      <c r="AB492" s="300"/>
      <c r="AC492" s="301"/>
      <c r="AD492" s="302"/>
      <c r="AE492" s="303"/>
      <c r="AF492" s="304"/>
      <c r="AG492" s="304"/>
      <c r="AH492" s="304"/>
      <c r="AI492" s="304"/>
      <c r="AJ492" s="304"/>
      <c r="AK492" s="305"/>
      <c r="AL492" s="283"/>
      <c r="AM492" s="284"/>
    </row>
    <row r="493" ht="15.75" customHeight="1">
      <c r="A493" s="282">
        <f t="shared" si="1"/>
        <v>489</v>
      </c>
      <c r="B493" s="283"/>
      <c r="C493" s="335"/>
      <c r="D493" s="338"/>
      <c r="E493" s="286"/>
      <c r="F493" s="287"/>
      <c r="G493" s="288" t="str">
        <f>+IFERROR(VLOOKUP(F493,NVL!$B:$C,2,0),"")</f>
        <v/>
      </c>
      <c r="H493" s="288" t="str">
        <f>+IFERROR(VLOOKUP(F493,NVL!$B:$D,3,0),"")</f>
        <v/>
      </c>
      <c r="I493" s="288" t="str">
        <f>+IFERROR(VLOOKUP(F493,NVL!$B:$F,4,0),"")</f>
        <v/>
      </c>
      <c r="J493" s="289"/>
      <c r="K493" s="290"/>
      <c r="L493" s="291" t="str">
        <f>+IFERROR(VLOOKUP(K493,'THÀNH PHẨM'!$B:$F,3,0),"")</f>
        <v/>
      </c>
      <c r="M493" s="291" t="str">
        <f>+IFERROR(VLOOKUP(K493,'THÀNH PHẨM'!$B:$F,4,0),"")</f>
        <v/>
      </c>
      <c r="N493" s="291" t="str">
        <f>+IFERROR(VLOOKUP(K493,'THÀNH PHẨM'!$B:$F,5,0),"")</f>
        <v/>
      </c>
      <c r="O493" s="289"/>
      <c r="P493" s="292">
        <f t="shared" si="2"/>
        <v>0</v>
      </c>
      <c r="Q493" s="289"/>
      <c r="R493" s="289"/>
      <c r="S493" s="293">
        <f t="shared" si="62"/>
        <v>0</v>
      </c>
      <c r="T493" s="294"/>
      <c r="U493" s="295">
        <f t="shared" si="68"/>
        <v>0</v>
      </c>
      <c r="V493" s="296"/>
      <c r="W493" s="297"/>
      <c r="X493" s="298"/>
      <c r="Y493" s="292" t="str">
        <f t="shared" si="69"/>
        <v/>
      </c>
      <c r="Z493" s="366">
        <f t="shared" si="70"/>
        <v>0</v>
      </c>
      <c r="AA493" s="299" t="str">
        <f t="shared" si="71"/>
        <v/>
      </c>
      <c r="AB493" s="300"/>
      <c r="AC493" s="301"/>
      <c r="AD493" s="302"/>
      <c r="AE493" s="303"/>
      <c r="AF493" s="304"/>
      <c r="AG493" s="304"/>
      <c r="AH493" s="304"/>
      <c r="AI493" s="304"/>
      <c r="AJ493" s="304"/>
      <c r="AK493" s="305"/>
      <c r="AL493" s="283"/>
      <c r="AM493" s="459"/>
    </row>
    <row r="494" ht="15.75" customHeight="1">
      <c r="A494" s="282">
        <f t="shared" si="1"/>
        <v>490</v>
      </c>
      <c r="B494" s="283"/>
      <c r="C494" s="284"/>
      <c r="D494" s="338"/>
      <c r="E494" s="286"/>
      <c r="F494" s="287"/>
      <c r="G494" s="288" t="str">
        <f>+IFERROR(VLOOKUP(F494,NVL!$B:$C,2,0),"")</f>
        <v/>
      </c>
      <c r="H494" s="288" t="str">
        <f>+IFERROR(VLOOKUP(F494,NVL!$B:$D,3,0),"")</f>
        <v/>
      </c>
      <c r="I494" s="288" t="str">
        <f>+IFERROR(VLOOKUP(F494,NVL!$B:$F,4,0),"")</f>
        <v/>
      </c>
      <c r="J494" s="289"/>
      <c r="K494" s="290"/>
      <c r="L494" s="291" t="str">
        <f>+IFERROR(VLOOKUP(K494,'THÀNH PHẨM'!$B:$F,3,0),"")</f>
        <v/>
      </c>
      <c r="M494" s="291" t="str">
        <f>+IFERROR(VLOOKUP(K494,'THÀNH PHẨM'!$B:$F,4,0),"")</f>
        <v/>
      </c>
      <c r="N494" s="291" t="str">
        <f>+IFERROR(VLOOKUP(K494,'THÀNH PHẨM'!$B:$F,5,0),"")</f>
        <v/>
      </c>
      <c r="O494" s="289"/>
      <c r="P494" s="292">
        <f t="shared" si="2"/>
        <v>0</v>
      </c>
      <c r="Q494" s="289"/>
      <c r="R494" s="289"/>
      <c r="S494" s="293">
        <f t="shared" si="62"/>
        <v>0</v>
      </c>
      <c r="T494" s="294"/>
      <c r="U494" s="295">
        <f t="shared" si="68"/>
        <v>0</v>
      </c>
      <c r="V494" s="296"/>
      <c r="W494" s="297"/>
      <c r="X494" s="298"/>
      <c r="Y494" s="292" t="str">
        <f t="shared" si="69"/>
        <v/>
      </c>
      <c r="Z494" s="366">
        <f t="shared" si="70"/>
        <v>0</v>
      </c>
      <c r="AA494" s="299" t="str">
        <f t="shared" si="71"/>
        <v/>
      </c>
      <c r="AB494" s="300"/>
      <c r="AC494" s="301"/>
      <c r="AD494" s="302"/>
      <c r="AE494" s="303"/>
      <c r="AF494" s="304"/>
      <c r="AG494" s="304"/>
      <c r="AH494" s="304"/>
      <c r="AI494" s="304"/>
      <c r="AJ494" s="304"/>
      <c r="AK494" s="305"/>
      <c r="AL494" s="283"/>
      <c r="AM494" s="284"/>
    </row>
    <row r="495" ht="15.75" customHeight="1">
      <c r="A495" s="282">
        <f t="shared" si="1"/>
        <v>491</v>
      </c>
      <c r="B495" s="283"/>
      <c r="C495" s="284"/>
      <c r="D495" s="338"/>
      <c r="E495" s="286"/>
      <c r="F495" s="287"/>
      <c r="G495" s="288" t="str">
        <f>+IFERROR(VLOOKUP(F495,NVL!$B:$C,2,0),"")</f>
        <v/>
      </c>
      <c r="H495" s="288" t="str">
        <f>+IFERROR(VLOOKUP(F495,NVL!$B:$D,3,0),"")</f>
        <v/>
      </c>
      <c r="I495" s="288" t="str">
        <f>+IFERROR(VLOOKUP(F495,NVL!$B:$F,4,0),"")</f>
        <v/>
      </c>
      <c r="J495" s="289"/>
      <c r="K495" s="290"/>
      <c r="L495" s="291" t="str">
        <f>+IFERROR(VLOOKUP(K495,'THÀNH PHẨM'!$B:$F,3,0),"")</f>
        <v/>
      </c>
      <c r="M495" s="291" t="str">
        <f>+IFERROR(VLOOKUP(K495,'THÀNH PHẨM'!$B:$F,4,0),"")</f>
        <v/>
      </c>
      <c r="N495" s="291" t="str">
        <f>+IFERROR(VLOOKUP(K495,'THÀNH PHẨM'!$B:$F,5,0),"")</f>
        <v/>
      </c>
      <c r="O495" s="289"/>
      <c r="P495" s="292">
        <f t="shared" si="2"/>
        <v>0</v>
      </c>
      <c r="Q495" s="289"/>
      <c r="R495" s="289"/>
      <c r="S495" s="293">
        <f t="shared" si="62"/>
        <v>0</v>
      </c>
      <c r="T495" s="294"/>
      <c r="U495" s="295">
        <f t="shared" si="68"/>
        <v>0</v>
      </c>
      <c r="V495" s="296"/>
      <c r="W495" s="297"/>
      <c r="X495" s="298"/>
      <c r="Y495" s="292" t="str">
        <f t="shared" si="69"/>
        <v/>
      </c>
      <c r="Z495" s="366">
        <f t="shared" si="70"/>
        <v>0</v>
      </c>
      <c r="AA495" s="299" t="str">
        <f t="shared" si="71"/>
        <v/>
      </c>
      <c r="AB495" s="300"/>
      <c r="AC495" s="301"/>
      <c r="AD495" s="302"/>
      <c r="AE495" s="303"/>
      <c r="AF495" s="304"/>
      <c r="AG495" s="304"/>
      <c r="AH495" s="304"/>
      <c r="AI495" s="304"/>
      <c r="AJ495" s="304"/>
      <c r="AK495" s="305"/>
      <c r="AL495" s="283"/>
      <c r="AM495" s="459"/>
    </row>
    <row r="496" ht="15.75" customHeight="1">
      <c r="A496" s="282">
        <f t="shared" si="1"/>
        <v>492</v>
      </c>
      <c r="B496" s="283"/>
      <c r="C496" s="284"/>
      <c r="D496" s="338"/>
      <c r="E496" s="286"/>
      <c r="F496" s="287"/>
      <c r="G496" s="288" t="str">
        <f>+IFERROR(VLOOKUP(F496,NVL!$B:$C,2,0),"")</f>
        <v/>
      </c>
      <c r="H496" s="288" t="str">
        <f>+IFERROR(VLOOKUP(F496,NVL!$B:$D,3,0),"")</f>
        <v/>
      </c>
      <c r="I496" s="288" t="str">
        <f>+IFERROR(VLOOKUP(F496,NVL!$B:$F,4,0),"")</f>
        <v/>
      </c>
      <c r="J496" s="289"/>
      <c r="K496" s="290"/>
      <c r="L496" s="291" t="str">
        <f>+IFERROR(VLOOKUP(K496,'THÀNH PHẨM'!$B:$F,3,0),"")</f>
        <v/>
      </c>
      <c r="M496" s="291" t="str">
        <f>+IFERROR(VLOOKUP(K496,'THÀNH PHẨM'!$B:$F,4,0),"")</f>
        <v/>
      </c>
      <c r="N496" s="291" t="str">
        <f>+IFERROR(VLOOKUP(K496,'THÀNH PHẨM'!$B:$F,5,0),"")</f>
        <v/>
      </c>
      <c r="O496" s="289"/>
      <c r="P496" s="292">
        <f t="shared" si="2"/>
        <v>0</v>
      </c>
      <c r="Q496" s="289"/>
      <c r="R496" s="289"/>
      <c r="S496" s="293">
        <f t="shared" si="62"/>
        <v>0</v>
      </c>
      <c r="T496" s="294"/>
      <c r="U496" s="295">
        <f t="shared" si="68"/>
        <v>0</v>
      </c>
      <c r="V496" s="296"/>
      <c r="W496" s="297"/>
      <c r="X496" s="298"/>
      <c r="Y496" s="292" t="str">
        <f t="shared" si="69"/>
        <v/>
      </c>
      <c r="Z496" s="366">
        <f t="shared" si="70"/>
        <v>0</v>
      </c>
      <c r="AA496" s="299" t="str">
        <f t="shared" si="71"/>
        <v/>
      </c>
      <c r="AB496" s="300"/>
      <c r="AC496" s="301"/>
      <c r="AD496" s="302"/>
      <c r="AE496" s="303"/>
      <c r="AF496" s="304"/>
      <c r="AG496" s="304"/>
      <c r="AH496" s="304"/>
      <c r="AI496" s="304"/>
      <c r="AJ496" s="304"/>
      <c r="AK496" s="305"/>
      <c r="AL496" s="283"/>
      <c r="AM496" s="284"/>
    </row>
    <row r="497" ht="15.75" customHeight="1">
      <c r="A497" s="282">
        <f t="shared" si="1"/>
        <v>493</v>
      </c>
      <c r="B497" s="283"/>
      <c r="C497" s="284"/>
      <c r="D497" s="338"/>
      <c r="E497" s="286"/>
      <c r="F497" s="287"/>
      <c r="G497" s="288" t="str">
        <f>+IFERROR(VLOOKUP(F497,NVL!$B:$C,2,0),"")</f>
        <v/>
      </c>
      <c r="H497" s="288" t="str">
        <f>+IFERROR(VLOOKUP(F497,NVL!$B:$D,3,0),"")</f>
        <v/>
      </c>
      <c r="I497" s="288" t="str">
        <f>+IFERROR(VLOOKUP(F497,NVL!$B:$F,4,0),"")</f>
        <v/>
      </c>
      <c r="J497" s="289"/>
      <c r="K497" s="290"/>
      <c r="L497" s="291" t="str">
        <f>+IFERROR(VLOOKUP(K497,'THÀNH PHẨM'!$B:$F,3,0),"")</f>
        <v/>
      </c>
      <c r="M497" s="291" t="str">
        <f>+IFERROR(VLOOKUP(K497,'THÀNH PHẨM'!$B:$F,4,0),"")</f>
        <v/>
      </c>
      <c r="N497" s="291" t="str">
        <f>+IFERROR(VLOOKUP(K497,'THÀNH PHẨM'!$B:$F,5,0),"")</f>
        <v/>
      </c>
      <c r="O497" s="289"/>
      <c r="P497" s="292">
        <f t="shared" si="2"/>
        <v>0</v>
      </c>
      <c r="Q497" s="289"/>
      <c r="R497" s="289"/>
      <c r="S497" s="293">
        <f t="shared" si="62"/>
        <v>0</v>
      </c>
      <c r="T497" s="294"/>
      <c r="U497" s="295">
        <f t="shared" si="68"/>
        <v>0</v>
      </c>
      <c r="V497" s="296"/>
      <c r="W497" s="297"/>
      <c r="X497" s="298"/>
      <c r="Y497" s="292" t="str">
        <f t="shared" si="69"/>
        <v/>
      </c>
      <c r="Z497" s="366">
        <f t="shared" si="70"/>
        <v>0</v>
      </c>
      <c r="AA497" s="299" t="str">
        <f t="shared" si="71"/>
        <v/>
      </c>
      <c r="AB497" s="300"/>
      <c r="AC497" s="301"/>
      <c r="AD497" s="302"/>
      <c r="AE497" s="303"/>
      <c r="AF497" s="304"/>
      <c r="AG497" s="304"/>
      <c r="AH497" s="304"/>
      <c r="AI497" s="304"/>
      <c r="AJ497" s="304"/>
      <c r="AK497" s="305"/>
      <c r="AL497" s="283"/>
      <c r="AM497" s="284"/>
    </row>
    <row r="498" ht="15.75" customHeight="1">
      <c r="A498" s="282">
        <f t="shared" si="1"/>
        <v>494</v>
      </c>
      <c r="B498" s="283"/>
      <c r="C498" s="284"/>
      <c r="D498" s="338"/>
      <c r="E498" s="286"/>
      <c r="F498" s="287"/>
      <c r="G498" s="288" t="str">
        <f>+IFERROR(VLOOKUP(F498,NVL!$B:$C,2,0),"")</f>
        <v/>
      </c>
      <c r="H498" s="288" t="str">
        <f>+IFERROR(VLOOKUP(F498,NVL!$B:$D,3,0),"")</f>
        <v/>
      </c>
      <c r="I498" s="288" t="str">
        <f>+IFERROR(VLOOKUP(F498,NVL!$B:$F,4,0),"")</f>
        <v/>
      </c>
      <c r="J498" s="289"/>
      <c r="K498" s="290"/>
      <c r="L498" s="291" t="str">
        <f>+IFERROR(VLOOKUP(K498,'THÀNH PHẨM'!$B:$F,3,0),"")</f>
        <v/>
      </c>
      <c r="M498" s="291" t="str">
        <f>+IFERROR(VLOOKUP(K498,'THÀNH PHẨM'!$B:$F,4,0),"")</f>
        <v/>
      </c>
      <c r="N498" s="291" t="str">
        <f>+IFERROR(VLOOKUP(K498,'THÀNH PHẨM'!$B:$F,5,0),"")</f>
        <v/>
      </c>
      <c r="O498" s="289"/>
      <c r="P498" s="292">
        <f t="shared" si="2"/>
        <v>0</v>
      </c>
      <c r="Q498" s="289"/>
      <c r="R498" s="289"/>
      <c r="S498" s="293">
        <f t="shared" si="62"/>
        <v>0</v>
      </c>
      <c r="T498" s="294"/>
      <c r="U498" s="295">
        <f t="shared" si="68"/>
        <v>0</v>
      </c>
      <c r="V498" s="296"/>
      <c r="W498" s="297"/>
      <c r="X498" s="298"/>
      <c r="Y498" s="292" t="str">
        <f t="shared" si="69"/>
        <v/>
      </c>
      <c r="Z498" s="366">
        <f t="shared" si="70"/>
        <v>0</v>
      </c>
      <c r="AA498" s="299" t="str">
        <f t="shared" si="71"/>
        <v/>
      </c>
      <c r="AB498" s="300"/>
      <c r="AC498" s="301"/>
      <c r="AD498" s="302"/>
      <c r="AE498" s="303"/>
      <c r="AF498" s="304"/>
      <c r="AG498" s="304"/>
      <c r="AH498" s="304"/>
      <c r="AI498" s="304"/>
      <c r="AJ498" s="304"/>
      <c r="AK498" s="305"/>
      <c r="AL498" s="283"/>
      <c r="AM498" s="284"/>
    </row>
    <row r="499" ht="15.75" customHeight="1">
      <c r="A499" s="282">
        <f t="shared" si="1"/>
        <v>495</v>
      </c>
      <c r="B499" s="283"/>
      <c r="C499" s="284"/>
      <c r="D499" s="338"/>
      <c r="E499" s="286"/>
      <c r="F499" s="287"/>
      <c r="G499" s="288" t="str">
        <f>+IFERROR(VLOOKUP(F499,NVL!$B:$C,2,0),"")</f>
        <v/>
      </c>
      <c r="H499" s="288" t="str">
        <f>+IFERROR(VLOOKUP(F499,NVL!$B:$D,3,0),"")</f>
        <v/>
      </c>
      <c r="I499" s="288" t="str">
        <f>+IFERROR(VLOOKUP(F499,NVL!$B:$F,4,0),"")</f>
        <v/>
      </c>
      <c r="J499" s="289"/>
      <c r="K499" s="290"/>
      <c r="L499" s="291" t="str">
        <f>+IFERROR(VLOOKUP(K499,'THÀNH PHẨM'!$B:$F,3,0),"")</f>
        <v/>
      </c>
      <c r="M499" s="291" t="str">
        <f>+IFERROR(VLOOKUP(K499,'THÀNH PHẨM'!$B:$F,4,0),"")</f>
        <v/>
      </c>
      <c r="N499" s="291" t="str">
        <f>+IFERROR(VLOOKUP(K499,'THÀNH PHẨM'!$B:$F,5,0),"")</f>
        <v/>
      </c>
      <c r="O499" s="289"/>
      <c r="P499" s="292">
        <f t="shared" si="2"/>
        <v>0</v>
      </c>
      <c r="Q499" s="289"/>
      <c r="R499" s="289"/>
      <c r="S499" s="293">
        <f t="shared" si="62"/>
        <v>0</v>
      </c>
      <c r="T499" s="294"/>
      <c r="U499" s="295">
        <f t="shared" si="68"/>
        <v>0</v>
      </c>
      <c r="V499" s="296"/>
      <c r="W499" s="297"/>
      <c r="X499" s="298"/>
      <c r="Y499" s="292" t="str">
        <f t="shared" si="69"/>
        <v/>
      </c>
      <c r="Z499" s="366">
        <f t="shared" si="70"/>
        <v>0</v>
      </c>
      <c r="AA499" s="299" t="str">
        <f t="shared" si="71"/>
        <v/>
      </c>
      <c r="AB499" s="300"/>
      <c r="AC499" s="301"/>
      <c r="AD499" s="302"/>
      <c r="AE499" s="303"/>
      <c r="AF499" s="304"/>
      <c r="AG499" s="304"/>
      <c r="AH499" s="304"/>
      <c r="AI499" s="304"/>
      <c r="AJ499" s="304"/>
      <c r="AK499" s="305"/>
      <c r="AL499" s="283"/>
      <c r="AM499" s="284"/>
    </row>
    <row r="500" ht="15.75" customHeight="1">
      <c r="A500" s="282">
        <f t="shared" si="1"/>
        <v>496</v>
      </c>
      <c r="B500" s="283"/>
      <c r="C500" s="284"/>
      <c r="D500" s="338"/>
      <c r="E500" s="286"/>
      <c r="F500" s="287"/>
      <c r="G500" s="288" t="str">
        <f>+IFERROR(VLOOKUP(F500,NVL!$B:$C,2,0),"")</f>
        <v/>
      </c>
      <c r="H500" s="288" t="str">
        <f>+IFERROR(VLOOKUP(F500,NVL!$B:$D,3,0),"")</f>
        <v/>
      </c>
      <c r="I500" s="288" t="str">
        <f>+IFERROR(VLOOKUP(F500,NVL!$B:$F,4,0),"")</f>
        <v/>
      </c>
      <c r="J500" s="289"/>
      <c r="K500" s="290"/>
      <c r="L500" s="291" t="str">
        <f>+IFERROR(VLOOKUP(K500,'THÀNH PHẨM'!$B:$F,3,0),"")</f>
        <v/>
      </c>
      <c r="M500" s="291" t="str">
        <f>+IFERROR(VLOOKUP(K500,'THÀNH PHẨM'!$B:$F,4,0),"")</f>
        <v/>
      </c>
      <c r="N500" s="291" t="str">
        <f>+IFERROR(VLOOKUP(K500,'THÀNH PHẨM'!$B:$F,5,0),"")</f>
        <v/>
      </c>
      <c r="O500" s="289"/>
      <c r="P500" s="292">
        <f t="shared" si="2"/>
        <v>0</v>
      </c>
      <c r="Q500" s="289"/>
      <c r="R500" s="289"/>
      <c r="S500" s="293">
        <f t="shared" si="62"/>
        <v>0</v>
      </c>
      <c r="T500" s="294"/>
      <c r="U500" s="295">
        <f t="shared" si="68"/>
        <v>0</v>
      </c>
      <c r="V500" s="296"/>
      <c r="W500" s="297"/>
      <c r="X500" s="298"/>
      <c r="Y500" s="292" t="str">
        <f t="shared" si="69"/>
        <v/>
      </c>
      <c r="Z500" s="366">
        <f t="shared" si="70"/>
        <v>0</v>
      </c>
      <c r="AA500" s="299" t="str">
        <f t="shared" si="71"/>
        <v/>
      </c>
      <c r="AB500" s="300"/>
      <c r="AC500" s="301"/>
      <c r="AD500" s="302"/>
      <c r="AE500" s="303"/>
      <c r="AF500" s="304"/>
      <c r="AG500" s="304"/>
      <c r="AH500" s="304"/>
      <c r="AI500" s="304"/>
      <c r="AJ500" s="304"/>
      <c r="AK500" s="305"/>
      <c r="AL500" s="283"/>
      <c r="AM500" s="284"/>
    </row>
    <row r="501" ht="15.75" customHeight="1">
      <c r="A501" s="282">
        <f t="shared" si="1"/>
        <v>497</v>
      </c>
      <c r="B501" s="283"/>
      <c r="C501" s="284"/>
      <c r="D501" s="338"/>
      <c r="E501" s="286"/>
      <c r="F501" s="287"/>
      <c r="G501" s="288" t="str">
        <f>+IFERROR(VLOOKUP(F501,NVL!$B:$C,2,0),"")</f>
        <v/>
      </c>
      <c r="H501" s="288" t="str">
        <f>+IFERROR(VLOOKUP(F501,NVL!$B:$D,3,0),"")</f>
        <v/>
      </c>
      <c r="I501" s="288" t="str">
        <f>+IFERROR(VLOOKUP(F501,NVL!$B:$F,4,0),"")</f>
        <v/>
      </c>
      <c r="J501" s="289"/>
      <c r="K501" s="290"/>
      <c r="L501" s="291" t="str">
        <f>+IFERROR(VLOOKUP(K501,'THÀNH PHẨM'!$B:$F,3,0),"")</f>
        <v/>
      </c>
      <c r="M501" s="291" t="str">
        <f>+IFERROR(VLOOKUP(K501,'THÀNH PHẨM'!$B:$F,4,0),"")</f>
        <v/>
      </c>
      <c r="N501" s="291" t="str">
        <f>+IFERROR(VLOOKUP(K501,'THÀNH PHẨM'!$B:$F,5,0),"")</f>
        <v/>
      </c>
      <c r="O501" s="289"/>
      <c r="P501" s="292">
        <f t="shared" si="2"/>
        <v>0</v>
      </c>
      <c r="Q501" s="289"/>
      <c r="R501" s="289"/>
      <c r="S501" s="293">
        <f t="shared" si="62"/>
        <v>0</v>
      </c>
      <c r="T501" s="294"/>
      <c r="U501" s="295">
        <f t="shared" si="68"/>
        <v>0</v>
      </c>
      <c r="V501" s="296"/>
      <c r="W501" s="297"/>
      <c r="X501" s="298"/>
      <c r="Y501" s="292" t="str">
        <f t="shared" si="69"/>
        <v/>
      </c>
      <c r="Z501" s="366">
        <f t="shared" si="70"/>
        <v>0</v>
      </c>
      <c r="AA501" s="299" t="str">
        <f t="shared" si="71"/>
        <v/>
      </c>
      <c r="AB501" s="300"/>
      <c r="AC501" s="301"/>
      <c r="AD501" s="302"/>
      <c r="AE501" s="303"/>
      <c r="AF501" s="304"/>
      <c r="AG501" s="304"/>
      <c r="AH501" s="304"/>
      <c r="AI501" s="304"/>
      <c r="AJ501" s="304"/>
      <c r="AK501" s="305"/>
      <c r="AL501" s="283"/>
      <c r="AM501" s="284"/>
    </row>
    <row r="502" ht="15.75" customHeight="1">
      <c r="A502" s="282">
        <f t="shared" si="1"/>
        <v>498</v>
      </c>
      <c r="B502" s="283"/>
      <c r="C502" s="284"/>
      <c r="D502" s="338"/>
      <c r="E502" s="286"/>
      <c r="F502" s="287"/>
      <c r="G502" s="288" t="str">
        <f>+IFERROR(VLOOKUP(F502,NVL!$B:$C,2,0),"")</f>
        <v/>
      </c>
      <c r="H502" s="288" t="str">
        <f>+IFERROR(VLOOKUP(F502,NVL!$B:$D,3,0),"")</f>
        <v/>
      </c>
      <c r="I502" s="288" t="str">
        <f>+IFERROR(VLOOKUP(F502,NVL!$B:$F,4,0),"")</f>
        <v/>
      </c>
      <c r="J502" s="289"/>
      <c r="K502" s="290"/>
      <c r="L502" s="291" t="str">
        <f>+IFERROR(VLOOKUP(K502,'THÀNH PHẨM'!$B:$F,3,0),"")</f>
        <v/>
      </c>
      <c r="M502" s="291" t="str">
        <f>+IFERROR(VLOOKUP(K502,'THÀNH PHẨM'!$B:$F,4,0),"")</f>
        <v/>
      </c>
      <c r="N502" s="291" t="str">
        <f>+IFERROR(VLOOKUP(K502,'THÀNH PHẨM'!$B:$F,5,0),"")</f>
        <v/>
      </c>
      <c r="O502" s="289"/>
      <c r="P502" s="292">
        <f t="shared" si="2"/>
        <v>0</v>
      </c>
      <c r="Q502" s="289"/>
      <c r="R502" s="289"/>
      <c r="S502" s="293">
        <f t="shared" si="62"/>
        <v>0</v>
      </c>
      <c r="T502" s="294"/>
      <c r="U502" s="295">
        <f t="shared" si="68"/>
        <v>0</v>
      </c>
      <c r="V502" s="296"/>
      <c r="W502" s="297"/>
      <c r="X502" s="298"/>
      <c r="Y502" s="292" t="str">
        <f t="shared" si="69"/>
        <v/>
      </c>
      <c r="Z502" s="366">
        <f t="shared" si="70"/>
        <v>0</v>
      </c>
      <c r="AA502" s="299" t="str">
        <f t="shared" si="71"/>
        <v/>
      </c>
      <c r="AB502" s="300"/>
      <c r="AC502" s="301"/>
      <c r="AD502" s="302"/>
      <c r="AE502" s="303"/>
      <c r="AF502" s="304"/>
      <c r="AG502" s="304"/>
      <c r="AH502" s="304"/>
      <c r="AI502" s="304"/>
      <c r="AJ502" s="304"/>
      <c r="AK502" s="305"/>
      <c r="AL502" s="283"/>
      <c r="AM502" s="284"/>
    </row>
    <row r="503" ht="15.75" customHeight="1">
      <c r="A503" s="282">
        <f t="shared" si="1"/>
        <v>499</v>
      </c>
      <c r="B503" s="283"/>
      <c r="C503" s="284"/>
      <c r="D503" s="338"/>
      <c r="E503" s="286"/>
      <c r="F503" s="287"/>
      <c r="G503" s="288" t="str">
        <f>+IFERROR(VLOOKUP(F503,NVL!$B:$C,2,0),"")</f>
        <v/>
      </c>
      <c r="H503" s="288" t="str">
        <f>+IFERROR(VLOOKUP(F503,NVL!$B:$D,3,0),"")</f>
        <v/>
      </c>
      <c r="I503" s="288" t="str">
        <f>+IFERROR(VLOOKUP(F503,NVL!$B:$F,4,0),"")</f>
        <v/>
      </c>
      <c r="J503" s="289"/>
      <c r="K503" s="290"/>
      <c r="L503" s="291" t="str">
        <f>+IFERROR(VLOOKUP(K503,'THÀNH PHẨM'!$B:$F,3,0),"")</f>
        <v/>
      </c>
      <c r="M503" s="291" t="str">
        <f>+IFERROR(VLOOKUP(K503,'THÀNH PHẨM'!$B:$F,4,0),"")</f>
        <v/>
      </c>
      <c r="N503" s="291" t="str">
        <f>+IFERROR(VLOOKUP(K503,'THÀNH PHẨM'!$B:$F,5,0),"")</f>
        <v/>
      </c>
      <c r="O503" s="289"/>
      <c r="P503" s="292">
        <f t="shared" si="2"/>
        <v>0</v>
      </c>
      <c r="Q503" s="289"/>
      <c r="R503" s="289"/>
      <c r="S503" s="293">
        <f t="shared" si="62"/>
        <v>0</v>
      </c>
      <c r="T503" s="294"/>
      <c r="U503" s="295">
        <f t="shared" si="68"/>
        <v>0</v>
      </c>
      <c r="V503" s="296"/>
      <c r="W503" s="297"/>
      <c r="X503" s="298"/>
      <c r="Y503" s="292" t="str">
        <f t="shared" si="69"/>
        <v/>
      </c>
      <c r="Z503" s="366">
        <f t="shared" si="70"/>
        <v>0</v>
      </c>
      <c r="AA503" s="299" t="str">
        <f t="shared" si="71"/>
        <v/>
      </c>
      <c r="AB503" s="300"/>
      <c r="AC503" s="301"/>
      <c r="AD503" s="302"/>
      <c r="AE503" s="303"/>
      <c r="AF503" s="304"/>
      <c r="AG503" s="304"/>
      <c r="AH503" s="304"/>
      <c r="AI503" s="304"/>
      <c r="AJ503" s="304"/>
      <c r="AK503" s="305"/>
      <c r="AL503" s="283"/>
      <c r="AM503" s="284"/>
    </row>
    <row r="504" ht="15.75" customHeight="1">
      <c r="A504" s="282">
        <f t="shared" si="1"/>
        <v>500</v>
      </c>
      <c r="B504" s="283"/>
      <c r="C504" s="284"/>
      <c r="D504" s="338"/>
      <c r="E504" s="286"/>
      <c r="F504" s="287"/>
      <c r="G504" s="288" t="str">
        <f>+IFERROR(VLOOKUP(F504,NVL!$B:$C,2,0),"")</f>
        <v/>
      </c>
      <c r="H504" s="288" t="str">
        <f>+IFERROR(VLOOKUP(F504,NVL!$B:$D,3,0),"")</f>
        <v/>
      </c>
      <c r="I504" s="288" t="str">
        <f>+IFERROR(VLOOKUP(F504,NVL!$B:$F,4,0),"")</f>
        <v/>
      </c>
      <c r="J504" s="289"/>
      <c r="K504" s="290"/>
      <c r="L504" s="291" t="str">
        <f>+IFERROR(VLOOKUP(K504,'THÀNH PHẨM'!$B:$F,3,0),"")</f>
        <v/>
      </c>
      <c r="M504" s="291" t="str">
        <f>+IFERROR(VLOOKUP(K504,'THÀNH PHẨM'!$B:$F,4,0),"")</f>
        <v/>
      </c>
      <c r="N504" s="291" t="str">
        <f>+IFERROR(VLOOKUP(K504,'THÀNH PHẨM'!$B:$F,5,0),"")</f>
        <v/>
      </c>
      <c r="O504" s="289"/>
      <c r="P504" s="292">
        <f t="shared" si="2"/>
        <v>0</v>
      </c>
      <c r="Q504" s="289"/>
      <c r="R504" s="289"/>
      <c r="S504" s="293">
        <f t="shared" si="62"/>
        <v>0</v>
      </c>
      <c r="T504" s="294"/>
      <c r="U504" s="295">
        <f t="shared" si="68"/>
        <v>0</v>
      </c>
      <c r="V504" s="296"/>
      <c r="W504" s="297"/>
      <c r="X504" s="298"/>
      <c r="Y504" s="292" t="str">
        <f t="shared" si="69"/>
        <v/>
      </c>
      <c r="Z504" s="366">
        <f t="shared" si="70"/>
        <v>0</v>
      </c>
      <c r="AA504" s="299" t="str">
        <f t="shared" si="71"/>
        <v/>
      </c>
      <c r="AB504" s="300"/>
      <c r="AC504" s="301"/>
      <c r="AD504" s="302"/>
      <c r="AE504" s="303"/>
      <c r="AF504" s="304"/>
      <c r="AG504" s="304"/>
      <c r="AH504" s="304"/>
      <c r="AI504" s="304"/>
      <c r="AJ504" s="304"/>
      <c r="AK504" s="305"/>
      <c r="AL504" s="283"/>
      <c r="AM504" s="284"/>
    </row>
    <row r="505" ht="15.75" customHeight="1">
      <c r="A505" s="282">
        <f t="shared" si="1"/>
        <v>501</v>
      </c>
      <c r="B505" s="283"/>
      <c r="C505" s="284"/>
      <c r="D505" s="338"/>
      <c r="E505" s="286"/>
      <c r="F505" s="287"/>
      <c r="G505" s="288" t="str">
        <f>+IFERROR(VLOOKUP(F505,NVL!$B:$C,2,0),"")</f>
        <v/>
      </c>
      <c r="H505" s="288" t="str">
        <f>+IFERROR(VLOOKUP(F505,NVL!$B:$D,3,0),"")</f>
        <v/>
      </c>
      <c r="I505" s="288" t="str">
        <f>+IFERROR(VLOOKUP(F505,NVL!$B:$F,4,0),"")</f>
        <v/>
      </c>
      <c r="J505" s="289"/>
      <c r="K505" s="290"/>
      <c r="L505" s="291" t="str">
        <f>+IFERROR(VLOOKUP(K505,'THÀNH PHẨM'!$B:$F,3,0),"")</f>
        <v/>
      </c>
      <c r="M505" s="291" t="str">
        <f>+IFERROR(VLOOKUP(K505,'THÀNH PHẨM'!$B:$F,4,0),"")</f>
        <v/>
      </c>
      <c r="N505" s="291" t="str">
        <f>+IFERROR(VLOOKUP(K505,'THÀNH PHẨM'!$B:$F,5,0),"")</f>
        <v/>
      </c>
      <c r="O505" s="289"/>
      <c r="P505" s="292">
        <f t="shared" si="2"/>
        <v>0</v>
      </c>
      <c r="Q505" s="289"/>
      <c r="R505" s="289"/>
      <c r="S505" s="293">
        <f t="shared" si="62"/>
        <v>0</v>
      </c>
      <c r="T505" s="294"/>
      <c r="U505" s="295">
        <f t="shared" si="68"/>
        <v>0</v>
      </c>
      <c r="V505" s="296"/>
      <c r="W505" s="297"/>
      <c r="X505" s="298"/>
      <c r="Y505" s="292" t="str">
        <f t="shared" si="69"/>
        <v/>
      </c>
      <c r="Z505" s="366">
        <f t="shared" si="70"/>
        <v>0</v>
      </c>
      <c r="AA505" s="299" t="str">
        <f t="shared" si="71"/>
        <v/>
      </c>
      <c r="AB505" s="300"/>
      <c r="AC505" s="301"/>
      <c r="AD505" s="302"/>
      <c r="AE505" s="303"/>
      <c r="AF505" s="304"/>
      <c r="AG505" s="304"/>
      <c r="AH505" s="304"/>
      <c r="AI505" s="304"/>
      <c r="AJ505" s="304"/>
      <c r="AK505" s="305"/>
      <c r="AL505" s="283"/>
      <c r="AM505" s="284"/>
    </row>
    <row r="506" ht="15.75" customHeight="1">
      <c r="A506" s="282">
        <f t="shared" si="1"/>
        <v>502</v>
      </c>
      <c r="B506" s="283"/>
      <c r="C506" s="284"/>
      <c r="D506" s="338"/>
      <c r="E506" s="286"/>
      <c r="F506" s="287"/>
      <c r="G506" s="288" t="str">
        <f>+IFERROR(VLOOKUP(F506,NVL!$B:$C,2,0),"")</f>
        <v/>
      </c>
      <c r="H506" s="288" t="str">
        <f>+IFERROR(VLOOKUP(F506,NVL!$B:$D,3,0),"")</f>
        <v/>
      </c>
      <c r="I506" s="288" t="str">
        <f>+IFERROR(VLOOKUP(F506,NVL!$B:$F,4,0),"")</f>
        <v/>
      </c>
      <c r="J506" s="289"/>
      <c r="K506" s="290"/>
      <c r="L506" s="291" t="str">
        <f>+IFERROR(VLOOKUP(K506,'THÀNH PHẨM'!$B:$F,3,0),"")</f>
        <v/>
      </c>
      <c r="M506" s="291" t="str">
        <f>+IFERROR(VLOOKUP(K506,'THÀNH PHẨM'!$B:$F,4,0),"")</f>
        <v/>
      </c>
      <c r="N506" s="291" t="str">
        <f>+IFERROR(VLOOKUP(K506,'THÀNH PHẨM'!$B:$F,5,0),"")</f>
        <v/>
      </c>
      <c r="O506" s="289"/>
      <c r="P506" s="292">
        <f t="shared" si="2"/>
        <v>0</v>
      </c>
      <c r="Q506" s="289"/>
      <c r="R506" s="289"/>
      <c r="S506" s="293">
        <f t="shared" si="62"/>
        <v>0</v>
      </c>
      <c r="T506" s="294"/>
      <c r="U506" s="295">
        <f t="shared" si="68"/>
        <v>0</v>
      </c>
      <c r="V506" s="296"/>
      <c r="W506" s="297"/>
      <c r="X506" s="298"/>
      <c r="Y506" s="292" t="str">
        <f t="shared" si="69"/>
        <v/>
      </c>
      <c r="Z506" s="366">
        <f t="shared" si="70"/>
        <v>0</v>
      </c>
      <c r="AA506" s="299" t="str">
        <f t="shared" si="71"/>
        <v/>
      </c>
      <c r="AB506" s="300"/>
      <c r="AC506" s="301"/>
      <c r="AD506" s="302"/>
      <c r="AE506" s="303"/>
      <c r="AF506" s="304"/>
      <c r="AG506" s="304"/>
      <c r="AH506" s="304"/>
      <c r="AI506" s="304"/>
      <c r="AJ506" s="304"/>
      <c r="AK506" s="305"/>
      <c r="AL506" s="283"/>
      <c r="AM506" s="284"/>
    </row>
    <row r="507" ht="15.75" customHeight="1">
      <c r="A507" s="282">
        <f t="shared" si="1"/>
        <v>503</v>
      </c>
      <c r="B507" s="283"/>
      <c r="C507" s="284"/>
      <c r="D507" s="338"/>
      <c r="E507" s="286"/>
      <c r="F507" s="287"/>
      <c r="G507" s="288" t="str">
        <f>+IFERROR(VLOOKUP(F507,NVL!$B:$C,2,0),"")</f>
        <v/>
      </c>
      <c r="H507" s="288" t="str">
        <f>+IFERROR(VLOOKUP(F507,NVL!$B:$D,3,0),"")</f>
        <v/>
      </c>
      <c r="I507" s="288" t="str">
        <f>+IFERROR(VLOOKUP(F507,NVL!$B:$F,4,0),"")</f>
        <v/>
      </c>
      <c r="J507" s="289"/>
      <c r="K507" s="290"/>
      <c r="L507" s="291" t="str">
        <f>+IFERROR(VLOOKUP(K507,'THÀNH PHẨM'!$B:$F,3,0),"")</f>
        <v/>
      </c>
      <c r="M507" s="291" t="str">
        <f>+IFERROR(VLOOKUP(K507,'THÀNH PHẨM'!$B:$F,4,0),"")</f>
        <v/>
      </c>
      <c r="N507" s="291" t="str">
        <f>+IFERROR(VLOOKUP(K507,'THÀNH PHẨM'!$B:$F,5,0),"")</f>
        <v/>
      </c>
      <c r="O507" s="289"/>
      <c r="P507" s="292">
        <f t="shared" si="2"/>
        <v>0</v>
      </c>
      <c r="Q507" s="289"/>
      <c r="R507" s="289"/>
      <c r="S507" s="293">
        <f t="shared" si="62"/>
        <v>0</v>
      </c>
      <c r="T507" s="294"/>
      <c r="U507" s="295">
        <f t="shared" si="68"/>
        <v>0</v>
      </c>
      <c r="V507" s="296"/>
      <c r="W507" s="297"/>
      <c r="X507" s="298"/>
      <c r="Y507" s="292" t="str">
        <f t="shared" si="69"/>
        <v/>
      </c>
      <c r="Z507" s="366">
        <f t="shared" si="70"/>
        <v>0</v>
      </c>
      <c r="AA507" s="299" t="str">
        <f t="shared" si="71"/>
        <v/>
      </c>
      <c r="AB507" s="300"/>
      <c r="AC507" s="301"/>
      <c r="AD507" s="302"/>
      <c r="AE507" s="303"/>
      <c r="AF507" s="304"/>
      <c r="AG507" s="304"/>
      <c r="AH507" s="304"/>
      <c r="AI507" s="304"/>
      <c r="AJ507" s="304"/>
      <c r="AK507" s="305"/>
      <c r="AL507" s="283"/>
      <c r="AM507" s="284"/>
    </row>
    <row r="508" ht="15.75" customHeight="1">
      <c r="A508" s="282">
        <f t="shared" si="1"/>
        <v>504</v>
      </c>
      <c r="B508" s="283"/>
      <c r="C508" s="284"/>
      <c r="D508" s="338"/>
      <c r="E508" s="286"/>
      <c r="F508" s="287"/>
      <c r="G508" s="288" t="str">
        <f>+IFERROR(VLOOKUP(F508,NVL!$B:$C,2,0),"")</f>
        <v/>
      </c>
      <c r="H508" s="288" t="str">
        <f>+IFERROR(VLOOKUP(F508,NVL!$B:$D,3,0),"")</f>
        <v/>
      </c>
      <c r="I508" s="288" t="str">
        <f>+IFERROR(VLOOKUP(F508,NVL!$B:$F,4,0),"")</f>
        <v/>
      </c>
      <c r="J508" s="289"/>
      <c r="K508" s="290"/>
      <c r="L508" s="291" t="str">
        <f>+IFERROR(VLOOKUP(K508,'THÀNH PHẨM'!$B:$F,3,0),"")</f>
        <v/>
      </c>
      <c r="M508" s="291" t="str">
        <f>+IFERROR(VLOOKUP(K508,'THÀNH PHẨM'!$B:$F,4,0),"")</f>
        <v/>
      </c>
      <c r="N508" s="291" t="str">
        <f>+IFERROR(VLOOKUP(K508,'THÀNH PHẨM'!$B:$F,5,0),"")</f>
        <v/>
      </c>
      <c r="O508" s="289"/>
      <c r="P508" s="292">
        <f t="shared" si="2"/>
        <v>0</v>
      </c>
      <c r="Q508" s="289"/>
      <c r="R508" s="289"/>
      <c r="S508" s="293">
        <f t="shared" si="62"/>
        <v>0</v>
      </c>
      <c r="T508" s="294"/>
      <c r="U508" s="295">
        <f t="shared" si="68"/>
        <v>0</v>
      </c>
      <c r="V508" s="296"/>
      <c r="W508" s="297"/>
      <c r="X508" s="298"/>
      <c r="Y508" s="292" t="str">
        <f t="shared" si="69"/>
        <v/>
      </c>
      <c r="Z508" s="366">
        <f t="shared" si="70"/>
        <v>0</v>
      </c>
      <c r="AA508" s="299" t="str">
        <f t="shared" si="71"/>
        <v/>
      </c>
      <c r="AB508" s="300"/>
      <c r="AC508" s="301"/>
      <c r="AD508" s="302"/>
      <c r="AE508" s="303"/>
      <c r="AF508" s="304"/>
      <c r="AG508" s="304"/>
      <c r="AH508" s="304"/>
      <c r="AI508" s="304"/>
      <c r="AJ508" s="304"/>
      <c r="AK508" s="305"/>
      <c r="AL508" s="283"/>
      <c r="AM508" s="284"/>
    </row>
    <row r="509" ht="15.75" customHeight="1">
      <c r="A509" s="282">
        <f t="shared" si="1"/>
        <v>505</v>
      </c>
      <c r="B509" s="283"/>
      <c r="C509" s="284"/>
      <c r="D509" s="338"/>
      <c r="E509" s="286"/>
      <c r="F509" s="287"/>
      <c r="G509" s="288" t="str">
        <f>+IFERROR(VLOOKUP(F509,NVL!$B:$C,2,0),"")</f>
        <v/>
      </c>
      <c r="H509" s="288" t="str">
        <f>+IFERROR(VLOOKUP(F509,NVL!$B:$D,3,0),"")</f>
        <v/>
      </c>
      <c r="I509" s="288" t="str">
        <f>+IFERROR(VLOOKUP(F509,NVL!$B:$F,4,0),"")</f>
        <v/>
      </c>
      <c r="J509" s="289"/>
      <c r="K509" s="290"/>
      <c r="L509" s="291" t="str">
        <f>+IFERROR(VLOOKUP(K509,'THÀNH PHẨM'!$B:$F,3,0),"")</f>
        <v/>
      </c>
      <c r="M509" s="291" t="str">
        <f>+IFERROR(VLOOKUP(K509,'THÀNH PHẨM'!$B:$F,4,0),"")</f>
        <v/>
      </c>
      <c r="N509" s="291" t="str">
        <f>+IFERROR(VLOOKUP(K509,'THÀNH PHẨM'!$B:$F,5,0),"")</f>
        <v/>
      </c>
      <c r="O509" s="289"/>
      <c r="P509" s="292">
        <f t="shared" si="2"/>
        <v>0</v>
      </c>
      <c r="Q509" s="289"/>
      <c r="R509" s="289"/>
      <c r="S509" s="293">
        <f t="shared" si="62"/>
        <v>0</v>
      </c>
      <c r="T509" s="294"/>
      <c r="U509" s="295">
        <f t="shared" si="68"/>
        <v>0</v>
      </c>
      <c r="V509" s="296"/>
      <c r="W509" s="297"/>
      <c r="X509" s="298"/>
      <c r="Y509" s="292" t="str">
        <f t="shared" si="69"/>
        <v/>
      </c>
      <c r="Z509" s="366">
        <f t="shared" si="70"/>
        <v>0</v>
      </c>
      <c r="AA509" s="299" t="str">
        <f t="shared" si="71"/>
        <v/>
      </c>
      <c r="AB509" s="300"/>
      <c r="AC509" s="301"/>
      <c r="AD509" s="302"/>
      <c r="AE509" s="303"/>
      <c r="AF509" s="304"/>
      <c r="AG509" s="304"/>
      <c r="AH509" s="304"/>
      <c r="AI509" s="304"/>
      <c r="AJ509" s="304"/>
      <c r="AK509" s="305"/>
      <c r="AL509" s="283"/>
      <c r="AM509" s="284"/>
    </row>
    <row r="510" ht="15.75" customHeight="1">
      <c r="A510" s="282">
        <f t="shared" si="1"/>
        <v>506</v>
      </c>
      <c r="B510" s="283"/>
      <c r="C510" s="284"/>
      <c r="D510" s="338"/>
      <c r="E510" s="286"/>
      <c r="F510" s="287"/>
      <c r="G510" s="288" t="str">
        <f>+IFERROR(VLOOKUP(F510,NVL!$B:$C,2,0),"")</f>
        <v/>
      </c>
      <c r="H510" s="288" t="str">
        <f>+IFERROR(VLOOKUP(F510,NVL!$B:$D,3,0),"")</f>
        <v/>
      </c>
      <c r="I510" s="288" t="str">
        <f>+IFERROR(VLOOKUP(F510,NVL!$B:$F,4,0),"")</f>
        <v/>
      </c>
      <c r="J510" s="289"/>
      <c r="K510" s="290"/>
      <c r="L510" s="291" t="str">
        <f>+IFERROR(VLOOKUP(K510,'THÀNH PHẨM'!$B:$F,3,0),"")</f>
        <v/>
      </c>
      <c r="M510" s="291" t="str">
        <f>+IFERROR(VLOOKUP(K510,'THÀNH PHẨM'!$B:$F,4,0),"")</f>
        <v/>
      </c>
      <c r="N510" s="291" t="str">
        <f>+IFERROR(VLOOKUP(K510,'THÀNH PHẨM'!$B:$F,5,0),"")</f>
        <v/>
      </c>
      <c r="O510" s="289"/>
      <c r="P510" s="292">
        <f t="shared" si="2"/>
        <v>0</v>
      </c>
      <c r="Q510" s="289"/>
      <c r="R510" s="289"/>
      <c r="S510" s="293">
        <f t="shared" si="62"/>
        <v>0</v>
      </c>
      <c r="T510" s="294"/>
      <c r="U510" s="295">
        <f t="shared" si="68"/>
        <v>0</v>
      </c>
      <c r="V510" s="296"/>
      <c r="W510" s="297"/>
      <c r="X510" s="298"/>
      <c r="Y510" s="292" t="str">
        <f t="shared" si="69"/>
        <v/>
      </c>
      <c r="Z510" s="366">
        <f t="shared" si="70"/>
        <v>0</v>
      </c>
      <c r="AA510" s="299" t="str">
        <f t="shared" si="71"/>
        <v/>
      </c>
      <c r="AB510" s="300"/>
      <c r="AC510" s="301"/>
      <c r="AD510" s="302"/>
      <c r="AE510" s="303"/>
      <c r="AF510" s="304"/>
      <c r="AG510" s="304"/>
      <c r="AH510" s="304"/>
      <c r="AI510" s="304"/>
      <c r="AJ510" s="304"/>
      <c r="AK510" s="305"/>
      <c r="AL510" s="283"/>
      <c r="AM510" s="284"/>
    </row>
    <row r="511" ht="15.75" customHeight="1">
      <c r="A511" s="282">
        <f t="shared" si="1"/>
        <v>507</v>
      </c>
      <c r="B511" s="283"/>
      <c r="C511" s="284"/>
      <c r="D511" s="338"/>
      <c r="E511" s="286"/>
      <c r="F511" s="287"/>
      <c r="G511" s="288" t="str">
        <f>+IFERROR(VLOOKUP(F511,NVL!$B:$C,2,0),"")</f>
        <v/>
      </c>
      <c r="H511" s="288" t="str">
        <f>+IFERROR(VLOOKUP(F511,NVL!$B:$D,3,0),"")</f>
        <v/>
      </c>
      <c r="I511" s="288" t="str">
        <f>+IFERROR(VLOOKUP(F511,NVL!$B:$F,4,0),"")</f>
        <v/>
      </c>
      <c r="J511" s="289"/>
      <c r="K511" s="290"/>
      <c r="L511" s="291" t="str">
        <f>+IFERROR(VLOOKUP(K511,'THÀNH PHẨM'!$B:$F,3,0),"")</f>
        <v/>
      </c>
      <c r="M511" s="291" t="str">
        <f>+IFERROR(VLOOKUP(K511,'THÀNH PHẨM'!$B:$F,4,0),"")</f>
        <v/>
      </c>
      <c r="N511" s="291" t="str">
        <f>+IFERROR(VLOOKUP(K511,'THÀNH PHẨM'!$B:$F,5,0),"")</f>
        <v/>
      </c>
      <c r="O511" s="289"/>
      <c r="P511" s="292">
        <f t="shared" si="2"/>
        <v>0</v>
      </c>
      <c r="Q511" s="289"/>
      <c r="R511" s="289"/>
      <c r="S511" s="293">
        <f t="shared" si="62"/>
        <v>0</v>
      </c>
      <c r="T511" s="294"/>
      <c r="U511" s="295">
        <f t="shared" si="68"/>
        <v>0</v>
      </c>
      <c r="V511" s="296"/>
      <c r="W511" s="297"/>
      <c r="X511" s="298"/>
      <c r="Y511" s="292" t="str">
        <f t="shared" si="69"/>
        <v/>
      </c>
      <c r="Z511" s="366">
        <f t="shared" si="70"/>
        <v>0</v>
      </c>
      <c r="AA511" s="299" t="str">
        <f t="shared" si="71"/>
        <v/>
      </c>
      <c r="AB511" s="300"/>
      <c r="AC511" s="301"/>
      <c r="AD511" s="302"/>
      <c r="AE511" s="303"/>
      <c r="AF511" s="304"/>
      <c r="AG511" s="304"/>
      <c r="AH511" s="304"/>
      <c r="AI511" s="304"/>
      <c r="AJ511" s="304"/>
      <c r="AK511" s="305"/>
      <c r="AL511" s="283"/>
      <c r="AM511" s="284"/>
    </row>
    <row r="512" ht="15.75" customHeight="1">
      <c r="A512" s="282">
        <f t="shared" si="1"/>
        <v>508</v>
      </c>
      <c r="B512" s="283"/>
      <c r="C512" s="284"/>
      <c r="D512" s="338"/>
      <c r="E512" s="286"/>
      <c r="F512" s="287"/>
      <c r="G512" s="288" t="str">
        <f>+IFERROR(VLOOKUP(F512,NVL!$B:$C,2,0),"")</f>
        <v/>
      </c>
      <c r="H512" s="288" t="str">
        <f>+IFERROR(VLOOKUP(F512,NVL!$B:$D,3,0),"")</f>
        <v/>
      </c>
      <c r="I512" s="288" t="str">
        <f>+IFERROR(VLOOKUP(F512,NVL!$B:$F,4,0),"")</f>
        <v/>
      </c>
      <c r="J512" s="289"/>
      <c r="K512" s="290"/>
      <c r="L512" s="291" t="str">
        <f>+IFERROR(VLOOKUP(K512,'THÀNH PHẨM'!$B:$F,3,0),"")</f>
        <v/>
      </c>
      <c r="M512" s="291" t="str">
        <f>+IFERROR(VLOOKUP(K512,'THÀNH PHẨM'!$B:$F,4,0),"")</f>
        <v/>
      </c>
      <c r="N512" s="291" t="str">
        <f>+IFERROR(VLOOKUP(K512,'THÀNH PHẨM'!$B:$F,5,0),"")</f>
        <v/>
      </c>
      <c r="O512" s="289"/>
      <c r="P512" s="292">
        <f t="shared" si="2"/>
        <v>0</v>
      </c>
      <c r="Q512" s="289"/>
      <c r="R512" s="289"/>
      <c r="S512" s="293">
        <f t="shared" si="62"/>
        <v>0</v>
      </c>
      <c r="T512" s="294"/>
      <c r="U512" s="295">
        <f t="shared" si="68"/>
        <v>0</v>
      </c>
      <c r="V512" s="296"/>
      <c r="W512" s="297"/>
      <c r="X512" s="298"/>
      <c r="Y512" s="292" t="str">
        <f t="shared" si="69"/>
        <v/>
      </c>
      <c r="Z512" s="366">
        <f t="shared" si="70"/>
        <v>0</v>
      </c>
      <c r="AA512" s="299" t="str">
        <f t="shared" si="71"/>
        <v/>
      </c>
      <c r="AB512" s="300"/>
      <c r="AC512" s="301"/>
      <c r="AD512" s="302"/>
      <c r="AE512" s="303"/>
      <c r="AF512" s="304"/>
      <c r="AG512" s="304"/>
      <c r="AH512" s="304"/>
      <c r="AI512" s="304"/>
      <c r="AJ512" s="304"/>
      <c r="AK512" s="305"/>
      <c r="AL512" s="283"/>
      <c r="AM512" s="284"/>
    </row>
    <row r="513" ht="15.75" customHeight="1">
      <c r="A513" s="282">
        <f t="shared" si="1"/>
        <v>509</v>
      </c>
      <c r="B513" s="283"/>
      <c r="C513" s="284"/>
      <c r="D513" s="338"/>
      <c r="E513" s="286"/>
      <c r="F513" s="287"/>
      <c r="G513" s="288" t="str">
        <f>+IFERROR(VLOOKUP(F513,NVL!$B:$C,2,0),"")</f>
        <v/>
      </c>
      <c r="H513" s="288" t="str">
        <f>+IFERROR(VLOOKUP(F513,NVL!$B:$D,3,0),"")</f>
        <v/>
      </c>
      <c r="I513" s="288" t="str">
        <f>+IFERROR(VLOOKUP(F513,NVL!$B:$F,4,0),"")</f>
        <v/>
      </c>
      <c r="J513" s="289"/>
      <c r="K513" s="290"/>
      <c r="L513" s="291" t="str">
        <f>+IFERROR(VLOOKUP(K513,'THÀNH PHẨM'!$B:$F,3,0),"")</f>
        <v/>
      </c>
      <c r="M513" s="291" t="str">
        <f>+IFERROR(VLOOKUP(K513,'THÀNH PHẨM'!$B:$F,4,0),"")</f>
        <v/>
      </c>
      <c r="N513" s="291" t="str">
        <f>+IFERROR(VLOOKUP(K513,'THÀNH PHẨM'!$B:$F,5,0),"")</f>
        <v/>
      </c>
      <c r="O513" s="289"/>
      <c r="P513" s="292">
        <f t="shared" si="2"/>
        <v>0</v>
      </c>
      <c r="Q513" s="289"/>
      <c r="R513" s="289"/>
      <c r="S513" s="293">
        <f t="shared" si="62"/>
        <v>0</v>
      </c>
      <c r="T513" s="294"/>
      <c r="U513" s="295">
        <f t="shared" si="68"/>
        <v>0</v>
      </c>
      <c r="V513" s="296"/>
      <c r="W513" s="297"/>
      <c r="X513" s="298"/>
      <c r="Y513" s="292" t="str">
        <f t="shared" si="69"/>
        <v/>
      </c>
      <c r="Z513" s="366">
        <f t="shared" si="70"/>
        <v>0</v>
      </c>
      <c r="AA513" s="299" t="str">
        <f t="shared" si="71"/>
        <v/>
      </c>
      <c r="AB513" s="300"/>
      <c r="AC513" s="301"/>
      <c r="AD513" s="302"/>
      <c r="AE513" s="303"/>
      <c r="AF513" s="304"/>
      <c r="AG513" s="304"/>
      <c r="AH513" s="304"/>
      <c r="AI513" s="304"/>
      <c r="AJ513" s="304"/>
      <c r="AK513" s="305"/>
      <c r="AL513" s="283"/>
      <c r="AM513" s="284"/>
    </row>
    <row r="514" ht="15.75" customHeight="1">
      <c r="A514" s="282">
        <f t="shared" si="1"/>
        <v>510</v>
      </c>
      <c r="B514" s="283"/>
      <c r="C514" s="284"/>
      <c r="D514" s="338"/>
      <c r="E514" s="286"/>
      <c r="F514" s="287"/>
      <c r="G514" s="288" t="str">
        <f>+IFERROR(VLOOKUP(F514,NVL!$B:$C,2,0),"")</f>
        <v/>
      </c>
      <c r="H514" s="288" t="str">
        <f>+IFERROR(VLOOKUP(F514,NVL!$B:$D,3,0),"")</f>
        <v/>
      </c>
      <c r="I514" s="288" t="str">
        <f>+IFERROR(VLOOKUP(F514,NVL!$B:$F,4,0),"")</f>
        <v/>
      </c>
      <c r="J514" s="289"/>
      <c r="K514" s="290"/>
      <c r="L514" s="291" t="str">
        <f>+IFERROR(VLOOKUP(K514,'THÀNH PHẨM'!$B:$F,3,0),"")</f>
        <v/>
      </c>
      <c r="M514" s="291" t="str">
        <f>+IFERROR(VLOOKUP(K514,'THÀNH PHẨM'!$B:$F,4,0),"")</f>
        <v/>
      </c>
      <c r="N514" s="291" t="str">
        <f>+IFERROR(VLOOKUP(K514,'THÀNH PHẨM'!$B:$F,5,0),"")</f>
        <v/>
      </c>
      <c r="O514" s="289"/>
      <c r="P514" s="292">
        <f t="shared" si="2"/>
        <v>0</v>
      </c>
      <c r="Q514" s="289"/>
      <c r="R514" s="289"/>
      <c r="S514" s="293">
        <f t="shared" si="62"/>
        <v>0</v>
      </c>
      <c r="T514" s="294"/>
      <c r="U514" s="295">
        <f t="shared" si="68"/>
        <v>0</v>
      </c>
      <c r="V514" s="296"/>
      <c r="W514" s="297"/>
      <c r="X514" s="298"/>
      <c r="Y514" s="292" t="str">
        <f t="shared" si="69"/>
        <v/>
      </c>
      <c r="Z514" s="366">
        <f t="shared" si="70"/>
        <v>0</v>
      </c>
      <c r="AA514" s="299" t="str">
        <f t="shared" si="71"/>
        <v/>
      </c>
      <c r="AB514" s="300"/>
      <c r="AC514" s="301"/>
      <c r="AD514" s="302"/>
      <c r="AE514" s="303"/>
      <c r="AF514" s="304"/>
      <c r="AG514" s="304"/>
      <c r="AH514" s="304"/>
      <c r="AI514" s="304"/>
      <c r="AJ514" s="304"/>
      <c r="AK514" s="305"/>
      <c r="AL514" s="283"/>
      <c r="AM514" s="284"/>
    </row>
    <row r="515" ht="15.75" customHeight="1">
      <c r="A515" s="282">
        <f t="shared" si="1"/>
        <v>511</v>
      </c>
      <c r="B515" s="283"/>
      <c r="C515" s="284"/>
      <c r="D515" s="338"/>
      <c r="E515" s="286"/>
      <c r="F515" s="287"/>
      <c r="G515" s="288" t="str">
        <f>+IFERROR(VLOOKUP(F515,NVL!$B:$C,2,0),"")</f>
        <v/>
      </c>
      <c r="H515" s="288" t="str">
        <f>+IFERROR(VLOOKUP(F515,NVL!$B:$D,3,0),"")</f>
        <v/>
      </c>
      <c r="I515" s="288" t="str">
        <f>+IFERROR(VLOOKUP(F515,NVL!$B:$F,4,0),"")</f>
        <v/>
      </c>
      <c r="J515" s="289"/>
      <c r="K515" s="290"/>
      <c r="L515" s="291" t="str">
        <f>+IFERROR(VLOOKUP(K515,'THÀNH PHẨM'!$B:$F,3,0),"")</f>
        <v/>
      </c>
      <c r="M515" s="291" t="str">
        <f>+IFERROR(VLOOKUP(K515,'THÀNH PHẨM'!$B:$F,4,0),"")</f>
        <v/>
      </c>
      <c r="N515" s="291" t="str">
        <f>+IFERROR(VLOOKUP(K515,'THÀNH PHẨM'!$B:$F,5,0),"")</f>
        <v/>
      </c>
      <c r="O515" s="289"/>
      <c r="P515" s="292">
        <f t="shared" si="2"/>
        <v>0</v>
      </c>
      <c r="Q515" s="289"/>
      <c r="R515" s="289"/>
      <c r="S515" s="293">
        <f t="shared" si="62"/>
        <v>0</v>
      </c>
      <c r="T515" s="294"/>
      <c r="U515" s="295">
        <f t="shared" si="68"/>
        <v>0</v>
      </c>
      <c r="V515" s="296"/>
      <c r="W515" s="297"/>
      <c r="X515" s="298"/>
      <c r="Y515" s="292" t="str">
        <f t="shared" si="69"/>
        <v/>
      </c>
      <c r="Z515" s="366">
        <f t="shared" si="70"/>
        <v>0</v>
      </c>
      <c r="AA515" s="299" t="str">
        <f t="shared" si="71"/>
        <v/>
      </c>
      <c r="AB515" s="300"/>
      <c r="AC515" s="301"/>
      <c r="AD515" s="302"/>
      <c r="AE515" s="303"/>
      <c r="AF515" s="304"/>
      <c r="AG515" s="304"/>
      <c r="AH515" s="304"/>
      <c r="AI515" s="304"/>
      <c r="AJ515" s="304"/>
      <c r="AK515" s="305"/>
      <c r="AL515" s="283"/>
      <c r="AM515" s="284"/>
    </row>
    <row r="516" ht="15.75" customHeight="1">
      <c r="A516" s="282">
        <f t="shared" si="1"/>
        <v>512</v>
      </c>
      <c r="B516" s="283"/>
      <c r="C516" s="284"/>
      <c r="D516" s="338"/>
      <c r="E516" s="286"/>
      <c r="F516" s="287"/>
      <c r="G516" s="288" t="str">
        <f>+IFERROR(VLOOKUP(F516,NVL!$B:$C,2,0),"")</f>
        <v/>
      </c>
      <c r="H516" s="288" t="str">
        <f>+IFERROR(VLOOKUP(F516,NVL!$B:$D,3,0),"")</f>
        <v/>
      </c>
      <c r="I516" s="288" t="str">
        <f>+IFERROR(VLOOKUP(F516,NVL!$B:$F,4,0),"")</f>
        <v/>
      </c>
      <c r="J516" s="289"/>
      <c r="K516" s="290"/>
      <c r="L516" s="291" t="str">
        <f>+IFERROR(VLOOKUP(K516,'THÀNH PHẨM'!$B:$F,3,0),"")</f>
        <v/>
      </c>
      <c r="M516" s="291" t="str">
        <f>+IFERROR(VLOOKUP(K516,'THÀNH PHẨM'!$B:$F,4,0),"")</f>
        <v/>
      </c>
      <c r="N516" s="291" t="str">
        <f>+IFERROR(VLOOKUP(K516,'THÀNH PHẨM'!$B:$F,5,0),"")</f>
        <v/>
      </c>
      <c r="O516" s="289"/>
      <c r="P516" s="292">
        <f t="shared" si="2"/>
        <v>0</v>
      </c>
      <c r="Q516" s="289"/>
      <c r="R516" s="289"/>
      <c r="S516" s="293">
        <f t="shared" si="62"/>
        <v>0</v>
      </c>
      <c r="T516" s="294"/>
      <c r="U516" s="295">
        <f t="shared" si="68"/>
        <v>0</v>
      </c>
      <c r="V516" s="296"/>
      <c r="W516" s="297"/>
      <c r="X516" s="298"/>
      <c r="Y516" s="292" t="str">
        <f t="shared" si="69"/>
        <v/>
      </c>
      <c r="Z516" s="366">
        <f t="shared" si="70"/>
        <v>0</v>
      </c>
      <c r="AA516" s="299" t="str">
        <f t="shared" si="71"/>
        <v/>
      </c>
      <c r="AB516" s="300"/>
      <c r="AC516" s="301"/>
      <c r="AD516" s="302"/>
      <c r="AE516" s="303"/>
      <c r="AF516" s="304"/>
      <c r="AG516" s="304"/>
      <c r="AH516" s="304"/>
      <c r="AI516" s="304"/>
      <c r="AJ516" s="304"/>
      <c r="AK516" s="305"/>
      <c r="AL516" s="283"/>
      <c r="AM516" s="284"/>
    </row>
    <row r="517" ht="15.75" customHeight="1">
      <c r="A517" s="282">
        <f t="shared" si="1"/>
        <v>513</v>
      </c>
      <c r="B517" s="283"/>
      <c r="C517" s="284"/>
      <c r="D517" s="338"/>
      <c r="E517" s="286"/>
      <c r="F517" s="287"/>
      <c r="G517" s="288" t="str">
        <f>+IFERROR(VLOOKUP(F517,NVL!$B:$C,2,0),"")</f>
        <v/>
      </c>
      <c r="H517" s="288" t="str">
        <f>+IFERROR(VLOOKUP(F517,NVL!$B:$D,3,0),"")</f>
        <v/>
      </c>
      <c r="I517" s="288" t="str">
        <f>+IFERROR(VLOOKUP(F517,NVL!$B:$F,4,0),"")</f>
        <v/>
      </c>
      <c r="J517" s="289"/>
      <c r="K517" s="290"/>
      <c r="L517" s="291" t="str">
        <f>+IFERROR(VLOOKUP(K517,'THÀNH PHẨM'!$B:$F,3,0),"")</f>
        <v/>
      </c>
      <c r="M517" s="291" t="str">
        <f>+IFERROR(VLOOKUP(K517,'THÀNH PHẨM'!$B:$F,4,0),"")</f>
        <v/>
      </c>
      <c r="N517" s="291" t="str">
        <f>+IFERROR(VLOOKUP(K517,'THÀNH PHẨM'!$B:$F,5,0),"")</f>
        <v/>
      </c>
      <c r="O517" s="289"/>
      <c r="P517" s="292">
        <f t="shared" si="2"/>
        <v>0</v>
      </c>
      <c r="Q517" s="289"/>
      <c r="R517" s="289"/>
      <c r="S517" s="293">
        <f t="shared" si="62"/>
        <v>0</v>
      </c>
      <c r="T517" s="294"/>
      <c r="U517" s="295">
        <f t="shared" si="68"/>
        <v>0</v>
      </c>
      <c r="V517" s="296"/>
      <c r="W517" s="297"/>
      <c r="X517" s="298"/>
      <c r="Y517" s="292" t="str">
        <f t="shared" si="69"/>
        <v/>
      </c>
      <c r="Z517" s="366">
        <f t="shared" si="70"/>
        <v>0</v>
      </c>
      <c r="AA517" s="299" t="str">
        <f t="shared" si="71"/>
        <v/>
      </c>
      <c r="AB517" s="300"/>
      <c r="AC517" s="301"/>
      <c r="AD517" s="302"/>
      <c r="AE517" s="303"/>
      <c r="AF517" s="304"/>
      <c r="AG517" s="304"/>
      <c r="AH517" s="304"/>
      <c r="AI517" s="304"/>
      <c r="AJ517" s="304"/>
      <c r="AK517" s="305"/>
      <c r="AL517" s="283"/>
      <c r="AM517" s="284"/>
    </row>
    <row r="518" ht="15.75" customHeight="1">
      <c r="A518" s="282">
        <f t="shared" si="1"/>
        <v>514</v>
      </c>
      <c r="B518" s="283"/>
      <c r="C518" s="284"/>
      <c r="D518" s="338"/>
      <c r="E518" s="286"/>
      <c r="F518" s="287"/>
      <c r="G518" s="288" t="str">
        <f>+IFERROR(VLOOKUP(F518,NVL!$B:$C,2,0),"")</f>
        <v/>
      </c>
      <c r="H518" s="288" t="str">
        <f>+IFERROR(VLOOKUP(F518,NVL!$B:$D,3,0),"")</f>
        <v/>
      </c>
      <c r="I518" s="288" t="str">
        <f>+IFERROR(VLOOKUP(F518,NVL!$B:$F,4,0),"")</f>
        <v/>
      </c>
      <c r="J518" s="289"/>
      <c r="K518" s="290"/>
      <c r="L518" s="291" t="str">
        <f>+IFERROR(VLOOKUP(K518,'THÀNH PHẨM'!$B:$F,3,0),"")</f>
        <v/>
      </c>
      <c r="M518" s="291" t="str">
        <f>+IFERROR(VLOOKUP(K518,'THÀNH PHẨM'!$B:$F,4,0),"")</f>
        <v/>
      </c>
      <c r="N518" s="291" t="str">
        <f>+IFERROR(VLOOKUP(K518,'THÀNH PHẨM'!$B:$F,5,0),"")</f>
        <v/>
      </c>
      <c r="O518" s="289"/>
      <c r="P518" s="292">
        <f t="shared" si="2"/>
        <v>0</v>
      </c>
      <c r="Q518" s="289"/>
      <c r="R518" s="289"/>
      <c r="S518" s="293">
        <f t="shared" si="62"/>
        <v>0</v>
      </c>
      <c r="T518" s="294"/>
      <c r="U518" s="295">
        <f t="shared" si="68"/>
        <v>0</v>
      </c>
      <c r="V518" s="296"/>
      <c r="W518" s="297"/>
      <c r="X518" s="298"/>
      <c r="Y518" s="292" t="str">
        <f t="shared" si="69"/>
        <v/>
      </c>
      <c r="Z518" s="366">
        <f t="shared" si="70"/>
        <v>0</v>
      </c>
      <c r="AA518" s="299" t="str">
        <f t="shared" si="71"/>
        <v/>
      </c>
      <c r="AB518" s="300"/>
      <c r="AC518" s="301"/>
      <c r="AD518" s="302"/>
      <c r="AE518" s="303"/>
      <c r="AF518" s="304"/>
      <c r="AG518" s="304"/>
      <c r="AH518" s="304"/>
      <c r="AI518" s="304"/>
      <c r="AJ518" s="304"/>
      <c r="AK518" s="305"/>
      <c r="AL518" s="283"/>
      <c r="AM518" s="284"/>
    </row>
    <row r="519" ht="15.75" customHeight="1">
      <c r="A519" s="282">
        <f t="shared" si="1"/>
        <v>515</v>
      </c>
      <c r="B519" s="283"/>
      <c r="C519" s="284"/>
      <c r="D519" s="338"/>
      <c r="E519" s="286"/>
      <c r="F519" s="287"/>
      <c r="G519" s="288" t="str">
        <f>+IFERROR(VLOOKUP(F519,NVL!$B:$C,2,0),"")</f>
        <v/>
      </c>
      <c r="H519" s="288" t="str">
        <f>+IFERROR(VLOOKUP(F519,NVL!$B:$D,3,0),"")</f>
        <v/>
      </c>
      <c r="I519" s="288" t="str">
        <f>+IFERROR(VLOOKUP(F519,NVL!$B:$F,4,0),"")</f>
        <v/>
      </c>
      <c r="J519" s="289"/>
      <c r="K519" s="290"/>
      <c r="L519" s="291" t="str">
        <f>+IFERROR(VLOOKUP(K519,'THÀNH PHẨM'!$B:$F,3,0),"")</f>
        <v/>
      </c>
      <c r="M519" s="291" t="str">
        <f>+IFERROR(VLOOKUP(K519,'THÀNH PHẨM'!$B:$F,4,0),"")</f>
        <v/>
      </c>
      <c r="N519" s="291" t="str">
        <f>+IFERROR(VLOOKUP(K519,'THÀNH PHẨM'!$B:$F,5,0),"")</f>
        <v/>
      </c>
      <c r="O519" s="289"/>
      <c r="P519" s="292">
        <f t="shared" si="2"/>
        <v>0</v>
      </c>
      <c r="Q519" s="289"/>
      <c r="R519" s="289"/>
      <c r="S519" s="293">
        <f t="shared" si="62"/>
        <v>0</v>
      </c>
      <c r="T519" s="294"/>
      <c r="U519" s="295">
        <f t="shared" si="68"/>
        <v>0</v>
      </c>
      <c r="V519" s="296"/>
      <c r="W519" s="297"/>
      <c r="X519" s="298"/>
      <c r="Y519" s="292" t="str">
        <f t="shared" si="69"/>
        <v/>
      </c>
      <c r="Z519" s="366">
        <f t="shared" si="70"/>
        <v>0</v>
      </c>
      <c r="AA519" s="299" t="str">
        <f t="shared" si="71"/>
        <v/>
      </c>
      <c r="AB519" s="300"/>
      <c r="AC519" s="301"/>
      <c r="AD519" s="302"/>
      <c r="AE519" s="303"/>
      <c r="AF519" s="304"/>
      <c r="AG519" s="304"/>
      <c r="AH519" s="304"/>
      <c r="AI519" s="304"/>
      <c r="AJ519" s="304"/>
      <c r="AK519" s="305"/>
      <c r="AL519" s="283"/>
      <c r="AM519" s="284"/>
    </row>
    <row r="520" ht="15.75" customHeight="1">
      <c r="A520" s="282">
        <f t="shared" si="1"/>
        <v>516</v>
      </c>
      <c r="B520" s="283"/>
      <c r="C520" s="284"/>
      <c r="D520" s="338"/>
      <c r="E520" s="286"/>
      <c r="F520" s="287"/>
      <c r="G520" s="288" t="str">
        <f>+IFERROR(VLOOKUP(F520,NVL!$B:$C,2,0),"")</f>
        <v/>
      </c>
      <c r="H520" s="288" t="str">
        <f>+IFERROR(VLOOKUP(F520,NVL!$B:$D,3,0),"")</f>
        <v/>
      </c>
      <c r="I520" s="288" t="str">
        <f>+IFERROR(VLOOKUP(F520,NVL!$B:$F,4,0),"")</f>
        <v/>
      </c>
      <c r="J520" s="289"/>
      <c r="K520" s="290"/>
      <c r="L520" s="291" t="str">
        <f>+IFERROR(VLOOKUP(K520,'THÀNH PHẨM'!$B:$F,3,0),"")</f>
        <v/>
      </c>
      <c r="M520" s="291" t="str">
        <f>+IFERROR(VLOOKUP(K520,'THÀNH PHẨM'!$B:$F,4,0),"")</f>
        <v/>
      </c>
      <c r="N520" s="291" t="str">
        <f>+IFERROR(VLOOKUP(K520,'THÀNH PHẨM'!$B:$F,5,0),"")</f>
        <v/>
      </c>
      <c r="O520" s="289"/>
      <c r="P520" s="292">
        <f t="shared" si="2"/>
        <v>0</v>
      </c>
      <c r="Q520" s="289"/>
      <c r="R520" s="289"/>
      <c r="S520" s="293">
        <f t="shared" si="62"/>
        <v>0</v>
      </c>
      <c r="T520" s="294"/>
      <c r="U520" s="295">
        <f t="shared" si="68"/>
        <v>0</v>
      </c>
      <c r="V520" s="296"/>
      <c r="W520" s="297"/>
      <c r="X520" s="298"/>
      <c r="Y520" s="292" t="str">
        <f t="shared" si="69"/>
        <v/>
      </c>
      <c r="Z520" s="366">
        <f t="shared" si="70"/>
        <v>0</v>
      </c>
      <c r="AA520" s="299" t="str">
        <f t="shared" si="71"/>
        <v/>
      </c>
      <c r="AB520" s="300"/>
      <c r="AC520" s="301"/>
      <c r="AD520" s="302"/>
      <c r="AE520" s="303"/>
      <c r="AF520" s="304"/>
      <c r="AG520" s="304"/>
      <c r="AH520" s="304"/>
      <c r="AI520" s="304"/>
      <c r="AJ520" s="304"/>
      <c r="AK520" s="305"/>
      <c r="AL520" s="283"/>
      <c r="AM520" s="284"/>
    </row>
    <row r="521" ht="15.75" customHeight="1">
      <c r="A521" s="282">
        <f t="shared" si="1"/>
        <v>517</v>
      </c>
      <c r="B521" s="283"/>
      <c r="C521" s="284"/>
      <c r="D521" s="338"/>
      <c r="E521" s="286"/>
      <c r="F521" s="287"/>
      <c r="G521" s="288" t="str">
        <f>+IFERROR(VLOOKUP(F521,NVL!$B:$C,2,0),"")</f>
        <v/>
      </c>
      <c r="H521" s="288" t="str">
        <f>+IFERROR(VLOOKUP(F521,NVL!$B:$D,3,0),"")</f>
        <v/>
      </c>
      <c r="I521" s="288" t="str">
        <f>+IFERROR(VLOOKUP(F521,NVL!$B:$F,4,0),"")</f>
        <v/>
      </c>
      <c r="J521" s="289"/>
      <c r="K521" s="290"/>
      <c r="L521" s="291" t="str">
        <f>+IFERROR(VLOOKUP(K521,'THÀNH PHẨM'!$B:$F,3,0),"")</f>
        <v/>
      </c>
      <c r="M521" s="291" t="str">
        <f>+IFERROR(VLOOKUP(K521,'THÀNH PHẨM'!$B:$F,4,0),"")</f>
        <v/>
      </c>
      <c r="N521" s="291" t="str">
        <f>+IFERROR(VLOOKUP(K521,'THÀNH PHẨM'!$B:$F,5,0),"")</f>
        <v/>
      </c>
      <c r="O521" s="289"/>
      <c r="P521" s="292">
        <f t="shared" si="2"/>
        <v>0</v>
      </c>
      <c r="Q521" s="289"/>
      <c r="R521" s="289"/>
      <c r="S521" s="293">
        <f t="shared" si="62"/>
        <v>0</v>
      </c>
      <c r="T521" s="294"/>
      <c r="U521" s="295">
        <f t="shared" si="68"/>
        <v>0</v>
      </c>
      <c r="V521" s="296"/>
      <c r="W521" s="297"/>
      <c r="X521" s="298"/>
      <c r="Y521" s="292" t="str">
        <f t="shared" si="69"/>
        <v/>
      </c>
      <c r="Z521" s="366">
        <f t="shared" si="70"/>
        <v>0</v>
      </c>
      <c r="AA521" s="299" t="str">
        <f t="shared" si="71"/>
        <v/>
      </c>
      <c r="AB521" s="300"/>
      <c r="AC521" s="301"/>
      <c r="AD521" s="302"/>
      <c r="AE521" s="303"/>
      <c r="AF521" s="304"/>
      <c r="AG521" s="304"/>
      <c r="AH521" s="304"/>
      <c r="AI521" s="304"/>
      <c r="AJ521" s="304"/>
      <c r="AK521" s="429"/>
      <c r="AL521" s="283"/>
      <c r="AM521" s="284"/>
    </row>
    <row r="522" ht="15.75" customHeight="1">
      <c r="A522" s="282">
        <f t="shared" si="1"/>
        <v>518</v>
      </c>
      <c r="B522" s="283"/>
      <c r="C522" s="284"/>
      <c r="D522" s="338"/>
      <c r="E522" s="286"/>
      <c r="F522" s="287"/>
      <c r="G522" s="288" t="str">
        <f>+IFERROR(VLOOKUP(F522,NVL!$B:$C,2,0),"")</f>
        <v/>
      </c>
      <c r="H522" s="288" t="str">
        <f>+IFERROR(VLOOKUP(F522,NVL!$B:$D,3,0),"")</f>
        <v/>
      </c>
      <c r="I522" s="288" t="str">
        <f>+IFERROR(VLOOKUP(F522,NVL!$B:$F,4,0),"")</f>
        <v/>
      </c>
      <c r="J522" s="289"/>
      <c r="K522" s="290"/>
      <c r="L522" s="291" t="str">
        <f>+IFERROR(VLOOKUP(K522,'THÀNH PHẨM'!$B:$F,3,0),"")</f>
        <v/>
      </c>
      <c r="M522" s="291" t="str">
        <f>+IFERROR(VLOOKUP(K522,'THÀNH PHẨM'!$B:$F,4,0),"")</f>
        <v/>
      </c>
      <c r="N522" s="291" t="str">
        <f>+IFERROR(VLOOKUP(K522,'THÀNH PHẨM'!$B:$F,5,0),"")</f>
        <v/>
      </c>
      <c r="O522" s="289"/>
      <c r="P522" s="292">
        <f t="shared" si="2"/>
        <v>0</v>
      </c>
      <c r="Q522" s="289"/>
      <c r="R522" s="289"/>
      <c r="S522" s="293">
        <f t="shared" si="62"/>
        <v>0</v>
      </c>
      <c r="T522" s="294"/>
      <c r="U522" s="295">
        <f t="shared" si="68"/>
        <v>0</v>
      </c>
      <c r="V522" s="296"/>
      <c r="W522" s="297"/>
      <c r="X522" s="298"/>
      <c r="Y522" s="292" t="str">
        <f t="shared" si="69"/>
        <v/>
      </c>
      <c r="Z522" s="366">
        <f t="shared" si="70"/>
        <v>0</v>
      </c>
      <c r="AA522" s="299" t="str">
        <f t="shared" si="71"/>
        <v/>
      </c>
      <c r="AB522" s="300"/>
      <c r="AC522" s="301"/>
      <c r="AD522" s="302"/>
      <c r="AE522" s="303"/>
      <c r="AF522" s="304"/>
      <c r="AG522" s="304"/>
      <c r="AH522" s="304"/>
      <c r="AI522" s="304"/>
      <c r="AJ522" s="304"/>
      <c r="AK522" s="305"/>
      <c r="AL522" s="283"/>
      <c r="AM522" s="284"/>
    </row>
    <row r="523" ht="15.75" customHeight="1">
      <c r="A523" s="282">
        <f t="shared" si="1"/>
        <v>519</v>
      </c>
      <c r="B523" s="283"/>
      <c r="C523" s="284"/>
      <c r="D523" s="338"/>
      <c r="E523" s="286"/>
      <c r="F523" s="287"/>
      <c r="G523" s="288" t="str">
        <f>+IFERROR(VLOOKUP(F523,NVL!$B:$C,2,0),"")</f>
        <v/>
      </c>
      <c r="H523" s="288" t="str">
        <f>+IFERROR(VLOOKUP(F523,NVL!$B:$D,3,0),"")</f>
        <v/>
      </c>
      <c r="I523" s="288" t="str">
        <f>+IFERROR(VLOOKUP(F523,NVL!$B:$F,4,0),"")</f>
        <v/>
      </c>
      <c r="J523" s="289"/>
      <c r="K523" s="290"/>
      <c r="L523" s="291" t="str">
        <f>+IFERROR(VLOOKUP(K523,'THÀNH PHẨM'!$B:$F,3,0),"")</f>
        <v/>
      </c>
      <c r="M523" s="291" t="str">
        <f>+IFERROR(VLOOKUP(K523,'THÀNH PHẨM'!$B:$F,4,0),"")</f>
        <v/>
      </c>
      <c r="N523" s="291" t="str">
        <f>+IFERROR(VLOOKUP(K523,'THÀNH PHẨM'!$B:$F,5,0),"")</f>
        <v/>
      </c>
      <c r="O523" s="289"/>
      <c r="P523" s="292">
        <f t="shared" si="2"/>
        <v>0</v>
      </c>
      <c r="Q523" s="289"/>
      <c r="R523" s="289"/>
      <c r="S523" s="293">
        <f t="shared" si="62"/>
        <v>0</v>
      </c>
      <c r="T523" s="294"/>
      <c r="U523" s="295">
        <f t="shared" si="68"/>
        <v>0</v>
      </c>
      <c r="V523" s="296"/>
      <c r="W523" s="297"/>
      <c r="X523" s="298"/>
      <c r="Y523" s="292" t="str">
        <f t="shared" si="69"/>
        <v/>
      </c>
      <c r="Z523" s="366">
        <f t="shared" si="70"/>
        <v>0</v>
      </c>
      <c r="AA523" s="299" t="str">
        <f t="shared" si="71"/>
        <v/>
      </c>
      <c r="AB523" s="300"/>
      <c r="AC523" s="301"/>
      <c r="AD523" s="302"/>
      <c r="AE523" s="303"/>
      <c r="AF523" s="304"/>
      <c r="AG523" s="304"/>
      <c r="AH523" s="304"/>
      <c r="AI523" s="304"/>
      <c r="AJ523" s="304"/>
      <c r="AK523" s="305"/>
      <c r="AL523" s="283"/>
      <c r="AM523" s="284"/>
    </row>
    <row r="524" ht="15.75" customHeight="1">
      <c r="A524" s="282">
        <f t="shared" si="1"/>
        <v>520</v>
      </c>
      <c r="B524" s="283"/>
      <c r="C524" s="284"/>
      <c r="D524" s="338"/>
      <c r="E524" s="286"/>
      <c r="F524" s="287"/>
      <c r="G524" s="288" t="str">
        <f>+IFERROR(VLOOKUP(F524,NVL!$B:$C,2,0),"")</f>
        <v/>
      </c>
      <c r="H524" s="288" t="str">
        <f>+IFERROR(VLOOKUP(F524,NVL!$B:$D,3,0),"")</f>
        <v/>
      </c>
      <c r="I524" s="288" t="str">
        <f>+IFERROR(VLOOKUP(F524,NVL!$B:$F,4,0),"")</f>
        <v/>
      </c>
      <c r="J524" s="289"/>
      <c r="K524" s="290"/>
      <c r="L524" s="291" t="str">
        <f>+IFERROR(VLOOKUP(K524,'THÀNH PHẨM'!$B:$F,3,0),"")</f>
        <v/>
      </c>
      <c r="M524" s="291" t="str">
        <f>+IFERROR(VLOOKUP(K524,'THÀNH PHẨM'!$B:$F,4,0),"")</f>
        <v/>
      </c>
      <c r="N524" s="291" t="str">
        <f>+IFERROR(VLOOKUP(K524,'THÀNH PHẨM'!$B:$F,5,0),"")</f>
        <v/>
      </c>
      <c r="O524" s="289"/>
      <c r="P524" s="292">
        <f t="shared" si="2"/>
        <v>0</v>
      </c>
      <c r="Q524" s="289"/>
      <c r="R524" s="289"/>
      <c r="S524" s="293">
        <f t="shared" si="62"/>
        <v>0</v>
      </c>
      <c r="T524" s="294"/>
      <c r="U524" s="295">
        <f t="shared" si="68"/>
        <v>0</v>
      </c>
      <c r="V524" s="296"/>
      <c r="W524" s="297"/>
      <c r="X524" s="298"/>
      <c r="Y524" s="292" t="str">
        <f t="shared" si="69"/>
        <v/>
      </c>
      <c r="Z524" s="366">
        <f t="shared" si="70"/>
        <v>0</v>
      </c>
      <c r="AA524" s="299" t="str">
        <f t="shared" si="71"/>
        <v/>
      </c>
      <c r="AB524" s="300"/>
      <c r="AC524" s="301"/>
      <c r="AD524" s="302"/>
      <c r="AE524" s="303"/>
      <c r="AF524" s="304"/>
      <c r="AG524" s="304"/>
      <c r="AH524" s="304"/>
      <c r="AI524" s="304"/>
      <c r="AJ524" s="304"/>
      <c r="AK524" s="305"/>
      <c r="AL524" s="283"/>
      <c r="AM524" s="284"/>
    </row>
    <row r="525" ht="15.75" customHeight="1">
      <c r="A525" s="282">
        <f t="shared" si="1"/>
        <v>521</v>
      </c>
      <c r="B525" s="283"/>
      <c r="C525" s="284"/>
      <c r="D525" s="338"/>
      <c r="E525" s="286"/>
      <c r="F525" s="287"/>
      <c r="G525" s="288" t="str">
        <f>+IFERROR(VLOOKUP(F525,NVL!$B:$C,2,0),"")</f>
        <v/>
      </c>
      <c r="H525" s="288" t="str">
        <f>+IFERROR(VLOOKUP(F525,NVL!$B:$D,3,0),"")</f>
        <v/>
      </c>
      <c r="I525" s="288" t="str">
        <f>+IFERROR(VLOOKUP(F525,NVL!$B:$F,4,0),"")</f>
        <v/>
      </c>
      <c r="J525" s="289"/>
      <c r="K525" s="290"/>
      <c r="L525" s="291" t="str">
        <f>+IFERROR(VLOOKUP(K525,'THÀNH PHẨM'!$B:$F,3,0),"")</f>
        <v/>
      </c>
      <c r="M525" s="291" t="str">
        <f>+IFERROR(VLOOKUP(K525,'THÀNH PHẨM'!$B:$F,4,0),"")</f>
        <v/>
      </c>
      <c r="N525" s="291" t="str">
        <f>+IFERROR(VLOOKUP(K525,'THÀNH PHẨM'!$B:$F,5,0),"")</f>
        <v/>
      </c>
      <c r="O525" s="289"/>
      <c r="P525" s="292">
        <f t="shared" si="2"/>
        <v>0</v>
      </c>
      <c r="Q525" s="289"/>
      <c r="R525" s="289"/>
      <c r="S525" s="293">
        <f t="shared" si="62"/>
        <v>0</v>
      </c>
      <c r="T525" s="294"/>
      <c r="U525" s="295">
        <f t="shared" si="68"/>
        <v>0</v>
      </c>
      <c r="V525" s="296"/>
      <c r="W525" s="297"/>
      <c r="X525" s="298"/>
      <c r="Y525" s="292" t="str">
        <f t="shared" si="69"/>
        <v/>
      </c>
      <c r="Z525" s="366">
        <f t="shared" si="70"/>
        <v>0</v>
      </c>
      <c r="AA525" s="299" t="str">
        <f t="shared" si="71"/>
        <v/>
      </c>
      <c r="AB525" s="300"/>
      <c r="AC525" s="301"/>
      <c r="AD525" s="302"/>
      <c r="AE525" s="303"/>
      <c r="AF525" s="304"/>
      <c r="AG525" s="304"/>
      <c r="AH525" s="304"/>
      <c r="AI525" s="304"/>
      <c r="AJ525" s="304"/>
      <c r="AK525" s="305"/>
      <c r="AL525" s="283"/>
      <c r="AM525" s="284"/>
    </row>
    <row r="526" ht="15.75" customHeight="1">
      <c r="A526" s="282">
        <f t="shared" si="1"/>
        <v>522</v>
      </c>
      <c r="B526" s="283"/>
      <c r="C526" s="284"/>
      <c r="D526" s="338"/>
      <c r="E526" s="286"/>
      <c r="F526" s="287"/>
      <c r="G526" s="288" t="str">
        <f>+IFERROR(VLOOKUP(F526,NVL!$B:$C,2,0),"")</f>
        <v/>
      </c>
      <c r="H526" s="288" t="str">
        <f>+IFERROR(VLOOKUP(F526,NVL!$B:$D,3,0),"")</f>
        <v/>
      </c>
      <c r="I526" s="288" t="str">
        <f>+IFERROR(VLOOKUP(F526,NVL!$B:$F,4,0),"")</f>
        <v/>
      </c>
      <c r="J526" s="289"/>
      <c r="K526" s="290"/>
      <c r="L526" s="291" t="str">
        <f>+IFERROR(VLOOKUP(K526,'THÀNH PHẨM'!$B:$F,3,0),"")</f>
        <v/>
      </c>
      <c r="M526" s="291" t="str">
        <f>+IFERROR(VLOOKUP(K526,'THÀNH PHẨM'!$B:$F,4,0),"")</f>
        <v/>
      </c>
      <c r="N526" s="291" t="str">
        <f>+IFERROR(VLOOKUP(K526,'THÀNH PHẨM'!$B:$F,5,0),"")</f>
        <v/>
      </c>
      <c r="O526" s="289"/>
      <c r="P526" s="292">
        <f t="shared" si="2"/>
        <v>0</v>
      </c>
      <c r="Q526" s="289"/>
      <c r="R526" s="289"/>
      <c r="S526" s="293">
        <f t="shared" si="62"/>
        <v>0</v>
      </c>
      <c r="T526" s="294"/>
      <c r="U526" s="295">
        <f t="shared" si="68"/>
        <v>0</v>
      </c>
      <c r="V526" s="296"/>
      <c r="W526" s="297"/>
      <c r="X526" s="298"/>
      <c r="Y526" s="292" t="str">
        <f t="shared" si="69"/>
        <v/>
      </c>
      <c r="Z526" s="366">
        <f t="shared" si="70"/>
        <v>0</v>
      </c>
      <c r="AA526" s="299" t="str">
        <f t="shared" si="71"/>
        <v/>
      </c>
      <c r="AB526" s="300"/>
      <c r="AC526" s="301"/>
      <c r="AD526" s="302"/>
      <c r="AE526" s="303"/>
      <c r="AF526" s="304"/>
      <c r="AG526" s="304"/>
      <c r="AH526" s="304"/>
      <c r="AI526" s="304"/>
      <c r="AJ526" s="304"/>
      <c r="AK526" s="305"/>
      <c r="AL526" s="283"/>
      <c r="AM526" s="284"/>
    </row>
    <row r="527" ht="15.75" customHeight="1">
      <c r="A527" s="282">
        <f t="shared" si="1"/>
        <v>523</v>
      </c>
      <c r="B527" s="283"/>
      <c r="C527" s="284"/>
      <c r="D527" s="338"/>
      <c r="E527" s="286"/>
      <c r="F527" s="287"/>
      <c r="G527" s="288" t="str">
        <f>+IFERROR(VLOOKUP(F527,NVL!$B:$C,2,0),"")</f>
        <v/>
      </c>
      <c r="H527" s="288" t="str">
        <f>+IFERROR(VLOOKUP(F527,NVL!$B:$D,3,0),"")</f>
        <v/>
      </c>
      <c r="I527" s="288" t="str">
        <f>+IFERROR(VLOOKUP(F527,NVL!$B:$F,4,0),"")</f>
        <v/>
      </c>
      <c r="J527" s="289"/>
      <c r="K527" s="290"/>
      <c r="L527" s="291" t="str">
        <f>+IFERROR(VLOOKUP(K527,'THÀNH PHẨM'!$B:$F,3,0),"")</f>
        <v/>
      </c>
      <c r="M527" s="291" t="str">
        <f>+IFERROR(VLOOKUP(K527,'THÀNH PHẨM'!$B:$F,4,0),"")</f>
        <v/>
      </c>
      <c r="N527" s="291" t="str">
        <f>+IFERROR(VLOOKUP(K527,'THÀNH PHẨM'!$B:$F,5,0),"")</f>
        <v/>
      </c>
      <c r="O527" s="289"/>
      <c r="P527" s="292">
        <f t="shared" si="2"/>
        <v>0</v>
      </c>
      <c r="Q527" s="289"/>
      <c r="R527" s="289"/>
      <c r="S527" s="293">
        <f t="shared" si="62"/>
        <v>0</v>
      </c>
      <c r="T527" s="294"/>
      <c r="U527" s="295">
        <f t="shared" si="68"/>
        <v>0</v>
      </c>
      <c r="V527" s="296"/>
      <c r="W527" s="297"/>
      <c r="X527" s="298"/>
      <c r="Y527" s="292" t="str">
        <f t="shared" si="69"/>
        <v/>
      </c>
      <c r="Z527" s="366">
        <f t="shared" si="70"/>
        <v>0</v>
      </c>
      <c r="AA527" s="299" t="str">
        <f t="shared" si="71"/>
        <v/>
      </c>
      <c r="AB527" s="300"/>
      <c r="AC527" s="301"/>
      <c r="AD527" s="302"/>
      <c r="AE527" s="303"/>
      <c r="AF527" s="304"/>
      <c r="AG527" s="304"/>
      <c r="AH527" s="304"/>
      <c r="AI527" s="304"/>
      <c r="AJ527" s="304"/>
      <c r="AK527" s="305"/>
      <c r="AL527" s="283"/>
      <c r="AM527" s="284"/>
    </row>
    <row r="528" ht="15.75" customHeight="1">
      <c r="A528" s="282">
        <f t="shared" si="1"/>
        <v>524</v>
      </c>
      <c r="B528" s="283"/>
      <c r="C528" s="284"/>
      <c r="D528" s="338"/>
      <c r="E528" s="286"/>
      <c r="F528" s="287"/>
      <c r="G528" s="288" t="str">
        <f>+IFERROR(VLOOKUP(F528,NVL!$B:$C,2,0),"")</f>
        <v/>
      </c>
      <c r="H528" s="288" t="str">
        <f>+IFERROR(VLOOKUP(F528,NVL!$B:$D,3,0),"")</f>
        <v/>
      </c>
      <c r="I528" s="288" t="str">
        <f>+IFERROR(VLOOKUP(F528,NVL!$B:$F,4,0),"")</f>
        <v/>
      </c>
      <c r="J528" s="289"/>
      <c r="K528" s="290"/>
      <c r="L528" s="291" t="str">
        <f>+IFERROR(VLOOKUP(K528,'THÀNH PHẨM'!$B:$F,3,0),"")</f>
        <v/>
      </c>
      <c r="M528" s="291" t="str">
        <f>+IFERROR(VLOOKUP(K528,'THÀNH PHẨM'!$B:$F,4,0),"")</f>
        <v/>
      </c>
      <c r="N528" s="291" t="str">
        <f>+IFERROR(VLOOKUP(K528,'THÀNH PHẨM'!$B:$F,5,0),"")</f>
        <v/>
      </c>
      <c r="O528" s="289"/>
      <c r="P528" s="292">
        <f t="shared" si="2"/>
        <v>0</v>
      </c>
      <c r="Q528" s="289"/>
      <c r="R528" s="289"/>
      <c r="S528" s="293">
        <f t="shared" si="62"/>
        <v>0</v>
      </c>
      <c r="T528" s="294"/>
      <c r="U528" s="295">
        <f t="shared" si="68"/>
        <v>0</v>
      </c>
      <c r="V528" s="296"/>
      <c r="W528" s="297"/>
      <c r="X528" s="298"/>
      <c r="Y528" s="292" t="str">
        <f t="shared" si="69"/>
        <v/>
      </c>
      <c r="Z528" s="366">
        <f t="shared" si="70"/>
        <v>0</v>
      </c>
      <c r="AA528" s="299" t="str">
        <f t="shared" si="71"/>
        <v/>
      </c>
      <c r="AB528" s="300"/>
      <c r="AC528" s="301"/>
      <c r="AD528" s="302"/>
      <c r="AE528" s="303"/>
      <c r="AF528" s="304"/>
      <c r="AG528" s="304"/>
      <c r="AH528" s="304"/>
      <c r="AI528" s="304"/>
      <c r="AJ528" s="304"/>
      <c r="AK528" s="305"/>
      <c r="AL528" s="283"/>
      <c r="AM528" s="284"/>
    </row>
    <row r="529" ht="15.75" customHeight="1">
      <c r="A529" s="282">
        <f t="shared" si="1"/>
        <v>525</v>
      </c>
      <c r="B529" s="283"/>
      <c r="C529" s="284"/>
      <c r="D529" s="338"/>
      <c r="E529" s="286"/>
      <c r="F529" s="287"/>
      <c r="G529" s="288" t="str">
        <f>+IFERROR(VLOOKUP(F529,NVL!$B:$C,2,0),"")</f>
        <v/>
      </c>
      <c r="H529" s="288" t="str">
        <f>+IFERROR(VLOOKUP(F529,NVL!$B:$D,3,0),"")</f>
        <v/>
      </c>
      <c r="I529" s="288" t="str">
        <f>+IFERROR(VLOOKUP(F529,NVL!$B:$F,4,0),"")</f>
        <v/>
      </c>
      <c r="J529" s="289"/>
      <c r="K529" s="290"/>
      <c r="L529" s="291" t="str">
        <f>+IFERROR(VLOOKUP(K529,'THÀNH PHẨM'!$B:$F,3,0),"")</f>
        <v/>
      </c>
      <c r="M529" s="291" t="str">
        <f>+IFERROR(VLOOKUP(K529,'THÀNH PHẨM'!$B:$F,4,0),"")</f>
        <v/>
      </c>
      <c r="N529" s="291" t="str">
        <f>+IFERROR(VLOOKUP(K529,'THÀNH PHẨM'!$B:$F,5,0),"")</f>
        <v/>
      </c>
      <c r="O529" s="289"/>
      <c r="P529" s="292">
        <f t="shared" si="2"/>
        <v>0</v>
      </c>
      <c r="Q529" s="289"/>
      <c r="R529" s="289"/>
      <c r="S529" s="293">
        <f t="shared" si="62"/>
        <v>0</v>
      </c>
      <c r="T529" s="294"/>
      <c r="U529" s="295">
        <f t="shared" si="68"/>
        <v>0</v>
      </c>
      <c r="V529" s="296"/>
      <c r="W529" s="297"/>
      <c r="X529" s="298"/>
      <c r="Y529" s="292" t="str">
        <f t="shared" si="69"/>
        <v/>
      </c>
      <c r="Z529" s="366">
        <f t="shared" si="70"/>
        <v>0</v>
      </c>
      <c r="AA529" s="299" t="str">
        <f t="shared" si="71"/>
        <v/>
      </c>
      <c r="AB529" s="300"/>
      <c r="AC529" s="301"/>
      <c r="AD529" s="302"/>
      <c r="AE529" s="303"/>
      <c r="AF529" s="304"/>
      <c r="AG529" s="304"/>
      <c r="AH529" s="304"/>
      <c r="AI529" s="304"/>
      <c r="AJ529" s="304"/>
      <c r="AK529" s="305"/>
      <c r="AL529" s="283"/>
      <c r="AM529" s="284"/>
    </row>
    <row r="530" ht="15.75" customHeight="1">
      <c r="A530" s="282">
        <f t="shared" si="1"/>
        <v>526</v>
      </c>
      <c r="B530" s="283"/>
      <c r="C530" s="284"/>
      <c r="D530" s="338"/>
      <c r="E530" s="286"/>
      <c r="F530" s="287"/>
      <c r="G530" s="288" t="str">
        <f>+IFERROR(VLOOKUP(F530,NVL!$B:$C,2,0),"")</f>
        <v/>
      </c>
      <c r="H530" s="288" t="str">
        <f>+IFERROR(VLOOKUP(F530,NVL!$B:$D,3,0),"")</f>
        <v/>
      </c>
      <c r="I530" s="288" t="str">
        <f>+IFERROR(VLOOKUP(F530,NVL!$B:$F,4,0),"")</f>
        <v/>
      </c>
      <c r="J530" s="289"/>
      <c r="K530" s="290"/>
      <c r="L530" s="291" t="str">
        <f>+IFERROR(VLOOKUP(K530,'THÀNH PHẨM'!$B:$F,3,0),"")</f>
        <v/>
      </c>
      <c r="M530" s="291" t="str">
        <f>+IFERROR(VLOOKUP(K530,'THÀNH PHẨM'!$B:$F,4,0),"")</f>
        <v/>
      </c>
      <c r="N530" s="291" t="str">
        <f>+IFERROR(VLOOKUP(K530,'THÀNH PHẨM'!$B:$F,5,0),"")</f>
        <v/>
      </c>
      <c r="O530" s="289"/>
      <c r="P530" s="292">
        <f t="shared" si="2"/>
        <v>0</v>
      </c>
      <c r="Q530" s="289"/>
      <c r="R530" s="289"/>
      <c r="S530" s="293">
        <f t="shared" si="62"/>
        <v>0</v>
      </c>
      <c r="T530" s="294"/>
      <c r="U530" s="295">
        <f t="shared" si="68"/>
        <v>0</v>
      </c>
      <c r="V530" s="296"/>
      <c r="W530" s="297"/>
      <c r="X530" s="298"/>
      <c r="Y530" s="292" t="str">
        <f t="shared" si="69"/>
        <v/>
      </c>
      <c r="Z530" s="366">
        <f t="shared" si="70"/>
        <v>0</v>
      </c>
      <c r="AA530" s="299" t="str">
        <f t="shared" si="71"/>
        <v/>
      </c>
      <c r="AB530" s="300"/>
      <c r="AC530" s="301"/>
      <c r="AD530" s="302"/>
      <c r="AE530" s="303"/>
      <c r="AF530" s="304"/>
      <c r="AG530" s="304"/>
      <c r="AH530" s="304"/>
      <c r="AI530" s="304"/>
      <c r="AJ530" s="304"/>
      <c r="AK530" s="305"/>
      <c r="AL530" s="283"/>
      <c r="AM530" s="284"/>
    </row>
    <row r="531" ht="15.75" customHeight="1">
      <c r="A531" s="282">
        <f t="shared" si="1"/>
        <v>527</v>
      </c>
      <c r="B531" s="283"/>
      <c r="C531" s="284"/>
      <c r="D531" s="338"/>
      <c r="E531" s="286"/>
      <c r="F531" s="287"/>
      <c r="G531" s="288" t="str">
        <f>+IFERROR(VLOOKUP(F531,NVL!$B:$C,2,0),"")</f>
        <v/>
      </c>
      <c r="H531" s="288" t="str">
        <f>+IFERROR(VLOOKUP(F531,NVL!$B:$D,3,0),"")</f>
        <v/>
      </c>
      <c r="I531" s="288" t="str">
        <f>+IFERROR(VLOOKUP(F531,NVL!$B:$F,4,0),"")</f>
        <v/>
      </c>
      <c r="J531" s="289"/>
      <c r="K531" s="290"/>
      <c r="L531" s="291" t="str">
        <f>+IFERROR(VLOOKUP(K531,'THÀNH PHẨM'!$B:$F,3,0),"")</f>
        <v/>
      </c>
      <c r="M531" s="291" t="str">
        <f>+IFERROR(VLOOKUP(K531,'THÀNH PHẨM'!$B:$F,4,0),"")</f>
        <v/>
      </c>
      <c r="N531" s="291" t="str">
        <f>+IFERROR(VLOOKUP(K531,'THÀNH PHẨM'!$B:$F,5,0),"")</f>
        <v/>
      </c>
      <c r="O531" s="289"/>
      <c r="P531" s="292">
        <f t="shared" si="2"/>
        <v>0</v>
      </c>
      <c r="Q531" s="289"/>
      <c r="R531" s="289"/>
      <c r="S531" s="293">
        <f t="shared" si="62"/>
        <v>0</v>
      </c>
      <c r="T531" s="294"/>
      <c r="U531" s="295">
        <f t="shared" si="68"/>
        <v>0</v>
      </c>
      <c r="V531" s="296"/>
      <c r="W531" s="297"/>
      <c r="X531" s="298"/>
      <c r="Y531" s="292" t="str">
        <f t="shared" si="69"/>
        <v/>
      </c>
      <c r="Z531" s="366">
        <f t="shared" si="70"/>
        <v>0</v>
      </c>
      <c r="AA531" s="299" t="str">
        <f t="shared" si="71"/>
        <v/>
      </c>
      <c r="AB531" s="300"/>
      <c r="AC531" s="301"/>
      <c r="AD531" s="302"/>
      <c r="AE531" s="303"/>
      <c r="AF531" s="304"/>
      <c r="AG531" s="304"/>
      <c r="AH531" s="304"/>
      <c r="AI531" s="304"/>
      <c r="AJ531" s="304"/>
      <c r="AK531" s="305"/>
      <c r="AL531" s="283"/>
      <c r="AM531" s="284"/>
    </row>
    <row r="532" ht="15.75" customHeight="1">
      <c r="A532" s="282">
        <f t="shared" si="1"/>
        <v>528</v>
      </c>
      <c r="B532" s="283"/>
      <c r="C532" s="284"/>
      <c r="D532" s="338"/>
      <c r="E532" s="286"/>
      <c r="F532" s="287"/>
      <c r="G532" s="288" t="str">
        <f>+IFERROR(VLOOKUP(F532,NVL!$B:$C,2,0),"")</f>
        <v/>
      </c>
      <c r="H532" s="288" t="str">
        <f>+IFERROR(VLOOKUP(F532,NVL!$B:$D,3,0),"")</f>
        <v/>
      </c>
      <c r="I532" s="288" t="str">
        <f>+IFERROR(VLOOKUP(F532,NVL!$B:$F,4,0),"")</f>
        <v/>
      </c>
      <c r="J532" s="289"/>
      <c r="K532" s="290"/>
      <c r="L532" s="291" t="str">
        <f>+IFERROR(VLOOKUP(K532,'THÀNH PHẨM'!$B:$F,3,0),"")</f>
        <v/>
      </c>
      <c r="M532" s="291" t="str">
        <f>+IFERROR(VLOOKUP(K532,'THÀNH PHẨM'!$B:$F,4,0),"")</f>
        <v/>
      </c>
      <c r="N532" s="291" t="str">
        <f>+IFERROR(VLOOKUP(K532,'THÀNH PHẨM'!$B:$F,5,0),"")</f>
        <v/>
      </c>
      <c r="O532" s="289"/>
      <c r="P532" s="292">
        <f t="shared" si="2"/>
        <v>0</v>
      </c>
      <c r="Q532" s="289"/>
      <c r="R532" s="289"/>
      <c r="S532" s="293">
        <f t="shared" si="62"/>
        <v>0</v>
      </c>
      <c r="T532" s="294"/>
      <c r="U532" s="295">
        <f t="shared" si="68"/>
        <v>0</v>
      </c>
      <c r="V532" s="296"/>
      <c r="W532" s="297"/>
      <c r="X532" s="298"/>
      <c r="Y532" s="292" t="str">
        <f t="shared" si="69"/>
        <v/>
      </c>
      <c r="Z532" s="366">
        <f t="shared" si="70"/>
        <v>0</v>
      </c>
      <c r="AA532" s="299" t="str">
        <f t="shared" si="71"/>
        <v/>
      </c>
      <c r="AB532" s="300"/>
      <c r="AC532" s="301"/>
      <c r="AD532" s="302"/>
      <c r="AE532" s="303"/>
      <c r="AF532" s="304"/>
      <c r="AG532" s="304"/>
      <c r="AH532" s="304"/>
      <c r="AI532" s="304"/>
      <c r="AJ532" s="304"/>
      <c r="AK532" s="305"/>
      <c r="AL532" s="283"/>
      <c r="AM532" s="284"/>
    </row>
    <row r="533" ht="15.75" customHeight="1">
      <c r="A533" s="282">
        <f t="shared" si="1"/>
        <v>529</v>
      </c>
      <c r="B533" s="283"/>
      <c r="C533" s="284"/>
      <c r="D533" s="338"/>
      <c r="E533" s="286"/>
      <c r="F533" s="287"/>
      <c r="G533" s="288" t="str">
        <f>+IFERROR(VLOOKUP(F533,NVL!$B:$C,2,0),"")</f>
        <v/>
      </c>
      <c r="H533" s="288" t="str">
        <f>+IFERROR(VLOOKUP(F533,NVL!$B:$D,3,0),"")</f>
        <v/>
      </c>
      <c r="I533" s="288" t="str">
        <f>+IFERROR(VLOOKUP(F533,NVL!$B:$F,4,0),"")</f>
        <v/>
      </c>
      <c r="J533" s="289"/>
      <c r="K533" s="290"/>
      <c r="L533" s="291" t="str">
        <f>+IFERROR(VLOOKUP(K533,'THÀNH PHẨM'!$B:$F,3,0),"")</f>
        <v/>
      </c>
      <c r="M533" s="291" t="str">
        <f>+IFERROR(VLOOKUP(K533,'THÀNH PHẨM'!$B:$F,4,0),"")</f>
        <v/>
      </c>
      <c r="N533" s="291" t="str">
        <f>+IFERROR(VLOOKUP(K533,'THÀNH PHẨM'!$B:$F,5,0),"")</f>
        <v/>
      </c>
      <c r="O533" s="289"/>
      <c r="P533" s="292">
        <f t="shared" si="2"/>
        <v>0</v>
      </c>
      <c r="Q533" s="289"/>
      <c r="R533" s="289"/>
      <c r="S533" s="293">
        <f t="shared" si="62"/>
        <v>0</v>
      </c>
      <c r="T533" s="294"/>
      <c r="U533" s="295">
        <f t="shared" si="68"/>
        <v>0</v>
      </c>
      <c r="V533" s="296"/>
      <c r="W533" s="297"/>
      <c r="X533" s="298"/>
      <c r="Y533" s="292" t="str">
        <f t="shared" si="69"/>
        <v/>
      </c>
      <c r="Z533" s="366">
        <f t="shared" si="70"/>
        <v>0</v>
      </c>
      <c r="AA533" s="299" t="str">
        <f t="shared" si="71"/>
        <v/>
      </c>
      <c r="AB533" s="300"/>
      <c r="AC533" s="301"/>
      <c r="AD533" s="302"/>
      <c r="AE533" s="303"/>
      <c r="AF533" s="304"/>
      <c r="AG533" s="304"/>
      <c r="AH533" s="304"/>
      <c r="AI533" s="304"/>
      <c r="AJ533" s="304"/>
      <c r="AK533" s="305"/>
      <c r="AL533" s="283"/>
      <c r="AM533" s="284"/>
    </row>
    <row r="534" ht="15.75" customHeight="1">
      <c r="A534" s="282">
        <f t="shared" si="1"/>
        <v>530</v>
      </c>
      <c r="B534" s="283"/>
      <c r="C534" s="284"/>
      <c r="D534" s="338"/>
      <c r="E534" s="286"/>
      <c r="F534" s="287"/>
      <c r="G534" s="288" t="str">
        <f>+IFERROR(VLOOKUP(F534,NVL!$B:$C,2,0),"")</f>
        <v/>
      </c>
      <c r="H534" s="288" t="str">
        <f>+IFERROR(VLOOKUP(F534,NVL!$B:$D,3,0),"")</f>
        <v/>
      </c>
      <c r="I534" s="288" t="str">
        <f>+IFERROR(VLOOKUP(F534,NVL!$B:$F,4,0),"")</f>
        <v/>
      </c>
      <c r="J534" s="289"/>
      <c r="K534" s="290"/>
      <c r="L534" s="291" t="str">
        <f>+IFERROR(VLOOKUP(K534,'THÀNH PHẨM'!$B:$F,3,0),"")</f>
        <v/>
      </c>
      <c r="M534" s="291" t="str">
        <f>+IFERROR(VLOOKUP(K534,'THÀNH PHẨM'!$B:$F,4,0),"")</f>
        <v/>
      </c>
      <c r="N534" s="291" t="str">
        <f>+IFERROR(VLOOKUP(K534,'THÀNH PHẨM'!$B:$F,5,0),"")</f>
        <v/>
      </c>
      <c r="O534" s="289"/>
      <c r="P534" s="292">
        <f t="shared" si="2"/>
        <v>0</v>
      </c>
      <c r="Q534" s="289"/>
      <c r="R534" s="289"/>
      <c r="S534" s="293">
        <f t="shared" si="62"/>
        <v>0</v>
      </c>
      <c r="T534" s="294"/>
      <c r="U534" s="295">
        <f t="shared" si="68"/>
        <v>0</v>
      </c>
      <c r="V534" s="296"/>
      <c r="W534" s="297"/>
      <c r="X534" s="298"/>
      <c r="Y534" s="292" t="str">
        <f t="shared" si="69"/>
        <v/>
      </c>
      <c r="Z534" s="366">
        <f t="shared" si="70"/>
        <v>0</v>
      </c>
      <c r="AA534" s="299" t="str">
        <f t="shared" si="71"/>
        <v/>
      </c>
      <c r="AB534" s="300"/>
      <c r="AC534" s="301"/>
      <c r="AD534" s="302"/>
      <c r="AE534" s="303"/>
      <c r="AF534" s="304"/>
      <c r="AG534" s="304"/>
      <c r="AH534" s="304"/>
      <c r="AI534" s="304"/>
      <c r="AJ534" s="304"/>
      <c r="AK534" s="305"/>
      <c r="AL534" s="283"/>
      <c r="AM534" s="284"/>
    </row>
    <row r="535" ht="15.75" customHeight="1">
      <c r="A535" s="282">
        <f t="shared" si="1"/>
        <v>531</v>
      </c>
      <c r="B535" s="283"/>
      <c r="C535" s="284"/>
      <c r="D535" s="338"/>
      <c r="E535" s="286"/>
      <c r="F535" s="287"/>
      <c r="G535" s="288" t="str">
        <f>+IFERROR(VLOOKUP(F535,NVL!$B:$C,2,0),"")</f>
        <v/>
      </c>
      <c r="H535" s="288" t="str">
        <f>+IFERROR(VLOOKUP(F535,NVL!$B:$D,3,0),"")</f>
        <v/>
      </c>
      <c r="I535" s="288" t="str">
        <f>+IFERROR(VLOOKUP(F535,NVL!$B:$F,4,0),"")</f>
        <v/>
      </c>
      <c r="J535" s="289"/>
      <c r="K535" s="290"/>
      <c r="L535" s="291" t="str">
        <f>+IFERROR(VLOOKUP(K535,'THÀNH PHẨM'!$B:$F,3,0),"")</f>
        <v/>
      </c>
      <c r="M535" s="291" t="str">
        <f>+IFERROR(VLOOKUP(K535,'THÀNH PHẨM'!$B:$F,4,0),"")</f>
        <v/>
      </c>
      <c r="N535" s="291" t="str">
        <f>+IFERROR(VLOOKUP(K535,'THÀNH PHẨM'!$B:$F,5,0),"")</f>
        <v/>
      </c>
      <c r="O535" s="289"/>
      <c r="P535" s="292">
        <f t="shared" si="2"/>
        <v>0</v>
      </c>
      <c r="Q535" s="289"/>
      <c r="R535" s="289"/>
      <c r="S535" s="293">
        <f t="shared" si="62"/>
        <v>0</v>
      </c>
      <c r="T535" s="294"/>
      <c r="U535" s="295">
        <f t="shared" si="68"/>
        <v>0</v>
      </c>
      <c r="V535" s="296"/>
      <c r="W535" s="297"/>
      <c r="X535" s="298"/>
      <c r="Y535" s="292" t="str">
        <f t="shared" si="69"/>
        <v/>
      </c>
      <c r="Z535" s="366">
        <f t="shared" si="70"/>
        <v>0</v>
      </c>
      <c r="AA535" s="299" t="str">
        <f t="shared" si="71"/>
        <v/>
      </c>
      <c r="AB535" s="300"/>
      <c r="AC535" s="301"/>
      <c r="AD535" s="302"/>
      <c r="AE535" s="303"/>
      <c r="AF535" s="304"/>
      <c r="AG535" s="304"/>
      <c r="AH535" s="304"/>
      <c r="AI535" s="304"/>
      <c r="AJ535" s="304"/>
      <c r="AK535" s="305"/>
      <c r="AL535" s="283"/>
      <c r="AM535" s="284"/>
    </row>
    <row r="536" ht="15.75" customHeight="1">
      <c r="A536" s="282">
        <f t="shared" si="1"/>
        <v>532</v>
      </c>
      <c r="B536" s="283"/>
      <c r="C536" s="284"/>
      <c r="D536" s="338"/>
      <c r="E536" s="286"/>
      <c r="F536" s="287"/>
      <c r="G536" s="288" t="str">
        <f>+IFERROR(VLOOKUP(F536,NVL!$B:$C,2,0),"")</f>
        <v/>
      </c>
      <c r="H536" s="288" t="str">
        <f>+IFERROR(VLOOKUP(F536,NVL!$B:$D,3,0),"")</f>
        <v/>
      </c>
      <c r="I536" s="288" t="str">
        <f>+IFERROR(VLOOKUP(F536,NVL!$B:$F,4,0),"")</f>
        <v/>
      </c>
      <c r="J536" s="289"/>
      <c r="K536" s="290"/>
      <c r="L536" s="291" t="str">
        <f>+IFERROR(VLOOKUP(K536,'THÀNH PHẨM'!$B:$F,3,0),"")</f>
        <v/>
      </c>
      <c r="M536" s="291" t="str">
        <f>+IFERROR(VLOOKUP(K536,'THÀNH PHẨM'!$B:$F,4,0),"")</f>
        <v/>
      </c>
      <c r="N536" s="291" t="str">
        <f>+IFERROR(VLOOKUP(K536,'THÀNH PHẨM'!$B:$F,5,0),"")</f>
        <v/>
      </c>
      <c r="O536" s="289"/>
      <c r="P536" s="292">
        <f t="shared" si="2"/>
        <v>0</v>
      </c>
      <c r="Q536" s="289"/>
      <c r="R536" s="289"/>
      <c r="S536" s="293">
        <f t="shared" si="62"/>
        <v>0</v>
      </c>
      <c r="T536" s="294"/>
      <c r="U536" s="295">
        <f t="shared" si="68"/>
        <v>0</v>
      </c>
      <c r="V536" s="296"/>
      <c r="W536" s="297"/>
      <c r="X536" s="298"/>
      <c r="Y536" s="292" t="str">
        <f t="shared" si="69"/>
        <v/>
      </c>
      <c r="Z536" s="366">
        <f t="shared" si="70"/>
        <v>0</v>
      </c>
      <c r="AA536" s="299" t="str">
        <f t="shared" si="71"/>
        <v/>
      </c>
      <c r="AB536" s="300"/>
      <c r="AC536" s="301"/>
      <c r="AD536" s="302"/>
      <c r="AE536" s="303"/>
      <c r="AF536" s="304"/>
      <c r="AG536" s="304"/>
      <c r="AH536" s="304"/>
      <c r="AI536" s="304"/>
      <c r="AJ536" s="304"/>
      <c r="AK536" s="305"/>
      <c r="AL536" s="283"/>
      <c r="AM536" s="284"/>
    </row>
    <row r="537" ht="15.75" customHeight="1">
      <c r="A537" s="282">
        <f t="shared" si="1"/>
        <v>533</v>
      </c>
      <c r="B537" s="283"/>
      <c r="C537" s="284"/>
      <c r="D537" s="338"/>
      <c r="E537" s="286"/>
      <c r="F537" s="287"/>
      <c r="G537" s="288" t="str">
        <f>+IFERROR(VLOOKUP(F537,NVL!$B:$C,2,0),"")</f>
        <v/>
      </c>
      <c r="H537" s="288" t="str">
        <f>+IFERROR(VLOOKUP(F537,NVL!$B:$D,3,0),"")</f>
        <v/>
      </c>
      <c r="I537" s="288" t="str">
        <f>+IFERROR(VLOOKUP(F537,NVL!$B:$F,4,0),"")</f>
        <v/>
      </c>
      <c r="J537" s="289"/>
      <c r="K537" s="290"/>
      <c r="L537" s="291" t="str">
        <f>+IFERROR(VLOOKUP(K537,'THÀNH PHẨM'!$B:$F,3,0),"")</f>
        <v/>
      </c>
      <c r="M537" s="291" t="str">
        <f>+IFERROR(VLOOKUP(K537,'THÀNH PHẨM'!$B:$F,4,0),"")</f>
        <v/>
      </c>
      <c r="N537" s="291" t="str">
        <f>+IFERROR(VLOOKUP(K537,'THÀNH PHẨM'!$B:$F,5,0),"")</f>
        <v/>
      </c>
      <c r="O537" s="289"/>
      <c r="P537" s="292">
        <f t="shared" si="2"/>
        <v>0</v>
      </c>
      <c r="Q537" s="289"/>
      <c r="R537" s="289"/>
      <c r="S537" s="293">
        <f t="shared" si="62"/>
        <v>0</v>
      </c>
      <c r="T537" s="294"/>
      <c r="U537" s="295">
        <f t="shared" si="68"/>
        <v>0</v>
      </c>
      <c r="V537" s="296"/>
      <c r="W537" s="297"/>
      <c r="X537" s="298"/>
      <c r="Y537" s="292" t="str">
        <f t="shared" si="69"/>
        <v/>
      </c>
      <c r="Z537" s="366">
        <f t="shared" si="70"/>
        <v>0</v>
      </c>
      <c r="AA537" s="299" t="str">
        <f t="shared" si="71"/>
        <v/>
      </c>
      <c r="AB537" s="300"/>
      <c r="AC537" s="301"/>
      <c r="AD537" s="302"/>
      <c r="AE537" s="303"/>
      <c r="AF537" s="304"/>
      <c r="AG537" s="304"/>
      <c r="AH537" s="304"/>
      <c r="AI537" s="304"/>
      <c r="AJ537" s="304"/>
      <c r="AK537" s="305"/>
      <c r="AL537" s="283"/>
      <c r="AM537" s="284"/>
    </row>
    <row r="538" ht="15.75" customHeight="1">
      <c r="A538" s="282">
        <f t="shared" si="1"/>
        <v>534</v>
      </c>
      <c r="B538" s="283"/>
      <c r="C538" s="284"/>
      <c r="D538" s="338"/>
      <c r="E538" s="286"/>
      <c r="F538" s="287"/>
      <c r="G538" s="288" t="str">
        <f>+IFERROR(VLOOKUP(F538,NVL!$B:$C,2,0),"")</f>
        <v/>
      </c>
      <c r="H538" s="288" t="str">
        <f>+IFERROR(VLOOKUP(F538,NVL!$B:$D,3,0),"")</f>
        <v/>
      </c>
      <c r="I538" s="288" t="str">
        <f>+IFERROR(VLOOKUP(F538,NVL!$B:$F,4,0),"")</f>
        <v/>
      </c>
      <c r="J538" s="289"/>
      <c r="K538" s="290"/>
      <c r="L538" s="291" t="str">
        <f>+IFERROR(VLOOKUP(K538,'THÀNH PHẨM'!$B:$F,3,0),"")</f>
        <v/>
      </c>
      <c r="M538" s="291" t="str">
        <f>+IFERROR(VLOOKUP(K538,'THÀNH PHẨM'!$B:$F,4,0),"")</f>
        <v/>
      </c>
      <c r="N538" s="291" t="str">
        <f>+IFERROR(VLOOKUP(K538,'THÀNH PHẨM'!$B:$F,5,0),"")</f>
        <v/>
      </c>
      <c r="O538" s="289"/>
      <c r="P538" s="292">
        <f t="shared" si="2"/>
        <v>0</v>
      </c>
      <c r="Q538" s="289"/>
      <c r="R538" s="289"/>
      <c r="S538" s="293">
        <f t="shared" si="62"/>
        <v>0</v>
      </c>
      <c r="T538" s="294"/>
      <c r="U538" s="295">
        <f t="shared" si="68"/>
        <v>0</v>
      </c>
      <c r="V538" s="296"/>
      <c r="W538" s="297"/>
      <c r="X538" s="298"/>
      <c r="Y538" s="292" t="str">
        <f t="shared" si="69"/>
        <v/>
      </c>
      <c r="Z538" s="366">
        <f t="shared" si="70"/>
        <v>0</v>
      </c>
      <c r="AA538" s="299" t="str">
        <f t="shared" si="71"/>
        <v/>
      </c>
      <c r="AB538" s="300"/>
      <c r="AC538" s="301"/>
      <c r="AD538" s="302"/>
      <c r="AE538" s="303"/>
      <c r="AF538" s="304"/>
      <c r="AG538" s="304"/>
      <c r="AH538" s="304"/>
      <c r="AI538" s="304"/>
      <c r="AJ538" s="304"/>
      <c r="AK538" s="305"/>
      <c r="AL538" s="283"/>
      <c r="AM538" s="284"/>
    </row>
    <row r="539" ht="15.75" customHeight="1">
      <c r="A539" s="282">
        <f t="shared" si="1"/>
        <v>535</v>
      </c>
      <c r="B539" s="283"/>
      <c r="C539" s="284"/>
      <c r="D539" s="338"/>
      <c r="E539" s="286"/>
      <c r="F539" s="287"/>
      <c r="G539" s="288" t="str">
        <f>+IFERROR(VLOOKUP(F539,NVL!$B:$C,2,0),"")</f>
        <v/>
      </c>
      <c r="H539" s="288" t="str">
        <f>+IFERROR(VLOOKUP(F539,NVL!$B:$D,3,0),"")</f>
        <v/>
      </c>
      <c r="I539" s="288" t="str">
        <f>+IFERROR(VLOOKUP(F539,NVL!$B:$F,4,0),"")</f>
        <v/>
      </c>
      <c r="J539" s="289"/>
      <c r="K539" s="290"/>
      <c r="L539" s="291" t="str">
        <f>+IFERROR(VLOOKUP(K539,'THÀNH PHẨM'!$B:$F,3,0),"")</f>
        <v/>
      </c>
      <c r="M539" s="291" t="str">
        <f>+IFERROR(VLOOKUP(K539,'THÀNH PHẨM'!$B:$F,4,0),"")</f>
        <v/>
      </c>
      <c r="N539" s="291" t="str">
        <f>+IFERROR(VLOOKUP(K539,'THÀNH PHẨM'!$B:$F,5,0),"")</f>
        <v/>
      </c>
      <c r="O539" s="289"/>
      <c r="P539" s="292">
        <f t="shared" si="2"/>
        <v>0</v>
      </c>
      <c r="Q539" s="289"/>
      <c r="R539" s="289"/>
      <c r="S539" s="293">
        <f t="shared" si="62"/>
        <v>0</v>
      </c>
      <c r="T539" s="294"/>
      <c r="U539" s="295">
        <f t="shared" si="68"/>
        <v>0</v>
      </c>
      <c r="V539" s="296"/>
      <c r="W539" s="297"/>
      <c r="X539" s="298"/>
      <c r="Y539" s="292" t="str">
        <f t="shared" si="69"/>
        <v/>
      </c>
      <c r="Z539" s="366">
        <f t="shared" si="70"/>
        <v>0</v>
      </c>
      <c r="AA539" s="299" t="str">
        <f t="shared" si="71"/>
        <v/>
      </c>
      <c r="AB539" s="300"/>
      <c r="AC539" s="301"/>
      <c r="AD539" s="302"/>
      <c r="AE539" s="303"/>
      <c r="AF539" s="304"/>
      <c r="AG539" s="304"/>
      <c r="AH539" s="304"/>
      <c r="AI539" s="304"/>
      <c r="AJ539" s="304"/>
      <c r="AK539" s="305"/>
      <c r="AL539" s="283"/>
      <c r="AM539" s="284"/>
    </row>
    <row r="540" ht="15.75" customHeight="1">
      <c r="A540" s="282">
        <f t="shared" si="1"/>
        <v>536</v>
      </c>
      <c r="B540" s="283"/>
      <c r="C540" s="284"/>
      <c r="D540" s="338"/>
      <c r="E540" s="286"/>
      <c r="F540" s="287"/>
      <c r="G540" s="288" t="str">
        <f>+IFERROR(VLOOKUP(F540,NVL!$B:$C,2,0),"")</f>
        <v/>
      </c>
      <c r="H540" s="288" t="str">
        <f>+IFERROR(VLOOKUP(F540,NVL!$B:$D,3,0),"")</f>
        <v/>
      </c>
      <c r="I540" s="288" t="str">
        <f>+IFERROR(VLOOKUP(F540,NVL!$B:$F,4,0),"")</f>
        <v/>
      </c>
      <c r="J540" s="289"/>
      <c r="K540" s="290"/>
      <c r="L540" s="291" t="str">
        <f>+IFERROR(VLOOKUP(K540,'THÀNH PHẨM'!$B:$F,3,0),"")</f>
        <v/>
      </c>
      <c r="M540" s="291" t="str">
        <f>+IFERROR(VLOOKUP(K540,'THÀNH PHẨM'!$B:$F,4,0),"")</f>
        <v/>
      </c>
      <c r="N540" s="291" t="str">
        <f>+IFERROR(VLOOKUP(K540,'THÀNH PHẨM'!$B:$F,5,0),"")</f>
        <v/>
      </c>
      <c r="O540" s="289"/>
      <c r="P540" s="292">
        <f t="shared" si="2"/>
        <v>0</v>
      </c>
      <c r="Q540" s="289"/>
      <c r="R540" s="289"/>
      <c r="S540" s="293">
        <f t="shared" si="62"/>
        <v>0</v>
      </c>
      <c r="T540" s="294"/>
      <c r="U540" s="295">
        <f t="shared" si="68"/>
        <v>0</v>
      </c>
      <c r="V540" s="296"/>
      <c r="W540" s="297"/>
      <c r="X540" s="298"/>
      <c r="Y540" s="292" t="str">
        <f t="shared" si="69"/>
        <v/>
      </c>
      <c r="Z540" s="366">
        <f t="shared" si="70"/>
        <v>0</v>
      </c>
      <c r="AA540" s="299" t="str">
        <f t="shared" si="71"/>
        <v/>
      </c>
      <c r="AB540" s="300"/>
      <c r="AC540" s="301"/>
      <c r="AD540" s="302"/>
      <c r="AE540" s="303"/>
      <c r="AF540" s="304"/>
      <c r="AG540" s="304"/>
      <c r="AH540" s="304"/>
      <c r="AI540" s="304"/>
      <c r="AJ540" s="304"/>
      <c r="AK540" s="305"/>
      <c r="AL540" s="283"/>
      <c r="AM540" s="320"/>
    </row>
    <row r="541" ht="15.75" customHeight="1">
      <c r="A541" s="282">
        <f t="shared" si="1"/>
        <v>537</v>
      </c>
      <c r="B541" s="283"/>
      <c r="C541" s="284"/>
      <c r="D541" s="338"/>
      <c r="E541" s="286"/>
      <c r="F541" s="287"/>
      <c r="G541" s="288" t="str">
        <f>+IFERROR(VLOOKUP(F541,NVL!$B:$C,2,0),"")</f>
        <v/>
      </c>
      <c r="H541" s="288" t="str">
        <f>+IFERROR(VLOOKUP(F541,NVL!$B:$D,3,0),"")</f>
        <v/>
      </c>
      <c r="I541" s="288" t="str">
        <f>+IFERROR(VLOOKUP(F541,NVL!$B:$F,4,0),"")</f>
        <v/>
      </c>
      <c r="J541" s="289"/>
      <c r="K541" s="290"/>
      <c r="L541" s="291" t="str">
        <f>+IFERROR(VLOOKUP(K541,'THÀNH PHẨM'!$B:$F,3,0),"")</f>
        <v/>
      </c>
      <c r="M541" s="291" t="str">
        <f>+IFERROR(VLOOKUP(K541,'THÀNH PHẨM'!$B:$F,4,0),"")</f>
        <v/>
      </c>
      <c r="N541" s="291" t="str">
        <f>+IFERROR(VLOOKUP(K541,'THÀNH PHẨM'!$B:$F,5,0),"")</f>
        <v/>
      </c>
      <c r="O541" s="289"/>
      <c r="P541" s="292">
        <f t="shared" si="2"/>
        <v>0</v>
      </c>
      <c r="Q541" s="289"/>
      <c r="R541" s="289"/>
      <c r="S541" s="293">
        <f t="shared" si="62"/>
        <v>0</v>
      </c>
      <c r="T541" s="294"/>
      <c r="U541" s="295">
        <f t="shared" si="68"/>
        <v>0</v>
      </c>
      <c r="V541" s="296"/>
      <c r="W541" s="297"/>
      <c r="X541" s="298"/>
      <c r="Y541" s="292" t="str">
        <f t="shared" si="69"/>
        <v/>
      </c>
      <c r="Z541" s="366">
        <f t="shared" si="70"/>
        <v>0</v>
      </c>
      <c r="AA541" s="299" t="str">
        <f t="shared" si="71"/>
        <v/>
      </c>
      <c r="AB541" s="300"/>
      <c r="AC541" s="301"/>
      <c r="AD541" s="302"/>
      <c r="AE541" s="303"/>
      <c r="AF541" s="304"/>
      <c r="AG541" s="304"/>
      <c r="AH541" s="304"/>
      <c r="AI541" s="304"/>
      <c r="AJ541" s="304"/>
      <c r="AK541" s="305"/>
      <c r="AL541" s="283"/>
      <c r="AM541" s="284"/>
    </row>
    <row r="542" ht="15.75" customHeight="1">
      <c r="A542" s="282">
        <f t="shared" si="1"/>
        <v>538</v>
      </c>
      <c r="B542" s="283"/>
      <c r="C542" s="284"/>
      <c r="D542" s="338"/>
      <c r="E542" s="286"/>
      <c r="F542" s="287"/>
      <c r="G542" s="288" t="str">
        <f>+IFERROR(VLOOKUP(F542,NVL!$B:$C,2,0),"")</f>
        <v/>
      </c>
      <c r="H542" s="288" t="str">
        <f>+IFERROR(VLOOKUP(F542,NVL!$B:$D,3,0),"")</f>
        <v/>
      </c>
      <c r="I542" s="288" t="str">
        <f>+IFERROR(VLOOKUP(F542,NVL!$B:$F,4,0),"")</f>
        <v/>
      </c>
      <c r="J542" s="289"/>
      <c r="K542" s="290"/>
      <c r="L542" s="291" t="str">
        <f>+IFERROR(VLOOKUP(K542,'THÀNH PHẨM'!$B:$F,3,0),"")</f>
        <v/>
      </c>
      <c r="M542" s="291" t="str">
        <f>+IFERROR(VLOOKUP(K542,'THÀNH PHẨM'!$B:$F,4,0),"")</f>
        <v/>
      </c>
      <c r="N542" s="291" t="str">
        <f>+IFERROR(VLOOKUP(K542,'THÀNH PHẨM'!$B:$F,5,0),"")</f>
        <v/>
      </c>
      <c r="O542" s="289"/>
      <c r="P542" s="292">
        <f t="shared" si="2"/>
        <v>0</v>
      </c>
      <c r="Q542" s="289"/>
      <c r="R542" s="289"/>
      <c r="S542" s="293">
        <f t="shared" si="62"/>
        <v>0</v>
      </c>
      <c r="T542" s="294"/>
      <c r="U542" s="295">
        <f t="shared" si="68"/>
        <v>0</v>
      </c>
      <c r="V542" s="296"/>
      <c r="W542" s="297"/>
      <c r="X542" s="298"/>
      <c r="Y542" s="292" t="str">
        <f t="shared" si="69"/>
        <v/>
      </c>
      <c r="Z542" s="366">
        <f t="shared" si="70"/>
        <v>0</v>
      </c>
      <c r="AA542" s="299" t="str">
        <f t="shared" si="71"/>
        <v/>
      </c>
      <c r="AB542" s="300"/>
      <c r="AC542" s="301"/>
      <c r="AD542" s="302"/>
      <c r="AE542" s="303"/>
      <c r="AF542" s="304"/>
      <c r="AG542" s="304"/>
      <c r="AH542" s="304"/>
      <c r="AI542" s="304"/>
      <c r="AJ542" s="304"/>
      <c r="AK542" s="305"/>
      <c r="AL542" s="283"/>
      <c r="AM542" s="284"/>
    </row>
    <row r="543" ht="15.75" customHeight="1">
      <c r="A543" s="282">
        <f t="shared" si="1"/>
        <v>539</v>
      </c>
      <c r="B543" s="283"/>
      <c r="C543" s="284"/>
      <c r="D543" s="338"/>
      <c r="E543" s="286"/>
      <c r="F543" s="287"/>
      <c r="G543" s="288" t="str">
        <f>+IFERROR(VLOOKUP(F543,NVL!$B:$C,2,0),"")</f>
        <v/>
      </c>
      <c r="H543" s="288" t="str">
        <f>+IFERROR(VLOOKUP(F543,NVL!$B:$D,3,0),"")</f>
        <v/>
      </c>
      <c r="I543" s="288" t="str">
        <f>+IFERROR(VLOOKUP(F543,NVL!$B:$F,4,0),"")</f>
        <v/>
      </c>
      <c r="J543" s="289"/>
      <c r="K543" s="290"/>
      <c r="L543" s="291" t="str">
        <f>+IFERROR(VLOOKUP(K543,'THÀNH PHẨM'!$B:$F,3,0),"")</f>
        <v/>
      </c>
      <c r="M543" s="291" t="str">
        <f>+IFERROR(VLOOKUP(K543,'THÀNH PHẨM'!$B:$F,4,0),"")</f>
        <v/>
      </c>
      <c r="N543" s="291" t="str">
        <f>+IFERROR(VLOOKUP(K543,'THÀNH PHẨM'!$B:$F,5,0),"")</f>
        <v/>
      </c>
      <c r="O543" s="289"/>
      <c r="P543" s="292">
        <f t="shared" si="2"/>
        <v>0</v>
      </c>
      <c r="Q543" s="289"/>
      <c r="R543" s="289"/>
      <c r="S543" s="293">
        <f t="shared" si="62"/>
        <v>0</v>
      </c>
      <c r="T543" s="294"/>
      <c r="U543" s="295">
        <f t="shared" si="68"/>
        <v>0</v>
      </c>
      <c r="V543" s="296"/>
      <c r="W543" s="297"/>
      <c r="X543" s="298"/>
      <c r="Y543" s="292" t="str">
        <f t="shared" si="69"/>
        <v/>
      </c>
      <c r="Z543" s="366">
        <f t="shared" si="70"/>
        <v>0</v>
      </c>
      <c r="AA543" s="299" t="str">
        <f t="shared" si="71"/>
        <v/>
      </c>
      <c r="AB543" s="300"/>
      <c r="AC543" s="301"/>
      <c r="AD543" s="302"/>
      <c r="AE543" s="303"/>
      <c r="AF543" s="304"/>
      <c r="AG543" s="304"/>
      <c r="AH543" s="304"/>
      <c r="AI543" s="304"/>
      <c r="AJ543" s="304"/>
      <c r="AK543" s="305"/>
      <c r="AL543" s="283"/>
      <c r="AM543" s="284"/>
    </row>
    <row r="544" ht="15.75" customHeight="1">
      <c r="A544" s="282">
        <f t="shared" si="1"/>
        <v>540</v>
      </c>
      <c r="B544" s="283"/>
      <c r="C544" s="284"/>
      <c r="D544" s="338"/>
      <c r="E544" s="286"/>
      <c r="F544" s="287"/>
      <c r="G544" s="288" t="str">
        <f>+IFERROR(VLOOKUP(F544,NVL!$B:$C,2,0),"")</f>
        <v/>
      </c>
      <c r="H544" s="288" t="str">
        <f>+IFERROR(VLOOKUP(F544,NVL!$B:$D,3,0),"")</f>
        <v/>
      </c>
      <c r="I544" s="288" t="str">
        <f>+IFERROR(VLOOKUP(F544,NVL!$B:$F,4,0),"")</f>
        <v/>
      </c>
      <c r="J544" s="289"/>
      <c r="K544" s="290"/>
      <c r="L544" s="291" t="str">
        <f>+IFERROR(VLOOKUP(K544,'THÀNH PHẨM'!$B:$F,3,0),"")</f>
        <v/>
      </c>
      <c r="M544" s="291" t="str">
        <f>+IFERROR(VLOOKUP(K544,'THÀNH PHẨM'!$B:$F,4,0),"")</f>
        <v/>
      </c>
      <c r="N544" s="291" t="str">
        <f>+IFERROR(VLOOKUP(K544,'THÀNH PHẨM'!$B:$F,5,0),"")</f>
        <v/>
      </c>
      <c r="O544" s="289"/>
      <c r="P544" s="292">
        <f t="shared" si="2"/>
        <v>0</v>
      </c>
      <c r="Q544" s="289"/>
      <c r="R544" s="289"/>
      <c r="S544" s="293">
        <f t="shared" si="62"/>
        <v>0</v>
      </c>
      <c r="T544" s="294"/>
      <c r="U544" s="295">
        <f t="shared" si="68"/>
        <v>0</v>
      </c>
      <c r="V544" s="296"/>
      <c r="W544" s="297"/>
      <c r="X544" s="298"/>
      <c r="Y544" s="292" t="str">
        <f t="shared" si="69"/>
        <v/>
      </c>
      <c r="Z544" s="366">
        <f t="shared" si="70"/>
        <v>0</v>
      </c>
      <c r="AA544" s="299" t="str">
        <f t="shared" si="71"/>
        <v/>
      </c>
      <c r="AB544" s="300"/>
      <c r="AC544" s="301"/>
      <c r="AD544" s="302"/>
      <c r="AE544" s="303"/>
      <c r="AF544" s="304"/>
      <c r="AG544" s="304"/>
      <c r="AH544" s="304"/>
      <c r="AI544" s="304"/>
      <c r="AJ544" s="304"/>
      <c r="AK544" s="305"/>
      <c r="AL544" s="283"/>
      <c r="AM544" s="284"/>
    </row>
    <row r="545" ht="15.75" customHeight="1">
      <c r="A545" s="282">
        <f t="shared" si="1"/>
        <v>541</v>
      </c>
      <c r="B545" s="283"/>
      <c r="C545" s="284"/>
      <c r="D545" s="338"/>
      <c r="E545" s="286"/>
      <c r="F545" s="287"/>
      <c r="G545" s="288" t="str">
        <f>+IFERROR(VLOOKUP(F545,NVL!$B:$C,2,0),"")</f>
        <v/>
      </c>
      <c r="H545" s="288" t="str">
        <f>+IFERROR(VLOOKUP(F545,NVL!$B:$D,3,0),"")</f>
        <v/>
      </c>
      <c r="I545" s="288" t="str">
        <f>+IFERROR(VLOOKUP(F545,NVL!$B:$F,4,0),"")</f>
        <v/>
      </c>
      <c r="J545" s="289"/>
      <c r="K545" s="290"/>
      <c r="L545" s="291" t="str">
        <f>+IFERROR(VLOOKUP(K545,'THÀNH PHẨM'!$B:$F,3,0),"")</f>
        <v/>
      </c>
      <c r="M545" s="291" t="str">
        <f>+IFERROR(VLOOKUP(K545,'THÀNH PHẨM'!$B:$F,4,0),"")</f>
        <v/>
      </c>
      <c r="N545" s="291" t="str">
        <f>+IFERROR(VLOOKUP(K545,'THÀNH PHẨM'!$B:$F,5,0),"")</f>
        <v/>
      </c>
      <c r="O545" s="289"/>
      <c r="P545" s="292">
        <f t="shared" si="2"/>
        <v>0</v>
      </c>
      <c r="Q545" s="289"/>
      <c r="R545" s="289"/>
      <c r="S545" s="293">
        <f t="shared" si="62"/>
        <v>0</v>
      </c>
      <c r="T545" s="294"/>
      <c r="U545" s="295">
        <f t="shared" si="68"/>
        <v>0</v>
      </c>
      <c r="V545" s="296"/>
      <c r="W545" s="297"/>
      <c r="X545" s="298"/>
      <c r="Y545" s="292" t="str">
        <f t="shared" si="69"/>
        <v/>
      </c>
      <c r="Z545" s="366">
        <f t="shared" si="70"/>
        <v>0</v>
      </c>
      <c r="AA545" s="299" t="str">
        <f t="shared" si="71"/>
        <v/>
      </c>
      <c r="AB545" s="300"/>
      <c r="AC545" s="301"/>
      <c r="AD545" s="302"/>
      <c r="AE545" s="303"/>
      <c r="AF545" s="304"/>
      <c r="AG545" s="304"/>
      <c r="AH545" s="304"/>
      <c r="AI545" s="304"/>
      <c r="AJ545" s="304"/>
      <c r="AK545" s="305"/>
      <c r="AL545" s="283"/>
      <c r="AM545" s="284"/>
    </row>
    <row r="546" ht="15.75" customHeight="1">
      <c r="A546" s="282">
        <f t="shared" si="1"/>
        <v>542</v>
      </c>
      <c r="B546" s="283"/>
      <c r="C546" s="284"/>
      <c r="D546" s="338"/>
      <c r="E546" s="286"/>
      <c r="F546" s="287"/>
      <c r="G546" s="288" t="str">
        <f>+IFERROR(VLOOKUP(F546,NVL!$B:$C,2,0),"")</f>
        <v/>
      </c>
      <c r="H546" s="288" t="str">
        <f>+IFERROR(VLOOKUP(F546,NVL!$B:$D,3,0),"")</f>
        <v/>
      </c>
      <c r="I546" s="288" t="str">
        <f>+IFERROR(VLOOKUP(F546,NVL!$B:$F,4,0),"")</f>
        <v/>
      </c>
      <c r="J546" s="289"/>
      <c r="K546" s="290"/>
      <c r="L546" s="291" t="str">
        <f>+IFERROR(VLOOKUP(K546,'THÀNH PHẨM'!$B:$F,3,0),"")</f>
        <v/>
      </c>
      <c r="M546" s="291" t="str">
        <f>+IFERROR(VLOOKUP(K546,'THÀNH PHẨM'!$B:$F,4,0),"")</f>
        <v/>
      </c>
      <c r="N546" s="291" t="str">
        <f>+IFERROR(VLOOKUP(K546,'THÀNH PHẨM'!$B:$F,5,0),"")</f>
        <v/>
      </c>
      <c r="O546" s="289"/>
      <c r="P546" s="292">
        <f t="shared" si="2"/>
        <v>0</v>
      </c>
      <c r="Q546" s="289"/>
      <c r="R546" s="289"/>
      <c r="S546" s="293">
        <f t="shared" si="62"/>
        <v>0</v>
      </c>
      <c r="T546" s="294"/>
      <c r="U546" s="295">
        <f t="shared" si="68"/>
        <v>0</v>
      </c>
      <c r="V546" s="296"/>
      <c r="W546" s="297"/>
      <c r="X546" s="298"/>
      <c r="Y546" s="292" t="str">
        <f t="shared" si="69"/>
        <v/>
      </c>
      <c r="Z546" s="366">
        <f t="shared" si="70"/>
        <v>0</v>
      </c>
      <c r="AA546" s="299" t="str">
        <f t="shared" si="71"/>
        <v/>
      </c>
      <c r="AB546" s="300"/>
      <c r="AC546" s="301"/>
      <c r="AD546" s="302"/>
      <c r="AE546" s="303"/>
      <c r="AF546" s="304"/>
      <c r="AG546" s="304"/>
      <c r="AH546" s="304"/>
      <c r="AI546" s="304"/>
      <c r="AJ546" s="304"/>
      <c r="AK546" s="305"/>
      <c r="AL546" s="283"/>
      <c r="AM546" s="284"/>
    </row>
    <row r="547" ht="15.75" customHeight="1">
      <c r="A547" s="282">
        <f t="shared" si="1"/>
        <v>543</v>
      </c>
      <c r="B547" s="283"/>
      <c r="C547" s="284"/>
      <c r="D547" s="338"/>
      <c r="E547" s="286"/>
      <c r="F547" s="287"/>
      <c r="G547" s="288" t="str">
        <f>+IFERROR(VLOOKUP(F547,NVL!$B:$C,2,0),"")</f>
        <v/>
      </c>
      <c r="H547" s="288" t="str">
        <f>+IFERROR(VLOOKUP(F547,NVL!$B:$D,3,0),"")</f>
        <v/>
      </c>
      <c r="I547" s="288" t="str">
        <f>+IFERROR(VLOOKUP(F547,NVL!$B:$F,4,0),"")</f>
        <v/>
      </c>
      <c r="J547" s="289"/>
      <c r="K547" s="290"/>
      <c r="L547" s="291" t="str">
        <f>+IFERROR(VLOOKUP(K547,'THÀNH PHẨM'!$B:$F,3,0),"")</f>
        <v/>
      </c>
      <c r="M547" s="291" t="str">
        <f>+IFERROR(VLOOKUP(K547,'THÀNH PHẨM'!$B:$F,4,0),"")</f>
        <v/>
      </c>
      <c r="N547" s="291" t="str">
        <f>+IFERROR(VLOOKUP(K547,'THÀNH PHẨM'!$B:$F,5,0),"")</f>
        <v/>
      </c>
      <c r="O547" s="289"/>
      <c r="P547" s="292">
        <f t="shared" si="2"/>
        <v>0</v>
      </c>
      <c r="Q547" s="289"/>
      <c r="R547" s="289"/>
      <c r="S547" s="293">
        <f t="shared" si="62"/>
        <v>0</v>
      </c>
      <c r="T547" s="294"/>
      <c r="U547" s="295">
        <f t="shared" si="68"/>
        <v>0</v>
      </c>
      <c r="V547" s="296"/>
      <c r="W547" s="297"/>
      <c r="X547" s="298"/>
      <c r="Y547" s="292" t="str">
        <f t="shared" si="69"/>
        <v/>
      </c>
      <c r="Z547" s="366">
        <f t="shared" si="70"/>
        <v>0</v>
      </c>
      <c r="AA547" s="299" t="str">
        <f t="shared" si="71"/>
        <v/>
      </c>
      <c r="AB547" s="300"/>
      <c r="AC547" s="301"/>
      <c r="AD547" s="302"/>
      <c r="AE547" s="303"/>
      <c r="AF547" s="304"/>
      <c r="AG547" s="304"/>
      <c r="AH547" s="304"/>
      <c r="AI547" s="304"/>
      <c r="AJ547" s="304"/>
      <c r="AK547" s="305"/>
      <c r="AL547" s="283"/>
      <c r="AM547" s="284"/>
    </row>
    <row r="548" ht="15.75" customHeight="1">
      <c r="A548" s="282">
        <f t="shared" si="1"/>
        <v>544</v>
      </c>
      <c r="B548" s="283"/>
      <c r="C548" s="284"/>
      <c r="D548" s="338"/>
      <c r="E548" s="286"/>
      <c r="F548" s="287"/>
      <c r="G548" s="288" t="str">
        <f>+IFERROR(VLOOKUP(F548,NVL!$B:$C,2,0),"")</f>
        <v/>
      </c>
      <c r="H548" s="288" t="str">
        <f>+IFERROR(VLOOKUP(F548,NVL!$B:$D,3,0),"")</f>
        <v/>
      </c>
      <c r="I548" s="288" t="str">
        <f>+IFERROR(VLOOKUP(F548,NVL!$B:$F,4,0),"")</f>
        <v/>
      </c>
      <c r="J548" s="289"/>
      <c r="K548" s="290"/>
      <c r="L548" s="291" t="str">
        <f>+IFERROR(VLOOKUP(K548,'THÀNH PHẨM'!$B:$F,3,0),"")</f>
        <v/>
      </c>
      <c r="M548" s="291" t="str">
        <f>+IFERROR(VLOOKUP(K548,'THÀNH PHẨM'!$B:$F,4,0),"")</f>
        <v/>
      </c>
      <c r="N548" s="291" t="str">
        <f>+IFERROR(VLOOKUP(K548,'THÀNH PHẨM'!$B:$F,5,0),"")</f>
        <v/>
      </c>
      <c r="O548" s="289"/>
      <c r="P548" s="292">
        <f t="shared" si="2"/>
        <v>0</v>
      </c>
      <c r="Q548" s="289"/>
      <c r="R548" s="289"/>
      <c r="S548" s="293">
        <f t="shared" si="62"/>
        <v>0</v>
      </c>
      <c r="T548" s="294"/>
      <c r="U548" s="295">
        <f t="shared" si="68"/>
        <v>0</v>
      </c>
      <c r="V548" s="296"/>
      <c r="W548" s="297"/>
      <c r="X548" s="298"/>
      <c r="Y548" s="292" t="str">
        <f t="shared" si="69"/>
        <v/>
      </c>
      <c r="Z548" s="366">
        <f t="shared" si="70"/>
        <v>0</v>
      </c>
      <c r="AA548" s="299" t="str">
        <f t="shared" si="71"/>
        <v/>
      </c>
      <c r="AB548" s="300"/>
      <c r="AC548" s="301"/>
      <c r="AD548" s="302"/>
      <c r="AE548" s="303"/>
      <c r="AF548" s="304"/>
      <c r="AG548" s="304"/>
      <c r="AH548" s="304"/>
      <c r="AI548" s="304"/>
      <c r="AJ548" s="304"/>
      <c r="AK548" s="305"/>
      <c r="AL548" s="283"/>
      <c r="AM548" s="284"/>
    </row>
    <row r="549" ht="15.75" customHeight="1">
      <c r="A549" s="282">
        <f t="shared" si="1"/>
        <v>545</v>
      </c>
      <c r="B549" s="283"/>
      <c r="C549" s="284"/>
      <c r="D549" s="338"/>
      <c r="E549" s="286"/>
      <c r="F549" s="287"/>
      <c r="G549" s="288" t="str">
        <f>+IFERROR(VLOOKUP(F549,NVL!$B:$C,2,0),"")</f>
        <v/>
      </c>
      <c r="H549" s="288" t="str">
        <f>+IFERROR(VLOOKUP(F549,NVL!$B:$D,3,0),"")</f>
        <v/>
      </c>
      <c r="I549" s="288" t="str">
        <f>+IFERROR(VLOOKUP(F549,NVL!$B:$F,4,0),"")</f>
        <v/>
      </c>
      <c r="J549" s="289"/>
      <c r="K549" s="290"/>
      <c r="L549" s="291" t="str">
        <f>+IFERROR(VLOOKUP(K549,'THÀNH PHẨM'!$B:$F,3,0),"")</f>
        <v/>
      </c>
      <c r="M549" s="291" t="str">
        <f>+IFERROR(VLOOKUP(K549,'THÀNH PHẨM'!$B:$F,4,0),"")</f>
        <v/>
      </c>
      <c r="N549" s="291" t="str">
        <f>+IFERROR(VLOOKUP(K549,'THÀNH PHẨM'!$B:$F,5,0),"")</f>
        <v/>
      </c>
      <c r="O549" s="289"/>
      <c r="P549" s="292">
        <f t="shared" si="2"/>
        <v>0</v>
      </c>
      <c r="Q549" s="289"/>
      <c r="R549" s="289"/>
      <c r="S549" s="293">
        <f t="shared" si="62"/>
        <v>0</v>
      </c>
      <c r="T549" s="294"/>
      <c r="U549" s="295">
        <f t="shared" si="68"/>
        <v>0</v>
      </c>
      <c r="V549" s="296"/>
      <c r="W549" s="297"/>
      <c r="X549" s="298"/>
      <c r="Y549" s="292" t="str">
        <f t="shared" si="69"/>
        <v/>
      </c>
      <c r="Z549" s="366">
        <f t="shared" si="70"/>
        <v>0</v>
      </c>
      <c r="AA549" s="299" t="str">
        <f t="shared" si="71"/>
        <v/>
      </c>
      <c r="AB549" s="300"/>
      <c r="AC549" s="301"/>
      <c r="AD549" s="302"/>
      <c r="AE549" s="303"/>
      <c r="AF549" s="304"/>
      <c r="AG549" s="304"/>
      <c r="AH549" s="304"/>
      <c r="AI549" s="304"/>
      <c r="AJ549" s="304"/>
      <c r="AK549" s="305"/>
      <c r="AL549" s="283"/>
      <c r="AM549" s="284"/>
    </row>
    <row r="550" ht="15.75" customHeight="1">
      <c r="A550" s="282">
        <f t="shared" si="1"/>
        <v>546</v>
      </c>
      <c r="B550" s="283"/>
      <c r="C550" s="284"/>
      <c r="D550" s="338"/>
      <c r="E550" s="286"/>
      <c r="F550" s="287"/>
      <c r="G550" s="288" t="str">
        <f>+IFERROR(VLOOKUP(F550,NVL!$B:$C,2,0),"")</f>
        <v/>
      </c>
      <c r="H550" s="288" t="str">
        <f>+IFERROR(VLOOKUP(F550,NVL!$B:$D,3,0),"")</f>
        <v/>
      </c>
      <c r="I550" s="288" t="str">
        <f>+IFERROR(VLOOKUP(F550,NVL!$B:$F,4,0),"")</f>
        <v/>
      </c>
      <c r="J550" s="289"/>
      <c r="K550" s="290"/>
      <c r="L550" s="291" t="str">
        <f>+IFERROR(VLOOKUP(K550,'THÀNH PHẨM'!$B:$F,3,0),"")</f>
        <v/>
      </c>
      <c r="M550" s="291" t="str">
        <f>+IFERROR(VLOOKUP(K550,'THÀNH PHẨM'!$B:$F,4,0),"")</f>
        <v/>
      </c>
      <c r="N550" s="291" t="str">
        <f>+IFERROR(VLOOKUP(K550,'THÀNH PHẨM'!$B:$F,5,0),"")</f>
        <v/>
      </c>
      <c r="O550" s="289"/>
      <c r="P550" s="292">
        <f t="shared" si="2"/>
        <v>0</v>
      </c>
      <c r="Q550" s="289"/>
      <c r="R550" s="289"/>
      <c r="S550" s="293">
        <f t="shared" si="62"/>
        <v>0</v>
      </c>
      <c r="T550" s="294"/>
      <c r="U550" s="295">
        <f t="shared" si="68"/>
        <v>0</v>
      </c>
      <c r="V550" s="296"/>
      <c r="W550" s="297"/>
      <c r="X550" s="298"/>
      <c r="Y550" s="292" t="str">
        <f t="shared" si="69"/>
        <v/>
      </c>
      <c r="Z550" s="366">
        <f t="shared" si="70"/>
        <v>0</v>
      </c>
      <c r="AA550" s="299" t="str">
        <f t="shared" si="71"/>
        <v/>
      </c>
      <c r="AB550" s="300"/>
      <c r="AC550" s="301"/>
      <c r="AD550" s="302"/>
      <c r="AE550" s="303"/>
      <c r="AF550" s="304"/>
      <c r="AG550" s="304"/>
      <c r="AH550" s="304"/>
      <c r="AI550" s="304"/>
      <c r="AJ550" s="304"/>
      <c r="AK550" s="305"/>
      <c r="AL550" s="283"/>
      <c r="AM550" s="284"/>
    </row>
    <row r="551" ht="15.75" customHeight="1">
      <c r="A551" s="282">
        <f t="shared" si="1"/>
        <v>547</v>
      </c>
      <c r="B551" s="283"/>
      <c r="C551" s="284"/>
      <c r="D551" s="338"/>
      <c r="E551" s="286"/>
      <c r="F551" s="287"/>
      <c r="G551" s="288" t="str">
        <f>+IFERROR(VLOOKUP(F551,NVL!$B:$C,2,0),"")</f>
        <v/>
      </c>
      <c r="H551" s="288" t="str">
        <f>+IFERROR(VLOOKUP(F551,NVL!$B:$D,3,0),"")</f>
        <v/>
      </c>
      <c r="I551" s="288" t="str">
        <f>+IFERROR(VLOOKUP(F551,NVL!$B:$F,4,0),"")</f>
        <v/>
      </c>
      <c r="J551" s="289"/>
      <c r="K551" s="290"/>
      <c r="L551" s="291" t="str">
        <f>+IFERROR(VLOOKUP(K551,'THÀNH PHẨM'!$B:$F,3,0),"")</f>
        <v/>
      </c>
      <c r="M551" s="291" t="str">
        <f>+IFERROR(VLOOKUP(K551,'THÀNH PHẨM'!$B:$F,4,0),"")</f>
        <v/>
      </c>
      <c r="N551" s="291" t="str">
        <f>+IFERROR(VLOOKUP(K551,'THÀNH PHẨM'!$B:$F,5,0),"")</f>
        <v/>
      </c>
      <c r="O551" s="289"/>
      <c r="P551" s="292">
        <f t="shared" si="2"/>
        <v>0</v>
      </c>
      <c r="Q551" s="289"/>
      <c r="R551" s="289"/>
      <c r="S551" s="293">
        <f t="shared" si="62"/>
        <v>0</v>
      </c>
      <c r="T551" s="294"/>
      <c r="U551" s="295">
        <f t="shared" si="68"/>
        <v>0</v>
      </c>
      <c r="V551" s="296"/>
      <c r="W551" s="297"/>
      <c r="X551" s="298"/>
      <c r="Y551" s="292" t="str">
        <f t="shared" si="69"/>
        <v/>
      </c>
      <c r="Z551" s="366">
        <f t="shared" si="70"/>
        <v>0</v>
      </c>
      <c r="AA551" s="299" t="str">
        <f t="shared" si="71"/>
        <v/>
      </c>
      <c r="AB551" s="300"/>
      <c r="AC551" s="301"/>
      <c r="AD551" s="302"/>
      <c r="AE551" s="303"/>
      <c r="AF551" s="304"/>
      <c r="AG551" s="304"/>
      <c r="AH551" s="304"/>
      <c r="AI551" s="304"/>
      <c r="AJ551" s="304"/>
      <c r="AK551" s="305"/>
      <c r="AL551" s="283"/>
      <c r="AM551" s="284"/>
    </row>
    <row r="552" ht="15.75" customHeight="1">
      <c r="A552" s="282">
        <f t="shared" si="1"/>
        <v>548</v>
      </c>
      <c r="B552" s="283"/>
      <c r="C552" s="284"/>
      <c r="D552" s="338"/>
      <c r="E552" s="286"/>
      <c r="F552" s="287"/>
      <c r="G552" s="288" t="str">
        <f>+IFERROR(VLOOKUP(F552,NVL!$B:$C,2,0),"")</f>
        <v/>
      </c>
      <c r="H552" s="288" t="str">
        <f>+IFERROR(VLOOKUP(F552,NVL!$B:$D,3,0),"")</f>
        <v/>
      </c>
      <c r="I552" s="288" t="str">
        <f>+IFERROR(VLOOKUP(F552,NVL!$B:$F,4,0),"")</f>
        <v/>
      </c>
      <c r="J552" s="289"/>
      <c r="K552" s="290"/>
      <c r="L552" s="291" t="str">
        <f>+IFERROR(VLOOKUP(K552,'THÀNH PHẨM'!$B:$F,3,0),"")</f>
        <v/>
      </c>
      <c r="M552" s="291" t="str">
        <f>+IFERROR(VLOOKUP(K552,'THÀNH PHẨM'!$B:$F,4,0),"")</f>
        <v/>
      </c>
      <c r="N552" s="291" t="str">
        <f>+IFERROR(VLOOKUP(K552,'THÀNH PHẨM'!$B:$F,5,0),"")</f>
        <v/>
      </c>
      <c r="O552" s="289"/>
      <c r="P552" s="292">
        <f t="shared" si="2"/>
        <v>0</v>
      </c>
      <c r="Q552" s="289"/>
      <c r="R552" s="289"/>
      <c r="S552" s="293">
        <f t="shared" si="62"/>
        <v>0</v>
      </c>
      <c r="T552" s="294"/>
      <c r="U552" s="295">
        <f t="shared" si="68"/>
        <v>0</v>
      </c>
      <c r="V552" s="296"/>
      <c r="W552" s="297"/>
      <c r="X552" s="298"/>
      <c r="Y552" s="292" t="str">
        <f t="shared" si="69"/>
        <v/>
      </c>
      <c r="Z552" s="366">
        <f t="shared" si="70"/>
        <v>0</v>
      </c>
      <c r="AA552" s="299" t="str">
        <f t="shared" si="71"/>
        <v/>
      </c>
      <c r="AB552" s="300"/>
      <c r="AC552" s="301"/>
      <c r="AD552" s="302"/>
      <c r="AE552" s="303"/>
      <c r="AF552" s="304"/>
      <c r="AG552" s="304"/>
      <c r="AH552" s="304"/>
      <c r="AI552" s="304"/>
      <c r="AJ552" s="304"/>
      <c r="AK552" s="305"/>
      <c r="AL552" s="283"/>
      <c r="AM552" s="284"/>
    </row>
    <row r="553" ht="15.75" customHeight="1">
      <c r="A553" s="282">
        <f t="shared" si="1"/>
        <v>549</v>
      </c>
      <c r="B553" s="283"/>
      <c r="C553" s="284"/>
      <c r="D553" s="338"/>
      <c r="E553" s="286"/>
      <c r="F553" s="287"/>
      <c r="G553" s="288" t="str">
        <f>+IFERROR(VLOOKUP(F553,NVL!$B:$C,2,0),"")</f>
        <v/>
      </c>
      <c r="H553" s="288" t="str">
        <f>+IFERROR(VLOOKUP(F553,NVL!$B:$D,3,0),"")</f>
        <v/>
      </c>
      <c r="I553" s="288" t="str">
        <f>+IFERROR(VLOOKUP(F553,NVL!$B:$F,4,0),"")</f>
        <v/>
      </c>
      <c r="J553" s="289"/>
      <c r="K553" s="290"/>
      <c r="L553" s="291" t="str">
        <f>+IFERROR(VLOOKUP(K553,'THÀNH PHẨM'!$B:$F,3,0),"")</f>
        <v/>
      </c>
      <c r="M553" s="291" t="str">
        <f>+IFERROR(VLOOKUP(K553,'THÀNH PHẨM'!$B:$F,4,0),"")</f>
        <v/>
      </c>
      <c r="N553" s="291" t="str">
        <f>+IFERROR(VLOOKUP(K553,'THÀNH PHẨM'!$B:$F,5,0),"")</f>
        <v/>
      </c>
      <c r="O553" s="289"/>
      <c r="P553" s="292">
        <f t="shared" si="2"/>
        <v>0</v>
      </c>
      <c r="Q553" s="289"/>
      <c r="R553" s="289"/>
      <c r="S553" s="293">
        <f t="shared" si="62"/>
        <v>0</v>
      </c>
      <c r="T553" s="294"/>
      <c r="U553" s="295">
        <f t="shared" si="68"/>
        <v>0</v>
      </c>
      <c r="V553" s="296"/>
      <c r="W553" s="297"/>
      <c r="X553" s="298"/>
      <c r="Y553" s="292" t="str">
        <f t="shared" si="69"/>
        <v/>
      </c>
      <c r="Z553" s="366">
        <f t="shared" si="70"/>
        <v>0</v>
      </c>
      <c r="AA553" s="299" t="str">
        <f t="shared" si="71"/>
        <v/>
      </c>
      <c r="AB553" s="300"/>
      <c r="AC553" s="301"/>
      <c r="AD553" s="302"/>
      <c r="AE553" s="303"/>
      <c r="AF553" s="304"/>
      <c r="AG553" s="304"/>
      <c r="AH553" s="304"/>
      <c r="AI553" s="304"/>
      <c r="AJ553" s="304"/>
      <c r="AK553" s="305"/>
      <c r="AL553" s="283"/>
      <c r="AM553" s="284"/>
    </row>
    <row r="554" ht="15.75" customHeight="1">
      <c r="A554" s="282">
        <f t="shared" si="1"/>
        <v>550</v>
      </c>
      <c r="B554" s="283"/>
      <c r="C554" s="284"/>
      <c r="D554" s="338"/>
      <c r="E554" s="286"/>
      <c r="F554" s="287"/>
      <c r="G554" s="288" t="str">
        <f>+IFERROR(VLOOKUP(F554,NVL!$B:$C,2,0),"")</f>
        <v/>
      </c>
      <c r="H554" s="288" t="str">
        <f>+IFERROR(VLOOKUP(F554,NVL!$B:$D,3,0),"")</f>
        <v/>
      </c>
      <c r="I554" s="288" t="str">
        <f>+IFERROR(VLOOKUP(F554,NVL!$B:$F,4,0),"")</f>
        <v/>
      </c>
      <c r="J554" s="289"/>
      <c r="K554" s="290"/>
      <c r="L554" s="291" t="str">
        <f>+IFERROR(VLOOKUP(K554,'THÀNH PHẨM'!$B:$F,3,0),"")</f>
        <v/>
      </c>
      <c r="M554" s="291" t="str">
        <f>+IFERROR(VLOOKUP(K554,'THÀNH PHẨM'!$B:$F,4,0),"")</f>
        <v/>
      </c>
      <c r="N554" s="291" t="str">
        <f>+IFERROR(VLOOKUP(K554,'THÀNH PHẨM'!$B:$F,5,0),"")</f>
        <v/>
      </c>
      <c r="O554" s="289"/>
      <c r="P554" s="292">
        <f t="shared" si="2"/>
        <v>0</v>
      </c>
      <c r="Q554" s="289"/>
      <c r="R554" s="289"/>
      <c r="S554" s="293">
        <f t="shared" si="62"/>
        <v>0</v>
      </c>
      <c r="T554" s="294"/>
      <c r="U554" s="295">
        <f t="shared" si="68"/>
        <v>0</v>
      </c>
      <c r="V554" s="296"/>
      <c r="W554" s="297"/>
      <c r="X554" s="298"/>
      <c r="Y554" s="292" t="str">
        <f t="shared" si="69"/>
        <v/>
      </c>
      <c r="Z554" s="366">
        <f t="shared" si="70"/>
        <v>0</v>
      </c>
      <c r="AA554" s="299" t="str">
        <f t="shared" si="71"/>
        <v/>
      </c>
      <c r="AB554" s="300"/>
      <c r="AC554" s="301"/>
      <c r="AD554" s="302"/>
      <c r="AE554" s="303"/>
      <c r="AF554" s="304"/>
      <c r="AG554" s="304"/>
      <c r="AH554" s="304"/>
      <c r="AI554" s="304"/>
      <c r="AJ554" s="304"/>
      <c r="AK554" s="305"/>
      <c r="AL554" s="283"/>
      <c r="AM554" s="284"/>
    </row>
    <row r="555" ht="15.75" customHeight="1">
      <c r="A555" s="282">
        <f t="shared" si="1"/>
        <v>551</v>
      </c>
      <c r="B555" s="283"/>
      <c r="C555" s="284"/>
      <c r="D555" s="338"/>
      <c r="E555" s="286"/>
      <c r="F555" s="287"/>
      <c r="G555" s="288" t="str">
        <f>+IFERROR(VLOOKUP(F555,NVL!$B:$C,2,0),"")</f>
        <v/>
      </c>
      <c r="H555" s="288" t="str">
        <f>+IFERROR(VLOOKUP(F555,NVL!$B:$D,3,0),"")</f>
        <v/>
      </c>
      <c r="I555" s="288" t="str">
        <f>+IFERROR(VLOOKUP(F555,NVL!$B:$F,4,0),"")</f>
        <v/>
      </c>
      <c r="J555" s="289"/>
      <c r="K555" s="290"/>
      <c r="L555" s="291" t="str">
        <f>+IFERROR(VLOOKUP(K555,'THÀNH PHẨM'!$B:$F,3,0),"")</f>
        <v/>
      </c>
      <c r="M555" s="291" t="str">
        <f>+IFERROR(VLOOKUP(K555,'THÀNH PHẨM'!$B:$F,4,0),"")</f>
        <v/>
      </c>
      <c r="N555" s="291" t="str">
        <f>+IFERROR(VLOOKUP(K555,'THÀNH PHẨM'!$B:$F,5,0),"")</f>
        <v/>
      </c>
      <c r="O555" s="289"/>
      <c r="P555" s="292">
        <f t="shared" si="2"/>
        <v>0</v>
      </c>
      <c r="Q555" s="289"/>
      <c r="R555" s="289"/>
      <c r="S555" s="293">
        <f t="shared" si="62"/>
        <v>0</v>
      </c>
      <c r="T555" s="294"/>
      <c r="U555" s="295">
        <f t="shared" si="68"/>
        <v>0</v>
      </c>
      <c r="V555" s="296"/>
      <c r="W555" s="297"/>
      <c r="X555" s="298"/>
      <c r="Y555" s="292" t="str">
        <f t="shared" si="69"/>
        <v/>
      </c>
      <c r="Z555" s="366">
        <f t="shared" si="70"/>
        <v>0</v>
      </c>
      <c r="AA555" s="299" t="str">
        <f t="shared" si="71"/>
        <v/>
      </c>
      <c r="AB555" s="300"/>
      <c r="AC555" s="301"/>
      <c r="AD555" s="302"/>
      <c r="AE555" s="303"/>
      <c r="AF555" s="304"/>
      <c r="AG555" s="304"/>
      <c r="AH555" s="304"/>
      <c r="AI555" s="304"/>
      <c r="AJ555" s="304"/>
      <c r="AK555" s="305"/>
      <c r="AL555" s="283"/>
      <c r="AM555" s="284"/>
    </row>
    <row r="556" ht="15.75" customHeight="1">
      <c r="A556" s="282">
        <f t="shared" si="1"/>
        <v>552</v>
      </c>
      <c r="B556" s="283"/>
      <c r="C556" s="284"/>
      <c r="D556" s="338"/>
      <c r="E556" s="286"/>
      <c r="F556" s="287"/>
      <c r="G556" s="288" t="str">
        <f>+IFERROR(VLOOKUP(F556,NVL!$B:$C,2,0),"")</f>
        <v/>
      </c>
      <c r="H556" s="288" t="str">
        <f>+IFERROR(VLOOKUP(F556,NVL!$B:$D,3,0),"")</f>
        <v/>
      </c>
      <c r="I556" s="288" t="str">
        <f>+IFERROR(VLOOKUP(F556,NVL!$B:$F,4,0),"")</f>
        <v/>
      </c>
      <c r="J556" s="289"/>
      <c r="K556" s="290"/>
      <c r="L556" s="291" t="str">
        <f>+IFERROR(VLOOKUP(K556,'THÀNH PHẨM'!$B:$F,3,0),"")</f>
        <v/>
      </c>
      <c r="M556" s="291" t="str">
        <f>+IFERROR(VLOOKUP(K556,'THÀNH PHẨM'!$B:$F,4,0),"")</f>
        <v/>
      </c>
      <c r="N556" s="291" t="str">
        <f>+IFERROR(VLOOKUP(K556,'THÀNH PHẨM'!$B:$F,5,0),"")</f>
        <v/>
      </c>
      <c r="O556" s="289"/>
      <c r="P556" s="292">
        <f t="shared" si="2"/>
        <v>0</v>
      </c>
      <c r="Q556" s="289"/>
      <c r="R556" s="289"/>
      <c r="S556" s="293">
        <f t="shared" si="62"/>
        <v>0</v>
      </c>
      <c r="T556" s="294"/>
      <c r="U556" s="295">
        <f t="shared" si="68"/>
        <v>0</v>
      </c>
      <c r="V556" s="296"/>
      <c r="W556" s="297"/>
      <c r="X556" s="298"/>
      <c r="Y556" s="292" t="str">
        <f t="shared" si="69"/>
        <v/>
      </c>
      <c r="Z556" s="366">
        <f t="shared" si="70"/>
        <v>0</v>
      </c>
      <c r="AA556" s="299" t="str">
        <f t="shared" si="71"/>
        <v/>
      </c>
      <c r="AB556" s="300"/>
      <c r="AC556" s="301"/>
      <c r="AD556" s="302"/>
      <c r="AE556" s="303"/>
      <c r="AF556" s="304"/>
      <c r="AG556" s="304"/>
      <c r="AH556" s="304"/>
      <c r="AI556" s="304"/>
      <c r="AJ556" s="304"/>
      <c r="AK556" s="305"/>
      <c r="AL556" s="283"/>
      <c r="AM556" s="284"/>
    </row>
    <row r="557" ht="15.75" customHeight="1">
      <c r="A557" s="282">
        <f t="shared" si="1"/>
        <v>553</v>
      </c>
      <c r="B557" s="283"/>
      <c r="C557" s="284"/>
      <c r="D557" s="338"/>
      <c r="E557" s="286"/>
      <c r="F557" s="287"/>
      <c r="G557" s="288" t="str">
        <f>+IFERROR(VLOOKUP(F557,NVL!$B:$C,2,0),"")</f>
        <v/>
      </c>
      <c r="H557" s="288" t="str">
        <f>+IFERROR(VLOOKUP(F557,NVL!$B:$D,3,0),"")</f>
        <v/>
      </c>
      <c r="I557" s="288" t="str">
        <f>+IFERROR(VLOOKUP(F557,NVL!$B:$F,4,0),"")</f>
        <v/>
      </c>
      <c r="J557" s="289"/>
      <c r="K557" s="290"/>
      <c r="L557" s="291" t="str">
        <f>+IFERROR(VLOOKUP(K557,'THÀNH PHẨM'!$B:$F,3,0),"")</f>
        <v/>
      </c>
      <c r="M557" s="291" t="str">
        <f>+IFERROR(VLOOKUP(K557,'THÀNH PHẨM'!$B:$F,4,0),"")</f>
        <v/>
      </c>
      <c r="N557" s="291" t="str">
        <f>+IFERROR(VLOOKUP(K557,'THÀNH PHẨM'!$B:$F,5,0),"")</f>
        <v/>
      </c>
      <c r="O557" s="289"/>
      <c r="P557" s="292">
        <f t="shared" si="2"/>
        <v>0</v>
      </c>
      <c r="Q557" s="289"/>
      <c r="R557" s="289"/>
      <c r="S557" s="293">
        <f t="shared" si="62"/>
        <v>0</v>
      </c>
      <c r="T557" s="294"/>
      <c r="U557" s="295">
        <f t="shared" si="68"/>
        <v>0</v>
      </c>
      <c r="V557" s="296"/>
      <c r="W557" s="297"/>
      <c r="X557" s="298"/>
      <c r="Y557" s="292" t="str">
        <f t="shared" si="69"/>
        <v/>
      </c>
      <c r="Z557" s="366">
        <f t="shared" si="70"/>
        <v>0</v>
      </c>
      <c r="AA557" s="299" t="str">
        <f t="shared" si="71"/>
        <v/>
      </c>
      <c r="AB557" s="300"/>
      <c r="AC557" s="301"/>
      <c r="AD557" s="302"/>
      <c r="AE557" s="303"/>
      <c r="AF557" s="304"/>
      <c r="AG557" s="304"/>
      <c r="AH557" s="304"/>
      <c r="AI557" s="304"/>
      <c r="AJ557" s="304"/>
      <c r="AK557" s="305"/>
      <c r="AL557" s="283"/>
      <c r="AM557" s="284"/>
    </row>
    <row r="558" ht="15.75" customHeight="1">
      <c r="A558" s="282">
        <f t="shared" si="1"/>
        <v>554</v>
      </c>
      <c r="B558" s="283"/>
      <c r="C558" s="284"/>
      <c r="D558" s="338"/>
      <c r="E558" s="286"/>
      <c r="F558" s="287"/>
      <c r="G558" s="288" t="str">
        <f>+IFERROR(VLOOKUP(F558,NVL!$B:$C,2,0),"")</f>
        <v/>
      </c>
      <c r="H558" s="288" t="str">
        <f>+IFERROR(VLOOKUP(F558,NVL!$B:$D,3,0),"")</f>
        <v/>
      </c>
      <c r="I558" s="288" t="str">
        <f>+IFERROR(VLOOKUP(F558,NVL!$B:$F,4,0),"")</f>
        <v/>
      </c>
      <c r="J558" s="289"/>
      <c r="K558" s="290"/>
      <c r="L558" s="291" t="str">
        <f>+IFERROR(VLOOKUP(K558,'THÀNH PHẨM'!$B:$F,3,0),"")</f>
        <v/>
      </c>
      <c r="M558" s="291" t="str">
        <f>+IFERROR(VLOOKUP(K558,'THÀNH PHẨM'!$B:$F,4,0),"")</f>
        <v/>
      </c>
      <c r="N558" s="291" t="str">
        <f>+IFERROR(VLOOKUP(K558,'THÀNH PHẨM'!$B:$F,5,0),"")</f>
        <v/>
      </c>
      <c r="O558" s="289"/>
      <c r="P558" s="292">
        <f t="shared" si="2"/>
        <v>0</v>
      </c>
      <c r="Q558" s="289"/>
      <c r="R558" s="289"/>
      <c r="S558" s="293">
        <f t="shared" si="62"/>
        <v>0</v>
      </c>
      <c r="T558" s="294"/>
      <c r="U558" s="295">
        <f t="shared" si="68"/>
        <v>0</v>
      </c>
      <c r="V558" s="296"/>
      <c r="W558" s="297"/>
      <c r="X558" s="298"/>
      <c r="Y558" s="292" t="str">
        <f t="shared" si="69"/>
        <v/>
      </c>
      <c r="Z558" s="366">
        <f t="shared" si="70"/>
        <v>0</v>
      </c>
      <c r="AA558" s="299" t="str">
        <f t="shared" si="71"/>
        <v/>
      </c>
      <c r="AB558" s="300"/>
      <c r="AC558" s="301"/>
      <c r="AD558" s="302"/>
      <c r="AE558" s="303"/>
      <c r="AF558" s="304"/>
      <c r="AG558" s="304"/>
      <c r="AH558" s="304"/>
      <c r="AI558" s="304"/>
      <c r="AJ558" s="304"/>
      <c r="AK558" s="305"/>
      <c r="AL558" s="283"/>
      <c r="AM558" s="284"/>
    </row>
    <row r="559" ht="15.75" customHeight="1">
      <c r="A559" s="282">
        <f t="shared" si="1"/>
        <v>555</v>
      </c>
      <c r="B559" s="283"/>
      <c r="C559" s="284"/>
      <c r="D559" s="338"/>
      <c r="E559" s="286"/>
      <c r="F559" s="287"/>
      <c r="G559" s="288" t="str">
        <f>+IFERROR(VLOOKUP(F559,NVL!$B:$C,2,0),"")</f>
        <v/>
      </c>
      <c r="H559" s="288" t="str">
        <f>+IFERROR(VLOOKUP(F559,NVL!$B:$D,3,0),"")</f>
        <v/>
      </c>
      <c r="I559" s="288" t="str">
        <f>+IFERROR(VLOOKUP(F559,NVL!$B:$F,4,0),"")</f>
        <v/>
      </c>
      <c r="J559" s="289"/>
      <c r="K559" s="290"/>
      <c r="L559" s="291" t="str">
        <f>+IFERROR(VLOOKUP(K559,'THÀNH PHẨM'!$B:$F,3,0),"")</f>
        <v/>
      </c>
      <c r="M559" s="291" t="str">
        <f>+IFERROR(VLOOKUP(K559,'THÀNH PHẨM'!$B:$F,4,0),"")</f>
        <v/>
      </c>
      <c r="N559" s="291" t="str">
        <f>+IFERROR(VLOOKUP(K559,'THÀNH PHẨM'!$B:$F,5,0),"")</f>
        <v/>
      </c>
      <c r="O559" s="289"/>
      <c r="P559" s="292">
        <f t="shared" si="2"/>
        <v>0</v>
      </c>
      <c r="Q559" s="289"/>
      <c r="R559" s="289"/>
      <c r="S559" s="293">
        <f t="shared" si="62"/>
        <v>0</v>
      </c>
      <c r="T559" s="294"/>
      <c r="U559" s="295">
        <f t="shared" si="68"/>
        <v>0</v>
      </c>
      <c r="V559" s="296"/>
      <c r="W559" s="297"/>
      <c r="X559" s="298"/>
      <c r="Y559" s="292" t="str">
        <f t="shared" si="69"/>
        <v/>
      </c>
      <c r="Z559" s="366">
        <f t="shared" si="70"/>
        <v>0</v>
      </c>
      <c r="AA559" s="299" t="str">
        <f t="shared" si="71"/>
        <v/>
      </c>
      <c r="AB559" s="300"/>
      <c r="AC559" s="301"/>
      <c r="AD559" s="302"/>
      <c r="AE559" s="303"/>
      <c r="AF559" s="304"/>
      <c r="AG559" s="304"/>
      <c r="AH559" s="304"/>
      <c r="AI559" s="304"/>
      <c r="AJ559" s="304"/>
      <c r="AK559" s="305"/>
      <c r="AL559" s="283"/>
      <c r="AM559" s="284"/>
    </row>
    <row r="560" ht="15.75" customHeight="1">
      <c r="A560" s="282">
        <f t="shared" si="1"/>
        <v>556</v>
      </c>
      <c r="B560" s="283"/>
      <c r="C560" s="284"/>
      <c r="D560" s="338"/>
      <c r="E560" s="286"/>
      <c r="F560" s="287"/>
      <c r="G560" s="288" t="str">
        <f>+IFERROR(VLOOKUP(F560,NVL!$B:$C,2,0),"")</f>
        <v/>
      </c>
      <c r="H560" s="288" t="str">
        <f>+IFERROR(VLOOKUP(F560,NVL!$B:$D,3,0),"")</f>
        <v/>
      </c>
      <c r="I560" s="288" t="str">
        <f>+IFERROR(VLOOKUP(F560,NVL!$B:$F,4,0),"")</f>
        <v/>
      </c>
      <c r="J560" s="289"/>
      <c r="K560" s="290"/>
      <c r="L560" s="291" t="str">
        <f>+IFERROR(VLOOKUP(K560,'THÀNH PHẨM'!$B:$F,3,0),"")</f>
        <v/>
      </c>
      <c r="M560" s="291" t="str">
        <f>+IFERROR(VLOOKUP(K560,'THÀNH PHẨM'!$B:$F,4,0),"")</f>
        <v/>
      </c>
      <c r="N560" s="291" t="str">
        <f>+IFERROR(VLOOKUP(K560,'THÀNH PHẨM'!$B:$F,5,0),"")</f>
        <v/>
      </c>
      <c r="O560" s="289"/>
      <c r="P560" s="292">
        <f t="shared" si="2"/>
        <v>0</v>
      </c>
      <c r="Q560" s="289"/>
      <c r="R560" s="289"/>
      <c r="S560" s="293">
        <f t="shared" si="62"/>
        <v>0</v>
      </c>
      <c r="T560" s="294"/>
      <c r="U560" s="295">
        <f t="shared" si="68"/>
        <v>0</v>
      </c>
      <c r="V560" s="296"/>
      <c r="W560" s="297"/>
      <c r="X560" s="298"/>
      <c r="Y560" s="292" t="str">
        <f t="shared" si="69"/>
        <v/>
      </c>
      <c r="Z560" s="366">
        <f t="shared" si="70"/>
        <v>0</v>
      </c>
      <c r="AA560" s="299" t="str">
        <f t="shared" si="71"/>
        <v/>
      </c>
      <c r="AB560" s="300"/>
      <c r="AC560" s="301"/>
      <c r="AD560" s="302"/>
      <c r="AE560" s="303"/>
      <c r="AF560" s="304"/>
      <c r="AG560" s="304"/>
      <c r="AH560" s="304"/>
      <c r="AI560" s="304"/>
      <c r="AJ560" s="304"/>
      <c r="AK560" s="305"/>
      <c r="AL560" s="283"/>
      <c r="AM560" s="284"/>
    </row>
    <row r="561" ht="15.75" customHeight="1">
      <c r="A561" s="282">
        <f t="shared" si="1"/>
        <v>557</v>
      </c>
      <c r="B561" s="283"/>
      <c r="C561" s="284"/>
      <c r="D561" s="338"/>
      <c r="E561" s="286"/>
      <c r="F561" s="287"/>
      <c r="G561" s="288" t="str">
        <f>+IFERROR(VLOOKUP(F561,NVL!$B:$C,2,0),"")</f>
        <v/>
      </c>
      <c r="H561" s="288" t="str">
        <f>+IFERROR(VLOOKUP(F561,NVL!$B:$D,3,0),"")</f>
        <v/>
      </c>
      <c r="I561" s="288" t="str">
        <f>+IFERROR(VLOOKUP(F561,NVL!$B:$F,4,0),"")</f>
        <v/>
      </c>
      <c r="J561" s="289"/>
      <c r="K561" s="290"/>
      <c r="L561" s="291" t="str">
        <f>+IFERROR(VLOOKUP(K561,'THÀNH PHẨM'!$B:$F,3,0),"")</f>
        <v/>
      </c>
      <c r="M561" s="291" t="str">
        <f>+IFERROR(VLOOKUP(K561,'THÀNH PHẨM'!$B:$F,4,0),"")</f>
        <v/>
      </c>
      <c r="N561" s="291" t="str">
        <f>+IFERROR(VLOOKUP(K561,'THÀNH PHẨM'!$B:$F,5,0),"")</f>
        <v/>
      </c>
      <c r="O561" s="289"/>
      <c r="P561" s="292">
        <f t="shared" si="2"/>
        <v>0</v>
      </c>
      <c r="Q561" s="289"/>
      <c r="R561" s="289"/>
      <c r="S561" s="293">
        <f t="shared" si="62"/>
        <v>0</v>
      </c>
      <c r="T561" s="294"/>
      <c r="U561" s="295">
        <f t="shared" si="68"/>
        <v>0</v>
      </c>
      <c r="V561" s="296"/>
      <c r="W561" s="297"/>
      <c r="X561" s="298"/>
      <c r="Y561" s="292" t="str">
        <f t="shared" si="69"/>
        <v/>
      </c>
      <c r="Z561" s="366">
        <f t="shared" si="70"/>
        <v>0</v>
      </c>
      <c r="AA561" s="299" t="str">
        <f t="shared" si="71"/>
        <v/>
      </c>
      <c r="AB561" s="300"/>
      <c r="AC561" s="301"/>
      <c r="AD561" s="302"/>
      <c r="AE561" s="303"/>
      <c r="AF561" s="304"/>
      <c r="AG561" s="304"/>
      <c r="AH561" s="304"/>
      <c r="AI561" s="304"/>
      <c r="AJ561" s="304"/>
      <c r="AK561" s="305"/>
      <c r="AL561" s="283"/>
      <c r="AM561" s="284"/>
    </row>
    <row r="562" ht="15.75" customHeight="1">
      <c r="A562" s="282">
        <f t="shared" si="1"/>
        <v>558</v>
      </c>
      <c r="B562" s="283"/>
      <c r="C562" s="284"/>
      <c r="D562" s="338"/>
      <c r="E562" s="286"/>
      <c r="F562" s="287"/>
      <c r="G562" s="288" t="str">
        <f>+IFERROR(VLOOKUP(F562,NVL!$B:$C,2,0),"")</f>
        <v/>
      </c>
      <c r="H562" s="288" t="str">
        <f>+IFERROR(VLOOKUP(F562,NVL!$B:$D,3,0),"")</f>
        <v/>
      </c>
      <c r="I562" s="288" t="str">
        <f>+IFERROR(VLOOKUP(F562,NVL!$B:$F,4,0),"")</f>
        <v/>
      </c>
      <c r="J562" s="289"/>
      <c r="K562" s="290"/>
      <c r="L562" s="291" t="str">
        <f>+IFERROR(VLOOKUP(K562,'THÀNH PHẨM'!$B:$F,3,0),"")</f>
        <v/>
      </c>
      <c r="M562" s="291" t="str">
        <f>+IFERROR(VLOOKUP(K562,'THÀNH PHẨM'!$B:$F,4,0),"")</f>
        <v/>
      </c>
      <c r="N562" s="291" t="str">
        <f>+IFERROR(VLOOKUP(K562,'THÀNH PHẨM'!$B:$F,5,0),"")</f>
        <v/>
      </c>
      <c r="O562" s="289"/>
      <c r="P562" s="292">
        <f t="shared" si="2"/>
        <v>0</v>
      </c>
      <c r="Q562" s="289"/>
      <c r="R562" s="289"/>
      <c r="S562" s="293">
        <f t="shared" si="62"/>
        <v>0</v>
      </c>
      <c r="T562" s="294"/>
      <c r="U562" s="295">
        <f t="shared" si="68"/>
        <v>0</v>
      </c>
      <c r="V562" s="296"/>
      <c r="W562" s="297"/>
      <c r="X562" s="298"/>
      <c r="Y562" s="292" t="str">
        <f t="shared" si="69"/>
        <v/>
      </c>
      <c r="Z562" s="366">
        <f t="shared" si="70"/>
        <v>0</v>
      </c>
      <c r="AA562" s="299" t="str">
        <f t="shared" si="71"/>
        <v/>
      </c>
      <c r="AB562" s="300"/>
      <c r="AC562" s="301"/>
      <c r="AD562" s="302"/>
      <c r="AE562" s="303"/>
      <c r="AF562" s="304"/>
      <c r="AG562" s="304"/>
      <c r="AH562" s="304"/>
      <c r="AI562" s="304"/>
      <c r="AJ562" s="304"/>
      <c r="AK562" s="305"/>
      <c r="AL562" s="283"/>
      <c r="AM562" s="284"/>
    </row>
    <row r="563" ht="15.75" customHeight="1">
      <c r="A563" s="282">
        <f t="shared" si="1"/>
        <v>559</v>
      </c>
      <c r="B563" s="283"/>
      <c r="C563" s="284"/>
      <c r="D563" s="338"/>
      <c r="E563" s="286"/>
      <c r="F563" s="287"/>
      <c r="G563" s="288" t="str">
        <f>+IFERROR(VLOOKUP(F563,NVL!$B:$C,2,0),"")</f>
        <v/>
      </c>
      <c r="H563" s="288" t="str">
        <f>+IFERROR(VLOOKUP(F563,NVL!$B:$D,3,0),"")</f>
        <v/>
      </c>
      <c r="I563" s="288" t="str">
        <f>+IFERROR(VLOOKUP(F563,NVL!$B:$F,4,0),"")</f>
        <v/>
      </c>
      <c r="J563" s="289"/>
      <c r="K563" s="290"/>
      <c r="L563" s="291" t="str">
        <f>+IFERROR(VLOOKUP(K563,'THÀNH PHẨM'!$B:$F,3,0),"")</f>
        <v/>
      </c>
      <c r="M563" s="291" t="str">
        <f>+IFERROR(VLOOKUP(K563,'THÀNH PHẨM'!$B:$F,4,0),"")</f>
        <v/>
      </c>
      <c r="N563" s="291" t="str">
        <f>+IFERROR(VLOOKUP(K563,'THÀNH PHẨM'!$B:$F,5,0),"")</f>
        <v/>
      </c>
      <c r="O563" s="289"/>
      <c r="P563" s="292">
        <f t="shared" si="2"/>
        <v>0</v>
      </c>
      <c r="Q563" s="289"/>
      <c r="R563" s="289"/>
      <c r="S563" s="293">
        <f t="shared" si="62"/>
        <v>0</v>
      </c>
      <c r="T563" s="294"/>
      <c r="U563" s="295">
        <f t="shared" si="68"/>
        <v>0</v>
      </c>
      <c r="V563" s="296"/>
      <c r="W563" s="297"/>
      <c r="X563" s="298"/>
      <c r="Y563" s="292" t="str">
        <f t="shared" si="69"/>
        <v/>
      </c>
      <c r="Z563" s="366">
        <f t="shared" si="70"/>
        <v>0</v>
      </c>
      <c r="AA563" s="299" t="str">
        <f t="shared" si="71"/>
        <v/>
      </c>
      <c r="AB563" s="300"/>
      <c r="AC563" s="301"/>
      <c r="AD563" s="302"/>
      <c r="AE563" s="303"/>
      <c r="AF563" s="304"/>
      <c r="AG563" s="304"/>
      <c r="AH563" s="304"/>
      <c r="AI563" s="304"/>
      <c r="AJ563" s="304"/>
      <c r="AK563" s="305"/>
      <c r="AL563" s="283"/>
      <c r="AM563" s="284"/>
    </row>
    <row r="564" ht="15.75" customHeight="1">
      <c r="A564" s="282">
        <f t="shared" si="1"/>
        <v>560</v>
      </c>
      <c r="B564" s="283"/>
      <c r="C564" s="284"/>
      <c r="D564" s="338"/>
      <c r="E564" s="286"/>
      <c r="F564" s="287"/>
      <c r="G564" s="288" t="str">
        <f>+IFERROR(VLOOKUP(F564,NVL!$B:$C,2,0),"")</f>
        <v/>
      </c>
      <c r="H564" s="288" t="str">
        <f>+IFERROR(VLOOKUP(F564,NVL!$B:$D,3,0),"")</f>
        <v/>
      </c>
      <c r="I564" s="288" t="str">
        <f>+IFERROR(VLOOKUP(F564,NVL!$B:$F,4,0),"")</f>
        <v/>
      </c>
      <c r="J564" s="289"/>
      <c r="K564" s="290"/>
      <c r="L564" s="291" t="str">
        <f>+IFERROR(VLOOKUP(K564,'THÀNH PHẨM'!$B:$F,3,0),"")</f>
        <v/>
      </c>
      <c r="M564" s="291" t="str">
        <f>+IFERROR(VLOOKUP(K564,'THÀNH PHẨM'!$B:$F,4,0),"")</f>
        <v/>
      </c>
      <c r="N564" s="291" t="str">
        <f>+IFERROR(VLOOKUP(K564,'THÀNH PHẨM'!$B:$F,5,0),"")</f>
        <v/>
      </c>
      <c r="O564" s="289"/>
      <c r="P564" s="292">
        <f t="shared" si="2"/>
        <v>0</v>
      </c>
      <c r="Q564" s="289"/>
      <c r="R564" s="289"/>
      <c r="S564" s="293">
        <f t="shared" si="62"/>
        <v>0</v>
      </c>
      <c r="T564" s="294"/>
      <c r="U564" s="295">
        <f t="shared" si="68"/>
        <v>0</v>
      </c>
      <c r="V564" s="296"/>
      <c r="W564" s="297"/>
      <c r="X564" s="298"/>
      <c r="Y564" s="292" t="str">
        <f t="shared" si="69"/>
        <v/>
      </c>
      <c r="Z564" s="366">
        <f t="shared" si="70"/>
        <v>0</v>
      </c>
      <c r="AA564" s="299" t="str">
        <f t="shared" si="71"/>
        <v/>
      </c>
      <c r="AB564" s="300"/>
      <c r="AC564" s="301"/>
      <c r="AD564" s="302"/>
      <c r="AE564" s="303"/>
      <c r="AF564" s="304"/>
      <c r="AG564" s="304"/>
      <c r="AH564" s="304"/>
      <c r="AI564" s="304"/>
      <c r="AJ564" s="304"/>
      <c r="AK564" s="305"/>
      <c r="AL564" s="283"/>
      <c r="AM564" s="284"/>
    </row>
    <row r="565" ht="15.75" customHeight="1">
      <c r="A565" s="282">
        <f t="shared" si="1"/>
        <v>561</v>
      </c>
      <c r="B565" s="283"/>
      <c r="C565" s="284"/>
      <c r="D565" s="338"/>
      <c r="E565" s="286"/>
      <c r="F565" s="287"/>
      <c r="G565" s="288" t="str">
        <f>+IFERROR(VLOOKUP(F565,NVL!$B:$C,2,0),"")</f>
        <v/>
      </c>
      <c r="H565" s="288" t="str">
        <f>+IFERROR(VLOOKUP(F565,NVL!$B:$D,3,0),"")</f>
        <v/>
      </c>
      <c r="I565" s="288" t="str">
        <f>+IFERROR(VLOOKUP(F565,NVL!$B:$F,4,0),"")</f>
        <v/>
      </c>
      <c r="J565" s="289"/>
      <c r="K565" s="290"/>
      <c r="L565" s="291" t="str">
        <f>+IFERROR(VLOOKUP(K565,'THÀNH PHẨM'!$B:$F,3,0),"")</f>
        <v/>
      </c>
      <c r="M565" s="291" t="str">
        <f>+IFERROR(VLOOKUP(K565,'THÀNH PHẨM'!$B:$F,4,0),"")</f>
        <v/>
      </c>
      <c r="N565" s="291" t="str">
        <f>+IFERROR(VLOOKUP(K565,'THÀNH PHẨM'!$B:$F,5,0),"")</f>
        <v/>
      </c>
      <c r="O565" s="289"/>
      <c r="P565" s="292">
        <f t="shared" si="2"/>
        <v>0</v>
      </c>
      <c r="Q565" s="289"/>
      <c r="R565" s="289"/>
      <c r="S565" s="293">
        <f t="shared" si="62"/>
        <v>0</v>
      </c>
      <c r="T565" s="294"/>
      <c r="U565" s="295">
        <f t="shared" si="68"/>
        <v>0</v>
      </c>
      <c r="V565" s="296"/>
      <c r="W565" s="297"/>
      <c r="X565" s="298"/>
      <c r="Y565" s="292" t="str">
        <f t="shared" si="69"/>
        <v/>
      </c>
      <c r="Z565" s="366">
        <f t="shared" si="70"/>
        <v>0</v>
      </c>
      <c r="AA565" s="299" t="str">
        <f t="shared" si="71"/>
        <v/>
      </c>
      <c r="AB565" s="300"/>
      <c r="AC565" s="301"/>
      <c r="AD565" s="302"/>
      <c r="AE565" s="303"/>
      <c r="AF565" s="304"/>
      <c r="AG565" s="304"/>
      <c r="AH565" s="304"/>
      <c r="AI565" s="304"/>
      <c r="AJ565" s="304"/>
      <c r="AK565" s="305"/>
      <c r="AL565" s="283"/>
      <c r="AM565" s="284"/>
    </row>
    <row r="566" ht="15.75" customHeight="1">
      <c r="A566" s="282">
        <f t="shared" si="1"/>
        <v>562</v>
      </c>
      <c r="B566" s="283"/>
      <c r="C566" s="284"/>
      <c r="D566" s="338"/>
      <c r="E566" s="286"/>
      <c r="F566" s="287"/>
      <c r="G566" s="288" t="str">
        <f>+IFERROR(VLOOKUP(F566,NVL!$B:$C,2,0),"")</f>
        <v/>
      </c>
      <c r="H566" s="288" t="str">
        <f>+IFERROR(VLOOKUP(F566,NVL!$B:$D,3,0),"")</f>
        <v/>
      </c>
      <c r="I566" s="288" t="str">
        <f>+IFERROR(VLOOKUP(F566,NVL!$B:$F,4,0),"")</f>
        <v/>
      </c>
      <c r="J566" s="289"/>
      <c r="K566" s="290"/>
      <c r="L566" s="291" t="str">
        <f>+IFERROR(VLOOKUP(K566,'THÀNH PHẨM'!$B:$F,3,0),"")</f>
        <v/>
      </c>
      <c r="M566" s="291" t="str">
        <f>+IFERROR(VLOOKUP(K566,'THÀNH PHẨM'!$B:$F,4,0),"")</f>
        <v/>
      </c>
      <c r="N566" s="291" t="str">
        <f>+IFERROR(VLOOKUP(K566,'THÀNH PHẨM'!$B:$F,5,0),"")</f>
        <v/>
      </c>
      <c r="O566" s="289"/>
      <c r="P566" s="292">
        <f t="shared" si="2"/>
        <v>0</v>
      </c>
      <c r="Q566" s="289"/>
      <c r="R566" s="289"/>
      <c r="S566" s="293">
        <f t="shared" si="62"/>
        <v>0</v>
      </c>
      <c r="T566" s="294"/>
      <c r="U566" s="295">
        <f t="shared" si="68"/>
        <v>0</v>
      </c>
      <c r="V566" s="296"/>
      <c r="W566" s="297"/>
      <c r="X566" s="298"/>
      <c r="Y566" s="292" t="str">
        <f t="shared" si="69"/>
        <v/>
      </c>
      <c r="Z566" s="366">
        <f t="shared" si="70"/>
        <v>0</v>
      </c>
      <c r="AA566" s="299" t="str">
        <f t="shared" si="71"/>
        <v/>
      </c>
      <c r="AB566" s="300"/>
      <c r="AC566" s="301"/>
      <c r="AD566" s="302"/>
      <c r="AE566" s="303"/>
      <c r="AF566" s="304"/>
      <c r="AG566" s="304"/>
      <c r="AH566" s="304"/>
      <c r="AI566" s="304"/>
      <c r="AJ566" s="304"/>
      <c r="AK566" s="305"/>
      <c r="AL566" s="283"/>
      <c r="AM566" s="284"/>
    </row>
    <row r="567" ht="15.75" customHeight="1">
      <c r="A567" s="282">
        <f t="shared" si="1"/>
        <v>563</v>
      </c>
      <c r="B567" s="283"/>
      <c r="C567" s="284"/>
      <c r="D567" s="338"/>
      <c r="E567" s="286"/>
      <c r="F567" s="287"/>
      <c r="G567" s="288" t="str">
        <f>+IFERROR(VLOOKUP(F567,NVL!$B:$C,2,0),"")</f>
        <v/>
      </c>
      <c r="H567" s="288" t="str">
        <f>+IFERROR(VLOOKUP(F567,NVL!$B:$D,3,0),"")</f>
        <v/>
      </c>
      <c r="I567" s="288" t="str">
        <f>+IFERROR(VLOOKUP(F567,NVL!$B:$F,4,0),"")</f>
        <v/>
      </c>
      <c r="J567" s="289"/>
      <c r="K567" s="290"/>
      <c r="L567" s="291" t="str">
        <f>+IFERROR(VLOOKUP(K567,'THÀNH PHẨM'!$B:$F,3,0),"")</f>
        <v/>
      </c>
      <c r="M567" s="291" t="str">
        <f>+IFERROR(VLOOKUP(K567,'THÀNH PHẨM'!$B:$F,4,0),"")</f>
        <v/>
      </c>
      <c r="N567" s="291" t="str">
        <f>+IFERROR(VLOOKUP(K567,'THÀNH PHẨM'!$B:$F,5,0),"")</f>
        <v/>
      </c>
      <c r="O567" s="289"/>
      <c r="P567" s="292">
        <f t="shared" si="2"/>
        <v>0</v>
      </c>
      <c r="Q567" s="289"/>
      <c r="R567" s="289"/>
      <c r="S567" s="293">
        <f t="shared" si="62"/>
        <v>0</v>
      </c>
      <c r="T567" s="294"/>
      <c r="U567" s="295">
        <f t="shared" si="68"/>
        <v>0</v>
      </c>
      <c r="V567" s="296"/>
      <c r="W567" s="297"/>
      <c r="X567" s="298"/>
      <c r="Y567" s="292" t="str">
        <f t="shared" si="69"/>
        <v/>
      </c>
      <c r="Z567" s="366">
        <f t="shared" si="70"/>
        <v>0</v>
      </c>
      <c r="AA567" s="299" t="str">
        <f t="shared" si="71"/>
        <v/>
      </c>
      <c r="AB567" s="300"/>
      <c r="AC567" s="301"/>
      <c r="AD567" s="302"/>
      <c r="AE567" s="303"/>
      <c r="AF567" s="304"/>
      <c r="AG567" s="304"/>
      <c r="AH567" s="304"/>
      <c r="AI567" s="304"/>
      <c r="AJ567" s="304"/>
      <c r="AK567" s="305"/>
      <c r="AL567" s="283"/>
      <c r="AM567" s="284"/>
    </row>
    <row r="568" ht="15.75" customHeight="1">
      <c r="A568" s="282">
        <f t="shared" si="1"/>
        <v>564</v>
      </c>
      <c r="B568" s="283"/>
      <c r="C568" s="284"/>
      <c r="D568" s="338"/>
      <c r="E568" s="286"/>
      <c r="F568" s="287"/>
      <c r="G568" s="288" t="str">
        <f>+IFERROR(VLOOKUP(F568,NVL!$B:$C,2,0),"")</f>
        <v/>
      </c>
      <c r="H568" s="288" t="str">
        <f>+IFERROR(VLOOKUP(F568,NVL!$B:$D,3,0),"")</f>
        <v/>
      </c>
      <c r="I568" s="288" t="str">
        <f>+IFERROR(VLOOKUP(F568,NVL!$B:$F,4,0),"")</f>
        <v/>
      </c>
      <c r="J568" s="289"/>
      <c r="K568" s="290"/>
      <c r="L568" s="291" t="str">
        <f>+IFERROR(VLOOKUP(K568,'THÀNH PHẨM'!$B:$F,3,0),"")</f>
        <v/>
      </c>
      <c r="M568" s="291" t="str">
        <f>+IFERROR(VLOOKUP(K568,'THÀNH PHẨM'!$B:$F,4,0),"")</f>
        <v/>
      </c>
      <c r="N568" s="291" t="str">
        <f>+IFERROR(VLOOKUP(K568,'THÀNH PHẨM'!$B:$F,5,0),"")</f>
        <v/>
      </c>
      <c r="O568" s="289"/>
      <c r="P568" s="292">
        <f t="shared" si="2"/>
        <v>0</v>
      </c>
      <c r="Q568" s="289"/>
      <c r="R568" s="289"/>
      <c r="S568" s="293">
        <f t="shared" si="62"/>
        <v>0</v>
      </c>
      <c r="T568" s="294"/>
      <c r="U568" s="295">
        <f t="shared" si="68"/>
        <v>0</v>
      </c>
      <c r="V568" s="296"/>
      <c r="W568" s="297"/>
      <c r="X568" s="298"/>
      <c r="Y568" s="292" t="str">
        <f t="shared" si="69"/>
        <v/>
      </c>
      <c r="Z568" s="366">
        <f t="shared" si="70"/>
        <v>0</v>
      </c>
      <c r="AA568" s="299" t="str">
        <f t="shared" si="71"/>
        <v/>
      </c>
      <c r="AB568" s="300"/>
      <c r="AC568" s="301"/>
      <c r="AD568" s="302"/>
      <c r="AE568" s="303"/>
      <c r="AF568" s="304"/>
      <c r="AG568" s="304"/>
      <c r="AH568" s="304"/>
      <c r="AI568" s="304"/>
      <c r="AJ568" s="304"/>
      <c r="AK568" s="305"/>
      <c r="AL568" s="283"/>
      <c r="AM568" s="284"/>
    </row>
    <row r="569" ht="15.75" customHeight="1">
      <c r="A569" s="282">
        <f t="shared" si="1"/>
        <v>565</v>
      </c>
      <c r="B569" s="283"/>
      <c r="C569" s="284"/>
      <c r="D569" s="338"/>
      <c r="E569" s="286"/>
      <c r="F569" s="287"/>
      <c r="G569" s="288" t="str">
        <f>+IFERROR(VLOOKUP(F569,NVL!$B:$C,2,0),"")</f>
        <v/>
      </c>
      <c r="H569" s="288" t="str">
        <f>+IFERROR(VLOOKUP(F569,NVL!$B:$D,3,0),"")</f>
        <v/>
      </c>
      <c r="I569" s="288" t="str">
        <f>+IFERROR(VLOOKUP(F569,NVL!$B:$F,4,0),"")</f>
        <v/>
      </c>
      <c r="J569" s="289"/>
      <c r="K569" s="290"/>
      <c r="L569" s="291" t="str">
        <f>+IFERROR(VLOOKUP(K569,'THÀNH PHẨM'!$B:$F,3,0),"")</f>
        <v/>
      </c>
      <c r="M569" s="291" t="str">
        <f>+IFERROR(VLOOKUP(K569,'THÀNH PHẨM'!$B:$F,4,0),"")</f>
        <v/>
      </c>
      <c r="N569" s="291" t="str">
        <f>+IFERROR(VLOOKUP(K569,'THÀNH PHẨM'!$B:$F,5,0),"")</f>
        <v/>
      </c>
      <c r="O569" s="289"/>
      <c r="P569" s="292">
        <f t="shared" si="2"/>
        <v>0</v>
      </c>
      <c r="Q569" s="289"/>
      <c r="R569" s="289"/>
      <c r="S569" s="293">
        <f t="shared" si="62"/>
        <v>0</v>
      </c>
      <c r="T569" s="294"/>
      <c r="U569" s="295">
        <f t="shared" si="68"/>
        <v>0</v>
      </c>
      <c r="V569" s="296"/>
      <c r="W569" s="297"/>
      <c r="X569" s="298"/>
      <c r="Y569" s="292" t="str">
        <f t="shared" si="69"/>
        <v/>
      </c>
      <c r="Z569" s="366">
        <f t="shared" si="70"/>
        <v>0</v>
      </c>
      <c r="AA569" s="299" t="str">
        <f t="shared" si="71"/>
        <v/>
      </c>
      <c r="AB569" s="300"/>
      <c r="AC569" s="301"/>
      <c r="AD569" s="302"/>
      <c r="AE569" s="303"/>
      <c r="AF569" s="304"/>
      <c r="AG569" s="304"/>
      <c r="AH569" s="304"/>
      <c r="AI569" s="304"/>
      <c r="AJ569" s="304"/>
      <c r="AK569" s="305"/>
      <c r="AL569" s="283"/>
      <c r="AM569" s="284"/>
    </row>
    <row r="570" ht="15.75" customHeight="1">
      <c r="A570" s="282">
        <f t="shared" si="1"/>
        <v>566</v>
      </c>
      <c r="B570" s="283"/>
      <c r="C570" s="284"/>
      <c r="D570" s="338"/>
      <c r="E570" s="286"/>
      <c r="F570" s="287"/>
      <c r="G570" s="288" t="str">
        <f>+IFERROR(VLOOKUP(F570,NVL!$B:$C,2,0),"")</f>
        <v/>
      </c>
      <c r="H570" s="288" t="str">
        <f>+IFERROR(VLOOKUP(F570,NVL!$B:$D,3,0),"")</f>
        <v/>
      </c>
      <c r="I570" s="288" t="str">
        <f>+IFERROR(VLOOKUP(F570,NVL!$B:$F,4,0),"")</f>
        <v/>
      </c>
      <c r="J570" s="289"/>
      <c r="K570" s="290"/>
      <c r="L570" s="291" t="str">
        <f>+IFERROR(VLOOKUP(K570,'THÀNH PHẨM'!$B:$F,3,0),"")</f>
        <v/>
      </c>
      <c r="M570" s="291" t="str">
        <f>+IFERROR(VLOOKUP(K570,'THÀNH PHẨM'!$B:$F,4,0),"")</f>
        <v/>
      </c>
      <c r="N570" s="291" t="str">
        <f>+IFERROR(VLOOKUP(K570,'THÀNH PHẨM'!$B:$F,5,0),"")</f>
        <v/>
      </c>
      <c r="O570" s="289"/>
      <c r="P570" s="292">
        <f t="shared" si="2"/>
        <v>0</v>
      </c>
      <c r="Q570" s="289"/>
      <c r="R570" s="289"/>
      <c r="S570" s="293">
        <f t="shared" si="62"/>
        <v>0</v>
      </c>
      <c r="T570" s="294"/>
      <c r="U570" s="295">
        <f t="shared" si="68"/>
        <v>0</v>
      </c>
      <c r="V570" s="296"/>
      <c r="W570" s="297"/>
      <c r="X570" s="298"/>
      <c r="Y570" s="292" t="str">
        <f t="shared" si="69"/>
        <v/>
      </c>
      <c r="Z570" s="366">
        <f t="shared" si="70"/>
        <v>0</v>
      </c>
      <c r="AA570" s="299" t="str">
        <f t="shared" si="71"/>
        <v/>
      </c>
      <c r="AB570" s="300"/>
      <c r="AC570" s="301"/>
      <c r="AD570" s="302"/>
      <c r="AE570" s="303"/>
      <c r="AF570" s="304"/>
      <c r="AG570" s="304"/>
      <c r="AH570" s="304"/>
      <c r="AI570" s="304"/>
      <c r="AJ570" s="304"/>
      <c r="AK570" s="305"/>
      <c r="AL570" s="283"/>
      <c r="AM570" s="284"/>
    </row>
    <row r="571" ht="15.75" customHeight="1">
      <c r="A571" s="282">
        <f t="shared" si="1"/>
        <v>567</v>
      </c>
      <c r="B571" s="283"/>
      <c r="C571" s="284"/>
      <c r="D571" s="338"/>
      <c r="E571" s="286"/>
      <c r="F571" s="287"/>
      <c r="G571" s="288" t="str">
        <f>+IFERROR(VLOOKUP(F571,NVL!$B:$C,2,0),"")</f>
        <v/>
      </c>
      <c r="H571" s="288" t="str">
        <f>+IFERROR(VLOOKUP(F571,NVL!$B:$D,3,0),"")</f>
        <v/>
      </c>
      <c r="I571" s="288" t="str">
        <f>+IFERROR(VLOOKUP(F571,NVL!$B:$F,4,0),"")</f>
        <v/>
      </c>
      <c r="J571" s="289"/>
      <c r="K571" s="290"/>
      <c r="L571" s="291" t="str">
        <f>+IFERROR(VLOOKUP(K571,'THÀNH PHẨM'!$B:$F,3,0),"")</f>
        <v/>
      </c>
      <c r="M571" s="291" t="str">
        <f>+IFERROR(VLOOKUP(K571,'THÀNH PHẨM'!$B:$F,4,0),"")</f>
        <v/>
      </c>
      <c r="N571" s="291" t="str">
        <f>+IFERROR(VLOOKUP(K571,'THÀNH PHẨM'!$B:$F,5,0),"")</f>
        <v/>
      </c>
      <c r="O571" s="289"/>
      <c r="P571" s="292">
        <f t="shared" si="2"/>
        <v>0</v>
      </c>
      <c r="Q571" s="289"/>
      <c r="R571" s="289"/>
      <c r="S571" s="293">
        <f t="shared" si="62"/>
        <v>0</v>
      </c>
      <c r="T571" s="294"/>
      <c r="U571" s="295">
        <f t="shared" si="68"/>
        <v>0</v>
      </c>
      <c r="V571" s="296"/>
      <c r="W571" s="297"/>
      <c r="X571" s="298"/>
      <c r="Y571" s="292" t="str">
        <f t="shared" si="69"/>
        <v/>
      </c>
      <c r="Z571" s="366">
        <f t="shared" si="70"/>
        <v>0</v>
      </c>
      <c r="AA571" s="299" t="str">
        <f t="shared" si="71"/>
        <v/>
      </c>
      <c r="AB571" s="300"/>
      <c r="AC571" s="301"/>
      <c r="AD571" s="302"/>
      <c r="AE571" s="303"/>
      <c r="AF571" s="304"/>
      <c r="AG571" s="304"/>
      <c r="AH571" s="304"/>
      <c r="AI571" s="304"/>
      <c r="AJ571" s="304"/>
      <c r="AK571" s="305"/>
      <c r="AL571" s="283"/>
      <c r="AM571" s="284"/>
    </row>
    <row r="572" ht="15.75" customHeight="1">
      <c r="A572" s="282">
        <f t="shared" si="1"/>
        <v>568</v>
      </c>
      <c r="B572" s="283"/>
      <c r="C572" s="284"/>
      <c r="D572" s="338"/>
      <c r="E572" s="286"/>
      <c r="F572" s="287"/>
      <c r="G572" s="288" t="str">
        <f>+IFERROR(VLOOKUP(F572,NVL!$B:$C,2,0),"")</f>
        <v/>
      </c>
      <c r="H572" s="288" t="str">
        <f>+IFERROR(VLOOKUP(F572,NVL!$B:$D,3,0),"")</f>
        <v/>
      </c>
      <c r="I572" s="288" t="str">
        <f>+IFERROR(VLOOKUP(F572,NVL!$B:$F,4,0),"")</f>
        <v/>
      </c>
      <c r="J572" s="289"/>
      <c r="K572" s="290"/>
      <c r="L572" s="291" t="str">
        <f>+IFERROR(VLOOKUP(K572,'THÀNH PHẨM'!$B:$F,3,0),"")</f>
        <v/>
      </c>
      <c r="M572" s="291" t="str">
        <f>+IFERROR(VLOOKUP(K572,'THÀNH PHẨM'!$B:$F,4,0),"")</f>
        <v/>
      </c>
      <c r="N572" s="291" t="str">
        <f>+IFERROR(VLOOKUP(K572,'THÀNH PHẨM'!$B:$F,5,0),"")</f>
        <v/>
      </c>
      <c r="O572" s="289"/>
      <c r="P572" s="292">
        <f t="shared" si="2"/>
        <v>0</v>
      </c>
      <c r="Q572" s="289"/>
      <c r="R572" s="289"/>
      <c r="S572" s="293">
        <f t="shared" si="62"/>
        <v>0</v>
      </c>
      <c r="T572" s="294"/>
      <c r="U572" s="295">
        <f t="shared" si="68"/>
        <v>0</v>
      </c>
      <c r="V572" s="296"/>
      <c r="W572" s="297"/>
      <c r="X572" s="298"/>
      <c r="Y572" s="292" t="str">
        <f t="shared" si="69"/>
        <v/>
      </c>
      <c r="Z572" s="366">
        <f t="shared" si="70"/>
        <v>0</v>
      </c>
      <c r="AA572" s="299" t="str">
        <f t="shared" si="71"/>
        <v/>
      </c>
      <c r="AB572" s="300"/>
      <c r="AC572" s="301"/>
      <c r="AD572" s="302"/>
      <c r="AE572" s="303"/>
      <c r="AF572" s="304"/>
      <c r="AG572" s="304"/>
      <c r="AH572" s="304"/>
      <c r="AI572" s="304"/>
      <c r="AJ572" s="304"/>
      <c r="AK572" s="305"/>
      <c r="AL572" s="283"/>
      <c r="AM572" s="284"/>
    </row>
    <row r="573" ht="15.75" customHeight="1">
      <c r="A573" s="282">
        <f t="shared" si="1"/>
        <v>569</v>
      </c>
      <c r="B573" s="283"/>
      <c r="C573" s="284"/>
      <c r="D573" s="338"/>
      <c r="E573" s="286"/>
      <c r="F573" s="287"/>
      <c r="G573" s="288" t="str">
        <f>+IFERROR(VLOOKUP(F573,NVL!$B:$C,2,0),"")</f>
        <v/>
      </c>
      <c r="H573" s="288" t="str">
        <f>+IFERROR(VLOOKUP(F573,NVL!$B:$D,3,0),"")</f>
        <v/>
      </c>
      <c r="I573" s="288" t="str">
        <f>+IFERROR(VLOOKUP(F573,NVL!$B:$F,4,0),"")</f>
        <v/>
      </c>
      <c r="J573" s="289"/>
      <c r="K573" s="290"/>
      <c r="L573" s="291" t="str">
        <f>+IFERROR(VLOOKUP(K573,'THÀNH PHẨM'!$B:$F,3,0),"")</f>
        <v/>
      </c>
      <c r="M573" s="291" t="str">
        <f>+IFERROR(VLOOKUP(K573,'THÀNH PHẨM'!$B:$F,4,0),"")</f>
        <v/>
      </c>
      <c r="N573" s="291" t="str">
        <f>+IFERROR(VLOOKUP(K573,'THÀNH PHẨM'!$B:$F,5,0),"")</f>
        <v/>
      </c>
      <c r="O573" s="289"/>
      <c r="P573" s="292">
        <f t="shared" si="2"/>
        <v>0</v>
      </c>
      <c r="Q573" s="289"/>
      <c r="R573" s="289"/>
      <c r="S573" s="293">
        <f t="shared" si="62"/>
        <v>0</v>
      </c>
      <c r="T573" s="294"/>
      <c r="U573" s="295">
        <f t="shared" si="68"/>
        <v>0</v>
      </c>
      <c r="V573" s="296"/>
      <c r="W573" s="297"/>
      <c r="X573" s="298"/>
      <c r="Y573" s="292" t="str">
        <f t="shared" si="69"/>
        <v/>
      </c>
      <c r="Z573" s="366">
        <f t="shared" si="70"/>
        <v>0</v>
      </c>
      <c r="AA573" s="299" t="str">
        <f t="shared" si="71"/>
        <v/>
      </c>
      <c r="AB573" s="300"/>
      <c r="AC573" s="301"/>
      <c r="AD573" s="302"/>
      <c r="AE573" s="303"/>
      <c r="AF573" s="304"/>
      <c r="AG573" s="304"/>
      <c r="AH573" s="304"/>
      <c r="AI573" s="304"/>
      <c r="AJ573" s="304"/>
      <c r="AK573" s="305"/>
      <c r="AL573" s="283"/>
      <c r="AM573" s="284"/>
    </row>
    <row r="574" ht="15.75" customHeight="1">
      <c r="A574" s="282">
        <f t="shared" si="1"/>
        <v>570</v>
      </c>
      <c r="B574" s="283"/>
      <c r="C574" s="284"/>
      <c r="D574" s="338"/>
      <c r="E574" s="286"/>
      <c r="F574" s="287"/>
      <c r="G574" s="288" t="str">
        <f>+IFERROR(VLOOKUP(F574,NVL!$B:$C,2,0),"")</f>
        <v/>
      </c>
      <c r="H574" s="288" t="str">
        <f>+IFERROR(VLOOKUP(F574,NVL!$B:$D,3,0),"")</f>
        <v/>
      </c>
      <c r="I574" s="288" t="str">
        <f>+IFERROR(VLOOKUP(F574,NVL!$B:$F,4,0),"")</f>
        <v/>
      </c>
      <c r="J574" s="289"/>
      <c r="K574" s="290"/>
      <c r="L574" s="291" t="str">
        <f>+IFERROR(VLOOKUP(K574,'THÀNH PHẨM'!$B:$F,3,0),"")</f>
        <v/>
      </c>
      <c r="M574" s="291" t="str">
        <f>+IFERROR(VLOOKUP(K574,'THÀNH PHẨM'!$B:$F,4,0),"")</f>
        <v/>
      </c>
      <c r="N574" s="291" t="str">
        <f>+IFERROR(VLOOKUP(K574,'THÀNH PHẨM'!$B:$F,5,0),"")</f>
        <v/>
      </c>
      <c r="O574" s="289"/>
      <c r="P574" s="292">
        <f t="shared" si="2"/>
        <v>0</v>
      </c>
      <c r="Q574" s="289"/>
      <c r="R574" s="289"/>
      <c r="S574" s="293">
        <f t="shared" si="62"/>
        <v>0</v>
      </c>
      <c r="T574" s="294"/>
      <c r="U574" s="295">
        <f t="shared" si="68"/>
        <v>0</v>
      </c>
      <c r="V574" s="296"/>
      <c r="W574" s="297"/>
      <c r="X574" s="298"/>
      <c r="Y574" s="292" t="str">
        <f t="shared" si="69"/>
        <v/>
      </c>
      <c r="Z574" s="366">
        <f t="shared" si="70"/>
        <v>0</v>
      </c>
      <c r="AA574" s="299" t="str">
        <f t="shared" si="71"/>
        <v/>
      </c>
      <c r="AB574" s="300"/>
      <c r="AC574" s="301"/>
      <c r="AD574" s="302"/>
      <c r="AE574" s="303"/>
      <c r="AF574" s="304"/>
      <c r="AG574" s="304"/>
      <c r="AH574" s="304"/>
      <c r="AI574" s="304"/>
      <c r="AJ574" s="304"/>
      <c r="AK574" s="305"/>
      <c r="AL574" s="283"/>
      <c r="AM574" s="284"/>
    </row>
    <row r="575" ht="15.75" customHeight="1">
      <c r="A575" s="282">
        <f t="shared" si="1"/>
        <v>571</v>
      </c>
      <c r="B575" s="283"/>
      <c r="C575" s="284"/>
      <c r="D575" s="338"/>
      <c r="E575" s="286"/>
      <c r="F575" s="287"/>
      <c r="G575" s="288" t="str">
        <f>+IFERROR(VLOOKUP(F575,NVL!$B:$C,2,0),"")</f>
        <v/>
      </c>
      <c r="H575" s="288" t="str">
        <f>+IFERROR(VLOOKUP(F575,NVL!$B:$D,3,0),"")</f>
        <v/>
      </c>
      <c r="I575" s="288" t="str">
        <f>+IFERROR(VLOOKUP(F575,NVL!$B:$F,4,0),"")</f>
        <v/>
      </c>
      <c r="J575" s="289"/>
      <c r="K575" s="290"/>
      <c r="L575" s="291" t="str">
        <f>+IFERROR(VLOOKUP(K575,'THÀNH PHẨM'!$B:$F,3,0),"")</f>
        <v/>
      </c>
      <c r="M575" s="291" t="str">
        <f>+IFERROR(VLOOKUP(K575,'THÀNH PHẨM'!$B:$F,4,0),"")</f>
        <v/>
      </c>
      <c r="N575" s="291" t="str">
        <f>+IFERROR(VLOOKUP(K575,'THÀNH PHẨM'!$B:$F,5,0),"")</f>
        <v/>
      </c>
      <c r="O575" s="289"/>
      <c r="P575" s="292">
        <f t="shared" si="2"/>
        <v>0</v>
      </c>
      <c r="Q575" s="289"/>
      <c r="R575" s="289"/>
      <c r="S575" s="293">
        <f t="shared" si="62"/>
        <v>0</v>
      </c>
      <c r="T575" s="294"/>
      <c r="U575" s="295">
        <f t="shared" si="68"/>
        <v>0</v>
      </c>
      <c r="V575" s="296"/>
      <c r="W575" s="297"/>
      <c r="X575" s="298"/>
      <c r="Y575" s="292" t="str">
        <f t="shared" si="69"/>
        <v/>
      </c>
      <c r="Z575" s="366">
        <f t="shared" si="70"/>
        <v>0</v>
      </c>
      <c r="AA575" s="299" t="str">
        <f t="shared" si="71"/>
        <v/>
      </c>
      <c r="AB575" s="300"/>
      <c r="AC575" s="301"/>
      <c r="AD575" s="302"/>
      <c r="AE575" s="303"/>
      <c r="AF575" s="304"/>
      <c r="AG575" s="304"/>
      <c r="AH575" s="304"/>
      <c r="AI575" s="304"/>
      <c r="AJ575" s="304"/>
      <c r="AK575" s="305"/>
      <c r="AL575" s="283"/>
      <c r="AM575" s="284"/>
    </row>
    <row r="576" ht="15.75" customHeight="1">
      <c r="A576" s="282">
        <f t="shared" si="1"/>
        <v>572</v>
      </c>
      <c r="B576" s="283"/>
      <c r="C576" s="284"/>
      <c r="D576" s="338"/>
      <c r="E576" s="286"/>
      <c r="F576" s="287"/>
      <c r="G576" s="288" t="str">
        <f>+IFERROR(VLOOKUP(F576,NVL!$B:$C,2,0),"")</f>
        <v/>
      </c>
      <c r="H576" s="288" t="str">
        <f>+IFERROR(VLOOKUP(F576,NVL!$B:$D,3,0),"")</f>
        <v/>
      </c>
      <c r="I576" s="288" t="str">
        <f>+IFERROR(VLOOKUP(F576,NVL!$B:$F,4,0),"")</f>
        <v/>
      </c>
      <c r="J576" s="289"/>
      <c r="K576" s="290"/>
      <c r="L576" s="291" t="str">
        <f>+IFERROR(VLOOKUP(K576,'THÀNH PHẨM'!$B:$F,3,0),"")</f>
        <v/>
      </c>
      <c r="M576" s="291" t="str">
        <f>+IFERROR(VLOOKUP(K576,'THÀNH PHẨM'!$B:$F,4,0),"")</f>
        <v/>
      </c>
      <c r="N576" s="291" t="str">
        <f>+IFERROR(VLOOKUP(K576,'THÀNH PHẨM'!$B:$F,5,0),"")</f>
        <v/>
      </c>
      <c r="O576" s="289"/>
      <c r="P576" s="292">
        <f t="shared" si="2"/>
        <v>0</v>
      </c>
      <c r="Q576" s="289"/>
      <c r="R576" s="289"/>
      <c r="S576" s="293">
        <f t="shared" si="62"/>
        <v>0</v>
      </c>
      <c r="T576" s="294"/>
      <c r="U576" s="295">
        <f t="shared" si="68"/>
        <v>0</v>
      </c>
      <c r="V576" s="296"/>
      <c r="W576" s="297"/>
      <c r="X576" s="298"/>
      <c r="Y576" s="292" t="str">
        <f t="shared" si="69"/>
        <v/>
      </c>
      <c r="Z576" s="366">
        <f t="shared" si="70"/>
        <v>0</v>
      </c>
      <c r="AA576" s="299" t="str">
        <f t="shared" si="71"/>
        <v/>
      </c>
      <c r="AB576" s="300"/>
      <c r="AC576" s="301"/>
      <c r="AD576" s="302"/>
      <c r="AE576" s="303"/>
      <c r="AF576" s="304"/>
      <c r="AG576" s="304"/>
      <c r="AH576" s="304"/>
      <c r="AI576" s="304"/>
      <c r="AJ576" s="304"/>
      <c r="AK576" s="305"/>
      <c r="AL576" s="283"/>
      <c r="AM576" s="284"/>
    </row>
    <row r="577" ht="15.75" customHeight="1">
      <c r="A577" s="282">
        <f t="shared" si="1"/>
        <v>573</v>
      </c>
      <c r="B577" s="283"/>
      <c r="C577" s="284"/>
      <c r="D577" s="338"/>
      <c r="E577" s="286"/>
      <c r="F577" s="287"/>
      <c r="G577" s="288" t="str">
        <f>+IFERROR(VLOOKUP(F577,NVL!$B:$C,2,0),"")</f>
        <v/>
      </c>
      <c r="H577" s="288" t="str">
        <f>+IFERROR(VLOOKUP(F577,NVL!$B:$D,3,0),"")</f>
        <v/>
      </c>
      <c r="I577" s="288" t="str">
        <f>+IFERROR(VLOOKUP(F577,NVL!$B:$F,4,0),"")</f>
        <v/>
      </c>
      <c r="J577" s="289"/>
      <c r="K577" s="290"/>
      <c r="L577" s="291" t="str">
        <f>+IFERROR(VLOOKUP(K577,'THÀNH PHẨM'!$B:$F,3,0),"")</f>
        <v/>
      </c>
      <c r="M577" s="291" t="str">
        <f>+IFERROR(VLOOKUP(K577,'THÀNH PHẨM'!$B:$F,4,0),"")</f>
        <v/>
      </c>
      <c r="N577" s="291" t="str">
        <f>+IFERROR(VLOOKUP(K577,'THÀNH PHẨM'!$B:$F,5,0),"")</f>
        <v/>
      </c>
      <c r="O577" s="289"/>
      <c r="P577" s="292">
        <f t="shared" si="2"/>
        <v>0</v>
      </c>
      <c r="Q577" s="289"/>
      <c r="R577" s="289"/>
      <c r="S577" s="293">
        <f t="shared" si="62"/>
        <v>0</v>
      </c>
      <c r="T577" s="294"/>
      <c r="U577" s="295">
        <f t="shared" si="68"/>
        <v>0</v>
      </c>
      <c r="V577" s="296"/>
      <c r="W577" s="297"/>
      <c r="X577" s="298"/>
      <c r="Y577" s="292" t="str">
        <f t="shared" si="69"/>
        <v/>
      </c>
      <c r="Z577" s="366">
        <f t="shared" si="70"/>
        <v>0</v>
      </c>
      <c r="AA577" s="299" t="str">
        <f t="shared" si="71"/>
        <v/>
      </c>
      <c r="AB577" s="300"/>
      <c r="AC577" s="301"/>
      <c r="AD577" s="302"/>
      <c r="AE577" s="303"/>
      <c r="AF577" s="304"/>
      <c r="AG577" s="304"/>
      <c r="AH577" s="304"/>
      <c r="AI577" s="304"/>
      <c r="AJ577" s="304"/>
      <c r="AK577" s="305"/>
      <c r="AL577" s="283"/>
      <c r="AM577" s="284"/>
    </row>
    <row r="578" ht="15.75" customHeight="1">
      <c r="A578" s="282">
        <f t="shared" si="1"/>
        <v>574</v>
      </c>
      <c r="B578" s="283"/>
      <c r="C578" s="284"/>
      <c r="D578" s="338"/>
      <c r="E578" s="286"/>
      <c r="F578" s="287"/>
      <c r="G578" s="288" t="str">
        <f>+IFERROR(VLOOKUP(F578,NVL!$B:$C,2,0),"")</f>
        <v/>
      </c>
      <c r="H578" s="288" t="str">
        <f>+IFERROR(VLOOKUP(F578,NVL!$B:$D,3,0),"")</f>
        <v/>
      </c>
      <c r="I578" s="288" t="str">
        <f>+IFERROR(VLOOKUP(F578,NVL!$B:$F,4,0),"")</f>
        <v/>
      </c>
      <c r="J578" s="289"/>
      <c r="K578" s="290"/>
      <c r="L578" s="291" t="str">
        <f>+IFERROR(VLOOKUP(K578,'THÀNH PHẨM'!$B:$F,3,0),"")</f>
        <v/>
      </c>
      <c r="M578" s="291" t="str">
        <f>+IFERROR(VLOOKUP(K578,'THÀNH PHẨM'!$B:$F,4,0),"")</f>
        <v/>
      </c>
      <c r="N578" s="291" t="str">
        <f>+IFERROR(VLOOKUP(K578,'THÀNH PHẨM'!$B:$F,5,0),"")</f>
        <v/>
      </c>
      <c r="O578" s="289"/>
      <c r="P578" s="292">
        <f t="shared" si="2"/>
        <v>0</v>
      </c>
      <c r="Q578" s="289"/>
      <c r="R578" s="289"/>
      <c r="S578" s="293">
        <f t="shared" si="62"/>
        <v>0</v>
      </c>
      <c r="T578" s="294"/>
      <c r="U578" s="295">
        <f t="shared" si="68"/>
        <v>0</v>
      </c>
      <c r="V578" s="296"/>
      <c r="W578" s="297"/>
      <c r="X578" s="298"/>
      <c r="Y578" s="292" t="str">
        <f t="shared" si="69"/>
        <v/>
      </c>
      <c r="Z578" s="366">
        <f t="shared" si="70"/>
        <v>0</v>
      </c>
      <c r="AA578" s="299" t="str">
        <f t="shared" si="71"/>
        <v/>
      </c>
      <c r="AB578" s="300"/>
      <c r="AC578" s="301"/>
      <c r="AD578" s="302"/>
      <c r="AE578" s="303"/>
      <c r="AF578" s="304"/>
      <c r="AG578" s="304"/>
      <c r="AH578" s="304"/>
      <c r="AI578" s="304"/>
      <c r="AJ578" s="304"/>
      <c r="AK578" s="305"/>
      <c r="AL578" s="283"/>
      <c r="AM578" s="284"/>
    </row>
    <row r="579" ht="15.75" customHeight="1">
      <c r="A579" s="282">
        <f t="shared" si="1"/>
        <v>575</v>
      </c>
      <c r="B579" s="283"/>
      <c r="C579" s="284"/>
      <c r="D579" s="338"/>
      <c r="E579" s="286"/>
      <c r="F579" s="287"/>
      <c r="G579" s="288" t="str">
        <f>+IFERROR(VLOOKUP(F579,NVL!$B:$C,2,0),"")</f>
        <v/>
      </c>
      <c r="H579" s="288" t="str">
        <f>+IFERROR(VLOOKUP(F579,NVL!$B:$D,3,0),"")</f>
        <v/>
      </c>
      <c r="I579" s="288" t="str">
        <f>+IFERROR(VLOOKUP(F579,NVL!$B:$F,4,0),"")</f>
        <v/>
      </c>
      <c r="J579" s="289"/>
      <c r="K579" s="290"/>
      <c r="L579" s="291" t="str">
        <f>+IFERROR(VLOOKUP(K579,'THÀNH PHẨM'!$B:$F,3,0),"")</f>
        <v/>
      </c>
      <c r="M579" s="291" t="str">
        <f>+IFERROR(VLOOKUP(K579,'THÀNH PHẨM'!$B:$F,4,0),"")</f>
        <v/>
      </c>
      <c r="N579" s="291" t="str">
        <f>+IFERROR(VLOOKUP(K579,'THÀNH PHẨM'!$B:$F,5,0),"")</f>
        <v/>
      </c>
      <c r="O579" s="289"/>
      <c r="P579" s="292">
        <f t="shared" si="2"/>
        <v>0</v>
      </c>
      <c r="Q579" s="289"/>
      <c r="R579" s="289"/>
      <c r="S579" s="293">
        <f t="shared" si="62"/>
        <v>0</v>
      </c>
      <c r="T579" s="294"/>
      <c r="U579" s="295">
        <f t="shared" si="68"/>
        <v>0</v>
      </c>
      <c r="V579" s="296"/>
      <c r="W579" s="297"/>
      <c r="X579" s="298"/>
      <c r="Y579" s="292" t="str">
        <f t="shared" si="69"/>
        <v/>
      </c>
      <c r="Z579" s="366">
        <f t="shared" si="70"/>
        <v>0</v>
      </c>
      <c r="AA579" s="299" t="str">
        <f t="shared" si="71"/>
        <v/>
      </c>
      <c r="AB579" s="300"/>
      <c r="AC579" s="301"/>
      <c r="AD579" s="302"/>
      <c r="AE579" s="303"/>
      <c r="AF579" s="304"/>
      <c r="AG579" s="304"/>
      <c r="AH579" s="304"/>
      <c r="AI579" s="304"/>
      <c r="AJ579" s="304"/>
      <c r="AK579" s="305"/>
      <c r="AL579" s="283"/>
      <c r="AM579" s="284"/>
    </row>
    <row r="580" ht="15.75" customHeight="1">
      <c r="A580" s="282">
        <f t="shared" si="1"/>
        <v>576</v>
      </c>
      <c r="B580" s="283"/>
      <c r="C580" s="284"/>
      <c r="D580" s="338"/>
      <c r="E580" s="286"/>
      <c r="F580" s="287"/>
      <c r="G580" s="288" t="str">
        <f>+IFERROR(VLOOKUP(F580,NVL!$B:$C,2,0),"")</f>
        <v/>
      </c>
      <c r="H580" s="288" t="str">
        <f>+IFERROR(VLOOKUP(F580,NVL!$B:$D,3,0),"")</f>
        <v/>
      </c>
      <c r="I580" s="288" t="str">
        <f>+IFERROR(VLOOKUP(F580,NVL!$B:$F,4,0),"")</f>
        <v/>
      </c>
      <c r="J580" s="289"/>
      <c r="K580" s="290"/>
      <c r="L580" s="291" t="str">
        <f>+IFERROR(VLOOKUP(K580,'THÀNH PHẨM'!$B:$F,3,0),"")</f>
        <v/>
      </c>
      <c r="M580" s="291" t="str">
        <f>+IFERROR(VLOOKUP(K580,'THÀNH PHẨM'!$B:$F,4,0),"")</f>
        <v/>
      </c>
      <c r="N580" s="291" t="str">
        <f>+IFERROR(VLOOKUP(K580,'THÀNH PHẨM'!$B:$F,5,0),"")</f>
        <v/>
      </c>
      <c r="O580" s="289"/>
      <c r="P580" s="292">
        <f t="shared" si="2"/>
        <v>0</v>
      </c>
      <c r="Q580" s="289"/>
      <c r="R580" s="289"/>
      <c r="S580" s="293">
        <f t="shared" si="62"/>
        <v>0</v>
      </c>
      <c r="T580" s="294"/>
      <c r="U580" s="295">
        <f t="shared" si="68"/>
        <v>0</v>
      </c>
      <c r="V580" s="296"/>
      <c r="W580" s="297"/>
      <c r="X580" s="298"/>
      <c r="Y580" s="292" t="str">
        <f t="shared" si="69"/>
        <v/>
      </c>
      <c r="Z580" s="366">
        <f t="shared" si="70"/>
        <v>0</v>
      </c>
      <c r="AA580" s="299" t="str">
        <f t="shared" si="71"/>
        <v/>
      </c>
      <c r="AB580" s="300"/>
      <c r="AC580" s="301"/>
      <c r="AD580" s="302"/>
      <c r="AE580" s="303"/>
      <c r="AF580" s="304"/>
      <c r="AG580" s="304"/>
      <c r="AH580" s="304"/>
      <c r="AI580" s="304"/>
      <c r="AJ580" s="304"/>
      <c r="AK580" s="305"/>
      <c r="AL580" s="283"/>
      <c r="AM580" s="284"/>
    </row>
    <row r="581" ht="15.75" customHeight="1">
      <c r="A581" s="282">
        <f t="shared" si="1"/>
        <v>577</v>
      </c>
      <c r="B581" s="283"/>
      <c r="C581" s="284"/>
      <c r="D581" s="338"/>
      <c r="E581" s="286"/>
      <c r="F581" s="287"/>
      <c r="G581" s="288" t="str">
        <f>+IFERROR(VLOOKUP(F581,NVL!$B:$C,2,0),"")</f>
        <v/>
      </c>
      <c r="H581" s="288" t="str">
        <f>+IFERROR(VLOOKUP(F581,NVL!$B:$D,3,0),"")</f>
        <v/>
      </c>
      <c r="I581" s="288" t="str">
        <f>+IFERROR(VLOOKUP(F581,NVL!$B:$F,4,0),"")</f>
        <v/>
      </c>
      <c r="J581" s="289"/>
      <c r="K581" s="290"/>
      <c r="L581" s="291" t="str">
        <f>+IFERROR(VLOOKUP(K581,'THÀNH PHẨM'!$B:$F,3,0),"")</f>
        <v/>
      </c>
      <c r="M581" s="291" t="str">
        <f>+IFERROR(VLOOKUP(K581,'THÀNH PHẨM'!$B:$F,4,0),"")</f>
        <v/>
      </c>
      <c r="N581" s="291" t="str">
        <f>+IFERROR(VLOOKUP(K581,'THÀNH PHẨM'!$B:$F,5,0),"")</f>
        <v/>
      </c>
      <c r="O581" s="289"/>
      <c r="P581" s="292">
        <f t="shared" si="2"/>
        <v>0</v>
      </c>
      <c r="Q581" s="289"/>
      <c r="R581" s="289"/>
      <c r="S581" s="293">
        <f t="shared" si="62"/>
        <v>0</v>
      </c>
      <c r="T581" s="294"/>
      <c r="U581" s="295">
        <f t="shared" si="68"/>
        <v>0</v>
      </c>
      <c r="V581" s="296"/>
      <c r="W581" s="297"/>
      <c r="X581" s="298"/>
      <c r="Y581" s="292" t="str">
        <f t="shared" si="69"/>
        <v/>
      </c>
      <c r="Z581" s="366">
        <f t="shared" si="70"/>
        <v>0</v>
      </c>
      <c r="AA581" s="299" t="str">
        <f t="shared" si="71"/>
        <v/>
      </c>
      <c r="AB581" s="300"/>
      <c r="AC581" s="301"/>
      <c r="AD581" s="302"/>
      <c r="AE581" s="303"/>
      <c r="AF581" s="304"/>
      <c r="AG581" s="304"/>
      <c r="AH581" s="304"/>
      <c r="AI581" s="304"/>
      <c r="AJ581" s="304"/>
      <c r="AK581" s="305"/>
      <c r="AL581" s="283"/>
      <c r="AM581" s="284"/>
    </row>
    <row r="582" ht="15.75" customHeight="1">
      <c r="A582" s="282">
        <f t="shared" si="1"/>
        <v>578</v>
      </c>
      <c r="B582" s="283"/>
      <c r="C582" s="284"/>
      <c r="D582" s="338"/>
      <c r="E582" s="286"/>
      <c r="F582" s="287"/>
      <c r="G582" s="288" t="str">
        <f>+IFERROR(VLOOKUP(F582,NVL!$B:$C,2,0),"")</f>
        <v/>
      </c>
      <c r="H582" s="288" t="str">
        <f>+IFERROR(VLOOKUP(F582,NVL!$B:$D,3,0),"")</f>
        <v/>
      </c>
      <c r="I582" s="288" t="str">
        <f>+IFERROR(VLOOKUP(F582,NVL!$B:$F,4,0),"")</f>
        <v/>
      </c>
      <c r="J582" s="289"/>
      <c r="K582" s="290"/>
      <c r="L582" s="291" t="str">
        <f>+IFERROR(VLOOKUP(K582,'THÀNH PHẨM'!$B:$F,3,0),"")</f>
        <v/>
      </c>
      <c r="M582" s="291" t="str">
        <f>+IFERROR(VLOOKUP(K582,'THÀNH PHẨM'!$B:$F,4,0),"")</f>
        <v/>
      </c>
      <c r="N582" s="291" t="str">
        <f>+IFERROR(VLOOKUP(K582,'THÀNH PHẨM'!$B:$F,5,0),"")</f>
        <v/>
      </c>
      <c r="O582" s="289"/>
      <c r="P582" s="292">
        <f t="shared" si="2"/>
        <v>0</v>
      </c>
      <c r="Q582" s="289"/>
      <c r="R582" s="289"/>
      <c r="S582" s="293">
        <f t="shared" si="62"/>
        <v>0</v>
      </c>
      <c r="T582" s="294"/>
      <c r="U582" s="295">
        <f t="shared" si="68"/>
        <v>0</v>
      </c>
      <c r="V582" s="296"/>
      <c r="W582" s="297"/>
      <c r="X582" s="298"/>
      <c r="Y582" s="292" t="str">
        <f t="shared" si="69"/>
        <v/>
      </c>
      <c r="Z582" s="366">
        <f t="shared" si="70"/>
        <v>0</v>
      </c>
      <c r="AA582" s="299" t="str">
        <f t="shared" si="71"/>
        <v/>
      </c>
      <c r="AB582" s="300"/>
      <c r="AC582" s="301"/>
      <c r="AD582" s="302"/>
      <c r="AE582" s="303"/>
      <c r="AF582" s="304"/>
      <c r="AG582" s="304"/>
      <c r="AH582" s="304"/>
      <c r="AI582" s="304"/>
      <c r="AJ582" s="304"/>
      <c r="AK582" s="305"/>
      <c r="AL582" s="283"/>
      <c r="AM582" s="284"/>
    </row>
    <row r="583" ht="15.75" customHeight="1">
      <c r="A583" s="282">
        <f t="shared" si="1"/>
        <v>579</v>
      </c>
      <c r="B583" s="283"/>
      <c r="C583" s="284"/>
      <c r="D583" s="338"/>
      <c r="E583" s="286"/>
      <c r="F583" s="287"/>
      <c r="G583" s="288" t="str">
        <f>+IFERROR(VLOOKUP(F583,NVL!$B:$C,2,0),"")</f>
        <v/>
      </c>
      <c r="H583" s="288" t="str">
        <f>+IFERROR(VLOOKUP(F583,NVL!$B:$D,3,0),"")</f>
        <v/>
      </c>
      <c r="I583" s="288" t="str">
        <f>+IFERROR(VLOOKUP(F583,NVL!$B:$F,4,0),"")</f>
        <v/>
      </c>
      <c r="J583" s="289"/>
      <c r="K583" s="290"/>
      <c r="L583" s="291" t="str">
        <f>+IFERROR(VLOOKUP(K583,'THÀNH PHẨM'!$B:$F,3,0),"")</f>
        <v/>
      </c>
      <c r="M583" s="291" t="str">
        <f>+IFERROR(VLOOKUP(K583,'THÀNH PHẨM'!$B:$F,4,0),"")</f>
        <v/>
      </c>
      <c r="N583" s="291" t="str">
        <f>+IFERROR(VLOOKUP(K583,'THÀNH PHẨM'!$B:$F,5,0),"")</f>
        <v/>
      </c>
      <c r="O583" s="289"/>
      <c r="P583" s="292">
        <f t="shared" si="2"/>
        <v>0</v>
      </c>
      <c r="Q583" s="289"/>
      <c r="R583" s="289"/>
      <c r="S583" s="293">
        <f t="shared" si="62"/>
        <v>0</v>
      </c>
      <c r="T583" s="294"/>
      <c r="U583" s="295">
        <f t="shared" si="68"/>
        <v>0</v>
      </c>
      <c r="V583" s="296"/>
      <c r="W583" s="297"/>
      <c r="X583" s="298"/>
      <c r="Y583" s="292" t="str">
        <f t="shared" si="69"/>
        <v/>
      </c>
      <c r="Z583" s="366">
        <f t="shared" si="70"/>
        <v>0</v>
      </c>
      <c r="AA583" s="299" t="str">
        <f t="shared" si="71"/>
        <v/>
      </c>
      <c r="AB583" s="300"/>
      <c r="AC583" s="301"/>
      <c r="AD583" s="302"/>
      <c r="AE583" s="303"/>
      <c r="AF583" s="304"/>
      <c r="AG583" s="304"/>
      <c r="AH583" s="304"/>
      <c r="AI583" s="304"/>
      <c r="AJ583" s="304"/>
      <c r="AK583" s="305"/>
      <c r="AL583" s="283"/>
      <c r="AM583" s="284"/>
    </row>
    <row r="584" ht="15.75" customHeight="1">
      <c r="A584" s="282">
        <f t="shared" si="1"/>
        <v>580</v>
      </c>
      <c r="B584" s="283"/>
      <c r="C584" s="284"/>
      <c r="D584" s="338"/>
      <c r="E584" s="286"/>
      <c r="F584" s="287"/>
      <c r="G584" s="288" t="str">
        <f>+IFERROR(VLOOKUP(F584,NVL!$B:$C,2,0),"")</f>
        <v/>
      </c>
      <c r="H584" s="288" t="str">
        <f>+IFERROR(VLOOKUP(F584,NVL!$B:$D,3,0),"")</f>
        <v/>
      </c>
      <c r="I584" s="288" t="str">
        <f>+IFERROR(VLOOKUP(F584,NVL!$B:$F,4,0),"")</f>
        <v/>
      </c>
      <c r="J584" s="289"/>
      <c r="K584" s="290"/>
      <c r="L584" s="291" t="str">
        <f>+IFERROR(VLOOKUP(K584,'THÀNH PHẨM'!$B:$F,3,0),"")</f>
        <v/>
      </c>
      <c r="M584" s="291" t="str">
        <f>+IFERROR(VLOOKUP(K584,'THÀNH PHẨM'!$B:$F,4,0),"")</f>
        <v/>
      </c>
      <c r="N584" s="291" t="str">
        <f>+IFERROR(VLOOKUP(K584,'THÀNH PHẨM'!$B:$F,5,0),"")</f>
        <v/>
      </c>
      <c r="O584" s="289"/>
      <c r="P584" s="292">
        <f t="shared" si="2"/>
        <v>0</v>
      </c>
      <c r="Q584" s="289"/>
      <c r="R584" s="289"/>
      <c r="S584" s="293">
        <f t="shared" si="62"/>
        <v>0</v>
      </c>
      <c r="T584" s="294"/>
      <c r="U584" s="295">
        <f t="shared" si="68"/>
        <v>0</v>
      </c>
      <c r="V584" s="296"/>
      <c r="W584" s="297"/>
      <c r="X584" s="298"/>
      <c r="Y584" s="292" t="str">
        <f t="shared" si="69"/>
        <v/>
      </c>
      <c r="Z584" s="366">
        <f t="shared" si="70"/>
        <v>0</v>
      </c>
      <c r="AA584" s="299" t="str">
        <f t="shared" si="71"/>
        <v/>
      </c>
      <c r="AB584" s="300"/>
      <c r="AC584" s="301"/>
      <c r="AD584" s="302"/>
      <c r="AE584" s="303"/>
      <c r="AF584" s="304"/>
      <c r="AG584" s="304"/>
      <c r="AH584" s="304"/>
      <c r="AI584" s="304"/>
      <c r="AJ584" s="304"/>
      <c r="AK584" s="305"/>
      <c r="AL584" s="283"/>
      <c r="AM584" s="284"/>
    </row>
    <row r="585" ht="15.75" customHeight="1">
      <c r="A585" s="282">
        <f t="shared" si="1"/>
        <v>581</v>
      </c>
      <c r="B585" s="283"/>
      <c r="C585" s="284"/>
      <c r="D585" s="338"/>
      <c r="E585" s="286"/>
      <c r="F585" s="287"/>
      <c r="G585" s="288" t="str">
        <f>+IFERROR(VLOOKUP(F585,NVL!$B:$C,2,0),"")</f>
        <v/>
      </c>
      <c r="H585" s="288" t="str">
        <f>+IFERROR(VLOOKUP(F585,NVL!$B:$D,3,0),"")</f>
        <v/>
      </c>
      <c r="I585" s="288" t="str">
        <f>+IFERROR(VLOOKUP(F585,NVL!$B:$F,4,0),"")</f>
        <v/>
      </c>
      <c r="J585" s="289"/>
      <c r="K585" s="290"/>
      <c r="L585" s="291" t="str">
        <f>+IFERROR(VLOOKUP(K585,'THÀNH PHẨM'!$B:$F,3,0),"")</f>
        <v/>
      </c>
      <c r="M585" s="291" t="str">
        <f>+IFERROR(VLOOKUP(K585,'THÀNH PHẨM'!$B:$F,4,0),"")</f>
        <v/>
      </c>
      <c r="N585" s="291" t="str">
        <f>+IFERROR(VLOOKUP(K585,'THÀNH PHẨM'!$B:$F,5,0),"")</f>
        <v/>
      </c>
      <c r="O585" s="289"/>
      <c r="P585" s="292">
        <f t="shared" si="2"/>
        <v>0</v>
      </c>
      <c r="Q585" s="289"/>
      <c r="R585" s="289"/>
      <c r="S585" s="293">
        <f t="shared" si="62"/>
        <v>0</v>
      </c>
      <c r="T585" s="294"/>
      <c r="U585" s="295">
        <f t="shared" si="68"/>
        <v>0</v>
      </c>
      <c r="V585" s="296"/>
      <c r="W585" s="297"/>
      <c r="X585" s="298"/>
      <c r="Y585" s="292" t="str">
        <f t="shared" si="69"/>
        <v/>
      </c>
      <c r="Z585" s="366">
        <f t="shared" si="70"/>
        <v>0</v>
      </c>
      <c r="AA585" s="299" t="str">
        <f t="shared" si="71"/>
        <v/>
      </c>
      <c r="AB585" s="300"/>
      <c r="AC585" s="301"/>
      <c r="AD585" s="302"/>
      <c r="AE585" s="303"/>
      <c r="AF585" s="304"/>
      <c r="AG585" s="304"/>
      <c r="AH585" s="304"/>
      <c r="AI585" s="304"/>
      <c r="AJ585" s="304"/>
      <c r="AK585" s="305"/>
      <c r="AL585" s="283"/>
      <c r="AM585" s="284"/>
    </row>
    <row r="586" ht="15.75" customHeight="1">
      <c r="A586" s="282">
        <f t="shared" si="1"/>
        <v>582</v>
      </c>
      <c r="B586" s="283"/>
      <c r="C586" s="284"/>
      <c r="D586" s="338"/>
      <c r="E586" s="286"/>
      <c r="F586" s="287"/>
      <c r="G586" s="288" t="str">
        <f>+IFERROR(VLOOKUP(F586,NVL!$B:$C,2,0),"")</f>
        <v/>
      </c>
      <c r="H586" s="288" t="str">
        <f>+IFERROR(VLOOKUP(F586,NVL!$B:$D,3,0),"")</f>
        <v/>
      </c>
      <c r="I586" s="288" t="str">
        <f>+IFERROR(VLOOKUP(F586,NVL!$B:$F,4,0),"")</f>
        <v/>
      </c>
      <c r="J586" s="289"/>
      <c r="K586" s="290"/>
      <c r="L586" s="291" t="str">
        <f>+IFERROR(VLOOKUP(K586,'THÀNH PHẨM'!$B:$F,3,0),"")</f>
        <v/>
      </c>
      <c r="M586" s="291" t="str">
        <f>+IFERROR(VLOOKUP(K586,'THÀNH PHẨM'!$B:$F,4,0),"")</f>
        <v/>
      </c>
      <c r="N586" s="291" t="str">
        <f>+IFERROR(VLOOKUP(K586,'THÀNH PHẨM'!$B:$F,5,0),"")</f>
        <v/>
      </c>
      <c r="O586" s="289"/>
      <c r="P586" s="292">
        <f t="shared" si="2"/>
        <v>0</v>
      </c>
      <c r="Q586" s="289"/>
      <c r="R586" s="289"/>
      <c r="S586" s="293">
        <f t="shared" si="62"/>
        <v>0</v>
      </c>
      <c r="T586" s="294"/>
      <c r="U586" s="295">
        <f t="shared" si="68"/>
        <v>0</v>
      </c>
      <c r="V586" s="296"/>
      <c r="W586" s="297"/>
      <c r="X586" s="298"/>
      <c r="Y586" s="292" t="str">
        <f t="shared" si="69"/>
        <v/>
      </c>
      <c r="Z586" s="366">
        <f t="shared" si="70"/>
        <v>0</v>
      </c>
      <c r="AA586" s="299" t="str">
        <f t="shared" si="71"/>
        <v/>
      </c>
      <c r="AB586" s="300"/>
      <c r="AC586" s="301"/>
      <c r="AD586" s="302"/>
      <c r="AE586" s="303"/>
      <c r="AF586" s="304"/>
      <c r="AG586" s="304"/>
      <c r="AH586" s="304"/>
      <c r="AI586" s="304"/>
      <c r="AJ586" s="304"/>
      <c r="AK586" s="305"/>
      <c r="AL586" s="283"/>
      <c r="AM586" s="284"/>
    </row>
    <row r="587" ht="15.75" customHeight="1">
      <c r="A587" s="282">
        <f t="shared" si="1"/>
        <v>583</v>
      </c>
      <c r="B587" s="283"/>
      <c r="C587" s="284"/>
      <c r="D587" s="338"/>
      <c r="E587" s="286"/>
      <c r="F587" s="287"/>
      <c r="G587" s="288" t="str">
        <f>+IFERROR(VLOOKUP(F587,NVL!$B:$C,2,0),"")</f>
        <v/>
      </c>
      <c r="H587" s="288" t="str">
        <f>+IFERROR(VLOOKUP(F587,NVL!$B:$D,3,0),"")</f>
        <v/>
      </c>
      <c r="I587" s="288" t="str">
        <f>+IFERROR(VLOOKUP(F587,NVL!$B:$F,4,0),"")</f>
        <v/>
      </c>
      <c r="J587" s="289"/>
      <c r="K587" s="290"/>
      <c r="L587" s="291" t="str">
        <f>+IFERROR(VLOOKUP(K587,'THÀNH PHẨM'!$B:$F,3,0),"")</f>
        <v/>
      </c>
      <c r="M587" s="291" t="str">
        <f>+IFERROR(VLOOKUP(K587,'THÀNH PHẨM'!$B:$F,4,0),"")</f>
        <v/>
      </c>
      <c r="N587" s="291" t="str">
        <f>+IFERROR(VLOOKUP(K587,'THÀNH PHẨM'!$B:$F,5,0),"")</f>
        <v/>
      </c>
      <c r="O587" s="289"/>
      <c r="P587" s="292">
        <f t="shared" si="2"/>
        <v>0</v>
      </c>
      <c r="Q587" s="289"/>
      <c r="R587" s="289"/>
      <c r="S587" s="293">
        <f t="shared" si="62"/>
        <v>0</v>
      </c>
      <c r="T587" s="294"/>
      <c r="U587" s="295">
        <f t="shared" si="68"/>
        <v>0</v>
      </c>
      <c r="V587" s="296"/>
      <c r="W587" s="297"/>
      <c r="X587" s="298"/>
      <c r="Y587" s="292" t="str">
        <f t="shared" si="69"/>
        <v/>
      </c>
      <c r="Z587" s="366">
        <f t="shared" si="70"/>
        <v>0</v>
      </c>
      <c r="AA587" s="299" t="str">
        <f t="shared" si="71"/>
        <v/>
      </c>
      <c r="AB587" s="300"/>
      <c r="AC587" s="301"/>
      <c r="AD587" s="302"/>
      <c r="AE587" s="303"/>
      <c r="AF587" s="304"/>
      <c r="AG587" s="304"/>
      <c r="AH587" s="304"/>
      <c r="AI587" s="304"/>
      <c r="AJ587" s="304"/>
      <c r="AK587" s="305"/>
      <c r="AL587" s="283"/>
      <c r="AM587" s="284"/>
    </row>
    <row r="588" ht="15.75" customHeight="1">
      <c r="A588" s="282">
        <f t="shared" si="1"/>
        <v>584</v>
      </c>
      <c r="B588" s="283"/>
      <c r="C588" s="284"/>
      <c r="D588" s="338"/>
      <c r="E588" s="286"/>
      <c r="F588" s="287"/>
      <c r="G588" s="288" t="str">
        <f>+IFERROR(VLOOKUP(F588,NVL!$B:$C,2,0),"")</f>
        <v/>
      </c>
      <c r="H588" s="288" t="str">
        <f>+IFERROR(VLOOKUP(F588,NVL!$B:$D,3,0),"")</f>
        <v/>
      </c>
      <c r="I588" s="288" t="str">
        <f>+IFERROR(VLOOKUP(F588,NVL!$B:$F,4,0),"")</f>
        <v/>
      </c>
      <c r="J588" s="289"/>
      <c r="K588" s="290"/>
      <c r="L588" s="291" t="str">
        <f>+IFERROR(VLOOKUP(K588,'THÀNH PHẨM'!$B:$F,3,0),"")</f>
        <v/>
      </c>
      <c r="M588" s="291" t="str">
        <f>+IFERROR(VLOOKUP(K588,'THÀNH PHẨM'!$B:$F,4,0),"")</f>
        <v/>
      </c>
      <c r="N588" s="291" t="str">
        <f>+IFERROR(VLOOKUP(K588,'THÀNH PHẨM'!$B:$F,5,0),"")</f>
        <v/>
      </c>
      <c r="O588" s="289"/>
      <c r="P588" s="292">
        <f t="shared" si="2"/>
        <v>0</v>
      </c>
      <c r="Q588" s="289"/>
      <c r="R588" s="289"/>
      <c r="S588" s="293">
        <f t="shared" si="62"/>
        <v>0</v>
      </c>
      <c r="T588" s="294"/>
      <c r="U588" s="295">
        <f t="shared" si="68"/>
        <v>0</v>
      </c>
      <c r="V588" s="296"/>
      <c r="W588" s="297"/>
      <c r="X588" s="298"/>
      <c r="Y588" s="292" t="str">
        <f t="shared" si="69"/>
        <v/>
      </c>
      <c r="Z588" s="366">
        <f t="shared" si="70"/>
        <v>0</v>
      </c>
      <c r="AA588" s="299" t="str">
        <f t="shared" si="71"/>
        <v/>
      </c>
      <c r="AB588" s="300"/>
      <c r="AC588" s="301"/>
      <c r="AD588" s="302"/>
      <c r="AE588" s="303"/>
      <c r="AF588" s="304"/>
      <c r="AG588" s="304"/>
      <c r="AH588" s="304"/>
      <c r="AI588" s="304"/>
      <c r="AJ588" s="304"/>
      <c r="AK588" s="305"/>
      <c r="AL588" s="283"/>
      <c r="AM588" s="284"/>
    </row>
    <row r="589" ht="15.75" customHeight="1">
      <c r="A589" s="282">
        <f t="shared" si="1"/>
        <v>585</v>
      </c>
      <c r="B589" s="283"/>
      <c r="C589" s="284"/>
      <c r="D589" s="338"/>
      <c r="E589" s="286"/>
      <c r="F589" s="287"/>
      <c r="G589" s="288" t="str">
        <f>+IFERROR(VLOOKUP(F589,NVL!$B:$C,2,0),"")</f>
        <v/>
      </c>
      <c r="H589" s="288" t="str">
        <f>+IFERROR(VLOOKUP(F589,NVL!$B:$D,3,0),"")</f>
        <v/>
      </c>
      <c r="I589" s="288" t="str">
        <f>+IFERROR(VLOOKUP(F589,NVL!$B:$F,4,0),"")</f>
        <v/>
      </c>
      <c r="J589" s="289"/>
      <c r="K589" s="290"/>
      <c r="L589" s="291" t="str">
        <f>+IFERROR(VLOOKUP(K589,'THÀNH PHẨM'!$B:$F,3,0),"")</f>
        <v/>
      </c>
      <c r="M589" s="291" t="str">
        <f>+IFERROR(VLOOKUP(K589,'THÀNH PHẨM'!$B:$F,4,0),"")</f>
        <v/>
      </c>
      <c r="N589" s="291" t="str">
        <f>+IFERROR(VLOOKUP(K589,'THÀNH PHẨM'!$B:$F,5,0),"")</f>
        <v/>
      </c>
      <c r="O589" s="289"/>
      <c r="P589" s="292">
        <f t="shared" si="2"/>
        <v>0</v>
      </c>
      <c r="Q589" s="289"/>
      <c r="R589" s="289"/>
      <c r="S589" s="293">
        <f t="shared" si="62"/>
        <v>0</v>
      </c>
      <c r="T589" s="294"/>
      <c r="U589" s="295">
        <f t="shared" si="68"/>
        <v>0</v>
      </c>
      <c r="V589" s="296"/>
      <c r="W589" s="297"/>
      <c r="X589" s="298"/>
      <c r="Y589" s="292" t="str">
        <f t="shared" si="69"/>
        <v/>
      </c>
      <c r="Z589" s="366">
        <f t="shared" si="70"/>
        <v>0</v>
      </c>
      <c r="AA589" s="299" t="str">
        <f t="shared" si="71"/>
        <v/>
      </c>
      <c r="AB589" s="300"/>
      <c r="AC589" s="301"/>
      <c r="AD589" s="302"/>
      <c r="AE589" s="303"/>
      <c r="AF589" s="304"/>
      <c r="AG589" s="304"/>
      <c r="AH589" s="304"/>
      <c r="AI589" s="304"/>
      <c r="AJ589" s="304"/>
      <c r="AK589" s="305"/>
      <c r="AL589" s="283"/>
      <c r="AM589" s="284"/>
    </row>
    <row r="590" ht="15.75" customHeight="1">
      <c r="A590" s="282">
        <f t="shared" si="1"/>
        <v>586</v>
      </c>
      <c r="B590" s="283"/>
      <c r="C590" s="284"/>
      <c r="D590" s="338"/>
      <c r="E590" s="286"/>
      <c r="F590" s="287"/>
      <c r="G590" s="288" t="str">
        <f>+IFERROR(VLOOKUP(F590,NVL!$B:$C,2,0),"")</f>
        <v/>
      </c>
      <c r="H590" s="288" t="str">
        <f>+IFERROR(VLOOKUP(F590,NVL!$B:$D,3,0),"")</f>
        <v/>
      </c>
      <c r="I590" s="288" t="str">
        <f>+IFERROR(VLOOKUP(F590,NVL!$B:$F,4,0),"")</f>
        <v/>
      </c>
      <c r="J590" s="289"/>
      <c r="K590" s="290"/>
      <c r="L590" s="291" t="str">
        <f>+IFERROR(VLOOKUP(K590,'THÀNH PHẨM'!$B:$F,3,0),"")</f>
        <v/>
      </c>
      <c r="M590" s="291" t="str">
        <f>+IFERROR(VLOOKUP(K590,'THÀNH PHẨM'!$B:$F,4,0),"")</f>
        <v/>
      </c>
      <c r="N590" s="291" t="str">
        <f>+IFERROR(VLOOKUP(K590,'THÀNH PHẨM'!$B:$F,5,0),"")</f>
        <v/>
      </c>
      <c r="O590" s="289"/>
      <c r="P590" s="292">
        <f t="shared" si="2"/>
        <v>0</v>
      </c>
      <c r="Q590" s="289"/>
      <c r="R590" s="289"/>
      <c r="S590" s="293">
        <f t="shared" si="62"/>
        <v>0</v>
      </c>
      <c r="T590" s="294"/>
      <c r="U590" s="295">
        <f t="shared" si="68"/>
        <v>0</v>
      </c>
      <c r="V590" s="296"/>
      <c r="W590" s="297"/>
      <c r="X590" s="298"/>
      <c r="Y590" s="292" t="str">
        <f t="shared" si="69"/>
        <v/>
      </c>
      <c r="Z590" s="366">
        <f t="shared" si="70"/>
        <v>0</v>
      </c>
      <c r="AA590" s="299" t="str">
        <f t="shared" si="71"/>
        <v/>
      </c>
      <c r="AB590" s="300"/>
      <c r="AC590" s="301"/>
      <c r="AD590" s="302"/>
      <c r="AE590" s="303"/>
      <c r="AF590" s="304"/>
      <c r="AG590" s="304"/>
      <c r="AH590" s="304"/>
      <c r="AI590" s="304"/>
      <c r="AJ590" s="304"/>
      <c r="AK590" s="305"/>
      <c r="AL590" s="283"/>
      <c r="AM590" s="284"/>
    </row>
    <row r="591" ht="15.75" customHeight="1">
      <c r="A591" s="282">
        <f t="shared" si="1"/>
        <v>587</v>
      </c>
      <c r="B591" s="283"/>
      <c r="C591" s="284"/>
      <c r="D591" s="338"/>
      <c r="E591" s="286"/>
      <c r="F591" s="287"/>
      <c r="G591" s="288" t="str">
        <f>+IFERROR(VLOOKUP(F591,NVL!$B:$C,2,0),"")</f>
        <v/>
      </c>
      <c r="H591" s="288" t="str">
        <f>+IFERROR(VLOOKUP(F591,NVL!$B:$D,3,0),"")</f>
        <v/>
      </c>
      <c r="I591" s="288" t="str">
        <f>+IFERROR(VLOOKUP(F591,NVL!$B:$F,4,0),"")</f>
        <v/>
      </c>
      <c r="J591" s="289"/>
      <c r="K591" s="290"/>
      <c r="L591" s="291" t="str">
        <f>+IFERROR(VLOOKUP(K591,'THÀNH PHẨM'!$B:$F,3,0),"")</f>
        <v/>
      </c>
      <c r="M591" s="291" t="str">
        <f>+IFERROR(VLOOKUP(K591,'THÀNH PHẨM'!$B:$F,4,0),"")</f>
        <v/>
      </c>
      <c r="N591" s="291" t="str">
        <f>+IFERROR(VLOOKUP(K591,'THÀNH PHẨM'!$B:$F,5,0),"")</f>
        <v/>
      </c>
      <c r="O591" s="289"/>
      <c r="P591" s="292">
        <f t="shared" si="2"/>
        <v>0</v>
      </c>
      <c r="Q591" s="289"/>
      <c r="R591" s="289"/>
      <c r="S591" s="293">
        <f t="shared" si="62"/>
        <v>0</v>
      </c>
      <c r="T591" s="294"/>
      <c r="U591" s="295">
        <f t="shared" si="68"/>
        <v>0</v>
      </c>
      <c r="V591" s="296"/>
      <c r="W591" s="297"/>
      <c r="X591" s="298"/>
      <c r="Y591" s="292" t="str">
        <f t="shared" si="69"/>
        <v/>
      </c>
      <c r="Z591" s="366">
        <f t="shared" si="70"/>
        <v>0</v>
      </c>
      <c r="AA591" s="299" t="str">
        <f t="shared" si="71"/>
        <v/>
      </c>
      <c r="AB591" s="300"/>
      <c r="AC591" s="301"/>
      <c r="AD591" s="302"/>
      <c r="AE591" s="303"/>
      <c r="AF591" s="304"/>
      <c r="AG591" s="304"/>
      <c r="AH591" s="304"/>
      <c r="AI591" s="304"/>
      <c r="AJ591" s="304"/>
      <c r="AK591" s="305"/>
      <c r="AL591" s="283"/>
      <c r="AM591" s="284"/>
    </row>
    <row r="592" ht="15.75" customHeight="1">
      <c r="A592" s="282">
        <f t="shared" si="1"/>
        <v>588</v>
      </c>
      <c r="B592" s="283"/>
      <c r="C592" s="284"/>
      <c r="D592" s="338"/>
      <c r="E592" s="286"/>
      <c r="F592" s="287"/>
      <c r="G592" s="288" t="str">
        <f>+IFERROR(VLOOKUP(F592,NVL!$B:$C,2,0),"")</f>
        <v/>
      </c>
      <c r="H592" s="288" t="str">
        <f>+IFERROR(VLOOKUP(F592,NVL!$B:$D,3,0),"")</f>
        <v/>
      </c>
      <c r="I592" s="288" t="str">
        <f>+IFERROR(VLOOKUP(F592,NVL!$B:$F,4,0),"")</f>
        <v/>
      </c>
      <c r="J592" s="289"/>
      <c r="K592" s="290"/>
      <c r="L592" s="291" t="str">
        <f>+IFERROR(VLOOKUP(K592,'THÀNH PHẨM'!$B:$F,3,0),"")</f>
        <v/>
      </c>
      <c r="M592" s="291" t="str">
        <f>+IFERROR(VLOOKUP(K592,'THÀNH PHẨM'!$B:$F,4,0),"")</f>
        <v/>
      </c>
      <c r="N592" s="291" t="str">
        <f>+IFERROR(VLOOKUP(K592,'THÀNH PHẨM'!$B:$F,5,0),"")</f>
        <v/>
      </c>
      <c r="O592" s="289"/>
      <c r="P592" s="292">
        <f t="shared" si="2"/>
        <v>0</v>
      </c>
      <c r="Q592" s="289"/>
      <c r="R592" s="289"/>
      <c r="S592" s="293">
        <f t="shared" si="62"/>
        <v>0</v>
      </c>
      <c r="T592" s="294"/>
      <c r="U592" s="295">
        <f t="shared" si="68"/>
        <v>0</v>
      </c>
      <c r="V592" s="296"/>
      <c r="W592" s="297"/>
      <c r="X592" s="298"/>
      <c r="Y592" s="292" t="str">
        <f t="shared" si="69"/>
        <v/>
      </c>
      <c r="Z592" s="366">
        <f t="shared" si="70"/>
        <v>0</v>
      </c>
      <c r="AA592" s="299" t="str">
        <f t="shared" si="71"/>
        <v/>
      </c>
      <c r="AB592" s="300"/>
      <c r="AC592" s="301"/>
      <c r="AD592" s="302"/>
      <c r="AE592" s="303"/>
      <c r="AF592" s="304"/>
      <c r="AG592" s="304"/>
      <c r="AH592" s="304"/>
      <c r="AI592" s="304"/>
      <c r="AJ592" s="304"/>
      <c r="AK592" s="305"/>
      <c r="AL592" s="283"/>
      <c r="AM592" s="284"/>
    </row>
    <row r="593" ht="15.75" customHeight="1">
      <c r="A593" s="282">
        <f t="shared" si="1"/>
        <v>589</v>
      </c>
      <c r="B593" s="283"/>
      <c r="C593" s="284"/>
      <c r="D593" s="338"/>
      <c r="E593" s="286"/>
      <c r="F593" s="287"/>
      <c r="G593" s="288" t="str">
        <f>+IFERROR(VLOOKUP(F593,NVL!$B:$C,2,0),"")</f>
        <v/>
      </c>
      <c r="H593" s="288" t="str">
        <f>+IFERROR(VLOOKUP(F593,NVL!$B:$D,3,0),"")</f>
        <v/>
      </c>
      <c r="I593" s="288" t="str">
        <f>+IFERROR(VLOOKUP(F593,NVL!$B:$F,4,0),"")</f>
        <v/>
      </c>
      <c r="J593" s="289"/>
      <c r="K593" s="290"/>
      <c r="L593" s="291" t="str">
        <f>+IFERROR(VLOOKUP(K593,'THÀNH PHẨM'!$B:$F,3,0),"")</f>
        <v/>
      </c>
      <c r="M593" s="291" t="str">
        <f>+IFERROR(VLOOKUP(K593,'THÀNH PHẨM'!$B:$F,4,0),"")</f>
        <v/>
      </c>
      <c r="N593" s="291" t="str">
        <f>+IFERROR(VLOOKUP(K593,'THÀNH PHẨM'!$B:$F,5,0),"")</f>
        <v/>
      </c>
      <c r="O593" s="289"/>
      <c r="P593" s="292">
        <f t="shared" si="2"/>
        <v>0</v>
      </c>
      <c r="Q593" s="289"/>
      <c r="R593" s="289"/>
      <c r="S593" s="293">
        <f t="shared" si="62"/>
        <v>0</v>
      </c>
      <c r="T593" s="294"/>
      <c r="U593" s="295">
        <f t="shared" si="68"/>
        <v>0</v>
      </c>
      <c r="V593" s="296"/>
      <c r="W593" s="297"/>
      <c r="X593" s="298"/>
      <c r="Y593" s="292" t="str">
        <f t="shared" si="69"/>
        <v/>
      </c>
      <c r="Z593" s="366">
        <f t="shared" si="70"/>
        <v>0</v>
      </c>
      <c r="AA593" s="299" t="str">
        <f t="shared" si="71"/>
        <v/>
      </c>
      <c r="AB593" s="300"/>
      <c r="AC593" s="301"/>
      <c r="AD593" s="302"/>
      <c r="AE593" s="303"/>
      <c r="AF593" s="304"/>
      <c r="AG593" s="304"/>
      <c r="AH593" s="304"/>
      <c r="AI593" s="304"/>
      <c r="AJ593" s="304"/>
      <c r="AK593" s="305"/>
      <c r="AL593" s="283"/>
      <c r="AM593" s="284"/>
    </row>
    <row r="594" ht="15.75" customHeight="1">
      <c r="A594" s="282">
        <f t="shared" si="1"/>
        <v>590</v>
      </c>
      <c r="B594" s="283"/>
      <c r="C594" s="284"/>
      <c r="D594" s="338"/>
      <c r="E594" s="286"/>
      <c r="F594" s="287"/>
      <c r="G594" s="288" t="str">
        <f>+IFERROR(VLOOKUP(F594,NVL!$B:$C,2,0),"")</f>
        <v/>
      </c>
      <c r="H594" s="288" t="str">
        <f>+IFERROR(VLOOKUP(F594,NVL!$B:$D,3,0),"")</f>
        <v/>
      </c>
      <c r="I594" s="288" t="str">
        <f>+IFERROR(VLOOKUP(F594,NVL!$B:$F,4,0),"")</f>
        <v/>
      </c>
      <c r="J594" s="289"/>
      <c r="K594" s="290"/>
      <c r="L594" s="291" t="str">
        <f>+IFERROR(VLOOKUP(K594,'THÀNH PHẨM'!$B:$F,3,0),"")</f>
        <v/>
      </c>
      <c r="M594" s="291" t="str">
        <f>+IFERROR(VLOOKUP(K594,'THÀNH PHẨM'!$B:$F,4,0),"")</f>
        <v/>
      </c>
      <c r="N594" s="291" t="str">
        <f>+IFERROR(VLOOKUP(K594,'THÀNH PHẨM'!$B:$F,5,0),"")</f>
        <v/>
      </c>
      <c r="O594" s="289"/>
      <c r="P594" s="292">
        <f t="shared" si="2"/>
        <v>0</v>
      </c>
      <c r="Q594" s="289"/>
      <c r="R594" s="289"/>
      <c r="S594" s="293">
        <f t="shared" si="62"/>
        <v>0</v>
      </c>
      <c r="T594" s="294"/>
      <c r="U594" s="295">
        <f t="shared" si="68"/>
        <v>0</v>
      </c>
      <c r="V594" s="296"/>
      <c r="W594" s="297"/>
      <c r="X594" s="298"/>
      <c r="Y594" s="292" t="str">
        <f t="shared" si="69"/>
        <v/>
      </c>
      <c r="Z594" s="366">
        <f t="shared" si="70"/>
        <v>0</v>
      </c>
      <c r="AA594" s="299" t="str">
        <f t="shared" si="71"/>
        <v/>
      </c>
      <c r="AB594" s="300"/>
      <c r="AC594" s="301"/>
      <c r="AD594" s="302"/>
      <c r="AE594" s="303"/>
      <c r="AF594" s="304"/>
      <c r="AG594" s="304"/>
      <c r="AH594" s="304"/>
      <c r="AI594" s="304"/>
      <c r="AJ594" s="304"/>
      <c r="AK594" s="305"/>
      <c r="AL594" s="283"/>
      <c r="AM594" s="284"/>
    </row>
    <row r="595" ht="15.75" customHeight="1">
      <c r="A595" s="282">
        <f t="shared" si="1"/>
        <v>591</v>
      </c>
      <c r="B595" s="283"/>
      <c r="C595" s="284"/>
      <c r="D595" s="338"/>
      <c r="E595" s="286"/>
      <c r="F595" s="287"/>
      <c r="G595" s="288" t="str">
        <f>+IFERROR(VLOOKUP(F595,NVL!$B:$C,2,0),"")</f>
        <v/>
      </c>
      <c r="H595" s="288" t="str">
        <f>+IFERROR(VLOOKUP(F595,NVL!$B:$D,3,0),"")</f>
        <v/>
      </c>
      <c r="I595" s="288" t="str">
        <f>+IFERROR(VLOOKUP(F595,NVL!$B:$F,4,0),"")</f>
        <v/>
      </c>
      <c r="J595" s="289"/>
      <c r="K595" s="290"/>
      <c r="L595" s="291" t="str">
        <f>+IFERROR(VLOOKUP(K595,'THÀNH PHẨM'!$B:$F,3,0),"")</f>
        <v/>
      </c>
      <c r="M595" s="291" t="str">
        <f>+IFERROR(VLOOKUP(K595,'THÀNH PHẨM'!$B:$F,4,0),"")</f>
        <v/>
      </c>
      <c r="N595" s="291" t="str">
        <f>+IFERROR(VLOOKUP(K595,'THÀNH PHẨM'!$B:$F,5,0),"")</f>
        <v/>
      </c>
      <c r="O595" s="289"/>
      <c r="P595" s="292">
        <f t="shared" si="2"/>
        <v>0</v>
      </c>
      <c r="Q595" s="289"/>
      <c r="R595" s="289"/>
      <c r="S595" s="293">
        <f t="shared" si="62"/>
        <v>0</v>
      </c>
      <c r="T595" s="294"/>
      <c r="U595" s="295">
        <f t="shared" si="68"/>
        <v>0</v>
      </c>
      <c r="V595" s="296"/>
      <c r="W595" s="297"/>
      <c r="X595" s="298"/>
      <c r="Y595" s="292" t="str">
        <f t="shared" si="69"/>
        <v/>
      </c>
      <c r="Z595" s="366">
        <f t="shared" si="70"/>
        <v>0</v>
      </c>
      <c r="AA595" s="299" t="str">
        <f t="shared" si="71"/>
        <v/>
      </c>
      <c r="AB595" s="300"/>
      <c r="AC595" s="301"/>
      <c r="AD595" s="302"/>
      <c r="AE595" s="303"/>
      <c r="AF595" s="304"/>
      <c r="AG595" s="304"/>
      <c r="AH595" s="304"/>
      <c r="AI595" s="304"/>
      <c r="AJ595" s="304"/>
      <c r="AK595" s="305"/>
      <c r="AL595" s="283"/>
      <c r="AM595" s="284"/>
    </row>
    <row r="596" ht="15.75" customHeight="1">
      <c r="A596" s="282">
        <f t="shared" si="1"/>
        <v>592</v>
      </c>
      <c r="B596" s="283"/>
      <c r="C596" s="284"/>
      <c r="D596" s="338"/>
      <c r="E596" s="286"/>
      <c r="F596" s="287"/>
      <c r="G596" s="288" t="str">
        <f>+IFERROR(VLOOKUP(F596,NVL!$B:$C,2,0),"")</f>
        <v/>
      </c>
      <c r="H596" s="288" t="str">
        <f>+IFERROR(VLOOKUP(F596,NVL!$B:$D,3,0),"")</f>
        <v/>
      </c>
      <c r="I596" s="288" t="str">
        <f>+IFERROR(VLOOKUP(F596,NVL!$B:$F,4,0),"")</f>
        <v/>
      </c>
      <c r="J596" s="289"/>
      <c r="K596" s="290"/>
      <c r="L596" s="291" t="str">
        <f>+IFERROR(VLOOKUP(K596,'THÀNH PHẨM'!$B:$F,3,0),"")</f>
        <v/>
      </c>
      <c r="M596" s="291" t="str">
        <f>+IFERROR(VLOOKUP(K596,'THÀNH PHẨM'!$B:$F,4,0),"")</f>
        <v/>
      </c>
      <c r="N596" s="291" t="str">
        <f>+IFERROR(VLOOKUP(K596,'THÀNH PHẨM'!$B:$F,5,0),"")</f>
        <v/>
      </c>
      <c r="O596" s="289"/>
      <c r="P596" s="292">
        <f t="shared" si="2"/>
        <v>0</v>
      </c>
      <c r="Q596" s="289"/>
      <c r="R596" s="289"/>
      <c r="S596" s="293">
        <f t="shared" si="62"/>
        <v>0</v>
      </c>
      <c r="T596" s="294"/>
      <c r="U596" s="295">
        <f t="shared" si="68"/>
        <v>0</v>
      </c>
      <c r="V596" s="296"/>
      <c r="W596" s="297"/>
      <c r="X596" s="298"/>
      <c r="Y596" s="292" t="str">
        <f t="shared" si="69"/>
        <v/>
      </c>
      <c r="Z596" s="366">
        <f t="shared" si="70"/>
        <v>0</v>
      </c>
      <c r="AA596" s="299" t="str">
        <f t="shared" si="71"/>
        <v/>
      </c>
      <c r="AB596" s="300"/>
      <c r="AC596" s="301"/>
      <c r="AD596" s="302"/>
      <c r="AE596" s="303"/>
      <c r="AF596" s="304"/>
      <c r="AG596" s="304"/>
      <c r="AH596" s="304"/>
      <c r="AI596" s="304"/>
      <c r="AJ596" s="304"/>
      <c r="AK596" s="305"/>
      <c r="AL596" s="283"/>
      <c r="AM596" s="284"/>
    </row>
    <row r="597" ht="15.75" customHeight="1">
      <c r="A597" s="282">
        <f t="shared" si="1"/>
        <v>593</v>
      </c>
      <c r="B597" s="283"/>
      <c r="C597" s="284"/>
      <c r="D597" s="338"/>
      <c r="E597" s="286"/>
      <c r="F597" s="287"/>
      <c r="G597" s="288" t="str">
        <f>+IFERROR(VLOOKUP(F597,NVL!$B:$C,2,0),"")</f>
        <v/>
      </c>
      <c r="H597" s="288" t="str">
        <f>+IFERROR(VLOOKUP(F597,NVL!$B:$D,3,0),"")</f>
        <v/>
      </c>
      <c r="I597" s="288" t="str">
        <f>+IFERROR(VLOOKUP(F597,NVL!$B:$F,4,0),"")</f>
        <v/>
      </c>
      <c r="J597" s="289"/>
      <c r="K597" s="290"/>
      <c r="L597" s="291" t="str">
        <f>+IFERROR(VLOOKUP(K597,'THÀNH PHẨM'!$B:$F,3,0),"")</f>
        <v/>
      </c>
      <c r="M597" s="291" t="str">
        <f>+IFERROR(VLOOKUP(K597,'THÀNH PHẨM'!$B:$F,4,0),"")</f>
        <v/>
      </c>
      <c r="N597" s="291" t="str">
        <f>+IFERROR(VLOOKUP(K597,'THÀNH PHẨM'!$B:$F,5,0),"")</f>
        <v/>
      </c>
      <c r="O597" s="289"/>
      <c r="P597" s="292">
        <f t="shared" si="2"/>
        <v>0</v>
      </c>
      <c r="Q597" s="289"/>
      <c r="R597" s="289"/>
      <c r="S597" s="293">
        <f t="shared" si="62"/>
        <v>0</v>
      </c>
      <c r="T597" s="294"/>
      <c r="U597" s="295">
        <f t="shared" si="68"/>
        <v>0</v>
      </c>
      <c r="V597" s="296"/>
      <c r="W597" s="297"/>
      <c r="X597" s="298"/>
      <c r="Y597" s="292" t="str">
        <f t="shared" si="69"/>
        <v/>
      </c>
      <c r="Z597" s="366">
        <f t="shared" si="70"/>
        <v>0</v>
      </c>
      <c r="AA597" s="299" t="str">
        <f t="shared" si="71"/>
        <v/>
      </c>
      <c r="AB597" s="300"/>
      <c r="AC597" s="301"/>
      <c r="AD597" s="302"/>
      <c r="AE597" s="303"/>
      <c r="AF597" s="304"/>
      <c r="AG597" s="304"/>
      <c r="AH597" s="304"/>
      <c r="AI597" s="304"/>
      <c r="AJ597" s="304"/>
      <c r="AK597" s="305"/>
      <c r="AL597" s="283"/>
      <c r="AM597" s="284"/>
    </row>
    <row r="598" ht="15.75" customHeight="1">
      <c r="A598" s="282">
        <f t="shared" si="1"/>
        <v>594</v>
      </c>
      <c r="B598" s="283"/>
      <c r="C598" s="284"/>
      <c r="D598" s="338"/>
      <c r="E598" s="286"/>
      <c r="F598" s="287"/>
      <c r="G598" s="288" t="str">
        <f>+IFERROR(VLOOKUP(F598,NVL!$B:$C,2,0),"")</f>
        <v/>
      </c>
      <c r="H598" s="288" t="str">
        <f>+IFERROR(VLOOKUP(F598,NVL!$B:$D,3,0),"")</f>
        <v/>
      </c>
      <c r="I598" s="288" t="str">
        <f>+IFERROR(VLOOKUP(F598,NVL!$B:$F,4,0),"")</f>
        <v/>
      </c>
      <c r="J598" s="289"/>
      <c r="K598" s="290"/>
      <c r="L598" s="291" t="str">
        <f>+IFERROR(VLOOKUP(K598,'THÀNH PHẨM'!$B:$F,3,0),"")</f>
        <v/>
      </c>
      <c r="M598" s="291" t="str">
        <f>+IFERROR(VLOOKUP(K598,'THÀNH PHẨM'!$B:$F,4,0),"")</f>
        <v/>
      </c>
      <c r="N598" s="291" t="str">
        <f>+IFERROR(VLOOKUP(K598,'THÀNH PHẨM'!$B:$F,5,0),"")</f>
        <v/>
      </c>
      <c r="O598" s="289"/>
      <c r="P598" s="292">
        <f t="shared" si="2"/>
        <v>0</v>
      </c>
      <c r="Q598" s="289"/>
      <c r="R598" s="289"/>
      <c r="S598" s="293">
        <f t="shared" si="62"/>
        <v>0</v>
      </c>
      <c r="T598" s="294"/>
      <c r="U598" s="295">
        <f t="shared" si="68"/>
        <v>0</v>
      </c>
      <c r="V598" s="296"/>
      <c r="W598" s="297"/>
      <c r="X598" s="298"/>
      <c r="Y598" s="292" t="str">
        <f t="shared" si="69"/>
        <v/>
      </c>
      <c r="Z598" s="366">
        <f t="shared" si="70"/>
        <v>0</v>
      </c>
      <c r="AA598" s="299" t="str">
        <f t="shared" si="71"/>
        <v/>
      </c>
      <c r="AB598" s="300"/>
      <c r="AC598" s="301"/>
      <c r="AD598" s="302"/>
      <c r="AE598" s="303"/>
      <c r="AF598" s="304"/>
      <c r="AG598" s="304"/>
      <c r="AH598" s="304"/>
      <c r="AI598" s="304"/>
      <c r="AJ598" s="304"/>
      <c r="AK598" s="305"/>
      <c r="AL598" s="283"/>
      <c r="AM598" s="284"/>
    </row>
    <row r="599" ht="15.75" customHeight="1">
      <c r="A599" s="282">
        <f t="shared" si="1"/>
        <v>595</v>
      </c>
      <c r="B599" s="283"/>
      <c r="C599" s="284"/>
      <c r="D599" s="338"/>
      <c r="E599" s="286"/>
      <c r="F599" s="287"/>
      <c r="G599" s="288" t="str">
        <f>+IFERROR(VLOOKUP(F599,NVL!$B:$C,2,0),"")</f>
        <v/>
      </c>
      <c r="H599" s="288" t="str">
        <f>+IFERROR(VLOOKUP(F599,NVL!$B:$D,3,0),"")</f>
        <v/>
      </c>
      <c r="I599" s="288" t="str">
        <f>+IFERROR(VLOOKUP(F599,NVL!$B:$F,4,0),"")</f>
        <v/>
      </c>
      <c r="J599" s="289"/>
      <c r="K599" s="290"/>
      <c r="L599" s="291" t="str">
        <f>+IFERROR(VLOOKUP(K599,'THÀNH PHẨM'!$B:$F,3,0),"")</f>
        <v/>
      </c>
      <c r="M599" s="291" t="str">
        <f>+IFERROR(VLOOKUP(K599,'THÀNH PHẨM'!$B:$F,4,0),"")</f>
        <v/>
      </c>
      <c r="N599" s="291" t="str">
        <f>+IFERROR(VLOOKUP(K599,'THÀNH PHẨM'!$B:$F,5,0),"")</f>
        <v/>
      </c>
      <c r="O599" s="289"/>
      <c r="P599" s="292">
        <f t="shared" si="2"/>
        <v>0</v>
      </c>
      <c r="Q599" s="289"/>
      <c r="R599" s="289"/>
      <c r="S599" s="293">
        <f t="shared" si="62"/>
        <v>0</v>
      </c>
      <c r="T599" s="294"/>
      <c r="U599" s="295">
        <f t="shared" si="68"/>
        <v>0</v>
      </c>
      <c r="V599" s="296"/>
      <c r="W599" s="297"/>
      <c r="X599" s="298"/>
      <c r="Y599" s="292" t="str">
        <f t="shared" si="69"/>
        <v/>
      </c>
      <c r="Z599" s="366">
        <f t="shared" si="70"/>
        <v>0</v>
      </c>
      <c r="AA599" s="299" t="str">
        <f t="shared" si="71"/>
        <v/>
      </c>
      <c r="AB599" s="300"/>
      <c r="AC599" s="301"/>
      <c r="AD599" s="302"/>
      <c r="AE599" s="303"/>
      <c r="AF599" s="304"/>
      <c r="AG599" s="304"/>
      <c r="AH599" s="304"/>
      <c r="AI599" s="304"/>
      <c r="AJ599" s="304"/>
      <c r="AK599" s="305"/>
      <c r="AL599" s="283"/>
      <c r="AM599" s="284"/>
    </row>
    <row r="600" ht="15.75" customHeight="1">
      <c r="A600" s="282">
        <f t="shared" si="1"/>
        <v>596</v>
      </c>
      <c r="B600" s="283"/>
      <c r="C600" s="284"/>
      <c r="D600" s="338"/>
      <c r="E600" s="286"/>
      <c r="F600" s="287"/>
      <c r="G600" s="288" t="str">
        <f>+IFERROR(VLOOKUP(F600,NVL!$B:$C,2,0),"")</f>
        <v/>
      </c>
      <c r="H600" s="288" t="str">
        <f>+IFERROR(VLOOKUP(F600,NVL!$B:$D,3,0),"")</f>
        <v/>
      </c>
      <c r="I600" s="288" t="str">
        <f>+IFERROR(VLOOKUP(F600,NVL!$B:$F,4,0),"")</f>
        <v/>
      </c>
      <c r="J600" s="289"/>
      <c r="K600" s="290"/>
      <c r="L600" s="291" t="str">
        <f>+IFERROR(VLOOKUP(K600,'THÀNH PHẨM'!$B:$F,3,0),"")</f>
        <v/>
      </c>
      <c r="M600" s="291" t="str">
        <f>+IFERROR(VLOOKUP(K600,'THÀNH PHẨM'!$B:$F,4,0),"")</f>
        <v/>
      </c>
      <c r="N600" s="291" t="str">
        <f>+IFERROR(VLOOKUP(K600,'THÀNH PHẨM'!$B:$F,5,0),"")</f>
        <v/>
      </c>
      <c r="O600" s="289"/>
      <c r="P600" s="292">
        <f t="shared" si="2"/>
        <v>0</v>
      </c>
      <c r="Q600" s="289"/>
      <c r="R600" s="289"/>
      <c r="S600" s="293">
        <f t="shared" si="62"/>
        <v>0</v>
      </c>
      <c r="T600" s="294"/>
      <c r="U600" s="295">
        <f t="shared" si="68"/>
        <v>0</v>
      </c>
      <c r="V600" s="296"/>
      <c r="W600" s="297"/>
      <c r="X600" s="298"/>
      <c r="Y600" s="292" t="str">
        <f t="shared" si="69"/>
        <v/>
      </c>
      <c r="Z600" s="366">
        <f t="shared" si="70"/>
        <v>0</v>
      </c>
      <c r="AA600" s="299" t="str">
        <f t="shared" si="71"/>
        <v/>
      </c>
      <c r="AB600" s="300"/>
      <c r="AC600" s="301"/>
      <c r="AD600" s="302"/>
      <c r="AE600" s="303"/>
      <c r="AF600" s="304"/>
      <c r="AG600" s="304"/>
      <c r="AH600" s="304"/>
      <c r="AI600" s="304"/>
      <c r="AJ600" s="304"/>
      <c r="AK600" s="305"/>
      <c r="AL600" s="283"/>
      <c r="AM600" s="284"/>
    </row>
    <row r="601" ht="15.75" customHeight="1">
      <c r="A601" s="282">
        <f t="shared" si="1"/>
        <v>597</v>
      </c>
      <c r="B601" s="283"/>
      <c r="C601" s="284"/>
      <c r="D601" s="338"/>
      <c r="E601" s="286"/>
      <c r="F601" s="287"/>
      <c r="G601" s="288" t="str">
        <f>+IFERROR(VLOOKUP(F601,NVL!$B:$C,2,0),"")</f>
        <v/>
      </c>
      <c r="H601" s="288" t="str">
        <f>+IFERROR(VLOOKUP(F601,NVL!$B:$D,3,0),"")</f>
        <v/>
      </c>
      <c r="I601" s="288" t="str">
        <f>+IFERROR(VLOOKUP(F601,NVL!$B:$F,4,0),"")</f>
        <v/>
      </c>
      <c r="J601" s="289"/>
      <c r="K601" s="290"/>
      <c r="L601" s="291" t="str">
        <f>+IFERROR(VLOOKUP(K601,'THÀNH PHẨM'!$B:$F,3,0),"")</f>
        <v/>
      </c>
      <c r="M601" s="291" t="str">
        <f>+IFERROR(VLOOKUP(K601,'THÀNH PHẨM'!$B:$F,4,0),"")</f>
        <v/>
      </c>
      <c r="N601" s="291" t="str">
        <f>+IFERROR(VLOOKUP(K601,'THÀNH PHẨM'!$B:$F,5,0),"")</f>
        <v/>
      </c>
      <c r="O601" s="289"/>
      <c r="P601" s="292">
        <f t="shared" si="2"/>
        <v>0</v>
      </c>
      <c r="Q601" s="289"/>
      <c r="R601" s="289"/>
      <c r="S601" s="293">
        <f t="shared" si="62"/>
        <v>0</v>
      </c>
      <c r="T601" s="294"/>
      <c r="U601" s="295">
        <f t="shared" si="68"/>
        <v>0</v>
      </c>
      <c r="V601" s="296"/>
      <c r="W601" s="297"/>
      <c r="X601" s="298"/>
      <c r="Y601" s="292" t="str">
        <f t="shared" si="69"/>
        <v/>
      </c>
      <c r="Z601" s="366">
        <f t="shared" si="70"/>
        <v>0</v>
      </c>
      <c r="AA601" s="299" t="str">
        <f t="shared" si="71"/>
        <v/>
      </c>
      <c r="AB601" s="300"/>
      <c r="AC601" s="301"/>
      <c r="AD601" s="302"/>
      <c r="AE601" s="303"/>
      <c r="AF601" s="304"/>
      <c r="AG601" s="304"/>
      <c r="AH601" s="304"/>
      <c r="AI601" s="304"/>
      <c r="AJ601" s="304"/>
      <c r="AK601" s="305"/>
      <c r="AL601" s="283"/>
      <c r="AM601" s="284"/>
    </row>
    <row r="602" ht="15.75" customHeight="1">
      <c r="A602" s="282">
        <f t="shared" si="1"/>
        <v>598</v>
      </c>
      <c r="B602" s="283"/>
      <c r="C602" s="284"/>
      <c r="D602" s="338"/>
      <c r="E602" s="286"/>
      <c r="F602" s="287"/>
      <c r="G602" s="288" t="str">
        <f>+IFERROR(VLOOKUP(F602,NVL!$B:$C,2,0),"")</f>
        <v/>
      </c>
      <c r="H602" s="288" t="str">
        <f>+IFERROR(VLOOKUP(F602,NVL!$B:$D,3,0),"")</f>
        <v/>
      </c>
      <c r="I602" s="288" t="str">
        <f>+IFERROR(VLOOKUP(F602,NVL!$B:$F,4,0),"")</f>
        <v/>
      </c>
      <c r="J602" s="289"/>
      <c r="K602" s="290"/>
      <c r="L602" s="291" t="str">
        <f>+IFERROR(VLOOKUP(K602,'THÀNH PHẨM'!$B:$F,3,0),"")</f>
        <v/>
      </c>
      <c r="M602" s="291" t="str">
        <f>+IFERROR(VLOOKUP(K602,'THÀNH PHẨM'!$B:$F,4,0),"")</f>
        <v/>
      </c>
      <c r="N602" s="291" t="str">
        <f>+IFERROR(VLOOKUP(K602,'THÀNH PHẨM'!$B:$F,5,0),"")</f>
        <v/>
      </c>
      <c r="O602" s="289"/>
      <c r="P602" s="292">
        <f t="shared" si="2"/>
        <v>0</v>
      </c>
      <c r="Q602" s="289"/>
      <c r="R602" s="289"/>
      <c r="S602" s="293">
        <f t="shared" si="62"/>
        <v>0</v>
      </c>
      <c r="T602" s="294"/>
      <c r="U602" s="295">
        <f t="shared" si="68"/>
        <v>0</v>
      </c>
      <c r="V602" s="296"/>
      <c r="W602" s="297"/>
      <c r="X602" s="298"/>
      <c r="Y602" s="292" t="str">
        <f t="shared" si="69"/>
        <v/>
      </c>
      <c r="Z602" s="366">
        <f t="shared" si="70"/>
        <v>0</v>
      </c>
      <c r="AA602" s="299" t="str">
        <f t="shared" si="71"/>
        <v/>
      </c>
      <c r="AB602" s="300"/>
      <c r="AC602" s="301"/>
      <c r="AD602" s="302"/>
      <c r="AE602" s="303"/>
      <c r="AF602" s="304"/>
      <c r="AG602" s="304"/>
      <c r="AH602" s="304"/>
      <c r="AI602" s="304"/>
      <c r="AJ602" s="304"/>
      <c r="AK602" s="305"/>
      <c r="AL602" s="283"/>
      <c r="AM602" s="284"/>
    </row>
    <row r="603" ht="15.75" customHeight="1">
      <c r="A603" s="282">
        <f t="shared" si="1"/>
        <v>599</v>
      </c>
      <c r="B603" s="283"/>
      <c r="C603" s="284"/>
      <c r="D603" s="338"/>
      <c r="E603" s="286"/>
      <c r="F603" s="287"/>
      <c r="G603" s="288" t="str">
        <f>+IFERROR(VLOOKUP(F603,NVL!$B:$C,2,0),"")</f>
        <v/>
      </c>
      <c r="H603" s="288" t="str">
        <f>+IFERROR(VLOOKUP(F603,NVL!$B:$D,3,0),"")</f>
        <v/>
      </c>
      <c r="I603" s="288" t="str">
        <f>+IFERROR(VLOOKUP(F603,NVL!$B:$F,4,0),"")</f>
        <v/>
      </c>
      <c r="J603" s="289"/>
      <c r="K603" s="290"/>
      <c r="L603" s="291" t="str">
        <f>+IFERROR(VLOOKUP(K603,'THÀNH PHẨM'!$B:$F,3,0),"")</f>
        <v/>
      </c>
      <c r="M603" s="291" t="str">
        <f>+IFERROR(VLOOKUP(K603,'THÀNH PHẨM'!$B:$F,4,0),"")</f>
        <v/>
      </c>
      <c r="N603" s="291" t="str">
        <f>+IFERROR(VLOOKUP(K603,'THÀNH PHẨM'!$B:$F,5,0),"")</f>
        <v/>
      </c>
      <c r="O603" s="289"/>
      <c r="P603" s="292">
        <f t="shared" si="2"/>
        <v>0</v>
      </c>
      <c r="Q603" s="289"/>
      <c r="R603" s="289"/>
      <c r="S603" s="293">
        <f t="shared" si="62"/>
        <v>0</v>
      </c>
      <c r="T603" s="294"/>
      <c r="U603" s="295">
        <f t="shared" si="68"/>
        <v>0</v>
      </c>
      <c r="V603" s="296"/>
      <c r="W603" s="297"/>
      <c r="X603" s="298"/>
      <c r="Y603" s="292" t="str">
        <f t="shared" si="69"/>
        <v/>
      </c>
      <c r="Z603" s="366">
        <f t="shared" si="70"/>
        <v>0</v>
      </c>
      <c r="AA603" s="299" t="str">
        <f t="shared" si="71"/>
        <v/>
      </c>
      <c r="AB603" s="300"/>
      <c r="AC603" s="301"/>
      <c r="AD603" s="302"/>
      <c r="AE603" s="303"/>
      <c r="AF603" s="304"/>
      <c r="AG603" s="304"/>
      <c r="AH603" s="304"/>
      <c r="AI603" s="304"/>
      <c r="AJ603" s="304"/>
      <c r="AK603" s="305"/>
      <c r="AL603" s="283"/>
      <c r="AM603" s="284"/>
    </row>
    <row r="604" ht="15.75" customHeight="1">
      <c r="A604" s="282">
        <f t="shared" si="1"/>
        <v>600</v>
      </c>
      <c r="B604" s="283"/>
      <c r="C604" s="284"/>
      <c r="D604" s="338"/>
      <c r="E604" s="286"/>
      <c r="F604" s="287"/>
      <c r="G604" s="288" t="str">
        <f>+IFERROR(VLOOKUP(F604,NVL!$B:$C,2,0),"")</f>
        <v/>
      </c>
      <c r="H604" s="288" t="str">
        <f>+IFERROR(VLOOKUP(F604,NVL!$B:$D,3,0),"")</f>
        <v/>
      </c>
      <c r="I604" s="288" t="str">
        <f>+IFERROR(VLOOKUP(F604,NVL!$B:$F,4,0),"")</f>
        <v/>
      </c>
      <c r="J604" s="289"/>
      <c r="K604" s="290"/>
      <c r="L604" s="291" t="str">
        <f>+IFERROR(VLOOKUP(K604,'THÀNH PHẨM'!$B:$F,3,0),"")</f>
        <v/>
      </c>
      <c r="M604" s="291" t="str">
        <f>+IFERROR(VLOOKUP(K604,'THÀNH PHẨM'!$B:$F,4,0),"")</f>
        <v/>
      </c>
      <c r="N604" s="291" t="str">
        <f>+IFERROR(VLOOKUP(K604,'THÀNH PHẨM'!$B:$F,5,0),"")</f>
        <v/>
      </c>
      <c r="O604" s="289"/>
      <c r="P604" s="292">
        <f t="shared" si="2"/>
        <v>0</v>
      </c>
      <c r="Q604" s="289"/>
      <c r="R604" s="289"/>
      <c r="S604" s="293">
        <f t="shared" si="62"/>
        <v>0</v>
      </c>
      <c r="T604" s="294"/>
      <c r="U604" s="295">
        <f t="shared" si="68"/>
        <v>0</v>
      </c>
      <c r="V604" s="296"/>
      <c r="W604" s="297"/>
      <c r="X604" s="298"/>
      <c r="Y604" s="292" t="str">
        <f t="shared" si="69"/>
        <v/>
      </c>
      <c r="Z604" s="366">
        <f t="shared" si="70"/>
        <v>0</v>
      </c>
      <c r="AA604" s="299" t="str">
        <f t="shared" si="71"/>
        <v/>
      </c>
      <c r="AB604" s="300"/>
      <c r="AC604" s="301"/>
      <c r="AD604" s="302"/>
      <c r="AE604" s="303"/>
      <c r="AF604" s="304"/>
      <c r="AG604" s="304"/>
      <c r="AH604" s="304"/>
      <c r="AI604" s="304"/>
      <c r="AJ604" s="304"/>
      <c r="AK604" s="305"/>
      <c r="AL604" s="283"/>
      <c r="AM604" s="284"/>
    </row>
    <row r="605" ht="15.75" customHeight="1">
      <c r="A605" s="282">
        <f t="shared" si="1"/>
        <v>601</v>
      </c>
      <c r="B605" s="283"/>
      <c r="C605" s="284"/>
      <c r="D605" s="338"/>
      <c r="E605" s="286"/>
      <c r="F605" s="287"/>
      <c r="G605" s="288" t="str">
        <f>+IFERROR(VLOOKUP(F605,NVL!$B:$C,2,0),"")</f>
        <v/>
      </c>
      <c r="H605" s="288" t="str">
        <f>+IFERROR(VLOOKUP(F605,NVL!$B:$D,3,0),"")</f>
        <v/>
      </c>
      <c r="I605" s="288" t="str">
        <f>+IFERROR(VLOOKUP(F605,NVL!$B:$F,4,0),"")</f>
        <v/>
      </c>
      <c r="J605" s="289"/>
      <c r="K605" s="290"/>
      <c r="L605" s="291" t="str">
        <f>+IFERROR(VLOOKUP(K605,'THÀNH PHẨM'!$B:$F,3,0),"")</f>
        <v/>
      </c>
      <c r="M605" s="291" t="str">
        <f>+IFERROR(VLOOKUP(K605,'THÀNH PHẨM'!$B:$F,4,0),"")</f>
        <v/>
      </c>
      <c r="N605" s="291" t="str">
        <f>+IFERROR(VLOOKUP(K605,'THÀNH PHẨM'!$B:$F,5,0),"")</f>
        <v/>
      </c>
      <c r="O605" s="289"/>
      <c r="P605" s="292">
        <f t="shared" si="2"/>
        <v>0</v>
      </c>
      <c r="Q605" s="289"/>
      <c r="R605" s="289"/>
      <c r="S605" s="293">
        <f t="shared" si="62"/>
        <v>0</v>
      </c>
      <c r="T605" s="294"/>
      <c r="U605" s="295">
        <f t="shared" si="68"/>
        <v>0</v>
      </c>
      <c r="V605" s="296"/>
      <c r="W605" s="297"/>
      <c r="X605" s="298"/>
      <c r="Y605" s="292" t="str">
        <f t="shared" si="69"/>
        <v/>
      </c>
      <c r="Z605" s="366">
        <f t="shared" si="70"/>
        <v>0</v>
      </c>
      <c r="AA605" s="299" t="str">
        <f t="shared" si="71"/>
        <v/>
      </c>
      <c r="AB605" s="300"/>
      <c r="AC605" s="301"/>
      <c r="AD605" s="302"/>
      <c r="AE605" s="303"/>
      <c r="AF605" s="304"/>
      <c r="AG605" s="304"/>
      <c r="AH605" s="304"/>
      <c r="AI605" s="304"/>
      <c r="AJ605" s="304"/>
      <c r="AK605" s="305"/>
      <c r="AL605" s="283"/>
      <c r="AM605" s="284"/>
    </row>
    <row r="606" ht="15.75" customHeight="1">
      <c r="A606" s="282">
        <f t="shared" si="1"/>
        <v>602</v>
      </c>
      <c r="B606" s="283"/>
      <c r="C606" s="284"/>
      <c r="D606" s="338"/>
      <c r="E606" s="286"/>
      <c r="F606" s="287"/>
      <c r="G606" s="288" t="str">
        <f>+IFERROR(VLOOKUP(F606,NVL!$B:$C,2,0),"")</f>
        <v/>
      </c>
      <c r="H606" s="288" t="str">
        <f>+IFERROR(VLOOKUP(F606,NVL!$B:$D,3,0),"")</f>
        <v/>
      </c>
      <c r="I606" s="288" t="str">
        <f>+IFERROR(VLOOKUP(F606,NVL!$B:$F,4,0),"")</f>
        <v/>
      </c>
      <c r="J606" s="289"/>
      <c r="K606" s="290"/>
      <c r="L606" s="291" t="str">
        <f>+IFERROR(VLOOKUP(K606,'THÀNH PHẨM'!$B:$F,3,0),"")</f>
        <v/>
      </c>
      <c r="M606" s="291" t="str">
        <f>+IFERROR(VLOOKUP(K606,'THÀNH PHẨM'!$B:$F,4,0),"")</f>
        <v/>
      </c>
      <c r="N606" s="291" t="str">
        <f>+IFERROR(VLOOKUP(K606,'THÀNH PHẨM'!$B:$F,5,0),"")</f>
        <v/>
      </c>
      <c r="O606" s="289"/>
      <c r="P606" s="292">
        <f t="shared" si="2"/>
        <v>0</v>
      </c>
      <c r="Q606" s="289"/>
      <c r="R606" s="289"/>
      <c r="S606" s="293">
        <f t="shared" si="62"/>
        <v>0</v>
      </c>
      <c r="T606" s="294"/>
      <c r="U606" s="295">
        <f t="shared" si="68"/>
        <v>0</v>
      </c>
      <c r="V606" s="296"/>
      <c r="W606" s="297"/>
      <c r="X606" s="298"/>
      <c r="Y606" s="292" t="str">
        <f t="shared" si="69"/>
        <v/>
      </c>
      <c r="Z606" s="366">
        <f t="shared" si="70"/>
        <v>0</v>
      </c>
      <c r="AA606" s="299" t="str">
        <f t="shared" si="71"/>
        <v/>
      </c>
      <c r="AB606" s="300"/>
      <c r="AC606" s="301"/>
      <c r="AD606" s="302"/>
      <c r="AE606" s="303"/>
      <c r="AF606" s="304"/>
      <c r="AG606" s="304"/>
      <c r="AH606" s="304"/>
      <c r="AI606" s="304"/>
      <c r="AJ606" s="304"/>
      <c r="AK606" s="305"/>
      <c r="AL606" s="283"/>
      <c r="AM606" s="284"/>
    </row>
    <row r="607" ht="15.75" customHeight="1">
      <c r="A607" s="282">
        <f t="shared" si="1"/>
        <v>603</v>
      </c>
      <c r="B607" s="283"/>
      <c r="C607" s="284"/>
      <c r="D607" s="338"/>
      <c r="E607" s="286"/>
      <c r="F607" s="287"/>
      <c r="G607" s="288" t="str">
        <f>+IFERROR(VLOOKUP(F607,NVL!$B:$C,2,0),"")</f>
        <v/>
      </c>
      <c r="H607" s="288" t="str">
        <f>+IFERROR(VLOOKUP(F607,NVL!$B:$D,3,0),"")</f>
        <v/>
      </c>
      <c r="I607" s="288" t="str">
        <f>+IFERROR(VLOOKUP(F607,NVL!$B:$F,4,0),"")</f>
        <v/>
      </c>
      <c r="J607" s="289"/>
      <c r="K607" s="290"/>
      <c r="L607" s="291" t="str">
        <f>+IFERROR(VLOOKUP(K607,'THÀNH PHẨM'!$B:$F,3,0),"")</f>
        <v/>
      </c>
      <c r="M607" s="291" t="str">
        <f>+IFERROR(VLOOKUP(K607,'THÀNH PHẨM'!$B:$F,4,0),"")</f>
        <v/>
      </c>
      <c r="N607" s="291" t="str">
        <f>+IFERROR(VLOOKUP(K607,'THÀNH PHẨM'!$B:$F,5,0),"")</f>
        <v/>
      </c>
      <c r="O607" s="289"/>
      <c r="P607" s="292">
        <f t="shared" si="2"/>
        <v>0</v>
      </c>
      <c r="Q607" s="289"/>
      <c r="R607" s="289"/>
      <c r="S607" s="293">
        <f t="shared" si="62"/>
        <v>0</v>
      </c>
      <c r="T607" s="294"/>
      <c r="U607" s="295">
        <f t="shared" si="68"/>
        <v>0</v>
      </c>
      <c r="V607" s="296"/>
      <c r="W607" s="297"/>
      <c r="X607" s="298"/>
      <c r="Y607" s="292" t="str">
        <f t="shared" si="69"/>
        <v/>
      </c>
      <c r="Z607" s="366">
        <f t="shared" si="70"/>
        <v>0</v>
      </c>
      <c r="AA607" s="299" t="str">
        <f t="shared" si="71"/>
        <v/>
      </c>
      <c r="AB607" s="300"/>
      <c r="AC607" s="301"/>
      <c r="AD607" s="302"/>
      <c r="AE607" s="303"/>
      <c r="AF607" s="304"/>
      <c r="AG607" s="304"/>
      <c r="AH607" s="304"/>
      <c r="AI607" s="304"/>
      <c r="AJ607" s="304"/>
      <c r="AK607" s="305"/>
      <c r="AL607" s="283"/>
      <c r="AM607" s="284"/>
    </row>
    <row r="608" ht="15.75" customHeight="1">
      <c r="A608" s="282">
        <f t="shared" si="1"/>
        <v>604</v>
      </c>
      <c r="B608" s="283"/>
      <c r="C608" s="284"/>
      <c r="D608" s="338"/>
      <c r="E608" s="286"/>
      <c r="F608" s="287"/>
      <c r="G608" s="288" t="str">
        <f>+IFERROR(VLOOKUP(F608,NVL!$B:$C,2,0),"")</f>
        <v/>
      </c>
      <c r="H608" s="288" t="str">
        <f>+IFERROR(VLOOKUP(F608,NVL!$B:$D,3,0),"")</f>
        <v/>
      </c>
      <c r="I608" s="288" t="str">
        <f>+IFERROR(VLOOKUP(F608,NVL!$B:$F,4,0),"")</f>
        <v/>
      </c>
      <c r="J608" s="289"/>
      <c r="K608" s="290"/>
      <c r="L608" s="291" t="str">
        <f>+IFERROR(VLOOKUP(K608,'THÀNH PHẨM'!$B:$F,3,0),"")</f>
        <v/>
      </c>
      <c r="M608" s="291" t="str">
        <f>+IFERROR(VLOOKUP(K608,'THÀNH PHẨM'!$B:$F,4,0),"")</f>
        <v/>
      </c>
      <c r="N608" s="291" t="str">
        <f>+IFERROR(VLOOKUP(K608,'THÀNH PHẨM'!$B:$F,5,0),"")</f>
        <v/>
      </c>
      <c r="O608" s="289"/>
      <c r="P608" s="292">
        <f t="shared" si="2"/>
        <v>0</v>
      </c>
      <c r="Q608" s="289"/>
      <c r="R608" s="289"/>
      <c r="S608" s="293">
        <f t="shared" si="62"/>
        <v>0</v>
      </c>
      <c r="T608" s="294"/>
      <c r="U608" s="295">
        <f t="shared" si="68"/>
        <v>0</v>
      </c>
      <c r="V608" s="296"/>
      <c r="W608" s="297"/>
      <c r="X608" s="298"/>
      <c r="Y608" s="292" t="str">
        <f t="shared" si="69"/>
        <v/>
      </c>
      <c r="Z608" s="366">
        <f t="shared" si="70"/>
        <v>0</v>
      </c>
      <c r="AA608" s="299" t="str">
        <f t="shared" si="71"/>
        <v/>
      </c>
      <c r="AB608" s="300"/>
      <c r="AC608" s="301"/>
      <c r="AD608" s="302"/>
      <c r="AE608" s="303"/>
      <c r="AF608" s="304"/>
      <c r="AG608" s="304"/>
      <c r="AH608" s="304"/>
      <c r="AI608" s="304"/>
      <c r="AJ608" s="304"/>
      <c r="AK608" s="305"/>
      <c r="AL608" s="283"/>
      <c r="AM608" s="284"/>
    </row>
    <row r="609" ht="15.75" customHeight="1">
      <c r="A609" s="282">
        <f t="shared" si="1"/>
        <v>605</v>
      </c>
      <c r="B609" s="283"/>
      <c r="C609" s="284"/>
      <c r="D609" s="338"/>
      <c r="E609" s="286"/>
      <c r="F609" s="287"/>
      <c r="G609" s="288" t="str">
        <f>+IFERROR(VLOOKUP(F609,NVL!$B:$C,2,0),"")</f>
        <v/>
      </c>
      <c r="H609" s="288" t="str">
        <f>+IFERROR(VLOOKUP(F609,NVL!$B:$D,3,0),"")</f>
        <v/>
      </c>
      <c r="I609" s="288" t="str">
        <f>+IFERROR(VLOOKUP(F609,NVL!$B:$F,4,0),"")</f>
        <v/>
      </c>
      <c r="J609" s="289"/>
      <c r="K609" s="290"/>
      <c r="L609" s="291" t="str">
        <f>+IFERROR(VLOOKUP(K609,'THÀNH PHẨM'!$B:$F,3,0),"")</f>
        <v/>
      </c>
      <c r="M609" s="291" t="str">
        <f>+IFERROR(VLOOKUP(K609,'THÀNH PHẨM'!$B:$F,4,0),"")</f>
        <v/>
      </c>
      <c r="N609" s="291" t="str">
        <f>+IFERROR(VLOOKUP(K609,'THÀNH PHẨM'!$B:$F,5,0),"")</f>
        <v/>
      </c>
      <c r="O609" s="289"/>
      <c r="P609" s="292">
        <f t="shared" si="2"/>
        <v>0</v>
      </c>
      <c r="Q609" s="289"/>
      <c r="R609" s="289"/>
      <c r="S609" s="293">
        <f t="shared" si="62"/>
        <v>0</v>
      </c>
      <c r="T609" s="294"/>
      <c r="U609" s="295">
        <f t="shared" si="68"/>
        <v>0</v>
      </c>
      <c r="V609" s="296"/>
      <c r="W609" s="297"/>
      <c r="X609" s="298"/>
      <c r="Y609" s="292" t="str">
        <f t="shared" si="69"/>
        <v/>
      </c>
      <c r="Z609" s="366">
        <f t="shared" si="70"/>
        <v>0</v>
      </c>
      <c r="AA609" s="299" t="str">
        <f t="shared" si="71"/>
        <v/>
      </c>
      <c r="AB609" s="300"/>
      <c r="AC609" s="301"/>
      <c r="AD609" s="302"/>
      <c r="AE609" s="303"/>
      <c r="AF609" s="304"/>
      <c r="AG609" s="304"/>
      <c r="AH609" s="304"/>
      <c r="AI609" s="304"/>
      <c r="AJ609" s="304"/>
      <c r="AK609" s="305"/>
      <c r="AL609" s="283"/>
      <c r="AM609" s="284"/>
    </row>
    <row r="610" ht="15.75" customHeight="1">
      <c r="A610" s="282">
        <f t="shared" si="1"/>
        <v>606</v>
      </c>
      <c r="B610" s="283"/>
      <c r="C610" s="284"/>
      <c r="D610" s="338"/>
      <c r="E610" s="286"/>
      <c r="F610" s="287"/>
      <c r="G610" s="288" t="str">
        <f>+IFERROR(VLOOKUP(F610,NVL!$B:$C,2,0),"")</f>
        <v/>
      </c>
      <c r="H610" s="288" t="str">
        <f>+IFERROR(VLOOKUP(F610,NVL!$B:$D,3,0),"")</f>
        <v/>
      </c>
      <c r="I610" s="288" t="str">
        <f>+IFERROR(VLOOKUP(F610,NVL!$B:$F,4,0),"")</f>
        <v/>
      </c>
      <c r="J610" s="289"/>
      <c r="K610" s="290"/>
      <c r="L610" s="291" t="str">
        <f>+IFERROR(VLOOKUP(K610,'THÀNH PHẨM'!$B:$F,3,0),"")</f>
        <v/>
      </c>
      <c r="M610" s="291" t="str">
        <f>+IFERROR(VLOOKUP(K610,'THÀNH PHẨM'!$B:$F,4,0),"")</f>
        <v/>
      </c>
      <c r="N610" s="291" t="str">
        <f>+IFERROR(VLOOKUP(K610,'THÀNH PHẨM'!$B:$F,5,0),"")</f>
        <v/>
      </c>
      <c r="O610" s="289"/>
      <c r="P610" s="292">
        <f t="shared" si="2"/>
        <v>0</v>
      </c>
      <c r="Q610" s="289"/>
      <c r="R610" s="289"/>
      <c r="S610" s="293">
        <f t="shared" si="62"/>
        <v>0</v>
      </c>
      <c r="T610" s="294"/>
      <c r="U610" s="295">
        <f t="shared" si="68"/>
        <v>0</v>
      </c>
      <c r="V610" s="296"/>
      <c r="W610" s="297"/>
      <c r="X610" s="298"/>
      <c r="Y610" s="292" t="str">
        <f t="shared" si="69"/>
        <v/>
      </c>
      <c r="Z610" s="366">
        <f t="shared" si="70"/>
        <v>0</v>
      </c>
      <c r="AA610" s="299" t="str">
        <f t="shared" si="71"/>
        <v/>
      </c>
      <c r="AB610" s="300"/>
      <c r="AC610" s="301"/>
      <c r="AD610" s="302"/>
      <c r="AE610" s="303"/>
      <c r="AF610" s="304"/>
      <c r="AG610" s="304"/>
      <c r="AH610" s="304"/>
      <c r="AI610" s="304"/>
      <c r="AJ610" s="304"/>
      <c r="AK610" s="305"/>
      <c r="AL610" s="283"/>
      <c r="AM610" s="284"/>
    </row>
    <row r="611" ht="15.75" customHeight="1">
      <c r="A611" s="282">
        <f t="shared" si="1"/>
        <v>607</v>
      </c>
      <c r="B611" s="283"/>
      <c r="C611" s="284"/>
      <c r="D611" s="338"/>
      <c r="E611" s="286"/>
      <c r="F611" s="287"/>
      <c r="G611" s="288" t="str">
        <f>+IFERROR(VLOOKUP(F611,NVL!$B:$C,2,0),"")</f>
        <v/>
      </c>
      <c r="H611" s="288" t="str">
        <f>+IFERROR(VLOOKUP(F611,NVL!$B:$D,3,0),"")</f>
        <v/>
      </c>
      <c r="I611" s="288" t="str">
        <f>+IFERROR(VLOOKUP(F611,NVL!$B:$F,4,0),"")</f>
        <v/>
      </c>
      <c r="J611" s="289"/>
      <c r="K611" s="290"/>
      <c r="L611" s="291" t="str">
        <f>+IFERROR(VLOOKUP(K611,'THÀNH PHẨM'!$B:$F,3,0),"")</f>
        <v/>
      </c>
      <c r="M611" s="291" t="str">
        <f>+IFERROR(VLOOKUP(K611,'THÀNH PHẨM'!$B:$F,4,0),"")</f>
        <v/>
      </c>
      <c r="N611" s="291" t="str">
        <f>+IFERROR(VLOOKUP(K611,'THÀNH PHẨM'!$B:$F,5,0),"")</f>
        <v/>
      </c>
      <c r="O611" s="289"/>
      <c r="P611" s="292">
        <f t="shared" si="2"/>
        <v>0</v>
      </c>
      <c r="Q611" s="289"/>
      <c r="R611" s="289"/>
      <c r="S611" s="293">
        <f t="shared" si="62"/>
        <v>0</v>
      </c>
      <c r="T611" s="294"/>
      <c r="U611" s="295">
        <f t="shared" si="68"/>
        <v>0</v>
      </c>
      <c r="V611" s="296"/>
      <c r="W611" s="297"/>
      <c r="X611" s="298"/>
      <c r="Y611" s="292" t="str">
        <f t="shared" si="69"/>
        <v/>
      </c>
      <c r="Z611" s="366">
        <f t="shared" si="70"/>
        <v>0</v>
      </c>
      <c r="AA611" s="299" t="str">
        <f t="shared" si="71"/>
        <v/>
      </c>
      <c r="AB611" s="300"/>
      <c r="AC611" s="301"/>
      <c r="AD611" s="302"/>
      <c r="AE611" s="303"/>
      <c r="AF611" s="304"/>
      <c r="AG611" s="304"/>
      <c r="AH611" s="304"/>
      <c r="AI611" s="304"/>
      <c r="AJ611" s="304"/>
      <c r="AK611" s="305"/>
      <c r="AL611" s="283"/>
      <c r="AM611" s="284"/>
    </row>
    <row r="612" ht="15.75" customHeight="1">
      <c r="A612" s="282">
        <f t="shared" si="1"/>
        <v>608</v>
      </c>
      <c r="B612" s="283"/>
      <c r="C612" s="284"/>
      <c r="D612" s="338"/>
      <c r="E612" s="286"/>
      <c r="F612" s="287"/>
      <c r="G612" s="288" t="str">
        <f>+IFERROR(VLOOKUP(F612,NVL!$B:$C,2,0),"")</f>
        <v/>
      </c>
      <c r="H612" s="288" t="str">
        <f>+IFERROR(VLOOKUP(F612,NVL!$B:$D,3,0),"")</f>
        <v/>
      </c>
      <c r="I612" s="288" t="str">
        <f>+IFERROR(VLOOKUP(F612,NVL!$B:$F,4,0),"")</f>
        <v/>
      </c>
      <c r="J612" s="289"/>
      <c r="K612" s="290"/>
      <c r="L612" s="291" t="str">
        <f>+IFERROR(VLOOKUP(K612,'THÀNH PHẨM'!$B:$F,3,0),"")</f>
        <v/>
      </c>
      <c r="M612" s="291" t="str">
        <f>+IFERROR(VLOOKUP(K612,'THÀNH PHẨM'!$B:$F,4,0),"")</f>
        <v/>
      </c>
      <c r="N612" s="291" t="str">
        <f>+IFERROR(VLOOKUP(K612,'THÀNH PHẨM'!$B:$F,5,0),"")</f>
        <v/>
      </c>
      <c r="O612" s="289"/>
      <c r="P612" s="292">
        <f t="shared" si="2"/>
        <v>0</v>
      </c>
      <c r="Q612" s="289"/>
      <c r="R612" s="289"/>
      <c r="S612" s="293">
        <f t="shared" si="62"/>
        <v>0</v>
      </c>
      <c r="T612" s="294"/>
      <c r="U612" s="295">
        <f t="shared" si="68"/>
        <v>0</v>
      </c>
      <c r="V612" s="296"/>
      <c r="W612" s="297"/>
      <c r="X612" s="298"/>
      <c r="Y612" s="292" t="str">
        <f t="shared" si="69"/>
        <v/>
      </c>
      <c r="Z612" s="366">
        <f t="shared" si="70"/>
        <v>0</v>
      </c>
      <c r="AA612" s="299" t="str">
        <f t="shared" si="71"/>
        <v/>
      </c>
      <c r="AB612" s="300"/>
      <c r="AC612" s="301"/>
      <c r="AD612" s="302"/>
      <c r="AE612" s="303"/>
      <c r="AF612" s="304"/>
      <c r="AG612" s="304"/>
      <c r="AH612" s="304"/>
      <c r="AI612" s="304"/>
      <c r="AJ612" s="304"/>
      <c r="AK612" s="305"/>
      <c r="AL612" s="283"/>
      <c r="AM612" s="284"/>
    </row>
    <row r="613" ht="15.75" customHeight="1">
      <c r="A613" s="282">
        <f t="shared" si="1"/>
        <v>609</v>
      </c>
      <c r="B613" s="283"/>
      <c r="C613" s="284"/>
      <c r="D613" s="338"/>
      <c r="E613" s="286"/>
      <c r="F613" s="287"/>
      <c r="G613" s="288" t="str">
        <f>+IFERROR(VLOOKUP(F613,NVL!$B:$C,2,0),"")</f>
        <v/>
      </c>
      <c r="H613" s="288" t="str">
        <f>+IFERROR(VLOOKUP(F613,NVL!$B:$D,3,0),"")</f>
        <v/>
      </c>
      <c r="I613" s="288" t="str">
        <f>+IFERROR(VLOOKUP(F613,NVL!$B:$F,4,0),"")</f>
        <v/>
      </c>
      <c r="J613" s="289"/>
      <c r="K613" s="290"/>
      <c r="L613" s="291" t="str">
        <f>+IFERROR(VLOOKUP(K613,'THÀNH PHẨM'!$B:$F,3,0),"")</f>
        <v/>
      </c>
      <c r="M613" s="291" t="str">
        <f>+IFERROR(VLOOKUP(K613,'THÀNH PHẨM'!$B:$F,4,0),"")</f>
        <v/>
      </c>
      <c r="N613" s="291" t="str">
        <f>+IFERROR(VLOOKUP(K613,'THÀNH PHẨM'!$B:$F,5,0),"")</f>
        <v/>
      </c>
      <c r="O613" s="289"/>
      <c r="P613" s="292">
        <f t="shared" si="2"/>
        <v>0</v>
      </c>
      <c r="Q613" s="289"/>
      <c r="R613" s="289"/>
      <c r="S613" s="293">
        <f t="shared" si="62"/>
        <v>0</v>
      </c>
      <c r="T613" s="294"/>
      <c r="U613" s="295">
        <f t="shared" si="68"/>
        <v>0</v>
      </c>
      <c r="V613" s="296"/>
      <c r="W613" s="297"/>
      <c r="X613" s="298"/>
      <c r="Y613" s="292" t="str">
        <f t="shared" si="69"/>
        <v/>
      </c>
      <c r="Z613" s="366">
        <f t="shared" si="70"/>
        <v>0</v>
      </c>
      <c r="AA613" s="299" t="str">
        <f t="shared" si="71"/>
        <v/>
      </c>
      <c r="AB613" s="300"/>
      <c r="AC613" s="301"/>
      <c r="AD613" s="302"/>
      <c r="AE613" s="303"/>
      <c r="AF613" s="304"/>
      <c r="AG613" s="304"/>
      <c r="AH613" s="304"/>
      <c r="AI613" s="304"/>
      <c r="AJ613" s="304"/>
      <c r="AK613" s="305"/>
      <c r="AL613" s="283"/>
      <c r="AM613" s="284"/>
    </row>
    <row r="614" ht="15.75" customHeight="1">
      <c r="A614" s="282">
        <f t="shared" si="1"/>
        <v>610</v>
      </c>
      <c r="B614" s="283"/>
      <c r="C614" s="284"/>
      <c r="D614" s="338"/>
      <c r="E614" s="286"/>
      <c r="F614" s="287"/>
      <c r="G614" s="288" t="str">
        <f>+IFERROR(VLOOKUP(F614,NVL!$B:$C,2,0),"")</f>
        <v/>
      </c>
      <c r="H614" s="288" t="str">
        <f>+IFERROR(VLOOKUP(F614,NVL!$B:$D,3,0),"")</f>
        <v/>
      </c>
      <c r="I614" s="288" t="str">
        <f>+IFERROR(VLOOKUP(F614,NVL!$B:$F,4,0),"")</f>
        <v/>
      </c>
      <c r="J614" s="289"/>
      <c r="K614" s="290"/>
      <c r="L614" s="291" t="str">
        <f>+IFERROR(VLOOKUP(K614,'THÀNH PHẨM'!$B:$F,3,0),"")</f>
        <v/>
      </c>
      <c r="M614" s="291" t="str">
        <f>+IFERROR(VLOOKUP(K614,'THÀNH PHẨM'!$B:$F,4,0),"")</f>
        <v/>
      </c>
      <c r="N614" s="291" t="str">
        <f>+IFERROR(VLOOKUP(K614,'THÀNH PHẨM'!$B:$F,5,0),"")</f>
        <v/>
      </c>
      <c r="O614" s="289"/>
      <c r="P614" s="292">
        <f t="shared" si="2"/>
        <v>0</v>
      </c>
      <c r="Q614" s="289"/>
      <c r="R614" s="289"/>
      <c r="S614" s="293">
        <f t="shared" si="62"/>
        <v>0</v>
      </c>
      <c r="T614" s="294"/>
      <c r="U614" s="295">
        <f t="shared" si="68"/>
        <v>0</v>
      </c>
      <c r="V614" s="296"/>
      <c r="W614" s="297"/>
      <c r="X614" s="298"/>
      <c r="Y614" s="292" t="str">
        <f t="shared" si="69"/>
        <v/>
      </c>
      <c r="Z614" s="366">
        <f t="shared" si="70"/>
        <v>0</v>
      </c>
      <c r="AA614" s="299" t="str">
        <f t="shared" si="71"/>
        <v/>
      </c>
      <c r="AB614" s="300"/>
      <c r="AC614" s="301"/>
      <c r="AD614" s="302"/>
      <c r="AE614" s="303"/>
      <c r="AF614" s="304"/>
      <c r="AG614" s="304"/>
      <c r="AH614" s="304"/>
      <c r="AI614" s="304"/>
      <c r="AJ614" s="304"/>
      <c r="AK614" s="305"/>
      <c r="AL614" s="283"/>
      <c r="AM614" s="284"/>
    </row>
    <row r="615" ht="15.75" customHeight="1">
      <c r="A615" s="282">
        <f t="shared" si="1"/>
        <v>611</v>
      </c>
      <c r="B615" s="283"/>
      <c r="C615" s="284"/>
      <c r="D615" s="338"/>
      <c r="E615" s="286"/>
      <c r="F615" s="287"/>
      <c r="G615" s="288" t="str">
        <f>+IFERROR(VLOOKUP(F615,NVL!$B:$C,2,0),"")</f>
        <v/>
      </c>
      <c r="H615" s="288" t="str">
        <f>+IFERROR(VLOOKUP(F615,NVL!$B:$D,3,0),"")</f>
        <v/>
      </c>
      <c r="I615" s="288" t="str">
        <f>+IFERROR(VLOOKUP(F615,NVL!$B:$F,4,0),"")</f>
        <v/>
      </c>
      <c r="J615" s="289"/>
      <c r="K615" s="290"/>
      <c r="L615" s="291" t="str">
        <f>+IFERROR(VLOOKUP(K615,'THÀNH PHẨM'!$B:$F,3,0),"")</f>
        <v/>
      </c>
      <c r="M615" s="291" t="str">
        <f>+IFERROR(VLOOKUP(K615,'THÀNH PHẨM'!$B:$F,4,0),"")</f>
        <v/>
      </c>
      <c r="N615" s="291" t="str">
        <f>+IFERROR(VLOOKUP(K615,'THÀNH PHẨM'!$B:$F,5,0),"")</f>
        <v/>
      </c>
      <c r="O615" s="289"/>
      <c r="P615" s="292">
        <f t="shared" si="2"/>
        <v>0</v>
      </c>
      <c r="Q615" s="289"/>
      <c r="R615" s="289"/>
      <c r="S615" s="293">
        <f t="shared" si="62"/>
        <v>0</v>
      </c>
      <c r="T615" s="294"/>
      <c r="U615" s="295">
        <f t="shared" si="68"/>
        <v>0</v>
      </c>
      <c r="V615" s="296"/>
      <c r="W615" s="297"/>
      <c r="X615" s="298"/>
      <c r="Y615" s="292" t="str">
        <f t="shared" si="69"/>
        <v/>
      </c>
      <c r="Z615" s="366">
        <f t="shared" si="70"/>
        <v>0</v>
      </c>
      <c r="AA615" s="299" t="str">
        <f t="shared" si="71"/>
        <v/>
      </c>
      <c r="AB615" s="300"/>
      <c r="AC615" s="301"/>
      <c r="AD615" s="302"/>
      <c r="AE615" s="303"/>
      <c r="AF615" s="304"/>
      <c r="AG615" s="304"/>
      <c r="AH615" s="304"/>
      <c r="AI615" s="304"/>
      <c r="AJ615" s="304"/>
      <c r="AK615" s="305"/>
      <c r="AL615" s="283"/>
      <c r="AM615" s="284"/>
    </row>
    <row r="616" ht="15.75" customHeight="1">
      <c r="A616" s="282">
        <f t="shared" si="1"/>
        <v>612</v>
      </c>
      <c r="B616" s="283"/>
      <c r="C616" s="284"/>
      <c r="D616" s="338"/>
      <c r="E616" s="286"/>
      <c r="F616" s="287"/>
      <c r="G616" s="288" t="str">
        <f>+IFERROR(VLOOKUP(F616,NVL!$B:$C,2,0),"")</f>
        <v/>
      </c>
      <c r="H616" s="288" t="str">
        <f>+IFERROR(VLOOKUP(F616,NVL!$B:$D,3,0),"")</f>
        <v/>
      </c>
      <c r="I616" s="288" t="str">
        <f>+IFERROR(VLOOKUP(F616,NVL!$B:$F,4,0),"")</f>
        <v/>
      </c>
      <c r="J616" s="289"/>
      <c r="K616" s="290"/>
      <c r="L616" s="291" t="str">
        <f>+IFERROR(VLOOKUP(K616,'THÀNH PHẨM'!$B:$F,3,0),"")</f>
        <v/>
      </c>
      <c r="M616" s="291" t="str">
        <f>+IFERROR(VLOOKUP(K616,'THÀNH PHẨM'!$B:$F,4,0),"")</f>
        <v/>
      </c>
      <c r="N616" s="291" t="str">
        <f>+IFERROR(VLOOKUP(K616,'THÀNH PHẨM'!$B:$F,5,0),"")</f>
        <v/>
      </c>
      <c r="O616" s="289"/>
      <c r="P616" s="292">
        <f t="shared" si="2"/>
        <v>0</v>
      </c>
      <c r="Q616" s="289"/>
      <c r="R616" s="289"/>
      <c r="S616" s="293">
        <f t="shared" si="62"/>
        <v>0</v>
      </c>
      <c r="T616" s="294"/>
      <c r="U616" s="295">
        <f t="shared" si="68"/>
        <v>0</v>
      </c>
      <c r="V616" s="296"/>
      <c r="W616" s="297"/>
      <c r="X616" s="298"/>
      <c r="Y616" s="292" t="str">
        <f t="shared" si="69"/>
        <v/>
      </c>
      <c r="Z616" s="366">
        <f t="shared" si="70"/>
        <v>0</v>
      </c>
      <c r="AA616" s="299" t="str">
        <f t="shared" si="71"/>
        <v/>
      </c>
      <c r="AB616" s="300"/>
      <c r="AC616" s="301"/>
      <c r="AD616" s="302"/>
      <c r="AE616" s="303"/>
      <c r="AF616" s="304"/>
      <c r="AG616" s="304"/>
      <c r="AH616" s="304"/>
      <c r="AI616" s="304"/>
      <c r="AJ616" s="304"/>
      <c r="AK616" s="305"/>
      <c r="AL616" s="283"/>
      <c r="AM616" s="284"/>
    </row>
    <row r="617" ht="15.75" customHeight="1">
      <c r="A617" s="282">
        <f t="shared" si="1"/>
        <v>613</v>
      </c>
      <c r="B617" s="283"/>
      <c r="C617" s="284"/>
      <c r="D617" s="338"/>
      <c r="E617" s="286"/>
      <c r="F617" s="287"/>
      <c r="G617" s="288" t="str">
        <f>+IFERROR(VLOOKUP(F617,NVL!$B:$C,2,0),"")</f>
        <v/>
      </c>
      <c r="H617" s="288" t="str">
        <f>+IFERROR(VLOOKUP(F617,NVL!$B:$D,3,0),"")</f>
        <v/>
      </c>
      <c r="I617" s="288" t="str">
        <f>+IFERROR(VLOOKUP(F617,NVL!$B:$F,4,0),"")</f>
        <v/>
      </c>
      <c r="J617" s="289"/>
      <c r="K617" s="290"/>
      <c r="L617" s="291" t="str">
        <f>+IFERROR(VLOOKUP(K617,'THÀNH PHẨM'!$B:$F,3,0),"")</f>
        <v/>
      </c>
      <c r="M617" s="291" t="str">
        <f>+IFERROR(VLOOKUP(K617,'THÀNH PHẨM'!$B:$F,4,0),"")</f>
        <v/>
      </c>
      <c r="N617" s="291" t="str">
        <f>+IFERROR(VLOOKUP(K617,'THÀNH PHẨM'!$B:$F,5,0),"")</f>
        <v/>
      </c>
      <c r="O617" s="289"/>
      <c r="P617" s="292">
        <f t="shared" si="2"/>
        <v>0</v>
      </c>
      <c r="Q617" s="289"/>
      <c r="R617" s="289"/>
      <c r="S617" s="293">
        <f t="shared" si="62"/>
        <v>0</v>
      </c>
      <c r="T617" s="294"/>
      <c r="U617" s="295">
        <f t="shared" si="68"/>
        <v>0</v>
      </c>
      <c r="V617" s="296"/>
      <c r="W617" s="297"/>
      <c r="X617" s="298"/>
      <c r="Y617" s="292" t="str">
        <f t="shared" si="69"/>
        <v/>
      </c>
      <c r="Z617" s="366">
        <f t="shared" si="70"/>
        <v>0</v>
      </c>
      <c r="AA617" s="299" t="str">
        <f t="shared" si="71"/>
        <v/>
      </c>
      <c r="AB617" s="300"/>
      <c r="AC617" s="301"/>
      <c r="AD617" s="302"/>
      <c r="AE617" s="303"/>
      <c r="AF617" s="304"/>
      <c r="AG617" s="304"/>
      <c r="AH617" s="304"/>
      <c r="AI617" s="304"/>
      <c r="AJ617" s="304"/>
      <c r="AK617" s="305"/>
      <c r="AL617" s="283"/>
      <c r="AM617" s="284"/>
    </row>
    <row r="618" ht="15.75" customHeight="1">
      <c r="A618" s="282">
        <f t="shared" si="1"/>
        <v>614</v>
      </c>
      <c r="B618" s="283"/>
      <c r="C618" s="284"/>
      <c r="D618" s="338"/>
      <c r="E618" s="286"/>
      <c r="F618" s="287"/>
      <c r="G618" s="288" t="str">
        <f>+IFERROR(VLOOKUP(F618,NVL!$B:$C,2,0),"")</f>
        <v/>
      </c>
      <c r="H618" s="288" t="str">
        <f>+IFERROR(VLOOKUP(F618,NVL!$B:$D,3,0),"")</f>
        <v/>
      </c>
      <c r="I618" s="288" t="str">
        <f>+IFERROR(VLOOKUP(F618,NVL!$B:$F,4,0),"")</f>
        <v/>
      </c>
      <c r="J618" s="289"/>
      <c r="K618" s="290"/>
      <c r="L618" s="291" t="str">
        <f>+IFERROR(VLOOKUP(K618,'THÀNH PHẨM'!$B:$F,3,0),"")</f>
        <v/>
      </c>
      <c r="M618" s="291" t="str">
        <f>+IFERROR(VLOOKUP(K618,'THÀNH PHẨM'!$B:$F,4,0),"")</f>
        <v/>
      </c>
      <c r="N618" s="291" t="str">
        <f>+IFERROR(VLOOKUP(K618,'THÀNH PHẨM'!$B:$F,5,0),"")</f>
        <v/>
      </c>
      <c r="O618" s="289"/>
      <c r="P618" s="292">
        <f t="shared" si="2"/>
        <v>0</v>
      </c>
      <c r="Q618" s="289"/>
      <c r="R618" s="289"/>
      <c r="S618" s="293">
        <f t="shared" si="62"/>
        <v>0</v>
      </c>
      <c r="T618" s="294"/>
      <c r="U618" s="295">
        <f t="shared" si="68"/>
        <v>0</v>
      </c>
      <c r="V618" s="296"/>
      <c r="W618" s="297"/>
      <c r="X618" s="298"/>
      <c r="Y618" s="292" t="str">
        <f t="shared" si="69"/>
        <v/>
      </c>
      <c r="Z618" s="366">
        <f t="shared" si="70"/>
        <v>0</v>
      </c>
      <c r="AA618" s="299" t="str">
        <f t="shared" si="71"/>
        <v/>
      </c>
      <c r="AB618" s="300"/>
      <c r="AC618" s="301"/>
      <c r="AD618" s="302"/>
      <c r="AE618" s="303"/>
      <c r="AF618" s="304"/>
      <c r="AG618" s="304"/>
      <c r="AH618" s="304"/>
      <c r="AI618" s="304"/>
      <c r="AJ618" s="304"/>
      <c r="AK618" s="305"/>
      <c r="AL618" s="283"/>
      <c r="AM618" s="284"/>
    </row>
    <row r="619" ht="15.75" customHeight="1">
      <c r="A619" s="282">
        <f t="shared" si="1"/>
        <v>615</v>
      </c>
      <c r="B619" s="283"/>
      <c r="C619" s="284"/>
      <c r="D619" s="338"/>
      <c r="E619" s="286"/>
      <c r="F619" s="287"/>
      <c r="G619" s="288" t="str">
        <f>+IFERROR(VLOOKUP(F619,NVL!$B:$C,2,0),"")</f>
        <v/>
      </c>
      <c r="H619" s="288" t="str">
        <f>+IFERROR(VLOOKUP(F619,NVL!$B:$D,3,0),"")</f>
        <v/>
      </c>
      <c r="I619" s="288" t="str">
        <f>+IFERROR(VLOOKUP(F619,NVL!$B:$F,4,0),"")</f>
        <v/>
      </c>
      <c r="J619" s="289"/>
      <c r="K619" s="290"/>
      <c r="L619" s="291" t="str">
        <f>+IFERROR(VLOOKUP(K619,'THÀNH PHẨM'!$B:$F,3,0),"")</f>
        <v/>
      </c>
      <c r="M619" s="291" t="str">
        <f>+IFERROR(VLOOKUP(K619,'THÀNH PHẨM'!$B:$F,4,0),"")</f>
        <v/>
      </c>
      <c r="N619" s="291" t="str">
        <f>+IFERROR(VLOOKUP(K619,'THÀNH PHẨM'!$B:$F,5,0),"")</f>
        <v/>
      </c>
      <c r="O619" s="289"/>
      <c r="P619" s="292">
        <f t="shared" si="2"/>
        <v>0</v>
      </c>
      <c r="Q619" s="289"/>
      <c r="R619" s="289"/>
      <c r="S619" s="293">
        <f t="shared" si="62"/>
        <v>0</v>
      </c>
      <c r="T619" s="294"/>
      <c r="U619" s="295">
        <f t="shared" si="68"/>
        <v>0</v>
      </c>
      <c r="V619" s="296"/>
      <c r="W619" s="297"/>
      <c r="X619" s="298"/>
      <c r="Y619" s="292" t="str">
        <f t="shared" si="69"/>
        <v/>
      </c>
      <c r="Z619" s="366">
        <f t="shared" si="70"/>
        <v>0</v>
      </c>
      <c r="AA619" s="299" t="str">
        <f t="shared" si="71"/>
        <v/>
      </c>
      <c r="AB619" s="300"/>
      <c r="AC619" s="301"/>
      <c r="AD619" s="302"/>
      <c r="AE619" s="303"/>
      <c r="AF619" s="304"/>
      <c r="AG619" s="304"/>
      <c r="AH619" s="304"/>
      <c r="AI619" s="304"/>
      <c r="AJ619" s="304"/>
      <c r="AK619" s="305"/>
      <c r="AL619" s="283"/>
      <c r="AM619" s="284"/>
    </row>
    <row r="620" ht="15.75" customHeight="1">
      <c r="A620" s="282">
        <f t="shared" si="1"/>
        <v>616</v>
      </c>
      <c r="B620" s="283"/>
      <c r="C620" s="284"/>
      <c r="D620" s="338"/>
      <c r="E620" s="286"/>
      <c r="F620" s="287"/>
      <c r="G620" s="288" t="str">
        <f>+IFERROR(VLOOKUP(F620,NVL!$B:$C,2,0),"")</f>
        <v/>
      </c>
      <c r="H620" s="288" t="str">
        <f>+IFERROR(VLOOKUP(F620,NVL!$B:$D,3,0),"")</f>
        <v/>
      </c>
      <c r="I620" s="288" t="str">
        <f>+IFERROR(VLOOKUP(F620,NVL!$B:$F,4,0),"")</f>
        <v/>
      </c>
      <c r="J620" s="289"/>
      <c r="K620" s="290"/>
      <c r="L620" s="291" t="str">
        <f>+IFERROR(VLOOKUP(K620,'THÀNH PHẨM'!$B:$F,3,0),"")</f>
        <v/>
      </c>
      <c r="M620" s="291" t="str">
        <f>+IFERROR(VLOOKUP(K620,'THÀNH PHẨM'!$B:$F,4,0),"")</f>
        <v/>
      </c>
      <c r="N620" s="291" t="str">
        <f>+IFERROR(VLOOKUP(K620,'THÀNH PHẨM'!$B:$F,5,0),"")</f>
        <v/>
      </c>
      <c r="O620" s="289"/>
      <c r="P620" s="292">
        <f t="shared" si="2"/>
        <v>0</v>
      </c>
      <c r="Q620" s="289"/>
      <c r="R620" s="289"/>
      <c r="S620" s="293">
        <f t="shared" si="62"/>
        <v>0</v>
      </c>
      <c r="T620" s="294"/>
      <c r="U620" s="295">
        <f t="shared" si="68"/>
        <v>0</v>
      </c>
      <c r="V620" s="296"/>
      <c r="W620" s="297"/>
      <c r="X620" s="298"/>
      <c r="Y620" s="292" t="str">
        <f t="shared" si="69"/>
        <v/>
      </c>
      <c r="Z620" s="366">
        <f t="shared" si="70"/>
        <v>0</v>
      </c>
      <c r="AA620" s="299" t="str">
        <f t="shared" si="71"/>
        <v/>
      </c>
      <c r="AB620" s="300"/>
      <c r="AC620" s="301"/>
      <c r="AD620" s="302"/>
      <c r="AE620" s="303"/>
      <c r="AF620" s="304"/>
      <c r="AG620" s="304"/>
      <c r="AH620" s="304"/>
      <c r="AI620" s="304"/>
      <c r="AJ620" s="304"/>
      <c r="AK620" s="305"/>
      <c r="AL620" s="283"/>
      <c r="AM620" s="284"/>
    </row>
    <row r="621" ht="15.75" customHeight="1">
      <c r="A621" s="282">
        <f t="shared" si="1"/>
        <v>617</v>
      </c>
      <c r="B621" s="283"/>
      <c r="C621" s="284"/>
      <c r="D621" s="338"/>
      <c r="E621" s="286"/>
      <c r="F621" s="287"/>
      <c r="G621" s="288" t="str">
        <f>+IFERROR(VLOOKUP(F621,NVL!$B:$C,2,0),"")</f>
        <v/>
      </c>
      <c r="H621" s="288" t="str">
        <f>+IFERROR(VLOOKUP(F621,NVL!$B:$D,3,0),"")</f>
        <v/>
      </c>
      <c r="I621" s="288" t="str">
        <f>+IFERROR(VLOOKUP(F621,NVL!$B:$F,4,0),"")</f>
        <v/>
      </c>
      <c r="J621" s="289"/>
      <c r="K621" s="290"/>
      <c r="L621" s="291" t="str">
        <f>+IFERROR(VLOOKUP(K621,'THÀNH PHẨM'!$B:$F,3,0),"")</f>
        <v/>
      </c>
      <c r="M621" s="291" t="str">
        <f>+IFERROR(VLOOKUP(K621,'THÀNH PHẨM'!$B:$F,4,0),"")</f>
        <v/>
      </c>
      <c r="N621" s="291" t="str">
        <f>+IFERROR(VLOOKUP(K621,'THÀNH PHẨM'!$B:$F,5,0),"")</f>
        <v/>
      </c>
      <c r="O621" s="289"/>
      <c r="P621" s="292">
        <f t="shared" si="2"/>
        <v>0</v>
      </c>
      <c r="Q621" s="289"/>
      <c r="R621" s="289"/>
      <c r="S621" s="293">
        <f t="shared" si="62"/>
        <v>0</v>
      </c>
      <c r="T621" s="294"/>
      <c r="U621" s="295">
        <f t="shared" si="68"/>
        <v>0</v>
      </c>
      <c r="V621" s="296"/>
      <c r="W621" s="297"/>
      <c r="X621" s="298"/>
      <c r="Y621" s="292" t="str">
        <f t="shared" si="69"/>
        <v/>
      </c>
      <c r="Z621" s="366">
        <f t="shared" si="70"/>
        <v>0</v>
      </c>
      <c r="AA621" s="299" t="str">
        <f t="shared" si="71"/>
        <v/>
      </c>
      <c r="AB621" s="300"/>
      <c r="AC621" s="301"/>
      <c r="AD621" s="302"/>
      <c r="AE621" s="303"/>
      <c r="AF621" s="304"/>
      <c r="AG621" s="304"/>
      <c r="AH621" s="304"/>
      <c r="AI621" s="304"/>
      <c r="AJ621" s="304"/>
      <c r="AK621" s="305"/>
      <c r="AL621" s="283"/>
      <c r="AM621" s="284"/>
    </row>
    <row r="622" ht="15.75" customHeight="1">
      <c r="A622" s="282">
        <f t="shared" si="1"/>
        <v>618</v>
      </c>
      <c r="B622" s="283"/>
      <c r="C622" s="284"/>
      <c r="D622" s="338"/>
      <c r="E622" s="286"/>
      <c r="F622" s="287"/>
      <c r="G622" s="288" t="str">
        <f>+IFERROR(VLOOKUP(F622,NVL!$B:$C,2,0),"")</f>
        <v/>
      </c>
      <c r="H622" s="288" t="str">
        <f>+IFERROR(VLOOKUP(F622,NVL!$B:$D,3,0),"")</f>
        <v/>
      </c>
      <c r="I622" s="288" t="str">
        <f>+IFERROR(VLOOKUP(F622,NVL!$B:$F,4,0),"")</f>
        <v/>
      </c>
      <c r="J622" s="289"/>
      <c r="K622" s="290"/>
      <c r="L622" s="291" t="str">
        <f>+IFERROR(VLOOKUP(K622,'THÀNH PHẨM'!$B:$F,3,0),"")</f>
        <v/>
      </c>
      <c r="M622" s="291" t="str">
        <f>+IFERROR(VLOOKUP(K622,'THÀNH PHẨM'!$B:$F,4,0),"")</f>
        <v/>
      </c>
      <c r="N622" s="291" t="str">
        <f>+IFERROR(VLOOKUP(K622,'THÀNH PHẨM'!$B:$F,5,0),"")</f>
        <v/>
      </c>
      <c r="O622" s="289"/>
      <c r="P622" s="292">
        <f t="shared" si="2"/>
        <v>0</v>
      </c>
      <c r="Q622" s="289"/>
      <c r="R622" s="289"/>
      <c r="S622" s="293">
        <f t="shared" si="62"/>
        <v>0</v>
      </c>
      <c r="T622" s="294"/>
      <c r="U622" s="295">
        <f t="shared" si="68"/>
        <v>0</v>
      </c>
      <c r="V622" s="296"/>
      <c r="W622" s="297"/>
      <c r="X622" s="298"/>
      <c r="Y622" s="292" t="str">
        <f t="shared" si="69"/>
        <v/>
      </c>
      <c r="Z622" s="366">
        <f t="shared" si="70"/>
        <v>0</v>
      </c>
      <c r="AA622" s="299" t="str">
        <f t="shared" si="71"/>
        <v/>
      </c>
      <c r="AB622" s="300"/>
      <c r="AC622" s="301"/>
      <c r="AD622" s="302"/>
      <c r="AE622" s="303"/>
      <c r="AF622" s="304"/>
      <c r="AG622" s="304"/>
      <c r="AH622" s="304"/>
      <c r="AI622" s="304"/>
      <c r="AJ622" s="304"/>
      <c r="AK622" s="305"/>
      <c r="AL622" s="283"/>
      <c r="AM622" s="284"/>
    </row>
    <row r="623" ht="15.75" customHeight="1">
      <c r="A623" s="282">
        <f t="shared" si="1"/>
        <v>619</v>
      </c>
      <c r="B623" s="283"/>
      <c r="C623" s="284"/>
      <c r="D623" s="338"/>
      <c r="E623" s="286"/>
      <c r="F623" s="287"/>
      <c r="G623" s="288" t="str">
        <f>+IFERROR(VLOOKUP(F623,NVL!$B:$C,2,0),"")</f>
        <v/>
      </c>
      <c r="H623" s="288" t="str">
        <f>+IFERROR(VLOOKUP(F623,NVL!$B:$D,3,0),"")</f>
        <v/>
      </c>
      <c r="I623" s="288" t="str">
        <f>+IFERROR(VLOOKUP(F623,NVL!$B:$F,4,0),"")</f>
        <v/>
      </c>
      <c r="J623" s="289"/>
      <c r="K623" s="290"/>
      <c r="L623" s="291" t="str">
        <f>+IFERROR(VLOOKUP(K623,'THÀNH PHẨM'!$B:$F,3,0),"")</f>
        <v/>
      </c>
      <c r="M623" s="291" t="str">
        <f>+IFERROR(VLOOKUP(K623,'THÀNH PHẨM'!$B:$F,4,0),"")</f>
        <v/>
      </c>
      <c r="N623" s="291" t="str">
        <f>+IFERROR(VLOOKUP(K623,'THÀNH PHẨM'!$B:$F,5,0),"")</f>
        <v/>
      </c>
      <c r="O623" s="289"/>
      <c r="P623" s="292">
        <f t="shared" si="2"/>
        <v>0</v>
      </c>
      <c r="Q623" s="289"/>
      <c r="R623" s="289"/>
      <c r="S623" s="293">
        <f t="shared" si="62"/>
        <v>0</v>
      </c>
      <c r="T623" s="294"/>
      <c r="U623" s="295">
        <f t="shared" si="68"/>
        <v>0</v>
      </c>
      <c r="V623" s="296"/>
      <c r="W623" s="297"/>
      <c r="X623" s="298"/>
      <c r="Y623" s="292" t="str">
        <f t="shared" si="69"/>
        <v/>
      </c>
      <c r="Z623" s="366">
        <f t="shared" si="70"/>
        <v>0</v>
      </c>
      <c r="AA623" s="299" t="str">
        <f t="shared" si="71"/>
        <v/>
      </c>
      <c r="AB623" s="300"/>
      <c r="AC623" s="301"/>
      <c r="AD623" s="302"/>
      <c r="AE623" s="303"/>
      <c r="AF623" s="304"/>
      <c r="AG623" s="304"/>
      <c r="AH623" s="304"/>
      <c r="AI623" s="304"/>
      <c r="AJ623" s="304"/>
      <c r="AK623" s="305"/>
      <c r="AL623" s="283"/>
      <c r="AM623" s="284"/>
    </row>
    <row r="624" ht="15.75" customHeight="1">
      <c r="A624" s="282">
        <f t="shared" si="1"/>
        <v>620</v>
      </c>
      <c r="B624" s="283"/>
      <c r="C624" s="284"/>
      <c r="D624" s="338"/>
      <c r="E624" s="286"/>
      <c r="F624" s="287"/>
      <c r="G624" s="288" t="str">
        <f>+IFERROR(VLOOKUP(F624,NVL!$B:$C,2,0),"")</f>
        <v/>
      </c>
      <c r="H624" s="288" t="str">
        <f>+IFERROR(VLOOKUP(F624,NVL!$B:$D,3,0),"")</f>
        <v/>
      </c>
      <c r="I624" s="288" t="str">
        <f>+IFERROR(VLOOKUP(F624,NVL!$B:$F,4,0),"")</f>
        <v/>
      </c>
      <c r="J624" s="289"/>
      <c r="K624" s="290"/>
      <c r="L624" s="291" t="str">
        <f>+IFERROR(VLOOKUP(K624,'THÀNH PHẨM'!$B:$F,3,0),"")</f>
        <v/>
      </c>
      <c r="M624" s="291" t="str">
        <f>+IFERROR(VLOOKUP(K624,'THÀNH PHẨM'!$B:$F,4,0),"")</f>
        <v/>
      </c>
      <c r="N624" s="291" t="str">
        <f>+IFERROR(VLOOKUP(K624,'THÀNH PHẨM'!$B:$F,5,0),"")</f>
        <v/>
      </c>
      <c r="O624" s="289"/>
      <c r="P624" s="292">
        <f t="shared" si="2"/>
        <v>0</v>
      </c>
      <c r="Q624" s="289"/>
      <c r="R624" s="289"/>
      <c r="S624" s="293">
        <f t="shared" si="62"/>
        <v>0</v>
      </c>
      <c r="T624" s="294"/>
      <c r="U624" s="295">
        <f t="shared" si="68"/>
        <v>0</v>
      </c>
      <c r="V624" s="296"/>
      <c r="W624" s="297"/>
      <c r="X624" s="298"/>
      <c r="Y624" s="292" t="str">
        <f t="shared" si="69"/>
        <v/>
      </c>
      <c r="Z624" s="366">
        <f t="shared" si="70"/>
        <v>0</v>
      </c>
      <c r="AA624" s="299" t="str">
        <f t="shared" si="71"/>
        <v/>
      </c>
      <c r="AB624" s="300"/>
      <c r="AC624" s="301"/>
      <c r="AD624" s="302"/>
      <c r="AE624" s="303"/>
      <c r="AF624" s="304"/>
      <c r="AG624" s="304"/>
      <c r="AH624" s="304"/>
      <c r="AI624" s="304"/>
      <c r="AJ624" s="304"/>
      <c r="AK624" s="305"/>
      <c r="AL624" s="283"/>
      <c r="AM624" s="284"/>
    </row>
    <row r="625" ht="15.75" customHeight="1">
      <c r="A625" s="282">
        <f t="shared" si="1"/>
        <v>621</v>
      </c>
      <c r="B625" s="283"/>
      <c r="C625" s="284"/>
      <c r="D625" s="338"/>
      <c r="E625" s="286"/>
      <c r="F625" s="287"/>
      <c r="G625" s="288" t="str">
        <f>+IFERROR(VLOOKUP(F625,NVL!$B:$C,2,0),"")</f>
        <v/>
      </c>
      <c r="H625" s="288" t="str">
        <f>+IFERROR(VLOOKUP(F625,NVL!$B:$D,3,0),"")</f>
        <v/>
      </c>
      <c r="I625" s="288" t="str">
        <f>+IFERROR(VLOOKUP(F625,NVL!$B:$F,4,0),"")</f>
        <v/>
      </c>
      <c r="J625" s="289"/>
      <c r="K625" s="290"/>
      <c r="L625" s="291" t="str">
        <f>+IFERROR(VLOOKUP(K625,'THÀNH PHẨM'!$B:$F,3,0),"")</f>
        <v/>
      </c>
      <c r="M625" s="291" t="str">
        <f>+IFERROR(VLOOKUP(K625,'THÀNH PHẨM'!$B:$F,4,0),"")</f>
        <v/>
      </c>
      <c r="N625" s="291" t="str">
        <f>+IFERROR(VLOOKUP(K625,'THÀNH PHẨM'!$B:$F,5,0),"")</f>
        <v/>
      </c>
      <c r="O625" s="289"/>
      <c r="P625" s="292">
        <f t="shared" si="2"/>
        <v>0</v>
      </c>
      <c r="Q625" s="289"/>
      <c r="R625" s="289"/>
      <c r="S625" s="293">
        <f t="shared" si="62"/>
        <v>0</v>
      </c>
      <c r="T625" s="294"/>
      <c r="U625" s="295">
        <f t="shared" si="68"/>
        <v>0</v>
      </c>
      <c r="V625" s="296"/>
      <c r="W625" s="297"/>
      <c r="X625" s="298"/>
      <c r="Y625" s="292" t="str">
        <f t="shared" si="69"/>
        <v/>
      </c>
      <c r="Z625" s="366">
        <f t="shared" si="70"/>
        <v>0</v>
      </c>
      <c r="AA625" s="299" t="str">
        <f t="shared" si="71"/>
        <v/>
      </c>
      <c r="AB625" s="300"/>
      <c r="AC625" s="301"/>
      <c r="AD625" s="302"/>
      <c r="AE625" s="303"/>
      <c r="AF625" s="304"/>
      <c r="AG625" s="304"/>
      <c r="AH625" s="304"/>
      <c r="AI625" s="304"/>
      <c r="AJ625" s="304"/>
      <c r="AK625" s="305"/>
      <c r="AL625" s="283"/>
      <c r="AM625" s="284"/>
    </row>
    <row r="626" ht="15.75" customHeight="1">
      <c r="A626" s="282">
        <f t="shared" si="1"/>
        <v>622</v>
      </c>
      <c r="B626" s="283"/>
      <c r="C626" s="284"/>
      <c r="D626" s="338"/>
      <c r="E626" s="286"/>
      <c r="F626" s="287"/>
      <c r="G626" s="288" t="str">
        <f>+IFERROR(VLOOKUP(F626,NVL!$B:$C,2,0),"")</f>
        <v/>
      </c>
      <c r="H626" s="288" t="str">
        <f>+IFERROR(VLOOKUP(F626,NVL!$B:$D,3,0),"")</f>
        <v/>
      </c>
      <c r="I626" s="288" t="str">
        <f>+IFERROR(VLOOKUP(F626,NVL!$B:$F,4,0),"")</f>
        <v/>
      </c>
      <c r="J626" s="289"/>
      <c r="K626" s="290"/>
      <c r="L626" s="291" t="str">
        <f>+IFERROR(VLOOKUP(K626,'THÀNH PHẨM'!$B:$F,3,0),"")</f>
        <v/>
      </c>
      <c r="M626" s="291" t="str">
        <f>+IFERROR(VLOOKUP(K626,'THÀNH PHẨM'!$B:$F,4,0),"")</f>
        <v/>
      </c>
      <c r="N626" s="291" t="str">
        <f>+IFERROR(VLOOKUP(K626,'THÀNH PHẨM'!$B:$F,5,0),"")</f>
        <v/>
      </c>
      <c r="O626" s="289"/>
      <c r="P626" s="292">
        <f t="shared" si="2"/>
        <v>0</v>
      </c>
      <c r="Q626" s="289"/>
      <c r="R626" s="289"/>
      <c r="S626" s="293">
        <f t="shared" si="62"/>
        <v>0</v>
      </c>
      <c r="T626" s="294"/>
      <c r="U626" s="295">
        <f t="shared" si="68"/>
        <v>0</v>
      </c>
      <c r="V626" s="296"/>
      <c r="W626" s="297"/>
      <c r="X626" s="298"/>
      <c r="Y626" s="292" t="str">
        <f t="shared" si="69"/>
        <v/>
      </c>
      <c r="Z626" s="366">
        <f t="shared" si="70"/>
        <v>0</v>
      </c>
      <c r="AA626" s="299" t="str">
        <f t="shared" si="71"/>
        <v/>
      </c>
      <c r="AB626" s="300"/>
      <c r="AC626" s="301"/>
      <c r="AD626" s="302"/>
      <c r="AE626" s="303"/>
      <c r="AF626" s="304"/>
      <c r="AG626" s="304"/>
      <c r="AH626" s="304"/>
      <c r="AI626" s="304"/>
      <c r="AJ626" s="304"/>
      <c r="AK626" s="305"/>
      <c r="AL626" s="283"/>
      <c r="AM626" s="284"/>
    </row>
    <row r="627" ht="15.75" customHeight="1">
      <c r="A627" s="282">
        <f t="shared" si="1"/>
        <v>623</v>
      </c>
      <c r="B627" s="283"/>
      <c r="C627" s="284"/>
      <c r="D627" s="338"/>
      <c r="E627" s="286"/>
      <c r="F627" s="287"/>
      <c r="G627" s="288" t="str">
        <f>+IFERROR(VLOOKUP(F627,NVL!$B:$C,2,0),"")</f>
        <v/>
      </c>
      <c r="H627" s="288" t="str">
        <f>+IFERROR(VLOOKUP(F627,NVL!$B:$D,3,0),"")</f>
        <v/>
      </c>
      <c r="I627" s="288" t="str">
        <f>+IFERROR(VLOOKUP(F627,NVL!$B:$F,4,0),"")</f>
        <v/>
      </c>
      <c r="J627" s="289"/>
      <c r="K627" s="290"/>
      <c r="L627" s="291" t="str">
        <f>+IFERROR(VLOOKUP(K627,'THÀNH PHẨM'!$B:$F,3,0),"")</f>
        <v/>
      </c>
      <c r="M627" s="291" t="str">
        <f>+IFERROR(VLOOKUP(K627,'THÀNH PHẨM'!$B:$F,4,0),"")</f>
        <v/>
      </c>
      <c r="N627" s="291" t="str">
        <f>+IFERROR(VLOOKUP(K627,'THÀNH PHẨM'!$B:$F,5,0),"")</f>
        <v/>
      </c>
      <c r="O627" s="289"/>
      <c r="P627" s="292">
        <f t="shared" si="2"/>
        <v>0</v>
      </c>
      <c r="Q627" s="289"/>
      <c r="R627" s="289"/>
      <c r="S627" s="293">
        <f t="shared" si="62"/>
        <v>0</v>
      </c>
      <c r="T627" s="294"/>
      <c r="U627" s="295">
        <f t="shared" si="68"/>
        <v>0</v>
      </c>
      <c r="V627" s="296"/>
      <c r="W627" s="297"/>
      <c r="X627" s="298"/>
      <c r="Y627" s="292" t="str">
        <f t="shared" si="69"/>
        <v/>
      </c>
      <c r="Z627" s="366">
        <f t="shared" si="70"/>
        <v>0</v>
      </c>
      <c r="AA627" s="299" t="str">
        <f t="shared" si="71"/>
        <v/>
      </c>
      <c r="AB627" s="300"/>
      <c r="AC627" s="301"/>
      <c r="AD627" s="302"/>
      <c r="AE627" s="303"/>
      <c r="AF627" s="304"/>
      <c r="AG627" s="304"/>
      <c r="AH627" s="304"/>
      <c r="AI627" s="304"/>
      <c r="AJ627" s="304"/>
      <c r="AK627" s="305"/>
      <c r="AL627" s="283"/>
      <c r="AM627" s="284"/>
    </row>
    <row r="628" ht="15.75" customHeight="1">
      <c r="A628" s="282">
        <f t="shared" si="1"/>
        <v>624</v>
      </c>
      <c r="B628" s="283"/>
      <c r="C628" s="284"/>
      <c r="D628" s="338"/>
      <c r="E628" s="286"/>
      <c r="F628" s="287"/>
      <c r="G628" s="288" t="str">
        <f>+IFERROR(VLOOKUP(F628,NVL!$B:$C,2,0),"")</f>
        <v/>
      </c>
      <c r="H628" s="288" t="str">
        <f>+IFERROR(VLOOKUP(F628,NVL!$B:$D,3,0),"")</f>
        <v/>
      </c>
      <c r="I628" s="288" t="str">
        <f>+IFERROR(VLOOKUP(F628,NVL!$B:$F,4,0),"")</f>
        <v/>
      </c>
      <c r="J628" s="289"/>
      <c r="K628" s="290"/>
      <c r="L628" s="291" t="str">
        <f>+IFERROR(VLOOKUP(K628,'THÀNH PHẨM'!$B:$F,3,0),"")</f>
        <v/>
      </c>
      <c r="M628" s="291" t="str">
        <f>+IFERROR(VLOOKUP(K628,'THÀNH PHẨM'!$B:$F,4,0),"")</f>
        <v/>
      </c>
      <c r="N628" s="291" t="str">
        <f>+IFERROR(VLOOKUP(K628,'THÀNH PHẨM'!$B:$F,5,0),"")</f>
        <v/>
      </c>
      <c r="O628" s="289"/>
      <c r="P628" s="292">
        <f t="shared" si="2"/>
        <v>0</v>
      </c>
      <c r="Q628" s="289"/>
      <c r="R628" s="289"/>
      <c r="S628" s="293">
        <f t="shared" si="62"/>
        <v>0</v>
      </c>
      <c r="T628" s="294"/>
      <c r="U628" s="295">
        <f t="shared" si="68"/>
        <v>0</v>
      </c>
      <c r="V628" s="296"/>
      <c r="W628" s="297"/>
      <c r="X628" s="298"/>
      <c r="Y628" s="292" t="str">
        <f t="shared" si="69"/>
        <v/>
      </c>
      <c r="Z628" s="366">
        <f t="shared" si="70"/>
        <v>0</v>
      </c>
      <c r="AA628" s="299" t="str">
        <f t="shared" si="71"/>
        <v/>
      </c>
      <c r="AB628" s="300"/>
      <c r="AC628" s="301"/>
      <c r="AD628" s="302"/>
      <c r="AE628" s="303"/>
      <c r="AF628" s="304"/>
      <c r="AG628" s="304"/>
      <c r="AH628" s="304"/>
      <c r="AI628" s="304"/>
      <c r="AJ628" s="304"/>
      <c r="AK628" s="305"/>
      <c r="AL628" s="283"/>
      <c r="AM628" s="284"/>
    </row>
    <row r="629" ht="15.75" customHeight="1">
      <c r="A629" s="282">
        <f t="shared" si="1"/>
        <v>625</v>
      </c>
      <c r="B629" s="283"/>
      <c r="C629" s="284"/>
      <c r="D629" s="338"/>
      <c r="E629" s="286"/>
      <c r="F629" s="287"/>
      <c r="G629" s="288" t="str">
        <f>+IFERROR(VLOOKUP(F629,NVL!$B:$C,2,0),"")</f>
        <v/>
      </c>
      <c r="H629" s="288" t="str">
        <f>+IFERROR(VLOOKUP(F629,NVL!$B:$D,3,0),"")</f>
        <v/>
      </c>
      <c r="I629" s="288" t="str">
        <f>+IFERROR(VLOOKUP(F629,NVL!$B:$F,4,0),"")</f>
        <v/>
      </c>
      <c r="J629" s="289"/>
      <c r="K629" s="290"/>
      <c r="L629" s="291" t="str">
        <f>+IFERROR(VLOOKUP(K629,'THÀNH PHẨM'!$B:$F,3,0),"")</f>
        <v/>
      </c>
      <c r="M629" s="291" t="str">
        <f>+IFERROR(VLOOKUP(K629,'THÀNH PHẨM'!$B:$F,4,0),"")</f>
        <v/>
      </c>
      <c r="N629" s="291" t="str">
        <f>+IFERROR(VLOOKUP(K629,'THÀNH PHẨM'!$B:$F,5,0),"")</f>
        <v/>
      </c>
      <c r="O629" s="289"/>
      <c r="P629" s="292">
        <f t="shared" si="2"/>
        <v>0</v>
      </c>
      <c r="Q629" s="289"/>
      <c r="R629" s="289"/>
      <c r="S629" s="293">
        <f t="shared" si="62"/>
        <v>0</v>
      </c>
      <c r="T629" s="294"/>
      <c r="U629" s="295">
        <f t="shared" si="68"/>
        <v>0</v>
      </c>
      <c r="V629" s="296"/>
      <c r="W629" s="297"/>
      <c r="X629" s="298"/>
      <c r="Y629" s="292" t="str">
        <f t="shared" si="69"/>
        <v/>
      </c>
      <c r="Z629" s="366">
        <f t="shared" si="70"/>
        <v>0</v>
      </c>
      <c r="AA629" s="299" t="str">
        <f t="shared" si="71"/>
        <v/>
      </c>
      <c r="AB629" s="300"/>
      <c r="AC629" s="301"/>
      <c r="AD629" s="302"/>
      <c r="AE629" s="303"/>
      <c r="AF629" s="304"/>
      <c r="AG629" s="304"/>
      <c r="AH629" s="304"/>
      <c r="AI629" s="304"/>
      <c r="AJ629" s="304"/>
      <c r="AK629" s="305"/>
      <c r="AL629" s="283"/>
      <c r="AM629" s="284"/>
    </row>
    <row r="630" ht="15.75" customHeight="1">
      <c r="A630" s="282">
        <f t="shared" si="1"/>
        <v>626</v>
      </c>
      <c r="B630" s="283"/>
      <c r="C630" s="284"/>
      <c r="D630" s="338"/>
      <c r="E630" s="286"/>
      <c r="F630" s="287"/>
      <c r="G630" s="288" t="str">
        <f>+IFERROR(VLOOKUP(F630,NVL!$B:$C,2,0),"")</f>
        <v/>
      </c>
      <c r="H630" s="288" t="str">
        <f>+IFERROR(VLOOKUP(F630,NVL!$B:$D,3,0),"")</f>
        <v/>
      </c>
      <c r="I630" s="288" t="str">
        <f>+IFERROR(VLOOKUP(F630,NVL!$B:$F,4,0),"")</f>
        <v/>
      </c>
      <c r="J630" s="289"/>
      <c r="K630" s="290"/>
      <c r="L630" s="291" t="str">
        <f>+IFERROR(VLOOKUP(K630,'THÀNH PHẨM'!$B:$F,3,0),"")</f>
        <v/>
      </c>
      <c r="M630" s="291" t="str">
        <f>+IFERROR(VLOOKUP(K630,'THÀNH PHẨM'!$B:$F,4,0),"")</f>
        <v/>
      </c>
      <c r="N630" s="291" t="str">
        <f>+IFERROR(VLOOKUP(K630,'THÀNH PHẨM'!$B:$F,5,0),"")</f>
        <v/>
      </c>
      <c r="O630" s="289"/>
      <c r="P630" s="292">
        <f t="shared" si="2"/>
        <v>0</v>
      </c>
      <c r="Q630" s="289"/>
      <c r="R630" s="289"/>
      <c r="S630" s="293">
        <f t="shared" si="62"/>
        <v>0</v>
      </c>
      <c r="T630" s="294"/>
      <c r="U630" s="295">
        <f t="shared" si="68"/>
        <v>0</v>
      </c>
      <c r="V630" s="296"/>
      <c r="W630" s="297"/>
      <c r="X630" s="298"/>
      <c r="Y630" s="292" t="str">
        <f t="shared" si="69"/>
        <v/>
      </c>
      <c r="Z630" s="366">
        <f t="shared" si="70"/>
        <v>0</v>
      </c>
      <c r="AA630" s="299" t="str">
        <f t="shared" si="71"/>
        <v/>
      </c>
      <c r="AB630" s="300"/>
      <c r="AC630" s="301"/>
      <c r="AD630" s="302"/>
      <c r="AE630" s="303"/>
      <c r="AF630" s="304"/>
      <c r="AG630" s="304"/>
      <c r="AH630" s="304"/>
      <c r="AI630" s="304"/>
      <c r="AJ630" s="304"/>
      <c r="AK630" s="305"/>
      <c r="AL630" s="283"/>
      <c r="AM630" s="284"/>
    </row>
    <row r="631" ht="15.75" customHeight="1">
      <c r="A631" s="282">
        <f t="shared" si="1"/>
        <v>627</v>
      </c>
      <c r="B631" s="283"/>
      <c r="C631" s="284"/>
      <c r="D631" s="338"/>
      <c r="E631" s="286"/>
      <c r="F631" s="287"/>
      <c r="G631" s="288" t="str">
        <f>+IFERROR(VLOOKUP(F631,NVL!$B:$C,2,0),"")</f>
        <v/>
      </c>
      <c r="H631" s="288" t="str">
        <f>+IFERROR(VLOOKUP(F631,NVL!$B:$D,3,0),"")</f>
        <v/>
      </c>
      <c r="I631" s="288" t="str">
        <f>+IFERROR(VLOOKUP(F631,NVL!$B:$F,4,0),"")</f>
        <v/>
      </c>
      <c r="J631" s="289"/>
      <c r="K631" s="290"/>
      <c r="L631" s="291" t="str">
        <f>+IFERROR(VLOOKUP(K631,'THÀNH PHẨM'!$B:$F,3,0),"")</f>
        <v/>
      </c>
      <c r="M631" s="291" t="str">
        <f>+IFERROR(VLOOKUP(K631,'THÀNH PHẨM'!$B:$F,4,0),"")</f>
        <v/>
      </c>
      <c r="N631" s="291" t="str">
        <f>+IFERROR(VLOOKUP(K631,'THÀNH PHẨM'!$B:$F,5,0),"")</f>
        <v/>
      </c>
      <c r="O631" s="289"/>
      <c r="P631" s="292">
        <f t="shared" si="2"/>
        <v>0</v>
      </c>
      <c r="Q631" s="289"/>
      <c r="R631" s="289"/>
      <c r="S631" s="293">
        <f t="shared" si="62"/>
        <v>0</v>
      </c>
      <c r="T631" s="294"/>
      <c r="U631" s="295">
        <f t="shared" si="68"/>
        <v>0</v>
      </c>
      <c r="V631" s="296"/>
      <c r="W631" s="297"/>
      <c r="X631" s="298"/>
      <c r="Y631" s="292" t="str">
        <f t="shared" si="69"/>
        <v/>
      </c>
      <c r="Z631" s="366">
        <f t="shared" si="70"/>
        <v>0</v>
      </c>
      <c r="AA631" s="299" t="str">
        <f t="shared" si="71"/>
        <v/>
      </c>
      <c r="AB631" s="300"/>
      <c r="AC631" s="301"/>
      <c r="AD631" s="302"/>
      <c r="AE631" s="303"/>
      <c r="AF631" s="304"/>
      <c r="AG631" s="304"/>
      <c r="AH631" s="304"/>
      <c r="AI631" s="304"/>
      <c r="AJ631" s="304"/>
      <c r="AK631" s="305"/>
      <c r="AL631" s="283"/>
      <c r="AM631" s="284"/>
    </row>
    <row r="632" ht="15.75" customHeight="1">
      <c r="A632" s="282">
        <f t="shared" si="1"/>
        <v>628</v>
      </c>
      <c r="B632" s="283"/>
      <c r="C632" s="284"/>
      <c r="D632" s="338"/>
      <c r="E632" s="286"/>
      <c r="F632" s="287"/>
      <c r="G632" s="288" t="str">
        <f>+IFERROR(VLOOKUP(F632,NVL!$B:$C,2,0),"")</f>
        <v/>
      </c>
      <c r="H632" s="288" t="str">
        <f>+IFERROR(VLOOKUP(F632,NVL!$B:$D,3,0),"")</f>
        <v/>
      </c>
      <c r="I632" s="288" t="str">
        <f>+IFERROR(VLOOKUP(F632,NVL!$B:$F,4,0),"")</f>
        <v/>
      </c>
      <c r="J632" s="289"/>
      <c r="K632" s="290"/>
      <c r="L632" s="291" t="str">
        <f>+IFERROR(VLOOKUP(K632,'THÀNH PHẨM'!$B:$F,3,0),"")</f>
        <v/>
      </c>
      <c r="M632" s="291" t="str">
        <f>+IFERROR(VLOOKUP(K632,'THÀNH PHẨM'!$B:$F,4,0),"")</f>
        <v/>
      </c>
      <c r="N632" s="291" t="str">
        <f>+IFERROR(VLOOKUP(K632,'THÀNH PHẨM'!$B:$F,5,0),"")</f>
        <v/>
      </c>
      <c r="O632" s="289"/>
      <c r="P632" s="292">
        <f t="shared" si="2"/>
        <v>0</v>
      </c>
      <c r="Q632" s="289"/>
      <c r="R632" s="289"/>
      <c r="S632" s="293">
        <f t="shared" si="62"/>
        <v>0</v>
      </c>
      <c r="T632" s="294"/>
      <c r="U632" s="295">
        <f t="shared" si="68"/>
        <v>0</v>
      </c>
      <c r="V632" s="296"/>
      <c r="W632" s="297"/>
      <c r="X632" s="298"/>
      <c r="Y632" s="292" t="str">
        <f t="shared" si="69"/>
        <v/>
      </c>
      <c r="Z632" s="366">
        <f t="shared" si="70"/>
        <v>0</v>
      </c>
      <c r="AA632" s="299" t="str">
        <f t="shared" si="71"/>
        <v/>
      </c>
      <c r="AB632" s="300"/>
      <c r="AC632" s="301"/>
      <c r="AD632" s="302"/>
      <c r="AE632" s="303"/>
      <c r="AF632" s="304"/>
      <c r="AG632" s="304"/>
      <c r="AH632" s="304"/>
      <c r="AI632" s="304"/>
      <c r="AJ632" s="304"/>
      <c r="AK632" s="305"/>
      <c r="AL632" s="283"/>
      <c r="AM632" s="284"/>
    </row>
    <row r="633" ht="15.75" customHeight="1">
      <c r="A633" s="282">
        <f t="shared" si="1"/>
        <v>629</v>
      </c>
      <c r="B633" s="283"/>
      <c r="C633" s="284"/>
      <c r="D633" s="338"/>
      <c r="E633" s="286"/>
      <c r="F633" s="287"/>
      <c r="G633" s="288" t="str">
        <f>+IFERROR(VLOOKUP(F633,NVL!$B:$C,2,0),"")</f>
        <v/>
      </c>
      <c r="H633" s="288" t="str">
        <f>+IFERROR(VLOOKUP(F633,NVL!$B:$D,3,0),"")</f>
        <v/>
      </c>
      <c r="I633" s="288" t="str">
        <f>+IFERROR(VLOOKUP(F633,NVL!$B:$F,4,0),"")</f>
        <v/>
      </c>
      <c r="J633" s="289"/>
      <c r="K633" s="290"/>
      <c r="L633" s="291" t="str">
        <f>+IFERROR(VLOOKUP(K633,'THÀNH PHẨM'!$B:$F,3,0),"")</f>
        <v/>
      </c>
      <c r="M633" s="291" t="str">
        <f>+IFERROR(VLOOKUP(K633,'THÀNH PHẨM'!$B:$F,4,0),"")</f>
        <v/>
      </c>
      <c r="N633" s="291" t="str">
        <f>+IFERROR(VLOOKUP(K633,'THÀNH PHẨM'!$B:$F,5,0),"")</f>
        <v/>
      </c>
      <c r="O633" s="289"/>
      <c r="P633" s="292">
        <f t="shared" si="2"/>
        <v>0</v>
      </c>
      <c r="Q633" s="289"/>
      <c r="R633" s="289"/>
      <c r="S633" s="293">
        <f t="shared" si="62"/>
        <v>0</v>
      </c>
      <c r="T633" s="294"/>
      <c r="U633" s="295">
        <f t="shared" si="68"/>
        <v>0</v>
      </c>
      <c r="V633" s="296"/>
      <c r="W633" s="297"/>
      <c r="X633" s="298"/>
      <c r="Y633" s="292" t="str">
        <f t="shared" si="69"/>
        <v/>
      </c>
      <c r="Z633" s="366">
        <f t="shared" si="70"/>
        <v>0</v>
      </c>
      <c r="AA633" s="299" t="str">
        <f t="shared" si="71"/>
        <v/>
      </c>
      <c r="AB633" s="300"/>
      <c r="AC633" s="301"/>
      <c r="AD633" s="302"/>
      <c r="AE633" s="303"/>
      <c r="AF633" s="304"/>
      <c r="AG633" s="304"/>
      <c r="AH633" s="304"/>
      <c r="AI633" s="304"/>
      <c r="AJ633" s="304"/>
      <c r="AK633" s="305"/>
      <c r="AL633" s="283"/>
      <c r="AM633" s="284"/>
    </row>
    <row r="634" ht="15.75" customHeight="1">
      <c r="A634" s="282">
        <f t="shared" si="1"/>
        <v>630</v>
      </c>
      <c r="B634" s="283"/>
      <c r="C634" s="284"/>
      <c r="D634" s="338"/>
      <c r="E634" s="286"/>
      <c r="F634" s="287"/>
      <c r="G634" s="288" t="str">
        <f>+IFERROR(VLOOKUP(F634,NVL!$B:$C,2,0),"")</f>
        <v/>
      </c>
      <c r="H634" s="288" t="str">
        <f>+IFERROR(VLOOKUP(F634,NVL!$B:$D,3,0),"")</f>
        <v/>
      </c>
      <c r="I634" s="288" t="str">
        <f>+IFERROR(VLOOKUP(F634,NVL!$B:$F,4,0),"")</f>
        <v/>
      </c>
      <c r="J634" s="289"/>
      <c r="K634" s="290"/>
      <c r="L634" s="291" t="str">
        <f>+IFERROR(VLOOKUP(K634,'THÀNH PHẨM'!$B:$F,3,0),"")</f>
        <v/>
      </c>
      <c r="M634" s="291" t="str">
        <f>+IFERROR(VLOOKUP(K634,'THÀNH PHẨM'!$B:$F,4,0),"")</f>
        <v/>
      </c>
      <c r="N634" s="291" t="str">
        <f>+IFERROR(VLOOKUP(K634,'THÀNH PHẨM'!$B:$F,5,0),"")</f>
        <v/>
      </c>
      <c r="O634" s="289"/>
      <c r="P634" s="292">
        <f t="shared" si="2"/>
        <v>0</v>
      </c>
      <c r="Q634" s="289"/>
      <c r="R634" s="289"/>
      <c r="S634" s="293">
        <f t="shared" si="62"/>
        <v>0</v>
      </c>
      <c r="T634" s="294"/>
      <c r="U634" s="295">
        <f t="shared" si="68"/>
        <v>0</v>
      </c>
      <c r="V634" s="296"/>
      <c r="W634" s="297"/>
      <c r="X634" s="298"/>
      <c r="Y634" s="292" t="str">
        <f t="shared" si="69"/>
        <v/>
      </c>
      <c r="Z634" s="366">
        <f t="shared" si="70"/>
        <v>0</v>
      </c>
      <c r="AA634" s="299" t="str">
        <f t="shared" si="71"/>
        <v/>
      </c>
      <c r="AB634" s="300"/>
      <c r="AC634" s="301"/>
      <c r="AD634" s="302"/>
      <c r="AE634" s="303"/>
      <c r="AF634" s="304"/>
      <c r="AG634" s="304"/>
      <c r="AH634" s="304"/>
      <c r="AI634" s="304"/>
      <c r="AJ634" s="304"/>
      <c r="AK634" s="305"/>
      <c r="AL634" s="283"/>
      <c r="AM634" s="284"/>
    </row>
    <row r="635" ht="15.75" customHeight="1">
      <c r="A635" s="282">
        <f t="shared" si="1"/>
        <v>631</v>
      </c>
      <c r="B635" s="283"/>
      <c r="C635" s="284"/>
      <c r="D635" s="338"/>
      <c r="E635" s="286"/>
      <c r="F635" s="287"/>
      <c r="G635" s="288" t="str">
        <f>+IFERROR(VLOOKUP(F635,NVL!$B:$C,2,0),"")</f>
        <v/>
      </c>
      <c r="H635" s="288" t="str">
        <f>+IFERROR(VLOOKUP(F635,NVL!$B:$D,3,0),"")</f>
        <v/>
      </c>
      <c r="I635" s="288" t="str">
        <f>+IFERROR(VLOOKUP(F635,NVL!$B:$F,4,0),"")</f>
        <v/>
      </c>
      <c r="J635" s="289"/>
      <c r="K635" s="290"/>
      <c r="L635" s="291" t="str">
        <f>+IFERROR(VLOOKUP(K635,'THÀNH PHẨM'!$B:$F,3,0),"")</f>
        <v/>
      </c>
      <c r="M635" s="291" t="str">
        <f>+IFERROR(VLOOKUP(K635,'THÀNH PHẨM'!$B:$F,4,0),"")</f>
        <v/>
      </c>
      <c r="N635" s="291" t="str">
        <f>+IFERROR(VLOOKUP(K635,'THÀNH PHẨM'!$B:$F,5,0),"")</f>
        <v/>
      </c>
      <c r="O635" s="289"/>
      <c r="P635" s="292">
        <f t="shared" si="2"/>
        <v>0</v>
      </c>
      <c r="Q635" s="289"/>
      <c r="R635" s="289"/>
      <c r="S635" s="293">
        <f t="shared" si="62"/>
        <v>0</v>
      </c>
      <c r="T635" s="294"/>
      <c r="U635" s="295">
        <f t="shared" si="68"/>
        <v>0</v>
      </c>
      <c r="V635" s="296"/>
      <c r="W635" s="297"/>
      <c r="X635" s="298"/>
      <c r="Y635" s="292" t="str">
        <f t="shared" si="69"/>
        <v/>
      </c>
      <c r="Z635" s="366">
        <f t="shared" si="70"/>
        <v>0</v>
      </c>
      <c r="AA635" s="299" t="str">
        <f t="shared" si="71"/>
        <v/>
      </c>
      <c r="AB635" s="300"/>
      <c r="AC635" s="301"/>
      <c r="AD635" s="302"/>
      <c r="AE635" s="303"/>
      <c r="AF635" s="304"/>
      <c r="AG635" s="304"/>
      <c r="AH635" s="304"/>
      <c r="AI635" s="304"/>
      <c r="AJ635" s="304"/>
      <c r="AK635" s="305"/>
      <c r="AL635" s="283"/>
      <c r="AM635" s="284"/>
    </row>
    <row r="636" ht="15.75" customHeight="1">
      <c r="A636" s="282">
        <f t="shared" si="1"/>
        <v>632</v>
      </c>
      <c r="B636" s="283"/>
      <c r="C636" s="284"/>
      <c r="D636" s="338"/>
      <c r="E636" s="286"/>
      <c r="F636" s="287"/>
      <c r="G636" s="288" t="str">
        <f>+IFERROR(VLOOKUP(F636,NVL!$B:$C,2,0),"")</f>
        <v/>
      </c>
      <c r="H636" s="288" t="str">
        <f>+IFERROR(VLOOKUP(F636,NVL!$B:$D,3,0),"")</f>
        <v/>
      </c>
      <c r="I636" s="288" t="str">
        <f>+IFERROR(VLOOKUP(F636,NVL!$B:$F,4,0),"")</f>
        <v/>
      </c>
      <c r="J636" s="289"/>
      <c r="K636" s="290"/>
      <c r="L636" s="291" t="str">
        <f>+IFERROR(VLOOKUP(K636,'THÀNH PHẨM'!$B:$F,3,0),"")</f>
        <v/>
      </c>
      <c r="M636" s="291" t="str">
        <f>+IFERROR(VLOOKUP(K636,'THÀNH PHẨM'!$B:$F,4,0),"")</f>
        <v/>
      </c>
      <c r="N636" s="291" t="str">
        <f>+IFERROR(VLOOKUP(K636,'THÀNH PHẨM'!$B:$F,5,0),"")</f>
        <v/>
      </c>
      <c r="O636" s="289"/>
      <c r="P636" s="292">
        <f t="shared" si="2"/>
        <v>0</v>
      </c>
      <c r="Q636" s="289"/>
      <c r="R636" s="289"/>
      <c r="S636" s="293">
        <f t="shared" si="62"/>
        <v>0</v>
      </c>
      <c r="T636" s="294"/>
      <c r="U636" s="295">
        <f t="shared" si="68"/>
        <v>0</v>
      </c>
      <c r="V636" s="296"/>
      <c r="W636" s="297"/>
      <c r="X636" s="298"/>
      <c r="Y636" s="292" t="str">
        <f t="shared" si="69"/>
        <v/>
      </c>
      <c r="Z636" s="366">
        <f t="shared" si="70"/>
        <v>0</v>
      </c>
      <c r="AA636" s="299" t="str">
        <f t="shared" si="71"/>
        <v/>
      </c>
      <c r="AB636" s="300"/>
      <c r="AC636" s="301"/>
      <c r="AD636" s="302"/>
      <c r="AE636" s="303"/>
      <c r="AF636" s="304"/>
      <c r="AG636" s="304"/>
      <c r="AH636" s="304"/>
      <c r="AI636" s="304"/>
      <c r="AJ636" s="304"/>
      <c r="AK636" s="305"/>
      <c r="AL636" s="283"/>
      <c r="AM636" s="284"/>
    </row>
    <row r="637" ht="15.75" customHeight="1">
      <c r="A637" s="282">
        <f t="shared" si="1"/>
        <v>633</v>
      </c>
      <c r="B637" s="283"/>
      <c r="C637" s="284"/>
      <c r="D637" s="338"/>
      <c r="E637" s="286"/>
      <c r="F637" s="287"/>
      <c r="G637" s="288" t="str">
        <f>+IFERROR(VLOOKUP(F637,NVL!$B:$C,2,0),"")</f>
        <v/>
      </c>
      <c r="H637" s="288" t="str">
        <f>+IFERROR(VLOOKUP(F637,NVL!$B:$D,3,0),"")</f>
        <v/>
      </c>
      <c r="I637" s="288" t="str">
        <f>+IFERROR(VLOOKUP(F637,NVL!$B:$F,4,0),"")</f>
        <v/>
      </c>
      <c r="J637" s="289"/>
      <c r="K637" s="290"/>
      <c r="L637" s="291" t="str">
        <f>+IFERROR(VLOOKUP(K637,'THÀNH PHẨM'!$B:$F,3,0),"")</f>
        <v/>
      </c>
      <c r="M637" s="291" t="str">
        <f>+IFERROR(VLOOKUP(K637,'THÀNH PHẨM'!$B:$F,4,0),"")</f>
        <v/>
      </c>
      <c r="N637" s="291" t="str">
        <f>+IFERROR(VLOOKUP(K637,'THÀNH PHẨM'!$B:$F,5,0),"")</f>
        <v/>
      </c>
      <c r="O637" s="289"/>
      <c r="P637" s="292">
        <f t="shared" si="2"/>
        <v>0</v>
      </c>
      <c r="Q637" s="289"/>
      <c r="R637" s="289"/>
      <c r="S637" s="293">
        <f t="shared" si="62"/>
        <v>0</v>
      </c>
      <c r="T637" s="294"/>
      <c r="U637" s="295">
        <f t="shared" si="68"/>
        <v>0</v>
      </c>
      <c r="V637" s="296"/>
      <c r="W637" s="297"/>
      <c r="X637" s="298"/>
      <c r="Y637" s="292" t="str">
        <f t="shared" si="69"/>
        <v/>
      </c>
      <c r="Z637" s="366">
        <f t="shared" si="70"/>
        <v>0</v>
      </c>
      <c r="AA637" s="299" t="str">
        <f t="shared" si="71"/>
        <v/>
      </c>
      <c r="AB637" s="300"/>
      <c r="AC637" s="301"/>
      <c r="AD637" s="302"/>
      <c r="AE637" s="303"/>
      <c r="AF637" s="304"/>
      <c r="AG637" s="304"/>
      <c r="AH637" s="304"/>
      <c r="AI637" s="304"/>
      <c r="AJ637" s="304"/>
      <c r="AK637" s="305"/>
      <c r="AL637" s="283"/>
      <c r="AM637" s="284"/>
    </row>
    <row r="638" ht="15.75" customHeight="1">
      <c r="A638" s="282">
        <f t="shared" si="1"/>
        <v>634</v>
      </c>
      <c r="B638" s="283"/>
      <c r="C638" s="284"/>
      <c r="D638" s="338"/>
      <c r="E638" s="286"/>
      <c r="F638" s="287"/>
      <c r="G638" s="288" t="str">
        <f>+IFERROR(VLOOKUP(F638,NVL!$B:$C,2,0),"")</f>
        <v/>
      </c>
      <c r="H638" s="288" t="str">
        <f>+IFERROR(VLOOKUP(F638,NVL!$B:$D,3,0),"")</f>
        <v/>
      </c>
      <c r="I638" s="288" t="str">
        <f>+IFERROR(VLOOKUP(F638,NVL!$B:$F,4,0),"")</f>
        <v/>
      </c>
      <c r="J638" s="289"/>
      <c r="K638" s="290"/>
      <c r="L638" s="291" t="str">
        <f>+IFERROR(VLOOKUP(K638,'THÀNH PHẨM'!$B:$F,3,0),"")</f>
        <v/>
      </c>
      <c r="M638" s="291" t="str">
        <f>+IFERROR(VLOOKUP(K638,'THÀNH PHẨM'!$B:$F,4,0),"")</f>
        <v/>
      </c>
      <c r="N638" s="291" t="str">
        <f>+IFERROR(VLOOKUP(K638,'THÀNH PHẨM'!$B:$F,5,0),"")</f>
        <v/>
      </c>
      <c r="O638" s="289"/>
      <c r="P638" s="292">
        <f t="shared" si="2"/>
        <v>0</v>
      </c>
      <c r="Q638" s="289"/>
      <c r="R638" s="289"/>
      <c r="S638" s="293">
        <f t="shared" si="62"/>
        <v>0</v>
      </c>
      <c r="T638" s="294"/>
      <c r="U638" s="295">
        <f t="shared" si="68"/>
        <v>0</v>
      </c>
      <c r="V638" s="296"/>
      <c r="W638" s="297"/>
      <c r="X638" s="298"/>
      <c r="Y638" s="292" t="str">
        <f t="shared" si="69"/>
        <v/>
      </c>
      <c r="Z638" s="366">
        <f t="shared" si="70"/>
        <v>0</v>
      </c>
      <c r="AA638" s="299" t="str">
        <f t="shared" si="71"/>
        <v/>
      </c>
      <c r="AB638" s="300"/>
      <c r="AC638" s="301"/>
      <c r="AD638" s="302"/>
      <c r="AE638" s="303"/>
      <c r="AF638" s="304"/>
      <c r="AG638" s="304"/>
      <c r="AH638" s="304"/>
      <c r="AI638" s="304"/>
      <c r="AJ638" s="304"/>
      <c r="AK638" s="305"/>
      <c r="AL638" s="283"/>
      <c r="AM638" s="284"/>
    </row>
    <row r="639" ht="15.75" customHeight="1">
      <c r="A639" s="282">
        <f t="shared" si="1"/>
        <v>635</v>
      </c>
      <c r="B639" s="283"/>
      <c r="C639" s="284"/>
      <c r="D639" s="338"/>
      <c r="E639" s="286"/>
      <c r="F639" s="287"/>
      <c r="G639" s="288" t="str">
        <f>+IFERROR(VLOOKUP(F639,NVL!$B:$C,2,0),"")</f>
        <v/>
      </c>
      <c r="H639" s="288" t="str">
        <f>+IFERROR(VLOOKUP(F639,NVL!$B:$D,3,0),"")</f>
        <v/>
      </c>
      <c r="I639" s="288" t="str">
        <f>+IFERROR(VLOOKUP(F639,NVL!$B:$F,4,0),"")</f>
        <v/>
      </c>
      <c r="J639" s="289"/>
      <c r="K639" s="290"/>
      <c r="L639" s="291" t="str">
        <f>+IFERROR(VLOOKUP(K639,'THÀNH PHẨM'!$B:$F,3,0),"")</f>
        <v/>
      </c>
      <c r="M639" s="291" t="str">
        <f>+IFERROR(VLOOKUP(K639,'THÀNH PHẨM'!$B:$F,4,0),"")</f>
        <v/>
      </c>
      <c r="N639" s="291" t="str">
        <f>+IFERROR(VLOOKUP(K639,'THÀNH PHẨM'!$B:$F,5,0),"")</f>
        <v/>
      </c>
      <c r="O639" s="289"/>
      <c r="P639" s="292">
        <f t="shared" si="2"/>
        <v>0</v>
      </c>
      <c r="Q639" s="289"/>
      <c r="R639" s="289"/>
      <c r="S639" s="293">
        <f t="shared" si="62"/>
        <v>0</v>
      </c>
      <c r="T639" s="294"/>
      <c r="U639" s="295">
        <f t="shared" si="68"/>
        <v>0</v>
      </c>
      <c r="V639" s="296"/>
      <c r="W639" s="297"/>
      <c r="X639" s="298"/>
      <c r="Y639" s="292" t="str">
        <f t="shared" si="69"/>
        <v/>
      </c>
      <c r="Z639" s="366">
        <f t="shared" si="70"/>
        <v>0</v>
      </c>
      <c r="AA639" s="299" t="str">
        <f t="shared" si="71"/>
        <v/>
      </c>
      <c r="AB639" s="300"/>
      <c r="AC639" s="301"/>
      <c r="AD639" s="302"/>
      <c r="AE639" s="303"/>
      <c r="AF639" s="304"/>
      <c r="AG639" s="304"/>
      <c r="AH639" s="304"/>
      <c r="AI639" s="304"/>
      <c r="AJ639" s="304"/>
      <c r="AK639" s="305"/>
      <c r="AL639" s="283"/>
      <c r="AM639" s="284"/>
    </row>
    <row r="640" ht="15.75" customHeight="1">
      <c r="A640" s="282">
        <f t="shared" si="1"/>
        <v>636</v>
      </c>
      <c r="B640" s="283"/>
      <c r="C640" s="284"/>
      <c r="D640" s="338"/>
      <c r="E640" s="286"/>
      <c r="F640" s="287"/>
      <c r="G640" s="288" t="str">
        <f>+IFERROR(VLOOKUP(F640,NVL!$B:$C,2,0),"")</f>
        <v/>
      </c>
      <c r="H640" s="288" t="str">
        <f>+IFERROR(VLOOKUP(F640,NVL!$B:$D,3,0),"")</f>
        <v/>
      </c>
      <c r="I640" s="288" t="str">
        <f>+IFERROR(VLOOKUP(F640,NVL!$B:$F,4,0),"")</f>
        <v/>
      </c>
      <c r="J640" s="289"/>
      <c r="K640" s="290"/>
      <c r="L640" s="291" t="str">
        <f>+IFERROR(VLOOKUP(K640,'THÀNH PHẨM'!$B:$F,3,0),"")</f>
        <v/>
      </c>
      <c r="M640" s="291" t="str">
        <f>+IFERROR(VLOOKUP(K640,'THÀNH PHẨM'!$B:$F,4,0),"")</f>
        <v/>
      </c>
      <c r="N640" s="291" t="str">
        <f>+IFERROR(VLOOKUP(K640,'THÀNH PHẨM'!$B:$F,5,0),"")</f>
        <v/>
      </c>
      <c r="O640" s="289"/>
      <c r="P640" s="292">
        <f t="shared" si="2"/>
        <v>0</v>
      </c>
      <c r="Q640" s="289"/>
      <c r="R640" s="289"/>
      <c r="S640" s="293">
        <f t="shared" si="62"/>
        <v>0</v>
      </c>
      <c r="T640" s="294"/>
      <c r="U640" s="295">
        <f t="shared" si="68"/>
        <v>0</v>
      </c>
      <c r="V640" s="296"/>
      <c r="W640" s="297"/>
      <c r="X640" s="298"/>
      <c r="Y640" s="292" t="str">
        <f t="shared" si="69"/>
        <v/>
      </c>
      <c r="Z640" s="366">
        <f t="shared" si="70"/>
        <v>0</v>
      </c>
      <c r="AA640" s="299" t="str">
        <f t="shared" si="71"/>
        <v/>
      </c>
      <c r="AB640" s="300"/>
      <c r="AC640" s="301"/>
      <c r="AD640" s="302"/>
      <c r="AE640" s="303"/>
      <c r="AF640" s="304"/>
      <c r="AG640" s="304"/>
      <c r="AH640" s="304"/>
      <c r="AI640" s="304"/>
      <c r="AJ640" s="304"/>
      <c r="AK640" s="305"/>
      <c r="AL640" s="283"/>
      <c r="AM640" s="431"/>
    </row>
    <row r="641" ht="15.75" customHeight="1">
      <c r="A641" s="282">
        <f t="shared" si="1"/>
        <v>637</v>
      </c>
      <c r="B641" s="283"/>
      <c r="C641" s="284"/>
      <c r="D641" s="338"/>
      <c r="E641" s="286"/>
      <c r="F641" s="287"/>
      <c r="G641" s="288" t="str">
        <f>+IFERROR(VLOOKUP(F641,NVL!$B:$C,2,0),"")</f>
        <v/>
      </c>
      <c r="H641" s="288" t="str">
        <f>+IFERROR(VLOOKUP(F641,NVL!$B:$D,3,0),"")</f>
        <v/>
      </c>
      <c r="I641" s="288" t="str">
        <f>+IFERROR(VLOOKUP(F641,NVL!$B:$F,4,0),"")</f>
        <v/>
      </c>
      <c r="J641" s="289"/>
      <c r="K641" s="290"/>
      <c r="L641" s="291" t="str">
        <f>+IFERROR(VLOOKUP(K641,'THÀNH PHẨM'!$B:$F,3,0),"")</f>
        <v/>
      </c>
      <c r="M641" s="291" t="str">
        <f>+IFERROR(VLOOKUP(K641,'THÀNH PHẨM'!$B:$F,4,0),"")</f>
        <v/>
      </c>
      <c r="N641" s="291" t="str">
        <f>+IFERROR(VLOOKUP(K641,'THÀNH PHẨM'!$B:$F,5,0),"")</f>
        <v/>
      </c>
      <c r="O641" s="289"/>
      <c r="P641" s="292">
        <f t="shared" si="2"/>
        <v>0</v>
      </c>
      <c r="Q641" s="289"/>
      <c r="R641" s="289"/>
      <c r="S641" s="293">
        <f t="shared" si="62"/>
        <v>0</v>
      </c>
      <c r="T641" s="294"/>
      <c r="U641" s="295">
        <f t="shared" si="68"/>
        <v>0</v>
      </c>
      <c r="V641" s="296"/>
      <c r="W641" s="297"/>
      <c r="X641" s="298"/>
      <c r="Y641" s="292" t="str">
        <f t="shared" si="69"/>
        <v/>
      </c>
      <c r="Z641" s="366">
        <f t="shared" si="70"/>
        <v>0</v>
      </c>
      <c r="AA641" s="299" t="str">
        <f t="shared" si="71"/>
        <v/>
      </c>
      <c r="AB641" s="300"/>
      <c r="AC641" s="301"/>
      <c r="AD641" s="302"/>
      <c r="AE641" s="303"/>
      <c r="AF641" s="304"/>
      <c r="AG641" s="304"/>
      <c r="AH641" s="304"/>
      <c r="AI641" s="304"/>
      <c r="AJ641" s="304"/>
      <c r="AK641" s="305"/>
      <c r="AL641" s="283"/>
      <c r="AM641" s="284"/>
    </row>
    <row r="642" ht="15.75" customHeight="1">
      <c r="A642" s="282">
        <f t="shared" si="1"/>
        <v>638</v>
      </c>
      <c r="B642" s="283"/>
      <c r="C642" s="284"/>
      <c r="D642" s="338"/>
      <c r="E642" s="286"/>
      <c r="F642" s="287"/>
      <c r="G642" s="288" t="str">
        <f>+IFERROR(VLOOKUP(F642,NVL!$B:$C,2,0),"")</f>
        <v/>
      </c>
      <c r="H642" s="288" t="str">
        <f>+IFERROR(VLOOKUP(F642,NVL!$B:$D,3,0),"")</f>
        <v/>
      </c>
      <c r="I642" s="288" t="str">
        <f>+IFERROR(VLOOKUP(F642,NVL!$B:$F,4,0),"")</f>
        <v/>
      </c>
      <c r="J642" s="289"/>
      <c r="K642" s="290"/>
      <c r="L642" s="291" t="str">
        <f>+IFERROR(VLOOKUP(K642,'THÀNH PHẨM'!$B:$F,3,0),"")</f>
        <v/>
      </c>
      <c r="M642" s="291" t="str">
        <f>+IFERROR(VLOOKUP(K642,'THÀNH PHẨM'!$B:$F,4,0),"")</f>
        <v/>
      </c>
      <c r="N642" s="291" t="str">
        <f>+IFERROR(VLOOKUP(K642,'THÀNH PHẨM'!$B:$F,5,0),"")</f>
        <v/>
      </c>
      <c r="O642" s="289"/>
      <c r="P642" s="292">
        <f t="shared" si="2"/>
        <v>0</v>
      </c>
      <c r="Q642" s="289"/>
      <c r="R642" s="289"/>
      <c r="S642" s="293">
        <f t="shared" si="62"/>
        <v>0</v>
      </c>
      <c r="T642" s="294"/>
      <c r="U642" s="295">
        <f t="shared" si="68"/>
        <v>0</v>
      </c>
      <c r="V642" s="296"/>
      <c r="W642" s="297"/>
      <c r="X642" s="298"/>
      <c r="Y642" s="292" t="str">
        <f t="shared" si="69"/>
        <v/>
      </c>
      <c r="Z642" s="366">
        <f t="shared" si="70"/>
        <v>0</v>
      </c>
      <c r="AA642" s="299" t="str">
        <f t="shared" si="71"/>
        <v/>
      </c>
      <c r="AB642" s="300"/>
      <c r="AC642" s="301"/>
      <c r="AD642" s="302"/>
      <c r="AE642" s="303"/>
      <c r="AF642" s="304"/>
      <c r="AG642" s="304"/>
      <c r="AH642" s="304"/>
      <c r="AI642" s="304"/>
      <c r="AJ642" s="304"/>
      <c r="AK642" s="305"/>
      <c r="AL642" s="283"/>
      <c r="AM642" s="284"/>
    </row>
    <row r="643" ht="15.75" customHeight="1">
      <c r="A643" s="282">
        <f t="shared" si="1"/>
        <v>639</v>
      </c>
      <c r="B643" s="283"/>
      <c r="C643" s="284"/>
      <c r="D643" s="338"/>
      <c r="E643" s="286"/>
      <c r="F643" s="287"/>
      <c r="G643" s="288" t="str">
        <f>+IFERROR(VLOOKUP(F643,NVL!$B:$C,2,0),"")</f>
        <v/>
      </c>
      <c r="H643" s="288" t="str">
        <f>+IFERROR(VLOOKUP(F643,NVL!$B:$D,3,0),"")</f>
        <v/>
      </c>
      <c r="I643" s="288" t="str">
        <f>+IFERROR(VLOOKUP(F643,NVL!$B:$F,4,0),"")</f>
        <v/>
      </c>
      <c r="J643" s="289"/>
      <c r="K643" s="290"/>
      <c r="L643" s="291" t="str">
        <f>+IFERROR(VLOOKUP(K643,'THÀNH PHẨM'!$B:$F,3,0),"")</f>
        <v/>
      </c>
      <c r="M643" s="291" t="str">
        <f>+IFERROR(VLOOKUP(K643,'THÀNH PHẨM'!$B:$F,4,0),"")</f>
        <v/>
      </c>
      <c r="N643" s="291" t="str">
        <f>+IFERROR(VLOOKUP(K643,'THÀNH PHẨM'!$B:$F,5,0),"")</f>
        <v/>
      </c>
      <c r="O643" s="289"/>
      <c r="P643" s="292">
        <f t="shared" si="2"/>
        <v>0</v>
      </c>
      <c r="Q643" s="289"/>
      <c r="R643" s="289"/>
      <c r="S643" s="293">
        <f t="shared" si="62"/>
        <v>0</v>
      </c>
      <c r="T643" s="294"/>
      <c r="U643" s="295">
        <f t="shared" si="68"/>
        <v>0</v>
      </c>
      <c r="V643" s="296"/>
      <c r="W643" s="297"/>
      <c r="X643" s="298"/>
      <c r="Y643" s="292" t="str">
        <f t="shared" si="69"/>
        <v/>
      </c>
      <c r="Z643" s="366">
        <f t="shared" si="70"/>
        <v>0</v>
      </c>
      <c r="AA643" s="299" t="str">
        <f t="shared" si="71"/>
        <v/>
      </c>
      <c r="AB643" s="300"/>
      <c r="AC643" s="301"/>
      <c r="AD643" s="302"/>
      <c r="AE643" s="303"/>
      <c r="AF643" s="304"/>
      <c r="AG643" s="304"/>
      <c r="AH643" s="304"/>
      <c r="AI643" s="304"/>
      <c r="AJ643" s="304"/>
      <c r="AK643" s="305"/>
      <c r="AL643" s="283"/>
      <c r="AM643" s="284"/>
    </row>
    <row r="644" ht="15.75" customHeight="1">
      <c r="A644" s="282">
        <f t="shared" si="1"/>
        <v>640</v>
      </c>
      <c r="B644" s="283"/>
      <c r="C644" s="284"/>
      <c r="D644" s="338"/>
      <c r="E644" s="286"/>
      <c r="F644" s="287"/>
      <c r="G644" s="288" t="str">
        <f>+IFERROR(VLOOKUP(F644,NVL!$B:$C,2,0),"")</f>
        <v/>
      </c>
      <c r="H644" s="288" t="str">
        <f>+IFERROR(VLOOKUP(F644,NVL!$B:$D,3,0),"")</f>
        <v/>
      </c>
      <c r="I644" s="288" t="str">
        <f>+IFERROR(VLOOKUP(F644,NVL!$B:$F,4,0),"")</f>
        <v/>
      </c>
      <c r="J644" s="289"/>
      <c r="K644" s="290"/>
      <c r="L644" s="291" t="str">
        <f>+IFERROR(VLOOKUP(K644,'THÀNH PHẨM'!$B:$F,3,0),"")</f>
        <v/>
      </c>
      <c r="M644" s="291" t="str">
        <f>+IFERROR(VLOOKUP(K644,'THÀNH PHẨM'!$B:$F,4,0),"")</f>
        <v/>
      </c>
      <c r="N644" s="291" t="str">
        <f>+IFERROR(VLOOKUP(K644,'THÀNH PHẨM'!$B:$F,5,0),"")</f>
        <v/>
      </c>
      <c r="O644" s="289"/>
      <c r="P644" s="292">
        <f t="shared" si="2"/>
        <v>0</v>
      </c>
      <c r="Q644" s="289"/>
      <c r="R644" s="289"/>
      <c r="S644" s="293">
        <f t="shared" si="62"/>
        <v>0</v>
      </c>
      <c r="T644" s="294"/>
      <c r="U644" s="295">
        <f t="shared" si="68"/>
        <v>0</v>
      </c>
      <c r="V644" s="296"/>
      <c r="W644" s="297"/>
      <c r="X644" s="298"/>
      <c r="Y644" s="292" t="str">
        <f t="shared" si="69"/>
        <v/>
      </c>
      <c r="Z644" s="366">
        <f t="shared" si="70"/>
        <v>0</v>
      </c>
      <c r="AA644" s="299" t="str">
        <f t="shared" si="71"/>
        <v/>
      </c>
      <c r="AB644" s="300"/>
      <c r="AC644" s="301"/>
      <c r="AD644" s="302"/>
      <c r="AE644" s="303"/>
      <c r="AF644" s="304"/>
      <c r="AG644" s="304"/>
      <c r="AH644" s="304"/>
      <c r="AI644" s="304"/>
      <c r="AJ644" s="304"/>
      <c r="AK644" s="305"/>
      <c r="AL644" s="283"/>
      <c r="AM644" s="284"/>
    </row>
    <row r="645" ht="15.75" customHeight="1">
      <c r="A645" s="282">
        <f t="shared" si="1"/>
        <v>641</v>
      </c>
      <c r="B645" s="283"/>
      <c r="C645" s="284"/>
      <c r="D645" s="338"/>
      <c r="E645" s="286"/>
      <c r="F645" s="287"/>
      <c r="G645" s="288" t="str">
        <f>+IFERROR(VLOOKUP(F645,NVL!$B:$C,2,0),"")</f>
        <v/>
      </c>
      <c r="H645" s="288" t="str">
        <f>+IFERROR(VLOOKUP(F645,NVL!$B:$D,3,0),"")</f>
        <v/>
      </c>
      <c r="I645" s="288" t="str">
        <f>+IFERROR(VLOOKUP(F645,NVL!$B:$F,4,0),"")</f>
        <v/>
      </c>
      <c r="J645" s="289"/>
      <c r="K645" s="290"/>
      <c r="L645" s="291" t="str">
        <f>+IFERROR(VLOOKUP(K645,'THÀNH PHẨM'!$B:$F,3,0),"")</f>
        <v/>
      </c>
      <c r="M645" s="291" t="str">
        <f>+IFERROR(VLOOKUP(K645,'THÀNH PHẨM'!$B:$F,4,0),"")</f>
        <v/>
      </c>
      <c r="N645" s="291" t="str">
        <f>+IFERROR(VLOOKUP(K645,'THÀNH PHẨM'!$B:$F,5,0),"")</f>
        <v/>
      </c>
      <c r="O645" s="289"/>
      <c r="P645" s="292">
        <f t="shared" si="2"/>
        <v>0</v>
      </c>
      <c r="Q645" s="289"/>
      <c r="R645" s="289"/>
      <c r="S645" s="293">
        <f t="shared" si="62"/>
        <v>0</v>
      </c>
      <c r="T645" s="294"/>
      <c r="U645" s="295">
        <f t="shared" si="68"/>
        <v>0</v>
      </c>
      <c r="V645" s="296"/>
      <c r="W645" s="297"/>
      <c r="X645" s="298"/>
      <c r="Y645" s="292" t="str">
        <f t="shared" si="69"/>
        <v/>
      </c>
      <c r="Z645" s="366">
        <f t="shared" si="70"/>
        <v>0</v>
      </c>
      <c r="AA645" s="299" t="str">
        <f t="shared" si="71"/>
        <v/>
      </c>
      <c r="AB645" s="300"/>
      <c r="AC645" s="301"/>
      <c r="AD645" s="302"/>
      <c r="AE645" s="303"/>
      <c r="AF645" s="304"/>
      <c r="AG645" s="304"/>
      <c r="AH645" s="304"/>
      <c r="AI645" s="304"/>
      <c r="AJ645" s="304"/>
      <c r="AK645" s="305"/>
      <c r="AL645" s="283"/>
      <c r="AM645" s="284"/>
    </row>
    <row r="646" ht="15.75" customHeight="1">
      <c r="A646" s="282">
        <f t="shared" si="1"/>
        <v>642</v>
      </c>
      <c r="B646" s="283"/>
      <c r="C646" s="284"/>
      <c r="D646" s="338"/>
      <c r="E646" s="286"/>
      <c r="F646" s="287"/>
      <c r="G646" s="288" t="str">
        <f>+IFERROR(VLOOKUP(F646,NVL!$B:$C,2,0),"")</f>
        <v/>
      </c>
      <c r="H646" s="288" t="str">
        <f>+IFERROR(VLOOKUP(F646,NVL!$B:$D,3,0),"")</f>
        <v/>
      </c>
      <c r="I646" s="288" t="str">
        <f>+IFERROR(VLOOKUP(F646,NVL!$B:$F,4,0),"")</f>
        <v/>
      </c>
      <c r="J646" s="289"/>
      <c r="K646" s="290"/>
      <c r="L646" s="291" t="str">
        <f>+IFERROR(VLOOKUP(K646,'THÀNH PHẨM'!$B:$F,3,0),"")</f>
        <v/>
      </c>
      <c r="M646" s="291" t="str">
        <f>+IFERROR(VLOOKUP(K646,'THÀNH PHẨM'!$B:$F,4,0),"")</f>
        <v/>
      </c>
      <c r="N646" s="291" t="str">
        <f>+IFERROR(VLOOKUP(K646,'THÀNH PHẨM'!$B:$F,5,0),"")</f>
        <v/>
      </c>
      <c r="O646" s="289"/>
      <c r="P646" s="292">
        <f t="shared" si="2"/>
        <v>0</v>
      </c>
      <c r="Q646" s="289"/>
      <c r="R646" s="289"/>
      <c r="S646" s="293">
        <f t="shared" si="62"/>
        <v>0</v>
      </c>
      <c r="T646" s="294"/>
      <c r="U646" s="295">
        <f t="shared" si="68"/>
        <v>0</v>
      </c>
      <c r="V646" s="296"/>
      <c r="W646" s="297"/>
      <c r="X646" s="298"/>
      <c r="Y646" s="292" t="str">
        <f t="shared" si="69"/>
        <v/>
      </c>
      <c r="Z646" s="366">
        <f t="shared" si="70"/>
        <v>0</v>
      </c>
      <c r="AA646" s="299" t="str">
        <f t="shared" si="71"/>
        <v/>
      </c>
      <c r="AB646" s="300"/>
      <c r="AC646" s="301"/>
      <c r="AD646" s="302"/>
      <c r="AE646" s="303"/>
      <c r="AF646" s="304"/>
      <c r="AG646" s="304"/>
      <c r="AH646" s="304"/>
      <c r="AI646" s="304"/>
      <c r="AJ646" s="304"/>
      <c r="AK646" s="305"/>
      <c r="AL646" s="283"/>
      <c r="AM646" s="284"/>
    </row>
    <row r="647" ht="15.75" customHeight="1">
      <c r="A647" s="282">
        <f t="shared" si="1"/>
        <v>643</v>
      </c>
      <c r="B647" s="283"/>
      <c r="C647" s="284"/>
      <c r="D647" s="338"/>
      <c r="E647" s="286"/>
      <c r="F647" s="287"/>
      <c r="G647" s="288" t="str">
        <f>+IFERROR(VLOOKUP(F647,NVL!$B:$C,2,0),"")</f>
        <v/>
      </c>
      <c r="H647" s="288" t="str">
        <f>+IFERROR(VLOOKUP(F647,NVL!$B:$D,3,0),"")</f>
        <v/>
      </c>
      <c r="I647" s="288" t="str">
        <f>+IFERROR(VLOOKUP(F647,NVL!$B:$F,4,0),"")</f>
        <v/>
      </c>
      <c r="J647" s="289"/>
      <c r="K647" s="290"/>
      <c r="L647" s="291" t="str">
        <f>+IFERROR(VLOOKUP(K647,'THÀNH PHẨM'!$B:$F,3,0),"")</f>
        <v/>
      </c>
      <c r="M647" s="291" t="str">
        <f>+IFERROR(VLOOKUP(K647,'THÀNH PHẨM'!$B:$F,4,0),"")</f>
        <v/>
      </c>
      <c r="N647" s="291" t="str">
        <f>+IFERROR(VLOOKUP(K647,'THÀNH PHẨM'!$B:$F,5,0),"")</f>
        <v/>
      </c>
      <c r="O647" s="289"/>
      <c r="P647" s="292">
        <f t="shared" si="2"/>
        <v>0</v>
      </c>
      <c r="Q647" s="289"/>
      <c r="R647" s="289"/>
      <c r="S647" s="293">
        <f t="shared" si="62"/>
        <v>0</v>
      </c>
      <c r="T647" s="294"/>
      <c r="U647" s="295">
        <f t="shared" si="68"/>
        <v>0</v>
      </c>
      <c r="V647" s="296"/>
      <c r="W647" s="297"/>
      <c r="X647" s="298"/>
      <c r="Y647" s="292" t="str">
        <f t="shared" si="69"/>
        <v/>
      </c>
      <c r="Z647" s="366">
        <f t="shared" si="70"/>
        <v>0</v>
      </c>
      <c r="AA647" s="299" t="str">
        <f t="shared" si="71"/>
        <v/>
      </c>
      <c r="AB647" s="300"/>
      <c r="AC647" s="301"/>
      <c r="AD647" s="302"/>
      <c r="AE647" s="303"/>
      <c r="AF647" s="304"/>
      <c r="AG647" s="304"/>
      <c r="AH647" s="304"/>
      <c r="AI647" s="304"/>
      <c r="AJ647" s="304"/>
      <c r="AK647" s="305"/>
      <c r="AL647" s="283"/>
      <c r="AM647" s="284"/>
    </row>
    <row r="648" ht="15.75" customHeight="1">
      <c r="A648" s="282">
        <f t="shared" si="1"/>
        <v>644</v>
      </c>
      <c r="B648" s="283"/>
      <c r="C648" s="284"/>
      <c r="D648" s="338"/>
      <c r="E648" s="286"/>
      <c r="F648" s="287"/>
      <c r="G648" s="288" t="str">
        <f>+IFERROR(VLOOKUP(F648,NVL!$B:$C,2,0),"")</f>
        <v/>
      </c>
      <c r="H648" s="288" t="str">
        <f>+IFERROR(VLOOKUP(F648,NVL!$B:$D,3,0),"")</f>
        <v/>
      </c>
      <c r="I648" s="288" t="str">
        <f>+IFERROR(VLOOKUP(F648,NVL!$B:$F,4,0),"")</f>
        <v/>
      </c>
      <c r="J648" s="289"/>
      <c r="K648" s="290"/>
      <c r="L648" s="291" t="str">
        <f>+IFERROR(VLOOKUP(K648,'THÀNH PHẨM'!$B:$F,3,0),"")</f>
        <v/>
      </c>
      <c r="M648" s="291" t="str">
        <f>+IFERROR(VLOOKUP(K648,'THÀNH PHẨM'!$B:$F,4,0),"")</f>
        <v/>
      </c>
      <c r="N648" s="291" t="str">
        <f>+IFERROR(VLOOKUP(K648,'THÀNH PHẨM'!$B:$F,5,0),"")</f>
        <v/>
      </c>
      <c r="O648" s="289"/>
      <c r="P648" s="292">
        <f t="shared" si="2"/>
        <v>0</v>
      </c>
      <c r="Q648" s="289"/>
      <c r="R648" s="289"/>
      <c r="S648" s="293">
        <f t="shared" si="62"/>
        <v>0</v>
      </c>
      <c r="T648" s="294"/>
      <c r="U648" s="295">
        <f t="shared" si="68"/>
        <v>0</v>
      </c>
      <c r="V648" s="296"/>
      <c r="W648" s="297"/>
      <c r="X648" s="298"/>
      <c r="Y648" s="292" t="str">
        <f t="shared" si="69"/>
        <v/>
      </c>
      <c r="Z648" s="366">
        <f t="shared" si="70"/>
        <v>0</v>
      </c>
      <c r="AA648" s="299" t="str">
        <f t="shared" si="71"/>
        <v/>
      </c>
      <c r="AB648" s="300"/>
      <c r="AC648" s="301"/>
      <c r="AD648" s="302"/>
      <c r="AE648" s="303"/>
      <c r="AF648" s="304"/>
      <c r="AG648" s="304"/>
      <c r="AH648" s="304"/>
      <c r="AI648" s="304"/>
      <c r="AJ648" s="304"/>
      <c r="AK648" s="305"/>
      <c r="AL648" s="283"/>
      <c r="AM648" s="284"/>
    </row>
    <row r="649" ht="15.75" customHeight="1">
      <c r="A649" s="282">
        <f t="shared" si="1"/>
        <v>645</v>
      </c>
      <c r="B649" s="283"/>
      <c r="C649" s="284"/>
      <c r="D649" s="338"/>
      <c r="E649" s="286"/>
      <c r="F649" s="287"/>
      <c r="G649" s="288" t="str">
        <f>+IFERROR(VLOOKUP(F649,NVL!$B:$C,2,0),"")</f>
        <v/>
      </c>
      <c r="H649" s="288" t="str">
        <f>+IFERROR(VLOOKUP(F649,NVL!$B:$D,3,0),"")</f>
        <v/>
      </c>
      <c r="I649" s="288" t="str">
        <f>+IFERROR(VLOOKUP(F649,NVL!$B:$F,4,0),"")</f>
        <v/>
      </c>
      <c r="J649" s="289"/>
      <c r="K649" s="290"/>
      <c r="L649" s="291" t="str">
        <f>+IFERROR(VLOOKUP(K649,'THÀNH PHẨM'!$B:$F,3,0),"")</f>
        <v/>
      </c>
      <c r="M649" s="291" t="str">
        <f>+IFERROR(VLOOKUP(K649,'THÀNH PHẨM'!$B:$F,4,0),"")</f>
        <v/>
      </c>
      <c r="N649" s="291" t="str">
        <f>+IFERROR(VLOOKUP(K649,'THÀNH PHẨM'!$B:$F,5,0),"")</f>
        <v/>
      </c>
      <c r="O649" s="289"/>
      <c r="P649" s="292">
        <f t="shared" si="2"/>
        <v>0</v>
      </c>
      <c r="Q649" s="289"/>
      <c r="R649" s="289"/>
      <c r="S649" s="293">
        <f t="shared" si="62"/>
        <v>0</v>
      </c>
      <c r="T649" s="294"/>
      <c r="U649" s="295">
        <f t="shared" si="68"/>
        <v>0</v>
      </c>
      <c r="V649" s="296"/>
      <c r="W649" s="297"/>
      <c r="X649" s="298"/>
      <c r="Y649" s="292" t="str">
        <f t="shared" si="69"/>
        <v/>
      </c>
      <c r="Z649" s="366">
        <f t="shared" si="70"/>
        <v>0</v>
      </c>
      <c r="AA649" s="299" t="str">
        <f t="shared" si="71"/>
        <v/>
      </c>
      <c r="AB649" s="300"/>
      <c r="AC649" s="301"/>
      <c r="AD649" s="302"/>
      <c r="AE649" s="303"/>
      <c r="AF649" s="304"/>
      <c r="AG649" s="304"/>
      <c r="AH649" s="304"/>
      <c r="AI649" s="304"/>
      <c r="AJ649" s="304"/>
      <c r="AK649" s="305"/>
      <c r="AL649" s="283"/>
      <c r="AM649" s="284"/>
    </row>
    <row r="650" ht="15.75" customHeight="1">
      <c r="A650" s="282">
        <f t="shared" si="1"/>
        <v>646</v>
      </c>
      <c r="B650" s="283"/>
      <c r="C650" s="284"/>
      <c r="D650" s="338"/>
      <c r="E650" s="286"/>
      <c r="F650" s="287"/>
      <c r="G650" s="288" t="str">
        <f>+IFERROR(VLOOKUP(F650,NVL!$B:$C,2,0),"")</f>
        <v/>
      </c>
      <c r="H650" s="288" t="str">
        <f>+IFERROR(VLOOKUP(F650,NVL!$B:$D,3,0),"")</f>
        <v/>
      </c>
      <c r="I650" s="288" t="str">
        <f>+IFERROR(VLOOKUP(F650,NVL!$B:$F,4,0),"")</f>
        <v/>
      </c>
      <c r="J650" s="289"/>
      <c r="K650" s="290"/>
      <c r="L650" s="291" t="str">
        <f>+IFERROR(VLOOKUP(K650,'THÀNH PHẨM'!$B:$F,3,0),"")</f>
        <v/>
      </c>
      <c r="M650" s="291" t="str">
        <f>+IFERROR(VLOOKUP(K650,'THÀNH PHẨM'!$B:$F,4,0),"")</f>
        <v/>
      </c>
      <c r="N650" s="291" t="str">
        <f>+IFERROR(VLOOKUP(K650,'THÀNH PHẨM'!$B:$F,5,0),"")</f>
        <v/>
      </c>
      <c r="O650" s="289"/>
      <c r="P650" s="292">
        <f t="shared" si="2"/>
        <v>0</v>
      </c>
      <c r="Q650" s="289"/>
      <c r="R650" s="289"/>
      <c r="S650" s="293">
        <f t="shared" si="62"/>
        <v>0</v>
      </c>
      <c r="T650" s="294"/>
      <c r="U650" s="295">
        <f t="shared" si="68"/>
        <v>0</v>
      </c>
      <c r="V650" s="296"/>
      <c r="W650" s="297"/>
      <c r="X650" s="298"/>
      <c r="Y650" s="292" t="str">
        <f t="shared" si="69"/>
        <v/>
      </c>
      <c r="Z650" s="366">
        <f t="shared" si="70"/>
        <v>0</v>
      </c>
      <c r="AA650" s="299" t="str">
        <f t="shared" si="71"/>
        <v/>
      </c>
      <c r="AB650" s="300"/>
      <c r="AC650" s="301"/>
      <c r="AD650" s="302"/>
      <c r="AE650" s="303"/>
      <c r="AF650" s="304"/>
      <c r="AG650" s="304"/>
      <c r="AH650" s="304"/>
      <c r="AI650" s="304"/>
      <c r="AJ650" s="304"/>
      <c r="AK650" s="305"/>
      <c r="AL650" s="283"/>
      <c r="AM650" s="284"/>
    </row>
    <row r="651" ht="15.75" customHeight="1">
      <c r="A651" s="282">
        <f t="shared" si="1"/>
        <v>647</v>
      </c>
      <c r="B651" s="283"/>
      <c r="C651" s="284"/>
      <c r="D651" s="338"/>
      <c r="E651" s="286"/>
      <c r="F651" s="287"/>
      <c r="G651" s="288" t="str">
        <f>+IFERROR(VLOOKUP(F651,NVL!$B:$C,2,0),"")</f>
        <v/>
      </c>
      <c r="H651" s="288" t="str">
        <f>+IFERROR(VLOOKUP(F651,NVL!$B:$D,3,0),"")</f>
        <v/>
      </c>
      <c r="I651" s="288" t="str">
        <f>+IFERROR(VLOOKUP(F651,NVL!$B:$F,4,0),"")</f>
        <v/>
      </c>
      <c r="J651" s="289"/>
      <c r="K651" s="290"/>
      <c r="L651" s="291" t="str">
        <f>+IFERROR(VLOOKUP(K651,'THÀNH PHẨM'!$B:$F,3,0),"")</f>
        <v/>
      </c>
      <c r="M651" s="291" t="str">
        <f>+IFERROR(VLOOKUP(K651,'THÀNH PHẨM'!$B:$F,4,0),"")</f>
        <v/>
      </c>
      <c r="N651" s="291" t="str">
        <f>+IFERROR(VLOOKUP(K651,'THÀNH PHẨM'!$B:$F,5,0),"")</f>
        <v/>
      </c>
      <c r="O651" s="289"/>
      <c r="P651" s="292">
        <f t="shared" si="2"/>
        <v>0</v>
      </c>
      <c r="Q651" s="289"/>
      <c r="R651" s="289"/>
      <c r="S651" s="293">
        <f t="shared" si="62"/>
        <v>0</v>
      </c>
      <c r="T651" s="294"/>
      <c r="U651" s="295">
        <f t="shared" si="68"/>
        <v>0</v>
      </c>
      <c r="V651" s="296"/>
      <c r="W651" s="297"/>
      <c r="X651" s="298"/>
      <c r="Y651" s="292" t="str">
        <f t="shared" si="69"/>
        <v/>
      </c>
      <c r="Z651" s="366">
        <f t="shared" si="70"/>
        <v>0</v>
      </c>
      <c r="AA651" s="299" t="str">
        <f t="shared" si="71"/>
        <v/>
      </c>
      <c r="AB651" s="300"/>
      <c r="AC651" s="301"/>
      <c r="AD651" s="302"/>
      <c r="AE651" s="303"/>
      <c r="AF651" s="304"/>
      <c r="AG651" s="304"/>
      <c r="AH651" s="304"/>
      <c r="AI651" s="304"/>
      <c r="AJ651" s="304"/>
      <c r="AK651" s="305"/>
      <c r="AL651" s="283"/>
      <c r="AM651" s="284"/>
    </row>
    <row r="652" ht="15.75" customHeight="1">
      <c r="A652" s="282">
        <f t="shared" si="1"/>
        <v>648</v>
      </c>
      <c r="B652" s="283"/>
      <c r="C652" s="284"/>
      <c r="D652" s="338"/>
      <c r="E652" s="286"/>
      <c r="F652" s="287"/>
      <c r="G652" s="288" t="str">
        <f>+IFERROR(VLOOKUP(F652,NVL!$B:$C,2,0),"")</f>
        <v/>
      </c>
      <c r="H652" s="288" t="str">
        <f>+IFERROR(VLOOKUP(F652,NVL!$B:$D,3,0),"")</f>
        <v/>
      </c>
      <c r="I652" s="288" t="str">
        <f>+IFERROR(VLOOKUP(F652,NVL!$B:$F,4,0),"")</f>
        <v/>
      </c>
      <c r="J652" s="289"/>
      <c r="K652" s="290"/>
      <c r="L652" s="291" t="str">
        <f>+IFERROR(VLOOKUP(K652,'THÀNH PHẨM'!$B:$F,3,0),"")</f>
        <v/>
      </c>
      <c r="M652" s="291" t="str">
        <f>+IFERROR(VLOOKUP(K652,'THÀNH PHẨM'!$B:$F,4,0),"")</f>
        <v/>
      </c>
      <c r="N652" s="291" t="str">
        <f>+IFERROR(VLOOKUP(K652,'THÀNH PHẨM'!$B:$F,5,0),"")</f>
        <v/>
      </c>
      <c r="O652" s="289"/>
      <c r="P652" s="292">
        <f t="shared" si="2"/>
        <v>0</v>
      </c>
      <c r="Q652" s="289"/>
      <c r="R652" s="289"/>
      <c r="S652" s="293">
        <f t="shared" si="62"/>
        <v>0</v>
      </c>
      <c r="T652" s="294"/>
      <c r="U652" s="295">
        <f t="shared" si="68"/>
        <v>0</v>
      </c>
      <c r="V652" s="296"/>
      <c r="W652" s="297"/>
      <c r="X652" s="298"/>
      <c r="Y652" s="292" t="str">
        <f t="shared" si="69"/>
        <v/>
      </c>
      <c r="Z652" s="366">
        <f t="shared" si="70"/>
        <v>0</v>
      </c>
      <c r="AA652" s="299" t="str">
        <f t="shared" si="71"/>
        <v/>
      </c>
      <c r="AB652" s="300"/>
      <c r="AC652" s="301"/>
      <c r="AD652" s="302"/>
      <c r="AE652" s="303"/>
      <c r="AF652" s="304"/>
      <c r="AG652" s="304"/>
      <c r="AH652" s="304"/>
      <c r="AI652" s="304"/>
      <c r="AJ652" s="304"/>
      <c r="AK652" s="305"/>
      <c r="AL652" s="283"/>
      <c r="AM652" s="284"/>
    </row>
    <row r="653" ht="15.75" customHeight="1">
      <c r="A653" s="282">
        <f t="shared" si="1"/>
        <v>649</v>
      </c>
      <c r="B653" s="283"/>
      <c r="C653" s="284"/>
      <c r="D653" s="338"/>
      <c r="E653" s="286"/>
      <c r="F653" s="287"/>
      <c r="G653" s="288" t="str">
        <f>+IFERROR(VLOOKUP(F653,NVL!$B:$C,2,0),"")</f>
        <v/>
      </c>
      <c r="H653" s="288" t="str">
        <f>+IFERROR(VLOOKUP(F653,NVL!$B:$D,3,0),"")</f>
        <v/>
      </c>
      <c r="I653" s="288" t="str">
        <f>+IFERROR(VLOOKUP(F653,NVL!$B:$F,4,0),"")</f>
        <v/>
      </c>
      <c r="J653" s="289"/>
      <c r="K653" s="290"/>
      <c r="L653" s="291" t="str">
        <f>+IFERROR(VLOOKUP(K653,'THÀNH PHẨM'!$B:$F,3,0),"")</f>
        <v/>
      </c>
      <c r="M653" s="291" t="str">
        <f>+IFERROR(VLOOKUP(K653,'THÀNH PHẨM'!$B:$F,4,0),"")</f>
        <v/>
      </c>
      <c r="N653" s="291" t="str">
        <f>+IFERROR(VLOOKUP(K653,'THÀNH PHẨM'!$B:$F,5,0),"")</f>
        <v/>
      </c>
      <c r="O653" s="289"/>
      <c r="P653" s="292">
        <f t="shared" si="2"/>
        <v>0</v>
      </c>
      <c r="Q653" s="289"/>
      <c r="R653" s="289"/>
      <c r="S653" s="293">
        <f t="shared" si="62"/>
        <v>0</v>
      </c>
      <c r="T653" s="294"/>
      <c r="U653" s="295">
        <f t="shared" si="68"/>
        <v>0</v>
      </c>
      <c r="V653" s="296"/>
      <c r="W653" s="297"/>
      <c r="X653" s="298"/>
      <c r="Y653" s="292" t="str">
        <f t="shared" si="69"/>
        <v/>
      </c>
      <c r="Z653" s="366">
        <f t="shared" si="70"/>
        <v>0</v>
      </c>
      <c r="AA653" s="299" t="str">
        <f t="shared" si="71"/>
        <v/>
      </c>
      <c r="AB653" s="300"/>
      <c r="AC653" s="301"/>
      <c r="AD653" s="302"/>
      <c r="AE653" s="303"/>
      <c r="AF653" s="304"/>
      <c r="AG653" s="304"/>
      <c r="AH653" s="304"/>
      <c r="AI653" s="304"/>
      <c r="AJ653" s="304"/>
      <c r="AK653" s="305"/>
      <c r="AL653" s="283"/>
      <c r="AM653" s="284"/>
    </row>
    <row r="654" ht="15.75" customHeight="1">
      <c r="A654" s="282">
        <f t="shared" si="1"/>
        <v>650</v>
      </c>
      <c r="B654" s="283"/>
      <c r="C654" s="284"/>
      <c r="D654" s="338"/>
      <c r="E654" s="286"/>
      <c r="F654" s="287"/>
      <c r="G654" s="288" t="str">
        <f>+IFERROR(VLOOKUP(F654,NVL!$B:$C,2,0),"")</f>
        <v/>
      </c>
      <c r="H654" s="288" t="str">
        <f>+IFERROR(VLOOKUP(F654,NVL!$B:$D,3,0),"")</f>
        <v/>
      </c>
      <c r="I654" s="288" t="str">
        <f>+IFERROR(VLOOKUP(F654,NVL!$B:$F,4,0),"")</f>
        <v/>
      </c>
      <c r="J654" s="289"/>
      <c r="K654" s="290"/>
      <c r="L654" s="291" t="str">
        <f>+IFERROR(VLOOKUP(K654,'THÀNH PHẨM'!$B:$F,3,0),"")</f>
        <v/>
      </c>
      <c r="M654" s="291" t="str">
        <f>+IFERROR(VLOOKUP(K654,'THÀNH PHẨM'!$B:$F,4,0),"")</f>
        <v/>
      </c>
      <c r="N654" s="291" t="str">
        <f>+IFERROR(VLOOKUP(K654,'THÀNH PHẨM'!$B:$F,5,0),"")</f>
        <v/>
      </c>
      <c r="O654" s="289"/>
      <c r="P654" s="292">
        <f t="shared" si="2"/>
        <v>0</v>
      </c>
      <c r="Q654" s="289"/>
      <c r="R654" s="289"/>
      <c r="S654" s="293">
        <f t="shared" si="62"/>
        <v>0</v>
      </c>
      <c r="T654" s="294"/>
      <c r="U654" s="295">
        <f t="shared" si="68"/>
        <v>0</v>
      </c>
      <c r="V654" s="296"/>
      <c r="W654" s="297"/>
      <c r="X654" s="298"/>
      <c r="Y654" s="292" t="str">
        <f t="shared" si="69"/>
        <v/>
      </c>
      <c r="Z654" s="366">
        <f t="shared" si="70"/>
        <v>0</v>
      </c>
      <c r="AA654" s="299" t="str">
        <f t="shared" si="71"/>
        <v/>
      </c>
      <c r="AB654" s="300"/>
      <c r="AC654" s="301"/>
      <c r="AD654" s="302"/>
      <c r="AE654" s="303"/>
      <c r="AF654" s="304"/>
      <c r="AG654" s="304"/>
      <c r="AH654" s="304"/>
      <c r="AI654" s="304"/>
      <c r="AJ654" s="304"/>
      <c r="AK654" s="305"/>
      <c r="AL654" s="283"/>
      <c r="AM654" s="284"/>
    </row>
    <row r="655" ht="15.75" customHeight="1">
      <c r="A655" s="282">
        <f t="shared" si="1"/>
        <v>651</v>
      </c>
      <c r="B655" s="283"/>
      <c r="C655" s="284"/>
      <c r="D655" s="338"/>
      <c r="E655" s="286"/>
      <c r="F655" s="287"/>
      <c r="G655" s="288" t="str">
        <f>+IFERROR(VLOOKUP(F655,NVL!$B:$C,2,0),"")</f>
        <v/>
      </c>
      <c r="H655" s="288" t="str">
        <f>+IFERROR(VLOOKUP(F655,NVL!$B:$D,3,0),"")</f>
        <v/>
      </c>
      <c r="I655" s="288" t="str">
        <f>+IFERROR(VLOOKUP(F655,NVL!$B:$F,4,0),"")</f>
        <v/>
      </c>
      <c r="J655" s="289"/>
      <c r="K655" s="290"/>
      <c r="L655" s="291" t="str">
        <f>+IFERROR(VLOOKUP(K655,'THÀNH PHẨM'!$B:$F,3,0),"")</f>
        <v/>
      </c>
      <c r="M655" s="291" t="str">
        <f>+IFERROR(VLOOKUP(K655,'THÀNH PHẨM'!$B:$F,4,0),"")</f>
        <v/>
      </c>
      <c r="N655" s="291" t="str">
        <f>+IFERROR(VLOOKUP(K655,'THÀNH PHẨM'!$B:$F,5,0),"")</f>
        <v/>
      </c>
      <c r="O655" s="289"/>
      <c r="P655" s="292">
        <f t="shared" si="2"/>
        <v>0</v>
      </c>
      <c r="Q655" s="289"/>
      <c r="R655" s="289"/>
      <c r="S655" s="293">
        <f t="shared" si="62"/>
        <v>0</v>
      </c>
      <c r="T655" s="294"/>
      <c r="U655" s="295">
        <f t="shared" si="68"/>
        <v>0</v>
      </c>
      <c r="V655" s="296"/>
      <c r="W655" s="297"/>
      <c r="X655" s="298"/>
      <c r="Y655" s="292" t="str">
        <f t="shared" si="69"/>
        <v/>
      </c>
      <c r="Z655" s="366">
        <f t="shared" si="70"/>
        <v>0</v>
      </c>
      <c r="AA655" s="299" t="str">
        <f t="shared" si="71"/>
        <v/>
      </c>
      <c r="AB655" s="300"/>
      <c r="AC655" s="301"/>
      <c r="AD655" s="302"/>
      <c r="AE655" s="303"/>
      <c r="AF655" s="304"/>
      <c r="AG655" s="304"/>
      <c r="AH655" s="304"/>
      <c r="AI655" s="304"/>
      <c r="AJ655" s="304"/>
      <c r="AK655" s="305"/>
      <c r="AL655" s="283"/>
      <c r="AM655" s="284"/>
    </row>
    <row r="656" ht="15.75" customHeight="1">
      <c r="A656" s="282">
        <f t="shared" si="1"/>
        <v>652</v>
      </c>
      <c r="B656" s="283"/>
      <c r="C656" s="284"/>
      <c r="D656" s="338"/>
      <c r="E656" s="286"/>
      <c r="F656" s="287"/>
      <c r="G656" s="288" t="str">
        <f>+IFERROR(VLOOKUP(F656,NVL!$B:$C,2,0),"")</f>
        <v/>
      </c>
      <c r="H656" s="288" t="str">
        <f>+IFERROR(VLOOKUP(F656,NVL!$B:$D,3,0),"")</f>
        <v/>
      </c>
      <c r="I656" s="288" t="str">
        <f>+IFERROR(VLOOKUP(F656,NVL!$B:$F,4,0),"")</f>
        <v/>
      </c>
      <c r="J656" s="289"/>
      <c r="K656" s="290"/>
      <c r="L656" s="291" t="str">
        <f>+IFERROR(VLOOKUP(K656,'THÀNH PHẨM'!$B:$F,3,0),"")</f>
        <v/>
      </c>
      <c r="M656" s="291" t="str">
        <f>+IFERROR(VLOOKUP(K656,'THÀNH PHẨM'!$B:$F,4,0),"")</f>
        <v/>
      </c>
      <c r="N656" s="291" t="str">
        <f>+IFERROR(VLOOKUP(K656,'THÀNH PHẨM'!$B:$F,5,0),"")</f>
        <v/>
      </c>
      <c r="O656" s="289"/>
      <c r="P656" s="292">
        <f t="shared" si="2"/>
        <v>0</v>
      </c>
      <c r="Q656" s="289"/>
      <c r="R656" s="289"/>
      <c r="S656" s="293">
        <f t="shared" si="62"/>
        <v>0</v>
      </c>
      <c r="T656" s="294"/>
      <c r="U656" s="295">
        <f t="shared" si="68"/>
        <v>0</v>
      </c>
      <c r="V656" s="296"/>
      <c r="W656" s="297"/>
      <c r="X656" s="298"/>
      <c r="Y656" s="292" t="str">
        <f t="shared" si="69"/>
        <v/>
      </c>
      <c r="Z656" s="366">
        <f t="shared" si="70"/>
        <v>0</v>
      </c>
      <c r="AA656" s="299" t="str">
        <f t="shared" si="71"/>
        <v/>
      </c>
      <c r="AB656" s="300"/>
      <c r="AC656" s="301"/>
      <c r="AD656" s="302"/>
      <c r="AE656" s="303"/>
      <c r="AF656" s="304"/>
      <c r="AG656" s="304"/>
      <c r="AH656" s="304"/>
      <c r="AI656" s="304"/>
      <c r="AJ656" s="304"/>
      <c r="AK656" s="305"/>
      <c r="AL656" s="283"/>
      <c r="AM656" s="284"/>
    </row>
    <row r="657" ht="15.75" customHeight="1">
      <c r="A657" s="282">
        <f t="shared" si="1"/>
        <v>653</v>
      </c>
      <c r="B657" s="283"/>
      <c r="C657" s="284"/>
      <c r="D657" s="338"/>
      <c r="E657" s="286"/>
      <c r="F657" s="287"/>
      <c r="G657" s="288" t="str">
        <f>+IFERROR(VLOOKUP(F657,NVL!$B:$C,2,0),"")</f>
        <v/>
      </c>
      <c r="H657" s="288" t="str">
        <f>+IFERROR(VLOOKUP(F657,NVL!$B:$D,3,0),"")</f>
        <v/>
      </c>
      <c r="I657" s="288" t="str">
        <f>+IFERROR(VLOOKUP(F657,NVL!$B:$F,4,0),"")</f>
        <v/>
      </c>
      <c r="J657" s="289"/>
      <c r="K657" s="290"/>
      <c r="L657" s="291" t="str">
        <f>+IFERROR(VLOOKUP(K657,'THÀNH PHẨM'!$B:$F,3,0),"")</f>
        <v/>
      </c>
      <c r="M657" s="291" t="str">
        <f>+IFERROR(VLOOKUP(K657,'THÀNH PHẨM'!$B:$F,4,0),"")</f>
        <v/>
      </c>
      <c r="N657" s="291" t="str">
        <f>+IFERROR(VLOOKUP(K657,'THÀNH PHẨM'!$B:$F,5,0),"")</f>
        <v/>
      </c>
      <c r="O657" s="289"/>
      <c r="P657" s="292">
        <f t="shared" si="2"/>
        <v>0</v>
      </c>
      <c r="Q657" s="289"/>
      <c r="R657" s="289"/>
      <c r="S657" s="293">
        <f t="shared" si="62"/>
        <v>0</v>
      </c>
      <c r="T657" s="294"/>
      <c r="U657" s="295">
        <f t="shared" si="68"/>
        <v>0</v>
      </c>
      <c r="V657" s="296"/>
      <c r="W657" s="297"/>
      <c r="X657" s="298"/>
      <c r="Y657" s="292" t="str">
        <f t="shared" si="69"/>
        <v/>
      </c>
      <c r="Z657" s="366">
        <f t="shared" si="70"/>
        <v>0</v>
      </c>
      <c r="AA657" s="299" t="str">
        <f t="shared" si="71"/>
        <v/>
      </c>
      <c r="AB657" s="300"/>
      <c r="AC657" s="301"/>
      <c r="AD657" s="302"/>
      <c r="AE657" s="303"/>
      <c r="AF657" s="304"/>
      <c r="AG657" s="304"/>
      <c r="AH657" s="304"/>
      <c r="AI657" s="304"/>
      <c r="AJ657" s="304"/>
      <c r="AK657" s="305"/>
      <c r="AL657" s="283"/>
      <c r="AM657" s="284"/>
    </row>
    <row r="658" ht="15.75" customHeight="1">
      <c r="A658" s="282">
        <f t="shared" si="1"/>
        <v>654</v>
      </c>
      <c r="B658" s="283"/>
      <c r="C658" s="284"/>
      <c r="D658" s="338"/>
      <c r="E658" s="286"/>
      <c r="F658" s="287"/>
      <c r="G658" s="288" t="str">
        <f>+IFERROR(VLOOKUP(F658,NVL!$B:$C,2,0),"")</f>
        <v/>
      </c>
      <c r="H658" s="288" t="str">
        <f>+IFERROR(VLOOKUP(F658,NVL!$B:$D,3,0),"")</f>
        <v/>
      </c>
      <c r="I658" s="288" t="str">
        <f>+IFERROR(VLOOKUP(F658,NVL!$B:$F,4,0),"")</f>
        <v/>
      </c>
      <c r="J658" s="289"/>
      <c r="K658" s="290"/>
      <c r="L658" s="291" t="str">
        <f>+IFERROR(VLOOKUP(K658,'THÀNH PHẨM'!$B:$F,3,0),"")</f>
        <v/>
      </c>
      <c r="M658" s="291" t="str">
        <f>+IFERROR(VLOOKUP(K658,'THÀNH PHẨM'!$B:$F,4,0),"")</f>
        <v/>
      </c>
      <c r="N658" s="291" t="str">
        <f>+IFERROR(VLOOKUP(K658,'THÀNH PHẨM'!$B:$F,5,0),"")</f>
        <v/>
      </c>
      <c r="O658" s="289"/>
      <c r="P658" s="292">
        <f t="shared" si="2"/>
        <v>0</v>
      </c>
      <c r="Q658" s="289"/>
      <c r="R658" s="289"/>
      <c r="S658" s="293">
        <f t="shared" si="62"/>
        <v>0</v>
      </c>
      <c r="T658" s="294"/>
      <c r="U658" s="295">
        <f t="shared" si="68"/>
        <v>0</v>
      </c>
      <c r="V658" s="296"/>
      <c r="W658" s="297"/>
      <c r="X658" s="298"/>
      <c r="Y658" s="292" t="str">
        <f t="shared" si="69"/>
        <v/>
      </c>
      <c r="Z658" s="366">
        <f t="shared" si="70"/>
        <v>0</v>
      </c>
      <c r="AA658" s="299" t="str">
        <f t="shared" si="71"/>
        <v/>
      </c>
      <c r="AB658" s="300"/>
      <c r="AC658" s="301"/>
      <c r="AD658" s="302"/>
      <c r="AE658" s="303"/>
      <c r="AF658" s="304"/>
      <c r="AG658" s="304"/>
      <c r="AH658" s="304"/>
      <c r="AI658" s="304"/>
      <c r="AJ658" s="304"/>
      <c r="AK658" s="305"/>
      <c r="AL658" s="283"/>
      <c r="AM658" s="284"/>
    </row>
    <row r="659" ht="15.75" customHeight="1">
      <c r="A659" s="282">
        <f t="shared" si="1"/>
        <v>655</v>
      </c>
      <c r="B659" s="283"/>
      <c r="C659" s="284"/>
      <c r="D659" s="338"/>
      <c r="E659" s="286"/>
      <c r="F659" s="287"/>
      <c r="G659" s="288" t="str">
        <f>+IFERROR(VLOOKUP(F659,NVL!$B:$C,2,0),"")</f>
        <v/>
      </c>
      <c r="H659" s="288" t="str">
        <f>+IFERROR(VLOOKUP(F659,NVL!$B:$D,3,0),"")</f>
        <v/>
      </c>
      <c r="I659" s="288" t="str">
        <f>+IFERROR(VLOOKUP(F659,NVL!$B:$F,4,0),"")</f>
        <v/>
      </c>
      <c r="J659" s="289"/>
      <c r="K659" s="290"/>
      <c r="L659" s="291" t="str">
        <f>+IFERROR(VLOOKUP(K659,'THÀNH PHẨM'!$B:$F,3,0),"")</f>
        <v/>
      </c>
      <c r="M659" s="291" t="str">
        <f>+IFERROR(VLOOKUP(K659,'THÀNH PHẨM'!$B:$F,4,0),"")</f>
        <v/>
      </c>
      <c r="N659" s="291" t="str">
        <f>+IFERROR(VLOOKUP(K659,'THÀNH PHẨM'!$B:$F,5,0),"")</f>
        <v/>
      </c>
      <c r="O659" s="289"/>
      <c r="P659" s="292">
        <f t="shared" si="2"/>
        <v>0</v>
      </c>
      <c r="Q659" s="289"/>
      <c r="R659" s="289"/>
      <c r="S659" s="293">
        <f t="shared" si="62"/>
        <v>0</v>
      </c>
      <c r="T659" s="294"/>
      <c r="U659" s="295">
        <f t="shared" si="68"/>
        <v>0</v>
      </c>
      <c r="V659" s="296"/>
      <c r="W659" s="297"/>
      <c r="X659" s="298"/>
      <c r="Y659" s="292" t="str">
        <f t="shared" si="69"/>
        <v/>
      </c>
      <c r="Z659" s="366">
        <f t="shared" si="70"/>
        <v>0</v>
      </c>
      <c r="AA659" s="299" t="str">
        <f t="shared" si="71"/>
        <v/>
      </c>
      <c r="AB659" s="300"/>
      <c r="AC659" s="301"/>
      <c r="AD659" s="302"/>
      <c r="AE659" s="303"/>
      <c r="AF659" s="304"/>
      <c r="AG659" s="304"/>
      <c r="AH659" s="304"/>
      <c r="AI659" s="304"/>
      <c r="AJ659" s="304"/>
      <c r="AK659" s="305"/>
      <c r="AL659" s="283"/>
      <c r="AM659" s="284"/>
    </row>
    <row r="660" ht="15.75" customHeight="1">
      <c r="A660" s="282">
        <f t="shared" si="1"/>
        <v>656</v>
      </c>
      <c r="B660" s="283"/>
      <c r="C660" s="284"/>
      <c r="D660" s="338"/>
      <c r="E660" s="286"/>
      <c r="F660" s="287"/>
      <c r="G660" s="288" t="str">
        <f>+IFERROR(VLOOKUP(F660,NVL!$B:$C,2,0),"")</f>
        <v/>
      </c>
      <c r="H660" s="288" t="str">
        <f>+IFERROR(VLOOKUP(F660,NVL!$B:$D,3,0),"")</f>
        <v/>
      </c>
      <c r="I660" s="288" t="str">
        <f>+IFERROR(VLOOKUP(F660,NVL!$B:$F,4,0),"")</f>
        <v/>
      </c>
      <c r="J660" s="289"/>
      <c r="K660" s="290"/>
      <c r="L660" s="291" t="str">
        <f>+IFERROR(VLOOKUP(K660,'THÀNH PHẨM'!$B:$F,3,0),"")</f>
        <v/>
      </c>
      <c r="M660" s="291" t="str">
        <f>+IFERROR(VLOOKUP(K660,'THÀNH PHẨM'!$B:$F,4,0),"")</f>
        <v/>
      </c>
      <c r="N660" s="291" t="str">
        <f>+IFERROR(VLOOKUP(K660,'THÀNH PHẨM'!$B:$F,5,0),"")</f>
        <v/>
      </c>
      <c r="O660" s="289"/>
      <c r="P660" s="292">
        <f t="shared" si="2"/>
        <v>0</v>
      </c>
      <c r="Q660" s="289"/>
      <c r="R660" s="289"/>
      <c r="S660" s="293">
        <f t="shared" si="62"/>
        <v>0</v>
      </c>
      <c r="T660" s="294"/>
      <c r="U660" s="295">
        <f t="shared" si="68"/>
        <v>0</v>
      </c>
      <c r="V660" s="296"/>
      <c r="W660" s="297"/>
      <c r="X660" s="298"/>
      <c r="Y660" s="292" t="str">
        <f t="shared" si="69"/>
        <v/>
      </c>
      <c r="Z660" s="366">
        <f t="shared" si="70"/>
        <v>0</v>
      </c>
      <c r="AA660" s="299" t="str">
        <f t="shared" si="71"/>
        <v/>
      </c>
      <c r="AB660" s="300"/>
      <c r="AC660" s="301"/>
      <c r="AD660" s="302"/>
      <c r="AE660" s="303"/>
      <c r="AF660" s="304"/>
      <c r="AG660" s="304"/>
      <c r="AH660" s="304"/>
      <c r="AI660" s="304"/>
      <c r="AJ660" s="304"/>
      <c r="AK660" s="305"/>
      <c r="AL660" s="283"/>
      <c r="AM660" s="284"/>
    </row>
    <row r="661" ht="15.75" customHeight="1">
      <c r="A661" s="282">
        <f t="shared" si="1"/>
        <v>657</v>
      </c>
      <c r="B661" s="283"/>
      <c r="C661" s="284"/>
      <c r="D661" s="338"/>
      <c r="E661" s="286"/>
      <c r="F661" s="287"/>
      <c r="G661" s="288" t="str">
        <f>+IFERROR(VLOOKUP(F661,NVL!$B:$C,2,0),"")</f>
        <v/>
      </c>
      <c r="H661" s="288" t="str">
        <f>+IFERROR(VLOOKUP(F661,NVL!$B:$D,3,0),"")</f>
        <v/>
      </c>
      <c r="I661" s="288" t="str">
        <f>+IFERROR(VLOOKUP(F661,NVL!$B:$F,4,0),"")</f>
        <v/>
      </c>
      <c r="J661" s="289"/>
      <c r="K661" s="290"/>
      <c r="L661" s="291" t="str">
        <f>+IFERROR(VLOOKUP(K661,'THÀNH PHẨM'!$B:$F,3,0),"")</f>
        <v/>
      </c>
      <c r="M661" s="291" t="str">
        <f>+IFERROR(VLOOKUP(K661,'THÀNH PHẨM'!$B:$F,4,0),"")</f>
        <v/>
      </c>
      <c r="N661" s="291" t="str">
        <f>+IFERROR(VLOOKUP(K661,'THÀNH PHẨM'!$B:$F,5,0),"")</f>
        <v/>
      </c>
      <c r="O661" s="289"/>
      <c r="P661" s="292">
        <f t="shared" si="2"/>
        <v>0</v>
      </c>
      <c r="Q661" s="289"/>
      <c r="R661" s="289"/>
      <c r="S661" s="293">
        <f t="shared" si="62"/>
        <v>0</v>
      </c>
      <c r="T661" s="294"/>
      <c r="U661" s="295">
        <f t="shared" si="68"/>
        <v>0</v>
      </c>
      <c r="V661" s="296"/>
      <c r="W661" s="297"/>
      <c r="X661" s="298"/>
      <c r="Y661" s="292" t="str">
        <f t="shared" si="69"/>
        <v/>
      </c>
      <c r="Z661" s="366">
        <f t="shared" si="70"/>
        <v>0</v>
      </c>
      <c r="AA661" s="299" t="str">
        <f t="shared" si="71"/>
        <v/>
      </c>
      <c r="AB661" s="300"/>
      <c r="AC661" s="301"/>
      <c r="AD661" s="302"/>
      <c r="AE661" s="303"/>
      <c r="AF661" s="304"/>
      <c r="AG661" s="304"/>
      <c r="AH661" s="304"/>
      <c r="AI661" s="304"/>
      <c r="AJ661" s="304"/>
      <c r="AK661" s="305"/>
      <c r="AL661" s="283"/>
      <c r="AM661" s="284"/>
    </row>
    <row r="662" ht="15.75" customHeight="1">
      <c r="A662" s="282">
        <f t="shared" si="1"/>
        <v>658</v>
      </c>
      <c r="B662" s="283"/>
      <c r="C662" s="284"/>
      <c r="D662" s="338"/>
      <c r="E662" s="286"/>
      <c r="F662" s="287"/>
      <c r="G662" s="288" t="str">
        <f>+IFERROR(VLOOKUP(F662,NVL!$B:$C,2,0),"")</f>
        <v/>
      </c>
      <c r="H662" s="288" t="str">
        <f>+IFERROR(VLOOKUP(F662,NVL!$B:$D,3,0),"")</f>
        <v/>
      </c>
      <c r="I662" s="288" t="str">
        <f>+IFERROR(VLOOKUP(F662,NVL!$B:$F,4,0),"")</f>
        <v/>
      </c>
      <c r="J662" s="289"/>
      <c r="K662" s="290"/>
      <c r="L662" s="291" t="str">
        <f>+IFERROR(VLOOKUP(K662,'THÀNH PHẨM'!$B:$F,3,0),"")</f>
        <v/>
      </c>
      <c r="M662" s="291" t="str">
        <f>+IFERROR(VLOOKUP(K662,'THÀNH PHẨM'!$B:$F,4,0),"")</f>
        <v/>
      </c>
      <c r="N662" s="291" t="str">
        <f>+IFERROR(VLOOKUP(K662,'THÀNH PHẨM'!$B:$F,5,0),"")</f>
        <v/>
      </c>
      <c r="O662" s="289"/>
      <c r="P662" s="292">
        <f t="shared" si="2"/>
        <v>0</v>
      </c>
      <c r="Q662" s="289"/>
      <c r="R662" s="289"/>
      <c r="S662" s="293">
        <f t="shared" si="62"/>
        <v>0</v>
      </c>
      <c r="T662" s="294"/>
      <c r="U662" s="295">
        <f t="shared" si="68"/>
        <v>0</v>
      </c>
      <c r="V662" s="296"/>
      <c r="W662" s="297"/>
      <c r="X662" s="298"/>
      <c r="Y662" s="292" t="str">
        <f t="shared" si="69"/>
        <v/>
      </c>
      <c r="Z662" s="366">
        <f t="shared" si="70"/>
        <v>0</v>
      </c>
      <c r="AA662" s="299" t="str">
        <f t="shared" si="71"/>
        <v/>
      </c>
      <c r="AB662" s="300"/>
      <c r="AC662" s="301"/>
      <c r="AD662" s="302"/>
      <c r="AE662" s="303"/>
      <c r="AF662" s="304"/>
      <c r="AG662" s="304"/>
      <c r="AH662" s="304"/>
      <c r="AI662" s="304"/>
      <c r="AJ662" s="304"/>
      <c r="AK662" s="305"/>
      <c r="AL662" s="283"/>
      <c r="AM662" s="284"/>
    </row>
    <row r="663" ht="15.75" customHeight="1">
      <c r="A663" s="282">
        <f t="shared" si="1"/>
        <v>659</v>
      </c>
      <c r="B663" s="283"/>
      <c r="C663" s="284"/>
      <c r="D663" s="338"/>
      <c r="E663" s="286"/>
      <c r="F663" s="287"/>
      <c r="G663" s="288" t="str">
        <f>+IFERROR(VLOOKUP(F663,NVL!$B:$C,2,0),"")</f>
        <v/>
      </c>
      <c r="H663" s="288" t="str">
        <f>+IFERROR(VLOOKUP(F663,NVL!$B:$D,3,0),"")</f>
        <v/>
      </c>
      <c r="I663" s="288" t="str">
        <f>+IFERROR(VLOOKUP(F663,NVL!$B:$F,4,0),"")</f>
        <v/>
      </c>
      <c r="J663" s="289"/>
      <c r="K663" s="290"/>
      <c r="L663" s="291" t="str">
        <f>+IFERROR(VLOOKUP(K663,'THÀNH PHẨM'!$B:$F,3,0),"")</f>
        <v/>
      </c>
      <c r="M663" s="291" t="str">
        <f>+IFERROR(VLOOKUP(K663,'THÀNH PHẨM'!$B:$F,4,0),"")</f>
        <v/>
      </c>
      <c r="N663" s="291" t="str">
        <f>+IFERROR(VLOOKUP(K663,'THÀNH PHẨM'!$B:$F,5,0),"")</f>
        <v/>
      </c>
      <c r="O663" s="289"/>
      <c r="P663" s="292">
        <f t="shared" si="2"/>
        <v>0</v>
      </c>
      <c r="Q663" s="289"/>
      <c r="R663" s="289"/>
      <c r="S663" s="293">
        <f t="shared" si="62"/>
        <v>0</v>
      </c>
      <c r="T663" s="294"/>
      <c r="U663" s="295">
        <f t="shared" si="68"/>
        <v>0</v>
      </c>
      <c r="V663" s="296"/>
      <c r="W663" s="297"/>
      <c r="X663" s="298"/>
      <c r="Y663" s="292" t="str">
        <f t="shared" si="69"/>
        <v/>
      </c>
      <c r="Z663" s="366">
        <f t="shared" si="70"/>
        <v>0</v>
      </c>
      <c r="AA663" s="299" t="str">
        <f t="shared" si="71"/>
        <v/>
      </c>
      <c r="AB663" s="300"/>
      <c r="AC663" s="301"/>
      <c r="AD663" s="302"/>
      <c r="AE663" s="303"/>
      <c r="AF663" s="304"/>
      <c r="AG663" s="304"/>
      <c r="AH663" s="304"/>
      <c r="AI663" s="304"/>
      <c r="AJ663" s="304"/>
      <c r="AK663" s="305"/>
      <c r="AL663" s="283"/>
      <c r="AM663" s="284"/>
    </row>
    <row r="664" ht="15.75" customHeight="1">
      <c r="A664" s="282">
        <f t="shared" si="1"/>
        <v>660</v>
      </c>
      <c r="B664" s="283"/>
      <c r="C664" s="284"/>
      <c r="D664" s="338"/>
      <c r="E664" s="286"/>
      <c r="F664" s="287"/>
      <c r="G664" s="288" t="str">
        <f>+IFERROR(VLOOKUP(F664,NVL!$B:$C,2,0),"")</f>
        <v/>
      </c>
      <c r="H664" s="288" t="str">
        <f>+IFERROR(VLOOKUP(F664,NVL!$B:$D,3,0),"")</f>
        <v/>
      </c>
      <c r="I664" s="288" t="str">
        <f>+IFERROR(VLOOKUP(F664,NVL!$B:$F,4,0),"")</f>
        <v/>
      </c>
      <c r="J664" s="289"/>
      <c r="K664" s="290"/>
      <c r="L664" s="291" t="str">
        <f>+IFERROR(VLOOKUP(K664,'THÀNH PHẨM'!$B:$F,3,0),"")</f>
        <v/>
      </c>
      <c r="M664" s="291" t="str">
        <f>+IFERROR(VLOOKUP(K664,'THÀNH PHẨM'!$B:$F,4,0),"")</f>
        <v/>
      </c>
      <c r="N664" s="291" t="str">
        <f>+IFERROR(VLOOKUP(K664,'THÀNH PHẨM'!$B:$F,5,0),"")</f>
        <v/>
      </c>
      <c r="O664" s="289"/>
      <c r="P664" s="292">
        <f t="shared" si="2"/>
        <v>0</v>
      </c>
      <c r="Q664" s="289"/>
      <c r="R664" s="289"/>
      <c r="S664" s="293">
        <f t="shared" si="62"/>
        <v>0</v>
      </c>
      <c r="T664" s="294"/>
      <c r="U664" s="295">
        <f t="shared" si="68"/>
        <v>0</v>
      </c>
      <c r="V664" s="296"/>
      <c r="W664" s="297"/>
      <c r="X664" s="298"/>
      <c r="Y664" s="292" t="str">
        <f t="shared" si="69"/>
        <v/>
      </c>
      <c r="Z664" s="366">
        <f t="shared" si="70"/>
        <v>0</v>
      </c>
      <c r="AA664" s="299" t="str">
        <f t="shared" si="71"/>
        <v/>
      </c>
      <c r="AB664" s="300"/>
      <c r="AC664" s="301"/>
      <c r="AD664" s="302"/>
      <c r="AE664" s="303"/>
      <c r="AF664" s="304"/>
      <c r="AG664" s="304"/>
      <c r="AH664" s="304"/>
      <c r="AI664" s="304"/>
      <c r="AJ664" s="304"/>
      <c r="AK664" s="305"/>
      <c r="AL664" s="283"/>
      <c r="AM664" s="284"/>
    </row>
    <row r="665" ht="15.75" customHeight="1">
      <c r="A665" s="282">
        <f t="shared" si="1"/>
        <v>661</v>
      </c>
      <c r="B665" s="283"/>
      <c r="C665" s="284"/>
      <c r="D665" s="338"/>
      <c r="E665" s="286"/>
      <c r="F665" s="287"/>
      <c r="G665" s="288" t="str">
        <f>+IFERROR(VLOOKUP(F665,NVL!$B:$C,2,0),"")</f>
        <v/>
      </c>
      <c r="H665" s="288" t="str">
        <f>+IFERROR(VLOOKUP(F665,NVL!$B:$D,3,0),"")</f>
        <v/>
      </c>
      <c r="I665" s="288" t="str">
        <f>+IFERROR(VLOOKUP(F665,NVL!$B:$F,4,0),"")</f>
        <v/>
      </c>
      <c r="J665" s="289"/>
      <c r="K665" s="290"/>
      <c r="L665" s="291" t="str">
        <f>+IFERROR(VLOOKUP(K665,'THÀNH PHẨM'!$B:$F,3,0),"")</f>
        <v/>
      </c>
      <c r="M665" s="291" t="str">
        <f>+IFERROR(VLOOKUP(K665,'THÀNH PHẨM'!$B:$F,4,0),"")</f>
        <v/>
      </c>
      <c r="N665" s="291" t="str">
        <f>+IFERROR(VLOOKUP(K665,'THÀNH PHẨM'!$B:$F,5,0),"")</f>
        <v/>
      </c>
      <c r="O665" s="289"/>
      <c r="P665" s="292">
        <f t="shared" si="2"/>
        <v>0</v>
      </c>
      <c r="Q665" s="289"/>
      <c r="R665" s="289"/>
      <c r="S665" s="293">
        <f t="shared" si="62"/>
        <v>0</v>
      </c>
      <c r="T665" s="294"/>
      <c r="U665" s="295">
        <f t="shared" si="68"/>
        <v>0</v>
      </c>
      <c r="V665" s="296"/>
      <c r="W665" s="297"/>
      <c r="X665" s="298"/>
      <c r="Y665" s="292" t="str">
        <f t="shared" si="69"/>
        <v/>
      </c>
      <c r="Z665" s="366">
        <f t="shared" si="70"/>
        <v>0</v>
      </c>
      <c r="AA665" s="299" t="str">
        <f t="shared" si="71"/>
        <v/>
      </c>
      <c r="AB665" s="300"/>
      <c r="AC665" s="301"/>
      <c r="AD665" s="302"/>
      <c r="AE665" s="303"/>
      <c r="AF665" s="304"/>
      <c r="AG665" s="304"/>
      <c r="AH665" s="304"/>
      <c r="AI665" s="304"/>
      <c r="AJ665" s="304"/>
      <c r="AK665" s="305"/>
      <c r="AL665" s="283"/>
      <c r="AM665" s="284"/>
    </row>
    <row r="666" ht="15.75" customHeight="1">
      <c r="A666" s="282">
        <f t="shared" si="1"/>
        <v>662</v>
      </c>
      <c r="B666" s="283"/>
      <c r="C666" s="284"/>
      <c r="D666" s="338"/>
      <c r="E666" s="286"/>
      <c r="F666" s="287"/>
      <c r="G666" s="288" t="str">
        <f>+IFERROR(VLOOKUP(F666,NVL!$B:$C,2,0),"")</f>
        <v/>
      </c>
      <c r="H666" s="288" t="str">
        <f>+IFERROR(VLOOKUP(F666,NVL!$B:$D,3,0),"")</f>
        <v/>
      </c>
      <c r="I666" s="288" t="str">
        <f>+IFERROR(VLOOKUP(F666,NVL!$B:$F,4,0),"")</f>
        <v/>
      </c>
      <c r="J666" s="289"/>
      <c r="K666" s="290"/>
      <c r="L666" s="291" t="str">
        <f>+IFERROR(VLOOKUP(K666,'THÀNH PHẨM'!$B:$F,3,0),"")</f>
        <v/>
      </c>
      <c r="M666" s="291" t="str">
        <f>+IFERROR(VLOOKUP(K666,'THÀNH PHẨM'!$B:$F,4,0),"")</f>
        <v/>
      </c>
      <c r="N666" s="291" t="str">
        <f>+IFERROR(VLOOKUP(K666,'THÀNH PHẨM'!$B:$F,5,0),"")</f>
        <v/>
      </c>
      <c r="O666" s="289"/>
      <c r="P666" s="292">
        <f t="shared" si="2"/>
        <v>0</v>
      </c>
      <c r="Q666" s="289"/>
      <c r="R666" s="289"/>
      <c r="S666" s="293">
        <f t="shared" si="62"/>
        <v>0</v>
      </c>
      <c r="T666" s="294"/>
      <c r="U666" s="295">
        <f t="shared" si="68"/>
        <v>0</v>
      </c>
      <c r="V666" s="296"/>
      <c r="W666" s="297"/>
      <c r="X666" s="298"/>
      <c r="Y666" s="292" t="str">
        <f t="shared" si="69"/>
        <v/>
      </c>
      <c r="Z666" s="366">
        <f t="shared" si="70"/>
        <v>0</v>
      </c>
      <c r="AA666" s="299" t="str">
        <f t="shared" si="71"/>
        <v/>
      </c>
      <c r="AB666" s="300"/>
      <c r="AC666" s="301"/>
      <c r="AD666" s="302"/>
      <c r="AE666" s="303"/>
      <c r="AF666" s="304"/>
      <c r="AG666" s="304"/>
      <c r="AH666" s="304"/>
      <c r="AI666" s="304"/>
      <c r="AJ666" s="304"/>
      <c r="AK666" s="305"/>
      <c r="AL666" s="283"/>
      <c r="AM666" s="284"/>
    </row>
    <row r="667" ht="15.75" customHeight="1">
      <c r="A667" s="282">
        <f t="shared" si="1"/>
        <v>663</v>
      </c>
      <c r="B667" s="283"/>
      <c r="C667" s="284"/>
      <c r="D667" s="338"/>
      <c r="E667" s="286"/>
      <c r="F667" s="287"/>
      <c r="G667" s="288" t="str">
        <f>+IFERROR(VLOOKUP(F667,NVL!$B:$C,2,0),"")</f>
        <v/>
      </c>
      <c r="H667" s="288" t="str">
        <f>+IFERROR(VLOOKUP(F667,NVL!$B:$D,3,0),"")</f>
        <v/>
      </c>
      <c r="I667" s="288" t="str">
        <f>+IFERROR(VLOOKUP(F667,NVL!$B:$F,4,0),"")</f>
        <v/>
      </c>
      <c r="J667" s="289"/>
      <c r="K667" s="290"/>
      <c r="L667" s="291" t="str">
        <f>+IFERROR(VLOOKUP(K667,'THÀNH PHẨM'!$B:$F,3,0),"")</f>
        <v/>
      </c>
      <c r="M667" s="291" t="str">
        <f>+IFERROR(VLOOKUP(K667,'THÀNH PHẨM'!$B:$F,4,0),"")</f>
        <v/>
      </c>
      <c r="N667" s="291" t="str">
        <f>+IFERROR(VLOOKUP(K667,'THÀNH PHẨM'!$B:$F,5,0),"")</f>
        <v/>
      </c>
      <c r="O667" s="289"/>
      <c r="P667" s="292">
        <f t="shared" si="2"/>
        <v>0</v>
      </c>
      <c r="Q667" s="289"/>
      <c r="R667" s="289"/>
      <c r="S667" s="293">
        <f t="shared" si="62"/>
        <v>0</v>
      </c>
      <c r="T667" s="294"/>
      <c r="U667" s="295">
        <f t="shared" si="68"/>
        <v>0</v>
      </c>
      <c r="V667" s="296"/>
      <c r="W667" s="297"/>
      <c r="X667" s="298"/>
      <c r="Y667" s="292" t="str">
        <f t="shared" si="69"/>
        <v/>
      </c>
      <c r="Z667" s="366">
        <f t="shared" si="70"/>
        <v>0</v>
      </c>
      <c r="AA667" s="299" t="str">
        <f t="shared" si="71"/>
        <v/>
      </c>
      <c r="AB667" s="300"/>
      <c r="AC667" s="301"/>
      <c r="AD667" s="302"/>
      <c r="AE667" s="303"/>
      <c r="AF667" s="304"/>
      <c r="AG667" s="304"/>
      <c r="AH667" s="304"/>
      <c r="AI667" s="304"/>
      <c r="AJ667" s="304"/>
      <c r="AK667" s="305"/>
      <c r="AL667" s="283"/>
      <c r="AM667" s="284"/>
    </row>
    <row r="668" ht="15.75" customHeight="1">
      <c r="A668" s="282">
        <f t="shared" si="1"/>
        <v>664</v>
      </c>
      <c r="B668" s="283"/>
      <c r="C668" s="284"/>
      <c r="D668" s="338"/>
      <c r="E668" s="286"/>
      <c r="F668" s="287"/>
      <c r="G668" s="288" t="str">
        <f>+IFERROR(VLOOKUP(F668,NVL!$B:$C,2,0),"")</f>
        <v/>
      </c>
      <c r="H668" s="288" t="str">
        <f>+IFERROR(VLOOKUP(F668,NVL!$B:$D,3,0),"")</f>
        <v/>
      </c>
      <c r="I668" s="288" t="str">
        <f>+IFERROR(VLOOKUP(F668,NVL!$B:$F,4,0),"")</f>
        <v/>
      </c>
      <c r="J668" s="289"/>
      <c r="K668" s="290"/>
      <c r="L668" s="291" t="str">
        <f>+IFERROR(VLOOKUP(K668,'THÀNH PHẨM'!$B:$F,3,0),"")</f>
        <v/>
      </c>
      <c r="M668" s="291" t="str">
        <f>+IFERROR(VLOOKUP(K668,'THÀNH PHẨM'!$B:$F,4,0),"")</f>
        <v/>
      </c>
      <c r="N668" s="291" t="str">
        <f>+IFERROR(VLOOKUP(K668,'THÀNH PHẨM'!$B:$F,5,0),"")</f>
        <v/>
      </c>
      <c r="O668" s="289"/>
      <c r="P668" s="292">
        <f t="shared" si="2"/>
        <v>0</v>
      </c>
      <c r="Q668" s="289"/>
      <c r="R668" s="289"/>
      <c r="S668" s="293">
        <f t="shared" si="62"/>
        <v>0</v>
      </c>
      <c r="T668" s="294"/>
      <c r="U668" s="295">
        <f t="shared" si="68"/>
        <v>0</v>
      </c>
      <c r="V668" s="296"/>
      <c r="W668" s="297"/>
      <c r="X668" s="298"/>
      <c r="Y668" s="292" t="str">
        <f t="shared" si="69"/>
        <v/>
      </c>
      <c r="Z668" s="366">
        <f t="shared" si="70"/>
        <v>0</v>
      </c>
      <c r="AA668" s="299" t="str">
        <f t="shared" si="71"/>
        <v/>
      </c>
      <c r="AB668" s="300"/>
      <c r="AC668" s="301"/>
      <c r="AD668" s="302"/>
      <c r="AE668" s="303"/>
      <c r="AF668" s="304"/>
      <c r="AG668" s="304"/>
      <c r="AH668" s="304"/>
      <c r="AI668" s="304"/>
      <c r="AJ668" s="304"/>
      <c r="AK668" s="305"/>
      <c r="AL668" s="283"/>
      <c r="AM668" s="284"/>
    </row>
    <row r="669" ht="15.75" customHeight="1">
      <c r="A669" s="282">
        <f t="shared" si="1"/>
        <v>665</v>
      </c>
      <c r="B669" s="283"/>
      <c r="C669" s="284"/>
      <c r="D669" s="338"/>
      <c r="E669" s="286"/>
      <c r="F669" s="287"/>
      <c r="G669" s="288" t="str">
        <f>+IFERROR(VLOOKUP(F669,NVL!$B:$C,2,0),"")</f>
        <v/>
      </c>
      <c r="H669" s="288" t="str">
        <f>+IFERROR(VLOOKUP(F669,NVL!$B:$D,3,0),"")</f>
        <v/>
      </c>
      <c r="I669" s="288" t="str">
        <f>+IFERROR(VLOOKUP(F669,NVL!$B:$F,4,0),"")</f>
        <v/>
      </c>
      <c r="J669" s="289"/>
      <c r="K669" s="290"/>
      <c r="L669" s="291" t="str">
        <f>+IFERROR(VLOOKUP(K669,'THÀNH PHẨM'!$B:$F,3,0),"")</f>
        <v/>
      </c>
      <c r="M669" s="291" t="str">
        <f>+IFERROR(VLOOKUP(K669,'THÀNH PHẨM'!$B:$F,4,0),"")</f>
        <v/>
      </c>
      <c r="N669" s="291" t="str">
        <f>+IFERROR(VLOOKUP(K669,'THÀNH PHẨM'!$B:$F,5,0),"")</f>
        <v/>
      </c>
      <c r="O669" s="289"/>
      <c r="P669" s="292">
        <f t="shared" si="2"/>
        <v>0</v>
      </c>
      <c r="Q669" s="289"/>
      <c r="R669" s="289"/>
      <c r="S669" s="293">
        <f t="shared" si="62"/>
        <v>0</v>
      </c>
      <c r="T669" s="294"/>
      <c r="U669" s="295">
        <f t="shared" si="68"/>
        <v>0</v>
      </c>
      <c r="V669" s="296"/>
      <c r="W669" s="297"/>
      <c r="X669" s="298"/>
      <c r="Y669" s="292" t="str">
        <f t="shared" si="69"/>
        <v/>
      </c>
      <c r="Z669" s="366">
        <f t="shared" si="70"/>
        <v>0</v>
      </c>
      <c r="AA669" s="299" t="str">
        <f t="shared" si="71"/>
        <v/>
      </c>
      <c r="AB669" s="300"/>
      <c r="AC669" s="301"/>
      <c r="AD669" s="302"/>
      <c r="AE669" s="303"/>
      <c r="AF669" s="304"/>
      <c r="AG669" s="304"/>
      <c r="AH669" s="304"/>
      <c r="AI669" s="304"/>
      <c r="AJ669" s="304"/>
      <c r="AK669" s="305"/>
      <c r="AL669" s="283"/>
      <c r="AM669" s="284"/>
    </row>
    <row r="670" ht="15.75" customHeight="1">
      <c r="A670" s="282">
        <f t="shared" si="1"/>
        <v>666</v>
      </c>
      <c r="B670" s="283"/>
      <c r="C670" s="284"/>
      <c r="D670" s="338"/>
      <c r="E670" s="286"/>
      <c r="F670" s="287"/>
      <c r="G670" s="288" t="str">
        <f>+IFERROR(VLOOKUP(F670,NVL!$B:$C,2,0),"")</f>
        <v/>
      </c>
      <c r="H670" s="288" t="str">
        <f>+IFERROR(VLOOKUP(F670,NVL!$B:$D,3,0),"")</f>
        <v/>
      </c>
      <c r="I670" s="288" t="str">
        <f>+IFERROR(VLOOKUP(F670,NVL!$B:$F,4,0),"")</f>
        <v/>
      </c>
      <c r="J670" s="289"/>
      <c r="K670" s="290"/>
      <c r="L670" s="291" t="str">
        <f>+IFERROR(VLOOKUP(K670,'THÀNH PHẨM'!$B:$F,3,0),"")</f>
        <v/>
      </c>
      <c r="M670" s="291" t="str">
        <f>+IFERROR(VLOOKUP(K670,'THÀNH PHẨM'!$B:$F,4,0),"")</f>
        <v/>
      </c>
      <c r="N670" s="291" t="str">
        <f>+IFERROR(VLOOKUP(K670,'THÀNH PHẨM'!$B:$F,5,0),"")</f>
        <v/>
      </c>
      <c r="O670" s="289"/>
      <c r="P670" s="292">
        <f t="shared" si="2"/>
        <v>0</v>
      </c>
      <c r="Q670" s="289"/>
      <c r="R670" s="289"/>
      <c r="S670" s="293">
        <f t="shared" si="62"/>
        <v>0</v>
      </c>
      <c r="T670" s="294"/>
      <c r="U670" s="295">
        <f t="shared" si="68"/>
        <v>0</v>
      </c>
      <c r="V670" s="296"/>
      <c r="W670" s="297"/>
      <c r="X670" s="298"/>
      <c r="Y670" s="292" t="str">
        <f t="shared" si="69"/>
        <v/>
      </c>
      <c r="Z670" s="366">
        <f t="shared" si="70"/>
        <v>0</v>
      </c>
      <c r="AA670" s="299" t="str">
        <f t="shared" si="71"/>
        <v/>
      </c>
      <c r="AB670" s="300"/>
      <c r="AC670" s="301"/>
      <c r="AD670" s="302"/>
      <c r="AE670" s="303"/>
      <c r="AF670" s="304"/>
      <c r="AG670" s="304"/>
      <c r="AH670" s="304"/>
      <c r="AI670" s="304"/>
      <c r="AJ670" s="304"/>
      <c r="AK670" s="305"/>
      <c r="AL670" s="283"/>
      <c r="AM670" s="284"/>
    </row>
    <row r="671" ht="15.75" customHeight="1">
      <c r="A671" s="282">
        <f t="shared" si="1"/>
        <v>667</v>
      </c>
      <c r="B671" s="283"/>
      <c r="C671" s="284"/>
      <c r="D671" s="338"/>
      <c r="E671" s="286"/>
      <c r="F671" s="287"/>
      <c r="G671" s="288" t="str">
        <f>+IFERROR(VLOOKUP(F671,NVL!$B:$C,2,0),"")</f>
        <v/>
      </c>
      <c r="H671" s="288" t="str">
        <f>+IFERROR(VLOOKUP(F671,NVL!$B:$D,3,0),"")</f>
        <v/>
      </c>
      <c r="I671" s="288" t="str">
        <f>+IFERROR(VLOOKUP(F671,NVL!$B:$F,4,0),"")</f>
        <v/>
      </c>
      <c r="J671" s="289"/>
      <c r="K671" s="290"/>
      <c r="L671" s="291" t="str">
        <f>+IFERROR(VLOOKUP(K671,'THÀNH PHẨM'!$B:$F,3,0),"")</f>
        <v/>
      </c>
      <c r="M671" s="291" t="str">
        <f>+IFERROR(VLOOKUP(K671,'THÀNH PHẨM'!$B:$F,4,0),"")</f>
        <v/>
      </c>
      <c r="N671" s="291" t="str">
        <f>+IFERROR(VLOOKUP(K671,'THÀNH PHẨM'!$B:$F,5,0),"")</f>
        <v/>
      </c>
      <c r="O671" s="289"/>
      <c r="P671" s="292">
        <f t="shared" si="2"/>
        <v>0</v>
      </c>
      <c r="Q671" s="289"/>
      <c r="R671" s="289"/>
      <c r="S671" s="293">
        <f t="shared" si="62"/>
        <v>0</v>
      </c>
      <c r="T671" s="294"/>
      <c r="U671" s="295">
        <f t="shared" si="68"/>
        <v>0</v>
      </c>
      <c r="V671" s="296"/>
      <c r="W671" s="297"/>
      <c r="X671" s="298"/>
      <c r="Y671" s="292" t="str">
        <f t="shared" si="69"/>
        <v/>
      </c>
      <c r="Z671" s="366">
        <f t="shared" si="70"/>
        <v>0</v>
      </c>
      <c r="AA671" s="299" t="str">
        <f t="shared" si="71"/>
        <v/>
      </c>
      <c r="AB671" s="300"/>
      <c r="AC671" s="301"/>
      <c r="AD671" s="302"/>
      <c r="AE671" s="303"/>
      <c r="AF671" s="304"/>
      <c r="AG671" s="304"/>
      <c r="AH671" s="304"/>
      <c r="AI671" s="304"/>
      <c r="AJ671" s="304"/>
      <c r="AK671" s="305"/>
      <c r="AL671" s="283"/>
      <c r="AM671" s="284"/>
    </row>
    <row r="672" ht="15.75" customHeight="1">
      <c r="A672" s="282">
        <f t="shared" si="1"/>
        <v>668</v>
      </c>
      <c r="B672" s="283"/>
      <c r="C672" s="284"/>
      <c r="D672" s="338"/>
      <c r="E672" s="286"/>
      <c r="F672" s="287"/>
      <c r="G672" s="288" t="str">
        <f>+IFERROR(VLOOKUP(F672,NVL!$B:$C,2,0),"")</f>
        <v/>
      </c>
      <c r="H672" s="288" t="str">
        <f>+IFERROR(VLOOKUP(F672,NVL!$B:$D,3,0),"")</f>
        <v/>
      </c>
      <c r="I672" s="288" t="str">
        <f>+IFERROR(VLOOKUP(F672,NVL!$B:$F,4,0),"")</f>
        <v/>
      </c>
      <c r="J672" s="289"/>
      <c r="K672" s="290"/>
      <c r="L672" s="291" t="str">
        <f>+IFERROR(VLOOKUP(K672,'THÀNH PHẨM'!$B:$F,3,0),"")</f>
        <v/>
      </c>
      <c r="M672" s="291" t="str">
        <f>+IFERROR(VLOOKUP(K672,'THÀNH PHẨM'!$B:$F,4,0),"")</f>
        <v/>
      </c>
      <c r="N672" s="291" t="str">
        <f>+IFERROR(VLOOKUP(K672,'THÀNH PHẨM'!$B:$F,5,0),"")</f>
        <v/>
      </c>
      <c r="O672" s="289"/>
      <c r="P672" s="292">
        <f t="shared" si="2"/>
        <v>0</v>
      </c>
      <c r="Q672" s="289"/>
      <c r="R672" s="289"/>
      <c r="S672" s="293">
        <f t="shared" si="62"/>
        <v>0</v>
      </c>
      <c r="T672" s="294"/>
      <c r="U672" s="295">
        <f t="shared" si="68"/>
        <v>0</v>
      </c>
      <c r="V672" s="296"/>
      <c r="W672" s="297"/>
      <c r="X672" s="298"/>
      <c r="Y672" s="292" t="str">
        <f t="shared" si="69"/>
        <v/>
      </c>
      <c r="Z672" s="366">
        <f t="shared" si="70"/>
        <v>0</v>
      </c>
      <c r="AA672" s="299" t="str">
        <f t="shared" si="71"/>
        <v/>
      </c>
      <c r="AB672" s="300"/>
      <c r="AC672" s="301"/>
      <c r="AD672" s="302"/>
      <c r="AE672" s="303"/>
      <c r="AF672" s="304"/>
      <c r="AG672" s="304"/>
      <c r="AH672" s="304"/>
      <c r="AI672" s="304"/>
      <c r="AJ672" s="304"/>
      <c r="AK672" s="305"/>
      <c r="AL672" s="283"/>
      <c r="AM672" s="284"/>
    </row>
    <row r="673" ht="15.75" customHeight="1">
      <c r="A673" s="282">
        <f t="shared" si="1"/>
        <v>669</v>
      </c>
      <c r="B673" s="283"/>
      <c r="C673" s="284"/>
      <c r="D673" s="338"/>
      <c r="E673" s="286"/>
      <c r="F673" s="287"/>
      <c r="G673" s="288" t="str">
        <f>+IFERROR(VLOOKUP(F673,NVL!$B:$C,2,0),"")</f>
        <v/>
      </c>
      <c r="H673" s="288" t="str">
        <f>+IFERROR(VLOOKUP(F673,NVL!$B:$D,3,0),"")</f>
        <v/>
      </c>
      <c r="I673" s="288" t="str">
        <f>+IFERROR(VLOOKUP(F673,NVL!$B:$F,4,0),"")</f>
        <v/>
      </c>
      <c r="J673" s="289"/>
      <c r="K673" s="290"/>
      <c r="L673" s="291" t="str">
        <f>+IFERROR(VLOOKUP(K673,'THÀNH PHẨM'!$B:$F,3,0),"")</f>
        <v/>
      </c>
      <c r="M673" s="291" t="str">
        <f>+IFERROR(VLOOKUP(K673,'THÀNH PHẨM'!$B:$F,4,0),"")</f>
        <v/>
      </c>
      <c r="N673" s="291" t="str">
        <f>+IFERROR(VLOOKUP(K673,'THÀNH PHẨM'!$B:$F,5,0),"")</f>
        <v/>
      </c>
      <c r="O673" s="289"/>
      <c r="P673" s="292">
        <f t="shared" si="2"/>
        <v>0</v>
      </c>
      <c r="Q673" s="289"/>
      <c r="R673" s="289"/>
      <c r="S673" s="293">
        <f t="shared" si="62"/>
        <v>0</v>
      </c>
      <c r="T673" s="294"/>
      <c r="U673" s="295">
        <f t="shared" si="68"/>
        <v>0</v>
      </c>
      <c r="V673" s="296"/>
      <c r="W673" s="297"/>
      <c r="X673" s="298"/>
      <c r="Y673" s="292" t="str">
        <f t="shared" si="69"/>
        <v/>
      </c>
      <c r="Z673" s="366">
        <f t="shared" si="70"/>
        <v>0</v>
      </c>
      <c r="AA673" s="299" t="str">
        <f t="shared" si="71"/>
        <v/>
      </c>
      <c r="AB673" s="300"/>
      <c r="AC673" s="301"/>
      <c r="AD673" s="302"/>
      <c r="AE673" s="303"/>
      <c r="AF673" s="304"/>
      <c r="AG673" s="304"/>
      <c r="AH673" s="304"/>
      <c r="AI673" s="304"/>
      <c r="AJ673" s="304"/>
      <c r="AK673" s="305"/>
      <c r="AL673" s="283"/>
      <c r="AM673" s="284"/>
    </row>
    <row r="674" ht="15.75" customHeight="1">
      <c r="A674" s="282">
        <f t="shared" si="1"/>
        <v>670</v>
      </c>
      <c r="B674" s="283"/>
      <c r="C674" s="284"/>
      <c r="D674" s="338"/>
      <c r="E674" s="286"/>
      <c r="F674" s="287"/>
      <c r="G674" s="288" t="str">
        <f>+IFERROR(VLOOKUP(F674,NVL!$B:$C,2,0),"")</f>
        <v/>
      </c>
      <c r="H674" s="288" t="str">
        <f>+IFERROR(VLOOKUP(F674,NVL!$B:$D,3,0),"")</f>
        <v/>
      </c>
      <c r="I674" s="288" t="str">
        <f>+IFERROR(VLOOKUP(F674,NVL!$B:$F,4,0),"")</f>
        <v/>
      </c>
      <c r="J674" s="289"/>
      <c r="K674" s="290"/>
      <c r="L674" s="291" t="str">
        <f>+IFERROR(VLOOKUP(K674,'THÀNH PHẨM'!$B:$F,3,0),"")</f>
        <v/>
      </c>
      <c r="M674" s="291" t="str">
        <f>+IFERROR(VLOOKUP(K674,'THÀNH PHẨM'!$B:$F,4,0),"")</f>
        <v/>
      </c>
      <c r="N674" s="291" t="str">
        <f>+IFERROR(VLOOKUP(K674,'THÀNH PHẨM'!$B:$F,5,0),"")</f>
        <v/>
      </c>
      <c r="O674" s="289"/>
      <c r="P674" s="292">
        <f t="shared" si="2"/>
        <v>0</v>
      </c>
      <c r="Q674" s="289"/>
      <c r="R674" s="289"/>
      <c r="S674" s="293">
        <f t="shared" si="62"/>
        <v>0</v>
      </c>
      <c r="T674" s="294"/>
      <c r="U674" s="295">
        <f t="shared" si="68"/>
        <v>0</v>
      </c>
      <c r="V674" s="296"/>
      <c r="W674" s="297"/>
      <c r="X674" s="298"/>
      <c r="Y674" s="292" t="str">
        <f t="shared" si="69"/>
        <v/>
      </c>
      <c r="Z674" s="366">
        <f t="shared" si="70"/>
        <v>0</v>
      </c>
      <c r="AA674" s="299" t="str">
        <f t="shared" si="71"/>
        <v/>
      </c>
      <c r="AB674" s="300"/>
      <c r="AC674" s="301"/>
      <c r="AD674" s="302"/>
      <c r="AE674" s="303"/>
      <c r="AF674" s="304"/>
      <c r="AG674" s="304"/>
      <c r="AH674" s="304"/>
      <c r="AI674" s="304"/>
      <c r="AJ674" s="304"/>
      <c r="AK674" s="305"/>
      <c r="AL674" s="283"/>
      <c r="AM674" s="284"/>
    </row>
    <row r="675" ht="15.75" customHeight="1">
      <c r="A675" s="282">
        <f t="shared" si="1"/>
        <v>671</v>
      </c>
      <c r="B675" s="283"/>
      <c r="C675" s="284"/>
      <c r="D675" s="338"/>
      <c r="E675" s="286"/>
      <c r="F675" s="287"/>
      <c r="G675" s="288" t="str">
        <f>+IFERROR(VLOOKUP(F675,NVL!$B:$C,2,0),"")</f>
        <v/>
      </c>
      <c r="H675" s="288" t="str">
        <f>+IFERROR(VLOOKUP(F675,NVL!$B:$D,3,0),"")</f>
        <v/>
      </c>
      <c r="I675" s="288" t="str">
        <f>+IFERROR(VLOOKUP(F675,NVL!$B:$F,4,0),"")</f>
        <v/>
      </c>
      <c r="J675" s="289"/>
      <c r="K675" s="290"/>
      <c r="L675" s="291" t="str">
        <f>+IFERROR(VLOOKUP(K675,'THÀNH PHẨM'!$B:$F,3,0),"")</f>
        <v/>
      </c>
      <c r="M675" s="291" t="str">
        <f>+IFERROR(VLOOKUP(K675,'THÀNH PHẨM'!$B:$F,4,0),"")</f>
        <v/>
      </c>
      <c r="N675" s="291" t="str">
        <f>+IFERROR(VLOOKUP(K675,'THÀNH PHẨM'!$B:$F,5,0),"")</f>
        <v/>
      </c>
      <c r="O675" s="289"/>
      <c r="P675" s="292">
        <f t="shared" si="2"/>
        <v>0</v>
      </c>
      <c r="Q675" s="289"/>
      <c r="R675" s="289"/>
      <c r="S675" s="293">
        <f t="shared" si="62"/>
        <v>0</v>
      </c>
      <c r="T675" s="294"/>
      <c r="U675" s="295">
        <f t="shared" si="68"/>
        <v>0</v>
      </c>
      <c r="V675" s="296"/>
      <c r="W675" s="297"/>
      <c r="X675" s="298"/>
      <c r="Y675" s="292" t="str">
        <f t="shared" si="69"/>
        <v/>
      </c>
      <c r="Z675" s="366">
        <f t="shared" si="70"/>
        <v>0</v>
      </c>
      <c r="AA675" s="299" t="str">
        <f t="shared" si="71"/>
        <v/>
      </c>
      <c r="AB675" s="300"/>
      <c r="AC675" s="301"/>
      <c r="AD675" s="302"/>
      <c r="AE675" s="303"/>
      <c r="AF675" s="304"/>
      <c r="AG675" s="304"/>
      <c r="AH675" s="304"/>
      <c r="AI675" s="304"/>
      <c r="AJ675" s="304"/>
      <c r="AK675" s="305"/>
      <c r="AL675" s="283"/>
      <c r="AM675" s="284"/>
    </row>
    <row r="676" ht="15.75" customHeight="1">
      <c r="A676" s="282">
        <f t="shared" si="1"/>
        <v>672</v>
      </c>
      <c r="B676" s="283"/>
      <c r="C676" s="284"/>
      <c r="D676" s="338"/>
      <c r="E676" s="286"/>
      <c r="F676" s="287"/>
      <c r="G676" s="288" t="str">
        <f>+IFERROR(VLOOKUP(F676,NVL!$B:$C,2,0),"")</f>
        <v/>
      </c>
      <c r="H676" s="288" t="str">
        <f>+IFERROR(VLOOKUP(F676,NVL!$B:$D,3,0),"")</f>
        <v/>
      </c>
      <c r="I676" s="288" t="str">
        <f>+IFERROR(VLOOKUP(F676,NVL!$B:$F,4,0),"")</f>
        <v/>
      </c>
      <c r="J676" s="289"/>
      <c r="K676" s="290"/>
      <c r="L676" s="291" t="str">
        <f>+IFERROR(VLOOKUP(K676,'THÀNH PHẨM'!$B:$F,3,0),"")</f>
        <v/>
      </c>
      <c r="M676" s="291" t="str">
        <f>+IFERROR(VLOOKUP(K676,'THÀNH PHẨM'!$B:$F,4,0),"")</f>
        <v/>
      </c>
      <c r="N676" s="291" t="str">
        <f>+IFERROR(VLOOKUP(K676,'THÀNH PHẨM'!$B:$F,5,0),"")</f>
        <v/>
      </c>
      <c r="O676" s="289"/>
      <c r="P676" s="292">
        <f t="shared" si="2"/>
        <v>0</v>
      </c>
      <c r="Q676" s="289"/>
      <c r="R676" s="289"/>
      <c r="S676" s="293">
        <f t="shared" si="62"/>
        <v>0</v>
      </c>
      <c r="T676" s="294"/>
      <c r="U676" s="295">
        <f t="shared" si="68"/>
        <v>0</v>
      </c>
      <c r="V676" s="296"/>
      <c r="W676" s="297"/>
      <c r="X676" s="298"/>
      <c r="Y676" s="292" t="str">
        <f t="shared" si="69"/>
        <v/>
      </c>
      <c r="Z676" s="366">
        <f t="shared" si="70"/>
        <v>0</v>
      </c>
      <c r="AA676" s="299" t="str">
        <f t="shared" si="71"/>
        <v/>
      </c>
      <c r="AB676" s="300"/>
      <c r="AC676" s="301"/>
      <c r="AD676" s="302"/>
      <c r="AE676" s="303"/>
      <c r="AF676" s="304"/>
      <c r="AG676" s="304"/>
      <c r="AH676" s="304"/>
      <c r="AI676" s="304"/>
      <c r="AJ676" s="304"/>
      <c r="AK676" s="305"/>
      <c r="AL676" s="283"/>
      <c r="AM676" s="284"/>
    </row>
    <row r="677" ht="15.75" customHeight="1">
      <c r="A677" s="282">
        <f t="shared" si="1"/>
        <v>673</v>
      </c>
      <c r="B677" s="283"/>
      <c r="C677" s="284"/>
      <c r="D677" s="338"/>
      <c r="E677" s="286"/>
      <c r="F677" s="287"/>
      <c r="G677" s="288" t="str">
        <f>+IFERROR(VLOOKUP(F677,NVL!$B:$C,2,0),"")</f>
        <v/>
      </c>
      <c r="H677" s="288" t="str">
        <f>+IFERROR(VLOOKUP(F677,NVL!$B:$D,3,0),"")</f>
        <v/>
      </c>
      <c r="I677" s="288" t="str">
        <f>+IFERROR(VLOOKUP(F677,NVL!$B:$F,4,0),"")</f>
        <v/>
      </c>
      <c r="J677" s="289"/>
      <c r="K677" s="290"/>
      <c r="L677" s="291" t="str">
        <f>+IFERROR(VLOOKUP(K677,'THÀNH PHẨM'!$B:$F,3,0),"")</f>
        <v/>
      </c>
      <c r="M677" s="291" t="str">
        <f>+IFERROR(VLOOKUP(K677,'THÀNH PHẨM'!$B:$F,4,0),"")</f>
        <v/>
      </c>
      <c r="N677" s="291" t="str">
        <f>+IFERROR(VLOOKUP(K677,'THÀNH PHẨM'!$B:$F,5,0),"")</f>
        <v/>
      </c>
      <c r="O677" s="289"/>
      <c r="P677" s="292">
        <f t="shared" si="2"/>
        <v>0</v>
      </c>
      <c r="Q677" s="289"/>
      <c r="R677" s="289"/>
      <c r="S677" s="293">
        <f t="shared" si="62"/>
        <v>0</v>
      </c>
      <c r="T677" s="294"/>
      <c r="U677" s="295">
        <f t="shared" si="68"/>
        <v>0</v>
      </c>
      <c r="V677" s="296"/>
      <c r="W677" s="297"/>
      <c r="X677" s="298"/>
      <c r="Y677" s="292" t="str">
        <f t="shared" si="69"/>
        <v/>
      </c>
      <c r="Z677" s="366">
        <f t="shared" si="70"/>
        <v>0</v>
      </c>
      <c r="AA677" s="299" t="str">
        <f t="shared" si="71"/>
        <v/>
      </c>
      <c r="AB677" s="300"/>
      <c r="AC677" s="301"/>
      <c r="AD677" s="302"/>
      <c r="AE677" s="303"/>
      <c r="AF677" s="304"/>
      <c r="AG677" s="304"/>
      <c r="AH677" s="304"/>
      <c r="AI677" s="304"/>
      <c r="AJ677" s="304"/>
      <c r="AK677" s="305"/>
      <c r="AL677" s="283"/>
      <c r="AM677" s="284"/>
    </row>
    <row r="678" ht="15.75" customHeight="1">
      <c r="A678" s="282">
        <f t="shared" si="1"/>
        <v>674</v>
      </c>
      <c r="B678" s="283"/>
      <c r="C678" s="284"/>
      <c r="D678" s="338"/>
      <c r="E678" s="286"/>
      <c r="F678" s="287"/>
      <c r="G678" s="288" t="str">
        <f>+IFERROR(VLOOKUP(F678,NVL!$B:$C,2,0),"")</f>
        <v/>
      </c>
      <c r="H678" s="288" t="str">
        <f>+IFERROR(VLOOKUP(F678,NVL!$B:$D,3,0),"")</f>
        <v/>
      </c>
      <c r="I678" s="288" t="str">
        <f>+IFERROR(VLOOKUP(F678,NVL!$B:$F,4,0),"")</f>
        <v/>
      </c>
      <c r="J678" s="289"/>
      <c r="K678" s="290"/>
      <c r="L678" s="291" t="str">
        <f>+IFERROR(VLOOKUP(K678,'THÀNH PHẨM'!$B:$F,3,0),"")</f>
        <v/>
      </c>
      <c r="M678" s="291" t="str">
        <f>+IFERROR(VLOOKUP(K678,'THÀNH PHẨM'!$B:$F,4,0),"")</f>
        <v/>
      </c>
      <c r="N678" s="291" t="str">
        <f>+IFERROR(VLOOKUP(K678,'THÀNH PHẨM'!$B:$F,5,0),"")</f>
        <v/>
      </c>
      <c r="O678" s="289"/>
      <c r="P678" s="292">
        <f t="shared" si="2"/>
        <v>0</v>
      </c>
      <c r="Q678" s="289"/>
      <c r="R678" s="289"/>
      <c r="S678" s="293">
        <f t="shared" si="62"/>
        <v>0</v>
      </c>
      <c r="T678" s="294"/>
      <c r="U678" s="295">
        <f t="shared" si="68"/>
        <v>0</v>
      </c>
      <c r="V678" s="296"/>
      <c r="W678" s="297"/>
      <c r="X678" s="298"/>
      <c r="Y678" s="292" t="str">
        <f t="shared" si="69"/>
        <v/>
      </c>
      <c r="Z678" s="366">
        <f t="shared" si="70"/>
        <v>0</v>
      </c>
      <c r="AA678" s="299" t="str">
        <f t="shared" si="71"/>
        <v/>
      </c>
      <c r="AB678" s="300"/>
      <c r="AC678" s="301"/>
      <c r="AD678" s="302"/>
      <c r="AE678" s="303"/>
      <c r="AF678" s="304"/>
      <c r="AG678" s="304"/>
      <c r="AH678" s="304"/>
      <c r="AI678" s="304"/>
      <c r="AJ678" s="304"/>
      <c r="AK678" s="305"/>
      <c r="AL678" s="283"/>
      <c r="AM678" s="284"/>
    </row>
    <row r="679" ht="15.75" customHeight="1">
      <c r="A679" s="282">
        <f t="shared" si="1"/>
        <v>675</v>
      </c>
      <c r="B679" s="283"/>
      <c r="C679" s="284"/>
      <c r="D679" s="338"/>
      <c r="E679" s="286"/>
      <c r="F679" s="287"/>
      <c r="G679" s="288" t="str">
        <f>+IFERROR(VLOOKUP(F679,NVL!$B:$C,2,0),"")</f>
        <v/>
      </c>
      <c r="H679" s="288" t="str">
        <f>+IFERROR(VLOOKUP(F679,NVL!$B:$D,3,0),"")</f>
        <v/>
      </c>
      <c r="I679" s="288" t="str">
        <f>+IFERROR(VLOOKUP(F679,NVL!$B:$F,4,0),"")</f>
        <v/>
      </c>
      <c r="J679" s="289"/>
      <c r="K679" s="290"/>
      <c r="L679" s="291" t="str">
        <f>+IFERROR(VLOOKUP(K679,'THÀNH PHẨM'!$B:$F,3,0),"")</f>
        <v/>
      </c>
      <c r="M679" s="291" t="str">
        <f>+IFERROR(VLOOKUP(K679,'THÀNH PHẨM'!$B:$F,4,0),"")</f>
        <v/>
      </c>
      <c r="N679" s="291" t="str">
        <f>+IFERROR(VLOOKUP(K679,'THÀNH PHẨM'!$B:$F,5,0),"")</f>
        <v/>
      </c>
      <c r="O679" s="289"/>
      <c r="P679" s="292">
        <f t="shared" si="2"/>
        <v>0</v>
      </c>
      <c r="Q679" s="289"/>
      <c r="R679" s="289"/>
      <c r="S679" s="293">
        <f t="shared" si="62"/>
        <v>0</v>
      </c>
      <c r="T679" s="294"/>
      <c r="U679" s="295">
        <f t="shared" si="68"/>
        <v>0</v>
      </c>
      <c r="V679" s="296"/>
      <c r="W679" s="297"/>
      <c r="X679" s="298"/>
      <c r="Y679" s="292" t="str">
        <f t="shared" si="69"/>
        <v/>
      </c>
      <c r="Z679" s="366">
        <f t="shared" si="70"/>
        <v>0</v>
      </c>
      <c r="AA679" s="299" t="str">
        <f t="shared" si="71"/>
        <v/>
      </c>
      <c r="AB679" s="300"/>
      <c r="AC679" s="301"/>
      <c r="AD679" s="302"/>
      <c r="AE679" s="303"/>
      <c r="AF679" s="304"/>
      <c r="AG679" s="304"/>
      <c r="AH679" s="304"/>
      <c r="AI679" s="304"/>
      <c r="AJ679" s="304"/>
      <c r="AK679" s="305"/>
      <c r="AL679" s="283"/>
      <c r="AM679" s="284"/>
    </row>
    <row r="680" ht="15.75" customHeight="1">
      <c r="A680" s="282">
        <f t="shared" si="1"/>
        <v>676</v>
      </c>
      <c r="B680" s="283"/>
      <c r="C680" s="284"/>
      <c r="D680" s="338"/>
      <c r="E680" s="286"/>
      <c r="F680" s="287"/>
      <c r="G680" s="288" t="str">
        <f>+IFERROR(VLOOKUP(F680,NVL!$B:$C,2,0),"")</f>
        <v/>
      </c>
      <c r="H680" s="288" t="str">
        <f>+IFERROR(VLOOKUP(F680,NVL!$B:$D,3,0),"")</f>
        <v/>
      </c>
      <c r="I680" s="288" t="str">
        <f>+IFERROR(VLOOKUP(F680,NVL!$B:$F,4,0),"")</f>
        <v/>
      </c>
      <c r="J680" s="289"/>
      <c r="K680" s="290"/>
      <c r="L680" s="291" t="str">
        <f>+IFERROR(VLOOKUP(K680,'THÀNH PHẨM'!$B:$F,3,0),"")</f>
        <v/>
      </c>
      <c r="M680" s="291" t="str">
        <f>+IFERROR(VLOOKUP(K680,'THÀNH PHẨM'!$B:$F,4,0),"")</f>
        <v/>
      </c>
      <c r="N680" s="291" t="str">
        <f>+IFERROR(VLOOKUP(K680,'THÀNH PHẨM'!$B:$F,5,0),"")</f>
        <v/>
      </c>
      <c r="O680" s="289"/>
      <c r="P680" s="292">
        <f t="shared" si="2"/>
        <v>0</v>
      </c>
      <c r="Q680" s="289"/>
      <c r="R680" s="289"/>
      <c r="S680" s="293">
        <f t="shared" si="62"/>
        <v>0</v>
      </c>
      <c r="T680" s="294"/>
      <c r="U680" s="295">
        <f t="shared" si="68"/>
        <v>0</v>
      </c>
      <c r="V680" s="296"/>
      <c r="W680" s="297"/>
      <c r="X680" s="298"/>
      <c r="Y680" s="292" t="str">
        <f t="shared" si="69"/>
        <v/>
      </c>
      <c r="Z680" s="366">
        <f t="shared" si="70"/>
        <v>0</v>
      </c>
      <c r="AA680" s="299" t="str">
        <f t="shared" si="71"/>
        <v/>
      </c>
      <c r="AB680" s="300"/>
      <c r="AC680" s="301"/>
      <c r="AD680" s="302"/>
      <c r="AE680" s="303"/>
      <c r="AF680" s="304"/>
      <c r="AG680" s="304"/>
      <c r="AH680" s="304"/>
      <c r="AI680" s="304"/>
      <c r="AJ680" s="304"/>
      <c r="AK680" s="305"/>
      <c r="AL680" s="283"/>
      <c r="AM680" s="284"/>
    </row>
    <row r="681" ht="15.75" customHeight="1">
      <c r="A681" s="282">
        <f t="shared" si="1"/>
        <v>677</v>
      </c>
      <c r="B681" s="283"/>
      <c r="C681" s="284"/>
      <c r="D681" s="338"/>
      <c r="E681" s="286"/>
      <c r="F681" s="287"/>
      <c r="G681" s="288" t="str">
        <f>+IFERROR(VLOOKUP(F681,NVL!$B:$C,2,0),"")</f>
        <v/>
      </c>
      <c r="H681" s="288" t="str">
        <f>+IFERROR(VLOOKUP(F681,NVL!$B:$D,3,0),"")</f>
        <v/>
      </c>
      <c r="I681" s="288" t="str">
        <f>+IFERROR(VLOOKUP(F681,NVL!$B:$F,4,0),"")</f>
        <v/>
      </c>
      <c r="J681" s="289"/>
      <c r="K681" s="290"/>
      <c r="L681" s="291" t="str">
        <f>+IFERROR(VLOOKUP(K681,'THÀNH PHẨM'!$B:$F,3,0),"")</f>
        <v/>
      </c>
      <c r="M681" s="291" t="str">
        <f>+IFERROR(VLOOKUP(K681,'THÀNH PHẨM'!$B:$F,4,0),"")</f>
        <v/>
      </c>
      <c r="N681" s="291" t="str">
        <f>+IFERROR(VLOOKUP(K681,'THÀNH PHẨM'!$B:$F,5,0),"")</f>
        <v/>
      </c>
      <c r="O681" s="289"/>
      <c r="P681" s="292">
        <f t="shared" si="2"/>
        <v>0</v>
      </c>
      <c r="Q681" s="289"/>
      <c r="R681" s="289"/>
      <c r="S681" s="293">
        <f t="shared" si="62"/>
        <v>0</v>
      </c>
      <c r="T681" s="294"/>
      <c r="U681" s="295">
        <f t="shared" si="68"/>
        <v>0</v>
      </c>
      <c r="V681" s="296"/>
      <c r="W681" s="297"/>
      <c r="X681" s="298"/>
      <c r="Y681" s="292" t="str">
        <f t="shared" si="69"/>
        <v/>
      </c>
      <c r="Z681" s="366">
        <f t="shared" si="70"/>
        <v>0</v>
      </c>
      <c r="AA681" s="299" t="str">
        <f t="shared" si="71"/>
        <v/>
      </c>
      <c r="AB681" s="300"/>
      <c r="AC681" s="301"/>
      <c r="AD681" s="302"/>
      <c r="AE681" s="303"/>
      <c r="AF681" s="304"/>
      <c r="AG681" s="304"/>
      <c r="AH681" s="304"/>
      <c r="AI681" s="304"/>
      <c r="AJ681" s="304"/>
      <c r="AK681" s="305"/>
      <c r="AL681" s="283"/>
      <c r="AM681" s="284"/>
    </row>
    <row r="682" ht="15.75" customHeight="1">
      <c r="A682" s="282">
        <f t="shared" si="1"/>
        <v>678</v>
      </c>
      <c r="B682" s="283"/>
      <c r="C682" s="284"/>
      <c r="D682" s="338"/>
      <c r="E682" s="286"/>
      <c r="F682" s="287"/>
      <c r="G682" s="288" t="str">
        <f>+IFERROR(VLOOKUP(F682,NVL!$B:$C,2,0),"")</f>
        <v/>
      </c>
      <c r="H682" s="288" t="str">
        <f>+IFERROR(VLOOKUP(F682,NVL!$B:$D,3,0),"")</f>
        <v/>
      </c>
      <c r="I682" s="288" t="str">
        <f>+IFERROR(VLOOKUP(F682,NVL!$B:$F,4,0),"")</f>
        <v/>
      </c>
      <c r="J682" s="289"/>
      <c r="K682" s="290"/>
      <c r="L682" s="291" t="str">
        <f>+IFERROR(VLOOKUP(K682,'THÀNH PHẨM'!$B:$F,3,0),"")</f>
        <v/>
      </c>
      <c r="M682" s="291" t="str">
        <f>+IFERROR(VLOOKUP(K682,'THÀNH PHẨM'!$B:$F,4,0),"")</f>
        <v/>
      </c>
      <c r="N682" s="291" t="str">
        <f>+IFERROR(VLOOKUP(K682,'THÀNH PHẨM'!$B:$F,5,0),"")</f>
        <v/>
      </c>
      <c r="O682" s="289"/>
      <c r="P682" s="292">
        <f t="shared" si="2"/>
        <v>0</v>
      </c>
      <c r="Q682" s="289"/>
      <c r="R682" s="289"/>
      <c r="S682" s="293">
        <f t="shared" si="62"/>
        <v>0</v>
      </c>
      <c r="T682" s="294"/>
      <c r="U682" s="295">
        <f t="shared" si="68"/>
        <v>0</v>
      </c>
      <c r="V682" s="296"/>
      <c r="W682" s="297"/>
      <c r="X682" s="298"/>
      <c r="Y682" s="292" t="str">
        <f t="shared" si="69"/>
        <v/>
      </c>
      <c r="Z682" s="366">
        <f t="shared" si="70"/>
        <v>0</v>
      </c>
      <c r="AA682" s="299" t="str">
        <f t="shared" si="71"/>
        <v/>
      </c>
      <c r="AB682" s="300"/>
      <c r="AC682" s="301"/>
      <c r="AD682" s="302"/>
      <c r="AE682" s="303"/>
      <c r="AF682" s="304"/>
      <c r="AG682" s="304"/>
      <c r="AH682" s="304"/>
      <c r="AI682" s="304"/>
      <c r="AJ682" s="304"/>
      <c r="AK682" s="305"/>
      <c r="AL682" s="283"/>
      <c r="AM682" s="284"/>
    </row>
    <row r="683" ht="15.75" customHeight="1">
      <c r="A683" s="282">
        <f t="shared" si="1"/>
        <v>679</v>
      </c>
      <c r="B683" s="283"/>
      <c r="C683" s="284"/>
      <c r="D683" s="338"/>
      <c r="E683" s="286"/>
      <c r="F683" s="287"/>
      <c r="G683" s="288" t="str">
        <f>+IFERROR(VLOOKUP(F683,NVL!$B:$C,2,0),"")</f>
        <v/>
      </c>
      <c r="H683" s="288" t="str">
        <f>+IFERROR(VLOOKUP(F683,NVL!$B:$D,3,0),"")</f>
        <v/>
      </c>
      <c r="I683" s="288" t="str">
        <f>+IFERROR(VLOOKUP(F683,NVL!$B:$F,4,0),"")</f>
        <v/>
      </c>
      <c r="J683" s="289"/>
      <c r="K683" s="290"/>
      <c r="L683" s="291" t="str">
        <f>+IFERROR(VLOOKUP(K683,'THÀNH PHẨM'!$B:$F,3,0),"")</f>
        <v/>
      </c>
      <c r="M683" s="291" t="str">
        <f>+IFERROR(VLOOKUP(K683,'THÀNH PHẨM'!$B:$F,4,0),"")</f>
        <v/>
      </c>
      <c r="N683" s="291" t="str">
        <f>+IFERROR(VLOOKUP(K683,'THÀNH PHẨM'!$B:$F,5,0),"")</f>
        <v/>
      </c>
      <c r="O683" s="289"/>
      <c r="P683" s="292">
        <f t="shared" si="2"/>
        <v>0</v>
      </c>
      <c r="Q683" s="289"/>
      <c r="R683" s="289"/>
      <c r="S683" s="293">
        <f t="shared" si="62"/>
        <v>0</v>
      </c>
      <c r="T683" s="294"/>
      <c r="U683" s="295">
        <f t="shared" si="68"/>
        <v>0</v>
      </c>
      <c r="V683" s="296"/>
      <c r="W683" s="297"/>
      <c r="X683" s="298"/>
      <c r="Y683" s="292" t="str">
        <f t="shared" si="69"/>
        <v/>
      </c>
      <c r="Z683" s="366">
        <f t="shared" si="70"/>
        <v>0</v>
      </c>
      <c r="AA683" s="299" t="str">
        <f t="shared" si="71"/>
        <v/>
      </c>
      <c r="AB683" s="300"/>
      <c r="AC683" s="301"/>
      <c r="AD683" s="302"/>
      <c r="AE683" s="303"/>
      <c r="AF683" s="304"/>
      <c r="AG683" s="304"/>
      <c r="AH683" s="304"/>
      <c r="AI683" s="304"/>
      <c r="AJ683" s="304"/>
      <c r="AK683" s="305"/>
      <c r="AL683" s="283"/>
      <c r="AM683" s="284"/>
    </row>
    <row r="684" ht="15.75" customHeight="1">
      <c r="A684" s="282">
        <f t="shared" si="1"/>
        <v>680</v>
      </c>
      <c r="B684" s="283"/>
      <c r="C684" s="284"/>
      <c r="D684" s="338"/>
      <c r="E684" s="286"/>
      <c r="F684" s="287"/>
      <c r="G684" s="288" t="str">
        <f>+IFERROR(VLOOKUP(F684,NVL!$B:$C,2,0),"")</f>
        <v/>
      </c>
      <c r="H684" s="288" t="str">
        <f>+IFERROR(VLOOKUP(F684,NVL!$B:$D,3,0),"")</f>
        <v/>
      </c>
      <c r="I684" s="288" t="str">
        <f>+IFERROR(VLOOKUP(F684,NVL!$B:$F,4,0),"")</f>
        <v/>
      </c>
      <c r="J684" s="289"/>
      <c r="K684" s="290"/>
      <c r="L684" s="291" t="str">
        <f>+IFERROR(VLOOKUP(K684,'THÀNH PHẨM'!$B:$F,3,0),"")</f>
        <v/>
      </c>
      <c r="M684" s="291" t="str">
        <f>+IFERROR(VLOOKUP(K684,'THÀNH PHẨM'!$B:$F,4,0),"")</f>
        <v/>
      </c>
      <c r="N684" s="291" t="str">
        <f>+IFERROR(VLOOKUP(K684,'THÀNH PHẨM'!$B:$F,5,0),"")</f>
        <v/>
      </c>
      <c r="O684" s="289"/>
      <c r="P684" s="292">
        <f t="shared" si="2"/>
        <v>0</v>
      </c>
      <c r="Q684" s="289"/>
      <c r="R684" s="289"/>
      <c r="S684" s="293">
        <f t="shared" si="62"/>
        <v>0</v>
      </c>
      <c r="T684" s="294"/>
      <c r="U684" s="295">
        <f t="shared" si="68"/>
        <v>0</v>
      </c>
      <c r="V684" s="296"/>
      <c r="W684" s="297"/>
      <c r="X684" s="298"/>
      <c r="Y684" s="292" t="str">
        <f t="shared" si="69"/>
        <v/>
      </c>
      <c r="Z684" s="366">
        <f t="shared" si="70"/>
        <v>0</v>
      </c>
      <c r="AA684" s="299" t="str">
        <f t="shared" si="71"/>
        <v/>
      </c>
      <c r="AB684" s="300"/>
      <c r="AC684" s="301"/>
      <c r="AD684" s="302"/>
      <c r="AE684" s="303"/>
      <c r="AF684" s="304"/>
      <c r="AG684" s="304"/>
      <c r="AH684" s="304"/>
      <c r="AI684" s="304"/>
      <c r="AJ684" s="304"/>
      <c r="AK684" s="305"/>
      <c r="AL684" s="283"/>
      <c r="AM684" s="284"/>
    </row>
    <row r="685" ht="15.75" customHeight="1">
      <c r="A685" s="282">
        <f t="shared" si="1"/>
        <v>681</v>
      </c>
      <c r="B685" s="283"/>
      <c r="C685" s="284"/>
      <c r="D685" s="338"/>
      <c r="E685" s="286"/>
      <c r="F685" s="287"/>
      <c r="G685" s="288" t="str">
        <f>+IFERROR(VLOOKUP(F685,NVL!$B:$C,2,0),"")</f>
        <v/>
      </c>
      <c r="H685" s="288" t="str">
        <f>+IFERROR(VLOOKUP(F685,NVL!$B:$D,3,0),"")</f>
        <v/>
      </c>
      <c r="I685" s="288" t="str">
        <f>+IFERROR(VLOOKUP(F685,NVL!$B:$F,4,0),"")</f>
        <v/>
      </c>
      <c r="J685" s="289"/>
      <c r="K685" s="290"/>
      <c r="L685" s="291" t="str">
        <f>+IFERROR(VLOOKUP(K685,'THÀNH PHẨM'!$B:$F,3,0),"")</f>
        <v/>
      </c>
      <c r="M685" s="291" t="str">
        <f>+IFERROR(VLOOKUP(K685,'THÀNH PHẨM'!$B:$F,4,0),"")</f>
        <v/>
      </c>
      <c r="N685" s="291" t="str">
        <f>+IFERROR(VLOOKUP(K685,'THÀNH PHẨM'!$B:$F,5,0),"")</f>
        <v/>
      </c>
      <c r="O685" s="289"/>
      <c r="P685" s="292">
        <f t="shared" si="2"/>
        <v>0</v>
      </c>
      <c r="Q685" s="289"/>
      <c r="R685" s="289"/>
      <c r="S685" s="293">
        <f t="shared" si="62"/>
        <v>0</v>
      </c>
      <c r="T685" s="294"/>
      <c r="U685" s="295">
        <f t="shared" si="68"/>
        <v>0</v>
      </c>
      <c r="V685" s="296"/>
      <c r="W685" s="297"/>
      <c r="X685" s="298"/>
      <c r="Y685" s="292" t="str">
        <f t="shared" si="69"/>
        <v/>
      </c>
      <c r="Z685" s="366">
        <f t="shared" si="70"/>
        <v>0</v>
      </c>
      <c r="AA685" s="299" t="str">
        <f t="shared" si="71"/>
        <v/>
      </c>
      <c r="AB685" s="300"/>
      <c r="AC685" s="301"/>
      <c r="AD685" s="302"/>
      <c r="AE685" s="303"/>
      <c r="AF685" s="304"/>
      <c r="AG685" s="304"/>
      <c r="AH685" s="304"/>
      <c r="AI685" s="304"/>
      <c r="AJ685" s="304"/>
      <c r="AK685" s="305"/>
      <c r="AL685" s="283"/>
      <c r="AM685" s="284"/>
    </row>
    <row r="686" ht="15.75" customHeight="1">
      <c r="A686" s="282">
        <f t="shared" si="1"/>
        <v>682</v>
      </c>
      <c r="B686" s="283"/>
      <c r="C686" s="284"/>
      <c r="D686" s="338"/>
      <c r="E686" s="286"/>
      <c r="F686" s="287"/>
      <c r="G686" s="288" t="str">
        <f>+IFERROR(VLOOKUP(F686,NVL!$B:$C,2,0),"")</f>
        <v/>
      </c>
      <c r="H686" s="288" t="str">
        <f>+IFERROR(VLOOKUP(F686,NVL!$B:$D,3,0),"")</f>
        <v/>
      </c>
      <c r="I686" s="288" t="str">
        <f>+IFERROR(VLOOKUP(F686,NVL!$B:$F,4,0),"")</f>
        <v/>
      </c>
      <c r="J686" s="289"/>
      <c r="K686" s="290"/>
      <c r="L686" s="291" t="str">
        <f>+IFERROR(VLOOKUP(K686,'THÀNH PHẨM'!$B:$F,3,0),"")</f>
        <v/>
      </c>
      <c r="M686" s="291" t="str">
        <f>+IFERROR(VLOOKUP(K686,'THÀNH PHẨM'!$B:$F,4,0),"")</f>
        <v/>
      </c>
      <c r="N686" s="291" t="str">
        <f>+IFERROR(VLOOKUP(K686,'THÀNH PHẨM'!$B:$F,5,0),"")</f>
        <v/>
      </c>
      <c r="O686" s="289"/>
      <c r="P686" s="292">
        <f t="shared" si="2"/>
        <v>0</v>
      </c>
      <c r="Q686" s="289"/>
      <c r="R686" s="289"/>
      <c r="S686" s="293">
        <f t="shared" si="62"/>
        <v>0</v>
      </c>
      <c r="T686" s="294"/>
      <c r="U686" s="295">
        <f t="shared" si="68"/>
        <v>0</v>
      </c>
      <c r="V686" s="296"/>
      <c r="W686" s="297"/>
      <c r="X686" s="298"/>
      <c r="Y686" s="292" t="str">
        <f t="shared" si="69"/>
        <v/>
      </c>
      <c r="Z686" s="366">
        <f t="shared" si="70"/>
        <v>0</v>
      </c>
      <c r="AA686" s="299" t="str">
        <f t="shared" si="71"/>
        <v/>
      </c>
      <c r="AB686" s="300"/>
      <c r="AC686" s="301"/>
      <c r="AD686" s="302"/>
      <c r="AE686" s="303"/>
      <c r="AF686" s="304"/>
      <c r="AG686" s="304"/>
      <c r="AH686" s="304"/>
      <c r="AI686" s="304"/>
      <c r="AJ686" s="304"/>
      <c r="AK686" s="305"/>
      <c r="AL686" s="283"/>
      <c r="AM686" s="284"/>
    </row>
    <row r="687" ht="15.75" customHeight="1">
      <c r="A687" s="282">
        <f t="shared" si="1"/>
        <v>683</v>
      </c>
      <c r="B687" s="283"/>
      <c r="C687" s="284"/>
      <c r="D687" s="338"/>
      <c r="E687" s="286"/>
      <c r="F687" s="287"/>
      <c r="G687" s="288" t="str">
        <f>+IFERROR(VLOOKUP(F687,NVL!$B:$C,2,0),"")</f>
        <v/>
      </c>
      <c r="H687" s="288" t="str">
        <f>+IFERROR(VLOOKUP(F687,NVL!$B:$D,3,0),"")</f>
        <v/>
      </c>
      <c r="I687" s="288" t="str">
        <f>+IFERROR(VLOOKUP(F687,NVL!$B:$F,4,0),"")</f>
        <v/>
      </c>
      <c r="J687" s="289"/>
      <c r="K687" s="290"/>
      <c r="L687" s="291" t="str">
        <f>+IFERROR(VLOOKUP(K687,'THÀNH PHẨM'!$B:$F,3,0),"")</f>
        <v/>
      </c>
      <c r="M687" s="291" t="str">
        <f>+IFERROR(VLOOKUP(K687,'THÀNH PHẨM'!$B:$F,4,0),"")</f>
        <v/>
      </c>
      <c r="N687" s="291" t="str">
        <f>+IFERROR(VLOOKUP(K687,'THÀNH PHẨM'!$B:$F,5,0),"")</f>
        <v/>
      </c>
      <c r="O687" s="289"/>
      <c r="P687" s="292">
        <f t="shared" si="2"/>
        <v>0</v>
      </c>
      <c r="Q687" s="289"/>
      <c r="R687" s="289"/>
      <c r="S687" s="293">
        <f t="shared" si="62"/>
        <v>0</v>
      </c>
      <c r="T687" s="294"/>
      <c r="U687" s="295">
        <f t="shared" si="68"/>
        <v>0</v>
      </c>
      <c r="V687" s="296"/>
      <c r="W687" s="297"/>
      <c r="X687" s="298"/>
      <c r="Y687" s="292" t="str">
        <f t="shared" si="69"/>
        <v/>
      </c>
      <c r="Z687" s="366">
        <f t="shared" si="70"/>
        <v>0</v>
      </c>
      <c r="AA687" s="299" t="str">
        <f t="shared" si="71"/>
        <v/>
      </c>
      <c r="AB687" s="300"/>
      <c r="AC687" s="301"/>
      <c r="AD687" s="302"/>
      <c r="AE687" s="303"/>
      <c r="AF687" s="304"/>
      <c r="AG687" s="304"/>
      <c r="AH687" s="304"/>
      <c r="AI687" s="304"/>
      <c r="AJ687" s="304"/>
      <c r="AK687" s="305"/>
      <c r="AL687" s="283"/>
      <c r="AM687" s="284"/>
    </row>
    <row r="688" ht="15.75" customHeight="1">
      <c r="A688" s="282">
        <f t="shared" si="1"/>
        <v>684</v>
      </c>
      <c r="B688" s="283"/>
      <c r="C688" s="284"/>
      <c r="D688" s="338"/>
      <c r="E688" s="286"/>
      <c r="F688" s="287"/>
      <c r="G688" s="288" t="str">
        <f>+IFERROR(VLOOKUP(F688,NVL!$B:$C,2,0),"")</f>
        <v/>
      </c>
      <c r="H688" s="288" t="str">
        <f>+IFERROR(VLOOKUP(F688,NVL!$B:$D,3,0),"")</f>
        <v/>
      </c>
      <c r="I688" s="288" t="str">
        <f>+IFERROR(VLOOKUP(F688,NVL!$B:$F,4,0),"")</f>
        <v/>
      </c>
      <c r="J688" s="289"/>
      <c r="K688" s="290"/>
      <c r="L688" s="291" t="str">
        <f>+IFERROR(VLOOKUP(K688,'THÀNH PHẨM'!$B:$F,3,0),"")</f>
        <v/>
      </c>
      <c r="M688" s="291" t="str">
        <f>+IFERROR(VLOOKUP(K688,'THÀNH PHẨM'!$B:$F,4,0),"")</f>
        <v/>
      </c>
      <c r="N688" s="291" t="str">
        <f>+IFERROR(VLOOKUP(K688,'THÀNH PHẨM'!$B:$F,5,0),"")</f>
        <v/>
      </c>
      <c r="O688" s="289"/>
      <c r="P688" s="292">
        <f t="shared" si="2"/>
        <v>0</v>
      </c>
      <c r="Q688" s="289"/>
      <c r="R688" s="289"/>
      <c r="S688" s="293">
        <f t="shared" si="62"/>
        <v>0</v>
      </c>
      <c r="T688" s="294"/>
      <c r="U688" s="295">
        <f t="shared" si="68"/>
        <v>0</v>
      </c>
      <c r="V688" s="296"/>
      <c r="W688" s="297"/>
      <c r="X688" s="298"/>
      <c r="Y688" s="292" t="str">
        <f t="shared" si="69"/>
        <v/>
      </c>
      <c r="Z688" s="366">
        <f t="shared" si="70"/>
        <v>0</v>
      </c>
      <c r="AA688" s="299" t="str">
        <f t="shared" si="71"/>
        <v/>
      </c>
      <c r="AB688" s="300"/>
      <c r="AC688" s="301"/>
      <c r="AD688" s="302"/>
      <c r="AE688" s="303"/>
      <c r="AF688" s="304"/>
      <c r="AG688" s="304"/>
      <c r="AH688" s="304"/>
      <c r="AI688" s="304"/>
      <c r="AJ688" s="304"/>
      <c r="AK688" s="305"/>
      <c r="AL688" s="283"/>
      <c r="AM688" s="284"/>
    </row>
    <row r="689" ht="15.75" customHeight="1">
      <c r="A689" s="282">
        <f t="shared" si="1"/>
        <v>685</v>
      </c>
      <c r="B689" s="283"/>
      <c r="C689" s="284"/>
      <c r="D689" s="338"/>
      <c r="E689" s="286"/>
      <c r="F689" s="287"/>
      <c r="G689" s="288" t="str">
        <f>+IFERROR(VLOOKUP(F689,NVL!$B:$C,2,0),"")</f>
        <v/>
      </c>
      <c r="H689" s="288" t="str">
        <f>+IFERROR(VLOOKUP(F689,NVL!$B:$D,3,0),"")</f>
        <v/>
      </c>
      <c r="I689" s="288" t="str">
        <f>+IFERROR(VLOOKUP(F689,NVL!$B:$F,4,0),"")</f>
        <v/>
      </c>
      <c r="J689" s="289"/>
      <c r="K689" s="290"/>
      <c r="L689" s="291" t="str">
        <f>+IFERROR(VLOOKUP(K689,'THÀNH PHẨM'!$B:$F,3,0),"")</f>
        <v/>
      </c>
      <c r="M689" s="291" t="str">
        <f>+IFERROR(VLOOKUP(K689,'THÀNH PHẨM'!$B:$F,4,0),"")</f>
        <v/>
      </c>
      <c r="N689" s="291" t="str">
        <f>+IFERROR(VLOOKUP(K689,'THÀNH PHẨM'!$B:$F,5,0),"")</f>
        <v/>
      </c>
      <c r="O689" s="289"/>
      <c r="P689" s="292">
        <f t="shared" si="2"/>
        <v>0</v>
      </c>
      <c r="Q689" s="289"/>
      <c r="R689" s="289"/>
      <c r="S689" s="293">
        <f t="shared" si="62"/>
        <v>0</v>
      </c>
      <c r="T689" s="294"/>
      <c r="U689" s="295">
        <f t="shared" si="68"/>
        <v>0</v>
      </c>
      <c r="V689" s="296"/>
      <c r="W689" s="297"/>
      <c r="X689" s="298"/>
      <c r="Y689" s="292" t="str">
        <f t="shared" si="69"/>
        <v/>
      </c>
      <c r="Z689" s="366">
        <f t="shared" si="70"/>
        <v>0</v>
      </c>
      <c r="AA689" s="299" t="str">
        <f t="shared" si="71"/>
        <v/>
      </c>
      <c r="AB689" s="300"/>
      <c r="AC689" s="301"/>
      <c r="AD689" s="302"/>
      <c r="AE689" s="303"/>
      <c r="AF689" s="304"/>
      <c r="AG689" s="304"/>
      <c r="AH689" s="304"/>
      <c r="AI689" s="304"/>
      <c r="AJ689" s="304"/>
      <c r="AK689" s="305"/>
      <c r="AL689" s="283"/>
      <c r="AM689" s="284"/>
    </row>
    <row r="690" ht="15.75" customHeight="1">
      <c r="A690" s="282">
        <f t="shared" si="1"/>
        <v>686</v>
      </c>
      <c r="B690" s="283"/>
      <c r="C690" s="284"/>
      <c r="D690" s="338"/>
      <c r="E690" s="286"/>
      <c r="F690" s="287"/>
      <c r="G690" s="288" t="str">
        <f>+IFERROR(VLOOKUP(F690,NVL!$B:$C,2,0),"")</f>
        <v/>
      </c>
      <c r="H690" s="288" t="str">
        <f>+IFERROR(VLOOKUP(F690,NVL!$B:$D,3,0),"")</f>
        <v/>
      </c>
      <c r="I690" s="288" t="str">
        <f>+IFERROR(VLOOKUP(F690,NVL!$B:$F,4,0),"")</f>
        <v/>
      </c>
      <c r="J690" s="289"/>
      <c r="K690" s="290"/>
      <c r="L690" s="291" t="str">
        <f>+IFERROR(VLOOKUP(K690,'THÀNH PHẨM'!$B:$F,3,0),"")</f>
        <v/>
      </c>
      <c r="M690" s="291" t="str">
        <f>+IFERROR(VLOOKUP(K690,'THÀNH PHẨM'!$B:$F,4,0),"")</f>
        <v/>
      </c>
      <c r="N690" s="291" t="str">
        <f>+IFERROR(VLOOKUP(K690,'THÀNH PHẨM'!$B:$F,5,0),"")</f>
        <v/>
      </c>
      <c r="O690" s="289"/>
      <c r="P690" s="292">
        <f t="shared" si="2"/>
        <v>0</v>
      </c>
      <c r="Q690" s="289"/>
      <c r="R690" s="289"/>
      <c r="S690" s="293">
        <f t="shared" si="62"/>
        <v>0</v>
      </c>
      <c r="T690" s="294"/>
      <c r="U690" s="295">
        <f t="shared" si="68"/>
        <v>0</v>
      </c>
      <c r="V690" s="296"/>
      <c r="W690" s="297"/>
      <c r="X690" s="298"/>
      <c r="Y690" s="292" t="str">
        <f t="shared" si="69"/>
        <v/>
      </c>
      <c r="Z690" s="366">
        <f t="shared" si="70"/>
        <v>0</v>
      </c>
      <c r="AA690" s="299" t="str">
        <f t="shared" si="71"/>
        <v/>
      </c>
      <c r="AB690" s="300"/>
      <c r="AC690" s="301"/>
      <c r="AD690" s="302"/>
      <c r="AE690" s="303"/>
      <c r="AF690" s="304"/>
      <c r="AG690" s="304"/>
      <c r="AH690" s="304"/>
      <c r="AI690" s="304"/>
      <c r="AJ690" s="304"/>
      <c r="AK690" s="305"/>
      <c r="AL690" s="283"/>
      <c r="AM690" s="284"/>
    </row>
    <row r="691" ht="15.75" customHeight="1">
      <c r="A691" s="282">
        <f t="shared" si="1"/>
        <v>687</v>
      </c>
      <c r="B691" s="283"/>
      <c r="C691" s="284"/>
      <c r="D691" s="338"/>
      <c r="E691" s="286"/>
      <c r="F691" s="287"/>
      <c r="G691" s="288" t="str">
        <f>+IFERROR(VLOOKUP(F691,NVL!$B:$C,2,0),"")</f>
        <v/>
      </c>
      <c r="H691" s="288" t="str">
        <f>+IFERROR(VLOOKUP(F691,NVL!$B:$D,3,0),"")</f>
        <v/>
      </c>
      <c r="I691" s="288" t="str">
        <f>+IFERROR(VLOOKUP(F691,NVL!$B:$F,4,0),"")</f>
        <v/>
      </c>
      <c r="J691" s="289"/>
      <c r="K691" s="290"/>
      <c r="L691" s="291" t="str">
        <f>+IFERROR(VLOOKUP(K691,'THÀNH PHẨM'!$B:$F,3,0),"")</f>
        <v/>
      </c>
      <c r="M691" s="291" t="str">
        <f>+IFERROR(VLOOKUP(K691,'THÀNH PHẨM'!$B:$F,4,0),"")</f>
        <v/>
      </c>
      <c r="N691" s="291" t="str">
        <f>+IFERROR(VLOOKUP(K691,'THÀNH PHẨM'!$B:$F,5,0),"")</f>
        <v/>
      </c>
      <c r="O691" s="289"/>
      <c r="P691" s="292">
        <f t="shared" si="2"/>
        <v>0</v>
      </c>
      <c r="Q691" s="289"/>
      <c r="R691" s="289"/>
      <c r="S691" s="293">
        <f t="shared" si="62"/>
        <v>0</v>
      </c>
      <c r="T691" s="294"/>
      <c r="U691" s="295">
        <f t="shared" si="68"/>
        <v>0</v>
      </c>
      <c r="V691" s="296"/>
      <c r="W691" s="297"/>
      <c r="X691" s="298"/>
      <c r="Y691" s="292" t="str">
        <f t="shared" si="69"/>
        <v/>
      </c>
      <c r="Z691" s="366">
        <f t="shared" si="70"/>
        <v>0</v>
      </c>
      <c r="AA691" s="299" t="str">
        <f t="shared" si="71"/>
        <v/>
      </c>
      <c r="AB691" s="300"/>
      <c r="AC691" s="301"/>
      <c r="AD691" s="302"/>
      <c r="AE691" s="303"/>
      <c r="AF691" s="304"/>
      <c r="AG691" s="304"/>
      <c r="AH691" s="304"/>
      <c r="AI691" s="304"/>
      <c r="AJ691" s="304"/>
      <c r="AK691" s="305"/>
      <c r="AL691" s="283"/>
      <c r="AM691" s="284"/>
    </row>
    <row r="692" ht="15.75" customHeight="1">
      <c r="A692" s="282">
        <f t="shared" si="1"/>
        <v>688</v>
      </c>
      <c r="B692" s="283"/>
      <c r="C692" s="284"/>
      <c r="D692" s="338"/>
      <c r="E692" s="286"/>
      <c r="F692" s="287"/>
      <c r="G692" s="288" t="str">
        <f>+IFERROR(VLOOKUP(F692,NVL!$B:$C,2,0),"")</f>
        <v/>
      </c>
      <c r="H692" s="288" t="str">
        <f>+IFERROR(VLOOKUP(F692,NVL!$B:$D,3,0),"")</f>
        <v/>
      </c>
      <c r="I692" s="288" t="str">
        <f>+IFERROR(VLOOKUP(F692,NVL!$B:$F,4,0),"")</f>
        <v/>
      </c>
      <c r="J692" s="289"/>
      <c r="K692" s="290"/>
      <c r="L692" s="291" t="str">
        <f>+IFERROR(VLOOKUP(K692,'THÀNH PHẨM'!$B:$F,3,0),"")</f>
        <v/>
      </c>
      <c r="M692" s="291" t="str">
        <f>+IFERROR(VLOOKUP(K692,'THÀNH PHẨM'!$B:$F,4,0),"")</f>
        <v/>
      </c>
      <c r="N692" s="291" t="str">
        <f>+IFERROR(VLOOKUP(K692,'THÀNH PHẨM'!$B:$F,5,0),"")</f>
        <v/>
      </c>
      <c r="O692" s="289"/>
      <c r="P692" s="292">
        <f t="shared" si="2"/>
        <v>0</v>
      </c>
      <c r="Q692" s="289"/>
      <c r="R692" s="289"/>
      <c r="S692" s="293">
        <f t="shared" si="62"/>
        <v>0</v>
      </c>
      <c r="T692" s="294"/>
      <c r="U692" s="295">
        <f t="shared" si="68"/>
        <v>0</v>
      </c>
      <c r="V692" s="296"/>
      <c r="W692" s="297"/>
      <c r="X692" s="298"/>
      <c r="Y692" s="292" t="str">
        <f t="shared" si="69"/>
        <v/>
      </c>
      <c r="Z692" s="366">
        <f t="shared" si="70"/>
        <v>0</v>
      </c>
      <c r="AA692" s="299" t="str">
        <f t="shared" si="71"/>
        <v/>
      </c>
      <c r="AB692" s="300"/>
      <c r="AC692" s="301"/>
      <c r="AD692" s="302"/>
      <c r="AE692" s="303"/>
      <c r="AF692" s="304"/>
      <c r="AG692" s="304"/>
      <c r="AH692" s="304"/>
      <c r="AI692" s="304"/>
      <c r="AJ692" s="304"/>
      <c r="AK692" s="305"/>
      <c r="AL692" s="283"/>
      <c r="AM692" s="284"/>
    </row>
    <row r="693" ht="15.75" customHeight="1">
      <c r="A693" s="282">
        <f t="shared" si="1"/>
        <v>689</v>
      </c>
      <c r="B693" s="283"/>
      <c r="C693" s="284"/>
      <c r="D693" s="338"/>
      <c r="E693" s="286"/>
      <c r="F693" s="287"/>
      <c r="G693" s="288" t="str">
        <f>+IFERROR(VLOOKUP(F693,NVL!$B:$C,2,0),"")</f>
        <v/>
      </c>
      <c r="H693" s="288" t="str">
        <f>+IFERROR(VLOOKUP(F693,NVL!$B:$D,3,0),"")</f>
        <v/>
      </c>
      <c r="I693" s="288" t="str">
        <f>+IFERROR(VLOOKUP(F693,NVL!$B:$F,4,0),"")</f>
        <v/>
      </c>
      <c r="J693" s="289"/>
      <c r="K693" s="290"/>
      <c r="L693" s="291" t="str">
        <f>+IFERROR(VLOOKUP(K693,'THÀNH PHẨM'!$B:$F,3,0),"")</f>
        <v/>
      </c>
      <c r="M693" s="291" t="str">
        <f>+IFERROR(VLOOKUP(K693,'THÀNH PHẨM'!$B:$F,4,0),"")</f>
        <v/>
      </c>
      <c r="N693" s="291" t="str">
        <f>+IFERROR(VLOOKUP(K693,'THÀNH PHẨM'!$B:$F,5,0),"")</f>
        <v/>
      </c>
      <c r="O693" s="289"/>
      <c r="P693" s="292">
        <f t="shared" si="2"/>
        <v>0</v>
      </c>
      <c r="Q693" s="289"/>
      <c r="R693" s="289"/>
      <c r="S693" s="293">
        <f t="shared" si="62"/>
        <v>0</v>
      </c>
      <c r="T693" s="294"/>
      <c r="U693" s="295">
        <f t="shared" si="68"/>
        <v>0</v>
      </c>
      <c r="V693" s="296"/>
      <c r="W693" s="297"/>
      <c r="X693" s="298"/>
      <c r="Y693" s="292" t="str">
        <f t="shared" si="69"/>
        <v/>
      </c>
      <c r="Z693" s="366">
        <f t="shared" si="70"/>
        <v>0</v>
      </c>
      <c r="AA693" s="299" t="str">
        <f t="shared" si="71"/>
        <v/>
      </c>
      <c r="AB693" s="300"/>
      <c r="AC693" s="301"/>
      <c r="AD693" s="302"/>
      <c r="AE693" s="303"/>
      <c r="AF693" s="304"/>
      <c r="AG693" s="304"/>
      <c r="AH693" s="304"/>
      <c r="AI693" s="304"/>
      <c r="AJ693" s="304"/>
      <c r="AK693" s="305"/>
      <c r="AL693" s="283"/>
      <c r="AM693" s="284"/>
    </row>
    <row r="694" ht="15.75" customHeight="1">
      <c r="A694" s="282">
        <f t="shared" si="1"/>
        <v>690</v>
      </c>
      <c r="B694" s="283"/>
      <c r="C694" s="284"/>
      <c r="D694" s="338"/>
      <c r="E694" s="286"/>
      <c r="F694" s="287"/>
      <c r="G694" s="288" t="str">
        <f>+IFERROR(VLOOKUP(F694,NVL!$B:$C,2,0),"")</f>
        <v/>
      </c>
      <c r="H694" s="288" t="str">
        <f>+IFERROR(VLOOKUP(F694,NVL!$B:$D,3,0),"")</f>
        <v/>
      </c>
      <c r="I694" s="288" t="str">
        <f>+IFERROR(VLOOKUP(F694,NVL!$B:$F,4,0),"")</f>
        <v/>
      </c>
      <c r="J694" s="289"/>
      <c r="K694" s="290"/>
      <c r="L694" s="291" t="str">
        <f>+IFERROR(VLOOKUP(K694,'THÀNH PHẨM'!$B:$F,3,0),"")</f>
        <v/>
      </c>
      <c r="M694" s="291" t="str">
        <f>+IFERROR(VLOOKUP(K694,'THÀNH PHẨM'!$B:$F,4,0),"")</f>
        <v/>
      </c>
      <c r="N694" s="291" t="str">
        <f>+IFERROR(VLOOKUP(K694,'THÀNH PHẨM'!$B:$F,5,0),"")</f>
        <v/>
      </c>
      <c r="O694" s="289"/>
      <c r="P694" s="292">
        <f t="shared" si="2"/>
        <v>0</v>
      </c>
      <c r="Q694" s="289"/>
      <c r="R694" s="289"/>
      <c r="S694" s="293">
        <f t="shared" si="62"/>
        <v>0</v>
      </c>
      <c r="T694" s="294"/>
      <c r="U694" s="295">
        <f t="shared" si="68"/>
        <v>0</v>
      </c>
      <c r="V694" s="296"/>
      <c r="W694" s="297"/>
      <c r="X694" s="298"/>
      <c r="Y694" s="292" t="str">
        <f t="shared" si="69"/>
        <v/>
      </c>
      <c r="Z694" s="366">
        <f t="shared" si="70"/>
        <v>0</v>
      </c>
      <c r="AA694" s="299" t="str">
        <f t="shared" si="71"/>
        <v/>
      </c>
      <c r="AB694" s="300"/>
      <c r="AC694" s="301"/>
      <c r="AD694" s="302"/>
      <c r="AE694" s="303"/>
      <c r="AF694" s="304"/>
      <c r="AG694" s="304"/>
      <c r="AH694" s="304"/>
      <c r="AI694" s="304"/>
      <c r="AJ694" s="304"/>
      <c r="AK694" s="305"/>
      <c r="AL694" s="283"/>
      <c r="AM694" s="284"/>
    </row>
    <row r="695" ht="15.75" customHeight="1">
      <c r="A695" s="282">
        <f t="shared" si="1"/>
        <v>691</v>
      </c>
      <c r="B695" s="283"/>
      <c r="C695" s="284"/>
      <c r="D695" s="338"/>
      <c r="E695" s="286"/>
      <c r="F695" s="287"/>
      <c r="G695" s="288" t="str">
        <f>+IFERROR(VLOOKUP(F695,NVL!$B:$C,2,0),"")</f>
        <v/>
      </c>
      <c r="H695" s="288" t="str">
        <f>+IFERROR(VLOOKUP(F695,NVL!$B:$D,3,0),"")</f>
        <v/>
      </c>
      <c r="I695" s="288" t="str">
        <f>+IFERROR(VLOOKUP(F695,NVL!$B:$F,4,0),"")</f>
        <v/>
      </c>
      <c r="J695" s="289"/>
      <c r="K695" s="290"/>
      <c r="L695" s="291" t="str">
        <f>+IFERROR(VLOOKUP(K695,'THÀNH PHẨM'!$B:$F,3,0),"")</f>
        <v/>
      </c>
      <c r="M695" s="291" t="str">
        <f>+IFERROR(VLOOKUP(K695,'THÀNH PHẨM'!$B:$F,4,0),"")</f>
        <v/>
      </c>
      <c r="N695" s="291" t="str">
        <f>+IFERROR(VLOOKUP(K695,'THÀNH PHẨM'!$B:$F,5,0),"")</f>
        <v/>
      </c>
      <c r="O695" s="289"/>
      <c r="P695" s="292">
        <f t="shared" si="2"/>
        <v>0</v>
      </c>
      <c r="Q695" s="289"/>
      <c r="R695" s="289"/>
      <c r="S695" s="293">
        <f t="shared" si="62"/>
        <v>0</v>
      </c>
      <c r="T695" s="294"/>
      <c r="U695" s="295">
        <f t="shared" si="68"/>
        <v>0</v>
      </c>
      <c r="V695" s="296"/>
      <c r="W695" s="297"/>
      <c r="X695" s="298"/>
      <c r="Y695" s="292" t="str">
        <f t="shared" si="69"/>
        <v/>
      </c>
      <c r="Z695" s="366">
        <f t="shared" si="70"/>
        <v>0</v>
      </c>
      <c r="AA695" s="299" t="str">
        <f t="shared" si="71"/>
        <v/>
      </c>
      <c r="AB695" s="300"/>
      <c r="AC695" s="301"/>
      <c r="AD695" s="302"/>
      <c r="AE695" s="303"/>
      <c r="AF695" s="304"/>
      <c r="AG695" s="304"/>
      <c r="AH695" s="304"/>
      <c r="AI695" s="304"/>
      <c r="AJ695" s="304"/>
      <c r="AK695" s="305"/>
      <c r="AL695" s="283"/>
      <c r="AM695" s="284"/>
    </row>
    <row r="696" ht="15.75" customHeight="1">
      <c r="A696" s="282">
        <f t="shared" si="1"/>
        <v>692</v>
      </c>
      <c r="B696" s="283"/>
      <c r="C696" s="284"/>
      <c r="D696" s="338"/>
      <c r="E696" s="286"/>
      <c r="F696" s="287"/>
      <c r="G696" s="288" t="str">
        <f>+IFERROR(VLOOKUP(F696,NVL!$B:$C,2,0),"")</f>
        <v/>
      </c>
      <c r="H696" s="288" t="str">
        <f>+IFERROR(VLOOKUP(F696,NVL!$B:$D,3,0),"")</f>
        <v/>
      </c>
      <c r="I696" s="288" t="str">
        <f>+IFERROR(VLOOKUP(F696,NVL!$B:$F,4,0),"")</f>
        <v/>
      </c>
      <c r="J696" s="289"/>
      <c r="K696" s="290"/>
      <c r="L696" s="291" t="str">
        <f>+IFERROR(VLOOKUP(K696,'THÀNH PHẨM'!$B:$F,3,0),"")</f>
        <v/>
      </c>
      <c r="M696" s="291" t="str">
        <f>+IFERROR(VLOOKUP(K696,'THÀNH PHẨM'!$B:$F,4,0),"")</f>
        <v/>
      </c>
      <c r="N696" s="291" t="str">
        <f>+IFERROR(VLOOKUP(K696,'THÀNH PHẨM'!$B:$F,5,0),"")</f>
        <v/>
      </c>
      <c r="O696" s="289"/>
      <c r="P696" s="292">
        <f t="shared" si="2"/>
        <v>0</v>
      </c>
      <c r="Q696" s="289"/>
      <c r="R696" s="289"/>
      <c r="S696" s="293">
        <f t="shared" si="62"/>
        <v>0</v>
      </c>
      <c r="T696" s="294"/>
      <c r="U696" s="295">
        <f t="shared" si="68"/>
        <v>0</v>
      </c>
      <c r="V696" s="296"/>
      <c r="W696" s="297"/>
      <c r="X696" s="298"/>
      <c r="Y696" s="292" t="str">
        <f t="shared" si="69"/>
        <v/>
      </c>
      <c r="Z696" s="366">
        <f t="shared" si="70"/>
        <v>0</v>
      </c>
      <c r="AA696" s="299" t="str">
        <f t="shared" si="71"/>
        <v/>
      </c>
      <c r="AB696" s="300"/>
      <c r="AC696" s="301"/>
      <c r="AD696" s="302"/>
      <c r="AE696" s="303"/>
      <c r="AF696" s="304"/>
      <c r="AG696" s="304"/>
      <c r="AH696" s="304"/>
      <c r="AI696" s="304"/>
      <c r="AJ696" s="304"/>
      <c r="AK696" s="305"/>
      <c r="AL696" s="283"/>
      <c r="AM696" s="284"/>
    </row>
    <row r="697" ht="15.75" customHeight="1">
      <c r="A697" s="282">
        <f t="shared" si="1"/>
        <v>693</v>
      </c>
      <c r="B697" s="283"/>
      <c r="C697" s="284"/>
      <c r="D697" s="338"/>
      <c r="E697" s="286"/>
      <c r="F697" s="287"/>
      <c r="G697" s="288" t="str">
        <f>+IFERROR(VLOOKUP(F697,NVL!$B:$C,2,0),"")</f>
        <v/>
      </c>
      <c r="H697" s="288" t="str">
        <f>+IFERROR(VLOOKUP(F697,NVL!$B:$D,3,0),"")</f>
        <v/>
      </c>
      <c r="I697" s="288" t="str">
        <f>+IFERROR(VLOOKUP(F697,NVL!$B:$F,4,0),"")</f>
        <v/>
      </c>
      <c r="J697" s="289"/>
      <c r="K697" s="290"/>
      <c r="L697" s="291" t="str">
        <f>+IFERROR(VLOOKUP(K697,'THÀNH PHẨM'!$B:$F,3,0),"")</f>
        <v/>
      </c>
      <c r="M697" s="291" t="str">
        <f>+IFERROR(VLOOKUP(K697,'THÀNH PHẨM'!$B:$F,4,0),"")</f>
        <v/>
      </c>
      <c r="N697" s="291" t="str">
        <f>+IFERROR(VLOOKUP(K697,'THÀNH PHẨM'!$B:$F,5,0),"")</f>
        <v/>
      </c>
      <c r="O697" s="289"/>
      <c r="P697" s="292">
        <f t="shared" si="2"/>
        <v>0</v>
      </c>
      <c r="Q697" s="289"/>
      <c r="R697" s="289"/>
      <c r="S697" s="293">
        <f t="shared" si="62"/>
        <v>0</v>
      </c>
      <c r="T697" s="294"/>
      <c r="U697" s="295">
        <f t="shared" si="68"/>
        <v>0</v>
      </c>
      <c r="V697" s="296"/>
      <c r="W697" s="297"/>
      <c r="X697" s="298"/>
      <c r="Y697" s="292" t="str">
        <f t="shared" si="69"/>
        <v/>
      </c>
      <c r="Z697" s="366">
        <f t="shared" si="70"/>
        <v>0</v>
      </c>
      <c r="AA697" s="299" t="str">
        <f t="shared" si="71"/>
        <v/>
      </c>
      <c r="AB697" s="300"/>
      <c r="AC697" s="301"/>
      <c r="AD697" s="302"/>
      <c r="AE697" s="303"/>
      <c r="AF697" s="304"/>
      <c r="AG697" s="304"/>
      <c r="AH697" s="304"/>
      <c r="AI697" s="304"/>
      <c r="AJ697" s="304"/>
      <c r="AK697" s="305"/>
      <c r="AL697" s="283"/>
      <c r="AM697" s="284"/>
    </row>
    <row r="698" ht="15.75" customHeight="1">
      <c r="A698" s="282">
        <f t="shared" si="1"/>
        <v>694</v>
      </c>
      <c r="B698" s="283"/>
      <c r="C698" s="284"/>
      <c r="D698" s="338"/>
      <c r="E698" s="286"/>
      <c r="F698" s="287"/>
      <c r="G698" s="288" t="str">
        <f>+IFERROR(VLOOKUP(F698,NVL!$B:$C,2,0),"")</f>
        <v/>
      </c>
      <c r="H698" s="288" t="str">
        <f>+IFERROR(VLOOKUP(F698,NVL!$B:$D,3,0),"")</f>
        <v/>
      </c>
      <c r="I698" s="288" t="str">
        <f>+IFERROR(VLOOKUP(F698,NVL!$B:$F,4,0),"")</f>
        <v/>
      </c>
      <c r="J698" s="289"/>
      <c r="K698" s="290"/>
      <c r="L698" s="291" t="str">
        <f>+IFERROR(VLOOKUP(K698,'THÀNH PHẨM'!$B:$F,3,0),"")</f>
        <v/>
      </c>
      <c r="M698" s="291" t="str">
        <f>+IFERROR(VLOOKUP(K698,'THÀNH PHẨM'!$B:$F,4,0),"")</f>
        <v/>
      </c>
      <c r="N698" s="291" t="str">
        <f>+IFERROR(VLOOKUP(K698,'THÀNH PHẨM'!$B:$F,5,0),"")</f>
        <v/>
      </c>
      <c r="O698" s="289"/>
      <c r="P698" s="292">
        <f t="shared" si="2"/>
        <v>0</v>
      </c>
      <c r="Q698" s="289"/>
      <c r="R698" s="289"/>
      <c r="S698" s="293">
        <f t="shared" si="62"/>
        <v>0</v>
      </c>
      <c r="T698" s="294"/>
      <c r="U698" s="295">
        <f t="shared" si="68"/>
        <v>0</v>
      </c>
      <c r="V698" s="296"/>
      <c r="W698" s="297"/>
      <c r="X698" s="298"/>
      <c r="Y698" s="292" t="str">
        <f t="shared" si="69"/>
        <v/>
      </c>
      <c r="Z698" s="366">
        <f t="shared" si="70"/>
        <v>0</v>
      </c>
      <c r="AA698" s="299" t="str">
        <f t="shared" si="71"/>
        <v/>
      </c>
      <c r="AB698" s="300"/>
      <c r="AC698" s="301"/>
      <c r="AD698" s="302"/>
      <c r="AE698" s="303"/>
      <c r="AF698" s="304"/>
      <c r="AG698" s="304"/>
      <c r="AH698" s="304"/>
      <c r="AI698" s="304"/>
      <c r="AJ698" s="304"/>
      <c r="AK698" s="305"/>
      <c r="AL698" s="283"/>
      <c r="AM698" s="284"/>
    </row>
    <row r="699" ht="15.75" customHeight="1">
      <c r="A699" s="282">
        <f t="shared" si="1"/>
        <v>695</v>
      </c>
      <c r="B699" s="283"/>
      <c r="C699" s="284"/>
      <c r="D699" s="338"/>
      <c r="E699" s="286"/>
      <c r="F699" s="287"/>
      <c r="G699" s="288" t="str">
        <f>+IFERROR(VLOOKUP(F699,NVL!$B:$C,2,0),"")</f>
        <v/>
      </c>
      <c r="H699" s="288" t="str">
        <f>+IFERROR(VLOOKUP(F699,NVL!$B:$D,3,0),"")</f>
        <v/>
      </c>
      <c r="I699" s="288" t="str">
        <f>+IFERROR(VLOOKUP(F699,NVL!$B:$F,4,0),"")</f>
        <v/>
      </c>
      <c r="J699" s="289"/>
      <c r="K699" s="290"/>
      <c r="L699" s="291" t="str">
        <f>+IFERROR(VLOOKUP(K699,'THÀNH PHẨM'!$B:$F,3,0),"")</f>
        <v/>
      </c>
      <c r="M699" s="291" t="str">
        <f>+IFERROR(VLOOKUP(K699,'THÀNH PHẨM'!$B:$F,4,0),"")</f>
        <v/>
      </c>
      <c r="N699" s="291" t="str">
        <f>+IFERROR(VLOOKUP(K699,'THÀNH PHẨM'!$B:$F,5,0),"")</f>
        <v/>
      </c>
      <c r="O699" s="289"/>
      <c r="P699" s="292">
        <f t="shared" si="2"/>
        <v>0</v>
      </c>
      <c r="Q699" s="289"/>
      <c r="R699" s="289"/>
      <c r="S699" s="293">
        <f t="shared" si="62"/>
        <v>0</v>
      </c>
      <c r="T699" s="294"/>
      <c r="U699" s="295">
        <f t="shared" si="68"/>
        <v>0</v>
      </c>
      <c r="V699" s="296"/>
      <c r="W699" s="297"/>
      <c r="X699" s="298"/>
      <c r="Y699" s="292" t="str">
        <f t="shared" si="69"/>
        <v/>
      </c>
      <c r="Z699" s="366">
        <f t="shared" si="70"/>
        <v>0</v>
      </c>
      <c r="AA699" s="299" t="str">
        <f t="shared" si="71"/>
        <v/>
      </c>
      <c r="AB699" s="300"/>
      <c r="AC699" s="301"/>
      <c r="AD699" s="302"/>
      <c r="AE699" s="303"/>
      <c r="AF699" s="304"/>
      <c r="AG699" s="304"/>
      <c r="AH699" s="304"/>
      <c r="AI699" s="304"/>
      <c r="AJ699" s="304"/>
      <c r="AK699" s="305"/>
      <c r="AL699" s="283"/>
      <c r="AM699" s="284"/>
    </row>
    <row r="700" ht="15.75" customHeight="1">
      <c r="A700" s="282">
        <f t="shared" si="1"/>
        <v>696</v>
      </c>
      <c r="B700" s="283"/>
      <c r="C700" s="284"/>
      <c r="D700" s="338"/>
      <c r="E700" s="286"/>
      <c r="F700" s="287"/>
      <c r="G700" s="288" t="str">
        <f>+IFERROR(VLOOKUP(F700,NVL!$B:$C,2,0),"")</f>
        <v/>
      </c>
      <c r="H700" s="288" t="str">
        <f>+IFERROR(VLOOKUP(F700,NVL!$B:$D,3,0),"")</f>
        <v/>
      </c>
      <c r="I700" s="288" t="str">
        <f>+IFERROR(VLOOKUP(F700,NVL!$B:$F,4,0),"")</f>
        <v/>
      </c>
      <c r="J700" s="289"/>
      <c r="K700" s="290"/>
      <c r="L700" s="291" t="str">
        <f>+IFERROR(VLOOKUP(K700,'THÀNH PHẨM'!$B:$F,3,0),"")</f>
        <v/>
      </c>
      <c r="M700" s="291" t="str">
        <f>+IFERROR(VLOOKUP(K700,'THÀNH PHẨM'!$B:$F,4,0),"")</f>
        <v/>
      </c>
      <c r="N700" s="291" t="str">
        <f>+IFERROR(VLOOKUP(K700,'THÀNH PHẨM'!$B:$F,5,0),"")</f>
        <v/>
      </c>
      <c r="O700" s="289"/>
      <c r="P700" s="292">
        <f t="shared" si="2"/>
        <v>0</v>
      </c>
      <c r="Q700" s="289"/>
      <c r="R700" s="289"/>
      <c r="S700" s="293">
        <f t="shared" si="62"/>
        <v>0</v>
      </c>
      <c r="T700" s="294"/>
      <c r="U700" s="295">
        <f t="shared" si="68"/>
        <v>0</v>
      </c>
      <c r="V700" s="296"/>
      <c r="W700" s="297"/>
      <c r="X700" s="298"/>
      <c r="Y700" s="292" t="str">
        <f t="shared" si="69"/>
        <v/>
      </c>
      <c r="Z700" s="366">
        <f t="shared" si="70"/>
        <v>0</v>
      </c>
      <c r="AA700" s="299" t="str">
        <f t="shared" si="71"/>
        <v/>
      </c>
      <c r="AB700" s="300"/>
      <c r="AC700" s="301"/>
      <c r="AD700" s="302"/>
      <c r="AE700" s="303"/>
      <c r="AF700" s="304"/>
      <c r="AG700" s="304"/>
      <c r="AH700" s="304"/>
      <c r="AI700" s="304"/>
      <c r="AJ700" s="304"/>
      <c r="AK700" s="305"/>
      <c r="AL700" s="283"/>
      <c r="AM700" s="284"/>
    </row>
    <row r="701" ht="15.75" customHeight="1">
      <c r="A701" s="282">
        <f t="shared" si="1"/>
        <v>697</v>
      </c>
      <c r="B701" s="283"/>
      <c r="C701" s="284"/>
      <c r="D701" s="338"/>
      <c r="E701" s="286"/>
      <c r="F701" s="287"/>
      <c r="G701" s="288" t="str">
        <f>+IFERROR(VLOOKUP(F701,NVL!$B:$C,2,0),"")</f>
        <v/>
      </c>
      <c r="H701" s="288" t="str">
        <f>+IFERROR(VLOOKUP(F701,NVL!$B:$D,3,0),"")</f>
        <v/>
      </c>
      <c r="I701" s="288" t="str">
        <f>+IFERROR(VLOOKUP(F701,NVL!$B:$F,4,0),"")</f>
        <v/>
      </c>
      <c r="J701" s="289"/>
      <c r="K701" s="290"/>
      <c r="L701" s="291" t="str">
        <f>+IFERROR(VLOOKUP(K701,'THÀNH PHẨM'!$B:$F,3,0),"")</f>
        <v/>
      </c>
      <c r="M701" s="291" t="str">
        <f>+IFERROR(VLOOKUP(K701,'THÀNH PHẨM'!$B:$F,4,0),"")</f>
        <v/>
      </c>
      <c r="N701" s="291" t="str">
        <f>+IFERROR(VLOOKUP(K701,'THÀNH PHẨM'!$B:$F,5,0),"")</f>
        <v/>
      </c>
      <c r="O701" s="289"/>
      <c r="P701" s="292">
        <f t="shared" si="2"/>
        <v>0</v>
      </c>
      <c r="Q701" s="289"/>
      <c r="R701" s="289"/>
      <c r="S701" s="293">
        <f t="shared" si="62"/>
        <v>0</v>
      </c>
      <c r="T701" s="294"/>
      <c r="U701" s="295">
        <f t="shared" si="68"/>
        <v>0</v>
      </c>
      <c r="V701" s="296"/>
      <c r="W701" s="297"/>
      <c r="X701" s="298"/>
      <c r="Y701" s="292" t="str">
        <f t="shared" si="69"/>
        <v/>
      </c>
      <c r="Z701" s="366">
        <f t="shared" si="70"/>
        <v>0</v>
      </c>
      <c r="AA701" s="299" t="str">
        <f t="shared" si="71"/>
        <v/>
      </c>
      <c r="AB701" s="300"/>
      <c r="AC701" s="301"/>
      <c r="AD701" s="302"/>
      <c r="AE701" s="303"/>
      <c r="AF701" s="304"/>
      <c r="AG701" s="304"/>
      <c r="AH701" s="304"/>
      <c r="AI701" s="304"/>
      <c r="AJ701" s="304"/>
      <c r="AK701" s="305"/>
      <c r="AL701" s="283"/>
      <c r="AM701" s="284"/>
    </row>
    <row r="702" ht="15.75" customHeight="1">
      <c r="A702" s="282">
        <f t="shared" si="1"/>
        <v>698</v>
      </c>
      <c r="B702" s="283"/>
      <c r="C702" s="284"/>
      <c r="D702" s="338"/>
      <c r="E702" s="286"/>
      <c r="F702" s="287"/>
      <c r="G702" s="288" t="str">
        <f>+IFERROR(VLOOKUP(F702,NVL!$B:$C,2,0),"")</f>
        <v/>
      </c>
      <c r="H702" s="288" t="str">
        <f>+IFERROR(VLOOKUP(F702,NVL!$B:$D,3,0),"")</f>
        <v/>
      </c>
      <c r="I702" s="288" t="str">
        <f>+IFERROR(VLOOKUP(F702,NVL!$B:$F,4,0),"")</f>
        <v/>
      </c>
      <c r="J702" s="289"/>
      <c r="K702" s="290"/>
      <c r="L702" s="291" t="str">
        <f>+IFERROR(VLOOKUP(K702,'THÀNH PHẨM'!$B:$F,3,0),"")</f>
        <v/>
      </c>
      <c r="M702" s="291" t="str">
        <f>+IFERROR(VLOOKUP(K702,'THÀNH PHẨM'!$B:$F,4,0),"")</f>
        <v/>
      </c>
      <c r="N702" s="291" t="str">
        <f>+IFERROR(VLOOKUP(K702,'THÀNH PHẨM'!$B:$F,5,0),"")</f>
        <v/>
      </c>
      <c r="O702" s="289"/>
      <c r="P702" s="292">
        <f t="shared" si="2"/>
        <v>0</v>
      </c>
      <c r="Q702" s="289"/>
      <c r="R702" s="289"/>
      <c r="S702" s="293">
        <f t="shared" si="62"/>
        <v>0</v>
      </c>
      <c r="T702" s="294"/>
      <c r="U702" s="295">
        <f t="shared" si="68"/>
        <v>0</v>
      </c>
      <c r="V702" s="296"/>
      <c r="W702" s="297"/>
      <c r="X702" s="298"/>
      <c r="Y702" s="292" t="str">
        <f t="shared" si="69"/>
        <v/>
      </c>
      <c r="Z702" s="366">
        <f t="shared" si="70"/>
        <v>0</v>
      </c>
      <c r="AA702" s="299" t="str">
        <f t="shared" si="71"/>
        <v/>
      </c>
      <c r="AB702" s="300"/>
      <c r="AC702" s="301"/>
      <c r="AD702" s="302"/>
      <c r="AE702" s="303"/>
      <c r="AF702" s="304"/>
      <c r="AG702" s="304"/>
      <c r="AH702" s="304"/>
      <c r="AI702" s="304"/>
      <c r="AJ702" s="304"/>
      <c r="AK702" s="305"/>
      <c r="AL702" s="283"/>
      <c r="AM702" s="284"/>
    </row>
    <row r="703" ht="15.75" customHeight="1">
      <c r="A703" s="282">
        <f t="shared" si="1"/>
        <v>699</v>
      </c>
      <c r="B703" s="283"/>
      <c r="C703" s="284"/>
      <c r="D703" s="338"/>
      <c r="E703" s="286"/>
      <c r="F703" s="287"/>
      <c r="G703" s="288" t="str">
        <f>+IFERROR(VLOOKUP(F703,NVL!$B:$C,2,0),"")</f>
        <v/>
      </c>
      <c r="H703" s="288" t="str">
        <f>+IFERROR(VLOOKUP(F703,NVL!$B:$D,3,0),"")</f>
        <v/>
      </c>
      <c r="I703" s="288" t="str">
        <f>+IFERROR(VLOOKUP(F703,NVL!$B:$F,4,0),"")</f>
        <v/>
      </c>
      <c r="J703" s="289"/>
      <c r="K703" s="290"/>
      <c r="L703" s="291" t="str">
        <f>+IFERROR(VLOOKUP(K703,'THÀNH PHẨM'!$B:$F,3,0),"")</f>
        <v/>
      </c>
      <c r="M703" s="291" t="str">
        <f>+IFERROR(VLOOKUP(K703,'THÀNH PHẨM'!$B:$F,4,0),"")</f>
        <v/>
      </c>
      <c r="N703" s="291" t="str">
        <f>+IFERROR(VLOOKUP(K703,'THÀNH PHẨM'!$B:$F,5,0),"")</f>
        <v/>
      </c>
      <c r="O703" s="289"/>
      <c r="P703" s="292">
        <f t="shared" si="2"/>
        <v>0</v>
      </c>
      <c r="Q703" s="289"/>
      <c r="R703" s="289"/>
      <c r="S703" s="293">
        <f t="shared" si="62"/>
        <v>0</v>
      </c>
      <c r="T703" s="294"/>
      <c r="U703" s="295">
        <f t="shared" si="68"/>
        <v>0</v>
      </c>
      <c r="V703" s="296"/>
      <c r="W703" s="297"/>
      <c r="X703" s="298"/>
      <c r="Y703" s="292" t="str">
        <f t="shared" si="69"/>
        <v/>
      </c>
      <c r="Z703" s="366">
        <f t="shared" si="70"/>
        <v>0</v>
      </c>
      <c r="AA703" s="299" t="str">
        <f t="shared" si="71"/>
        <v/>
      </c>
      <c r="AB703" s="300"/>
      <c r="AC703" s="301"/>
      <c r="AD703" s="302"/>
      <c r="AE703" s="303"/>
      <c r="AF703" s="304"/>
      <c r="AG703" s="304"/>
      <c r="AH703" s="304"/>
      <c r="AI703" s="304"/>
      <c r="AJ703" s="304"/>
      <c r="AK703" s="305"/>
      <c r="AL703" s="283"/>
      <c r="AM703" s="284"/>
    </row>
    <row r="704" ht="15.75" customHeight="1">
      <c r="A704" s="282">
        <f t="shared" si="1"/>
        <v>700</v>
      </c>
      <c r="B704" s="283"/>
      <c r="C704" s="284"/>
      <c r="D704" s="338"/>
      <c r="E704" s="286"/>
      <c r="F704" s="287"/>
      <c r="G704" s="288" t="str">
        <f>+IFERROR(VLOOKUP(F704,NVL!$B:$C,2,0),"")</f>
        <v/>
      </c>
      <c r="H704" s="288" t="str">
        <f>+IFERROR(VLOOKUP(F704,NVL!$B:$D,3,0),"")</f>
        <v/>
      </c>
      <c r="I704" s="288" t="str">
        <f>+IFERROR(VLOOKUP(F704,NVL!$B:$F,4,0),"")</f>
        <v/>
      </c>
      <c r="J704" s="289"/>
      <c r="K704" s="290"/>
      <c r="L704" s="291" t="str">
        <f>+IFERROR(VLOOKUP(K704,'THÀNH PHẨM'!$B:$F,3,0),"")</f>
        <v/>
      </c>
      <c r="M704" s="291" t="str">
        <f>+IFERROR(VLOOKUP(K704,'THÀNH PHẨM'!$B:$F,4,0),"")</f>
        <v/>
      </c>
      <c r="N704" s="291" t="str">
        <f>+IFERROR(VLOOKUP(K704,'THÀNH PHẨM'!$B:$F,5,0),"")</f>
        <v/>
      </c>
      <c r="O704" s="289"/>
      <c r="P704" s="292">
        <f t="shared" si="2"/>
        <v>0</v>
      </c>
      <c r="Q704" s="289"/>
      <c r="R704" s="289"/>
      <c r="S704" s="293">
        <f t="shared" si="62"/>
        <v>0</v>
      </c>
      <c r="T704" s="294"/>
      <c r="U704" s="295">
        <f t="shared" si="68"/>
        <v>0</v>
      </c>
      <c r="V704" s="296"/>
      <c r="W704" s="297"/>
      <c r="X704" s="298"/>
      <c r="Y704" s="292" t="str">
        <f t="shared" si="69"/>
        <v/>
      </c>
      <c r="Z704" s="366">
        <f t="shared" si="70"/>
        <v>0</v>
      </c>
      <c r="AA704" s="299" t="str">
        <f t="shared" si="71"/>
        <v/>
      </c>
      <c r="AB704" s="300"/>
      <c r="AC704" s="301"/>
      <c r="AD704" s="302"/>
      <c r="AE704" s="303"/>
      <c r="AF704" s="304"/>
      <c r="AG704" s="304"/>
      <c r="AH704" s="304"/>
      <c r="AI704" s="304"/>
      <c r="AJ704" s="304"/>
      <c r="AK704" s="305"/>
      <c r="AL704" s="283"/>
      <c r="AM704" s="284"/>
    </row>
    <row r="705" ht="15.75" customHeight="1">
      <c r="A705" s="282">
        <f t="shared" si="1"/>
        <v>701</v>
      </c>
      <c r="B705" s="283"/>
      <c r="C705" s="284"/>
      <c r="D705" s="338"/>
      <c r="E705" s="286"/>
      <c r="F705" s="287"/>
      <c r="G705" s="288" t="str">
        <f>+IFERROR(VLOOKUP(F705,NVL!$B:$C,2,0),"")</f>
        <v/>
      </c>
      <c r="H705" s="288" t="str">
        <f>+IFERROR(VLOOKUP(F705,NVL!$B:$D,3,0),"")</f>
        <v/>
      </c>
      <c r="I705" s="288" t="str">
        <f>+IFERROR(VLOOKUP(F705,NVL!$B:$F,4,0),"")</f>
        <v/>
      </c>
      <c r="J705" s="289"/>
      <c r="K705" s="290"/>
      <c r="L705" s="291" t="str">
        <f>+IFERROR(VLOOKUP(K705,'THÀNH PHẨM'!$B:$F,3,0),"")</f>
        <v/>
      </c>
      <c r="M705" s="291" t="str">
        <f>+IFERROR(VLOOKUP(K705,'THÀNH PHẨM'!$B:$F,4,0),"")</f>
        <v/>
      </c>
      <c r="N705" s="291" t="str">
        <f>+IFERROR(VLOOKUP(K705,'THÀNH PHẨM'!$B:$F,5,0),"")</f>
        <v/>
      </c>
      <c r="O705" s="289"/>
      <c r="P705" s="292">
        <f t="shared" si="2"/>
        <v>0</v>
      </c>
      <c r="Q705" s="289"/>
      <c r="R705" s="289"/>
      <c r="S705" s="293">
        <f t="shared" si="62"/>
        <v>0</v>
      </c>
      <c r="T705" s="294"/>
      <c r="U705" s="295">
        <f t="shared" si="68"/>
        <v>0</v>
      </c>
      <c r="V705" s="296"/>
      <c r="W705" s="297"/>
      <c r="X705" s="298"/>
      <c r="Y705" s="292" t="str">
        <f t="shared" si="69"/>
        <v/>
      </c>
      <c r="Z705" s="366">
        <f t="shared" si="70"/>
        <v>0</v>
      </c>
      <c r="AA705" s="299" t="str">
        <f t="shared" si="71"/>
        <v/>
      </c>
      <c r="AB705" s="300"/>
      <c r="AC705" s="301"/>
      <c r="AD705" s="302"/>
      <c r="AE705" s="303"/>
      <c r="AF705" s="304"/>
      <c r="AG705" s="304"/>
      <c r="AH705" s="304"/>
      <c r="AI705" s="304"/>
      <c r="AJ705" s="304"/>
      <c r="AK705" s="305"/>
      <c r="AL705" s="283"/>
      <c r="AM705" s="284"/>
    </row>
    <row r="706" ht="15.75" customHeight="1">
      <c r="A706" s="282">
        <f t="shared" si="1"/>
        <v>702</v>
      </c>
      <c r="B706" s="283"/>
      <c r="C706" s="284"/>
      <c r="D706" s="338"/>
      <c r="E706" s="286"/>
      <c r="F706" s="287"/>
      <c r="G706" s="288" t="str">
        <f>+IFERROR(VLOOKUP(F706,NVL!$B:$C,2,0),"")</f>
        <v/>
      </c>
      <c r="H706" s="288" t="str">
        <f>+IFERROR(VLOOKUP(F706,NVL!$B:$D,3,0),"")</f>
        <v/>
      </c>
      <c r="I706" s="288" t="str">
        <f>+IFERROR(VLOOKUP(F706,NVL!$B:$F,4,0),"")</f>
        <v/>
      </c>
      <c r="J706" s="289"/>
      <c r="K706" s="290"/>
      <c r="L706" s="291" t="str">
        <f>+IFERROR(VLOOKUP(K706,'THÀNH PHẨM'!$B:$F,3,0),"")</f>
        <v/>
      </c>
      <c r="M706" s="291" t="str">
        <f>+IFERROR(VLOOKUP(K706,'THÀNH PHẨM'!$B:$F,4,0),"")</f>
        <v/>
      </c>
      <c r="N706" s="291" t="str">
        <f>+IFERROR(VLOOKUP(K706,'THÀNH PHẨM'!$B:$F,5,0),"")</f>
        <v/>
      </c>
      <c r="O706" s="289"/>
      <c r="P706" s="292">
        <f t="shared" si="2"/>
        <v>0</v>
      </c>
      <c r="Q706" s="289"/>
      <c r="R706" s="289"/>
      <c r="S706" s="293">
        <f t="shared" si="62"/>
        <v>0</v>
      </c>
      <c r="T706" s="294"/>
      <c r="U706" s="295">
        <f t="shared" si="68"/>
        <v>0</v>
      </c>
      <c r="V706" s="296"/>
      <c r="W706" s="297"/>
      <c r="X706" s="298"/>
      <c r="Y706" s="292" t="str">
        <f t="shared" si="69"/>
        <v/>
      </c>
      <c r="Z706" s="366">
        <f t="shared" si="70"/>
        <v>0</v>
      </c>
      <c r="AA706" s="299" t="str">
        <f t="shared" si="71"/>
        <v/>
      </c>
      <c r="AB706" s="300"/>
      <c r="AC706" s="301"/>
      <c r="AD706" s="302"/>
      <c r="AE706" s="303"/>
      <c r="AF706" s="304"/>
      <c r="AG706" s="304"/>
      <c r="AH706" s="304"/>
      <c r="AI706" s="304"/>
      <c r="AJ706" s="304"/>
      <c r="AK706" s="305"/>
      <c r="AL706" s="283"/>
      <c r="AM706" s="284"/>
    </row>
    <row r="707" ht="15.75" customHeight="1">
      <c r="A707" s="282">
        <f t="shared" si="1"/>
        <v>703</v>
      </c>
      <c r="B707" s="283"/>
      <c r="C707" s="284"/>
      <c r="D707" s="338"/>
      <c r="E707" s="286"/>
      <c r="F707" s="287"/>
      <c r="G707" s="288" t="str">
        <f>+IFERROR(VLOOKUP(F707,NVL!$B:$C,2,0),"")</f>
        <v/>
      </c>
      <c r="H707" s="288" t="str">
        <f>+IFERROR(VLOOKUP(F707,NVL!$B:$D,3,0),"")</f>
        <v/>
      </c>
      <c r="I707" s="288" t="str">
        <f>+IFERROR(VLOOKUP(F707,NVL!$B:$F,4,0),"")</f>
        <v/>
      </c>
      <c r="J707" s="289"/>
      <c r="K707" s="290"/>
      <c r="L707" s="291" t="str">
        <f>+IFERROR(VLOOKUP(K707,'THÀNH PHẨM'!$B:$F,3,0),"")</f>
        <v/>
      </c>
      <c r="M707" s="291" t="str">
        <f>+IFERROR(VLOOKUP(K707,'THÀNH PHẨM'!$B:$F,4,0),"")</f>
        <v/>
      </c>
      <c r="N707" s="291" t="str">
        <f>+IFERROR(VLOOKUP(K707,'THÀNH PHẨM'!$B:$F,5,0),"")</f>
        <v/>
      </c>
      <c r="O707" s="289"/>
      <c r="P707" s="292">
        <f t="shared" si="2"/>
        <v>0</v>
      </c>
      <c r="Q707" s="289"/>
      <c r="R707" s="289"/>
      <c r="S707" s="293">
        <f t="shared" si="62"/>
        <v>0</v>
      </c>
      <c r="T707" s="294"/>
      <c r="U707" s="295">
        <f t="shared" si="68"/>
        <v>0</v>
      </c>
      <c r="V707" s="296"/>
      <c r="W707" s="297"/>
      <c r="X707" s="298"/>
      <c r="Y707" s="292" t="str">
        <f t="shared" si="69"/>
        <v/>
      </c>
      <c r="Z707" s="366">
        <f t="shared" si="70"/>
        <v>0</v>
      </c>
      <c r="AA707" s="299" t="str">
        <f t="shared" si="71"/>
        <v/>
      </c>
      <c r="AB707" s="300"/>
      <c r="AC707" s="301"/>
      <c r="AD707" s="302"/>
      <c r="AE707" s="303"/>
      <c r="AF707" s="304"/>
      <c r="AG707" s="304"/>
      <c r="AH707" s="304"/>
      <c r="AI707" s="304"/>
      <c r="AJ707" s="304"/>
      <c r="AK707" s="305"/>
      <c r="AL707" s="283"/>
      <c r="AM707" s="284"/>
    </row>
    <row r="708" ht="15.75" customHeight="1">
      <c r="A708" s="282">
        <f t="shared" si="1"/>
        <v>704</v>
      </c>
      <c r="B708" s="283"/>
      <c r="C708" s="284"/>
      <c r="D708" s="338"/>
      <c r="E708" s="286"/>
      <c r="F708" s="287"/>
      <c r="G708" s="288" t="str">
        <f>+IFERROR(VLOOKUP(F708,NVL!$B:$C,2,0),"")</f>
        <v/>
      </c>
      <c r="H708" s="288" t="str">
        <f>+IFERROR(VLOOKUP(F708,NVL!$B:$D,3,0),"")</f>
        <v/>
      </c>
      <c r="I708" s="288" t="str">
        <f>+IFERROR(VLOOKUP(F708,NVL!$B:$F,4,0),"")</f>
        <v/>
      </c>
      <c r="J708" s="289"/>
      <c r="K708" s="290"/>
      <c r="L708" s="291" t="str">
        <f>+IFERROR(VLOOKUP(K708,'THÀNH PHẨM'!$B:$F,3,0),"")</f>
        <v/>
      </c>
      <c r="M708" s="291" t="str">
        <f>+IFERROR(VLOOKUP(K708,'THÀNH PHẨM'!$B:$F,4,0),"")</f>
        <v/>
      </c>
      <c r="N708" s="291" t="str">
        <f>+IFERROR(VLOOKUP(K708,'THÀNH PHẨM'!$B:$F,5,0),"")</f>
        <v/>
      </c>
      <c r="O708" s="289"/>
      <c r="P708" s="292">
        <f t="shared" si="2"/>
        <v>0</v>
      </c>
      <c r="Q708" s="289"/>
      <c r="R708" s="289"/>
      <c r="S708" s="293">
        <f t="shared" si="62"/>
        <v>0</v>
      </c>
      <c r="T708" s="294"/>
      <c r="U708" s="295">
        <f t="shared" si="68"/>
        <v>0</v>
      </c>
      <c r="V708" s="296"/>
      <c r="W708" s="297"/>
      <c r="X708" s="298"/>
      <c r="Y708" s="292" t="str">
        <f t="shared" si="69"/>
        <v/>
      </c>
      <c r="Z708" s="366">
        <f t="shared" si="70"/>
        <v>0</v>
      </c>
      <c r="AA708" s="299" t="str">
        <f t="shared" si="71"/>
        <v/>
      </c>
      <c r="AB708" s="300"/>
      <c r="AC708" s="301"/>
      <c r="AD708" s="302"/>
      <c r="AE708" s="303"/>
      <c r="AF708" s="304"/>
      <c r="AG708" s="304"/>
      <c r="AH708" s="304"/>
      <c r="AI708" s="304"/>
      <c r="AJ708" s="304"/>
      <c r="AK708" s="305"/>
      <c r="AL708" s="283"/>
      <c r="AM708" s="284"/>
    </row>
    <row r="709" ht="15.75" customHeight="1">
      <c r="A709" s="282">
        <f t="shared" si="1"/>
        <v>705</v>
      </c>
      <c r="B709" s="283"/>
      <c r="C709" s="284"/>
      <c r="D709" s="338"/>
      <c r="E709" s="286"/>
      <c r="F709" s="287"/>
      <c r="G709" s="288" t="str">
        <f>+IFERROR(VLOOKUP(F709,NVL!$B:$C,2,0),"")</f>
        <v/>
      </c>
      <c r="H709" s="288" t="str">
        <f>+IFERROR(VLOOKUP(F709,NVL!$B:$D,3,0),"")</f>
        <v/>
      </c>
      <c r="I709" s="288" t="str">
        <f>+IFERROR(VLOOKUP(F709,NVL!$B:$F,4,0),"")</f>
        <v/>
      </c>
      <c r="J709" s="289"/>
      <c r="K709" s="290"/>
      <c r="L709" s="291" t="str">
        <f>+IFERROR(VLOOKUP(K709,'THÀNH PHẨM'!$B:$F,3,0),"")</f>
        <v/>
      </c>
      <c r="M709" s="291" t="str">
        <f>+IFERROR(VLOOKUP(K709,'THÀNH PHẨM'!$B:$F,4,0),"")</f>
        <v/>
      </c>
      <c r="N709" s="291" t="str">
        <f>+IFERROR(VLOOKUP(K709,'THÀNH PHẨM'!$B:$F,5,0),"")</f>
        <v/>
      </c>
      <c r="O709" s="289"/>
      <c r="P709" s="292">
        <f t="shared" si="2"/>
        <v>0</v>
      </c>
      <c r="Q709" s="289"/>
      <c r="R709" s="289"/>
      <c r="S709" s="293">
        <f t="shared" si="62"/>
        <v>0</v>
      </c>
      <c r="T709" s="294"/>
      <c r="U709" s="295">
        <f t="shared" si="68"/>
        <v>0</v>
      </c>
      <c r="V709" s="296"/>
      <c r="W709" s="297"/>
      <c r="X709" s="298"/>
      <c r="Y709" s="292" t="str">
        <f t="shared" si="69"/>
        <v/>
      </c>
      <c r="Z709" s="366">
        <f t="shared" si="70"/>
        <v>0</v>
      </c>
      <c r="AA709" s="299" t="str">
        <f t="shared" si="71"/>
        <v/>
      </c>
      <c r="AB709" s="300"/>
      <c r="AC709" s="301"/>
      <c r="AD709" s="302"/>
      <c r="AE709" s="303"/>
      <c r="AF709" s="304"/>
      <c r="AG709" s="304"/>
      <c r="AH709" s="304"/>
      <c r="AI709" s="304"/>
      <c r="AJ709" s="304"/>
      <c r="AK709" s="305"/>
      <c r="AL709" s="283"/>
      <c r="AM709" s="284"/>
    </row>
    <row r="710" ht="15.75" customHeight="1">
      <c r="A710" s="282">
        <f t="shared" si="1"/>
        <v>706</v>
      </c>
      <c r="B710" s="283"/>
      <c r="C710" s="284"/>
      <c r="D710" s="338"/>
      <c r="E710" s="286"/>
      <c r="F710" s="287"/>
      <c r="G710" s="288" t="str">
        <f>+IFERROR(VLOOKUP(F710,NVL!$B:$C,2,0),"")</f>
        <v/>
      </c>
      <c r="H710" s="288" t="str">
        <f>+IFERROR(VLOOKUP(F710,NVL!$B:$D,3,0),"")</f>
        <v/>
      </c>
      <c r="I710" s="288" t="str">
        <f>+IFERROR(VLOOKUP(F710,NVL!$B:$F,4,0),"")</f>
        <v/>
      </c>
      <c r="J710" s="289"/>
      <c r="K710" s="290"/>
      <c r="L710" s="291" t="str">
        <f>+IFERROR(VLOOKUP(K710,'THÀNH PHẨM'!$B:$F,3,0),"")</f>
        <v/>
      </c>
      <c r="M710" s="291" t="str">
        <f>+IFERROR(VLOOKUP(K710,'THÀNH PHẨM'!$B:$F,4,0),"")</f>
        <v/>
      </c>
      <c r="N710" s="291" t="str">
        <f>+IFERROR(VLOOKUP(K710,'THÀNH PHẨM'!$B:$F,5,0),"")</f>
        <v/>
      </c>
      <c r="O710" s="289"/>
      <c r="P710" s="292">
        <f t="shared" si="2"/>
        <v>0</v>
      </c>
      <c r="Q710" s="289"/>
      <c r="R710" s="289"/>
      <c r="S710" s="293">
        <f t="shared" si="62"/>
        <v>0</v>
      </c>
      <c r="T710" s="294"/>
      <c r="U710" s="295">
        <f t="shared" si="68"/>
        <v>0</v>
      </c>
      <c r="V710" s="296"/>
      <c r="W710" s="297"/>
      <c r="X710" s="298"/>
      <c r="Y710" s="292" t="str">
        <f t="shared" si="69"/>
        <v/>
      </c>
      <c r="Z710" s="366">
        <f t="shared" si="70"/>
        <v>0</v>
      </c>
      <c r="AA710" s="299" t="str">
        <f t="shared" si="71"/>
        <v/>
      </c>
      <c r="AB710" s="300"/>
      <c r="AC710" s="301"/>
      <c r="AD710" s="302"/>
      <c r="AE710" s="303"/>
      <c r="AF710" s="304"/>
      <c r="AG710" s="304"/>
      <c r="AH710" s="304"/>
      <c r="AI710" s="304"/>
      <c r="AJ710" s="304"/>
      <c r="AK710" s="305"/>
      <c r="AL710" s="283"/>
      <c r="AM710" s="284"/>
    </row>
    <row r="711" ht="15.75" customHeight="1">
      <c r="A711" s="282">
        <f t="shared" si="1"/>
        <v>707</v>
      </c>
      <c r="B711" s="283"/>
      <c r="C711" s="284"/>
      <c r="D711" s="338"/>
      <c r="E711" s="286"/>
      <c r="F711" s="287"/>
      <c r="G711" s="288" t="str">
        <f>+IFERROR(VLOOKUP(F711,NVL!$B:$C,2,0),"")</f>
        <v/>
      </c>
      <c r="H711" s="288" t="str">
        <f>+IFERROR(VLOOKUP(F711,NVL!$B:$D,3,0),"")</f>
        <v/>
      </c>
      <c r="I711" s="288" t="str">
        <f>+IFERROR(VLOOKUP(F711,NVL!$B:$F,4,0),"")</f>
        <v/>
      </c>
      <c r="J711" s="289"/>
      <c r="K711" s="290"/>
      <c r="L711" s="291" t="str">
        <f>+IFERROR(VLOOKUP(K711,'THÀNH PHẨM'!$B:$F,3,0),"")</f>
        <v/>
      </c>
      <c r="M711" s="291" t="str">
        <f>+IFERROR(VLOOKUP(K711,'THÀNH PHẨM'!$B:$F,4,0),"")</f>
        <v/>
      </c>
      <c r="N711" s="291" t="str">
        <f>+IFERROR(VLOOKUP(K711,'THÀNH PHẨM'!$B:$F,5,0),"")</f>
        <v/>
      </c>
      <c r="O711" s="289"/>
      <c r="P711" s="292">
        <f t="shared" si="2"/>
        <v>0</v>
      </c>
      <c r="Q711" s="289"/>
      <c r="R711" s="289"/>
      <c r="S711" s="293">
        <f t="shared" si="62"/>
        <v>0</v>
      </c>
      <c r="T711" s="294"/>
      <c r="U711" s="295">
        <f t="shared" si="68"/>
        <v>0</v>
      </c>
      <c r="V711" s="296"/>
      <c r="W711" s="297"/>
      <c r="X711" s="298"/>
      <c r="Y711" s="292" t="str">
        <f t="shared" si="69"/>
        <v/>
      </c>
      <c r="Z711" s="366">
        <f t="shared" si="70"/>
        <v>0</v>
      </c>
      <c r="AA711" s="299" t="str">
        <f t="shared" si="71"/>
        <v/>
      </c>
      <c r="AB711" s="300"/>
      <c r="AC711" s="301"/>
      <c r="AD711" s="302"/>
      <c r="AE711" s="303"/>
      <c r="AF711" s="304"/>
      <c r="AG711" s="304"/>
      <c r="AH711" s="304"/>
      <c r="AI711" s="304"/>
      <c r="AJ711" s="304"/>
      <c r="AK711" s="305"/>
      <c r="AL711" s="283"/>
      <c r="AM711" s="284"/>
    </row>
    <row r="712" ht="15.75" customHeight="1">
      <c r="A712" s="282">
        <f t="shared" si="1"/>
        <v>708</v>
      </c>
      <c r="B712" s="283"/>
      <c r="C712" s="284"/>
      <c r="D712" s="338"/>
      <c r="E712" s="286"/>
      <c r="F712" s="287"/>
      <c r="G712" s="288" t="str">
        <f>+IFERROR(VLOOKUP(F712,NVL!$B:$C,2,0),"")</f>
        <v/>
      </c>
      <c r="H712" s="288" t="str">
        <f>+IFERROR(VLOOKUP(F712,NVL!$B:$D,3,0),"")</f>
        <v/>
      </c>
      <c r="I712" s="288" t="str">
        <f>+IFERROR(VLOOKUP(F712,NVL!$B:$F,4,0),"")</f>
        <v/>
      </c>
      <c r="J712" s="289"/>
      <c r="K712" s="290"/>
      <c r="L712" s="291" t="str">
        <f>+IFERROR(VLOOKUP(K712,'THÀNH PHẨM'!$B:$F,3,0),"")</f>
        <v/>
      </c>
      <c r="M712" s="291" t="str">
        <f>+IFERROR(VLOOKUP(K712,'THÀNH PHẨM'!$B:$F,4,0),"")</f>
        <v/>
      </c>
      <c r="N712" s="291" t="str">
        <f>+IFERROR(VLOOKUP(K712,'THÀNH PHẨM'!$B:$F,5,0),"")</f>
        <v/>
      </c>
      <c r="O712" s="289"/>
      <c r="P712" s="292">
        <f t="shared" si="2"/>
        <v>0</v>
      </c>
      <c r="Q712" s="289"/>
      <c r="R712" s="289"/>
      <c r="S712" s="293">
        <f t="shared" si="62"/>
        <v>0</v>
      </c>
      <c r="T712" s="294"/>
      <c r="U712" s="295">
        <f t="shared" si="68"/>
        <v>0</v>
      </c>
      <c r="V712" s="296"/>
      <c r="W712" s="297"/>
      <c r="X712" s="298"/>
      <c r="Y712" s="292" t="str">
        <f t="shared" si="69"/>
        <v/>
      </c>
      <c r="Z712" s="366">
        <f t="shared" si="70"/>
        <v>0</v>
      </c>
      <c r="AA712" s="299" t="str">
        <f t="shared" si="71"/>
        <v/>
      </c>
      <c r="AB712" s="300"/>
      <c r="AC712" s="301"/>
      <c r="AD712" s="302"/>
      <c r="AE712" s="303"/>
      <c r="AF712" s="304"/>
      <c r="AG712" s="304"/>
      <c r="AH712" s="304"/>
      <c r="AI712" s="304"/>
      <c r="AJ712" s="304"/>
      <c r="AK712" s="305"/>
      <c r="AL712" s="283"/>
      <c r="AM712" s="284"/>
    </row>
    <row r="713" ht="15.75" customHeight="1">
      <c r="A713" s="282">
        <f t="shared" si="1"/>
        <v>709</v>
      </c>
      <c r="B713" s="283"/>
      <c r="C713" s="284"/>
      <c r="D713" s="338"/>
      <c r="E713" s="286"/>
      <c r="F713" s="287"/>
      <c r="G713" s="288" t="str">
        <f>+IFERROR(VLOOKUP(F713,NVL!$B:$C,2,0),"")</f>
        <v/>
      </c>
      <c r="H713" s="288" t="str">
        <f>+IFERROR(VLOOKUP(F713,NVL!$B:$D,3,0),"")</f>
        <v/>
      </c>
      <c r="I713" s="288" t="str">
        <f>+IFERROR(VLOOKUP(F713,NVL!$B:$F,4,0),"")</f>
        <v/>
      </c>
      <c r="J713" s="289"/>
      <c r="K713" s="290"/>
      <c r="L713" s="291" t="str">
        <f>+IFERROR(VLOOKUP(K713,'THÀNH PHẨM'!$B:$F,3,0),"")</f>
        <v/>
      </c>
      <c r="M713" s="291" t="str">
        <f>+IFERROR(VLOOKUP(K713,'THÀNH PHẨM'!$B:$F,4,0),"")</f>
        <v/>
      </c>
      <c r="N713" s="291" t="str">
        <f>+IFERROR(VLOOKUP(K713,'THÀNH PHẨM'!$B:$F,5,0),"")</f>
        <v/>
      </c>
      <c r="O713" s="289"/>
      <c r="P713" s="292">
        <f t="shared" si="2"/>
        <v>0</v>
      </c>
      <c r="Q713" s="289"/>
      <c r="R713" s="289"/>
      <c r="S713" s="293">
        <f t="shared" si="62"/>
        <v>0</v>
      </c>
      <c r="T713" s="294"/>
      <c r="U713" s="295">
        <f t="shared" si="68"/>
        <v>0</v>
      </c>
      <c r="V713" s="296"/>
      <c r="W713" s="297"/>
      <c r="X713" s="298"/>
      <c r="Y713" s="292" t="str">
        <f t="shared" si="69"/>
        <v/>
      </c>
      <c r="Z713" s="366">
        <f t="shared" si="70"/>
        <v>0</v>
      </c>
      <c r="AA713" s="299" t="str">
        <f t="shared" si="71"/>
        <v/>
      </c>
      <c r="AB713" s="300"/>
      <c r="AC713" s="301"/>
      <c r="AD713" s="302"/>
      <c r="AE713" s="303"/>
      <c r="AF713" s="304"/>
      <c r="AG713" s="304"/>
      <c r="AH713" s="304"/>
      <c r="AI713" s="304"/>
      <c r="AJ713" s="304"/>
      <c r="AK713" s="305"/>
      <c r="AL713" s="283"/>
      <c r="AM713" s="284"/>
    </row>
    <row r="714" ht="15.75" customHeight="1">
      <c r="A714" s="282">
        <f t="shared" si="1"/>
        <v>710</v>
      </c>
      <c r="B714" s="283"/>
      <c r="C714" s="284"/>
      <c r="D714" s="338"/>
      <c r="E714" s="286"/>
      <c r="F714" s="287"/>
      <c r="G714" s="288" t="str">
        <f>+IFERROR(VLOOKUP(F714,NVL!$B:$C,2,0),"")</f>
        <v/>
      </c>
      <c r="H714" s="288" t="str">
        <f>+IFERROR(VLOOKUP(F714,NVL!$B:$D,3,0),"")</f>
        <v/>
      </c>
      <c r="I714" s="288" t="str">
        <f>+IFERROR(VLOOKUP(F714,NVL!$B:$F,4,0),"")</f>
        <v/>
      </c>
      <c r="J714" s="289"/>
      <c r="K714" s="290"/>
      <c r="L714" s="291" t="str">
        <f>+IFERROR(VLOOKUP(K714,'THÀNH PHẨM'!$B:$F,3,0),"")</f>
        <v/>
      </c>
      <c r="M714" s="291" t="str">
        <f>+IFERROR(VLOOKUP(K714,'THÀNH PHẨM'!$B:$F,4,0),"")</f>
        <v/>
      </c>
      <c r="N714" s="291" t="str">
        <f>+IFERROR(VLOOKUP(K714,'THÀNH PHẨM'!$B:$F,5,0),"")</f>
        <v/>
      </c>
      <c r="O714" s="289"/>
      <c r="P714" s="292">
        <f t="shared" si="2"/>
        <v>0</v>
      </c>
      <c r="Q714" s="289"/>
      <c r="R714" s="289"/>
      <c r="S714" s="293">
        <f t="shared" si="62"/>
        <v>0</v>
      </c>
      <c r="T714" s="294"/>
      <c r="U714" s="295">
        <f t="shared" si="68"/>
        <v>0</v>
      </c>
      <c r="V714" s="296"/>
      <c r="W714" s="297"/>
      <c r="X714" s="298"/>
      <c r="Y714" s="292" t="str">
        <f t="shared" si="69"/>
        <v/>
      </c>
      <c r="Z714" s="366">
        <f t="shared" si="70"/>
        <v>0</v>
      </c>
      <c r="AA714" s="299" t="str">
        <f t="shared" si="71"/>
        <v/>
      </c>
      <c r="AB714" s="300"/>
      <c r="AC714" s="301"/>
      <c r="AD714" s="302"/>
      <c r="AE714" s="303"/>
      <c r="AF714" s="304"/>
      <c r="AG714" s="304"/>
      <c r="AH714" s="304"/>
      <c r="AI714" s="304"/>
      <c r="AJ714" s="304"/>
      <c r="AK714" s="305"/>
      <c r="AL714" s="283"/>
      <c r="AM714" s="284"/>
    </row>
    <row r="715" ht="15.75" customHeight="1">
      <c r="A715" s="282">
        <f t="shared" si="1"/>
        <v>711</v>
      </c>
      <c r="B715" s="283"/>
      <c r="C715" s="284"/>
      <c r="D715" s="338"/>
      <c r="E715" s="286"/>
      <c r="F715" s="287"/>
      <c r="G715" s="288" t="str">
        <f>+IFERROR(VLOOKUP(F715,NVL!$B:$C,2,0),"")</f>
        <v/>
      </c>
      <c r="H715" s="288" t="str">
        <f>+IFERROR(VLOOKUP(F715,NVL!$B:$D,3,0),"")</f>
        <v/>
      </c>
      <c r="I715" s="288" t="str">
        <f>+IFERROR(VLOOKUP(F715,NVL!$B:$F,4,0),"")</f>
        <v/>
      </c>
      <c r="J715" s="289"/>
      <c r="K715" s="290"/>
      <c r="L715" s="291" t="str">
        <f>+IFERROR(VLOOKUP(K715,'THÀNH PHẨM'!$B:$F,3,0),"")</f>
        <v/>
      </c>
      <c r="M715" s="291" t="str">
        <f>+IFERROR(VLOOKUP(K715,'THÀNH PHẨM'!$B:$F,4,0),"")</f>
        <v/>
      </c>
      <c r="N715" s="291" t="str">
        <f>+IFERROR(VLOOKUP(K715,'THÀNH PHẨM'!$B:$F,5,0),"")</f>
        <v/>
      </c>
      <c r="O715" s="289"/>
      <c r="P715" s="292">
        <f t="shared" si="2"/>
        <v>0</v>
      </c>
      <c r="Q715" s="289"/>
      <c r="R715" s="289"/>
      <c r="S715" s="293">
        <f t="shared" si="62"/>
        <v>0</v>
      </c>
      <c r="T715" s="294"/>
      <c r="U715" s="295">
        <f t="shared" si="68"/>
        <v>0</v>
      </c>
      <c r="V715" s="296"/>
      <c r="W715" s="297"/>
      <c r="X715" s="298"/>
      <c r="Y715" s="292" t="str">
        <f t="shared" si="69"/>
        <v/>
      </c>
      <c r="Z715" s="366">
        <f t="shared" si="70"/>
        <v>0</v>
      </c>
      <c r="AA715" s="299" t="str">
        <f t="shared" si="71"/>
        <v/>
      </c>
      <c r="AB715" s="300"/>
      <c r="AC715" s="301"/>
      <c r="AD715" s="302"/>
      <c r="AE715" s="303"/>
      <c r="AF715" s="304"/>
      <c r="AG715" s="304"/>
      <c r="AH715" s="304"/>
      <c r="AI715" s="304"/>
      <c r="AJ715" s="304"/>
      <c r="AK715" s="305"/>
      <c r="AL715" s="283"/>
      <c r="AM715" s="284"/>
    </row>
    <row r="716" ht="15.75" customHeight="1">
      <c r="A716" s="282">
        <f t="shared" si="1"/>
        <v>712</v>
      </c>
      <c r="B716" s="283"/>
      <c r="C716" s="284"/>
      <c r="D716" s="338"/>
      <c r="E716" s="286"/>
      <c r="F716" s="287"/>
      <c r="G716" s="288" t="str">
        <f>+IFERROR(VLOOKUP(F716,NVL!$B:$C,2,0),"")</f>
        <v/>
      </c>
      <c r="H716" s="288" t="str">
        <f>+IFERROR(VLOOKUP(F716,NVL!$B:$D,3,0),"")</f>
        <v/>
      </c>
      <c r="I716" s="288" t="str">
        <f>+IFERROR(VLOOKUP(F716,NVL!$B:$F,4,0),"")</f>
        <v/>
      </c>
      <c r="J716" s="289"/>
      <c r="K716" s="290"/>
      <c r="L716" s="291" t="str">
        <f>+IFERROR(VLOOKUP(K716,'THÀNH PHẨM'!$B:$F,3,0),"")</f>
        <v/>
      </c>
      <c r="M716" s="291" t="str">
        <f>+IFERROR(VLOOKUP(K716,'THÀNH PHẨM'!$B:$F,4,0),"")</f>
        <v/>
      </c>
      <c r="N716" s="291" t="str">
        <f>+IFERROR(VLOOKUP(K716,'THÀNH PHẨM'!$B:$F,5,0),"")</f>
        <v/>
      </c>
      <c r="O716" s="289"/>
      <c r="P716" s="292">
        <f t="shared" si="2"/>
        <v>0</v>
      </c>
      <c r="Q716" s="289"/>
      <c r="R716" s="289"/>
      <c r="S716" s="293">
        <f t="shared" si="62"/>
        <v>0</v>
      </c>
      <c r="T716" s="294"/>
      <c r="U716" s="295">
        <f t="shared" si="68"/>
        <v>0</v>
      </c>
      <c r="V716" s="296"/>
      <c r="W716" s="297"/>
      <c r="X716" s="298"/>
      <c r="Y716" s="292" t="str">
        <f t="shared" si="69"/>
        <v/>
      </c>
      <c r="Z716" s="366">
        <f t="shared" si="70"/>
        <v>0</v>
      </c>
      <c r="AA716" s="299" t="str">
        <f t="shared" si="71"/>
        <v/>
      </c>
      <c r="AB716" s="300"/>
      <c r="AC716" s="301"/>
      <c r="AD716" s="302"/>
      <c r="AE716" s="303"/>
      <c r="AF716" s="304"/>
      <c r="AG716" s="304"/>
      <c r="AH716" s="304"/>
      <c r="AI716" s="304"/>
      <c r="AJ716" s="304"/>
      <c r="AK716" s="305"/>
      <c r="AL716" s="283"/>
      <c r="AM716" s="284"/>
    </row>
    <row r="717" ht="15.75" customHeight="1">
      <c r="A717" s="282">
        <f t="shared" si="1"/>
        <v>713</v>
      </c>
      <c r="B717" s="283"/>
      <c r="C717" s="284"/>
      <c r="D717" s="338"/>
      <c r="E717" s="286"/>
      <c r="F717" s="287"/>
      <c r="G717" s="288" t="str">
        <f>+IFERROR(VLOOKUP(F717,NVL!$B:$C,2,0),"")</f>
        <v/>
      </c>
      <c r="H717" s="288" t="str">
        <f>+IFERROR(VLOOKUP(F717,NVL!$B:$D,3,0),"")</f>
        <v/>
      </c>
      <c r="I717" s="288" t="str">
        <f>+IFERROR(VLOOKUP(F717,NVL!$B:$F,4,0),"")</f>
        <v/>
      </c>
      <c r="J717" s="289"/>
      <c r="K717" s="290"/>
      <c r="L717" s="291" t="str">
        <f>+IFERROR(VLOOKUP(K717,'THÀNH PHẨM'!$B:$F,3,0),"")</f>
        <v/>
      </c>
      <c r="M717" s="291" t="str">
        <f>+IFERROR(VLOOKUP(K717,'THÀNH PHẨM'!$B:$F,4,0),"")</f>
        <v/>
      </c>
      <c r="N717" s="291" t="str">
        <f>+IFERROR(VLOOKUP(K717,'THÀNH PHẨM'!$B:$F,5,0),"")</f>
        <v/>
      </c>
      <c r="O717" s="289"/>
      <c r="P717" s="292">
        <f t="shared" si="2"/>
        <v>0</v>
      </c>
      <c r="Q717" s="289"/>
      <c r="R717" s="289"/>
      <c r="S717" s="293">
        <f t="shared" si="62"/>
        <v>0</v>
      </c>
      <c r="T717" s="294"/>
      <c r="U717" s="295">
        <f t="shared" si="68"/>
        <v>0</v>
      </c>
      <c r="V717" s="296"/>
      <c r="W717" s="297"/>
      <c r="X717" s="298"/>
      <c r="Y717" s="292" t="str">
        <f t="shared" si="69"/>
        <v/>
      </c>
      <c r="Z717" s="366">
        <f t="shared" si="70"/>
        <v>0</v>
      </c>
      <c r="AA717" s="299" t="str">
        <f t="shared" si="71"/>
        <v/>
      </c>
      <c r="AB717" s="300"/>
      <c r="AC717" s="301"/>
      <c r="AD717" s="302"/>
      <c r="AE717" s="303"/>
      <c r="AF717" s="304"/>
      <c r="AG717" s="304"/>
      <c r="AH717" s="304"/>
      <c r="AI717" s="304"/>
      <c r="AJ717" s="304"/>
      <c r="AK717" s="305"/>
      <c r="AL717" s="283"/>
      <c r="AM717" s="284"/>
    </row>
    <row r="718" ht="15.75" customHeight="1">
      <c r="A718" s="282">
        <f t="shared" si="1"/>
        <v>714</v>
      </c>
      <c r="B718" s="283"/>
      <c r="C718" s="284"/>
      <c r="D718" s="338"/>
      <c r="E718" s="286"/>
      <c r="F718" s="287"/>
      <c r="G718" s="288" t="str">
        <f>+IFERROR(VLOOKUP(F718,NVL!$B:$C,2,0),"")</f>
        <v/>
      </c>
      <c r="H718" s="288" t="str">
        <f>+IFERROR(VLOOKUP(F718,NVL!$B:$D,3,0),"")</f>
        <v/>
      </c>
      <c r="I718" s="288" t="str">
        <f>+IFERROR(VLOOKUP(F718,NVL!$B:$F,4,0),"")</f>
        <v/>
      </c>
      <c r="J718" s="289"/>
      <c r="K718" s="290"/>
      <c r="L718" s="291" t="str">
        <f>+IFERROR(VLOOKUP(K718,'THÀNH PHẨM'!$B:$F,3,0),"")</f>
        <v/>
      </c>
      <c r="M718" s="291" t="str">
        <f>+IFERROR(VLOOKUP(K718,'THÀNH PHẨM'!$B:$F,4,0),"")</f>
        <v/>
      </c>
      <c r="N718" s="291" t="str">
        <f>+IFERROR(VLOOKUP(K718,'THÀNH PHẨM'!$B:$F,5,0),"")</f>
        <v/>
      </c>
      <c r="O718" s="289"/>
      <c r="P718" s="292">
        <f t="shared" si="2"/>
        <v>0</v>
      </c>
      <c r="Q718" s="289"/>
      <c r="R718" s="289"/>
      <c r="S718" s="293">
        <f t="shared" si="62"/>
        <v>0</v>
      </c>
      <c r="T718" s="294"/>
      <c r="U718" s="295">
        <f t="shared" si="68"/>
        <v>0</v>
      </c>
      <c r="V718" s="296"/>
      <c r="W718" s="297"/>
      <c r="X718" s="298"/>
      <c r="Y718" s="292" t="str">
        <f t="shared" si="69"/>
        <v/>
      </c>
      <c r="Z718" s="366">
        <f t="shared" si="70"/>
        <v>0</v>
      </c>
      <c r="AA718" s="299" t="str">
        <f t="shared" si="71"/>
        <v/>
      </c>
      <c r="AB718" s="300"/>
      <c r="AC718" s="301"/>
      <c r="AD718" s="302"/>
      <c r="AE718" s="303"/>
      <c r="AF718" s="304"/>
      <c r="AG718" s="304"/>
      <c r="AH718" s="304"/>
      <c r="AI718" s="304"/>
      <c r="AJ718" s="304"/>
      <c r="AK718" s="305"/>
      <c r="AL718" s="283"/>
      <c r="AM718" s="284"/>
    </row>
    <row r="719" ht="15.75" customHeight="1">
      <c r="A719" s="282">
        <f t="shared" si="1"/>
        <v>715</v>
      </c>
      <c r="B719" s="283"/>
      <c r="C719" s="284"/>
      <c r="D719" s="338"/>
      <c r="E719" s="286"/>
      <c r="F719" s="287"/>
      <c r="G719" s="288" t="str">
        <f>+IFERROR(VLOOKUP(F719,NVL!$B:$C,2,0),"")</f>
        <v/>
      </c>
      <c r="H719" s="288" t="str">
        <f>+IFERROR(VLOOKUP(F719,NVL!$B:$D,3,0),"")</f>
        <v/>
      </c>
      <c r="I719" s="288" t="str">
        <f>+IFERROR(VLOOKUP(F719,NVL!$B:$F,4,0),"")</f>
        <v/>
      </c>
      <c r="J719" s="289"/>
      <c r="K719" s="290"/>
      <c r="L719" s="291" t="str">
        <f>+IFERROR(VLOOKUP(K719,'THÀNH PHẨM'!$B:$F,3,0),"")</f>
        <v/>
      </c>
      <c r="M719" s="291" t="str">
        <f>+IFERROR(VLOOKUP(K719,'THÀNH PHẨM'!$B:$F,4,0),"")</f>
        <v/>
      </c>
      <c r="N719" s="291" t="str">
        <f>+IFERROR(VLOOKUP(K719,'THÀNH PHẨM'!$B:$F,5,0),"")</f>
        <v/>
      </c>
      <c r="O719" s="289"/>
      <c r="P719" s="292">
        <f t="shared" si="2"/>
        <v>0</v>
      </c>
      <c r="Q719" s="289"/>
      <c r="R719" s="289"/>
      <c r="S719" s="293">
        <f t="shared" si="62"/>
        <v>0</v>
      </c>
      <c r="T719" s="294"/>
      <c r="U719" s="295">
        <f t="shared" si="68"/>
        <v>0</v>
      </c>
      <c r="V719" s="296"/>
      <c r="W719" s="297"/>
      <c r="X719" s="298"/>
      <c r="Y719" s="292" t="str">
        <f t="shared" si="69"/>
        <v/>
      </c>
      <c r="Z719" s="366">
        <f t="shared" si="70"/>
        <v>0</v>
      </c>
      <c r="AA719" s="299" t="str">
        <f t="shared" si="71"/>
        <v/>
      </c>
      <c r="AB719" s="300"/>
      <c r="AC719" s="301"/>
      <c r="AD719" s="302"/>
      <c r="AE719" s="303"/>
      <c r="AF719" s="304"/>
      <c r="AG719" s="304"/>
      <c r="AH719" s="304"/>
      <c r="AI719" s="304"/>
      <c r="AJ719" s="304"/>
      <c r="AK719" s="305"/>
      <c r="AL719" s="283"/>
      <c r="AM719" s="284"/>
    </row>
    <row r="720" ht="15.75" customHeight="1">
      <c r="A720" s="282">
        <f t="shared" si="1"/>
        <v>716</v>
      </c>
      <c r="B720" s="283"/>
      <c r="C720" s="284"/>
      <c r="D720" s="338"/>
      <c r="E720" s="286"/>
      <c r="F720" s="287"/>
      <c r="G720" s="288" t="str">
        <f>+IFERROR(VLOOKUP(F720,NVL!$B:$C,2,0),"")</f>
        <v/>
      </c>
      <c r="H720" s="288" t="str">
        <f>+IFERROR(VLOOKUP(F720,NVL!$B:$D,3,0),"")</f>
        <v/>
      </c>
      <c r="I720" s="288" t="str">
        <f>+IFERROR(VLOOKUP(F720,NVL!$B:$F,4,0),"")</f>
        <v/>
      </c>
      <c r="J720" s="289"/>
      <c r="K720" s="290"/>
      <c r="L720" s="291" t="str">
        <f>+IFERROR(VLOOKUP(K720,'THÀNH PHẨM'!$B:$F,3,0),"")</f>
        <v/>
      </c>
      <c r="M720" s="291" t="str">
        <f>+IFERROR(VLOOKUP(K720,'THÀNH PHẨM'!$B:$F,4,0),"")</f>
        <v/>
      </c>
      <c r="N720" s="291" t="str">
        <f>+IFERROR(VLOOKUP(K720,'THÀNH PHẨM'!$B:$F,5,0),"")</f>
        <v/>
      </c>
      <c r="O720" s="289"/>
      <c r="P720" s="292">
        <f t="shared" si="2"/>
        <v>0</v>
      </c>
      <c r="Q720" s="289"/>
      <c r="R720" s="289"/>
      <c r="S720" s="293">
        <f t="shared" si="62"/>
        <v>0</v>
      </c>
      <c r="T720" s="294"/>
      <c r="U720" s="295">
        <f t="shared" si="68"/>
        <v>0</v>
      </c>
      <c r="V720" s="296"/>
      <c r="W720" s="297"/>
      <c r="X720" s="298"/>
      <c r="Y720" s="292" t="str">
        <f t="shared" si="69"/>
        <v/>
      </c>
      <c r="Z720" s="366">
        <f t="shared" si="70"/>
        <v>0</v>
      </c>
      <c r="AA720" s="299" t="str">
        <f t="shared" si="71"/>
        <v/>
      </c>
      <c r="AB720" s="300"/>
      <c r="AC720" s="301"/>
      <c r="AD720" s="302"/>
      <c r="AE720" s="303"/>
      <c r="AF720" s="304"/>
      <c r="AG720" s="304"/>
      <c r="AH720" s="304"/>
      <c r="AI720" s="304"/>
      <c r="AJ720" s="304"/>
      <c r="AK720" s="305"/>
      <c r="AL720" s="283"/>
      <c r="AM720" s="284"/>
    </row>
    <row r="721" ht="15.75" customHeight="1">
      <c r="A721" s="282">
        <f t="shared" si="1"/>
        <v>717</v>
      </c>
      <c r="B721" s="283"/>
      <c r="C721" s="284"/>
      <c r="D721" s="338"/>
      <c r="E721" s="286"/>
      <c r="F721" s="287"/>
      <c r="G721" s="288" t="str">
        <f>+IFERROR(VLOOKUP(F721,NVL!$B:$C,2,0),"")</f>
        <v/>
      </c>
      <c r="H721" s="288" t="str">
        <f>+IFERROR(VLOOKUP(F721,NVL!$B:$D,3,0),"")</f>
        <v/>
      </c>
      <c r="I721" s="288" t="str">
        <f>+IFERROR(VLOOKUP(F721,NVL!$B:$F,4,0),"")</f>
        <v/>
      </c>
      <c r="J721" s="289"/>
      <c r="K721" s="290"/>
      <c r="L721" s="291" t="str">
        <f>+IFERROR(VLOOKUP(K721,'THÀNH PHẨM'!$B:$F,3,0),"")</f>
        <v/>
      </c>
      <c r="M721" s="291" t="str">
        <f>+IFERROR(VLOOKUP(K721,'THÀNH PHẨM'!$B:$F,4,0),"")</f>
        <v/>
      </c>
      <c r="N721" s="291" t="str">
        <f>+IFERROR(VLOOKUP(K721,'THÀNH PHẨM'!$B:$F,5,0),"")</f>
        <v/>
      </c>
      <c r="O721" s="289"/>
      <c r="P721" s="292">
        <f t="shared" si="2"/>
        <v>0</v>
      </c>
      <c r="Q721" s="289"/>
      <c r="R721" s="289"/>
      <c r="S721" s="293">
        <f t="shared" si="62"/>
        <v>0</v>
      </c>
      <c r="T721" s="294"/>
      <c r="U721" s="295">
        <f t="shared" si="68"/>
        <v>0</v>
      </c>
      <c r="V721" s="296"/>
      <c r="W721" s="297"/>
      <c r="X721" s="298"/>
      <c r="Y721" s="292" t="str">
        <f t="shared" si="69"/>
        <v/>
      </c>
      <c r="Z721" s="366">
        <f t="shared" si="70"/>
        <v>0</v>
      </c>
      <c r="AA721" s="299" t="str">
        <f t="shared" si="71"/>
        <v/>
      </c>
      <c r="AB721" s="300"/>
      <c r="AC721" s="301"/>
      <c r="AD721" s="302"/>
      <c r="AE721" s="303"/>
      <c r="AF721" s="304"/>
      <c r="AG721" s="304"/>
      <c r="AH721" s="304"/>
      <c r="AI721" s="304"/>
      <c r="AJ721" s="304"/>
      <c r="AK721" s="305"/>
      <c r="AL721" s="283"/>
      <c r="AM721" s="284"/>
    </row>
    <row r="722" ht="15.75" customHeight="1">
      <c r="A722" s="282">
        <f t="shared" si="1"/>
        <v>718</v>
      </c>
      <c r="B722" s="283"/>
      <c r="C722" s="284"/>
      <c r="D722" s="338"/>
      <c r="E722" s="286"/>
      <c r="F722" s="287"/>
      <c r="G722" s="288" t="str">
        <f>+IFERROR(VLOOKUP(F722,NVL!$B:$C,2,0),"")</f>
        <v/>
      </c>
      <c r="H722" s="288" t="str">
        <f>+IFERROR(VLOOKUP(F722,NVL!$B:$D,3,0),"")</f>
        <v/>
      </c>
      <c r="I722" s="288" t="str">
        <f>+IFERROR(VLOOKUP(F722,NVL!$B:$F,4,0),"")</f>
        <v/>
      </c>
      <c r="J722" s="289"/>
      <c r="K722" s="290"/>
      <c r="L722" s="291" t="str">
        <f>+IFERROR(VLOOKUP(K722,'THÀNH PHẨM'!$B:$F,3,0),"")</f>
        <v/>
      </c>
      <c r="M722" s="291" t="str">
        <f>+IFERROR(VLOOKUP(K722,'THÀNH PHẨM'!$B:$F,4,0),"")</f>
        <v/>
      </c>
      <c r="N722" s="291" t="str">
        <f>+IFERROR(VLOOKUP(K722,'THÀNH PHẨM'!$B:$F,5,0),"")</f>
        <v/>
      </c>
      <c r="O722" s="289"/>
      <c r="P722" s="292">
        <f t="shared" si="2"/>
        <v>0</v>
      </c>
      <c r="Q722" s="289"/>
      <c r="R722" s="289"/>
      <c r="S722" s="293">
        <f t="shared" si="62"/>
        <v>0</v>
      </c>
      <c r="T722" s="294"/>
      <c r="U722" s="295">
        <f t="shared" si="68"/>
        <v>0</v>
      </c>
      <c r="V722" s="296"/>
      <c r="W722" s="297"/>
      <c r="X722" s="298"/>
      <c r="Y722" s="292" t="str">
        <f t="shared" si="69"/>
        <v/>
      </c>
      <c r="Z722" s="366">
        <f t="shared" si="70"/>
        <v>0</v>
      </c>
      <c r="AA722" s="299" t="str">
        <f t="shared" si="71"/>
        <v/>
      </c>
      <c r="AB722" s="300"/>
      <c r="AC722" s="301"/>
      <c r="AD722" s="302"/>
      <c r="AE722" s="303"/>
      <c r="AF722" s="304"/>
      <c r="AG722" s="304"/>
      <c r="AH722" s="304"/>
      <c r="AI722" s="304"/>
      <c r="AJ722" s="304"/>
      <c r="AK722" s="305"/>
      <c r="AL722" s="283"/>
      <c r="AM722" s="284"/>
    </row>
    <row r="723" ht="15.75" customHeight="1">
      <c r="A723" s="282">
        <f t="shared" si="1"/>
        <v>719</v>
      </c>
      <c r="B723" s="283"/>
      <c r="C723" s="284"/>
      <c r="D723" s="338"/>
      <c r="E723" s="286"/>
      <c r="F723" s="287"/>
      <c r="G723" s="288" t="str">
        <f>+IFERROR(VLOOKUP(F723,NVL!$B:$C,2,0),"")</f>
        <v/>
      </c>
      <c r="H723" s="288" t="str">
        <f>+IFERROR(VLOOKUP(F723,NVL!$B:$D,3,0),"")</f>
        <v/>
      </c>
      <c r="I723" s="288" t="str">
        <f>+IFERROR(VLOOKUP(F723,NVL!$B:$F,4,0),"")</f>
        <v/>
      </c>
      <c r="J723" s="289"/>
      <c r="K723" s="290"/>
      <c r="L723" s="291" t="str">
        <f>+IFERROR(VLOOKUP(K723,'THÀNH PHẨM'!$B:$F,3,0),"")</f>
        <v/>
      </c>
      <c r="M723" s="291" t="str">
        <f>+IFERROR(VLOOKUP(K723,'THÀNH PHẨM'!$B:$F,4,0),"")</f>
        <v/>
      </c>
      <c r="N723" s="291" t="str">
        <f>+IFERROR(VLOOKUP(K723,'THÀNH PHẨM'!$B:$F,5,0),"")</f>
        <v/>
      </c>
      <c r="O723" s="289"/>
      <c r="P723" s="292">
        <f t="shared" si="2"/>
        <v>0</v>
      </c>
      <c r="Q723" s="289"/>
      <c r="R723" s="289"/>
      <c r="S723" s="293">
        <f t="shared" si="62"/>
        <v>0</v>
      </c>
      <c r="T723" s="294"/>
      <c r="U723" s="295">
        <f t="shared" si="68"/>
        <v>0</v>
      </c>
      <c r="V723" s="296"/>
      <c r="W723" s="297"/>
      <c r="X723" s="298"/>
      <c r="Y723" s="292" t="str">
        <f t="shared" si="69"/>
        <v/>
      </c>
      <c r="Z723" s="366">
        <f t="shared" si="70"/>
        <v>0</v>
      </c>
      <c r="AA723" s="299" t="str">
        <f t="shared" si="71"/>
        <v/>
      </c>
      <c r="AB723" s="300"/>
      <c r="AC723" s="301"/>
      <c r="AD723" s="302"/>
      <c r="AE723" s="303"/>
      <c r="AF723" s="304"/>
      <c r="AG723" s="304"/>
      <c r="AH723" s="304"/>
      <c r="AI723" s="304"/>
      <c r="AJ723" s="304"/>
      <c r="AK723" s="305"/>
      <c r="AL723" s="283"/>
      <c r="AM723" s="284"/>
    </row>
    <row r="724" ht="15.75" customHeight="1">
      <c r="A724" s="282">
        <f t="shared" si="1"/>
        <v>720</v>
      </c>
      <c r="B724" s="283"/>
      <c r="C724" s="284"/>
      <c r="D724" s="338"/>
      <c r="E724" s="286"/>
      <c r="F724" s="287"/>
      <c r="G724" s="288" t="str">
        <f>+IFERROR(VLOOKUP(F724,NVL!$B:$C,2,0),"")</f>
        <v/>
      </c>
      <c r="H724" s="288" t="str">
        <f>+IFERROR(VLOOKUP(F724,NVL!$B:$D,3,0),"")</f>
        <v/>
      </c>
      <c r="I724" s="288" t="str">
        <f>+IFERROR(VLOOKUP(F724,NVL!$B:$F,4,0),"")</f>
        <v/>
      </c>
      <c r="J724" s="289"/>
      <c r="K724" s="290"/>
      <c r="L724" s="291" t="str">
        <f>+IFERROR(VLOOKUP(K724,'THÀNH PHẨM'!$B:$F,3,0),"")</f>
        <v/>
      </c>
      <c r="M724" s="291" t="str">
        <f>+IFERROR(VLOOKUP(K724,'THÀNH PHẨM'!$B:$F,4,0),"")</f>
        <v/>
      </c>
      <c r="N724" s="291" t="str">
        <f>+IFERROR(VLOOKUP(K724,'THÀNH PHẨM'!$B:$F,5,0),"")</f>
        <v/>
      </c>
      <c r="O724" s="289"/>
      <c r="P724" s="292">
        <f t="shared" si="2"/>
        <v>0</v>
      </c>
      <c r="Q724" s="289"/>
      <c r="R724" s="289"/>
      <c r="S724" s="293">
        <f t="shared" si="62"/>
        <v>0</v>
      </c>
      <c r="T724" s="294"/>
      <c r="U724" s="295">
        <f t="shared" si="68"/>
        <v>0</v>
      </c>
      <c r="V724" s="296"/>
      <c r="W724" s="297"/>
      <c r="X724" s="298"/>
      <c r="Y724" s="292" t="str">
        <f t="shared" si="69"/>
        <v/>
      </c>
      <c r="Z724" s="366">
        <f t="shared" si="70"/>
        <v>0</v>
      </c>
      <c r="AA724" s="299" t="str">
        <f t="shared" si="71"/>
        <v/>
      </c>
      <c r="AB724" s="300"/>
      <c r="AC724" s="301"/>
      <c r="AD724" s="302"/>
      <c r="AE724" s="303"/>
      <c r="AF724" s="304"/>
      <c r="AG724" s="304"/>
      <c r="AH724" s="304"/>
      <c r="AI724" s="304"/>
      <c r="AJ724" s="304"/>
      <c r="AK724" s="305"/>
      <c r="AL724" s="283"/>
      <c r="AM724" s="284"/>
    </row>
    <row r="725" ht="15.75" customHeight="1">
      <c r="A725" s="282">
        <f t="shared" si="1"/>
        <v>721</v>
      </c>
      <c r="B725" s="283"/>
      <c r="C725" s="284"/>
      <c r="D725" s="338"/>
      <c r="E725" s="286"/>
      <c r="F725" s="287"/>
      <c r="G725" s="288" t="str">
        <f>+IFERROR(VLOOKUP(F725,NVL!$B:$C,2,0),"")</f>
        <v/>
      </c>
      <c r="H725" s="288" t="str">
        <f>+IFERROR(VLOOKUP(F725,NVL!$B:$D,3,0),"")</f>
        <v/>
      </c>
      <c r="I725" s="288" t="str">
        <f>+IFERROR(VLOOKUP(F725,NVL!$B:$F,4,0),"")</f>
        <v/>
      </c>
      <c r="J725" s="289"/>
      <c r="K725" s="290"/>
      <c r="L725" s="291" t="str">
        <f>+IFERROR(VLOOKUP(K725,'THÀNH PHẨM'!$B:$F,3,0),"")</f>
        <v/>
      </c>
      <c r="M725" s="291" t="str">
        <f>+IFERROR(VLOOKUP(K725,'THÀNH PHẨM'!$B:$F,4,0),"")</f>
        <v/>
      </c>
      <c r="N725" s="291" t="str">
        <f>+IFERROR(VLOOKUP(K725,'THÀNH PHẨM'!$B:$F,5,0),"")</f>
        <v/>
      </c>
      <c r="O725" s="289"/>
      <c r="P725" s="292">
        <f t="shared" si="2"/>
        <v>0</v>
      </c>
      <c r="Q725" s="289"/>
      <c r="R725" s="289"/>
      <c r="S725" s="293">
        <f t="shared" si="62"/>
        <v>0</v>
      </c>
      <c r="T725" s="294"/>
      <c r="U725" s="295">
        <f t="shared" si="68"/>
        <v>0</v>
      </c>
      <c r="V725" s="296"/>
      <c r="W725" s="297"/>
      <c r="X725" s="298"/>
      <c r="Y725" s="292" t="str">
        <f t="shared" si="69"/>
        <v/>
      </c>
      <c r="Z725" s="366">
        <f t="shared" si="70"/>
        <v>0</v>
      </c>
      <c r="AA725" s="299" t="str">
        <f t="shared" si="71"/>
        <v/>
      </c>
      <c r="AB725" s="300"/>
      <c r="AC725" s="301"/>
      <c r="AD725" s="302"/>
      <c r="AE725" s="303"/>
      <c r="AF725" s="304"/>
      <c r="AG725" s="304"/>
      <c r="AH725" s="304"/>
      <c r="AI725" s="304"/>
      <c r="AJ725" s="304"/>
      <c r="AK725" s="305"/>
      <c r="AL725" s="283"/>
      <c r="AM725" s="284"/>
    </row>
    <row r="726" ht="15.75" customHeight="1">
      <c r="A726" s="282">
        <f t="shared" si="1"/>
        <v>722</v>
      </c>
      <c r="B726" s="283"/>
      <c r="C726" s="284"/>
      <c r="D726" s="338"/>
      <c r="E726" s="286"/>
      <c r="F726" s="287"/>
      <c r="G726" s="288" t="str">
        <f>+IFERROR(VLOOKUP(F726,NVL!$B:$C,2,0),"")</f>
        <v/>
      </c>
      <c r="H726" s="288" t="str">
        <f>+IFERROR(VLOOKUP(F726,NVL!$B:$D,3,0),"")</f>
        <v/>
      </c>
      <c r="I726" s="288" t="str">
        <f>+IFERROR(VLOOKUP(F726,NVL!$B:$F,4,0),"")</f>
        <v/>
      </c>
      <c r="J726" s="289"/>
      <c r="K726" s="290"/>
      <c r="L726" s="291" t="str">
        <f>+IFERROR(VLOOKUP(K726,'THÀNH PHẨM'!$B:$F,3,0),"")</f>
        <v/>
      </c>
      <c r="M726" s="291" t="str">
        <f>+IFERROR(VLOOKUP(K726,'THÀNH PHẨM'!$B:$F,4,0),"")</f>
        <v/>
      </c>
      <c r="N726" s="291" t="str">
        <f>+IFERROR(VLOOKUP(K726,'THÀNH PHẨM'!$B:$F,5,0),"")</f>
        <v/>
      </c>
      <c r="O726" s="289"/>
      <c r="P726" s="292">
        <f t="shared" si="2"/>
        <v>0</v>
      </c>
      <c r="Q726" s="289"/>
      <c r="R726" s="289"/>
      <c r="S726" s="293">
        <f t="shared" si="62"/>
        <v>0</v>
      </c>
      <c r="T726" s="294"/>
      <c r="U726" s="295">
        <f t="shared" si="68"/>
        <v>0</v>
      </c>
      <c r="V726" s="296"/>
      <c r="W726" s="297"/>
      <c r="X726" s="298"/>
      <c r="Y726" s="292" t="str">
        <f t="shared" si="69"/>
        <v/>
      </c>
      <c r="Z726" s="366">
        <f t="shared" si="70"/>
        <v>0</v>
      </c>
      <c r="AA726" s="299" t="str">
        <f t="shared" si="71"/>
        <v/>
      </c>
      <c r="AB726" s="300"/>
      <c r="AC726" s="301"/>
      <c r="AD726" s="302"/>
      <c r="AE726" s="303"/>
      <c r="AF726" s="304"/>
      <c r="AG726" s="304"/>
      <c r="AH726" s="304"/>
      <c r="AI726" s="304"/>
      <c r="AJ726" s="304"/>
      <c r="AK726" s="305"/>
      <c r="AL726" s="283"/>
      <c r="AM726" s="284"/>
    </row>
    <row r="727" ht="15.75" customHeight="1">
      <c r="A727" s="282">
        <f t="shared" si="1"/>
        <v>723</v>
      </c>
      <c r="B727" s="283"/>
      <c r="C727" s="284"/>
      <c r="D727" s="338"/>
      <c r="E727" s="286"/>
      <c r="F727" s="287"/>
      <c r="G727" s="288" t="str">
        <f>+IFERROR(VLOOKUP(F727,NVL!$B:$C,2,0),"")</f>
        <v/>
      </c>
      <c r="H727" s="288" t="str">
        <f>+IFERROR(VLOOKUP(F727,NVL!$B:$D,3,0),"")</f>
        <v/>
      </c>
      <c r="I727" s="288" t="str">
        <f>+IFERROR(VLOOKUP(F727,NVL!$B:$F,4,0),"")</f>
        <v/>
      </c>
      <c r="J727" s="289"/>
      <c r="K727" s="290"/>
      <c r="L727" s="291" t="str">
        <f>+IFERROR(VLOOKUP(K727,'THÀNH PHẨM'!$B:$F,3,0),"")</f>
        <v/>
      </c>
      <c r="M727" s="291" t="str">
        <f>+IFERROR(VLOOKUP(K727,'THÀNH PHẨM'!$B:$F,4,0),"")</f>
        <v/>
      </c>
      <c r="N727" s="291" t="str">
        <f>+IFERROR(VLOOKUP(K727,'THÀNH PHẨM'!$B:$F,5,0),"")</f>
        <v/>
      </c>
      <c r="O727" s="289"/>
      <c r="P727" s="292">
        <f t="shared" si="2"/>
        <v>0</v>
      </c>
      <c r="Q727" s="289"/>
      <c r="R727" s="289"/>
      <c r="S727" s="293">
        <f t="shared" si="62"/>
        <v>0</v>
      </c>
      <c r="T727" s="294"/>
      <c r="U727" s="295">
        <f t="shared" si="68"/>
        <v>0</v>
      </c>
      <c r="V727" s="296"/>
      <c r="W727" s="297"/>
      <c r="X727" s="298"/>
      <c r="Y727" s="292" t="str">
        <f t="shared" si="69"/>
        <v/>
      </c>
      <c r="Z727" s="366">
        <f t="shared" si="70"/>
        <v>0</v>
      </c>
      <c r="AA727" s="299" t="str">
        <f t="shared" si="71"/>
        <v/>
      </c>
      <c r="AB727" s="300"/>
      <c r="AC727" s="301"/>
      <c r="AD727" s="302"/>
      <c r="AE727" s="303"/>
      <c r="AF727" s="304"/>
      <c r="AG727" s="304"/>
      <c r="AH727" s="304"/>
      <c r="AI727" s="304"/>
      <c r="AJ727" s="304"/>
      <c r="AK727" s="305"/>
      <c r="AL727" s="283"/>
      <c r="AM727" s="284"/>
    </row>
    <row r="728" ht="15.75" customHeight="1">
      <c r="A728" s="282">
        <f t="shared" si="1"/>
        <v>724</v>
      </c>
      <c r="B728" s="283"/>
      <c r="C728" s="284"/>
      <c r="D728" s="338"/>
      <c r="E728" s="286"/>
      <c r="F728" s="287"/>
      <c r="G728" s="288" t="str">
        <f>+IFERROR(VLOOKUP(F728,NVL!$B:$C,2,0),"")</f>
        <v/>
      </c>
      <c r="H728" s="288" t="str">
        <f>+IFERROR(VLOOKUP(F728,NVL!$B:$D,3,0),"")</f>
        <v/>
      </c>
      <c r="I728" s="288" t="str">
        <f>+IFERROR(VLOOKUP(F728,NVL!$B:$F,4,0),"")</f>
        <v/>
      </c>
      <c r="J728" s="289"/>
      <c r="K728" s="290"/>
      <c r="L728" s="291" t="str">
        <f>+IFERROR(VLOOKUP(K728,'THÀNH PHẨM'!$B:$F,3,0),"")</f>
        <v/>
      </c>
      <c r="M728" s="291" t="str">
        <f>+IFERROR(VLOOKUP(K728,'THÀNH PHẨM'!$B:$F,4,0),"")</f>
        <v/>
      </c>
      <c r="N728" s="291" t="str">
        <f>+IFERROR(VLOOKUP(K728,'THÀNH PHẨM'!$B:$F,5,0),"")</f>
        <v/>
      </c>
      <c r="O728" s="289"/>
      <c r="P728" s="292">
        <f t="shared" si="2"/>
        <v>0</v>
      </c>
      <c r="Q728" s="289"/>
      <c r="R728" s="289"/>
      <c r="S728" s="293">
        <f t="shared" si="62"/>
        <v>0</v>
      </c>
      <c r="T728" s="294"/>
      <c r="U728" s="295">
        <f t="shared" si="68"/>
        <v>0</v>
      </c>
      <c r="V728" s="296"/>
      <c r="W728" s="297"/>
      <c r="X728" s="298"/>
      <c r="Y728" s="292" t="str">
        <f t="shared" si="69"/>
        <v/>
      </c>
      <c r="Z728" s="366">
        <f t="shared" si="70"/>
        <v>0</v>
      </c>
      <c r="AA728" s="299" t="str">
        <f t="shared" si="71"/>
        <v/>
      </c>
      <c r="AB728" s="300"/>
      <c r="AC728" s="301"/>
      <c r="AD728" s="302"/>
      <c r="AE728" s="303"/>
      <c r="AF728" s="304"/>
      <c r="AG728" s="304"/>
      <c r="AH728" s="304"/>
      <c r="AI728" s="304"/>
      <c r="AJ728" s="304"/>
      <c r="AK728" s="305"/>
      <c r="AL728" s="283"/>
      <c r="AM728" s="284"/>
    </row>
    <row r="729" ht="15.75" customHeight="1">
      <c r="A729" s="282">
        <f t="shared" si="1"/>
        <v>725</v>
      </c>
      <c r="B729" s="283"/>
      <c r="C729" s="284"/>
      <c r="D729" s="338"/>
      <c r="E729" s="286"/>
      <c r="F729" s="287"/>
      <c r="G729" s="288" t="str">
        <f>+IFERROR(VLOOKUP(F729,NVL!$B:$C,2,0),"")</f>
        <v/>
      </c>
      <c r="H729" s="288" t="str">
        <f>+IFERROR(VLOOKUP(F729,NVL!$B:$D,3,0),"")</f>
        <v/>
      </c>
      <c r="I729" s="288" t="str">
        <f>+IFERROR(VLOOKUP(F729,NVL!$B:$F,4,0),"")</f>
        <v/>
      </c>
      <c r="J729" s="289"/>
      <c r="K729" s="290"/>
      <c r="L729" s="291" t="str">
        <f>+IFERROR(VLOOKUP(K729,'THÀNH PHẨM'!$B:$F,3,0),"")</f>
        <v/>
      </c>
      <c r="M729" s="291" t="str">
        <f>+IFERROR(VLOOKUP(K729,'THÀNH PHẨM'!$B:$F,4,0),"")</f>
        <v/>
      </c>
      <c r="N729" s="291" t="str">
        <f>+IFERROR(VLOOKUP(K729,'THÀNH PHẨM'!$B:$F,5,0),"")</f>
        <v/>
      </c>
      <c r="O729" s="289"/>
      <c r="P729" s="292">
        <f t="shared" si="2"/>
        <v>0</v>
      </c>
      <c r="Q729" s="289"/>
      <c r="R729" s="289"/>
      <c r="S729" s="293">
        <f t="shared" si="62"/>
        <v>0</v>
      </c>
      <c r="T729" s="294"/>
      <c r="U729" s="295">
        <f t="shared" si="68"/>
        <v>0</v>
      </c>
      <c r="V729" s="296"/>
      <c r="W729" s="297"/>
      <c r="X729" s="298"/>
      <c r="Y729" s="292" t="str">
        <f t="shared" si="69"/>
        <v/>
      </c>
      <c r="Z729" s="366">
        <f t="shared" si="70"/>
        <v>0</v>
      </c>
      <c r="AA729" s="299" t="str">
        <f t="shared" si="71"/>
        <v/>
      </c>
      <c r="AB729" s="300"/>
      <c r="AC729" s="301"/>
      <c r="AD729" s="302"/>
      <c r="AE729" s="303"/>
      <c r="AF729" s="304"/>
      <c r="AG729" s="304"/>
      <c r="AH729" s="304"/>
      <c r="AI729" s="304"/>
      <c r="AJ729" s="304"/>
      <c r="AK729" s="305"/>
      <c r="AL729" s="283"/>
      <c r="AM729" s="284"/>
    </row>
    <row r="730" ht="15.75" customHeight="1">
      <c r="A730" s="282">
        <f t="shared" si="1"/>
        <v>726</v>
      </c>
      <c r="B730" s="283"/>
      <c r="C730" s="284"/>
      <c r="D730" s="338"/>
      <c r="E730" s="286"/>
      <c r="F730" s="287"/>
      <c r="G730" s="288" t="str">
        <f>+IFERROR(VLOOKUP(F730,NVL!$B:$C,2,0),"")</f>
        <v/>
      </c>
      <c r="H730" s="288" t="str">
        <f>+IFERROR(VLOOKUP(F730,NVL!$B:$D,3,0),"")</f>
        <v/>
      </c>
      <c r="I730" s="288" t="str">
        <f>+IFERROR(VLOOKUP(F730,NVL!$B:$F,4,0),"")</f>
        <v/>
      </c>
      <c r="J730" s="289"/>
      <c r="K730" s="290"/>
      <c r="L730" s="291" t="str">
        <f>+IFERROR(VLOOKUP(K730,'THÀNH PHẨM'!$B:$F,3,0),"")</f>
        <v/>
      </c>
      <c r="M730" s="291" t="str">
        <f>+IFERROR(VLOOKUP(K730,'THÀNH PHẨM'!$B:$F,4,0),"")</f>
        <v/>
      </c>
      <c r="N730" s="291" t="str">
        <f>+IFERROR(VLOOKUP(K730,'THÀNH PHẨM'!$B:$F,5,0),"")</f>
        <v/>
      </c>
      <c r="O730" s="289"/>
      <c r="P730" s="292">
        <f t="shared" si="2"/>
        <v>0</v>
      </c>
      <c r="Q730" s="289"/>
      <c r="R730" s="289"/>
      <c r="S730" s="293">
        <f t="shared" si="62"/>
        <v>0</v>
      </c>
      <c r="T730" s="294"/>
      <c r="U730" s="295">
        <f t="shared" si="68"/>
        <v>0</v>
      </c>
      <c r="V730" s="296"/>
      <c r="W730" s="297"/>
      <c r="X730" s="298"/>
      <c r="Y730" s="292" t="str">
        <f t="shared" si="69"/>
        <v/>
      </c>
      <c r="Z730" s="366">
        <f t="shared" si="70"/>
        <v>0</v>
      </c>
      <c r="AA730" s="299" t="str">
        <f t="shared" si="71"/>
        <v/>
      </c>
      <c r="AB730" s="300"/>
      <c r="AC730" s="301"/>
      <c r="AD730" s="302"/>
      <c r="AE730" s="303"/>
      <c r="AF730" s="304"/>
      <c r="AG730" s="304"/>
      <c r="AH730" s="304"/>
      <c r="AI730" s="304"/>
      <c r="AJ730" s="304"/>
      <c r="AK730" s="305"/>
      <c r="AL730" s="283"/>
      <c r="AM730" s="284"/>
    </row>
    <row r="731" ht="15.75" customHeight="1">
      <c r="A731" s="282">
        <f t="shared" si="1"/>
        <v>727</v>
      </c>
      <c r="B731" s="283"/>
      <c r="C731" s="284"/>
      <c r="D731" s="338"/>
      <c r="E731" s="286"/>
      <c r="F731" s="287"/>
      <c r="G731" s="288" t="str">
        <f>+IFERROR(VLOOKUP(F731,NVL!$B:$C,2,0),"")</f>
        <v/>
      </c>
      <c r="H731" s="288" t="str">
        <f>+IFERROR(VLOOKUP(F731,NVL!$B:$D,3,0),"")</f>
        <v/>
      </c>
      <c r="I731" s="288" t="str">
        <f>+IFERROR(VLOOKUP(F731,NVL!$B:$F,4,0),"")</f>
        <v/>
      </c>
      <c r="J731" s="289"/>
      <c r="K731" s="290"/>
      <c r="L731" s="291" t="str">
        <f>+IFERROR(VLOOKUP(K731,'THÀNH PHẨM'!$B:$F,3,0),"")</f>
        <v/>
      </c>
      <c r="M731" s="291" t="str">
        <f>+IFERROR(VLOOKUP(K731,'THÀNH PHẨM'!$B:$F,4,0),"")</f>
        <v/>
      </c>
      <c r="N731" s="291" t="str">
        <f>+IFERROR(VLOOKUP(K731,'THÀNH PHẨM'!$B:$F,5,0),"")</f>
        <v/>
      </c>
      <c r="O731" s="289"/>
      <c r="P731" s="292">
        <f t="shared" si="2"/>
        <v>0</v>
      </c>
      <c r="Q731" s="289"/>
      <c r="R731" s="289"/>
      <c r="S731" s="293">
        <f t="shared" si="62"/>
        <v>0</v>
      </c>
      <c r="T731" s="294"/>
      <c r="U731" s="295">
        <f t="shared" si="68"/>
        <v>0</v>
      </c>
      <c r="V731" s="296"/>
      <c r="W731" s="297"/>
      <c r="X731" s="298"/>
      <c r="Y731" s="292" t="str">
        <f t="shared" si="69"/>
        <v/>
      </c>
      <c r="Z731" s="366">
        <f t="shared" si="70"/>
        <v>0</v>
      </c>
      <c r="AA731" s="299" t="str">
        <f t="shared" si="71"/>
        <v/>
      </c>
      <c r="AB731" s="300"/>
      <c r="AC731" s="301"/>
      <c r="AD731" s="302"/>
      <c r="AE731" s="303"/>
      <c r="AF731" s="304"/>
      <c r="AG731" s="304"/>
      <c r="AH731" s="304"/>
      <c r="AI731" s="304"/>
      <c r="AJ731" s="304"/>
      <c r="AK731" s="305"/>
      <c r="AL731" s="283"/>
      <c r="AM731" s="284"/>
    </row>
    <row r="732" ht="15.75" customHeight="1">
      <c r="A732" s="282">
        <f t="shared" si="1"/>
        <v>728</v>
      </c>
      <c r="B732" s="283"/>
      <c r="C732" s="284"/>
      <c r="D732" s="338"/>
      <c r="E732" s="286"/>
      <c r="F732" s="287"/>
      <c r="G732" s="288" t="str">
        <f>+IFERROR(VLOOKUP(F732,NVL!$B:$C,2,0),"")</f>
        <v/>
      </c>
      <c r="H732" s="288" t="str">
        <f>+IFERROR(VLOOKUP(F732,NVL!$B:$D,3,0),"")</f>
        <v/>
      </c>
      <c r="I732" s="288" t="str">
        <f>+IFERROR(VLOOKUP(F732,NVL!$B:$F,4,0),"")</f>
        <v/>
      </c>
      <c r="J732" s="289"/>
      <c r="K732" s="290"/>
      <c r="L732" s="291" t="str">
        <f>+IFERROR(VLOOKUP(K732,'THÀNH PHẨM'!$B:$F,3,0),"")</f>
        <v/>
      </c>
      <c r="M732" s="291" t="str">
        <f>+IFERROR(VLOOKUP(K732,'THÀNH PHẨM'!$B:$F,4,0),"")</f>
        <v/>
      </c>
      <c r="N732" s="291" t="str">
        <f>+IFERROR(VLOOKUP(K732,'THÀNH PHẨM'!$B:$F,5,0),"")</f>
        <v/>
      </c>
      <c r="O732" s="289"/>
      <c r="P732" s="292">
        <f t="shared" si="2"/>
        <v>0</v>
      </c>
      <c r="Q732" s="289"/>
      <c r="R732" s="289"/>
      <c r="S732" s="293">
        <f t="shared" si="62"/>
        <v>0</v>
      </c>
      <c r="T732" s="294"/>
      <c r="U732" s="295">
        <f t="shared" si="68"/>
        <v>0</v>
      </c>
      <c r="V732" s="296"/>
      <c r="W732" s="297"/>
      <c r="X732" s="298"/>
      <c r="Y732" s="292" t="str">
        <f t="shared" si="69"/>
        <v/>
      </c>
      <c r="Z732" s="366">
        <f t="shared" si="70"/>
        <v>0</v>
      </c>
      <c r="AA732" s="299" t="str">
        <f t="shared" si="71"/>
        <v/>
      </c>
      <c r="AB732" s="300"/>
      <c r="AC732" s="301"/>
      <c r="AD732" s="302"/>
      <c r="AE732" s="303"/>
      <c r="AF732" s="304"/>
      <c r="AG732" s="304"/>
      <c r="AH732" s="304"/>
      <c r="AI732" s="304"/>
      <c r="AJ732" s="304"/>
      <c r="AK732" s="305"/>
      <c r="AL732" s="283"/>
      <c r="AM732" s="284"/>
    </row>
    <row r="733" ht="15.75" customHeight="1">
      <c r="A733" s="282">
        <f t="shared" si="1"/>
        <v>729</v>
      </c>
      <c r="B733" s="283"/>
      <c r="C733" s="284"/>
      <c r="D733" s="338"/>
      <c r="E733" s="286"/>
      <c r="F733" s="287"/>
      <c r="G733" s="288" t="str">
        <f>+IFERROR(VLOOKUP(F733,NVL!$B:$C,2,0),"")</f>
        <v/>
      </c>
      <c r="H733" s="288" t="str">
        <f>+IFERROR(VLOOKUP(F733,NVL!$B:$D,3,0),"")</f>
        <v/>
      </c>
      <c r="I733" s="288" t="str">
        <f>+IFERROR(VLOOKUP(F733,NVL!$B:$F,4,0),"")</f>
        <v/>
      </c>
      <c r="J733" s="289"/>
      <c r="K733" s="290"/>
      <c r="L733" s="291" t="str">
        <f>+IFERROR(VLOOKUP(K733,'THÀNH PHẨM'!$B:$F,3,0),"")</f>
        <v/>
      </c>
      <c r="M733" s="291" t="str">
        <f>+IFERROR(VLOOKUP(K733,'THÀNH PHẨM'!$B:$F,4,0),"")</f>
        <v/>
      </c>
      <c r="N733" s="291" t="str">
        <f>+IFERROR(VLOOKUP(K733,'THÀNH PHẨM'!$B:$F,5,0),"")</f>
        <v/>
      </c>
      <c r="O733" s="289"/>
      <c r="P733" s="292">
        <f t="shared" si="2"/>
        <v>0</v>
      </c>
      <c r="Q733" s="289"/>
      <c r="R733" s="289"/>
      <c r="S733" s="293">
        <f t="shared" si="62"/>
        <v>0</v>
      </c>
      <c r="T733" s="294"/>
      <c r="U733" s="295">
        <f t="shared" si="68"/>
        <v>0</v>
      </c>
      <c r="V733" s="296"/>
      <c r="W733" s="297"/>
      <c r="X733" s="298"/>
      <c r="Y733" s="292" t="str">
        <f t="shared" si="69"/>
        <v/>
      </c>
      <c r="Z733" s="366">
        <f t="shared" si="70"/>
        <v>0</v>
      </c>
      <c r="AA733" s="299" t="str">
        <f t="shared" si="71"/>
        <v/>
      </c>
      <c r="AB733" s="300"/>
      <c r="AC733" s="301"/>
      <c r="AD733" s="302"/>
      <c r="AE733" s="303"/>
      <c r="AF733" s="304"/>
      <c r="AG733" s="304"/>
      <c r="AH733" s="304"/>
      <c r="AI733" s="304"/>
      <c r="AJ733" s="304"/>
      <c r="AK733" s="305"/>
      <c r="AL733" s="283"/>
      <c r="AM733" s="284"/>
    </row>
    <row r="734" ht="15.75" customHeight="1">
      <c r="A734" s="282">
        <f t="shared" si="1"/>
        <v>730</v>
      </c>
      <c r="B734" s="283"/>
      <c r="C734" s="284"/>
      <c r="D734" s="338"/>
      <c r="E734" s="286"/>
      <c r="F734" s="287"/>
      <c r="G734" s="288" t="str">
        <f>+IFERROR(VLOOKUP(F734,NVL!$B:$C,2,0),"")</f>
        <v/>
      </c>
      <c r="H734" s="288" t="str">
        <f>+IFERROR(VLOOKUP(F734,NVL!$B:$D,3,0),"")</f>
        <v/>
      </c>
      <c r="I734" s="288" t="str">
        <f>+IFERROR(VLOOKUP(F734,NVL!$B:$F,4,0),"")</f>
        <v/>
      </c>
      <c r="J734" s="289"/>
      <c r="K734" s="290"/>
      <c r="L734" s="291" t="str">
        <f>+IFERROR(VLOOKUP(K734,'THÀNH PHẨM'!$B:$F,3,0),"")</f>
        <v/>
      </c>
      <c r="M734" s="291" t="str">
        <f>+IFERROR(VLOOKUP(K734,'THÀNH PHẨM'!$B:$F,4,0),"")</f>
        <v/>
      </c>
      <c r="N734" s="291" t="str">
        <f>+IFERROR(VLOOKUP(K734,'THÀNH PHẨM'!$B:$F,5,0),"")</f>
        <v/>
      </c>
      <c r="O734" s="289"/>
      <c r="P734" s="292">
        <f t="shared" si="2"/>
        <v>0</v>
      </c>
      <c r="Q734" s="289"/>
      <c r="R734" s="289"/>
      <c r="S734" s="293">
        <f t="shared" si="62"/>
        <v>0</v>
      </c>
      <c r="T734" s="294"/>
      <c r="U734" s="295">
        <f t="shared" si="68"/>
        <v>0</v>
      </c>
      <c r="V734" s="296"/>
      <c r="W734" s="297"/>
      <c r="X734" s="298"/>
      <c r="Y734" s="292" t="str">
        <f t="shared" si="69"/>
        <v/>
      </c>
      <c r="Z734" s="366">
        <f t="shared" si="70"/>
        <v>0</v>
      </c>
      <c r="AA734" s="299" t="str">
        <f t="shared" si="71"/>
        <v/>
      </c>
      <c r="AB734" s="300"/>
      <c r="AC734" s="301"/>
      <c r="AD734" s="302"/>
      <c r="AE734" s="303"/>
      <c r="AF734" s="304"/>
      <c r="AG734" s="304"/>
      <c r="AH734" s="304"/>
      <c r="AI734" s="304"/>
      <c r="AJ734" s="304"/>
      <c r="AK734" s="305"/>
      <c r="AL734" s="283"/>
      <c r="AM734" s="284"/>
    </row>
    <row r="735" ht="15.75" customHeight="1">
      <c r="A735" s="282">
        <f t="shared" si="1"/>
        <v>731</v>
      </c>
      <c r="B735" s="283"/>
      <c r="C735" s="284"/>
      <c r="D735" s="338"/>
      <c r="E735" s="286"/>
      <c r="F735" s="287"/>
      <c r="G735" s="288" t="str">
        <f>+IFERROR(VLOOKUP(F735,NVL!$B:$C,2,0),"")</f>
        <v/>
      </c>
      <c r="H735" s="288" t="str">
        <f>+IFERROR(VLOOKUP(F735,NVL!$B:$D,3,0),"")</f>
        <v/>
      </c>
      <c r="I735" s="288" t="str">
        <f>+IFERROR(VLOOKUP(F735,NVL!$B:$F,4,0),"")</f>
        <v/>
      </c>
      <c r="J735" s="289"/>
      <c r="K735" s="290"/>
      <c r="L735" s="291" t="str">
        <f>+IFERROR(VLOOKUP(K735,'THÀNH PHẨM'!$B:$F,3,0),"")</f>
        <v/>
      </c>
      <c r="M735" s="291" t="str">
        <f>+IFERROR(VLOOKUP(K735,'THÀNH PHẨM'!$B:$F,4,0),"")</f>
        <v/>
      </c>
      <c r="N735" s="291" t="str">
        <f>+IFERROR(VLOOKUP(K735,'THÀNH PHẨM'!$B:$F,5,0),"")</f>
        <v/>
      </c>
      <c r="O735" s="289"/>
      <c r="P735" s="292">
        <f t="shared" si="2"/>
        <v>0</v>
      </c>
      <c r="Q735" s="289"/>
      <c r="R735" s="289"/>
      <c r="S735" s="293">
        <f t="shared" si="62"/>
        <v>0</v>
      </c>
      <c r="T735" s="294"/>
      <c r="U735" s="295">
        <f t="shared" si="68"/>
        <v>0</v>
      </c>
      <c r="V735" s="296"/>
      <c r="W735" s="297"/>
      <c r="X735" s="298"/>
      <c r="Y735" s="292" t="str">
        <f t="shared" si="69"/>
        <v/>
      </c>
      <c r="Z735" s="366">
        <f t="shared" si="70"/>
        <v>0</v>
      </c>
      <c r="AA735" s="299" t="str">
        <f t="shared" si="71"/>
        <v/>
      </c>
      <c r="AB735" s="300"/>
      <c r="AC735" s="301"/>
      <c r="AD735" s="302"/>
      <c r="AE735" s="303"/>
      <c r="AF735" s="304"/>
      <c r="AG735" s="304"/>
      <c r="AH735" s="304"/>
      <c r="AI735" s="304"/>
      <c r="AJ735" s="304"/>
      <c r="AK735" s="305"/>
      <c r="AL735" s="283"/>
      <c r="AM735" s="284"/>
    </row>
    <row r="736" ht="15.75" customHeight="1">
      <c r="A736" s="282">
        <f t="shared" si="1"/>
        <v>732</v>
      </c>
      <c r="B736" s="283"/>
      <c r="C736" s="284"/>
      <c r="D736" s="338"/>
      <c r="E736" s="286"/>
      <c r="F736" s="287"/>
      <c r="G736" s="288" t="str">
        <f>+IFERROR(VLOOKUP(F736,NVL!$B:$C,2,0),"")</f>
        <v/>
      </c>
      <c r="H736" s="288" t="str">
        <f>+IFERROR(VLOOKUP(F736,NVL!$B:$D,3,0),"")</f>
        <v/>
      </c>
      <c r="I736" s="288" t="str">
        <f>+IFERROR(VLOOKUP(F736,NVL!$B:$F,4,0),"")</f>
        <v/>
      </c>
      <c r="J736" s="289"/>
      <c r="K736" s="290"/>
      <c r="L736" s="291" t="str">
        <f>+IFERROR(VLOOKUP(K736,'THÀNH PHẨM'!$B:$F,3,0),"")</f>
        <v/>
      </c>
      <c r="M736" s="291" t="str">
        <f>+IFERROR(VLOOKUP(K736,'THÀNH PHẨM'!$B:$F,4,0),"")</f>
        <v/>
      </c>
      <c r="N736" s="291" t="str">
        <f>+IFERROR(VLOOKUP(K736,'THÀNH PHẨM'!$B:$F,5,0),"")</f>
        <v/>
      </c>
      <c r="O736" s="289"/>
      <c r="P736" s="292">
        <f t="shared" si="2"/>
        <v>0</v>
      </c>
      <c r="Q736" s="289"/>
      <c r="R736" s="289"/>
      <c r="S736" s="293">
        <f t="shared" si="62"/>
        <v>0</v>
      </c>
      <c r="T736" s="294"/>
      <c r="U736" s="295">
        <f t="shared" si="68"/>
        <v>0</v>
      </c>
      <c r="V736" s="296"/>
      <c r="W736" s="297"/>
      <c r="X736" s="298"/>
      <c r="Y736" s="292" t="str">
        <f t="shared" si="69"/>
        <v/>
      </c>
      <c r="Z736" s="366">
        <f t="shared" si="70"/>
        <v>0</v>
      </c>
      <c r="AA736" s="299" t="str">
        <f t="shared" si="71"/>
        <v/>
      </c>
      <c r="AB736" s="300"/>
      <c r="AC736" s="301"/>
      <c r="AD736" s="302"/>
      <c r="AE736" s="303"/>
      <c r="AF736" s="304"/>
      <c r="AG736" s="304"/>
      <c r="AH736" s="304"/>
      <c r="AI736" s="304"/>
      <c r="AJ736" s="304"/>
      <c r="AK736" s="305"/>
      <c r="AL736" s="283"/>
      <c r="AM736" s="284"/>
    </row>
    <row r="737" ht="15.75" customHeight="1">
      <c r="A737" s="282">
        <f t="shared" si="1"/>
        <v>733</v>
      </c>
      <c r="B737" s="283"/>
      <c r="C737" s="284"/>
      <c r="D737" s="338"/>
      <c r="E737" s="286"/>
      <c r="F737" s="287"/>
      <c r="G737" s="288" t="str">
        <f>+IFERROR(VLOOKUP(F737,NVL!$B:$C,2,0),"")</f>
        <v/>
      </c>
      <c r="H737" s="288" t="str">
        <f>+IFERROR(VLOOKUP(F737,NVL!$B:$D,3,0),"")</f>
        <v/>
      </c>
      <c r="I737" s="288" t="str">
        <f>+IFERROR(VLOOKUP(F737,NVL!$B:$F,4,0),"")</f>
        <v/>
      </c>
      <c r="J737" s="289"/>
      <c r="K737" s="290"/>
      <c r="L737" s="291" t="str">
        <f>+IFERROR(VLOOKUP(K737,'THÀNH PHẨM'!$B:$F,3,0),"")</f>
        <v/>
      </c>
      <c r="M737" s="291" t="str">
        <f>+IFERROR(VLOOKUP(K737,'THÀNH PHẨM'!$B:$F,4,0),"")</f>
        <v/>
      </c>
      <c r="N737" s="291" t="str">
        <f>+IFERROR(VLOOKUP(K737,'THÀNH PHẨM'!$B:$F,5,0),"")</f>
        <v/>
      </c>
      <c r="O737" s="289"/>
      <c r="P737" s="292">
        <f t="shared" si="2"/>
        <v>0</v>
      </c>
      <c r="Q737" s="289"/>
      <c r="R737" s="289"/>
      <c r="S737" s="293">
        <f t="shared" si="62"/>
        <v>0</v>
      </c>
      <c r="T737" s="294"/>
      <c r="U737" s="295">
        <f t="shared" si="68"/>
        <v>0</v>
      </c>
      <c r="V737" s="296"/>
      <c r="W737" s="297"/>
      <c r="X737" s="298"/>
      <c r="Y737" s="292" t="str">
        <f t="shared" si="69"/>
        <v/>
      </c>
      <c r="Z737" s="366">
        <f t="shared" si="70"/>
        <v>0</v>
      </c>
      <c r="AA737" s="299" t="str">
        <f t="shared" si="71"/>
        <v/>
      </c>
      <c r="AB737" s="300"/>
      <c r="AC737" s="301"/>
      <c r="AD737" s="302"/>
      <c r="AE737" s="303"/>
      <c r="AF737" s="304"/>
      <c r="AG737" s="304"/>
      <c r="AH737" s="304"/>
      <c r="AI737" s="304"/>
      <c r="AJ737" s="304"/>
      <c r="AK737" s="305"/>
      <c r="AL737" s="283"/>
      <c r="AM737" s="284"/>
    </row>
    <row r="738" ht="15.75" customHeight="1">
      <c r="A738" s="282">
        <f t="shared" si="1"/>
        <v>734</v>
      </c>
      <c r="B738" s="283"/>
      <c r="C738" s="284"/>
      <c r="D738" s="338"/>
      <c r="E738" s="286"/>
      <c r="F738" s="287"/>
      <c r="G738" s="288" t="str">
        <f>+IFERROR(VLOOKUP(F738,NVL!$B:$C,2,0),"")</f>
        <v/>
      </c>
      <c r="H738" s="288" t="str">
        <f>+IFERROR(VLOOKUP(F738,NVL!$B:$D,3,0),"")</f>
        <v/>
      </c>
      <c r="I738" s="288" t="str">
        <f>+IFERROR(VLOOKUP(F738,NVL!$B:$F,4,0),"")</f>
        <v/>
      </c>
      <c r="J738" s="289"/>
      <c r="K738" s="290"/>
      <c r="L738" s="291" t="str">
        <f>+IFERROR(VLOOKUP(K738,'THÀNH PHẨM'!$B:$F,3,0),"")</f>
        <v/>
      </c>
      <c r="M738" s="291" t="str">
        <f>+IFERROR(VLOOKUP(K738,'THÀNH PHẨM'!$B:$F,4,0),"")</f>
        <v/>
      </c>
      <c r="N738" s="291" t="str">
        <f>+IFERROR(VLOOKUP(K738,'THÀNH PHẨM'!$B:$F,5,0),"")</f>
        <v/>
      </c>
      <c r="O738" s="289"/>
      <c r="P738" s="292">
        <f t="shared" si="2"/>
        <v>0</v>
      </c>
      <c r="Q738" s="289"/>
      <c r="R738" s="289"/>
      <c r="S738" s="293">
        <f t="shared" si="62"/>
        <v>0</v>
      </c>
      <c r="T738" s="294"/>
      <c r="U738" s="295">
        <f t="shared" si="68"/>
        <v>0</v>
      </c>
      <c r="V738" s="296"/>
      <c r="W738" s="297"/>
      <c r="X738" s="298"/>
      <c r="Y738" s="292" t="str">
        <f t="shared" si="69"/>
        <v/>
      </c>
      <c r="Z738" s="366">
        <f t="shared" si="70"/>
        <v>0</v>
      </c>
      <c r="AA738" s="299" t="str">
        <f t="shared" si="71"/>
        <v/>
      </c>
      <c r="AB738" s="300"/>
      <c r="AC738" s="301"/>
      <c r="AD738" s="302"/>
      <c r="AE738" s="303"/>
      <c r="AF738" s="304"/>
      <c r="AG738" s="304"/>
      <c r="AH738" s="304"/>
      <c r="AI738" s="304"/>
      <c r="AJ738" s="304"/>
      <c r="AK738" s="305"/>
      <c r="AL738" s="283"/>
      <c r="AM738" s="284"/>
    </row>
    <row r="739" ht="15.75" customHeight="1">
      <c r="A739" s="282">
        <f t="shared" si="1"/>
        <v>735</v>
      </c>
      <c r="B739" s="283"/>
      <c r="C739" s="284"/>
      <c r="D739" s="338"/>
      <c r="E739" s="286"/>
      <c r="F739" s="287"/>
      <c r="G739" s="288" t="str">
        <f>+IFERROR(VLOOKUP(F739,NVL!$B:$C,2,0),"")</f>
        <v/>
      </c>
      <c r="H739" s="288" t="str">
        <f>+IFERROR(VLOOKUP(F739,NVL!$B:$D,3,0),"")</f>
        <v/>
      </c>
      <c r="I739" s="288" t="str">
        <f>+IFERROR(VLOOKUP(F739,NVL!$B:$F,4,0),"")</f>
        <v/>
      </c>
      <c r="J739" s="289"/>
      <c r="K739" s="290"/>
      <c r="L739" s="291" t="str">
        <f>+IFERROR(VLOOKUP(K739,'THÀNH PHẨM'!$B:$F,3,0),"")</f>
        <v/>
      </c>
      <c r="M739" s="291" t="str">
        <f>+IFERROR(VLOOKUP(K739,'THÀNH PHẨM'!$B:$F,4,0),"")</f>
        <v/>
      </c>
      <c r="N739" s="291" t="str">
        <f>+IFERROR(VLOOKUP(K739,'THÀNH PHẨM'!$B:$F,5,0),"")</f>
        <v/>
      </c>
      <c r="O739" s="289"/>
      <c r="P739" s="292">
        <f t="shared" si="2"/>
        <v>0</v>
      </c>
      <c r="Q739" s="289"/>
      <c r="R739" s="289"/>
      <c r="S739" s="293">
        <f t="shared" si="62"/>
        <v>0</v>
      </c>
      <c r="T739" s="294"/>
      <c r="U739" s="295">
        <f t="shared" si="68"/>
        <v>0</v>
      </c>
      <c r="V739" s="296"/>
      <c r="W739" s="297"/>
      <c r="X739" s="298"/>
      <c r="Y739" s="292" t="str">
        <f t="shared" si="69"/>
        <v/>
      </c>
      <c r="Z739" s="366">
        <f t="shared" si="70"/>
        <v>0</v>
      </c>
      <c r="AA739" s="299" t="str">
        <f t="shared" si="71"/>
        <v/>
      </c>
      <c r="AB739" s="300"/>
      <c r="AC739" s="301"/>
      <c r="AD739" s="302"/>
      <c r="AE739" s="303"/>
      <c r="AF739" s="304"/>
      <c r="AG739" s="304"/>
      <c r="AH739" s="304"/>
      <c r="AI739" s="304"/>
      <c r="AJ739" s="304"/>
      <c r="AK739" s="305"/>
      <c r="AL739" s="283"/>
      <c r="AM739" s="284"/>
    </row>
    <row r="740" ht="15.75" customHeight="1">
      <c r="A740" s="282">
        <f t="shared" si="1"/>
        <v>736</v>
      </c>
      <c r="B740" s="283"/>
      <c r="C740" s="284"/>
      <c r="D740" s="338"/>
      <c r="E740" s="286"/>
      <c r="F740" s="287"/>
      <c r="G740" s="288" t="str">
        <f>+IFERROR(VLOOKUP(F740,NVL!$B:$C,2,0),"")</f>
        <v/>
      </c>
      <c r="H740" s="288" t="str">
        <f>+IFERROR(VLOOKUP(F740,NVL!$B:$D,3,0),"")</f>
        <v/>
      </c>
      <c r="I740" s="288" t="str">
        <f>+IFERROR(VLOOKUP(F740,NVL!$B:$F,4,0),"")</f>
        <v/>
      </c>
      <c r="J740" s="289"/>
      <c r="K740" s="290"/>
      <c r="L740" s="291" t="str">
        <f>+IFERROR(VLOOKUP(K740,'THÀNH PHẨM'!$B:$F,3,0),"")</f>
        <v/>
      </c>
      <c r="M740" s="291" t="str">
        <f>+IFERROR(VLOOKUP(K740,'THÀNH PHẨM'!$B:$F,4,0),"")</f>
        <v/>
      </c>
      <c r="N740" s="291" t="str">
        <f>+IFERROR(VLOOKUP(K740,'THÀNH PHẨM'!$B:$F,5,0),"")</f>
        <v/>
      </c>
      <c r="O740" s="289"/>
      <c r="P740" s="292">
        <f t="shared" si="2"/>
        <v>0</v>
      </c>
      <c r="Q740" s="289"/>
      <c r="R740" s="289"/>
      <c r="S740" s="293">
        <f t="shared" si="62"/>
        <v>0</v>
      </c>
      <c r="T740" s="294"/>
      <c r="U740" s="295">
        <f t="shared" si="68"/>
        <v>0</v>
      </c>
      <c r="V740" s="296"/>
      <c r="W740" s="297"/>
      <c r="X740" s="298"/>
      <c r="Y740" s="292" t="str">
        <f t="shared" si="69"/>
        <v/>
      </c>
      <c r="Z740" s="366">
        <f t="shared" si="70"/>
        <v>0</v>
      </c>
      <c r="AA740" s="299" t="str">
        <f t="shared" si="71"/>
        <v/>
      </c>
      <c r="AB740" s="300"/>
      <c r="AC740" s="301"/>
      <c r="AD740" s="302"/>
      <c r="AE740" s="303"/>
      <c r="AF740" s="304"/>
      <c r="AG740" s="304"/>
      <c r="AH740" s="304"/>
      <c r="AI740" s="304"/>
      <c r="AJ740" s="304"/>
      <c r="AK740" s="305"/>
      <c r="AL740" s="283"/>
      <c r="AM740" s="284"/>
    </row>
    <row r="741" ht="15.75" customHeight="1">
      <c r="A741" s="282">
        <f t="shared" si="1"/>
        <v>737</v>
      </c>
      <c r="B741" s="283"/>
      <c r="C741" s="284"/>
      <c r="D741" s="338"/>
      <c r="E741" s="286"/>
      <c r="F741" s="287"/>
      <c r="G741" s="288" t="str">
        <f>+IFERROR(VLOOKUP(F741,NVL!$B:$C,2,0),"")</f>
        <v/>
      </c>
      <c r="H741" s="288" t="str">
        <f>+IFERROR(VLOOKUP(F741,NVL!$B:$D,3,0),"")</f>
        <v/>
      </c>
      <c r="I741" s="288" t="str">
        <f>+IFERROR(VLOOKUP(F741,NVL!$B:$F,4,0),"")</f>
        <v/>
      </c>
      <c r="J741" s="289"/>
      <c r="K741" s="290"/>
      <c r="L741" s="291" t="str">
        <f>+IFERROR(VLOOKUP(K741,'THÀNH PHẨM'!$B:$F,3,0),"")</f>
        <v/>
      </c>
      <c r="M741" s="291" t="str">
        <f>+IFERROR(VLOOKUP(K741,'THÀNH PHẨM'!$B:$F,4,0),"")</f>
        <v/>
      </c>
      <c r="N741" s="291" t="str">
        <f>+IFERROR(VLOOKUP(K741,'THÀNH PHẨM'!$B:$F,5,0),"")</f>
        <v/>
      </c>
      <c r="O741" s="289"/>
      <c r="P741" s="292">
        <f t="shared" si="2"/>
        <v>0</v>
      </c>
      <c r="Q741" s="289"/>
      <c r="R741" s="289"/>
      <c r="S741" s="293">
        <f t="shared" si="62"/>
        <v>0</v>
      </c>
      <c r="T741" s="294"/>
      <c r="U741" s="295">
        <f t="shared" si="68"/>
        <v>0</v>
      </c>
      <c r="V741" s="296"/>
      <c r="W741" s="297"/>
      <c r="X741" s="298"/>
      <c r="Y741" s="292" t="str">
        <f t="shared" si="69"/>
        <v/>
      </c>
      <c r="Z741" s="366">
        <f t="shared" si="70"/>
        <v>0</v>
      </c>
      <c r="AA741" s="299" t="str">
        <f t="shared" si="71"/>
        <v/>
      </c>
      <c r="AB741" s="300"/>
      <c r="AC741" s="301"/>
      <c r="AD741" s="302"/>
      <c r="AE741" s="303"/>
      <c r="AF741" s="304"/>
      <c r="AG741" s="304"/>
      <c r="AH741" s="304"/>
      <c r="AI741" s="304"/>
      <c r="AJ741" s="304"/>
      <c r="AK741" s="305"/>
      <c r="AL741" s="283"/>
      <c r="AM741" s="284"/>
    </row>
    <row r="742" ht="15.75" customHeight="1">
      <c r="A742" s="282">
        <f t="shared" si="1"/>
        <v>738</v>
      </c>
      <c r="B742" s="283"/>
      <c r="C742" s="284"/>
      <c r="D742" s="338"/>
      <c r="E742" s="286"/>
      <c r="F742" s="287"/>
      <c r="G742" s="288" t="str">
        <f>+IFERROR(VLOOKUP(F742,NVL!$B:$C,2,0),"")</f>
        <v/>
      </c>
      <c r="H742" s="288" t="str">
        <f>+IFERROR(VLOOKUP(F742,NVL!$B:$D,3,0),"")</f>
        <v/>
      </c>
      <c r="I742" s="288" t="str">
        <f>+IFERROR(VLOOKUP(F742,NVL!$B:$F,4,0),"")</f>
        <v/>
      </c>
      <c r="J742" s="289"/>
      <c r="K742" s="290"/>
      <c r="L742" s="291" t="str">
        <f>+IFERROR(VLOOKUP(K742,'THÀNH PHẨM'!$B:$F,3,0),"")</f>
        <v/>
      </c>
      <c r="M742" s="291" t="str">
        <f>+IFERROR(VLOOKUP(K742,'THÀNH PHẨM'!$B:$F,4,0),"")</f>
        <v/>
      </c>
      <c r="N742" s="291" t="str">
        <f>+IFERROR(VLOOKUP(K742,'THÀNH PHẨM'!$B:$F,5,0),"")</f>
        <v/>
      </c>
      <c r="O742" s="289"/>
      <c r="P742" s="292">
        <f t="shared" si="2"/>
        <v>0</v>
      </c>
      <c r="Q742" s="289"/>
      <c r="R742" s="289"/>
      <c r="S742" s="293">
        <f t="shared" si="62"/>
        <v>0</v>
      </c>
      <c r="T742" s="294"/>
      <c r="U742" s="295">
        <f t="shared" si="68"/>
        <v>0</v>
      </c>
      <c r="V742" s="296"/>
      <c r="W742" s="297"/>
      <c r="X742" s="298"/>
      <c r="Y742" s="292" t="str">
        <f t="shared" si="69"/>
        <v/>
      </c>
      <c r="Z742" s="366">
        <f t="shared" si="70"/>
        <v>0</v>
      </c>
      <c r="AA742" s="299" t="str">
        <f t="shared" si="71"/>
        <v/>
      </c>
      <c r="AB742" s="300"/>
      <c r="AC742" s="301"/>
      <c r="AD742" s="302"/>
      <c r="AE742" s="303"/>
      <c r="AF742" s="304"/>
      <c r="AG742" s="304"/>
      <c r="AH742" s="304"/>
      <c r="AI742" s="304"/>
      <c r="AJ742" s="304"/>
      <c r="AK742" s="305"/>
      <c r="AL742" s="283"/>
      <c r="AM742" s="284"/>
    </row>
    <row r="743" ht="15.75" customHeight="1">
      <c r="A743" s="282">
        <f t="shared" si="1"/>
        <v>739</v>
      </c>
      <c r="B743" s="283"/>
      <c r="C743" s="284"/>
      <c r="D743" s="338"/>
      <c r="E743" s="286"/>
      <c r="F743" s="287"/>
      <c r="G743" s="288" t="str">
        <f>+IFERROR(VLOOKUP(F743,NVL!$B:$C,2,0),"")</f>
        <v/>
      </c>
      <c r="H743" s="288" t="str">
        <f>+IFERROR(VLOOKUP(F743,NVL!$B:$D,3,0),"")</f>
        <v/>
      </c>
      <c r="I743" s="288" t="str">
        <f>+IFERROR(VLOOKUP(F743,NVL!$B:$F,4,0),"")</f>
        <v/>
      </c>
      <c r="J743" s="289"/>
      <c r="K743" s="290"/>
      <c r="L743" s="291" t="str">
        <f>+IFERROR(VLOOKUP(K743,'THÀNH PHẨM'!$B:$F,3,0),"")</f>
        <v/>
      </c>
      <c r="M743" s="291" t="str">
        <f>+IFERROR(VLOOKUP(K743,'THÀNH PHẨM'!$B:$F,4,0),"")</f>
        <v/>
      </c>
      <c r="N743" s="291" t="str">
        <f>+IFERROR(VLOOKUP(K743,'THÀNH PHẨM'!$B:$F,5,0),"")</f>
        <v/>
      </c>
      <c r="O743" s="289"/>
      <c r="P743" s="292">
        <f t="shared" si="2"/>
        <v>0</v>
      </c>
      <c r="Q743" s="289"/>
      <c r="R743" s="289"/>
      <c r="S743" s="293">
        <f t="shared" si="62"/>
        <v>0</v>
      </c>
      <c r="T743" s="294"/>
      <c r="U743" s="295">
        <f t="shared" si="68"/>
        <v>0</v>
      </c>
      <c r="V743" s="296"/>
      <c r="W743" s="297"/>
      <c r="X743" s="298"/>
      <c r="Y743" s="292" t="str">
        <f t="shared" si="69"/>
        <v/>
      </c>
      <c r="Z743" s="366">
        <f t="shared" si="70"/>
        <v>0</v>
      </c>
      <c r="AA743" s="299" t="str">
        <f t="shared" si="71"/>
        <v/>
      </c>
      <c r="AB743" s="300"/>
      <c r="AC743" s="301"/>
      <c r="AD743" s="302"/>
      <c r="AE743" s="303"/>
      <c r="AF743" s="304"/>
      <c r="AG743" s="304"/>
      <c r="AH743" s="304"/>
      <c r="AI743" s="304"/>
      <c r="AJ743" s="304"/>
      <c r="AK743" s="305"/>
      <c r="AL743" s="283"/>
      <c r="AM743" s="284"/>
    </row>
    <row r="744" ht="15.75" customHeight="1">
      <c r="A744" s="282">
        <f t="shared" si="1"/>
        <v>740</v>
      </c>
      <c r="B744" s="283"/>
      <c r="C744" s="335"/>
      <c r="D744" s="338"/>
      <c r="E744" s="286"/>
      <c r="F744" s="287"/>
      <c r="G744" s="288" t="str">
        <f>+IFERROR(VLOOKUP(F744,NVL!$B:$C,2,0),"")</f>
        <v/>
      </c>
      <c r="H744" s="288" t="str">
        <f>+IFERROR(VLOOKUP(F744,NVL!$B:$D,3,0),"")</f>
        <v/>
      </c>
      <c r="I744" s="288" t="str">
        <f>+IFERROR(VLOOKUP(F744,NVL!$B:$F,4,0),"")</f>
        <v/>
      </c>
      <c r="J744" s="289"/>
      <c r="K744" s="290"/>
      <c r="L744" s="291" t="str">
        <f>+IFERROR(VLOOKUP(K744,'THÀNH PHẨM'!$B:$F,3,0),"")</f>
        <v/>
      </c>
      <c r="M744" s="291" t="str">
        <f>+IFERROR(VLOOKUP(K744,'THÀNH PHẨM'!$B:$F,4,0),"")</f>
        <v/>
      </c>
      <c r="N744" s="291" t="str">
        <f>+IFERROR(VLOOKUP(K744,'THÀNH PHẨM'!$B:$F,5,0),"")</f>
        <v/>
      </c>
      <c r="O744" s="289"/>
      <c r="P744" s="292">
        <f t="shared" si="2"/>
        <v>0</v>
      </c>
      <c r="Q744" s="289"/>
      <c r="R744" s="289"/>
      <c r="S744" s="293">
        <f t="shared" si="62"/>
        <v>0</v>
      </c>
      <c r="T744" s="294"/>
      <c r="U744" s="295">
        <f t="shared" si="68"/>
        <v>0</v>
      </c>
      <c r="V744" s="296"/>
      <c r="W744" s="297"/>
      <c r="X744" s="298"/>
      <c r="Y744" s="292" t="str">
        <f t="shared" si="69"/>
        <v/>
      </c>
      <c r="Z744" s="366">
        <f t="shared" si="70"/>
        <v>0</v>
      </c>
      <c r="AA744" s="299" t="str">
        <f t="shared" si="71"/>
        <v/>
      </c>
      <c r="AB744" s="300"/>
      <c r="AC744" s="301"/>
      <c r="AD744" s="302"/>
      <c r="AE744" s="303"/>
      <c r="AF744" s="304"/>
      <c r="AG744" s="304"/>
      <c r="AH744" s="304"/>
      <c r="AI744" s="304"/>
      <c r="AJ744" s="304"/>
      <c r="AK744" s="305"/>
      <c r="AL744" s="283"/>
      <c r="AM744" s="284"/>
    </row>
    <row r="745" ht="15.75" customHeight="1">
      <c r="A745" s="282">
        <f t="shared" si="1"/>
        <v>741</v>
      </c>
      <c r="B745" s="283"/>
      <c r="C745" s="284"/>
      <c r="D745" s="338"/>
      <c r="E745" s="286"/>
      <c r="F745" s="287"/>
      <c r="G745" s="288" t="str">
        <f>+IFERROR(VLOOKUP(F745,NVL!$B:$C,2,0),"")</f>
        <v/>
      </c>
      <c r="H745" s="288" t="str">
        <f>+IFERROR(VLOOKUP(F745,NVL!$B:$D,3,0),"")</f>
        <v/>
      </c>
      <c r="I745" s="288" t="str">
        <f>+IFERROR(VLOOKUP(F745,NVL!$B:$F,4,0),"")</f>
        <v/>
      </c>
      <c r="J745" s="289"/>
      <c r="K745" s="290"/>
      <c r="L745" s="291" t="str">
        <f>+IFERROR(VLOOKUP(K745,'THÀNH PHẨM'!$B:$F,3,0),"")</f>
        <v/>
      </c>
      <c r="M745" s="291" t="str">
        <f>+IFERROR(VLOOKUP(K745,'THÀNH PHẨM'!$B:$F,4,0),"")</f>
        <v/>
      </c>
      <c r="N745" s="291" t="str">
        <f>+IFERROR(VLOOKUP(K745,'THÀNH PHẨM'!$B:$F,5,0),"")</f>
        <v/>
      </c>
      <c r="O745" s="289"/>
      <c r="P745" s="292">
        <f t="shared" si="2"/>
        <v>0</v>
      </c>
      <c r="Q745" s="289"/>
      <c r="R745" s="289"/>
      <c r="S745" s="293">
        <f t="shared" si="62"/>
        <v>0</v>
      </c>
      <c r="T745" s="294"/>
      <c r="U745" s="295">
        <f t="shared" si="68"/>
        <v>0</v>
      </c>
      <c r="V745" s="296"/>
      <c r="W745" s="297"/>
      <c r="X745" s="298"/>
      <c r="Y745" s="292" t="str">
        <f t="shared" si="69"/>
        <v/>
      </c>
      <c r="Z745" s="366">
        <f t="shared" si="70"/>
        <v>0</v>
      </c>
      <c r="AA745" s="299" t="str">
        <f t="shared" si="71"/>
        <v/>
      </c>
      <c r="AB745" s="300"/>
      <c r="AC745" s="301"/>
      <c r="AD745" s="302"/>
      <c r="AE745" s="303"/>
      <c r="AF745" s="304"/>
      <c r="AG745" s="304"/>
      <c r="AH745" s="304"/>
      <c r="AI745" s="304"/>
      <c r="AJ745" s="304"/>
      <c r="AK745" s="305"/>
      <c r="AL745" s="283"/>
      <c r="AM745" s="284"/>
    </row>
    <row r="746" ht="15.75" customHeight="1">
      <c r="A746" s="282">
        <f t="shared" si="1"/>
        <v>742</v>
      </c>
      <c r="B746" s="283"/>
      <c r="C746" s="284"/>
      <c r="D746" s="338"/>
      <c r="E746" s="286"/>
      <c r="F746" s="287"/>
      <c r="G746" s="288" t="str">
        <f>+IFERROR(VLOOKUP(F746,NVL!$B:$C,2,0),"")</f>
        <v/>
      </c>
      <c r="H746" s="288" t="str">
        <f>+IFERROR(VLOOKUP(F746,NVL!$B:$D,3,0),"")</f>
        <v/>
      </c>
      <c r="I746" s="288" t="str">
        <f>+IFERROR(VLOOKUP(F746,NVL!$B:$F,4,0),"")</f>
        <v/>
      </c>
      <c r="J746" s="289"/>
      <c r="K746" s="290"/>
      <c r="L746" s="291" t="str">
        <f>+IFERROR(VLOOKUP(K746,'THÀNH PHẨM'!$B:$F,3,0),"")</f>
        <v/>
      </c>
      <c r="M746" s="291" t="str">
        <f>+IFERROR(VLOOKUP(K746,'THÀNH PHẨM'!$B:$F,4,0),"")</f>
        <v/>
      </c>
      <c r="N746" s="291" t="str">
        <f>+IFERROR(VLOOKUP(K746,'THÀNH PHẨM'!$B:$F,5,0),"")</f>
        <v/>
      </c>
      <c r="O746" s="289"/>
      <c r="P746" s="292">
        <f t="shared" si="2"/>
        <v>0</v>
      </c>
      <c r="Q746" s="289"/>
      <c r="R746" s="289"/>
      <c r="S746" s="293">
        <f t="shared" si="62"/>
        <v>0</v>
      </c>
      <c r="T746" s="294"/>
      <c r="U746" s="295">
        <f t="shared" si="68"/>
        <v>0</v>
      </c>
      <c r="V746" s="296"/>
      <c r="W746" s="297"/>
      <c r="X746" s="298"/>
      <c r="Y746" s="292" t="str">
        <f t="shared" si="69"/>
        <v/>
      </c>
      <c r="Z746" s="366">
        <f t="shared" si="70"/>
        <v>0</v>
      </c>
      <c r="AA746" s="299" t="str">
        <f t="shared" si="71"/>
        <v/>
      </c>
      <c r="AB746" s="300"/>
      <c r="AC746" s="301"/>
      <c r="AD746" s="302"/>
      <c r="AE746" s="303"/>
      <c r="AF746" s="304"/>
      <c r="AG746" s="304"/>
      <c r="AH746" s="304"/>
      <c r="AI746" s="304"/>
      <c r="AJ746" s="304"/>
      <c r="AK746" s="305"/>
      <c r="AL746" s="283"/>
      <c r="AM746" s="284"/>
    </row>
    <row r="747" ht="15.75" customHeight="1">
      <c r="A747" s="282">
        <f t="shared" si="1"/>
        <v>743</v>
      </c>
      <c r="B747" s="283"/>
      <c r="C747" s="284"/>
      <c r="D747" s="338"/>
      <c r="E747" s="286"/>
      <c r="F747" s="287"/>
      <c r="G747" s="288" t="str">
        <f>+IFERROR(VLOOKUP(F747,NVL!$B:$C,2,0),"")</f>
        <v/>
      </c>
      <c r="H747" s="288" t="str">
        <f>+IFERROR(VLOOKUP(F747,NVL!$B:$D,3,0),"")</f>
        <v/>
      </c>
      <c r="I747" s="288" t="str">
        <f>+IFERROR(VLOOKUP(F747,NVL!$B:$F,4,0),"")</f>
        <v/>
      </c>
      <c r="J747" s="289"/>
      <c r="K747" s="290"/>
      <c r="L747" s="291" t="str">
        <f>+IFERROR(VLOOKUP(K747,'THÀNH PHẨM'!$B:$F,3,0),"")</f>
        <v/>
      </c>
      <c r="M747" s="291" t="str">
        <f>+IFERROR(VLOOKUP(K747,'THÀNH PHẨM'!$B:$F,4,0),"")</f>
        <v/>
      </c>
      <c r="N747" s="291" t="str">
        <f>+IFERROR(VLOOKUP(K747,'THÀNH PHẨM'!$B:$F,5,0),"")</f>
        <v/>
      </c>
      <c r="O747" s="289"/>
      <c r="P747" s="292">
        <f t="shared" si="2"/>
        <v>0</v>
      </c>
      <c r="Q747" s="289"/>
      <c r="R747" s="289"/>
      <c r="S747" s="293">
        <f t="shared" si="62"/>
        <v>0</v>
      </c>
      <c r="T747" s="294"/>
      <c r="U747" s="295">
        <f t="shared" si="68"/>
        <v>0</v>
      </c>
      <c r="V747" s="296"/>
      <c r="W747" s="297"/>
      <c r="X747" s="298"/>
      <c r="Y747" s="292" t="str">
        <f t="shared" si="69"/>
        <v/>
      </c>
      <c r="Z747" s="366">
        <f t="shared" si="70"/>
        <v>0</v>
      </c>
      <c r="AA747" s="299" t="str">
        <f t="shared" si="71"/>
        <v/>
      </c>
      <c r="AB747" s="300"/>
      <c r="AC747" s="301"/>
      <c r="AD747" s="302"/>
      <c r="AE747" s="303"/>
      <c r="AF747" s="304"/>
      <c r="AG747" s="304"/>
      <c r="AH747" s="304"/>
      <c r="AI747" s="304"/>
      <c r="AJ747" s="304"/>
      <c r="AK747" s="305"/>
      <c r="AL747" s="283"/>
      <c r="AM747" s="284"/>
    </row>
    <row r="748" ht="15.75" customHeight="1">
      <c r="A748" s="282">
        <f t="shared" si="1"/>
        <v>744</v>
      </c>
      <c r="B748" s="283"/>
      <c r="C748" s="284"/>
      <c r="D748" s="338"/>
      <c r="E748" s="286"/>
      <c r="F748" s="287"/>
      <c r="G748" s="288" t="str">
        <f>+IFERROR(VLOOKUP(F748,NVL!$B:$C,2,0),"")</f>
        <v/>
      </c>
      <c r="H748" s="288" t="str">
        <f>+IFERROR(VLOOKUP(F748,NVL!$B:$D,3,0),"")</f>
        <v/>
      </c>
      <c r="I748" s="288" t="str">
        <f>+IFERROR(VLOOKUP(F748,NVL!$B:$F,4,0),"")</f>
        <v/>
      </c>
      <c r="J748" s="289"/>
      <c r="K748" s="290"/>
      <c r="L748" s="291" t="str">
        <f>+IFERROR(VLOOKUP(K748,'THÀNH PHẨM'!$B:$F,3,0),"")</f>
        <v/>
      </c>
      <c r="M748" s="291" t="str">
        <f>+IFERROR(VLOOKUP(K748,'THÀNH PHẨM'!$B:$F,4,0),"")</f>
        <v/>
      </c>
      <c r="N748" s="291" t="str">
        <f>+IFERROR(VLOOKUP(K748,'THÀNH PHẨM'!$B:$F,5,0),"")</f>
        <v/>
      </c>
      <c r="O748" s="289"/>
      <c r="P748" s="292">
        <f t="shared" si="2"/>
        <v>0</v>
      </c>
      <c r="Q748" s="289"/>
      <c r="R748" s="289"/>
      <c r="S748" s="293">
        <f t="shared" si="62"/>
        <v>0</v>
      </c>
      <c r="T748" s="294"/>
      <c r="U748" s="295">
        <f t="shared" si="68"/>
        <v>0</v>
      </c>
      <c r="V748" s="296"/>
      <c r="W748" s="297"/>
      <c r="X748" s="298"/>
      <c r="Y748" s="292" t="str">
        <f t="shared" si="69"/>
        <v/>
      </c>
      <c r="Z748" s="366">
        <f t="shared" si="70"/>
        <v>0</v>
      </c>
      <c r="AA748" s="299" t="str">
        <f t="shared" si="71"/>
        <v/>
      </c>
      <c r="AB748" s="300"/>
      <c r="AC748" s="301"/>
      <c r="AD748" s="302"/>
      <c r="AE748" s="303"/>
      <c r="AF748" s="304"/>
      <c r="AG748" s="304"/>
      <c r="AH748" s="304"/>
      <c r="AI748" s="304"/>
      <c r="AJ748" s="304"/>
      <c r="AK748" s="305"/>
      <c r="AL748" s="283"/>
      <c r="AM748" s="284"/>
    </row>
    <row r="749" ht="15.75" customHeight="1">
      <c r="A749" s="282">
        <f t="shared" si="1"/>
        <v>745</v>
      </c>
      <c r="B749" s="283"/>
      <c r="C749" s="284"/>
      <c r="D749" s="338"/>
      <c r="E749" s="286"/>
      <c r="F749" s="287"/>
      <c r="G749" s="288" t="str">
        <f>+IFERROR(VLOOKUP(F749,NVL!$B:$C,2,0),"")</f>
        <v/>
      </c>
      <c r="H749" s="288" t="str">
        <f>+IFERROR(VLOOKUP(F749,NVL!$B:$D,3,0),"")</f>
        <v/>
      </c>
      <c r="I749" s="288" t="str">
        <f>+IFERROR(VLOOKUP(F749,NVL!$B:$F,4,0),"")</f>
        <v/>
      </c>
      <c r="J749" s="289"/>
      <c r="K749" s="290"/>
      <c r="L749" s="291" t="str">
        <f>+IFERROR(VLOOKUP(K749,'THÀNH PHẨM'!$B:$F,3,0),"")</f>
        <v/>
      </c>
      <c r="M749" s="291" t="str">
        <f>+IFERROR(VLOOKUP(K749,'THÀNH PHẨM'!$B:$F,4,0),"")</f>
        <v/>
      </c>
      <c r="N749" s="291" t="str">
        <f>+IFERROR(VLOOKUP(K749,'THÀNH PHẨM'!$B:$F,5,0),"")</f>
        <v/>
      </c>
      <c r="O749" s="289"/>
      <c r="P749" s="292">
        <f t="shared" si="2"/>
        <v>0</v>
      </c>
      <c r="Q749" s="289"/>
      <c r="R749" s="289"/>
      <c r="S749" s="293">
        <f t="shared" si="62"/>
        <v>0</v>
      </c>
      <c r="T749" s="294"/>
      <c r="U749" s="295">
        <f t="shared" si="68"/>
        <v>0</v>
      </c>
      <c r="V749" s="296"/>
      <c r="W749" s="297"/>
      <c r="X749" s="298"/>
      <c r="Y749" s="292" t="str">
        <f t="shared" si="69"/>
        <v/>
      </c>
      <c r="Z749" s="366">
        <f t="shared" si="70"/>
        <v>0</v>
      </c>
      <c r="AA749" s="299" t="str">
        <f t="shared" si="71"/>
        <v/>
      </c>
      <c r="AB749" s="300"/>
      <c r="AC749" s="301"/>
      <c r="AD749" s="302"/>
      <c r="AE749" s="303"/>
      <c r="AF749" s="304"/>
      <c r="AG749" s="304"/>
      <c r="AH749" s="304"/>
      <c r="AI749" s="304"/>
      <c r="AJ749" s="304"/>
      <c r="AK749" s="305"/>
      <c r="AL749" s="283"/>
      <c r="AM749" s="284"/>
    </row>
    <row r="750" ht="15.75" customHeight="1">
      <c r="A750" s="282">
        <f t="shared" si="1"/>
        <v>746</v>
      </c>
      <c r="B750" s="283"/>
      <c r="C750" s="284"/>
      <c r="D750" s="338"/>
      <c r="E750" s="286"/>
      <c r="F750" s="287"/>
      <c r="G750" s="288" t="str">
        <f>+IFERROR(VLOOKUP(F750,NVL!$B:$C,2,0),"")</f>
        <v/>
      </c>
      <c r="H750" s="288" t="str">
        <f>+IFERROR(VLOOKUP(F750,NVL!$B:$D,3,0),"")</f>
        <v/>
      </c>
      <c r="I750" s="288" t="str">
        <f>+IFERROR(VLOOKUP(F750,NVL!$B:$F,4,0),"")</f>
        <v/>
      </c>
      <c r="J750" s="289"/>
      <c r="K750" s="290"/>
      <c r="L750" s="291" t="str">
        <f>+IFERROR(VLOOKUP(K750,'THÀNH PHẨM'!$B:$F,3,0),"")</f>
        <v/>
      </c>
      <c r="M750" s="291" t="str">
        <f>+IFERROR(VLOOKUP(K750,'THÀNH PHẨM'!$B:$F,4,0),"")</f>
        <v/>
      </c>
      <c r="N750" s="291" t="str">
        <f>+IFERROR(VLOOKUP(K750,'THÀNH PHẨM'!$B:$F,5,0),"")</f>
        <v/>
      </c>
      <c r="O750" s="289"/>
      <c r="P750" s="292">
        <f t="shared" si="2"/>
        <v>0</v>
      </c>
      <c r="Q750" s="289"/>
      <c r="R750" s="289"/>
      <c r="S750" s="293">
        <f t="shared" si="62"/>
        <v>0</v>
      </c>
      <c r="T750" s="294"/>
      <c r="U750" s="295">
        <f t="shared" si="68"/>
        <v>0</v>
      </c>
      <c r="V750" s="296"/>
      <c r="W750" s="297"/>
      <c r="X750" s="298"/>
      <c r="Y750" s="292" t="str">
        <f t="shared" si="69"/>
        <v/>
      </c>
      <c r="Z750" s="366">
        <f t="shared" si="70"/>
        <v>0</v>
      </c>
      <c r="AA750" s="299" t="str">
        <f t="shared" si="71"/>
        <v/>
      </c>
      <c r="AB750" s="300"/>
      <c r="AC750" s="301"/>
      <c r="AD750" s="302"/>
      <c r="AE750" s="303"/>
      <c r="AF750" s="304"/>
      <c r="AG750" s="304"/>
      <c r="AH750" s="304"/>
      <c r="AI750" s="304"/>
      <c r="AJ750" s="304"/>
      <c r="AK750" s="305"/>
      <c r="AL750" s="283"/>
      <c r="AM750" s="284"/>
    </row>
    <row r="751" ht="15.75" customHeight="1">
      <c r="A751" s="282">
        <f t="shared" si="1"/>
        <v>747</v>
      </c>
      <c r="B751" s="283"/>
      <c r="C751" s="284"/>
      <c r="D751" s="338"/>
      <c r="E751" s="286"/>
      <c r="F751" s="287"/>
      <c r="G751" s="288" t="str">
        <f>+IFERROR(VLOOKUP(F751,NVL!$B:$C,2,0),"")</f>
        <v/>
      </c>
      <c r="H751" s="288" t="str">
        <f>+IFERROR(VLOOKUP(F751,NVL!$B:$D,3,0),"")</f>
        <v/>
      </c>
      <c r="I751" s="288" t="str">
        <f>+IFERROR(VLOOKUP(F751,NVL!$B:$F,4,0),"")</f>
        <v/>
      </c>
      <c r="J751" s="289"/>
      <c r="K751" s="290"/>
      <c r="L751" s="291" t="str">
        <f>+IFERROR(VLOOKUP(K751,'THÀNH PHẨM'!$B:$F,3,0),"")</f>
        <v/>
      </c>
      <c r="M751" s="291" t="str">
        <f>+IFERROR(VLOOKUP(K751,'THÀNH PHẨM'!$B:$F,4,0),"")</f>
        <v/>
      </c>
      <c r="N751" s="291" t="str">
        <f>+IFERROR(VLOOKUP(K751,'THÀNH PHẨM'!$B:$F,5,0),"")</f>
        <v/>
      </c>
      <c r="O751" s="289"/>
      <c r="P751" s="292">
        <f t="shared" si="2"/>
        <v>0</v>
      </c>
      <c r="Q751" s="289"/>
      <c r="R751" s="289"/>
      <c r="S751" s="293">
        <f t="shared" si="62"/>
        <v>0</v>
      </c>
      <c r="T751" s="294"/>
      <c r="U751" s="295">
        <f t="shared" si="68"/>
        <v>0</v>
      </c>
      <c r="V751" s="296"/>
      <c r="W751" s="297"/>
      <c r="X751" s="298"/>
      <c r="Y751" s="292" t="str">
        <f t="shared" si="69"/>
        <v/>
      </c>
      <c r="Z751" s="366">
        <f t="shared" si="70"/>
        <v>0</v>
      </c>
      <c r="AA751" s="299" t="str">
        <f t="shared" si="71"/>
        <v/>
      </c>
      <c r="AB751" s="300"/>
      <c r="AC751" s="301"/>
      <c r="AD751" s="302"/>
      <c r="AE751" s="303"/>
      <c r="AF751" s="304"/>
      <c r="AG751" s="304"/>
      <c r="AH751" s="304"/>
      <c r="AI751" s="304"/>
      <c r="AJ751" s="304"/>
      <c r="AK751" s="305"/>
      <c r="AL751" s="283"/>
      <c r="AM751" s="284"/>
    </row>
    <row r="752" ht="15.75" customHeight="1">
      <c r="A752" s="282">
        <f t="shared" si="1"/>
        <v>748</v>
      </c>
      <c r="B752" s="283"/>
      <c r="C752" s="284"/>
      <c r="D752" s="338"/>
      <c r="E752" s="286"/>
      <c r="F752" s="287"/>
      <c r="G752" s="288" t="str">
        <f>+IFERROR(VLOOKUP(F752,NVL!$B:$C,2,0),"")</f>
        <v/>
      </c>
      <c r="H752" s="288" t="str">
        <f>+IFERROR(VLOOKUP(F752,NVL!$B:$D,3,0),"")</f>
        <v/>
      </c>
      <c r="I752" s="288" t="str">
        <f>+IFERROR(VLOOKUP(F752,NVL!$B:$F,4,0),"")</f>
        <v/>
      </c>
      <c r="J752" s="289"/>
      <c r="K752" s="290"/>
      <c r="L752" s="291" t="str">
        <f>+IFERROR(VLOOKUP(K752,'THÀNH PHẨM'!$B:$F,3,0),"")</f>
        <v/>
      </c>
      <c r="M752" s="291" t="str">
        <f>+IFERROR(VLOOKUP(K752,'THÀNH PHẨM'!$B:$F,4,0),"")</f>
        <v/>
      </c>
      <c r="N752" s="291" t="str">
        <f>+IFERROR(VLOOKUP(K752,'THÀNH PHẨM'!$B:$F,5,0),"")</f>
        <v/>
      </c>
      <c r="O752" s="289"/>
      <c r="P752" s="292">
        <f t="shared" si="2"/>
        <v>0</v>
      </c>
      <c r="Q752" s="289"/>
      <c r="R752" s="289"/>
      <c r="S752" s="293">
        <f t="shared" si="62"/>
        <v>0</v>
      </c>
      <c r="T752" s="294"/>
      <c r="U752" s="295">
        <f t="shared" si="68"/>
        <v>0</v>
      </c>
      <c r="V752" s="296"/>
      <c r="W752" s="297"/>
      <c r="X752" s="298"/>
      <c r="Y752" s="292" t="str">
        <f t="shared" si="69"/>
        <v/>
      </c>
      <c r="Z752" s="366">
        <f t="shared" si="70"/>
        <v>0</v>
      </c>
      <c r="AA752" s="299" t="str">
        <f t="shared" si="71"/>
        <v/>
      </c>
      <c r="AB752" s="300"/>
      <c r="AC752" s="301"/>
      <c r="AD752" s="302"/>
      <c r="AE752" s="303"/>
      <c r="AF752" s="304"/>
      <c r="AG752" s="304"/>
      <c r="AH752" s="304"/>
      <c r="AI752" s="304"/>
      <c r="AJ752" s="304"/>
      <c r="AK752" s="305"/>
      <c r="AL752" s="283"/>
      <c r="AM752" s="284"/>
    </row>
    <row r="753" ht="15.75" customHeight="1">
      <c r="A753" s="282">
        <f t="shared" si="1"/>
        <v>749</v>
      </c>
      <c r="B753" s="283"/>
      <c r="C753" s="284"/>
      <c r="D753" s="338"/>
      <c r="E753" s="286"/>
      <c r="F753" s="287"/>
      <c r="G753" s="288" t="str">
        <f>+IFERROR(VLOOKUP(F753,NVL!$B:$C,2,0),"")</f>
        <v/>
      </c>
      <c r="H753" s="288" t="str">
        <f>+IFERROR(VLOOKUP(F753,NVL!$B:$D,3,0),"")</f>
        <v/>
      </c>
      <c r="I753" s="288" t="str">
        <f>+IFERROR(VLOOKUP(F753,NVL!$B:$F,4,0),"")</f>
        <v/>
      </c>
      <c r="J753" s="289"/>
      <c r="K753" s="290"/>
      <c r="L753" s="291" t="str">
        <f>+IFERROR(VLOOKUP(K753,'THÀNH PHẨM'!$B:$F,3,0),"")</f>
        <v/>
      </c>
      <c r="M753" s="291" t="str">
        <f>+IFERROR(VLOOKUP(K753,'THÀNH PHẨM'!$B:$F,4,0),"")</f>
        <v/>
      </c>
      <c r="N753" s="291" t="str">
        <f>+IFERROR(VLOOKUP(K753,'THÀNH PHẨM'!$B:$F,5,0),"")</f>
        <v/>
      </c>
      <c r="O753" s="289"/>
      <c r="P753" s="292">
        <f t="shared" si="2"/>
        <v>0</v>
      </c>
      <c r="Q753" s="289"/>
      <c r="R753" s="289"/>
      <c r="S753" s="293">
        <f t="shared" si="62"/>
        <v>0</v>
      </c>
      <c r="T753" s="294"/>
      <c r="U753" s="295">
        <f t="shared" si="68"/>
        <v>0</v>
      </c>
      <c r="V753" s="296"/>
      <c r="W753" s="297"/>
      <c r="X753" s="298"/>
      <c r="Y753" s="292" t="str">
        <f t="shared" si="69"/>
        <v/>
      </c>
      <c r="Z753" s="366">
        <f t="shared" si="70"/>
        <v>0</v>
      </c>
      <c r="AA753" s="299" t="str">
        <f t="shared" si="71"/>
        <v/>
      </c>
      <c r="AB753" s="300"/>
      <c r="AC753" s="301"/>
      <c r="AD753" s="302"/>
      <c r="AE753" s="303"/>
      <c r="AF753" s="304"/>
      <c r="AG753" s="304"/>
      <c r="AH753" s="304"/>
      <c r="AI753" s="304"/>
      <c r="AJ753" s="304"/>
      <c r="AK753" s="305"/>
      <c r="AL753" s="283"/>
      <c r="AM753" s="284"/>
    </row>
    <row r="754" ht="15.75" customHeight="1">
      <c r="A754" s="282">
        <f t="shared" si="1"/>
        <v>750</v>
      </c>
      <c r="B754" s="283"/>
      <c r="C754" s="284"/>
      <c r="D754" s="338"/>
      <c r="E754" s="286"/>
      <c r="F754" s="287"/>
      <c r="G754" s="288" t="str">
        <f>+IFERROR(VLOOKUP(F754,NVL!$B:$C,2,0),"")</f>
        <v/>
      </c>
      <c r="H754" s="288" t="str">
        <f>+IFERROR(VLOOKUP(F754,NVL!$B:$D,3,0),"")</f>
        <v/>
      </c>
      <c r="I754" s="288" t="str">
        <f>+IFERROR(VLOOKUP(F754,NVL!$B:$F,4,0),"")</f>
        <v/>
      </c>
      <c r="J754" s="289"/>
      <c r="K754" s="290"/>
      <c r="L754" s="291" t="str">
        <f>+IFERROR(VLOOKUP(K754,'THÀNH PHẨM'!$B:$F,3,0),"")</f>
        <v/>
      </c>
      <c r="M754" s="291" t="str">
        <f>+IFERROR(VLOOKUP(K754,'THÀNH PHẨM'!$B:$F,4,0),"")</f>
        <v/>
      </c>
      <c r="N754" s="291" t="str">
        <f>+IFERROR(VLOOKUP(K754,'THÀNH PHẨM'!$B:$F,5,0),"")</f>
        <v/>
      </c>
      <c r="O754" s="289"/>
      <c r="P754" s="292">
        <f t="shared" si="2"/>
        <v>0</v>
      </c>
      <c r="Q754" s="289"/>
      <c r="R754" s="289"/>
      <c r="S754" s="293">
        <f t="shared" si="62"/>
        <v>0</v>
      </c>
      <c r="T754" s="294"/>
      <c r="U754" s="295">
        <f t="shared" si="68"/>
        <v>0</v>
      </c>
      <c r="V754" s="296"/>
      <c r="W754" s="297"/>
      <c r="X754" s="298"/>
      <c r="Y754" s="292" t="str">
        <f t="shared" si="69"/>
        <v/>
      </c>
      <c r="Z754" s="366">
        <f t="shared" si="70"/>
        <v>0</v>
      </c>
      <c r="AA754" s="299" t="str">
        <f t="shared" si="71"/>
        <v/>
      </c>
      <c r="AB754" s="300"/>
      <c r="AC754" s="301"/>
      <c r="AD754" s="302"/>
      <c r="AE754" s="303"/>
      <c r="AF754" s="304"/>
      <c r="AG754" s="304"/>
      <c r="AH754" s="304"/>
      <c r="AI754" s="304"/>
      <c r="AJ754" s="304"/>
      <c r="AK754" s="305"/>
      <c r="AL754" s="283"/>
      <c r="AM754" s="284"/>
    </row>
    <row r="755" ht="15.75" customHeight="1">
      <c r="A755" s="282">
        <f t="shared" si="1"/>
        <v>751</v>
      </c>
      <c r="B755" s="283"/>
      <c r="C755" s="284"/>
      <c r="D755" s="338"/>
      <c r="E755" s="286"/>
      <c r="F755" s="287"/>
      <c r="G755" s="288" t="str">
        <f>+IFERROR(VLOOKUP(F755,NVL!$B:$C,2,0),"")</f>
        <v/>
      </c>
      <c r="H755" s="288" t="str">
        <f>+IFERROR(VLOOKUP(F755,NVL!$B:$D,3,0),"")</f>
        <v/>
      </c>
      <c r="I755" s="288" t="str">
        <f>+IFERROR(VLOOKUP(F755,NVL!$B:$F,4,0),"")</f>
        <v/>
      </c>
      <c r="J755" s="289"/>
      <c r="K755" s="290"/>
      <c r="L755" s="291" t="str">
        <f>+IFERROR(VLOOKUP(K755,'THÀNH PHẨM'!$B:$F,3,0),"")</f>
        <v/>
      </c>
      <c r="M755" s="291" t="str">
        <f>+IFERROR(VLOOKUP(K755,'THÀNH PHẨM'!$B:$F,4,0),"")</f>
        <v/>
      </c>
      <c r="N755" s="291" t="str">
        <f>+IFERROR(VLOOKUP(K755,'THÀNH PHẨM'!$B:$F,5,0),"")</f>
        <v/>
      </c>
      <c r="O755" s="289"/>
      <c r="P755" s="292">
        <f t="shared" si="2"/>
        <v>0</v>
      </c>
      <c r="Q755" s="289"/>
      <c r="R755" s="289"/>
      <c r="S755" s="293">
        <f t="shared" si="62"/>
        <v>0</v>
      </c>
      <c r="T755" s="294"/>
      <c r="U755" s="295">
        <f t="shared" si="68"/>
        <v>0</v>
      </c>
      <c r="V755" s="296"/>
      <c r="W755" s="297"/>
      <c r="X755" s="298"/>
      <c r="Y755" s="292" t="str">
        <f t="shared" si="69"/>
        <v/>
      </c>
      <c r="Z755" s="366">
        <f t="shared" si="70"/>
        <v>0</v>
      </c>
      <c r="AA755" s="299" t="str">
        <f t="shared" si="71"/>
        <v/>
      </c>
      <c r="AB755" s="300"/>
      <c r="AC755" s="301"/>
      <c r="AD755" s="302"/>
      <c r="AE755" s="303"/>
      <c r="AF755" s="304"/>
      <c r="AG755" s="304"/>
      <c r="AH755" s="304"/>
      <c r="AI755" s="304"/>
      <c r="AJ755" s="304"/>
      <c r="AK755" s="305"/>
      <c r="AL755" s="283"/>
      <c r="AM755" s="284"/>
    </row>
    <row r="756" ht="15.75" customHeight="1">
      <c r="A756" s="282">
        <f t="shared" si="1"/>
        <v>752</v>
      </c>
      <c r="B756" s="283"/>
      <c r="C756" s="284"/>
      <c r="D756" s="338"/>
      <c r="E756" s="286"/>
      <c r="F756" s="287"/>
      <c r="G756" s="288" t="str">
        <f>+IFERROR(VLOOKUP(F756,NVL!$B:$C,2,0),"")</f>
        <v/>
      </c>
      <c r="H756" s="288" t="str">
        <f>+IFERROR(VLOOKUP(F756,NVL!$B:$D,3,0),"")</f>
        <v/>
      </c>
      <c r="I756" s="288" t="str">
        <f>+IFERROR(VLOOKUP(F756,NVL!$B:$F,4,0),"")</f>
        <v/>
      </c>
      <c r="J756" s="289"/>
      <c r="K756" s="290"/>
      <c r="L756" s="291" t="str">
        <f>+IFERROR(VLOOKUP(K756,'THÀNH PHẨM'!$B:$F,3,0),"")</f>
        <v/>
      </c>
      <c r="M756" s="291" t="str">
        <f>+IFERROR(VLOOKUP(K756,'THÀNH PHẨM'!$B:$F,4,0),"")</f>
        <v/>
      </c>
      <c r="N756" s="291" t="str">
        <f>+IFERROR(VLOOKUP(K756,'THÀNH PHẨM'!$B:$F,5,0),"")</f>
        <v/>
      </c>
      <c r="O756" s="289"/>
      <c r="P756" s="292">
        <f t="shared" si="2"/>
        <v>0</v>
      </c>
      <c r="Q756" s="289"/>
      <c r="R756" s="289"/>
      <c r="S756" s="293">
        <f t="shared" si="62"/>
        <v>0</v>
      </c>
      <c r="T756" s="294"/>
      <c r="U756" s="295">
        <f t="shared" si="68"/>
        <v>0</v>
      </c>
      <c r="V756" s="296"/>
      <c r="W756" s="297"/>
      <c r="X756" s="298"/>
      <c r="Y756" s="292" t="str">
        <f t="shared" si="69"/>
        <v/>
      </c>
      <c r="Z756" s="366">
        <f t="shared" si="70"/>
        <v>0</v>
      </c>
      <c r="AA756" s="299" t="str">
        <f t="shared" si="71"/>
        <v/>
      </c>
      <c r="AB756" s="300"/>
      <c r="AC756" s="301"/>
      <c r="AD756" s="302"/>
      <c r="AE756" s="303"/>
      <c r="AF756" s="304"/>
      <c r="AG756" s="304"/>
      <c r="AH756" s="304"/>
      <c r="AI756" s="304"/>
      <c r="AJ756" s="304"/>
      <c r="AK756" s="305"/>
      <c r="AL756" s="283"/>
      <c r="AM756" s="284"/>
    </row>
    <row r="757" ht="15.75" customHeight="1">
      <c r="A757" s="282">
        <f t="shared" si="1"/>
        <v>753</v>
      </c>
      <c r="B757" s="283"/>
      <c r="C757" s="284"/>
      <c r="D757" s="338"/>
      <c r="E757" s="286"/>
      <c r="F757" s="287"/>
      <c r="G757" s="288" t="str">
        <f>+IFERROR(VLOOKUP(F757,NVL!$B:$C,2,0),"")</f>
        <v/>
      </c>
      <c r="H757" s="288" t="str">
        <f>+IFERROR(VLOOKUP(F757,NVL!$B:$D,3,0),"")</f>
        <v/>
      </c>
      <c r="I757" s="288" t="str">
        <f>+IFERROR(VLOOKUP(F757,NVL!$B:$F,4,0),"")</f>
        <v/>
      </c>
      <c r="J757" s="289"/>
      <c r="K757" s="290"/>
      <c r="L757" s="291" t="str">
        <f>+IFERROR(VLOOKUP(K757,'THÀNH PHẨM'!$B:$F,3,0),"")</f>
        <v/>
      </c>
      <c r="M757" s="291" t="str">
        <f>+IFERROR(VLOOKUP(K757,'THÀNH PHẨM'!$B:$F,4,0),"")</f>
        <v/>
      </c>
      <c r="N757" s="291" t="str">
        <f>+IFERROR(VLOOKUP(K757,'THÀNH PHẨM'!$B:$F,5,0),"")</f>
        <v/>
      </c>
      <c r="O757" s="289"/>
      <c r="P757" s="292">
        <f t="shared" si="2"/>
        <v>0</v>
      </c>
      <c r="Q757" s="289"/>
      <c r="R757" s="289"/>
      <c r="S757" s="293">
        <f t="shared" si="62"/>
        <v>0</v>
      </c>
      <c r="T757" s="294"/>
      <c r="U757" s="295">
        <f t="shared" si="68"/>
        <v>0</v>
      </c>
      <c r="V757" s="296"/>
      <c r="W757" s="297"/>
      <c r="X757" s="298"/>
      <c r="Y757" s="292" t="str">
        <f t="shared" si="69"/>
        <v/>
      </c>
      <c r="Z757" s="366">
        <f t="shared" si="70"/>
        <v>0</v>
      </c>
      <c r="AA757" s="299" t="str">
        <f t="shared" si="71"/>
        <v/>
      </c>
      <c r="AB757" s="300"/>
      <c r="AC757" s="301"/>
      <c r="AD757" s="302"/>
      <c r="AE757" s="303"/>
      <c r="AF757" s="304"/>
      <c r="AG757" s="304"/>
      <c r="AH757" s="304"/>
      <c r="AI757" s="304"/>
      <c r="AJ757" s="304"/>
      <c r="AK757" s="305"/>
      <c r="AL757" s="283"/>
      <c r="AM757" s="284"/>
    </row>
    <row r="758" ht="15.75" customHeight="1">
      <c r="A758" s="282">
        <f t="shared" si="1"/>
        <v>754</v>
      </c>
      <c r="B758" s="283"/>
      <c r="C758" s="284"/>
      <c r="D758" s="338"/>
      <c r="E758" s="286"/>
      <c r="F758" s="287"/>
      <c r="G758" s="288" t="str">
        <f>+IFERROR(VLOOKUP(F758,NVL!$B:$C,2,0),"")</f>
        <v/>
      </c>
      <c r="H758" s="288" t="str">
        <f>+IFERROR(VLOOKUP(F758,NVL!$B:$D,3,0),"")</f>
        <v/>
      </c>
      <c r="I758" s="288" t="str">
        <f>+IFERROR(VLOOKUP(F758,NVL!$B:$F,4,0),"")</f>
        <v/>
      </c>
      <c r="J758" s="289"/>
      <c r="K758" s="290"/>
      <c r="L758" s="291" t="str">
        <f>+IFERROR(VLOOKUP(K758,'THÀNH PHẨM'!$B:$F,3,0),"")</f>
        <v/>
      </c>
      <c r="M758" s="291" t="str">
        <f>+IFERROR(VLOOKUP(K758,'THÀNH PHẨM'!$B:$F,4,0),"")</f>
        <v/>
      </c>
      <c r="N758" s="291" t="str">
        <f>+IFERROR(VLOOKUP(K758,'THÀNH PHẨM'!$B:$F,5,0),"")</f>
        <v/>
      </c>
      <c r="O758" s="289"/>
      <c r="P758" s="292">
        <f t="shared" si="2"/>
        <v>0</v>
      </c>
      <c r="Q758" s="289"/>
      <c r="R758" s="289"/>
      <c r="S758" s="293">
        <f t="shared" si="62"/>
        <v>0</v>
      </c>
      <c r="T758" s="294"/>
      <c r="U758" s="295">
        <f t="shared" si="68"/>
        <v>0</v>
      </c>
      <c r="V758" s="296"/>
      <c r="W758" s="297"/>
      <c r="X758" s="298"/>
      <c r="Y758" s="292" t="str">
        <f t="shared" si="69"/>
        <v/>
      </c>
      <c r="Z758" s="366">
        <f t="shared" si="70"/>
        <v>0</v>
      </c>
      <c r="AA758" s="299" t="str">
        <f t="shared" si="71"/>
        <v/>
      </c>
      <c r="AB758" s="300"/>
      <c r="AC758" s="301"/>
      <c r="AD758" s="302"/>
      <c r="AE758" s="303"/>
      <c r="AF758" s="304"/>
      <c r="AG758" s="304"/>
      <c r="AH758" s="304"/>
      <c r="AI758" s="304"/>
      <c r="AJ758" s="304"/>
      <c r="AK758" s="305"/>
      <c r="AL758" s="283"/>
      <c r="AM758" s="284"/>
    </row>
    <row r="759" ht="15.75" customHeight="1">
      <c r="A759" s="282">
        <f t="shared" si="1"/>
        <v>755</v>
      </c>
      <c r="B759" s="283"/>
      <c r="C759" s="284"/>
      <c r="D759" s="338"/>
      <c r="E759" s="286"/>
      <c r="F759" s="287"/>
      <c r="G759" s="288" t="str">
        <f>+IFERROR(VLOOKUP(F759,NVL!$B:$C,2,0),"")</f>
        <v/>
      </c>
      <c r="H759" s="288" t="str">
        <f>+IFERROR(VLOOKUP(F759,NVL!$B:$D,3,0),"")</f>
        <v/>
      </c>
      <c r="I759" s="288" t="str">
        <f>+IFERROR(VLOOKUP(F759,NVL!$B:$F,4,0),"")</f>
        <v/>
      </c>
      <c r="J759" s="289"/>
      <c r="K759" s="290"/>
      <c r="L759" s="291" t="str">
        <f>+IFERROR(VLOOKUP(K759,'THÀNH PHẨM'!$B:$F,3,0),"")</f>
        <v/>
      </c>
      <c r="M759" s="291" t="str">
        <f>+IFERROR(VLOOKUP(K759,'THÀNH PHẨM'!$B:$F,4,0),"")</f>
        <v/>
      </c>
      <c r="N759" s="291" t="str">
        <f>+IFERROR(VLOOKUP(K759,'THÀNH PHẨM'!$B:$F,5,0),"")</f>
        <v/>
      </c>
      <c r="O759" s="289"/>
      <c r="P759" s="292">
        <f t="shared" si="2"/>
        <v>0</v>
      </c>
      <c r="Q759" s="289"/>
      <c r="R759" s="289"/>
      <c r="S759" s="293">
        <f t="shared" si="62"/>
        <v>0</v>
      </c>
      <c r="T759" s="294"/>
      <c r="U759" s="295">
        <f t="shared" si="68"/>
        <v>0</v>
      </c>
      <c r="V759" s="296"/>
      <c r="W759" s="297"/>
      <c r="X759" s="298"/>
      <c r="Y759" s="292" t="str">
        <f t="shared" si="69"/>
        <v/>
      </c>
      <c r="Z759" s="366">
        <f t="shared" si="70"/>
        <v>0</v>
      </c>
      <c r="AA759" s="299" t="str">
        <f t="shared" si="71"/>
        <v/>
      </c>
      <c r="AB759" s="300"/>
      <c r="AC759" s="301"/>
      <c r="AD759" s="302"/>
      <c r="AE759" s="303"/>
      <c r="AF759" s="304"/>
      <c r="AG759" s="304"/>
      <c r="AH759" s="304"/>
      <c r="AI759" s="304"/>
      <c r="AJ759" s="304"/>
      <c r="AK759" s="305"/>
      <c r="AL759" s="283"/>
      <c r="AM759" s="284"/>
    </row>
    <row r="760" ht="15.75" customHeight="1">
      <c r="A760" s="282">
        <f t="shared" si="1"/>
        <v>756</v>
      </c>
      <c r="B760" s="283"/>
      <c r="C760" s="284"/>
      <c r="D760" s="338"/>
      <c r="E760" s="286"/>
      <c r="F760" s="287"/>
      <c r="G760" s="288" t="str">
        <f>+IFERROR(VLOOKUP(F760,NVL!$B:$C,2,0),"")</f>
        <v/>
      </c>
      <c r="H760" s="288" t="str">
        <f>+IFERROR(VLOOKUP(F760,NVL!$B:$D,3,0),"")</f>
        <v/>
      </c>
      <c r="I760" s="288" t="str">
        <f>+IFERROR(VLOOKUP(F760,NVL!$B:$F,4,0),"")</f>
        <v/>
      </c>
      <c r="J760" s="289"/>
      <c r="K760" s="290"/>
      <c r="L760" s="291" t="str">
        <f>+IFERROR(VLOOKUP(K760,'THÀNH PHẨM'!$B:$F,3,0),"")</f>
        <v/>
      </c>
      <c r="M760" s="291" t="str">
        <f>+IFERROR(VLOOKUP(K760,'THÀNH PHẨM'!$B:$F,4,0),"")</f>
        <v/>
      </c>
      <c r="N760" s="291" t="str">
        <f>+IFERROR(VLOOKUP(K760,'THÀNH PHẨM'!$B:$F,5,0),"")</f>
        <v/>
      </c>
      <c r="O760" s="289"/>
      <c r="P760" s="292">
        <f t="shared" si="2"/>
        <v>0</v>
      </c>
      <c r="Q760" s="289"/>
      <c r="R760" s="289"/>
      <c r="S760" s="293">
        <f t="shared" si="62"/>
        <v>0</v>
      </c>
      <c r="T760" s="294"/>
      <c r="U760" s="295">
        <f t="shared" si="68"/>
        <v>0</v>
      </c>
      <c r="V760" s="296"/>
      <c r="W760" s="297"/>
      <c r="X760" s="298"/>
      <c r="Y760" s="292" t="str">
        <f t="shared" si="69"/>
        <v/>
      </c>
      <c r="Z760" s="366">
        <f t="shared" si="70"/>
        <v>0</v>
      </c>
      <c r="AA760" s="299" t="str">
        <f t="shared" si="71"/>
        <v/>
      </c>
      <c r="AB760" s="300"/>
      <c r="AC760" s="301"/>
      <c r="AD760" s="302"/>
      <c r="AE760" s="303"/>
      <c r="AF760" s="304"/>
      <c r="AG760" s="304"/>
      <c r="AH760" s="304"/>
      <c r="AI760" s="304"/>
      <c r="AJ760" s="304"/>
      <c r="AK760" s="305"/>
      <c r="AL760" s="283"/>
      <c r="AM760" s="284"/>
    </row>
    <row r="761" ht="15.75" customHeight="1">
      <c r="A761" s="282">
        <f t="shared" si="1"/>
        <v>757</v>
      </c>
      <c r="B761" s="283"/>
      <c r="C761" s="335"/>
      <c r="D761" s="338"/>
      <c r="E761" s="286"/>
      <c r="F761" s="287"/>
      <c r="G761" s="288" t="str">
        <f>+IFERROR(VLOOKUP(F761,NVL!$B:$C,2,0),"")</f>
        <v/>
      </c>
      <c r="H761" s="288" t="str">
        <f>+IFERROR(VLOOKUP(F761,NVL!$B:$D,3,0),"")</f>
        <v/>
      </c>
      <c r="I761" s="288" t="str">
        <f>+IFERROR(VLOOKUP(F761,NVL!$B:$F,4,0),"")</f>
        <v/>
      </c>
      <c r="J761" s="289"/>
      <c r="K761" s="290"/>
      <c r="L761" s="291" t="str">
        <f>+IFERROR(VLOOKUP(K761,'THÀNH PHẨM'!$B:$F,3,0),"")</f>
        <v/>
      </c>
      <c r="M761" s="291" t="str">
        <f>+IFERROR(VLOOKUP(K761,'THÀNH PHẨM'!$B:$F,4,0),"")</f>
        <v/>
      </c>
      <c r="N761" s="291" t="str">
        <f>+IFERROR(VLOOKUP(K761,'THÀNH PHẨM'!$B:$F,5,0),"")</f>
        <v/>
      </c>
      <c r="O761" s="289"/>
      <c r="P761" s="292">
        <f t="shared" si="2"/>
        <v>0</v>
      </c>
      <c r="Q761" s="289"/>
      <c r="R761" s="289"/>
      <c r="S761" s="293">
        <f t="shared" si="62"/>
        <v>0</v>
      </c>
      <c r="T761" s="294"/>
      <c r="U761" s="295">
        <f t="shared" si="68"/>
        <v>0</v>
      </c>
      <c r="V761" s="296"/>
      <c r="W761" s="297"/>
      <c r="X761" s="298"/>
      <c r="Y761" s="292" t="str">
        <f t="shared" si="69"/>
        <v/>
      </c>
      <c r="Z761" s="366">
        <f t="shared" si="70"/>
        <v>0</v>
      </c>
      <c r="AA761" s="299" t="str">
        <f t="shared" si="71"/>
        <v/>
      </c>
      <c r="AB761" s="300"/>
      <c r="AC761" s="301"/>
      <c r="AD761" s="302"/>
      <c r="AE761" s="303"/>
      <c r="AF761" s="304"/>
      <c r="AG761" s="304"/>
      <c r="AH761" s="304"/>
      <c r="AI761" s="304"/>
      <c r="AJ761" s="304"/>
      <c r="AK761" s="305"/>
      <c r="AL761" s="283"/>
      <c r="AM761" s="284"/>
    </row>
    <row r="762" ht="15.75" customHeight="1">
      <c r="A762" s="282">
        <f t="shared" si="1"/>
        <v>758</v>
      </c>
      <c r="B762" s="283"/>
      <c r="C762" s="284"/>
      <c r="D762" s="338"/>
      <c r="E762" s="286"/>
      <c r="F762" s="287"/>
      <c r="G762" s="288" t="str">
        <f>+IFERROR(VLOOKUP(F762,NVL!$B:$C,2,0),"")</f>
        <v/>
      </c>
      <c r="H762" s="288" t="str">
        <f>+IFERROR(VLOOKUP(F762,NVL!$B:$D,3,0),"")</f>
        <v/>
      </c>
      <c r="I762" s="288" t="str">
        <f>+IFERROR(VLOOKUP(F762,NVL!$B:$F,4,0),"")</f>
        <v/>
      </c>
      <c r="J762" s="289"/>
      <c r="K762" s="290"/>
      <c r="L762" s="291" t="str">
        <f>+IFERROR(VLOOKUP(K762,'THÀNH PHẨM'!$B:$F,3,0),"")</f>
        <v/>
      </c>
      <c r="M762" s="291" t="str">
        <f>+IFERROR(VLOOKUP(K762,'THÀNH PHẨM'!$B:$F,4,0),"")</f>
        <v/>
      </c>
      <c r="N762" s="291" t="str">
        <f>+IFERROR(VLOOKUP(K762,'THÀNH PHẨM'!$B:$F,5,0),"")</f>
        <v/>
      </c>
      <c r="O762" s="289"/>
      <c r="P762" s="292">
        <f t="shared" si="2"/>
        <v>0</v>
      </c>
      <c r="Q762" s="289"/>
      <c r="R762" s="289"/>
      <c r="S762" s="293">
        <f t="shared" si="62"/>
        <v>0</v>
      </c>
      <c r="T762" s="294"/>
      <c r="U762" s="295">
        <f t="shared" si="68"/>
        <v>0</v>
      </c>
      <c r="V762" s="296"/>
      <c r="W762" s="297"/>
      <c r="X762" s="298"/>
      <c r="Y762" s="292" t="str">
        <f t="shared" si="69"/>
        <v/>
      </c>
      <c r="Z762" s="366">
        <f t="shared" si="70"/>
        <v>0</v>
      </c>
      <c r="AA762" s="299" t="str">
        <f t="shared" si="71"/>
        <v/>
      </c>
      <c r="AB762" s="300"/>
      <c r="AC762" s="301"/>
      <c r="AD762" s="302"/>
      <c r="AE762" s="303"/>
      <c r="AF762" s="304"/>
      <c r="AG762" s="304"/>
      <c r="AH762" s="304"/>
      <c r="AI762" s="304"/>
      <c r="AJ762" s="304"/>
      <c r="AK762" s="305"/>
      <c r="AL762" s="283"/>
      <c r="AM762" s="284"/>
    </row>
    <row r="763" ht="15.75" customHeight="1">
      <c r="A763" s="282">
        <f t="shared" si="1"/>
        <v>759</v>
      </c>
      <c r="B763" s="283"/>
      <c r="C763" s="284"/>
      <c r="D763" s="338"/>
      <c r="E763" s="286"/>
      <c r="F763" s="287"/>
      <c r="G763" s="288" t="str">
        <f>+IFERROR(VLOOKUP(F763,NVL!$B:$C,2,0),"")</f>
        <v/>
      </c>
      <c r="H763" s="288" t="str">
        <f>+IFERROR(VLOOKUP(F763,NVL!$B:$D,3,0),"")</f>
        <v/>
      </c>
      <c r="I763" s="288" t="str">
        <f>+IFERROR(VLOOKUP(F763,NVL!$B:$F,4,0),"")</f>
        <v/>
      </c>
      <c r="J763" s="289"/>
      <c r="K763" s="290"/>
      <c r="L763" s="291" t="str">
        <f>+IFERROR(VLOOKUP(K763,'THÀNH PHẨM'!$B:$F,3,0),"")</f>
        <v/>
      </c>
      <c r="M763" s="291" t="str">
        <f>+IFERROR(VLOOKUP(K763,'THÀNH PHẨM'!$B:$F,4,0),"")</f>
        <v/>
      </c>
      <c r="N763" s="291" t="str">
        <f>+IFERROR(VLOOKUP(K763,'THÀNH PHẨM'!$B:$F,5,0),"")</f>
        <v/>
      </c>
      <c r="O763" s="289"/>
      <c r="P763" s="292">
        <f t="shared" si="2"/>
        <v>0</v>
      </c>
      <c r="Q763" s="289"/>
      <c r="R763" s="289"/>
      <c r="S763" s="293">
        <f t="shared" si="62"/>
        <v>0</v>
      </c>
      <c r="T763" s="294"/>
      <c r="U763" s="295">
        <f t="shared" si="68"/>
        <v>0</v>
      </c>
      <c r="V763" s="296"/>
      <c r="W763" s="297"/>
      <c r="X763" s="298"/>
      <c r="Y763" s="292" t="str">
        <f t="shared" si="69"/>
        <v/>
      </c>
      <c r="Z763" s="366">
        <f t="shared" si="70"/>
        <v>0</v>
      </c>
      <c r="AA763" s="299" t="str">
        <f t="shared" si="71"/>
        <v/>
      </c>
      <c r="AB763" s="300"/>
      <c r="AC763" s="301"/>
      <c r="AD763" s="302"/>
      <c r="AE763" s="303"/>
      <c r="AF763" s="304"/>
      <c r="AG763" s="304"/>
      <c r="AH763" s="304"/>
      <c r="AI763" s="304"/>
      <c r="AJ763" s="304"/>
      <c r="AK763" s="305"/>
      <c r="AL763" s="283"/>
      <c r="AM763" s="284"/>
    </row>
    <row r="764" ht="15.75" customHeight="1">
      <c r="A764" s="282">
        <f t="shared" si="1"/>
        <v>760</v>
      </c>
      <c r="B764" s="283"/>
      <c r="C764" s="284"/>
      <c r="D764" s="338"/>
      <c r="E764" s="286"/>
      <c r="F764" s="287"/>
      <c r="G764" s="288" t="str">
        <f>+IFERROR(VLOOKUP(F764,NVL!$B:$C,2,0),"")</f>
        <v/>
      </c>
      <c r="H764" s="288" t="str">
        <f>+IFERROR(VLOOKUP(F764,NVL!$B:$D,3,0),"")</f>
        <v/>
      </c>
      <c r="I764" s="288" t="str">
        <f>+IFERROR(VLOOKUP(F764,NVL!$B:$F,4,0),"")</f>
        <v/>
      </c>
      <c r="J764" s="289"/>
      <c r="K764" s="290"/>
      <c r="L764" s="291" t="str">
        <f>+IFERROR(VLOOKUP(K764,'THÀNH PHẨM'!$B:$F,3,0),"")</f>
        <v/>
      </c>
      <c r="M764" s="291" t="str">
        <f>+IFERROR(VLOOKUP(K764,'THÀNH PHẨM'!$B:$F,4,0),"")</f>
        <v/>
      </c>
      <c r="N764" s="291" t="str">
        <f>+IFERROR(VLOOKUP(K764,'THÀNH PHẨM'!$B:$F,5,0),"")</f>
        <v/>
      </c>
      <c r="O764" s="289"/>
      <c r="P764" s="292">
        <f t="shared" si="2"/>
        <v>0</v>
      </c>
      <c r="Q764" s="289"/>
      <c r="R764" s="289"/>
      <c r="S764" s="293">
        <f t="shared" si="62"/>
        <v>0</v>
      </c>
      <c r="T764" s="294"/>
      <c r="U764" s="295">
        <f t="shared" si="68"/>
        <v>0</v>
      </c>
      <c r="V764" s="296"/>
      <c r="W764" s="297"/>
      <c r="X764" s="298"/>
      <c r="Y764" s="292" t="str">
        <f t="shared" si="69"/>
        <v/>
      </c>
      <c r="Z764" s="366">
        <f t="shared" si="70"/>
        <v>0</v>
      </c>
      <c r="AA764" s="299" t="str">
        <f t="shared" si="71"/>
        <v/>
      </c>
      <c r="AB764" s="300"/>
      <c r="AC764" s="301"/>
      <c r="AD764" s="302"/>
      <c r="AE764" s="303"/>
      <c r="AF764" s="304"/>
      <c r="AG764" s="304"/>
      <c r="AH764" s="304"/>
      <c r="AI764" s="304"/>
      <c r="AJ764" s="304"/>
      <c r="AK764" s="305"/>
      <c r="AL764" s="283"/>
      <c r="AM764" s="284"/>
    </row>
    <row r="765" ht="15.75" customHeight="1">
      <c r="A765" s="282">
        <f t="shared" si="1"/>
        <v>761</v>
      </c>
      <c r="B765" s="283"/>
      <c r="C765" s="284"/>
      <c r="D765" s="338"/>
      <c r="E765" s="286"/>
      <c r="F765" s="287"/>
      <c r="G765" s="288" t="str">
        <f>+IFERROR(VLOOKUP(F765,NVL!$B:$C,2,0),"")</f>
        <v/>
      </c>
      <c r="H765" s="288" t="str">
        <f>+IFERROR(VLOOKUP(F765,NVL!$B:$D,3,0),"")</f>
        <v/>
      </c>
      <c r="I765" s="288" t="str">
        <f>+IFERROR(VLOOKUP(F765,NVL!$B:$F,4,0),"")</f>
        <v/>
      </c>
      <c r="J765" s="289"/>
      <c r="K765" s="290"/>
      <c r="L765" s="291" t="str">
        <f>+IFERROR(VLOOKUP(K765,'THÀNH PHẨM'!$B:$F,3,0),"")</f>
        <v/>
      </c>
      <c r="M765" s="291" t="str">
        <f>+IFERROR(VLOOKUP(K765,'THÀNH PHẨM'!$B:$F,4,0),"")</f>
        <v/>
      </c>
      <c r="N765" s="291" t="str">
        <f>+IFERROR(VLOOKUP(K765,'THÀNH PHẨM'!$B:$F,5,0),"")</f>
        <v/>
      </c>
      <c r="O765" s="289"/>
      <c r="P765" s="292">
        <f t="shared" si="2"/>
        <v>0</v>
      </c>
      <c r="Q765" s="289"/>
      <c r="R765" s="289"/>
      <c r="S765" s="293">
        <f t="shared" si="62"/>
        <v>0</v>
      </c>
      <c r="T765" s="294"/>
      <c r="U765" s="295">
        <f t="shared" si="68"/>
        <v>0</v>
      </c>
      <c r="V765" s="296"/>
      <c r="W765" s="297"/>
      <c r="X765" s="298"/>
      <c r="Y765" s="292" t="str">
        <f t="shared" si="69"/>
        <v/>
      </c>
      <c r="Z765" s="366">
        <f t="shared" si="70"/>
        <v>0</v>
      </c>
      <c r="AA765" s="299" t="str">
        <f t="shared" si="71"/>
        <v/>
      </c>
      <c r="AB765" s="300"/>
      <c r="AC765" s="301"/>
      <c r="AD765" s="302"/>
      <c r="AE765" s="303"/>
      <c r="AF765" s="304"/>
      <c r="AG765" s="304"/>
      <c r="AH765" s="304"/>
      <c r="AI765" s="304"/>
      <c r="AJ765" s="304"/>
      <c r="AK765" s="305"/>
      <c r="AL765" s="283"/>
      <c r="AM765" s="284"/>
    </row>
    <row r="766" ht="15.75" customHeight="1">
      <c r="A766" s="282">
        <f t="shared" si="1"/>
        <v>762</v>
      </c>
      <c r="B766" s="283"/>
      <c r="C766" s="284"/>
      <c r="D766" s="338"/>
      <c r="E766" s="286"/>
      <c r="F766" s="287"/>
      <c r="G766" s="288" t="str">
        <f>+IFERROR(VLOOKUP(F766,NVL!$B:$C,2,0),"")</f>
        <v/>
      </c>
      <c r="H766" s="288" t="str">
        <f>+IFERROR(VLOOKUP(F766,NVL!$B:$D,3,0),"")</f>
        <v/>
      </c>
      <c r="I766" s="288" t="str">
        <f>+IFERROR(VLOOKUP(F766,NVL!$B:$F,4,0),"")</f>
        <v/>
      </c>
      <c r="J766" s="289"/>
      <c r="K766" s="290"/>
      <c r="L766" s="291" t="str">
        <f>+IFERROR(VLOOKUP(K766,'THÀNH PHẨM'!$B:$F,3,0),"")</f>
        <v/>
      </c>
      <c r="M766" s="291" t="str">
        <f>+IFERROR(VLOOKUP(K766,'THÀNH PHẨM'!$B:$F,4,0),"")</f>
        <v/>
      </c>
      <c r="N766" s="291" t="str">
        <f>+IFERROR(VLOOKUP(K766,'THÀNH PHẨM'!$B:$F,5,0),"")</f>
        <v/>
      </c>
      <c r="O766" s="289"/>
      <c r="P766" s="292">
        <f t="shared" si="2"/>
        <v>0</v>
      </c>
      <c r="Q766" s="289"/>
      <c r="R766" s="289"/>
      <c r="S766" s="293">
        <f t="shared" si="62"/>
        <v>0</v>
      </c>
      <c r="T766" s="294"/>
      <c r="U766" s="295">
        <f t="shared" si="68"/>
        <v>0</v>
      </c>
      <c r="V766" s="296"/>
      <c r="W766" s="297"/>
      <c r="X766" s="298"/>
      <c r="Y766" s="292" t="str">
        <f t="shared" si="69"/>
        <v/>
      </c>
      <c r="Z766" s="366">
        <f t="shared" si="70"/>
        <v>0</v>
      </c>
      <c r="AA766" s="299" t="str">
        <f t="shared" si="71"/>
        <v/>
      </c>
      <c r="AB766" s="300"/>
      <c r="AC766" s="301"/>
      <c r="AD766" s="302"/>
      <c r="AE766" s="303"/>
      <c r="AF766" s="304"/>
      <c r="AG766" s="304"/>
      <c r="AH766" s="304"/>
      <c r="AI766" s="304"/>
      <c r="AJ766" s="304"/>
      <c r="AK766" s="305"/>
      <c r="AL766" s="283"/>
      <c r="AM766" s="284"/>
    </row>
    <row r="767" ht="15.75" customHeight="1">
      <c r="A767" s="282">
        <f t="shared" si="1"/>
        <v>763</v>
      </c>
      <c r="B767" s="283"/>
      <c r="C767" s="284"/>
      <c r="D767" s="338"/>
      <c r="E767" s="286"/>
      <c r="F767" s="287"/>
      <c r="G767" s="288" t="str">
        <f>+IFERROR(VLOOKUP(F767,NVL!$B:$C,2,0),"")</f>
        <v/>
      </c>
      <c r="H767" s="288" t="str">
        <f>+IFERROR(VLOOKUP(F767,NVL!$B:$D,3,0),"")</f>
        <v/>
      </c>
      <c r="I767" s="288" t="str">
        <f>+IFERROR(VLOOKUP(F767,NVL!$B:$F,4,0),"")</f>
        <v/>
      </c>
      <c r="J767" s="289"/>
      <c r="K767" s="290"/>
      <c r="L767" s="291" t="str">
        <f>+IFERROR(VLOOKUP(K767,'THÀNH PHẨM'!$B:$F,3,0),"")</f>
        <v/>
      </c>
      <c r="M767" s="291" t="str">
        <f>+IFERROR(VLOOKUP(K767,'THÀNH PHẨM'!$B:$F,4,0),"")</f>
        <v/>
      </c>
      <c r="N767" s="291" t="str">
        <f>+IFERROR(VLOOKUP(K767,'THÀNH PHẨM'!$B:$F,5,0),"")</f>
        <v/>
      </c>
      <c r="O767" s="289"/>
      <c r="P767" s="292">
        <f t="shared" si="2"/>
        <v>0</v>
      </c>
      <c r="Q767" s="289"/>
      <c r="R767" s="289"/>
      <c r="S767" s="293">
        <f t="shared" si="62"/>
        <v>0</v>
      </c>
      <c r="T767" s="294"/>
      <c r="U767" s="295">
        <f t="shared" si="68"/>
        <v>0</v>
      </c>
      <c r="V767" s="296"/>
      <c r="W767" s="297"/>
      <c r="X767" s="298"/>
      <c r="Y767" s="292" t="str">
        <f t="shared" si="69"/>
        <v/>
      </c>
      <c r="Z767" s="366">
        <f t="shared" si="70"/>
        <v>0</v>
      </c>
      <c r="AA767" s="299" t="str">
        <f t="shared" si="71"/>
        <v/>
      </c>
      <c r="AB767" s="300"/>
      <c r="AC767" s="301"/>
      <c r="AD767" s="302"/>
      <c r="AE767" s="303"/>
      <c r="AF767" s="304"/>
      <c r="AG767" s="304"/>
      <c r="AH767" s="304"/>
      <c r="AI767" s="304"/>
      <c r="AJ767" s="304"/>
      <c r="AK767" s="305"/>
      <c r="AL767" s="283"/>
      <c r="AM767" s="284"/>
    </row>
    <row r="768" ht="15.75" customHeight="1">
      <c r="A768" s="282">
        <f t="shared" si="1"/>
        <v>764</v>
      </c>
      <c r="B768" s="283"/>
      <c r="C768" s="284"/>
      <c r="D768" s="338"/>
      <c r="E768" s="286"/>
      <c r="F768" s="287"/>
      <c r="G768" s="288" t="str">
        <f>+IFERROR(VLOOKUP(F768,NVL!$B:$C,2,0),"")</f>
        <v/>
      </c>
      <c r="H768" s="288" t="str">
        <f>+IFERROR(VLOOKUP(F768,NVL!$B:$D,3,0),"")</f>
        <v/>
      </c>
      <c r="I768" s="288" t="str">
        <f>+IFERROR(VLOOKUP(F768,NVL!$B:$F,4,0),"")</f>
        <v/>
      </c>
      <c r="J768" s="289"/>
      <c r="K768" s="290"/>
      <c r="L768" s="291" t="str">
        <f>+IFERROR(VLOOKUP(K768,'THÀNH PHẨM'!$B:$F,3,0),"")</f>
        <v/>
      </c>
      <c r="M768" s="291" t="str">
        <f>+IFERROR(VLOOKUP(K768,'THÀNH PHẨM'!$B:$F,4,0),"")</f>
        <v/>
      </c>
      <c r="N768" s="291" t="str">
        <f>+IFERROR(VLOOKUP(K768,'THÀNH PHẨM'!$B:$F,5,0),"")</f>
        <v/>
      </c>
      <c r="O768" s="289"/>
      <c r="P768" s="292">
        <f t="shared" si="2"/>
        <v>0</v>
      </c>
      <c r="Q768" s="289"/>
      <c r="R768" s="289"/>
      <c r="S768" s="293">
        <f t="shared" si="62"/>
        <v>0</v>
      </c>
      <c r="T768" s="294"/>
      <c r="U768" s="295">
        <f t="shared" si="68"/>
        <v>0</v>
      </c>
      <c r="V768" s="296"/>
      <c r="W768" s="297"/>
      <c r="X768" s="298"/>
      <c r="Y768" s="292" t="str">
        <f t="shared" si="69"/>
        <v/>
      </c>
      <c r="Z768" s="366">
        <f t="shared" si="70"/>
        <v>0</v>
      </c>
      <c r="AA768" s="299" t="str">
        <f t="shared" si="71"/>
        <v/>
      </c>
      <c r="AB768" s="300"/>
      <c r="AC768" s="301"/>
      <c r="AD768" s="302"/>
      <c r="AE768" s="303"/>
      <c r="AF768" s="304"/>
      <c r="AG768" s="304"/>
      <c r="AH768" s="304"/>
      <c r="AI768" s="304"/>
      <c r="AJ768" s="304"/>
      <c r="AK768" s="305"/>
      <c r="AL768" s="283"/>
      <c r="AM768" s="284"/>
    </row>
    <row r="769" ht="15.75" customHeight="1">
      <c r="A769" s="282">
        <f t="shared" si="1"/>
        <v>765</v>
      </c>
      <c r="B769" s="283"/>
      <c r="C769" s="284"/>
      <c r="D769" s="338"/>
      <c r="E769" s="286"/>
      <c r="F769" s="287"/>
      <c r="G769" s="288" t="str">
        <f>+IFERROR(VLOOKUP(F769,NVL!$B:$C,2,0),"")</f>
        <v/>
      </c>
      <c r="H769" s="288" t="str">
        <f>+IFERROR(VLOOKUP(F769,NVL!$B:$D,3,0),"")</f>
        <v/>
      </c>
      <c r="I769" s="288" t="str">
        <f>+IFERROR(VLOOKUP(F769,NVL!$B:$F,4,0),"")</f>
        <v/>
      </c>
      <c r="J769" s="289"/>
      <c r="K769" s="290"/>
      <c r="L769" s="291" t="str">
        <f>+IFERROR(VLOOKUP(K769,'THÀNH PHẨM'!$B:$F,3,0),"")</f>
        <v/>
      </c>
      <c r="M769" s="291" t="str">
        <f>+IFERROR(VLOOKUP(K769,'THÀNH PHẨM'!$B:$F,4,0),"")</f>
        <v/>
      </c>
      <c r="N769" s="291" t="str">
        <f>+IFERROR(VLOOKUP(K769,'THÀNH PHẨM'!$B:$F,5,0),"")</f>
        <v/>
      </c>
      <c r="O769" s="289"/>
      <c r="P769" s="292">
        <f t="shared" si="2"/>
        <v>0</v>
      </c>
      <c r="Q769" s="289"/>
      <c r="R769" s="289"/>
      <c r="S769" s="293">
        <f t="shared" si="62"/>
        <v>0</v>
      </c>
      <c r="T769" s="294"/>
      <c r="U769" s="295">
        <f t="shared" si="68"/>
        <v>0</v>
      </c>
      <c r="V769" s="296"/>
      <c r="W769" s="297"/>
      <c r="X769" s="298"/>
      <c r="Y769" s="292" t="str">
        <f t="shared" si="69"/>
        <v/>
      </c>
      <c r="Z769" s="366">
        <f t="shared" si="70"/>
        <v>0</v>
      </c>
      <c r="AA769" s="299" t="str">
        <f t="shared" si="71"/>
        <v/>
      </c>
      <c r="AB769" s="300"/>
      <c r="AC769" s="301"/>
      <c r="AD769" s="302"/>
      <c r="AE769" s="303"/>
      <c r="AF769" s="304"/>
      <c r="AG769" s="304"/>
      <c r="AH769" s="304"/>
      <c r="AI769" s="304"/>
      <c r="AJ769" s="304"/>
      <c r="AK769" s="305"/>
      <c r="AL769" s="283"/>
      <c r="AM769" s="284"/>
    </row>
    <row r="770" ht="15.75" customHeight="1">
      <c r="A770" s="282">
        <f t="shared" si="1"/>
        <v>766</v>
      </c>
      <c r="B770" s="283"/>
      <c r="C770" s="284"/>
      <c r="D770" s="338"/>
      <c r="E770" s="286"/>
      <c r="F770" s="287"/>
      <c r="G770" s="288" t="str">
        <f>+IFERROR(VLOOKUP(F770,NVL!$B:$C,2,0),"")</f>
        <v/>
      </c>
      <c r="H770" s="288" t="str">
        <f>+IFERROR(VLOOKUP(F770,NVL!$B:$D,3,0),"")</f>
        <v/>
      </c>
      <c r="I770" s="288" t="str">
        <f>+IFERROR(VLOOKUP(F770,NVL!$B:$F,4,0),"")</f>
        <v/>
      </c>
      <c r="J770" s="289"/>
      <c r="K770" s="290"/>
      <c r="L770" s="291" t="str">
        <f>+IFERROR(VLOOKUP(K770,'THÀNH PHẨM'!$B:$F,3,0),"")</f>
        <v/>
      </c>
      <c r="M770" s="291" t="str">
        <f>+IFERROR(VLOOKUP(K770,'THÀNH PHẨM'!$B:$F,4,0),"")</f>
        <v/>
      </c>
      <c r="N770" s="291" t="str">
        <f>+IFERROR(VLOOKUP(K770,'THÀNH PHẨM'!$B:$F,5,0),"")</f>
        <v/>
      </c>
      <c r="O770" s="289"/>
      <c r="P770" s="292">
        <f t="shared" si="2"/>
        <v>0</v>
      </c>
      <c r="Q770" s="289"/>
      <c r="R770" s="289"/>
      <c r="S770" s="293">
        <f t="shared" si="62"/>
        <v>0</v>
      </c>
      <c r="T770" s="294"/>
      <c r="U770" s="295">
        <f t="shared" si="68"/>
        <v>0</v>
      </c>
      <c r="V770" s="296"/>
      <c r="W770" s="297"/>
      <c r="X770" s="298"/>
      <c r="Y770" s="292" t="str">
        <f t="shared" si="69"/>
        <v/>
      </c>
      <c r="Z770" s="366">
        <f t="shared" si="70"/>
        <v>0</v>
      </c>
      <c r="AA770" s="299" t="str">
        <f t="shared" si="71"/>
        <v/>
      </c>
      <c r="AB770" s="300"/>
      <c r="AC770" s="301"/>
      <c r="AD770" s="302"/>
      <c r="AE770" s="303"/>
      <c r="AF770" s="304"/>
      <c r="AG770" s="304"/>
      <c r="AH770" s="304"/>
      <c r="AI770" s="304"/>
      <c r="AJ770" s="304"/>
      <c r="AK770" s="305"/>
      <c r="AL770" s="283"/>
      <c r="AM770" s="284"/>
    </row>
    <row r="771" ht="15.75" customHeight="1">
      <c r="A771" s="282">
        <f t="shared" si="1"/>
        <v>767</v>
      </c>
      <c r="B771" s="283"/>
      <c r="C771" s="284"/>
      <c r="D771" s="338"/>
      <c r="E771" s="286"/>
      <c r="F771" s="287"/>
      <c r="G771" s="288" t="str">
        <f>+IFERROR(VLOOKUP(F771,NVL!$B:$C,2,0),"")</f>
        <v/>
      </c>
      <c r="H771" s="288" t="str">
        <f>+IFERROR(VLOOKUP(F771,NVL!$B:$D,3,0),"")</f>
        <v/>
      </c>
      <c r="I771" s="288" t="str">
        <f>+IFERROR(VLOOKUP(F771,NVL!$B:$F,4,0),"")</f>
        <v/>
      </c>
      <c r="J771" s="289"/>
      <c r="K771" s="290"/>
      <c r="L771" s="291" t="str">
        <f>+IFERROR(VLOOKUP(K771,'THÀNH PHẨM'!$B:$F,3,0),"")</f>
        <v/>
      </c>
      <c r="M771" s="291" t="str">
        <f>+IFERROR(VLOOKUP(K771,'THÀNH PHẨM'!$B:$F,4,0),"")</f>
        <v/>
      </c>
      <c r="N771" s="291" t="str">
        <f>+IFERROR(VLOOKUP(K771,'THÀNH PHẨM'!$B:$F,5,0),"")</f>
        <v/>
      </c>
      <c r="O771" s="289"/>
      <c r="P771" s="292">
        <f t="shared" si="2"/>
        <v>0</v>
      </c>
      <c r="Q771" s="289"/>
      <c r="R771" s="289"/>
      <c r="S771" s="293">
        <f t="shared" si="62"/>
        <v>0</v>
      </c>
      <c r="T771" s="294"/>
      <c r="U771" s="295">
        <f t="shared" si="68"/>
        <v>0</v>
      </c>
      <c r="V771" s="296"/>
      <c r="W771" s="297"/>
      <c r="X771" s="298"/>
      <c r="Y771" s="292" t="str">
        <f t="shared" si="69"/>
        <v/>
      </c>
      <c r="Z771" s="366">
        <f t="shared" si="70"/>
        <v>0</v>
      </c>
      <c r="AA771" s="299" t="str">
        <f t="shared" si="71"/>
        <v/>
      </c>
      <c r="AB771" s="300"/>
      <c r="AC771" s="301"/>
      <c r="AD771" s="302"/>
      <c r="AE771" s="303"/>
      <c r="AF771" s="304"/>
      <c r="AG771" s="304"/>
      <c r="AH771" s="304"/>
      <c r="AI771" s="304"/>
      <c r="AJ771" s="304"/>
      <c r="AK771" s="305"/>
      <c r="AL771" s="283"/>
      <c r="AM771" s="284"/>
    </row>
    <row r="772" ht="15.75" customHeight="1">
      <c r="A772" s="282">
        <f t="shared" si="1"/>
        <v>768</v>
      </c>
      <c r="B772" s="283"/>
      <c r="C772" s="284"/>
      <c r="D772" s="338"/>
      <c r="E772" s="286"/>
      <c r="F772" s="287"/>
      <c r="G772" s="288" t="str">
        <f>+IFERROR(VLOOKUP(F772,NVL!$B:$C,2,0),"")</f>
        <v/>
      </c>
      <c r="H772" s="288" t="str">
        <f>+IFERROR(VLOOKUP(F772,NVL!$B:$D,3,0),"")</f>
        <v/>
      </c>
      <c r="I772" s="288" t="str">
        <f>+IFERROR(VLOOKUP(F772,NVL!$B:$F,4,0),"")</f>
        <v/>
      </c>
      <c r="J772" s="289"/>
      <c r="K772" s="290"/>
      <c r="L772" s="291" t="str">
        <f>+IFERROR(VLOOKUP(K772,'THÀNH PHẨM'!$B:$F,3,0),"")</f>
        <v/>
      </c>
      <c r="M772" s="291" t="str">
        <f>+IFERROR(VLOOKUP(K772,'THÀNH PHẨM'!$B:$F,4,0),"")</f>
        <v/>
      </c>
      <c r="N772" s="291" t="str">
        <f>+IFERROR(VLOOKUP(K772,'THÀNH PHẨM'!$B:$F,5,0),"")</f>
        <v/>
      </c>
      <c r="O772" s="289"/>
      <c r="P772" s="292">
        <f t="shared" si="2"/>
        <v>0</v>
      </c>
      <c r="Q772" s="289"/>
      <c r="R772" s="289"/>
      <c r="S772" s="293">
        <f t="shared" si="62"/>
        <v>0</v>
      </c>
      <c r="T772" s="294"/>
      <c r="U772" s="295">
        <f t="shared" si="68"/>
        <v>0</v>
      </c>
      <c r="V772" s="296"/>
      <c r="W772" s="297"/>
      <c r="X772" s="298"/>
      <c r="Y772" s="292" t="str">
        <f t="shared" si="69"/>
        <v/>
      </c>
      <c r="Z772" s="366">
        <f t="shared" si="70"/>
        <v>0</v>
      </c>
      <c r="AA772" s="299" t="str">
        <f t="shared" si="71"/>
        <v/>
      </c>
      <c r="AB772" s="300"/>
      <c r="AC772" s="301"/>
      <c r="AD772" s="302"/>
      <c r="AE772" s="303"/>
      <c r="AF772" s="304"/>
      <c r="AG772" s="304"/>
      <c r="AH772" s="304"/>
      <c r="AI772" s="304"/>
      <c r="AJ772" s="304"/>
      <c r="AK772" s="305"/>
      <c r="AL772" s="283"/>
      <c r="AM772" s="284"/>
    </row>
    <row r="773" ht="15.75" customHeight="1">
      <c r="A773" s="282">
        <f t="shared" si="1"/>
        <v>769</v>
      </c>
      <c r="B773" s="283"/>
      <c r="C773" s="284"/>
      <c r="D773" s="338"/>
      <c r="E773" s="286"/>
      <c r="F773" s="287"/>
      <c r="G773" s="288" t="str">
        <f>+IFERROR(VLOOKUP(F773,NVL!$B:$C,2,0),"")</f>
        <v/>
      </c>
      <c r="H773" s="288" t="str">
        <f>+IFERROR(VLOOKUP(F773,NVL!$B:$D,3,0),"")</f>
        <v/>
      </c>
      <c r="I773" s="288" t="str">
        <f>+IFERROR(VLOOKUP(F773,NVL!$B:$F,4,0),"")</f>
        <v/>
      </c>
      <c r="J773" s="289"/>
      <c r="K773" s="290"/>
      <c r="L773" s="291" t="str">
        <f>+IFERROR(VLOOKUP(K773,'THÀNH PHẨM'!$B:$F,3,0),"")</f>
        <v/>
      </c>
      <c r="M773" s="291" t="str">
        <f>+IFERROR(VLOOKUP(K773,'THÀNH PHẨM'!$B:$F,4,0),"")</f>
        <v/>
      </c>
      <c r="N773" s="291" t="str">
        <f>+IFERROR(VLOOKUP(K773,'THÀNH PHẨM'!$B:$F,5,0),"")</f>
        <v/>
      </c>
      <c r="O773" s="289"/>
      <c r="P773" s="292">
        <f t="shared" si="2"/>
        <v>0</v>
      </c>
      <c r="Q773" s="289"/>
      <c r="R773" s="289"/>
      <c r="S773" s="293">
        <f t="shared" si="62"/>
        <v>0</v>
      </c>
      <c r="T773" s="294"/>
      <c r="U773" s="295">
        <f t="shared" si="68"/>
        <v>0</v>
      </c>
      <c r="V773" s="296"/>
      <c r="W773" s="297"/>
      <c r="X773" s="298"/>
      <c r="Y773" s="292" t="str">
        <f t="shared" si="69"/>
        <v/>
      </c>
      <c r="Z773" s="366">
        <f t="shared" si="70"/>
        <v>0</v>
      </c>
      <c r="AA773" s="299" t="str">
        <f t="shared" si="71"/>
        <v/>
      </c>
      <c r="AB773" s="300"/>
      <c r="AC773" s="301"/>
      <c r="AD773" s="302"/>
      <c r="AE773" s="303"/>
      <c r="AF773" s="304"/>
      <c r="AG773" s="304"/>
      <c r="AH773" s="304"/>
      <c r="AI773" s="304"/>
      <c r="AJ773" s="304"/>
      <c r="AK773" s="305"/>
      <c r="AL773" s="283"/>
      <c r="AM773" s="284"/>
    </row>
    <row r="774" ht="15.75" customHeight="1">
      <c r="A774" s="282">
        <f t="shared" si="1"/>
        <v>770</v>
      </c>
      <c r="B774" s="283"/>
      <c r="C774" s="284"/>
      <c r="D774" s="338"/>
      <c r="E774" s="286"/>
      <c r="F774" s="287"/>
      <c r="G774" s="288" t="str">
        <f>+IFERROR(VLOOKUP(F774,NVL!$B:$C,2,0),"")</f>
        <v/>
      </c>
      <c r="H774" s="288" t="str">
        <f>+IFERROR(VLOOKUP(F774,NVL!$B:$D,3,0),"")</f>
        <v/>
      </c>
      <c r="I774" s="288" t="str">
        <f>+IFERROR(VLOOKUP(F774,NVL!$B:$F,4,0),"")</f>
        <v/>
      </c>
      <c r="J774" s="289"/>
      <c r="K774" s="290"/>
      <c r="L774" s="291" t="str">
        <f>+IFERROR(VLOOKUP(K774,'THÀNH PHẨM'!$B:$F,3,0),"")</f>
        <v/>
      </c>
      <c r="M774" s="291" t="str">
        <f>+IFERROR(VLOOKUP(K774,'THÀNH PHẨM'!$B:$F,4,0),"")</f>
        <v/>
      </c>
      <c r="N774" s="291" t="str">
        <f>+IFERROR(VLOOKUP(K774,'THÀNH PHẨM'!$B:$F,5,0),"")</f>
        <v/>
      </c>
      <c r="O774" s="289"/>
      <c r="P774" s="292">
        <f t="shared" si="2"/>
        <v>0</v>
      </c>
      <c r="Q774" s="289"/>
      <c r="R774" s="289"/>
      <c r="S774" s="293">
        <f t="shared" si="62"/>
        <v>0</v>
      </c>
      <c r="T774" s="294"/>
      <c r="U774" s="295">
        <f t="shared" si="68"/>
        <v>0</v>
      </c>
      <c r="V774" s="296"/>
      <c r="W774" s="297"/>
      <c r="X774" s="298"/>
      <c r="Y774" s="292" t="str">
        <f t="shared" si="69"/>
        <v/>
      </c>
      <c r="Z774" s="366">
        <f t="shared" si="70"/>
        <v>0</v>
      </c>
      <c r="AA774" s="299" t="str">
        <f t="shared" si="71"/>
        <v/>
      </c>
      <c r="AB774" s="300"/>
      <c r="AC774" s="301"/>
      <c r="AD774" s="302"/>
      <c r="AE774" s="303"/>
      <c r="AF774" s="304"/>
      <c r="AG774" s="304"/>
      <c r="AH774" s="304"/>
      <c r="AI774" s="304"/>
      <c r="AJ774" s="304"/>
      <c r="AK774" s="305"/>
      <c r="AL774" s="283"/>
      <c r="AM774" s="284"/>
    </row>
    <row r="775" ht="15.75" customHeight="1">
      <c r="A775" s="282">
        <f t="shared" si="1"/>
        <v>771</v>
      </c>
      <c r="B775" s="283"/>
      <c r="C775" s="284"/>
      <c r="D775" s="338"/>
      <c r="E775" s="286"/>
      <c r="F775" s="287"/>
      <c r="G775" s="288" t="str">
        <f>+IFERROR(VLOOKUP(F775,NVL!$B:$C,2,0),"")</f>
        <v/>
      </c>
      <c r="H775" s="288" t="str">
        <f>+IFERROR(VLOOKUP(F775,NVL!$B:$D,3,0),"")</f>
        <v/>
      </c>
      <c r="I775" s="288" t="str">
        <f>+IFERROR(VLOOKUP(F775,NVL!$B:$F,4,0),"")</f>
        <v/>
      </c>
      <c r="J775" s="289"/>
      <c r="K775" s="290"/>
      <c r="L775" s="291" t="str">
        <f>+IFERROR(VLOOKUP(K775,'THÀNH PHẨM'!$B:$F,3,0),"")</f>
        <v/>
      </c>
      <c r="M775" s="291" t="str">
        <f>+IFERROR(VLOOKUP(K775,'THÀNH PHẨM'!$B:$F,4,0),"")</f>
        <v/>
      </c>
      <c r="N775" s="291" t="str">
        <f>+IFERROR(VLOOKUP(K775,'THÀNH PHẨM'!$B:$F,5,0),"")</f>
        <v/>
      </c>
      <c r="O775" s="289"/>
      <c r="P775" s="292">
        <f t="shared" si="2"/>
        <v>0</v>
      </c>
      <c r="Q775" s="289"/>
      <c r="R775" s="289"/>
      <c r="S775" s="293">
        <f t="shared" si="62"/>
        <v>0</v>
      </c>
      <c r="T775" s="294"/>
      <c r="U775" s="295">
        <f t="shared" si="68"/>
        <v>0</v>
      </c>
      <c r="V775" s="296"/>
      <c r="W775" s="297"/>
      <c r="X775" s="298"/>
      <c r="Y775" s="292" t="str">
        <f t="shared" si="69"/>
        <v/>
      </c>
      <c r="Z775" s="366">
        <f t="shared" si="70"/>
        <v>0</v>
      </c>
      <c r="AA775" s="299" t="str">
        <f t="shared" si="71"/>
        <v/>
      </c>
      <c r="AB775" s="300"/>
      <c r="AC775" s="301"/>
      <c r="AD775" s="302"/>
      <c r="AE775" s="303"/>
      <c r="AF775" s="304"/>
      <c r="AG775" s="304"/>
      <c r="AH775" s="304"/>
      <c r="AI775" s="304"/>
      <c r="AJ775" s="304"/>
      <c r="AK775" s="305"/>
      <c r="AL775" s="283"/>
      <c r="AM775" s="284"/>
    </row>
    <row r="776" ht="15.75" customHeight="1">
      <c r="A776" s="282">
        <f t="shared" si="1"/>
        <v>772</v>
      </c>
      <c r="B776" s="283"/>
      <c r="C776" s="284"/>
      <c r="D776" s="338"/>
      <c r="E776" s="286"/>
      <c r="F776" s="287"/>
      <c r="G776" s="288" t="str">
        <f>+IFERROR(VLOOKUP(F776,NVL!$B:$C,2,0),"")</f>
        <v/>
      </c>
      <c r="H776" s="288" t="str">
        <f>+IFERROR(VLOOKUP(F776,NVL!$B:$D,3,0),"")</f>
        <v/>
      </c>
      <c r="I776" s="288" t="str">
        <f>+IFERROR(VLOOKUP(F776,NVL!$B:$F,4,0),"")</f>
        <v/>
      </c>
      <c r="J776" s="289"/>
      <c r="K776" s="290"/>
      <c r="L776" s="291" t="str">
        <f>+IFERROR(VLOOKUP(K776,'THÀNH PHẨM'!$B:$F,3,0),"")</f>
        <v/>
      </c>
      <c r="M776" s="291" t="str">
        <f>+IFERROR(VLOOKUP(K776,'THÀNH PHẨM'!$B:$F,4,0),"")</f>
        <v/>
      </c>
      <c r="N776" s="291" t="str">
        <f>+IFERROR(VLOOKUP(K776,'THÀNH PHẨM'!$B:$F,5,0),"")</f>
        <v/>
      </c>
      <c r="O776" s="289"/>
      <c r="P776" s="292">
        <f t="shared" si="2"/>
        <v>0</v>
      </c>
      <c r="Q776" s="289"/>
      <c r="R776" s="289"/>
      <c r="S776" s="293">
        <f t="shared" si="62"/>
        <v>0</v>
      </c>
      <c r="T776" s="294"/>
      <c r="U776" s="295">
        <f t="shared" si="68"/>
        <v>0</v>
      </c>
      <c r="V776" s="296"/>
      <c r="W776" s="297"/>
      <c r="X776" s="298"/>
      <c r="Y776" s="292" t="str">
        <f t="shared" si="69"/>
        <v/>
      </c>
      <c r="Z776" s="366">
        <f t="shared" si="70"/>
        <v>0</v>
      </c>
      <c r="AA776" s="299" t="str">
        <f t="shared" si="71"/>
        <v/>
      </c>
      <c r="AB776" s="300"/>
      <c r="AC776" s="301"/>
      <c r="AD776" s="302"/>
      <c r="AE776" s="303"/>
      <c r="AF776" s="304"/>
      <c r="AG776" s="304"/>
      <c r="AH776" s="304"/>
      <c r="AI776" s="304"/>
      <c r="AJ776" s="304"/>
      <c r="AK776" s="305"/>
      <c r="AL776" s="283"/>
      <c r="AM776" s="284"/>
    </row>
    <row r="777" ht="15.75" customHeight="1">
      <c r="A777" s="282">
        <f t="shared" si="1"/>
        <v>773</v>
      </c>
      <c r="B777" s="283"/>
      <c r="C777" s="284"/>
      <c r="D777" s="338"/>
      <c r="E777" s="286"/>
      <c r="F777" s="287"/>
      <c r="G777" s="288" t="str">
        <f>+IFERROR(VLOOKUP(F777,NVL!$B:$C,2,0),"")</f>
        <v/>
      </c>
      <c r="H777" s="288" t="str">
        <f>+IFERROR(VLOOKUP(F777,NVL!$B:$D,3,0),"")</f>
        <v/>
      </c>
      <c r="I777" s="288" t="str">
        <f>+IFERROR(VLOOKUP(F777,NVL!$B:$F,4,0),"")</f>
        <v/>
      </c>
      <c r="J777" s="289"/>
      <c r="K777" s="290"/>
      <c r="L777" s="291" t="str">
        <f>+IFERROR(VLOOKUP(K777,'THÀNH PHẨM'!$B:$F,3,0),"")</f>
        <v/>
      </c>
      <c r="M777" s="291" t="str">
        <f>+IFERROR(VLOOKUP(K777,'THÀNH PHẨM'!$B:$F,4,0),"")</f>
        <v/>
      </c>
      <c r="N777" s="291" t="str">
        <f>+IFERROR(VLOOKUP(K777,'THÀNH PHẨM'!$B:$F,5,0),"")</f>
        <v/>
      </c>
      <c r="O777" s="289"/>
      <c r="P777" s="292">
        <f t="shared" si="2"/>
        <v>0</v>
      </c>
      <c r="Q777" s="289"/>
      <c r="R777" s="289"/>
      <c r="S777" s="293">
        <f t="shared" si="62"/>
        <v>0</v>
      </c>
      <c r="T777" s="294"/>
      <c r="U777" s="295">
        <f t="shared" si="68"/>
        <v>0</v>
      </c>
      <c r="V777" s="296"/>
      <c r="W777" s="297"/>
      <c r="X777" s="298"/>
      <c r="Y777" s="292" t="str">
        <f t="shared" si="69"/>
        <v/>
      </c>
      <c r="Z777" s="366">
        <f t="shared" si="70"/>
        <v>0</v>
      </c>
      <c r="AA777" s="299" t="str">
        <f t="shared" si="71"/>
        <v/>
      </c>
      <c r="AB777" s="300"/>
      <c r="AC777" s="301"/>
      <c r="AD777" s="302"/>
      <c r="AE777" s="303"/>
      <c r="AF777" s="304"/>
      <c r="AG777" s="304"/>
      <c r="AH777" s="304"/>
      <c r="AI777" s="304"/>
      <c r="AJ777" s="304"/>
      <c r="AK777" s="305"/>
      <c r="AL777" s="283"/>
      <c r="AM777" s="284"/>
    </row>
    <row r="778" ht="15.75" customHeight="1">
      <c r="A778" s="282">
        <f t="shared" si="1"/>
        <v>774</v>
      </c>
      <c r="B778" s="283"/>
      <c r="C778" s="284"/>
      <c r="D778" s="338"/>
      <c r="E778" s="286"/>
      <c r="F778" s="287"/>
      <c r="G778" s="288" t="str">
        <f>+IFERROR(VLOOKUP(F778,NVL!$B:$C,2,0),"")</f>
        <v/>
      </c>
      <c r="H778" s="288" t="str">
        <f>+IFERROR(VLOOKUP(F778,NVL!$B:$D,3,0),"")</f>
        <v/>
      </c>
      <c r="I778" s="288" t="str">
        <f>+IFERROR(VLOOKUP(F778,NVL!$B:$F,4,0),"")</f>
        <v/>
      </c>
      <c r="J778" s="289"/>
      <c r="K778" s="290"/>
      <c r="L778" s="291" t="str">
        <f>+IFERROR(VLOOKUP(K778,'THÀNH PHẨM'!$B:$F,3,0),"")</f>
        <v/>
      </c>
      <c r="M778" s="291" t="str">
        <f>+IFERROR(VLOOKUP(K778,'THÀNH PHẨM'!$B:$F,4,0),"")</f>
        <v/>
      </c>
      <c r="N778" s="291" t="str">
        <f>+IFERROR(VLOOKUP(K778,'THÀNH PHẨM'!$B:$F,5,0),"")</f>
        <v/>
      </c>
      <c r="O778" s="289"/>
      <c r="P778" s="292">
        <f t="shared" si="2"/>
        <v>0</v>
      </c>
      <c r="Q778" s="289"/>
      <c r="R778" s="289"/>
      <c r="S778" s="293">
        <f t="shared" si="62"/>
        <v>0</v>
      </c>
      <c r="T778" s="294"/>
      <c r="U778" s="295">
        <f t="shared" si="68"/>
        <v>0</v>
      </c>
      <c r="V778" s="296"/>
      <c r="W778" s="297"/>
      <c r="X778" s="298"/>
      <c r="Y778" s="292" t="str">
        <f t="shared" si="69"/>
        <v/>
      </c>
      <c r="Z778" s="366">
        <f t="shared" si="70"/>
        <v>0</v>
      </c>
      <c r="AA778" s="299" t="str">
        <f t="shared" si="71"/>
        <v/>
      </c>
      <c r="AB778" s="300"/>
      <c r="AC778" s="301"/>
      <c r="AD778" s="302"/>
      <c r="AE778" s="303"/>
      <c r="AF778" s="304"/>
      <c r="AG778" s="304"/>
      <c r="AH778" s="304"/>
      <c r="AI778" s="304"/>
      <c r="AJ778" s="304"/>
      <c r="AK778" s="305"/>
      <c r="AL778" s="283"/>
      <c r="AM778" s="284"/>
    </row>
    <row r="779" ht="15.75" customHeight="1">
      <c r="A779" s="282">
        <f t="shared" si="1"/>
        <v>775</v>
      </c>
      <c r="B779" s="283"/>
      <c r="C779" s="284"/>
      <c r="D779" s="338"/>
      <c r="E779" s="286"/>
      <c r="F779" s="287"/>
      <c r="G779" s="288" t="str">
        <f>+IFERROR(VLOOKUP(F779,NVL!$B:$C,2,0),"")</f>
        <v/>
      </c>
      <c r="H779" s="288" t="str">
        <f>+IFERROR(VLOOKUP(F779,NVL!$B:$D,3,0),"")</f>
        <v/>
      </c>
      <c r="I779" s="288" t="str">
        <f>+IFERROR(VLOOKUP(F779,NVL!$B:$F,4,0),"")</f>
        <v/>
      </c>
      <c r="J779" s="289"/>
      <c r="K779" s="290"/>
      <c r="L779" s="291" t="str">
        <f>+IFERROR(VLOOKUP(K779,'THÀNH PHẨM'!$B:$F,3,0),"")</f>
        <v/>
      </c>
      <c r="M779" s="291" t="str">
        <f>+IFERROR(VLOOKUP(K779,'THÀNH PHẨM'!$B:$F,4,0),"")</f>
        <v/>
      </c>
      <c r="N779" s="291" t="str">
        <f>+IFERROR(VLOOKUP(K779,'THÀNH PHẨM'!$B:$F,5,0),"")</f>
        <v/>
      </c>
      <c r="O779" s="289"/>
      <c r="P779" s="292">
        <f t="shared" si="2"/>
        <v>0</v>
      </c>
      <c r="Q779" s="289"/>
      <c r="R779" s="289"/>
      <c r="S779" s="293">
        <f t="shared" si="62"/>
        <v>0</v>
      </c>
      <c r="T779" s="294"/>
      <c r="U779" s="295">
        <f t="shared" si="68"/>
        <v>0</v>
      </c>
      <c r="V779" s="296"/>
      <c r="W779" s="297"/>
      <c r="X779" s="298"/>
      <c r="Y779" s="292" t="str">
        <f t="shared" si="69"/>
        <v/>
      </c>
      <c r="Z779" s="366">
        <f t="shared" si="70"/>
        <v>0</v>
      </c>
      <c r="AA779" s="299" t="str">
        <f t="shared" si="71"/>
        <v/>
      </c>
      <c r="AB779" s="300"/>
      <c r="AC779" s="301"/>
      <c r="AD779" s="302"/>
      <c r="AE779" s="303"/>
      <c r="AF779" s="304"/>
      <c r="AG779" s="304"/>
      <c r="AH779" s="304"/>
      <c r="AI779" s="304"/>
      <c r="AJ779" s="304"/>
      <c r="AK779" s="305"/>
      <c r="AL779" s="283"/>
      <c r="AM779" s="284"/>
    </row>
    <row r="780" ht="15.75" customHeight="1">
      <c r="A780" s="282">
        <f t="shared" si="1"/>
        <v>776</v>
      </c>
      <c r="B780" s="283"/>
      <c r="C780" s="284"/>
      <c r="D780" s="338"/>
      <c r="E780" s="286"/>
      <c r="F780" s="287"/>
      <c r="G780" s="288" t="str">
        <f>+IFERROR(VLOOKUP(F780,NVL!$B:$C,2,0),"")</f>
        <v/>
      </c>
      <c r="H780" s="288" t="str">
        <f>+IFERROR(VLOOKUP(F780,NVL!$B:$D,3,0),"")</f>
        <v/>
      </c>
      <c r="I780" s="288" t="str">
        <f>+IFERROR(VLOOKUP(F780,NVL!$B:$F,4,0),"")</f>
        <v/>
      </c>
      <c r="J780" s="289"/>
      <c r="K780" s="290"/>
      <c r="L780" s="291" t="str">
        <f>+IFERROR(VLOOKUP(K780,'THÀNH PHẨM'!$B:$F,3,0),"")</f>
        <v/>
      </c>
      <c r="M780" s="291" t="str">
        <f>+IFERROR(VLOOKUP(K780,'THÀNH PHẨM'!$B:$F,4,0),"")</f>
        <v/>
      </c>
      <c r="N780" s="291" t="str">
        <f>+IFERROR(VLOOKUP(K780,'THÀNH PHẨM'!$B:$F,5,0),"")</f>
        <v/>
      </c>
      <c r="O780" s="289"/>
      <c r="P780" s="292">
        <f t="shared" si="2"/>
        <v>0</v>
      </c>
      <c r="Q780" s="289"/>
      <c r="R780" s="289"/>
      <c r="S780" s="293">
        <f t="shared" si="62"/>
        <v>0</v>
      </c>
      <c r="T780" s="294"/>
      <c r="U780" s="295" t="str">
        <f>IFERROR(VLOOKUP(G780,'KL NÒNG ỐNG'!$B$2:$E$16,4,0)*I780*V780,"")</f>
        <v/>
      </c>
      <c r="V780" s="296"/>
      <c r="W780" s="297"/>
      <c r="X780" s="298"/>
      <c r="Y780" s="292" t="str">
        <f t="shared" si="69"/>
        <v/>
      </c>
      <c r="Z780" s="366">
        <f t="shared" si="70"/>
        <v>0</v>
      </c>
      <c r="AA780" s="299" t="str">
        <f t="shared" si="71"/>
        <v/>
      </c>
      <c r="AB780" s="300"/>
      <c r="AC780" s="301"/>
      <c r="AD780" s="302"/>
      <c r="AE780" s="303"/>
      <c r="AF780" s="304"/>
      <c r="AG780" s="304"/>
      <c r="AH780" s="304"/>
      <c r="AI780" s="304"/>
      <c r="AJ780" s="304"/>
      <c r="AK780" s="305"/>
      <c r="AL780" s="283"/>
      <c r="AM780" s="446"/>
    </row>
    <row r="781" ht="15.75" customHeight="1">
      <c r="A781" s="282">
        <f t="shared" si="1"/>
        <v>777</v>
      </c>
      <c r="B781" s="283"/>
      <c r="C781" s="284"/>
      <c r="D781" s="338"/>
      <c r="E781" s="286"/>
      <c r="F781" s="287"/>
      <c r="G781" s="288" t="str">
        <f>+IFERROR(VLOOKUP(F781,NVL!$B:$C,2,0),"")</f>
        <v/>
      </c>
      <c r="H781" s="288" t="str">
        <f>+IFERROR(VLOOKUP(F781,NVL!$B:$D,3,0),"")</f>
        <v/>
      </c>
      <c r="I781" s="288" t="str">
        <f>+IFERROR(VLOOKUP(F781,NVL!$B:$F,4,0),"")</f>
        <v/>
      </c>
      <c r="J781" s="289"/>
      <c r="K781" s="290"/>
      <c r="L781" s="291" t="str">
        <f>+IFERROR(VLOOKUP(K781,'THÀNH PHẨM'!$B:$F,3,0),"")</f>
        <v/>
      </c>
      <c r="M781" s="291" t="str">
        <f>+IFERROR(VLOOKUP(K781,'THÀNH PHẨM'!$B:$F,4,0),"")</f>
        <v/>
      </c>
      <c r="N781" s="291" t="str">
        <f>+IFERROR(VLOOKUP(K781,'THÀNH PHẨM'!$B:$F,5,0),"")</f>
        <v/>
      </c>
      <c r="O781" s="289"/>
      <c r="P781" s="292">
        <f t="shared" si="2"/>
        <v>0</v>
      </c>
      <c r="Q781" s="289"/>
      <c r="R781" s="289"/>
      <c r="S781" s="293">
        <f t="shared" si="62"/>
        <v>0</v>
      </c>
      <c r="T781" s="294"/>
      <c r="U781" s="295" t="str">
        <f>IFERROR(VLOOKUP(G781,'KL NÒNG ỐNG'!$B$2:$E$16,4,0)*I781*V781,"")</f>
        <v/>
      </c>
      <c r="V781" s="296"/>
      <c r="W781" s="297"/>
      <c r="X781" s="298"/>
      <c r="Y781" s="292" t="str">
        <f t="shared" si="69"/>
        <v/>
      </c>
      <c r="Z781" s="366">
        <f t="shared" si="70"/>
        <v>0</v>
      </c>
      <c r="AA781" s="299" t="str">
        <f t="shared" si="71"/>
        <v/>
      </c>
      <c r="AB781" s="300"/>
      <c r="AC781" s="301"/>
      <c r="AD781" s="302"/>
      <c r="AE781" s="303"/>
      <c r="AF781" s="304"/>
      <c r="AG781" s="304"/>
      <c r="AH781" s="304"/>
      <c r="AI781" s="304"/>
      <c r="AJ781" s="304"/>
      <c r="AK781" s="305"/>
      <c r="AL781" s="283"/>
      <c r="AM781" s="284"/>
    </row>
    <row r="782" ht="15.75" customHeight="1">
      <c r="A782" s="282">
        <f t="shared" si="1"/>
        <v>778</v>
      </c>
      <c r="B782" s="283"/>
      <c r="C782" s="284"/>
      <c r="D782" s="338"/>
      <c r="E782" s="286"/>
      <c r="F782" s="287"/>
      <c r="G782" s="288" t="str">
        <f>+IFERROR(VLOOKUP(F782,NVL!$B:$C,2,0),"")</f>
        <v/>
      </c>
      <c r="H782" s="288" t="str">
        <f>+IFERROR(VLOOKUP(F782,NVL!$B:$D,3,0),"")</f>
        <v/>
      </c>
      <c r="I782" s="288" t="str">
        <f>+IFERROR(VLOOKUP(F782,NVL!$B:$F,4,0),"")</f>
        <v/>
      </c>
      <c r="J782" s="289"/>
      <c r="K782" s="290"/>
      <c r="L782" s="291" t="str">
        <f>+IFERROR(VLOOKUP(K782,'THÀNH PHẨM'!$B:$F,3,0),"")</f>
        <v/>
      </c>
      <c r="M782" s="291" t="str">
        <f>+IFERROR(VLOOKUP(K782,'THÀNH PHẨM'!$B:$F,4,0),"")</f>
        <v/>
      </c>
      <c r="N782" s="291" t="str">
        <f>+IFERROR(VLOOKUP(K782,'THÀNH PHẨM'!$B:$F,5,0),"")</f>
        <v/>
      </c>
      <c r="O782" s="289"/>
      <c r="P782" s="292">
        <f t="shared" si="2"/>
        <v>0</v>
      </c>
      <c r="Q782" s="289"/>
      <c r="R782" s="289"/>
      <c r="S782" s="293">
        <f t="shared" si="62"/>
        <v>0</v>
      </c>
      <c r="T782" s="294"/>
      <c r="U782" s="295" t="str">
        <f>IFERROR(VLOOKUP(G782,'KL NÒNG ỐNG'!$B$2:$E$16,4,0)*I782*V782,"")</f>
        <v/>
      </c>
      <c r="V782" s="296"/>
      <c r="W782" s="297"/>
      <c r="X782" s="298"/>
      <c r="Y782" s="292" t="str">
        <f t="shared" si="69"/>
        <v/>
      </c>
      <c r="Z782" s="366">
        <f t="shared" si="70"/>
        <v>0</v>
      </c>
      <c r="AA782" s="299" t="str">
        <f t="shared" si="71"/>
        <v/>
      </c>
      <c r="AB782" s="300"/>
      <c r="AC782" s="301"/>
      <c r="AD782" s="302"/>
      <c r="AE782" s="303"/>
      <c r="AF782" s="304"/>
      <c r="AG782" s="304"/>
      <c r="AH782" s="304"/>
      <c r="AI782" s="304"/>
      <c r="AJ782" s="304"/>
      <c r="AK782" s="305"/>
      <c r="AL782" s="283"/>
      <c r="AM782" s="284"/>
    </row>
    <row r="783" ht="15.75" customHeight="1">
      <c r="A783" s="282">
        <f t="shared" si="1"/>
        <v>779</v>
      </c>
      <c r="B783" s="283"/>
      <c r="C783" s="284"/>
      <c r="D783" s="338"/>
      <c r="E783" s="286"/>
      <c r="F783" s="287"/>
      <c r="G783" s="288" t="str">
        <f>+IFERROR(VLOOKUP(F783,NVL!$B:$C,2,0),"")</f>
        <v/>
      </c>
      <c r="H783" s="288" t="str">
        <f>+IFERROR(VLOOKUP(F783,NVL!$B:$D,3,0),"")</f>
        <v/>
      </c>
      <c r="I783" s="288" t="str">
        <f>+IFERROR(VLOOKUP(F783,NVL!$B:$F,4,0),"")</f>
        <v/>
      </c>
      <c r="J783" s="289"/>
      <c r="K783" s="290"/>
      <c r="L783" s="291" t="str">
        <f>+IFERROR(VLOOKUP(K783,'THÀNH PHẨM'!$B:$F,3,0),"")</f>
        <v/>
      </c>
      <c r="M783" s="291" t="str">
        <f>+IFERROR(VLOOKUP(K783,'THÀNH PHẨM'!$B:$F,4,0),"")</f>
        <v/>
      </c>
      <c r="N783" s="291" t="str">
        <f>+IFERROR(VLOOKUP(K783,'THÀNH PHẨM'!$B:$F,5,0),"")</f>
        <v/>
      </c>
      <c r="O783" s="289"/>
      <c r="P783" s="292">
        <f t="shared" si="2"/>
        <v>0</v>
      </c>
      <c r="Q783" s="289"/>
      <c r="R783" s="289"/>
      <c r="S783" s="293">
        <f t="shared" si="62"/>
        <v>0</v>
      </c>
      <c r="T783" s="294"/>
      <c r="U783" s="295" t="str">
        <f>IFERROR(VLOOKUP(G783,'KL NÒNG ỐNG'!$B$2:$E$16,4,0)*I783*V783,"")</f>
        <v/>
      </c>
      <c r="V783" s="296"/>
      <c r="W783" s="297"/>
      <c r="X783" s="298"/>
      <c r="Y783" s="292" t="str">
        <f t="shared" si="69"/>
        <v/>
      </c>
      <c r="Z783" s="366">
        <f t="shared" si="70"/>
        <v>0</v>
      </c>
      <c r="AA783" s="299" t="str">
        <f t="shared" si="71"/>
        <v/>
      </c>
      <c r="AB783" s="300"/>
      <c r="AC783" s="301"/>
      <c r="AD783" s="302"/>
      <c r="AE783" s="303"/>
      <c r="AF783" s="304"/>
      <c r="AG783" s="304"/>
      <c r="AH783" s="304"/>
      <c r="AI783" s="304"/>
      <c r="AJ783" s="304"/>
      <c r="AK783" s="305"/>
      <c r="AL783" s="283"/>
      <c r="AM783" s="284"/>
    </row>
    <row r="784" ht="15.75" customHeight="1">
      <c r="A784" s="282">
        <f t="shared" si="1"/>
        <v>780</v>
      </c>
      <c r="B784" s="283"/>
      <c r="C784" s="284"/>
      <c r="D784" s="338"/>
      <c r="E784" s="286"/>
      <c r="F784" s="287"/>
      <c r="G784" s="288" t="str">
        <f>+IFERROR(VLOOKUP(F784,NVL!$B:$C,2,0),"")</f>
        <v/>
      </c>
      <c r="H784" s="288" t="str">
        <f>+IFERROR(VLOOKUP(F784,NVL!$B:$D,3,0),"")</f>
        <v/>
      </c>
      <c r="I784" s="288" t="str">
        <f>+IFERROR(VLOOKUP(F784,NVL!$B:$F,4,0),"")</f>
        <v/>
      </c>
      <c r="J784" s="289"/>
      <c r="K784" s="290"/>
      <c r="L784" s="291" t="str">
        <f>+IFERROR(VLOOKUP(K784,'THÀNH PHẨM'!$B:$F,3,0),"")</f>
        <v/>
      </c>
      <c r="M784" s="291" t="str">
        <f>+IFERROR(VLOOKUP(K784,'THÀNH PHẨM'!$B:$F,4,0),"")</f>
        <v/>
      </c>
      <c r="N784" s="291" t="str">
        <f>+IFERROR(VLOOKUP(K784,'THÀNH PHẨM'!$B:$F,5,0),"")</f>
        <v/>
      </c>
      <c r="O784" s="289"/>
      <c r="P784" s="292">
        <f t="shared" si="2"/>
        <v>0</v>
      </c>
      <c r="Q784" s="289"/>
      <c r="R784" s="289"/>
      <c r="S784" s="293">
        <f t="shared" si="62"/>
        <v>0</v>
      </c>
      <c r="T784" s="294"/>
      <c r="U784" s="295" t="str">
        <f>IFERROR(VLOOKUP(G784,'KL NÒNG ỐNG'!$B$2:$E$16,4,0)*I784*V784,"")</f>
        <v/>
      </c>
      <c r="V784" s="296"/>
      <c r="W784" s="297"/>
      <c r="X784" s="298"/>
      <c r="Y784" s="292" t="str">
        <f t="shared" si="69"/>
        <v/>
      </c>
      <c r="Z784" s="366">
        <f t="shared" si="70"/>
        <v>0</v>
      </c>
      <c r="AA784" s="299" t="str">
        <f t="shared" si="71"/>
        <v/>
      </c>
      <c r="AB784" s="300"/>
      <c r="AC784" s="301"/>
      <c r="AD784" s="302"/>
      <c r="AE784" s="303"/>
      <c r="AF784" s="304"/>
      <c r="AG784" s="304"/>
      <c r="AH784" s="304"/>
      <c r="AI784" s="304"/>
      <c r="AJ784" s="304"/>
      <c r="AK784" s="305"/>
      <c r="AL784" s="283"/>
      <c r="AM784" s="284"/>
    </row>
    <row r="785" ht="15.75" customHeight="1">
      <c r="A785" s="282">
        <f t="shared" si="1"/>
        <v>781</v>
      </c>
      <c r="B785" s="283"/>
      <c r="C785" s="284"/>
      <c r="D785" s="338"/>
      <c r="E785" s="286"/>
      <c r="F785" s="287"/>
      <c r="G785" s="288" t="str">
        <f>+IFERROR(VLOOKUP(F785,NVL!$B:$C,2,0),"")</f>
        <v/>
      </c>
      <c r="H785" s="288" t="str">
        <f>+IFERROR(VLOOKUP(F785,NVL!$B:$D,3,0),"")</f>
        <v/>
      </c>
      <c r="I785" s="288" t="str">
        <f>+IFERROR(VLOOKUP(F785,NVL!$B:$F,4,0),"")</f>
        <v/>
      </c>
      <c r="J785" s="289"/>
      <c r="K785" s="290"/>
      <c r="L785" s="291" t="str">
        <f>+IFERROR(VLOOKUP(K785,'THÀNH PHẨM'!$B:$F,3,0),"")</f>
        <v/>
      </c>
      <c r="M785" s="291" t="str">
        <f>+IFERROR(VLOOKUP(K785,'THÀNH PHẨM'!$B:$F,4,0),"")</f>
        <v/>
      </c>
      <c r="N785" s="291" t="str">
        <f>+IFERROR(VLOOKUP(K785,'THÀNH PHẨM'!$B:$F,5,0),"")</f>
        <v/>
      </c>
      <c r="O785" s="289"/>
      <c r="P785" s="292">
        <f t="shared" si="2"/>
        <v>0</v>
      </c>
      <c r="Q785" s="289"/>
      <c r="R785" s="289"/>
      <c r="S785" s="293">
        <f t="shared" si="62"/>
        <v>0</v>
      </c>
      <c r="T785" s="294"/>
      <c r="U785" s="295" t="str">
        <f>IFERROR(VLOOKUP(G785,'KL NÒNG ỐNG'!$B$2:$E$16,4,0)*I785*V785,"")</f>
        <v/>
      </c>
      <c r="V785" s="296"/>
      <c r="W785" s="297"/>
      <c r="X785" s="298"/>
      <c r="Y785" s="292" t="str">
        <f t="shared" si="69"/>
        <v/>
      </c>
      <c r="Z785" s="366">
        <f t="shared" si="70"/>
        <v>0</v>
      </c>
      <c r="AA785" s="299" t="str">
        <f t="shared" si="71"/>
        <v/>
      </c>
      <c r="AB785" s="300"/>
      <c r="AC785" s="301"/>
      <c r="AD785" s="302"/>
      <c r="AE785" s="303"/>
      <c r="AF785" s="304"/>
      <c r="AG785" s="304"/>
      <c r="AH785" s="304"/>
      <c r="AI785" s="304"/>
      <c r="AJ785" s="304"/>
      <c r="AK785" s="305"/>
      <c r="AL785" s="283"/>
      <c r="AM785" s="284"/>
    </row>
    <row r="786" ht="15.75" customHeight="1">
      <c r="A786" s="282">
        <f t="shared" si="1"/>
        <v>782</v>
      </c>
      <c r="B786" s="283"/>
      <c r="C786" s="284"/>
      <c r="D786" s="338"/>
      <c r="E786" s="286"/>
      <c r="F786" s="287"/>
      <c r="G786" s="288" t="str">
        <f>+IFERROR(VLOOKUP(F786,NVL!$B:$C,2,0),"")</f>
        <v/>
      </c>
      <c r="H786" s="288" t="str">
        <f>+IFERROR(VLOOKUP(F786,NVL!$B:$D,3,0),"")</f>
        <v/>
      </c>
      <c r="I786" s="288" t="str">
        <f>+IFERROR(VLOOKUP(F786,NVL!$B:$F,4,0),"")</f>
        <v/>
      </c>
      <c r="J786" s="289"/>
      <c r="K786" s="290"/>
      <c r="L786" s="291" t="str">
        <f>+IFERROR(VLOOKUP(K786,'THÀNH PHẨM'!$B:$F,3,0),"")</f>
        <v/>
      </c>
      <c r="M786" s="291" t="str">
        <f>+IFERROR(VLOOKUP(K786,'THÀNH PHẨM'!$B:$F,4,0),"")</f>
        <v/>
      </c>
      <c r="N786" s="291" t="str">
        <f>+IFERROR(VLOOKUP(K786,'THÀNH PHẨM'!$B:$F,5,0),"")</f>
        <v/>
      </c>
      <c r="O786" s="289"/>
      <c r="P786" s="292">
        <f t="shared" si="2"/>
        <v>0</v>
      </c>
      <c r="Q786" s="289"/>
      <c r="R786" s="289"/>
      <c r="S786" s="293">
        <f t="shared" si="62"/>
        <v>0</v>
      </c>
      <c r="T786" s="294"/>
      <c r="U786" s="295" t="str">
        <f>IFERROR(VLOOKUP(G786,'KL NÒNG ỐNG'!$B$2:$E$16,4,0)*I786*V786,"")</f>
        <v/>
      </c>
      <c r="V786" s="296"/>
      <c r="W786" s="297"/>
      <c r="X786" s="298"/>
      <c r="Y786" s="292" t="str">
        <f t="shared" si="69"/>
        <v/>
      </c>
      <c r="Z786" s="366">
        <f t="shared" si="70"/>
        <v>0</v>
      </c>
      <c r="AA786" s="299" t="str">
        <f t="shared" si="71"/>
        <v/>
      </c>
      <c r="AB786" s="300"/>
      <c r="AC786" s="301"/>
      <c r="AD786" s="302"/>
      <c r="AE786" s="303"/>
      <c r="AF786" s="304"/>
      <c r="AG786" s="304"/>
      <c r="AH786" s="304"/>
      <c r="AI786" s="304"/>
      <c r="AJ786" s="304"/>
      <c r="AK786" s="305"/>
      <c r="AL786" s="283"/>
      <c r="AM786" s="284"/>
    </row>
    <row r="787" ht="15.75" customHeight="1">
      <c r="A787" s="282">
        <f t="shared" si="1"/>
        <v>783</v>
      </c>
      <c r="B787" s="283"/>
      <c r="C787" s="284"/>
      <c r="D787" s="338"/>
      <c r="E787" s="286"/>
      <c r="F787" s="287"/>
      <c r="G787" s="288" t="str">
        <f>+IFERROR(VLOOKUP(F787,NVL!$B:$C,2,0),"")</f>
        <v/>
      </c>
      <c r="H787" s="288" t="str">
        <f>+IFERROR(VLOOKUP(F787,NVL!$B:$D,3,0),"")</f>
        <v/>
      </c>
      <c r="I787" s="288" t="str">
        <f>+IFERROR(VLOOKUP(F787,NVL!$B:$F,4,0),"")</f>
        <v/>
      </c>
      <c r="J787" s="289"/>
      <c r="K787" s="290"/>
      <c r="L787" s="291" t="str">
        <f>+IFERROR(VLOOKUP(K787,'THÀNH PHẨM'!$B:$F,3,0),"")</f>
        <v/>
      </c>
      <c r="M787" s="291" t="str">
        <f>+IFERROR(VLOOKUP(K787,'THÀNH PHẨM'!$B:$F,4,0),"")</f>
        <v/>
      </c>
      <c r="N787" s="291" t="str">
        <f>+IFERROR(VLOOKUP(K787,'THÀNH PHẨM'!$B:$F,5,0),"")</f>
        <v/>
      </c>
      <c r="O787" s="289"/>
      <c r="P787" s="292">
        <f t="shared" si="2"/>
        <v>0</v>
      </c>
      <c r="Q787" s="289"/>
      <c r="R787" s="289"/>
      <c r="S787" s="293">
        <f t="shared" si="62"/>
        <v>0</v>
      </c>
      <c r="T787" s="294"/>
      <c r="U787" s="295" t="str">
        <f>IFERROR(VLOOKUP(G787,'KL NÒNG ỐNG'!$B$2:$E$16,4,0)*I787*V787,"")</f>
        <v/>
      </c>
      <c r="V787" s="296"/>
      <c r="W787" s="297"/>
      <c r="X787" s="298"/>
      <c r="Y787" s="292" t="str">
        <f t="shared" si="69"/>
        <v/>
      </c>
      <c r="Z787" s="366">
        <f t="shared" si="70"/>
        <v>0</v>
      </c>
      <c r="AA787" s="299" t="str">
        <f t="shared" si="71"/>
        <v/>
      </c>
      <c r="AB787" s="300"/>
      <c r="AC787" s="301"/>
      <c r="AD787" s="302"/>
      <c r="AE787" s="303"/>
      <c r="AF787" s="304"/>
      <c r="AG787" s="304"/>
      <c r="AH787" s="304"/>
      <c r="AI787" s="304"/>
      <c r="AJ787" s="304"/>
      <c r="AK787" s="305"/>
      <c r="AL787" s="283"/>
      <c r="AM787" s="284"/>
    </row>
    <row r="788" ht="15.75" customHeight="1">
      <c r="A788" s="282">
        <f t="shared" si="1"/>
        <v>784</v>
      </c>
      <c r="B788" s="283"/>
      <c r="C788" s="284"/>
      <c r="D788" s="338"/>
      <c r="E788" s="286"/>
      <c r="F788" s="287"/>
      <c r="G788" s="288" t="str">
        <f>+IFERROR(VLOOKUP(F788,NVL!$B:$C,2,0),"")</f>
        <v/>
      </c>
      <c r="H788" s="288" t="str">
        <f>+IFERROR(VLOOKUP(F788,NVL!$B:$D,3,0),"")</f>
        <v/>
      </c>
      <c r="I788" s="288" t="str">
        <f>+IFERROR(VLOOKUP(F788,NVL!$B:$F,4,0),"")</f>
        <v/>
      </c>
      <c r="J788" s="289"/>
      <c r="K788" s="290"/>
      <c r="L788" s="291" t="str">
        <f>+IFERROR(VLOOKUP(K788,'THÀNH PHẨM'!$B:$F,3,0),"")</f>
        <v/>
      </c>
      <c r="M788" s="291" t="str">
        <f>+IFERROR(VLOOKUP(K788,'THÀNH PHẨM'!$B:$F,4,0),"")</f>
        <v/>
      </c>
      <c r="N788" s="291" t="str">
        <f>+IFERROR(VLOOKUP(K788,'THÀNH PHẨM'!$B:$F,5,0),"")</f>
        <v/>
      </c>
      <c r="O788" s="289"/>
      <c r="P788" s="292">
        <f t="shared" si="2"/>
        <v>0</v>
      </c>
      <c r="Q788" s="289"/>
      <c r="R788" s="289"/>
      <c r="S788" s="293">
        <f t="shared" si="62"/>
        <v>0</v>
      </c>
      <c r="T788" s="294"/>
      <c r="U788" s="295" t="str">
        <f>IFERROR(VLOOKUP(G788,'KL NÒNG ỐNG'!$B$2:$E$16,4,0)*I788*V788,"")</f>
        <v/>
      </c>
      <c r="V788" s="296"/>
      <c r="W788" s="297"/>
      <c r="X788" s="298"/>
      <c r="Y788" s="292" t="str">
        <f t="shared" si="69"/>
        <v/>
      </c>
      <c r="Z788" s="366">
        <f t="shared" si="70"/>
        <v>0</v>
      </c>
      <c r="AA788" s="299" t="str">
        <f t="shared" si="71"/>
        <v/>
      </c>
      <c r="AB788" s="300"/>
      <c r="AC788" s="301"/>
      <c r="AD788" s="302"/>
      <c r="AE788" s="303"/>
      <c r="AF788" s="304"/>
      <c r="AG788" s="304"/>
      <c r="AH788" s="304"/>
      <c r="AI788" s="304"/>
      <c r="AJ788" s="304"/>
      <c r="AK788" s="305"/>
      <c r="AL788" s="283"/>
      <c r="AM788" s="284"/>
    </row>
    <row r="789" ht="15.75" customHeight="1">
      <c r="A789" s="282">
        <f t="shared" si="1"/>
        <v>785</v>
      </c>
      <c r="B789" s="283"/>
      <c r="C789" s="284"/>
      <c r="D789" s="338"/>
      <c r="E789" s="286"/>
      <c r="F789" s="287"/>
      <c r="G789" s="288" t="str">
        <f>+IFERROR(VLOOKUP(F789,NVL!$B:$C,2,0),"")</f>
        <v/>
      </c>
      <c r="H789" s="288" t="str">
        <f>+IFERROR(VLOOKUP(F789,NVL!$B:$D,3,0),"")</f>
        <v/>
      </c>
      <c r="I789" s="288" t="str">
        <f>+IFERROR(VLOOKUP(F789,NVL!$B:$F,4,0),"")</f>
        <v/>
      </c>
      <c r="J789" s="289"/>
      <c r="K789" s="290"/>
      <c r="L789" s="291" t="str">
        <f>+IFERROR(VLOOKUP(K789,'THÀNH PHẨM'!$B:$F,3,0),"")</f>
        <v/>
      </c>
      <c r="M789" s="291" t="str">
        <f>+IFERROR(VLOOKUP(K789,'THÀNH PHẨM'!$B:$F,4,0),"")</f>
        <v/>
      </c>
      <c r="N789" s="291" t="str">
        <f>+IFERROR(VLOOKUP(K789,'THÀNH PHẨM'!$B:$F,5,0),"")</f>
        <v/>
      </c>
      <c r="O789" s="289"/>
      <c r="P789" s="292">
        <f t="shared" si="2"/>
        <v>0</v>
      </c>
      <c r="Q789" s="289"/>
      <c r="R789" s="289"/>
      <c r="S789" s="293">
        <f t="shared" si="62"/>
        <v>0</v>
      </c>
      <c r="T789" s="294"/>
      <c r="U789" s="295" t="str">
        <f>IFERROR(VLOOKUP(G789,'KL NÒNG ỐNG'!$B$2:$E$16,4,0)*I789*V789,"")</f>
        <v/>
      </c>
      <c r="V789" s="296"/>
      <c r="W789" s="297"/>
      <c r="X789" s="298"/>
      <c r="Y789" s="292" t="str">
        <f t="shared" si="69"/>
        <v/>
      </c>
      <c r="Z789" s="366">
        <f t="shared" si="70"/>
        <v>0</v>
      </c>
      <c r="AA789" s="299" t="str">
        <f t="shared" si="71"/>
        <v/>
      </c>
      <c r="AB789" s="300"/>
      <c r="AC789" s="301"/>
      <c r="AD789" s="302"/>
      <c r="AE789" s="303"/>
      <c r="AF789" s="304"/>
      <c r="AG789" s="304"/>
      <c r="AH789" s="304"/>
      <c r="AI789" s="304"/>
      <c r="AJ789" s="304"/>
      <c r="AK789" s="305"/>
      <c r="AL789" s="283"/>
      <c r="AM789" s="284"/>
    </row>
    <row r="790" ht="15.75" customHeight="1">
      <c r="A790" s="282">
        <f t="shared" si="1"/>
        <v>786</v>
      </c>
      <c r="B790" s="283"/>
      <c r="C790" s="284"/>
      <c r="D790" s="338"/>
      <c r="E790" s="286"/>
      <c r="F790" s="287"/>
      <c r="G790" s="288" t="str">
        <f>+IFERROR(VLOOKUP(F790,NVL!$B:$C,2,0),"")</f>
        <v/>
      </c>
      <c r="H790" s="288" t="str">
        <f>+IFERROR(VLOOKUP(F790,NVL!$B:$D,3,0),"")</f>
        <v/>
      </c>
      <c r="I790" s="288" t="str">
        <f>+IFERROR(VLOOKUP(F790,NVL!$B:$F,4,0),"")</f>
        <v/>
      </c>
      <c r="J790" s="289"/>
      <c r="K790" s="290"/>
      <c r="L790" s="291" t="str">
        <f>+IFERROR(VLOOKUP(K790,'THÀNH PHẨM'!$B:$F,3,0),"")</f>
        <v/>
      </c>
      <c r="M790" s="291" t="str">
        <f>+IFERROR(VLOOKUP(K790,'THÀNH PHẨM'!$B:$F,4,0),"")</f>
        <v/>
      </c>
      <c r="N790" s="291" t="str">
        <f>+IFERROR(VLOOKUP(K790,'THÀNH PHẨM'!$B:$F,5,0),"")</f>
        <v/>
      </c>
      <c r="O790" s="289"/>
      <c r="P790" s="292">
        <f t="shared" si="2"/>
        <v>0</v>
      </c>
      <c r="Q790" s="289"/>
      <c r="R790" s="289"/>
      <c r="S790" s="293">
        <f t="shared" si="62"/>
        <v>0</v>
      </c>
      <c r="T790" s="294"/>
      <c r="U790" s="295" t="str">
        <f>IFERROR(VLOOKUP(G790,'KL NÒNG ỐNG'!$B$2:$E$16,4,0)*I790*V790,"")</f>
        <v/>
      </c>
      <c r="V790" s="296"/>
      <c r="W790" s="297"/>
      <c r="X790" s="298"/>
      <c r="Y790" s="292" t="str">
        <f t="shared" si="69"/>
        <v/>
      </c>
      <c r="Z790" s="366">
        <f t="shared" si="70"/>
        <v>0</v>
      </c>
      <c r="AA790" s="299" t="str">
        <f t="shared" si="71"/>
        <v/>
      </c>
      <c r="AB790" s="300"/>
      <c r="AC790" s="301"/>
      <c r="AD790" s="302"/>
      <c r="AE790" s="303"/>
      <c r="AF790" s="304"/>
      <c r="AG790" s="304"/>
      <c r="AH790" s="304"/>
      <c r="AI790" s="304"/>
      <c r="AJ790" s="304"/>
      <c r="AK790" s="305"/>
      <c r="AL790" s="283"/>
      <c r="AM790" s="284"/>
    </row>
    <row r="791" ht="15.75" customHeight="1">
      <c r="A791" s="282">
        <f t="shared" si="1"/>
        <v>787</v>
      </c>
      <c r="B791" s="283"/>
      <c r="C791" s="284"/>
      <c r="D791" s="338"/>
      <c r="E791" s="286"/>
      <c r="F791" s="287"/>
      <c r="G791" s="288" t="str">
        <f>+IFERROR(VLOOKUP(F791,NVL!$B:$C,2,0),"")</f>
        <v/>
      </c>
      <c r="H791" s="288" t="str">
        <f>+IFERROR(VLOOKUP(F791,NVL!$B:$D,3,0),"")</f>
        <v/>
      </c>
      <c r="I791" s="288" t="str">
        <f>+IFERROR(VLOOKUP(F791,NVL!$B:$F,4,0),"")</f>
        <v/>
      </c>
      <c r="J791" s="289"/>
      <c r="K791" s="290"/>
      <c r="L791" s="291" t="str">
        <f>+IFERROR(VLOOKUP(K791,'THÀNH PHẨM'!$B:$F,3,0),"")</f>
        <v/>
      </c>
      <c r="M791" s="291" t="str">
        <f>+IFERROR(VLOOKUP(K791,'THÀNH PHẨM'!$B:$F,4,0),"")</f>
        <v/>
      </c>
      <c r="N791" s="291" t="str">
        <f>+IFERROR(VLOOKUP(K791,'THÀNH PHẨM'!$B:$F,5,0),"")</f>
        <v/>
      </c>
      <c r="O791" s="289"/>
      <c r="P791" s="292">
        <f t="shared" si="2"/>
        <v>0</v>
      </c>
      <c r="Q791" s="289"/>
      <c r="R791" s="289"/>
      <c r="S791" s="293">
        <f t="shared" si="62"/>
        <v>0</v>
      </c>
      <c r="T791" s="294"/>
      <c r="U791" s="295" t="str">
        <f>IFERROR(VLOOKUP(G791,'KL NÒNG ỐNG'!$B$2:$E$16,4,0)*I791*V791,"")</f>
        <v/>
      </c>
      <c r="V791" s="296"/>
      <c r="W791" s="297"/>
      <c r="X791" s="298"/>
      <c r="Y791" s="292" t="str">
        <f t="shared" si="69"/>
        <v/>
      </c>
      <c r="Z791" s="366">
        <f t="shared" si="70"/>
        <v>0</v>
      </c>
      <c r="AA791" s="299" t="str">
        <f t="shared" si="71"/>
        <v/>
      </c>
      <c r="AB791" s="300"/>
      <c r="AC791" s="301"/>
      <c r="AD791" s="302"/>
      <c r="AE791" s="303"/>
      <c r="AF791" s="304"/>
      <c r="AG791" s="304"/>
      <c r="AH791" s="304"/>
      <c r="AI791" s="304"/>
      <c r="AJ791" s="304"/>
      <c r="AK791" s="305"/>
      <c r="AL791" s="283"/>
      <c r="AM791" s="284"/>
    </row>
    <row r="792" ht="15.75" customHeight="1">
      <c r="A792" s="282">
        <f t="shared" si="1"/>
        <v>788</v>
      </c>
      <c r="B792" s="283"/>
      <c r="C792" s="284"/>
      <c r="D792" s="338"/>
      <c r="E792" s="286"/>
      <c r="F792" s="287"/>
      <c r="G792" s="288" t="str">
        <f>+IFERROR(VLOOKUP(F792,NVL!$B:$C,2,0),"")</f>
        <v/>
      </c>
      <c r="H792" s="288" t="str">
        <f>+IFERROR(VLOOKUP(F792,NVL!$B:$D,3,0),"")</f>
        <v/>
      </c>
      <c r="I792" s="288" t="str">
        <f>+IFERROR(VLOOKUP(F792,NVL!$B:$F,4,0),"")</f>
        <v/>
      </c>
      <c r="J792" s="289"/>
      <c r="K792" s="290"/>
      <c r="L792" s="291" t="str">
        <f>+IFERROR(VLOOKUP(K792,'THÀNH PHẨM'!$B:$F,3,0),"")</f>
        <v/>
      </c>
      <c r="M792" s="291" t="str">
        <f>+IFERROR(VLOOKUP(K792,'THÀNH PHẨM'!$B:$F,4,0),"")</f>
        <v/>
      </c>
      <c r="N792" s="291" t="str">
        <f>+IFERROR(VLOOKUP(K792,'THÀNH PHẨM'!$B:$F,5,0),"")</f>
        <v/>
      </c>
      <c r="O792" s="289"/>
      <c r="P792" s="292">
        <f t="shared" si="2"/>
        <v>0</v>
      </c>
      <c r="Q792" s="289"/>
      <c r="R792" s="289"/>
      <c r="S792" s="293">
        <f t="shared" si="62"/>
        <v>0</v>
      </c>
      <c r="T792" s="294"/>
      <c r="U792" s="295" t="str">
        <f>IFERROR(VLOOKUP(G792,'KL NÒNG ỐNG'!$B$2:$E$16,4,0)*I792*V792,"")</f>
        <v/>
      </c>
      <c r="V792" s="296"/>
      <c r="W792" s="297"/>
      <c r="X792" s="298"/>
      <c r="Y792" s="292" t="str">
        <f t="shared" si="69"/>
        <v/>
      </c>
      <c r="Z792" s="366">
        <f t="shared" si="70"/>
        <v>0</v>
      </c>
      <c r="AA792" s="299" t="str">
        <f t="shared" si="71"/>
        <v/>
      </c>
      <c r="AB792" s="300"/>
      <c r="AC792" s="301"/>
      <c r="AD792" s="302"/>
      <c r="AE792" s="303"/>
      <c r="AF792" s="304"/>
      <c r="AG792" s="304"/>
      <c r="AH792" s="304"/>
      <c r="AI792" s="304"/>
      <c r="AJ792" s="304"/>
      <c r="AK792" s="305"/>
      <c r="AL792" s="283"/>
      <c r="AM792" s="284"/>
    </row>
    <row r="793" ht="15.75" customHeight="1">
      <c r="A793" s="282">
        <f t="shared" si="1"/>
        <v>789</v>
      </c>
      <c r="B793" s="283"/>
      <c r="C793" s="284"/>
      <c r="D793" s="338"/>
      <c r="E793" s="286"/>
      <c r="F793" s="287"/>
      <c r="G793" s="288" t="str">
        <f>+IFERROR(VLOOKUP(F793,NVL!$B:$C,2,0),"")</f>
        <v/>
      </c>
      <c r="H793" s="288" t="str">
        <f>+IFERROR(VLOOKUP(F793,NVL!$B:$D,3,0),"")</f>
        <v/>
      </c>
      <c r="I793" s="288" t="str">
        <f>+IFERROR(VLOOKUP(F793,NVL!$B:$F,4,0),"")</f>
        <v/>
      </c>
      <c r="J793" s="289"/>
      <c r="K793" s="290"/>
      <c r="L793" s="291" t="str">
        <f>+IFERROR(VLOOKUP(K793,'THÀNH PHẨM'!$B:$F,3,0),"")</f>
        <v/>
      </c>
      <c r="M793" s="291" t="str">
        <f>+IFERROR(VLOOKUP(K793,'THÀNH PHẨM'!$B:$F,4,0),"")</f>
        <v/>
      </c>
      <c r="N793" s="291" t="str">
        <f>+IFERROR(VLOOKUP(K793,'THÀNH PHẨM'!$B:$F,5,0),"")</f>
        <v/>
      </c>
      <c r="O793" s="289"/>
      <c r="P793" s="292">
        <f t="shared" si="2"/>
        <v>0</v>
      </c>
      <c r="Q793" s="289"/>
      <c r="R793" s="289"/>
      <c r="S793" s="293">
        <f t="shared" si="62"/>
        <v>0</v>
      </c>
      <c r="T793" s="294"/>
      <c r="U793" s="295" t="str">
        <f>IFERROR(VLOOKUP(G793,'KL NÒNG ỐNG'!$B$2:$E$16,4,0)*I793*V793,"")</f>
        <v/>
      </c>
      <c r="V793" s="296"/>
      <c r="W793" s="297"/>
      <c r="X793" s="298"/>
      <c r="Y793" s="292" t="str">
        <f t="shared" si="69"/>
        <v/>
      </c>
      <c r="Z793" s="366">
        <f t="shared" si="70"/>
        <v>0</v>
      </c>
      <c r="AA793" s="299" t="str">
        <f t="shared" si="71"/>
        <v/>
      </c>
      <c r="AB793" s="300"/>
      <c r="AC793" s="301"/>
      <c r="AD793" s="302"/>
      <c r="AE793" s="303"/>
      <c r="AF793" s="304"/>
      <c r="AG793" s="304"/>
      <c r="AH793" s="304"/>
      <c r="AI793" s="304"/>
      <c r="AJ793" s="304"/>
      <c r="AK793" s="305"/>
      <c r="AL793" s="283"/>
      <c r="AM793" s="284"/>
    </row>
    <row r="794" ht="15.75" customHeight="1">
      <c r="A794" s="282">
        <f t="shared" si="1"/>
        <v>790</v>
      </c>
      <c r="B794" s="283"/>
      <c r="C794" s="284"/>
      <c r="D794" s="338"/>
      <c r="E794" s="286"/>
      <c r="F794" s="287"/>
      <c r="G794" s="288" t="str">
        <f>+IFERROR(VLOOKUP(F794,NVL!$B:$C,2,0),"")</f>
        <v/>
      </c>
      <c r="H794" s="288" t="str">
        <f>+IFERROR(VLOOKUP(F794,NVL!$B:$D,3,0),"")</f>
        <v/>
      </c>
      <c r="I794" s="288" t="str">
        <f>+IFERROR(VLOOKUP(F794,NVL!$B:$F,4,0),"")</f>
        <v/>
      </c>
      <c r="J794" s="289"/>
      <c r="K794" s="290"/>
      <c r="L794" s="291" t="str">
        <f>+IFERROR(VLOOKUP(K794,'THÀNH PHẨM'!$B:$F,3,0),"")</f>
        <v/>
      </c>
      <c r="M794" s="291" t="str">
        <f>+IFERROR(VLOOKUP(K794,'THÀNH PHẨM'!$B:$F,4,0),"")</f>
        <v/>
      </c>
      <c r="N794" s="291" t="str">
        <f>+IFERROR(VLOOKUP(K794,'THÀNH PHẨM'!$B:$F,5,0),"")</f>
        <v/>
      </c>
      <c r="O794" s="289"/>
      <c r="P794" s="292">
        <f t="shared" si="2"/>
        <v>0</v>
      </c>
      <c r="Q794" s="289"/>
      <c r="R794" s="289"/>
      <c r="S794" s="293">
        <f t="shared" si="62"/>
        <v>0</v>
      </c>
      <c r="T794" s="294"/>
      <c r="U794" s="295" t="str">
        <f>IFERROR(VLOOKUP(G794,'KL NÒNG ỐNG'!$B$2:$E$16,4,0)*I794*V794,"")</f>
        <v/>
      </c>
      <c r="V794" s="296"/>
      <c r="W794" s="297"/>
      <c r="X794" s="298"/>
      <c r="Y794" s="292" t="str">
        <f t="shared" si="69"/>
        <v/>
      </c>
      <c r="Z794" s="366">
        <f t="shared" si="70"/>
        <v>0</v>
      </c>
      <c r="AA794" s="299" t="str">
        <f t="shared" si="71"/>
        <v/>
      </c>
      <c r="AB794" s="300"/>
      <c r="AC794" s="301"/>
      <c r="AD794" s="302"/>
      <c r="AE794" s="303"/>
      <c r="AF794" s="304"/>
      <c r="AG794" s="304"/>
      <c r="AH794" s="304"/>
      <c r="AI794" s="304"/>
      <c r="AJ794" s="304"/>
      <c r="AK794" s="305"/>
      <c r="AL794" s="283"/>
      <c r="AM794" s="284"/>
    </row>
    <row r="795" ht="15.75" customHeight="1">
      <c r="A795" s="282">
        <f t="shared" si="1"/>
        <v>791</v>
      </c>
      <c r="B795" s="283"/>
      <c r="C795" s="284"/>
      <c r="D795" s="338"/>
      <c r="E795" s="286"/>
      <c r="F795" s="287"/>
      <c r="G795" s="288" t="str">
        <f>+IFERROR(VLOOKUP(F795,NVL!$B:$C,2,0),"")</f>
        <v/>
      </c>
      <c r="H795" s="288" t="str">
        <f>+IFERROR(VLOOKUP(F795,NVL!$B:$D,3,0),"")</f>
        <v/>
      </c>
      <c r="I795" s="288" t="str">
        <f>+IFERROR(VLOOKUP(F795,NVL!$B:$F,4,0),"")</f>
        <v/>
      </c>
      <c r="J795" s="289"/>
      <c r="K795" s="290"/>
      <c r="L795" s="291" t="str">
        <f>+IFERROR(VLOOKUP(K795,'THÀNH PHẨM'!$B:$F,3,0),"")</f>
        <v/>
      </c>
      <c r="M795" s="291" t="str">
        <f>+IFERROR(VLOOKUP(K795,'THÀNH PHẨM'!$B:$F,4,0),"")</f>
        <v/>
      </c>
      <c r="N795" s="291" t="str">
        <f>+IFERROR(VLOOKUP(K795,'THÀNH PHẨM'!$B:$F,5,0),"")</f>
        <v/>
      </c>
      <c r="O795" s="289"/>
      <c r="P795" s="292">
        <f t="shared" si="2"/>
        <v>0</v>
      </c>
      <c r="Q795" s="289"/>
      <c r="R795" s="289"/>
      <c r="S795" s="293">
        <f t="shared" si="62"/>
        <v>0</v>
      </c>
      <c r="T795" s="294"/>
      <c r="U795" s="295" t="str">
        <f>IFERROR(VLOOKUP(G795,'KL NÒNG ỐNG'!$B$2:$E$16,4,0)*I795*V795,"")</f>
        <v/>
      </c>
      <c r="V795" s="296"/>
      <c r="W795" s="297"/>
      <c r="X795" s="298"/>
      <c r="Y795" s="292" t="str">
        <f t="shared" si="69"/>
        <v/>
      </c>
      <c r="Z795" s="366">
        <f t="shared" si="70"/>
        <v>0</v>
      </c>
      <c r="AA795" s="299" t="str">
        <f t="shared" si="71"/>
        <v/>
      </c>
      <c r="AB795" s="300"/>
      <c r="AC795" s="301"/>
      <c r="AD795" s="302"/>
      <c r="AE795" s="303"/>
      <c r="AF795" s="304"/>
      <c r="AG795" s="304"/>
      <c r="AH795" s="304"/>
      <c r="AI795" s="304"/>
      <c r="AJ795" s="304"/>
      <c r="AK795" s="305"/>
      <c r="AL795" s="283"/>
      <c r="AM795" s="284"/>
    </row>
    <row r="796" ht="15.75" customHeight="1">
      <c r="A796" s="282">
        <f t="shared" si="1"/>
        <v>792</v>
      </c>
      <c r="B796" s="283"/>
      <c r="C796" s="284"/>
      <c r="D796" s="338"/>
      <c r="E796" s="286"/>
      <c r="F796" s="287"/>
      <c r="G796" s="288" t="str">
        <f>+IFERROR(VLOOKUP(F796,NVL!$B:$C,2,0),"")</f>
        <v/>
      </c>
      <c r="H796" s="288" t="str">
        <f>+IFERROR(VLOOKUP(F796,NVL!$B:$D,3,0),"")</f>
        <v/>
      </c>
      <c r="I796" s="288" t="str">
        <f>+IFERROR(VLOOKUP(F796,NVL!$B:$F,4,0),"")</f>
        <v/>
      </c>
      <c r="J796" s="289"/>
      <c r="K796" s="290"/>
      <c r="L796" s="291" t="str">
        <f>+IFERROR(VLOOKUP(K796,'THÀNH PHẨM'!$B:$F,3,0),"")</f>
        <v/>
      </c>
      <c r="M796" s="291" t="str">
        <f>+IFERROR(VLOOKUP(K796,'THÀNH PHẨM'!$B:$F,4,0),"")</f>
        <v/>
      </c>
      <c r="N796" s="291" t="str">
        <f>+IFERROR(VLOOKUP(K796,'THÀNH PHẨM'!$B:$F,5,0),"")</f>
        <v/>
      </c>
      <c r="O796" s="289"/>
      <c r="P796" s="292">
        <f t="shared" si="2"/>
        <v>0</v>
      </c>
      <c r="Q796" s="289"/>
      <c r="R796" s="289"/>
      <c r="S796" s="293">
        <f t="shared" si="62"/>
        <v>0</v>
      </c>
      <c r="T796" s="294"/>
      <c r="U796" s="295" t="str">
        <f>IFERROR(VLOOKUP(G796,'KL NÒNG ỐNG'!$B$2:$E$16,4,0)*I796*V796,"")</f>
        <v/>
      </c>
      <c r="V796" s="296"/>
      <c r="W796" s="297"/>
      <c r="X796" s="298"/>
      <c r="Y796" s="292" t="str">
        <f t="shared" si="69"/>
        <v/>
      </c>
      <c r="Z796" s="366">
        <f t="shared" si="70"/>
        <v>0</v>
      </c>
      <c r="AA796" s="299" t="str">
        <f t="shared" si="71"/>
        <v/>
      </c>
      <c r="AB796" s="300"/>
      <c r="AC796" s="301"/>
      <c r="AD796" s="302"/>
      <c r="AE796" s="303"/>
      <c r="AF796" s="304"/>
      <c r="AG796" s="304"/>
      <c r="AH796" s="304"/>
      <c r="AI796" s="304"/>
      <c r="AJ796" s="304"/>
      <c r="AK796" s="305"/>
      <c r="AL796" s="283"/>
      <c r="AM796" s="284"/>
    </row>
    <row r="797" ht="15.75" customHeight="1">
      <c r="A797" s="282">
        <f t="shared" si="1"/>
        <v>793</v>
      </c>
      <c r="B797" s="283"/>
      <c r="C797" s="284"/>
      <c r="D797" s="338"/>
      <c r="E797" s="286"/>
      <c r="F797" s="287"/>
      <c r="G797" s="288" t="str">
        <f>+IFERROR(VLOOKUP(F797,NVL!$B:$C,2,0),"")</f>
        <v/>
      </c>
      <c r="H797" s="288" t="str">
        <f>+IFERROR(VLOOKUP(F797,NVL!$B:$D,3,0),"")</f>
        <v/>
      </c>
      <c r="I797" s="288" t="str">
        <f>+IFERROR(VLOOKUP(F797,NVL!$B:$F,4,0),"")</f>
        <v/>
      </c>
      <c r="J797" s="289"/>
      <c r="K797" s="290"/>
      <c r="L797" s="291" t="str">
        <f>+IFERROR(VLOOKUP(K797,'THÀNH PHẨM'!$B:$F,3,0),"")</f>
        <v/>
      </c>
      <c r="M797" s="291" t="str">
        <f>+IFERROR(VLOOKUP(K797,'THÀNH PHẨM'!$B:$F,4,0),"")</f>
        <v/>
      </c>
      <c r="N797" s="291" t="str">
        <f>+IFERROR(VLOOKUP(K797,'THÀNH PHẨM'!$B:$F,5,0),"")</f>
        <v/>
      </c>
      <c r="O797" s="289"/>
      <c r="P797" s="292">
        <f t="shared" si="2"/>
        <v>0</v>
      </c>
      <c r="Q797" s="289"/>
      <c r="R797" s="289"/>
      <c r="S797" s="293">
        <f t="shared" si="62"/>
        <v>0</v>
      </c>
      <c r="T797" s="294"/>
      <c r="U797" s="295" t="str">
        <f>IFERROR(VLOOKUP(G797,'KL NÒNG ỐNG'!$B$2:$E$16,4,0)*I797*V797,"")</f>
        <v/>
      </c>
      <c r="V797" s="296"/>
      <c r="W797" s="297"/>
      <c r="X797" s="298"/>
      <c r="Y797" s="292" t="str">
        <f t="shared" si="69"/>
        <v/>
      </c>
      <c r="Z797" s="366">
        <f t="shared" si="70"/>
        <v>0</v>
      </c>
      <c r="AA797" s="299" t="str">
        <f t="shared" si="71"/>
        <v/>
      </c>
      <c r="AB797" s="300"/>
      <c r="AC797" s="301"/>
      <c r="AD797" s="302"/>
      <c r="AE797" s="303"/>
      <c r="AF797" s="304"/>
      <c r="AG797" s="304"/>
      <c r="AH797" s="304"/>
      <c r="AI797" s="304"/>
      <c r="AJ797" s="304"/>
      <c r="AK797" s="305"/>
      <c r="AL797" s="283"/>
      <c r="AM797" s="284"/>
    </row>
    <row r="798" ht="15.75" customHeight="1">
      <c r="A798" s="282">
        <f t="shared" si="1"/>
        <v>794</v>
      </c>
      <c r="B798" s="283"/>
      <c r="C798" s="284"/>
      <c r="D798" s="338"/>
      <c r="E798" s="286"/>
      <c r="F798" s="287"/>
      <c r="G798" s="288" t="str">
        <f>+IFERROR(VLOOKUP(F798,NVL!$B:$C,2,0),"")</f>
        <v/>
      </c>
      <c r="H798" s="288" t="str">
        <f>+IFERROR(VLOOKUP(F798,NVL!$B:$D,3,0),"")</f>
        <v/>
      </c>
      <c r="I798" s="288" t="str">
        <f>+IFERROR(VLOOKUP(F798,NVL!$B:$F,4,0),"")</f>
        <v/>
      </c>
      <c r="J798" s="289"/>
      <c r="K798" s="290"/>
      <c r="L798" s="291" t="str">
        <f>+IFERROR(VLOOKUP(K798,'THÀNH PHẨM'!$B:$F,3,0),"")</f>
        <v/>
      </c>
      <c r="M798" s="291" t="str">
        <f>+IFERROR(VLOOKUP(K798,'THÀNH PHẨM'!$B:$F,4,0),"")</f>
        <v/>
      </c>
      <c r="N798" s="291" t="str">
        <f>+IFERROR(VLOOKUP(K798,'THÀNH PHẨM'!$B:$F,5,0),"")</f>
        <v/>
      </c>
      <c r="O798" s="289"/>
      <c r="P798" s="292">
        <f t="shared" si="2"/>
        <v>0</v>
      </c>
      <c r="Q798" s="289"/>
      <c r="R798" s="289"/>
      <c r="S798" s="293">
        <f t="shared" si="62"/>
        <v>0</v>
      </c>
      <c r="T798" s="294"/>
      <c r="U798" s="295" t="str">
        <f>IFERROR(VLOOKUP(G798,'KL NÒNG ỐNG'!$B$2:$E$16,4,0)*I798*V798,"")</f>
        <v/>
      </c>
      <c r="V798" s="296"/>
      <c r="W798" s="297"/>
      <c r="X798" s="298"/>
      <c r="Y798" s="292" t="str">
        <f t="shared" si="69"/>
        <v/>
      </c>
      <c r="Z798" s="366">
        <f t="shared" si="70"/>
        <v>0</v>
      </c>
      <c r="AA798" s="299" t="str">
        <f t="shared" si="71"/>
        <v/>
      </c>
      <c r="AB798" s="300"/>
      <c r="AC798" s="301"/>
      <c r="AD798" s="302"/>
      <c r="AE798" s="303"/>
      <c r="AF798" s="304"/>
      <c r="AG798" s="304"/>
      <c r="AH798" s="304"/>
      <c r="AI798" s="304"/>
      <c r="AJ798" s="304"/>
      <c r="AK798" s="305"/>
      <c r="AL798" s="283"/>
      <c r="AM798" s="284"/>
    </row>
    <row r="799" ht="15.75" customHeight="1">
      <c r="A799" s="282">
        <f t="shared" si="1"/>
        <v>795</v>
      </c>
      <c r="B799" s="283"/>
      <c r="C799" s="284"/>
      <c r="D799" s="338"/>
      <c r="E799" s="286"/>
      <c r="F799" s="287"/>
      <c r="G799" s="288" t="str">
        <f>+IFERROR(VLOOKUP(F799,NVL!$B:$C,2,0),"")</f>
        <v/>
      </c>
      <c r="H799" s="288" t="str">
        <f>+IFERROR(VLOOKUP(F799,NVL!$B:$D,3,0),"")</f>
        <v/>
      </c>
      <c r="I799" s="288" t="str">
        <f>+IFERROR(VLOOKUP(F799,NVL!$B:$F,4,0),"")</f>
        <v/>
      </c>
      <c r="J799" s="289"/>
      <c r="K799" s="290"/>
      <c r="L799" s="291" t="str">
        <f>+IFERROR(VLOOKUP(K799,'THÀNH PHẨM'!$B:$F,3,0),"")</f>
        <v/>
      </c>
      <c r="M799" s="291" t="str">
        <f>+IFERROR(VLOOKUP(K799,'THÀNH PHẨM'!$B:$F,4,0),"")</f>
        <v/>
      </c>
      <c r="N799" s="291" t="str">
        <f>+IFERROR(VLOOKUP(K799,'THÀNH PHẨM'!$B:$F,5,0),"")</f>
        <v/>
      </c>
      <c r="O799" s="289"/>
      <c r="P799" s="292">
        <f t="shared" si="2"/>
        <v>0</v>
      </c>
      <c r="Q799" s="289"/>
      <c r="R799" s="289"/>
      <c r="S799" s="293">
        <f t="shared" si="62"/>
        <v>0</v>
      </c>
      <c r="T799" s="294"/>
      <c r="U799" s="295" t="str">
        <f>IFERROR(VLOOKUP(G799,'KL NÒNG ỐNG'!$B$2:$E$16,4,0)*I799*V799,"")</f>
        <v/>
      </c>
      <c r="V799" s="296"/>
      <c r="W799" s="297"/>
      <c r="X799" s="298"/>
      <c r="Y799" s="292" t="str">
        <f t="shared" si="69"/>
        <v/>
      </c>
      <c r="Z799" s="366">
        <f t="shared" si="70"/>
        <v>0</v>
      </c>
      <c r="AA799" s="299" t="str">
        <f t="shared" si="71"/>
        <v/>
      </c>
      <c r="AB799" s="300"/>
      <c r="AC799" s="301"/>
      <c r="AD799" s="302"/>
      <c r="AE799" s="303"/>
      <c r="AF799" s="304"/>
      <c r="AG799" s="304"/>
      <c r="AH799" s="304"/>
      <c r="AI799" s="304"/>
      <c r="AJ799" s="304"/>
      <c r="AK799" s="305"/>
      <c r="AL799" s="283"/>
      <c r="AM799" s="284"/>
    </row>
    <row r="800" ht="15.75" customHeight="1">
      <c r="A800" s="282">
        <f t="shared" si="1"/>
        <v>796</v>
      </c>
      <c r="B800" s="283"/>
      <c r="C800" s="284"/>
      <c r="D800" s="338"/>
      <c r="E800" s="286"/>
      <c r="F800" s="287"/>
      <c r="G800" s="288" t="str">
        <f>+IFERROR(VLOOKUP(F800,NVL!$B:$C,2,0),"")</f>
        <v/>
      </c>
      <c r="H800" s="288" t="str">
        <f>+IFERROR(VLOOKUP(F800,NVL!$B:$D,3,0),"")</f>
        <v/>
      </c>
      <c r="I800" s="288" t="str">
        <f>+IFERROR(VLOOKUP(F800,NVL!$B:$F,4,0),"")</f>
        <v/>
      </c>
      <c r="J800" s="289"/>
      <c r="K800" s="290"/>
      <c r="L800" s="291" t="str">
        <f>+IFERROR(VLOOKUP(K800,'THÀNH PHẨM'!$B:$F,3,0),"")</f>
        <v/>
      </c>
      <c r="M800" s="291" t="str">
        <f>+IFERROR(VLOOKUP(K800,'THÀNH PHẨM'!$B:$F,4,0),"")</f>
        <v/>
      </c>
      <c r="N800" s="291" t="str">
        <f>+IFERROR(VLOOKUP(K800,'THÀNH PHẨM'!$B:$F,5,0),"")</f>
        <v/>
      </c>
      <c r="O800" s="289"/>
      <c r="P800" s="292">
        <f t="shared" si="2"/>
        <v>0</v>
      </c>
      <c r="Q800" s="289"/>
      <c r="R800" s="289"/>
      <c r="S800" s="293">
        <f t="shared" si="62"/>
        <v>0</v>
      </c>
      <c r="T800" s="294"/>
      <c r="U800" s="295" t="str">
        <f>IFERROR(VLOOKUP(G800,'KL NÒNG ỐNG'!$B$2:$E$16,4,0)*I800*V800,"")</f>
        <v/>
      </c>
      <c r="V800" s="296"/>
      <c r="W800" s="297"/>
      <c r="X800" s="298"/>
      <c r="Y800" s="292" t="str">
        <f t="shared" si="69"/>
        <v/>
      </c>
      <c r="Z800" s="366">
        <f t="shared" si="70"/>
        <v>0</v>
      </c>
      <c r="AA800" s="299" t="str">
        <f t="shared" si="71"/>
        <v/>
      </c>
      <c r="AB800" s="300"/>
      <c r="AC800" s="301"/>
      <c r="AD800" s="302"/>
      <c r="AE800" s="303"/>
      <c r="AF800" s="304"/>
      <c r="AG800" s="304"/>
      <c r="AH800" s="304"/>
      <c r="AI800" s="304"/>
      <c r="AJ800" s="304"/>
      <c r="AK800" s="305"/>
      <c r="AL800" s="283"/>
      <c r="AM800" s="284"/>
    </row>
    <row r="801" ht="15.75" customHeight="1">
      <c r="A801" s="282">
        <f t="shared" si="1"/>
        <v>797</v>
      </c>
      <c r="B801" s="283"/>
      <c r="C801" s="284"/>
      <c r="D801" s="338"/>
      <c r="E801" s="286"/>
      <c r="F801" s="287"/>
      <c r="G801" s="288" t="str">
        <f>+IFERROR(VLOOKUP(F801,NVL!$B:$C,2,0),"")</f>
        <v/>
      </c>
      <c r="H801" s="288" t="str">
        <f>+IFERROR(VLOOKUP(F801,NVL!$B:$D,3,0),"")</f>
        <v/>
      </c>
      <c r="I801" s="288" t="str">
        <f>+IFERROR(VLOOKUP(F801,NVL!$B:$F,4,0),"")</f>
        <v/>
      </c>
      <c r="J801" s="289"/>
      <c r="K801" s="290"/>
      <c r="L801" s="291" t="str">
        <f>+IFERROR(VLOOKUP(K801,'THÀNH PHẨM'!$B:$F,3,0),"")</f>
        <v/>
      </c>
      <c r="M801" s="291" t="str">
        <f>+IFERROR(VLOOKUP(K801,'THÀNH PHẨM'!$B:$F,4,0),"")</f>
        <v/>
      </c>
      <c r="N801" s="291" t="str">
        <f>+IFERROR(VLOOKUP(K801,'THÀNH PHẨM'!$B:$F,5,0),"")</f>
        <v/>
      </c>
      <c r="O801" s="289"/>
      <c r="P801" s="292">
        <f t="shared" si="2"/>
        <v>0</v>
      </c>
      <c r="Q801" s="289"/>
      <c r="R801" s="289"/>
      <c r="S801" s="293">
        <f t="shared" si="62"/>
        <v>0</v>
      </c>
      <c r="T801" s="294"/>
      <c r="U801" s="295" t="str">
        <f>IFERROR(VLOOKUP(G801,'KL NÒNG ỐNG'!$B$2:$E$16,4,0)*I801*V801,"")</f>
        <v/>
      </c>
      <c r="V801" s="296"/>
      <c r="W801" s="297"/>
      <c r="X801" s="298"/>
      <c r="Y801" s="292" t="str">
        <f t="shared" si="69"/>
        <v/>
      </c>
      <c r="Z801" s="366">
        <f t="shared" si="70"/>
        <v>0</v>
      </c>
      <c r="AA801" s="299" t="str">
        <f t="shared" si="71"/>
        <v/>
      </c>
      <c r="AB801" s="300"/>
      <c r="AC801" s="301"/>
      <c r="AD801" s="302"/>
      <c r="AE801" s="303"/>
      <c r="AF801" s="304"/>
      <c r="AG801" s="304"/>
      <c r="AH801" s="304"/>
      <c r="AI801" s="304"/>
      <c r="AJ801" s="304"/>
      <c r="AK801" s="305"/>
      <c r="AL801" s="283"/>
      <c r="AM801" s="284"/>
    </row>
    <row r="802" ht="15.75" customHeight="1">
      <c r="A802" s="282">
        <f t="shared" si="1"/>
        <v>798</v>
      </c>
      <c r="B802" s="283"/>
      <c r="C802" s="284"/>
      <c r="D802" s="338"/>
      <c r="E802" s="286"/>
      <c r="F802" s="287"/>
      <c r="G802" s="288" t="str">
        <f>+IFERROR(VLOOKUP(F802,NVL!$B:$C,2,0),"")</f>
        <v/>
      </c>
      <c r="H802" s="288" t="str">
        <f>+IFERROR(VLOOKUP(F802,NVL!$B:$D,3,0),"")</f>
        <v/>
      </c>
      <c r="I802" s="288" t="str">
        <f>+IFERROR(VLOOKUP(F802,NVL!$B:$F,4,0),"")</f>
        <v/>
      </c>
      <c r="J802" s="289"/>
      <c r="K802" s="290"/>
      <c r="L802" s="291" t="str">
        <f>+IFERROR(VLOOKUP(K802,'THÀNH PHẨM'!$B:$F,3,0),"")</f>
        <v/>
      </c>
      <c r="M802" s="291" t="str">
        <f>+IFERROR(VLOOKUP(K802,'THÀNH PHẨM'!$B:$F,4,0),"")</f>
        <v/>
      </c>
      <c r="N802" s="291" t="str">
        <f>+IFERROR(VLOOKUP(K802,'THÀNH PHẨM'!$B:$F,5,0),"")</f>
        <v/>
      </c>
      <c r="O802" s="289"/>
      <c r="P802" s="292">
        <f t="shared" si="2"/>
        <v>0</v>
      </c>
      <c r="Q802" s="289"/>
      <c r="R802" s="289"/>
      <c r="S802" s="293">
        <f t="shared" si="62"/>
        <v>0</v>
      </c>
      <c r="T802" s="294"/>
      <c r="U802" s="295" t="str">
        <f>IFERROR(VLOOKUP(G802,'KL NÒNG ỐNG'!$B$2:$E$16,4,0)*I802*V802,"")</f>
        <v/>
      </c>
      <c r="V802" s="296"/>
      <c r="W802" s="297"/>
      <c r="X802" s="298"/>
      <c r="Y802" s="292" t="str">
        <f t="shared" si="69"/>
        <v/>
      </c>
      <c r="Z802" s="366">
        <f t="shared" si="70"/>
        <v>0</v>
      </c>
      <c r="AA802" s="299" t="str">
        <f t="shared" si="71"/>
        <v/>
      </c>
      <c r="AB802" s="300"/>
      <c r="AC802" s="301"/>
      <c r="AD802" s="302"/>
      <c r="AE802" s="303"/>
      <c r="AF802" s="304"/>
      <c r="AG802" s="304"/>
      <c r="AH802" s="304"/>
      <c r="AI802" s="304"/>
      <c r="AJ802" s="304"/>
      <c r="AK802" s="305"/>
      <c r="AL802" s="283"/>
      <c r="AM802" s="284"/>
    </row>
    <row r="803" ht="15.75" customHeight="1">
      <c r="A803" s="282">
        <f t="shared" si="1"/>
        <v>799</v>
      </c>
      <c r="B803" s="283"/>
      <c r="C803" s="284"/>
      <c r="D803" s="338"/>
      <c r="E803" s="286"/>
      <c r="F803" s="287"/>
      <c r="G803" s="288" t="str">
        <f>+IFERROR(VLOOKUP(F803,NVL!$B:$C,2,0),"")</f>
        <v/>
      </c>
      <c r="H803" s="288" t="str">
        <f>+IFERROR(VLOOKUP(F803,NVL!$B:$D,3,0),"")</f>
        <v/>
      </c>
      <c r="I803" s="288" t="str">
        <f>+IFERROR(VLOOKUP(F803,NVL!$B:$F,4,0),"")</f>
        <v/>
      </c>
      <c r="J803" s="289"/>
      <c r="K803" s="290"/>
      <c r="L803" s="291" t="str">
        <f>+IFERROR(VLOOKUP(K803,'THÀNH PHẨM'!$B:$F,3,0),"")</f>
        <v/>
      </c>
      <c r="M803" s="291" t="str">
        <f>+IFERROR(VLOOKUP(K803,'THÀNH PHẨM'!$B:$F,4,0),"")</f>
        <v/>
      </c>
      <c r="N803" s="291" t="str">
        <f>+IFERROR(VLOOKUP(K803,'THÀNH PHẨM'!$B:$F,5,0),"")</f>
        <v/>
      </c>
      <c r="O803" s="289"/>
      <c r="P803" s="292">
        <f t="shared" si="2"/>
        <v>0</v>
      </c>
      <c r="Q803" s="289"/>
      <c r="R803" s="289"/>
      <c r="S803" s="293">
        <f t="shared" si="62"/>
        <v>0</v>
      </c>
      <c r="T803" s="294"/>
      <c r="U803" s="295" t="str">
        <f>IFERROR(VLOOKUP(G803,'KL NÒNG ỐNG'!$B$2:$E$16,4,0)*I803*V803,"")</f>
        <v/>
      </c>
      <c r="V803" s="296"/>
      <c r="W803" s="297"/>
      <c r="X803" s="298"/>
      <c r="Y803" s="292" t="str">
        <f t="shared" si="69"/>
        <v/>
      </c>
      <c r="Z803" s="366">
        <f t="shared" si="70"/>
        <v>0</v>
      </c>
      <c r="AA803" s="299" t="str">
        <f t="shared" si="71"/>
        <v/>
      </c>
      <c r="AB803" s="300"/>
      <c r="AC803" s="301"/>
      <c r="AD803" s="302"/>
      <c r="AE803" s="303"/>
      <c r="AF803" s="304"/>
      <c r="AG803" s="304"/>
      <c r="AH803" s="304"/>
      <c r="AI803" s="304"/>
      <c r="AJ803" s="304"/>
      <c r="AK803" s="305"/>
      <c r="AL803" s="283"/>
      <c r="AM803" s="446"/>
    </row>
    <row r="804" ht="15.75" customHeight="1">
      <c r="A804" s="282">
        <f t="shared" si="1"/>
        <v>800</v>
      </c>
      <c r="B804" s="283"/>
      <c r="C804" s="284"/>
      <c r="D804" s="338"/>
      <c r="E804" s="286"/>
      <c r="F804" s="287"/>
      <c r="G804" s="288" t="str">
        <f>+IFERROR(VLOOKUP(F804,NVL!$B:$C,2,0),"")</f>
        <v/>
      </c>
      <c r="H804" s="288" t="str">
        <f>+IFERROR(VLOOKUP(F804,NVL!$B:$D,3,0),"")</f>
        <v/>
      </c>
      <c r="I804" s="288" t="str">
        <f>+IFERROR(VLOOKUP(F804,NVL!$B:$F,4,0),"")</f>
        <v/>
      </c>
      <c r="J804" s="289"/>
      <c r="K804" s="290"/>
      <c r="L804" s="291" t="str">
        <f>+IFERROR(VLOOKUP(K804,'THÀNH PHẨM'!$B:$F,3,0),"")</f>
        <v/>
      </c>
      <c r="M804" s="291" t="str">
        <f>+IFERROR(VLOOKUP(K804,'THÀNH PHẨM'!$B:$F,4,0),"")</f>
        <v/>
      </c>
      <c r="N804" s="291" t="str">
        <f>+IFERROR(VLOOKUP(K804,'THÀNH PHẨM'!$B:$F,5,0),"")</f>
        <v/>
      </c>
      <c r="O804" s="289"/>
      <c r="P804" s="292">
        <f t="shared" si="2"/>
        <v>0</v>
      </c>
      <c r="Q804" s="289"/>
      <c r="R804" s="289"/>
      <c r="S804" s="293">
        <f t="shared" si="62"/>
        <v>0</v>
      </c>
      <c r="T804" s="294"/>
      <c r="U804" s="295" t="str">
        <f>IFERROR(VLOOKUP(G804,'KL NÒNG ỐNG'!$B$2:$E$16,4,0)*I804*V804,"")</f>
        <v/>
      </c>
      <c r="V804" s="296"/>
      <c r="W804" s="297"/>
      <c r="X804" s="298"/>
      <c r="Y804" s="292" t="str">
        <f t="shared" si="69"/>
        <v/>
      </c>
      <c r="Z804" s="366">
        <f t="shared" si="70"/>
        <v>0</v>
      </c>
      <c r="AA804" s="299" t="str">
        <f t="shared" si="71"/>
        <v/>
      </c>
      <c r="AB804" s="300"/>
      <c r="AC804" s="301"/>
      <c r="AD804" s="302"/>
      <c r="AE804" s="303"/>
      <c r="AF804" s="304"/>
      <c r="AG804" s="304"/>
      <c r="AH804" s="304"/>
      <c r="AI804" s="304"/>
      <c r="AJ804" s="304"/>
      <c r="AK804" s="305"/>
      <c r="AL804" s="283"/>
      <c r="AM804" s="284"/>
    </row>
    <row r="805" ht="15.75" customHeight="1">
      <c r="A805" s="282">
        <f t="shared" si="1"/>
        <v>801</v>
      </c>
      <c r="B805" s="283"/>
      <c r="C805" s="284"/>
      <c r="D805" s="338"/>
      <c r="E805" s="286"/>
      <c r="F805" s="287"/>
      <c r="G805" s="288" t="str">
        <f>+IFERROR(VLOOKUP(F805,NVL!$B:$C,2,0),"")</f>
        <v/>
      </c>
      <c r="H805" s="288" t="str">
        <f>+IFERROR(VLOOKUP(F805,NVL!$B:$D,3,0),"")</f>
        <v/>
      </c>
      <c r="I805" s="288" t="str">
        <f>+IFERROR(VLOOKUP(F805,NVL!$B:$F,4,0),"")</f>
        <v/>
      </c>
      <c r="J805" s="289"/>
      <c r="K805" s="290"/>
      <c r="L805" s="291" t="str">
        <f>+IFERROR(VLOOKUP(K805,'THÀNH PHẨM'!$B:$F,3,0),"")</f>
        <v/>
      </c>
      <c r="M805" s="291" t="str">
        <f>+IFERROR(VLOOKUP(K805,'THÀNH PHẨM'!$B:$F,4,0),"")</f>
        <v/>
      </c>
      <c r="N805" s="291" t="str">
        <f>+IFERROR(VLOOKUP(K805,'THÀNH PHẨM'!$B:$F,5,0),"")</f>
        <v/>
      </c>
      <c r="O805" s="289"/>
      <c r="P805" s="292">
        <f t="shared" si="2"/>
        <v>0</v>
      </c>
      <c r="Q805" s="289"/>
      <c r="R805" s="289"/>
      <c r="S805" s="293">
        <f t="shared" si="62"/>
        <v>0</v>
      </c>
      <c r="T805" s="294"/>
      <c r="U805" s="295" t="str">
        <f>IFERROR(VLOOKUP(G805,'KL NÒNG ỐNG'!$B$2:$E$16,4,0)*I805*V805,"")</f>
        <v/>
      </c>
      <c r="V805" s="296"/>
      <c r="W805" s="297"/>
      <c r="X805" s="298"/>
      <c r="Y805" s="292" t="str">
        <f t="shared" si="69"/>
        <v/>
      </c>
      <c r="Z805" s="366">
        <f t="shared" si="70"/>
        <v>0</v>
      </c>
      <c r="AA805" s="299" t="str">
        <f t="shared" si="71"/>
        <v/>
      </c>
      <c r="AB805" s="300"/>
      <c r="AC805" s="301"/>
      <c r="AD805" s="302"/>
      <c r="AE805" s="303"/>
      <c r="AF805" s="304"/>
      <c r="AG805" s="304"/>
      <c r="AH805" s="304"/>
      <c r="AI805" s="304"/>
      <c r="AJ805" s="304"/>
      <c r="AK805" s="305"/>
      <c r="AL805" s="283"/>
      <c r="AM805" s="284"/>
    </row>
    <row r="806" ht="15.75" customHeight="1">
      <c r="A806" s="282">
        <f t="shared" si="1"/>
        <v>802</v>
      </c>
      <c r="B806" s="283"/>
      <c r="C806" s="284"/>
      <c r="D806" s="338"/>
      <c r="E806" s="286"/>
      <c r="F806" s="287"/>
      <c r="G806" s="288" t="str">
        <f>+IFERROR(VLOOKUP(F806,NVL!$B:$C,2,0),"")</f>
        <v/>
      </c>
      <c r="H806" s="288" t="str">
        <f>+IFERROR(VLOOKUP(F806,NVL!$B:$D,3,0),"")</f>
        <v/>
      </c>
      <c r="I806" s="288" t="str">
        <f>+IFERROR(VLOOKUP(F806,NVL!$B:$F,4,0),"")</f>
        <v/>
      </c>
      <c r="J806" s="289"/>
      <c r="K806" s="290"/>
      <c r="L806" s="291" t="str">
        <f>+IFERROR(VLOOKUP(K806,'THÀNH PHẨM'!$B:$F,3,0),"")</f>
        <v/>
      </c>
      <c r="M806" s="291" t="str">
        <f>+IFERROR(VLOOKUP(K806,'THÀNH PHẨM'!$B:$F,4,0),"")</f>
        <v/>
      </c>
      <c r="N806" s="291" t="str">
        <f>+IFERROR(VLOOKUP(K806,'THÀNH PHẨM'!$B:$F,5,0),"")</f>
        <v/>
      </c>
      <c r="O806" s="289"/>
      <c r="P806" s="292">
        <f t="shared" si="2"/>
        <v>0</v>
      </c>
      <c r="Q806" s="289"/>
      <c r="R806" s="289"/>
      <c r="S806" s="293">
        <f t="shared" si="62"/>
        <v>0</v>
      </c>
      <c r="T806" s="294"/>
      <c r="U806" s="295" t="str">
        <f>IFERROR(VLOOKUP(G806,'KL NÒNG ỐNG'!$B$2:$E$16,4,0)*I806*V806,"")</f>
        <v/>
      </c>
      <c r="V806" s="296"/>
      <c r="W806" s="297"/>
      <c r="X806" s="298"/>
      <c r="Y806" s="292" t="str">
        <f t="shared" si="69"/>
        <v/>
      </c>
      <c r="Z806" s="366">
        <f t="shared" si="70"/>
        <v>0</v>
      </c>
      <c r="AA806" s="299" t="str">
        <f t="shared" si="71"/>
        <v/>
      </c>
      <c r="AB806" s="300"/>
      <c r="AC806" s="301"/>
      <c r="AD806" s="302"/>
      <c r="AE806" s="303"/>
      <c r="AF806" s="304"/>
      <c r="AG806" s="304"/>
      <c r="AH806" s="304"/>
      <c r="AI806" s="304"/>
      <c r="AJ806" s="304"/>
      <c r="AK806" s="305"/>
      <c r="AL806" s="283"/>
      <c r="AM806" s="284"/>
    </row>
    <row r="807" ht="15.75" customHeight="1">
      <c r="A807" s="282">
        <f t="shared" si="1"/>
        <v>803</v>
      </c>
      <c r="B807" s="283"/>
      <c r="C807" s="284"/>
      <c r="D807" s="338"/>
      <c r="E807" s="286"/>
      <c r="F807" s="287"/>
      <c r="G807" s="288" t="str">
        <f>+IFERROR(VLOOKUP(F807,NVL!$B:$C,2,0),"")</f>
        <v/>
      </c>
      <c r="H807" s="288" t="str">
        <f>+IFERROR(VLOOKUP(F807,NVL!$B:$D,3,0),"")</f>
        <v/>
      </c>
      <c r="I807" s="288" t="str">
        <f>+IFERROR(VLOOKUP(F807,NVL!$B:$F,4,0),"")</f>
        <v/>
      </c>
      <c r="J807" s="289"/>
      <c r="K807" s="290"/>
      <c r="L807" s="291" t="str">
        <f>+IFERROR(VLOOKUP(K807,'THÀNH PHẨM'!$B:$F,3,0),"")</f>
        <v/>
      </c>
      <c r="M807" s="291" t="str">
        <f>+IFERROR(VLOOKUP(K807,'THÀNH PHẨM'!$B:$F,4,0),"")</f>
        <v/>
      </c>
      <c r="N807" s="291" t="str">
        <f>+IFERROR(VLOOKUP(K807,'THÀNH PHẨM'!$B:$F,5,0),"")</f>
        <v/>
      </c>
      <c r="O807" s="289"/>
      <c r="P807" s="292">
        <f t="shared" si="2"/>
        <v>0</v>
      </c>
      <c r="Q807" s="289"/>
      <c r="R807" s="289"/>
      <c r="S807" s="293">
        <f t="shared" si="62"/>
        <v>0</v>
      </c>
      <c r="T807" s="294"/>
      <c r="U807" s="295" t="str">
        <f>IFERROR(VLOOKUP(G807,'KL NÒNG ỐNG'!$B$2:$E$16,4,0)*I807*V807,"")</f>
        <v/>
      </c>
      <c r="V807" s="296"/>
      <c r="W807" s="297"/>
      <c r="X807" s="298"/>
      <c r="Y807" s="292" t="str">
        <f t="shared" si="69"/>
        <v/>
      </c>
      <c r="Z807" s="366">
        <f t="shared" si="70"/>
        <v>0</v>
      </c>
      <c r="AA807" s="299" t="str">
        <f t="shared" si="71"/>
        <v/>
      </c>
      <c r="AB807" s="300"/>
      <c r="AC807" s="301"/>
      <c r="AD807" s="302"/>
      <c r="AE807" s="303"/>
      <c r="AF807" s="304"/>
      <c r="AG807" s="304"/>
      <c r="AH807" s="304"/>
      <c r="AI807" s="304"/>
      <c r="AJ807" s="304"/>
      <c r="AK807" s="305"/>
      <c r="AL807" s="283"/>
      <c r="AM807" s="284"/>
    </row>
    <row r="808" ht="15.75" customHeight="1">
      <c r="A808" s="282">
        <f t="shared" si="1"/>
        <v>804</v>
      </c>
      <c r="B808" s="283"/>
      <c r="C808" s="284"/>
      <c r="D808" s="338"/>
      <c r="E808" s="286"/>
      <c r="F808" s="287"/>
      <c r="G808" s="288" t="str">
        <f>+IFERROR(VLOOKUP(F808,NVL!$B:$C,2,0),"")</f>
        <v/>
      </c>
      <c r="H808" s="288" t="str">
        <f>+IFERROR(VLOOKUP(F808,NVL!$B:$D,3,0),"")</f>
        <v/>
      </c>
      <c r="I808" s="288" t="str">
        <f>+IFERROR(VLOOKUP(F808,NVL!$B:$F,4,0),"")</f>
        <v/>
      </c>
      <c r="J808" s="289"/>
      <c r="K808" s="290"/>
      <c r="L808" s="291" t="str">
        <f>+IFERROR(VLOOKUP(K808,'THÀNH PHẨM'!$B:$F,3,0),"")</f>
        <v/>
      </c>
      <c r="M808" s="291" t="str">
        <f>+IFERROR(VLOOKUP(K808,'THÀNH PHẨM'!$B:$F,4,0),"")</f>
        <v/>
      </c>
      <c r="N808" s="291" t="str">
        <f>+IFERROR(VLOOKUP(K808,'THÀNH PHẨM'!$B:$F,5,0),"")</f>
        <v/>
      </c>
      <c r="O808" s="289"/>
      <c r="P808" s="292">
        <f t="shared" si="2"/>
        <v>0</v>
      </c>
      <c r="Q808" s="289"/>
      <c r="R808" s="289"/>
      <c r="S808" s="293">
        <f t="shared" si="62"/>
        <v>0</v>
      </c>
      <c r="T808" s="294"/>
      <c r="U808" s="295" t="str">
        <f>IFERROR(VLOOKUP(G808,'KL NÒNG ỐNG'!$B$2:$E$16,4,0)*I808*V808,"")</f>
        <v/>
      </c>
      <c r="V808" s="296"/>
      <c r="W808" s="297"/>
      <c r="X808" s="298"/>
      <c r="Y808" s="292" t="str">
        <f t="shared" si="69"/>
        <v/>
      </c>
      <c r="Z808" s="366">
        <f t="shared" si="70"/>
        <v>0</v>
      </c>
      <c r="AA808" s="299" t="str">
        <f t="shared" si="71"/>
        <v/>
      </c>
      <c r="AB808" s="300"/>
      <c r="AC808" s="301"/>
      <c r="AD808" s="302"/>
      <c r="AE808" s="303"/>
      <c r="AF808" s="304"/>
      <c r="AG808" s="304"/>
      <c r="AH808" s="304"/>
      <c r="AI808" s="304"/>
      <c r="AJ808" s="304"/>
      <c r="AK808" s="305"/>
      <c r="AL808" s="283"/>
      <c r="AM808" s="284"/>
    </row>
    <row r="809" ht="15.75" customHeight="1">
      <c r="A809" s="282">
        <f t="shared" si="1"/>
        <v>805</v>
      </c>
      <c r="B809" s="283"/>
      <c r="C809" s="284"/>
      <c r="D809" s="338"/>
      <c r="E809" s="286"/>
      <c r="F809" s="287"/>
      <c r="G809" s="288" t="str">
        <f>+IFERROR(VLOOKUP(F809,NVL!$B:$C,2,0),"")</f>
        <v/>
      </c>
      <c r="H809" s="288" t="str">
        <f>+IFERROR(VLOOKUP(F809,NVL!$B:$D,3,0),"")</f>
        <v/>
      </c>
      <c r="I809" s="288" t="str">
        <f>+IFERROR(VLOOKUP(F809,NVL!$B:$F,4,0),"")</f>
        <v/>
      </c>
      <c r="J809" s="289"/>
      <c r="K809" s="290"/>
      <c r="L809" s="291" t="str">
        <f>+IFERROR(VLOOKUP(K809,'THÀNH PHẨM'!$B:$F,3,0),"")</f>
        <v/>
      </c>
      <c r="M809" s="291" t="str">
        <f>+IFERROR(VLOOKUP(K809,'THÀNH PHẨM'!$B:$F,4,0),"")</f>
        <v/>
      </c>
      <c r="N809" s="291" t="str">
        <f>+IFERROR(VLOOKUP(K809,'THÀNH PHẨM'!$B:$F,5,0),"")</f>
        <v/>
      </c>
      <c r="O809" s="289"/>
      <c r="P809" s="292">
        <f t="shared" si="2"/>
        <v>0</v>
      </c>
      <c r="Q809" s="289"/>
      <c r="R809" s="289"/>
      <c r="S809" s="293">
        <f t="shared" si="62"/>
        <v>0</v>
      </c>
      <c r="T809" s="294"/>
      <c r="U809" s="295" t="str">
        <f>IFERROR(VLOOKUP(G809,'KL NÒNG ỐNG'!$B$2:$E$16,4,0)*I809*V809,"")</f>
        <v/>
      </c>
      <c r="V809" s="296"/>
      <c r="W809" s="297"/>
      <c r="X809" s="298"/>
      <c r="Y809" s="292" t="str">
        <f t="shared" si="69"/>
        <v/>
      </c>
      <c r="Z809" s="366">
        <f t="shared" si="70"/>
        <v>0</v>
      </c>
      <c r="AA809" s="299" t="str">
        <f t="shared" si="71"/>
        <v/>
      </c>
      <c r="AB809" s="300"/>
      <c r="AC809" s="301"/>
      <c r="AD809" s="302"/>
      <c r="AE809" s="303"/>
      <c r="AF809" s="304"/>
      <c r="AG809" s="304"/>
      <c r="AH809" s="304"/>
      <c r="AI809" s="304"/>
      <c r="AJ809" s="304"/>
      <c r="AK809" s="305"/>
      <c r="AL809" s="283"/>
      <c r="AM809" s="284"/>
    </row>
    <row r="810" ht="15.75" customHeight="1">
      <c r="A810" s="282">
        <f t="shared" si="1"/>
        <v>806</v>
      </c>
      <c r="B810" s="283"/>
      <c r="C810" s="284"/>
      <c r="D810" s="338"/>
      <c r="E810" s="286"/>
      <c r="F810" s="287"/>
      <c r="G810" s="288" t="str">
        <f>+IFERROR(VLOOKUP(F810,NVL!$B:$C,2,0),"")</f>
        <v/>
      </c>
      <c r="H810" s="288" t="str">
        <f>+IFERROR(VLOOKUP(F810,NVL!$B:$D,3,0),"")</f>
        <v/>
      </c>
      <c r="I810" s="288" t="str">
        <f>+IFERROR(VLOOKUP(F810,NVL!$B:$F,4,0),"")</f>
        <v/>
      </c>
      <c r="J810" s="289"/>
      <c r="K810" s="290"/>
      <c r="L810" s="291" t="str">
        <f>+IFERROR(VLOOKUP(K810,'THÀNH PHẨM'!$B:$F,3,0),"")</f>
        <v/>
      </c>
      <c r="M810" s="291" t="str">
        <f>+IFERROR(VLOOKUP(K810,'THÀNH PHẨM'!$B:$F,4,0),"")</f>
        <v/>
      </c>
      <c r="N810" s="291" t="str">
        <f>+IFERROR(VLOOKUP(K810,'THÀNH PHẨM'!$B:$F,5,0),"")</f>
        <v/>
      </c>
      <c r="O810" s="289"/>
      <c r="P810" s="292">
        <f t="shared" si="2"/>
        <v>0</v>
      </c>
      <c r="Q810" s="289"/>
      <c r="R810" s="289"/>
      <c r="S810" s="293">
        <f t="shared" si="62"/>
        <v>0</v>
      </c>
      <c r="T810" s="294"/>
      <c r="U810" s="295" t="str">
        <f>IFERROR(VLOOKUP(G810,'KL NÒNG ỐNG'!$B$2:$E$16,4,0)*I810*V810,"")</f>
        <v/>
      </c>
      <c r="V810" s="296"/>
      <c r="W810" s="297"/>
      <c r="X810" s="298"/>
      <c r="Y810" s="292" t="str">
        <f t="shared" si="69"/>
        <v/>
      </c>
      <c r="Z810" s="366">
        <f t="shared" si="70"/>
        <v>0</v>
      </c>
      <c r="AA810" s="299" t="str">
        <f t="shared" si="71"/>
        <v/>
      </c>
      <c r="AB810" s="300"/>
      <c r="AC810" s="301"/>
      <c r="AD810" s="302"/>
      <c r="AE810" s="303"/>
      <c r="AF810" s="304"/>
      <c r="AG810" s="304"/>
      <c r="AH810" s="304"/>
      <c r="AI810" s="304"/>
      <c r="AJ810" s="304"/>
      <c r="AK810" s="305"/>
      <c r="AL810" s="283"/>
      <c r="AM810" s="284"/>
    </row>
    <row r="811" ht="15.75" customHeight="1">
      <c r="A811" s="282">
        <f t="shared" si="1"/>
        <v>807</v>
      </c>
      <c r="B811" s="283"/>
      <c r="C811" s="284"/>
      <c r="D811" s="338"/>
      <c r="E811" s="286"/>
      <c r="F811" s="287"/>
      <c r="G811" s="288" t="str">
        <f>+IFERROR(VLOOKUP(F811,NVL!$B:$C,2,0),"")</f>
        <v/>
      </c>
      <c r="H811" s="288" t="str">
        <f>+IFERROR(VLOOKUP(F811,NVL!$B:$D,3,0),"")</f>
        <v/>
      </c>
      <c r="I811" s="288" t="str">
        <f>+IFERROR(VLOOKUP(F811,NVL!$B:$F,4,0),"")</f>
        <v/>
      </c>
      <c r="J811" s="289"/>
      <c r="K811" s="290"/>
      <c r="L811" s="291" t="str">
        <f>+IFERROR(VLOOKUP(K811,'THÀNH PHẨM'!$B:$F,3,0),"")</f>
        <v/>
      </c>
      <c r="M811" s="291" t="str">
        <f>+IFERROR(VLOOKUP(K811,'THÀNH PHẨM'!$B:$F,4,0),"")</f>
        <v/>
      </c>
      <c r="N811" s="291" t="str">
        <f>+IFERROR(VLOOKUP(K811,'THÀNH PHẨM'!$B:$F,5,0),"")</f>
        <v/>
      </c>
      <c r="O811" s="289"/>
      <c r="P811" s="292">
        <f t="shared" si="2"/>
        <v>0</v>
      </c>
      <c r="Q811" s="289"/>
      <c r="R811" s="289"/>
      <c r="S811" s="293">
        <f t="shared" si="62"/>
        <v>0</v>
      </c>
      <c r="T811" s="294"/>
      <c r="U811" s="295" t="str">
        <f>IFERROR(VLOOKUP(G811,'KL NÒNG ỐNG'!$B$2:$E$16,4,0)*I811*V811,"")</f>
        <v/>
      </c>
      <c r="V811" s="296"/>
      <c r="W811" s="297"/>
      <c r="X811" s="298"/>
      <c r="Y811" s="292" t="str">
        <f t="shared" si="69"/>
        <v/>
      </c>
      <c r="Z811" s="366">
        <f t="shared" si="70"/>
        <v>0</v>
      </c>
      <c r="AA811" s="299" t="str">
        <f t="shared" si="71"/>
        <v/>
      </c>
      <c r="AB811" s="300"/>
      <c r="AC811" s="301"/>
      <c r="AD811" s="302"/>
      <c r="AE811" s="303"/>
      <c r="AF811" s="304"/>
      <c r="AG811" s="304"/>
      <c r="AH811" s="304"/>
      <c r="AI811" s="304"/>
      <c r="AJ811" s="304"/>
      <c r="AK811" s="305"/>
      <c r="AL811" s="283"/>
      <c r="AM811" s="284"/>
    </row>
    <row r="812" ht="15.75" customHeight="1">
      <c r="A812" s="282">
        <f t="shared" si="1"/>
        <v>808</v>
      </c>
      <c r="B812" s="283"/>
      <c r="C812" s="284"/>
      <c r="D812" s="338"/>
      <c r="E812" s="286"/>
      <c r="F812" s="287"/>
      <c r="G812" s="288" t="str">
        <f>+IFERROR(VLOOKUP(F812,NVL!$B:$C,2,0),"")</f>
        <v/>
      </c>
      <c r="H812" s="288" t="str">
        <f>+IFERROR(VLOOKUP(F812,NVL!$B:$D,3,0),"")</f>
        <v/>
      </c>
      <c r="I812" s="288" t="str">
        <f>+IFERROR(VLOOKUP(F812,NVL!$B:$F,4,0),"")</f>
        <v/>
      </c>
      <c r="J812" s="289"/>
      <c r="K812" s="290"/>
      <c r="L812" s="291" t="str">
        <f>+IFERROR(VLOOKUP(K812,'THÀNH PHẨM'!$B:$F,3,0),"")</f>
        <v/>
      </c>
      <c r="M812" s="291" t="str">
        <f>+IFERROR(VLOOKUP(K812,'THÀNH PHẨM'!$B:$F,4,0),"")</f>
        <v/>
      </c>
      <c r="N812" s="291" t="str">
        <f>+IFERROR(VLOOKUP(K812,'THÀNH PHẨM'!$B:$F,5,0),"")</f>
        <v/>
      </c>
      <c r="O812" s="289"/>
      <c r="P812" s="292">
        <f t="shared" si="2"/>
        <v>0</v>
      </c>
      <c r="Q812" s="289"/>
      <c r="R812" s="289"/>
      <c r="S812" s="293">
        <f t="shared" si="62"/>
        <v>0</v>
      </c>
      <c r="T812" s="294"/>
      <c r="U812" s="295" t="str">
        <f>IFERROR(VLOOKUP(G812,'KL NÒNG ỐNG'!$B$2:$E$16,4,0)*I812*V812,"")</f>
        <v/>
      </c>
      <c r="V812" s="296"/>
      <c r="W812" s="297"/>
      <c r="X812" s="298"/>
      <c r="Y812" s="292" t="str">
        <f t="shared" si="69"/>
        <v/>
      </c>
      <c r="Z812" s="366">
        <f t="shared" si="70"/>
        <v>0</v>
      </c>
      <c r="AA812" s="299" t="str">
        <f t="shared" si="71"/>
        <v/>
      </c>
      <c r="AB812" s="300"/>
      <c r="AC812" s="301"/>
      <c r="AD812" s="302"/>
      <c r="AE812" s="303"/>
      <c r="AF812" s="304"/>
      <c r="AG812" s="304"/>
      <c r="AH812" s="304"/>
      <c r="AI812" s="304"/>
      <c r="AJ812" s="304"/>
      <c r="AK812" s="305"/>
      <c r="AL812" s="283"/>
      <c r="AM812" s="284"/>
    </row>
    <row r="813" ht="15.75" customHeight="1">
      <c r="A813" s="282">
        <f t="shared" si="1"/>
        <v>809</v>
      </c>
      <c r="B813" s="283"/>
      <c r="C813" s="284"/>
      <c r="D813" s="338"/>
      <c r="E813" s="286"/>
      <c r="F813" s="287"/>
      <c r="G813" s="288" t="str">
        <f>+IFERROR(VLOOKUP(F813,NVL!$B:$C,2,0),"")</f>
        <v/>
      </c>
      <c r="H813" s="288" t="str">
        <f>+IFERROR(VLOOKUP(F813,NVL!$B:$D,3,0),"")</f>
        <v/>
      </c>
      <c r="I813" s="288" t="str">
        <f>+IFERROR(VLOOKUP(F813,NVL!$B:$F,4,0),"")</f>
        <v/>
      </c>
      <c r="J813" s="289"/>
      <c r="K813" s="290"/>
      <c r="L813" s="291" t="str">
        <f>+IFERROR(VLOOKUP(K813,'THÀNH PHẨM'!$B:$F,3,0),"")</f>
        <v/>
      </c>
      <c r="M813" s="291" t="str">
        <f>+IFERROR(VLOOKUP(K813,'THÀNH PHẨM'!$B:$F,4,0),"")</f>
        <v/>
      </c>
      <c r="N813" s="291" t="str">
        <f>+IFERROR(VLOOKUP(K813,'THÀNH PHẨM'!$B:$F,5,0),"")</f>
        <v/>
      </c>
      <c r="O813" s="289"/>
      <c r="P813" s="292">
        <f t="shared" si="2"/>
        <v>0</v>
      </c>
      <c r="Q813" s="289"/>
      <c r="R813" s="289"/>
      <c r="S813" s="293">
        <f t="shared" si="62"/>
        <v>0</v>
      </c>
      <c r="T813" s="294"/>
      <c r="U813" s="295" t="str">
        <f>IFERROR(VLOOKUP(G813,'KL NÒNG ỐNG'!$B$2:$E$16,4,0)*I813*V813,"")</f>
        <v/>
      </c>
      <c r="V813" s="296"/>
      <c r="W813" s="297"/>
      <c r="X813" s="298"/>
      <c r="Y813" s="292" t="str">
        <f t="shared" si="69"/>
        <v/>
      </c>
      <c r="Z813" s="366">
        <f t="shared" si="70"/>
        <v>0</v>
      </c>
      <c r="AA813" s="299" t="str">
        <f t="shared" si="71"/>
        <v/>
      </c>
      <c r="AB813" s="300"/>
      <c r="AC813" s="301"/>
      <c r="AD813" s="302"/>
      <c r="AE813" s="303"/>
      <c r="AF813" s="304"/>
      <c r="AG813" s="304"/>
      <c r="AH813" s="304"/>
      <c r="AI813" s="304"/>
      <c r="AJ813" s="304"/>
      <c r="AK813" s="305"/>
      <c r="AL813" s="283"/>
      <c r="AM813" s="284"/>
    </row>
    <row r="814" ht="15.75" customHeight="1">
      <c r="A814" s="282">
        <f t="shared" si="1"/>
        <v>810</v>
      </c>
      <c r="B814" s="283"/>
      <c r="C814" s="284"/>
      <c r="D814" s="338"/>
      <c r="E814" s="286"/>
      <c r="F814" s="287"/>
      <c r="G814" s="288" t="str">
        <f>+IFERROR(VLOOKUP(F814,NVL!$B:$C,2,0),"")</f>
        <v/>
      </c>
      <c r="H814" s="288" t="str">
        <f>+IFERROR(VLOOKUP(F814,NVL!$B:$D,3,0),"")</f>
        <v/>
      </c>
      <c r="I814" s="288" t="str">
        <f>+IFERROR(VLOOKUP(F814,NVL!$B:$F,4,0),"")</f>
        <v/>
      </c>
      <c r="J814" s="289"/>
      <c r="K814" s="290"/>
      <c r="L814" s="291" t="str">
        <f>+IFERROR(VLOOKUP(K814,'THÀNH PHẨM'!$B:$F,3,0),"")</f>
        <v/>
      </c>
      <c r="M814" s="291" t="str">
        <f>+IFERROR(VLOOKUP(K814,'THÀNH PHẨM'!$B:$F,4,0),"")</f>
        <v/>
      </c>
      <c r="N814" s="291" t="str">
        <f>+IFERROR(VLOOKUP(K814,'THÀNH PHẨM'!$B:$F,5,0),"")</f>
        <v/>
      </c>
      <c r="O814" s="289"/>
      <c r="P814" s="292">
        <f t="shared" si="2"/>
        <v>0</v>
      </c>
      <c r="Q814" s="289"/>
      <c r="R814" s="289"/>
      <c r="S814" s="293">
        <f t="shared" si="62"/>
        <v>0</v>
      </c>
      <c r="T814" s="294"/>
      <c r="U814" s="295" t="str">
        <f>IFERROR(VLOOKUP(G814,'KL NÒNG ỐNG'!$B$2:$E$16,4,0)*I814*V814,"")</f>
        <v/>
      </c>
      <c r="V814" s="296"/>
      <c r="W814" s="297"/>
      <c r="X814" s="298"/>
      <c r="Y814" s="292" t="str">
        <f t="shared" si="69"/>
        <v/>
      </c>
      <c r="Z814" s="366">
        <f t="shared" si="70"/>
        <v>0</v>
      </c>
      <c r="AA814" s="299" t="str">
        <f t="shared" si="71"/>
        <v/>
      </c>
      <c r="AB814" s="300"/>
      <c r="AC814" s="301"/>
      <c r="AD814" s="302"/>
      <c r="AE814" s="303"/>
      <c r="AF814" s="304"/>
      <c r="AG814" s="304"/>
      <c r="AH814" s="304"/>
      <c r="AI814" s="304"/>
      <c r="AJ814" s="304"/>
      <c r="AK814" s="305"/>
      <c r="AL814" s="283"/>
      <c r="AM814" s="284"/>
    </row>
    <row r="815" ht="15.75" customHeight="1">
      <c r="A815" s="282">
        <f t="shared" si="1"/>
        <v>811</v>
      </c>
      <c r="B815" s="283"/>
      <c r="C815" s="284"/>
      <c r="D815" s="338"/>
      <c r="E815" s="286"/>
      <c r="F815" s="287"/>
      <c r="G815" s="288" t="str">
        <f>+IFERROR(VLOOKUP(F815,NVL!$B:$C,2,0),"")</f>
        <v/>
      </c>
      <c r="H815" s="288" t="str">
        <f>+IFERROR(VLOOKUP(F815,NVL!$B:$D,3,0),"")</f>
        <v/>
      </c>
      <c r="I815" s="288" t="str">
        <f>+IFERROR(VLOOKUP(F815,NVL!$B:$F,4,0),"")</f>
        <v/>
      </c>
      <c r="J815" s="289"/>
      <c r="K815" s="290"/>
      <c r="L815" s="291" t="str">
        <f>+IFERROR(VLOOKUP(K815,'THÀNH PHẨM'!$B:$F,3,0),"")</f>
        <v/>
      </c>
      <c r="M815" s="291" t="str">
        <f>+IFERROR(VLOOKUP(K815,'THÀNH PHẨM'!$B:$F,4,0),"")</f>
        <v/>
      </c>
      <c r="N815" s="291" t="str">
        <f>+IFERROR(VLOOKUP(K815,'THÀNH PHẨM'!$B:$F,5,0),"")</f>
        <v/>
      </c>
      <c r="O815" s="289"/>
      <c r="P815" s="292">
        <f t="shared" si="2"/>
        <v>0</v>
      </c>
      <c r="Q815" s="289"/>
      <c r="R815" s="289"/>
      <c r="S815" s="293">
        <f t="shared" si="62"/>
        <v>0</v>
      </c>
      <c r="T815" s="294"/>
      <c r="U815" s="295" t="str">
        <f>IFERROR(VLOOKUP(G815,'KL NÒNG ỐNG'!$B$2:$E$16,4,0)*I815*V815,"")</f>
        <v/>
      </c>
      <c r="V815" s="296"/>
      <c r="W815" s="297"/>
      <c r="X815" s="298"/>
      <c r="Y815" s="292" t="str">
        <f t="shared" si="69"/>
        <v/>
      </c>
      <c r="Z815" s="366">
        <f t="shared" si="70"/>
        <v>0</v>
      </c>
      <c r="AA815" s="299" t="str">
        <f t="shared" si="71"/>
        <v/>
      </c>
      <c r="AB815" s="300"/>
      <c r="AC815" s="301"/>
      <c r="AD815" s="302"/>
      <c r="AE815" s="303"/>
      <c r="AF815" s="304"/>
      <c r="AG815" s="304"/>
      <c r="AH815" s="304"/>
      <c r="AI815" s="304"/>
      <c r="AJ815" s="304"/>
      <c r="AK815" s="305"/>
      <c r="AL815" s="283"/>
      <c r="AM815" s="284"/>
    </row>
    <row r="816" ht="15.75" customHeight="1">
      <c r="A816" s="282">
        <f t="shared" si="1"/>
        <v>812</v>
      </c>
      <c r="B816" s="283"/>
      <c r="C816" s="284"/>
      <c r="D816" s="338"/>
      <c r="E816" s="286"/>
      <c r="F816" s="287"/>
      <c r="G816" s="288" t="str">
        <f>+IFERROR(VLOOKUP(F816,NVL!$B:$C,2,0),"")</f>
        <v/>
      </c>
      <c r="H816" s="288" t="str">
        <f>+IFERROR(VLOOKUP(F816,NVL!$B:$D,3,0),"")</f>
        <v/>
      </c>
      <c r="I816" s="288" t="str">
        <f>+IFERROR(VLOOKUP(F816,NVL!$B:$F,4,0),"")</f>
        <v/>
      </c>
      <c r="J816" s="289"/>
      <c r="K816" s="290"/>
      <c r="L816" s="291" t="str">
        <f>+IFERROR(VLOOKUP(K816,'THÀNH PHẨM'!$B:$F,3,0),"")</f>
        <v/>
      </c>
      <c r="M816" s="291" t="str">
        <f>+IFERROR(VLOOKUP(K816,'THÀNH PHẨM'!$B:$F,4,0),"")</f>
        <v/>
      </c>
      <c r="N816" s="291" t="str">
        <f>+IFERROR(VLOOKUP(K816,'THÀNH PHẨM'!$B:$F,5,0),"")</f>
        <v/>
      </c>
      <c r="O816" s="289"/>
      <c r="P816" s="292">
        <f t="shared" si="2"/>
        <v>0</v>
      </c>
      <c r="Q816" s="289"/>
      <c r="R816" s="289"/>
      <c r="S816" s="293">
        <f t="shared" si="62"/>
        <v>0</v>
      </c>
      <c r="T816" s="294"/>
      <c r="U816" s="295" t="str">
        <f>IFERROR(VLOOKUP(G816,'KL NÒNG ỐNG'!$B$2:$E$16,4,0)*I816*V816,"")</f>
        <v/>
      </c>
      <c r="V816" s="296"/>
      <c r="W816" s="297"/>
      <c r="X816" s="298"/>
      <c r="Y816" s="292" t="str">
        <f t="shared" si="69"/>
        <v/>
      </c>
      <c r="Z816" s="366">
        <f t="shared" si="70"/>
        <v>0</v>
      </c>
      <c r="AA816" s="299" t="str">
        <f t="shared" si="71"/>
        <v/>
      </c>
      <c r="AB816" s="300"/>
      <c r="AC816" s="301"/>
      <c r="AD816" s="302"/>
      <c r="AE816" s="303"/>
      <c r="AF816" s="304"/>
      <c r="AG816" s="304"/>
      <c r="AH816" s="304"/>
      <c r="AI816" s="304"/>
      <c r="AJ816" s="304"/>
      <c r="AK816" s="305"/>
      <c r="AL816" s="283"/>
      <c r="AM816" s="284"/>
    </row>
    <row r="817" ht="15.75" customHeight="1">
      <c r="A817" s="282">
        <f t="shared" si="1"/>
        <v>813</v>
      </c>
      <c r="B817" s="283"/>
      <c r="C817" s="284"/>
      <c r="D817" s="338"/>
      <c r="E817" s="286"/>
      <c r="F817" s="287"/>
      <c r="G817" s="288" t="str">
        <f>+IFERROR(VLOOKUP(F817,NVL!$B:$C,2,0),"")</f>
        <v/>
      </c>
      <c r="H817" s="288" t="str">
        <f>+IFERROR(VLOOKUP(F817,NVL!$B:$D,3,0),"")</f>
        <v/>
      </c>
      <c r="I817" s="288" t="str">
        <f>+IFERROR(VLOOKUP(F817,NVL!$B:$F,4,0),"")</f>
        <v/>
      </c>
      <c r="J817" s="289"/>
      <c r="K817" s="290"/>
      <c r="L817" s="291" t="str">
        <f>+IFERROR(VLOOKUP(K817,'THÀNH PHẨM'!$B:$F,3,0),"")</f>
        <v/>
      </c>
      <c r="M817" s="291" t="str">
        <f>+IFERROR(VLOOKUP(K817,'THÀNH PHẨM'!$B:$F,4,0),"")</f>
        <v/>
      </c>
      <c r="N817" s="291" t="str">
        <f>+IFERROR(VLOOKUP(K817,'THÀNH PHẨM'!$B:$F,5,0),"")</f>
        <v/>
      </c>
      <c r="O817" s="289"/>
      <c r="P817" s="292">
        <f t="shared" si="2"/>
        <v>0</v>
      </c>
      <c r="Q817" s="289"/>
      <c r="R817" s="289"/>
      <c r="S817" s="293">
        <f t="shared" si="62"/>
        <v>0</v>
      </c>
      <c r="T817" s="294"/>
      <c r="U817" s="295" t="str">
        <f>IFERROR(VLOOKUP(G817,'KL NÒNG ỐNG'!$B$2:$E$16,4,0)*I817*V817,"")</f>
        <v/>
      </c>
      <c r="V817" s="296"/>
      <c r="W817" s="297"/>
      <c r="X817" s="298"/>
      <c r="Y817" s="292" t="str">
        <f t="shared" si="69"/>
        <v/>
      </c>
      <c r="Z817" s="366">
        <f t="shared" si="70"/>
        <v>0</v>
      </c>
      <c r="AA817" s="299" t="str">
        <f t="shared" si="71"/>
        <v/>
      </c>
      <c r="AB817" s="300"/>
      <c r="AC817" s="301"/>
      <c r="AD817" s="302"/>
      <c r="AE817" s="303"/>
      <c r="AF817" s="304"/>
      <c r="AG817" s="304"/>
      <c r="AH817" s="304"/>
      <c r="AI817" s="304"/>
      <c r="AJ817" s="304"/>
      <c r="AK817" s="305"/>
      <c r="AL817" s="283"/>
      <c r="AM817" s="284"/>
    </row>
    <row r="818" ht="15.75" customHeight="1">
      <c r="A818" s="282">
        <f t="shared" si="1"/>
        <v>814</v>
      </c>
      <c r="B818" s="283"/>
      <c r="C818" s="284"/>
      <c r="D818" s="338"/>
      <c r="E818" s="286"/>
      <c r="F818" s="287"/>
      <c r="G818" s="288" t="str">
        <f>+IFERROR(VLOOKUP(F818,NVL!$B:$C,2,0),"")</f>
        <v/>
      </c>
      <c r="H818" s="288" t="str">
        <f>+IFERROR(VLOOKUP(F818,NVL!$B:$D,3,0),"")</f>
        <v/>
      </c>
      <c r="I818" s="288" t="str">
        <f>+IFERROR(VLOOKUP(F818,NVL!$B:$F,4,0),"")</f>
        <v/>
      </c>
      <c r="J818" s="289"/>
      <c r="K818" s="290"/>
      <c r="L818" s="291" t="str">
        <f>+IFERROR(VLOOKUP(K818,'THÀNH PHẨM'!$B:$F,3,0),"")</f>
        <v/>
      </c>
      <c r="M818" s="291" t="str">
        <f>+IFERROR(VLOOKUP(K818,'THÀNH PHẨM'!$B:$F,4,0),"")</f>
        <v/>
      </c>
      <c r="N818" s="291" t="str">
        <f>+IFERROR(VLOOKUP(K818,'THÀNH PHẨM'!$B:$F,5,0),"")</f>
        <v/>
      </c>
      <c r="O818" s="289"/>
      <c r="P818" s="292">
        <f t="shared" si="2"/>
        <v>0</v>
      </c>
      <c r="Q818" s="289"/>
      <c r="R818" s="289"/>
      <c r="S818" s="293">
        <f t="shared" si="62"/>
        <v>0</v>
      </c>
      <c r="T818" s="294"/>
      <c r="U818" s="295" t="str">
        <f>IFERROR(VLOOKUP(G818,'KL NÒNG ỐNG'!$B$2:$E$16,4,0)*I818*V818,"")</f>
        <v/>
      </c>
      <c r="V818" s="296"/>
      <c r="W818" s="297"/>
      <c r="X818" s="298"/>
      <c r="Y818" s="292" t="str">
        <f t="shared" si="69"/>
        <v/>
      </c>
      <c r="Z818" s="366">
        <f t="shared" si="70"/>
        <v>0</v>
      </c>
      <c r="AA818" s="299" t="str">
        <f t="shared" si="71"/>
        <v/>
      </c>
      <c r="AB818" s="300"/>
      <c r="AC818" s="301"/>
      <c r="AD818" s="302"/>
      <c r="AE818" s="303"/>
      <c r="AF818" s="304"/>
      <c r="AG818" s="304"/>
      <c r="AH818" s="304"/>
      <c r="AI818" s="304"/>
      <c r="AJ818" s="304"/>
      <c r="AK818" s="305"/>
      <c r="AL818" s="283"/>
      <c r="AM818" s="284"/>
    </row>
    <row r="819" ht="15.75" customHeight="1">
      <c r="A819" s="282">
        <f t="shared" si="1"/>
        <v>815</v>
      </c>
      <c r="B819" s="283"/>
      <c r="C819" s="284"/>
      <c r="D819" s="338"/>
      <c r="E819" s="286"/>
      <c r="F819" s="287"/>
      <c r="G819" s="288" t="str">
        <f>+IFERROR(VLOOKUP(F819,NVL!$B:$C,2,0),"")</f>
        <v/>
      </c>
      <c r="H819" s="288" t="str">
        <f>+IFERROR(VLOOKUP(F819,NVL!$B:$D,3,0),"")</f>
        <v/>
      </c>
      <c r="I819" s="288" t="str">
        <f>+IFERROR(VLOOKUP(F819,NVL!$B:$F,4,0),"")</f>
        <v/>
      </c>
      <c r="J819" s="289"/>
      <c r="K819" s="290"/>
      <c r="L819" s="291" t="str">
        <f>+IFERROR(VLOOKUP(K819,'THÀNH PHẨM'!$B:$F,3,0),"")</f>
        <v/>
      </c>
      <c r="M819" s="291" t="str">
        <f>+IFERROR(VLOOKUP(K819,'THÀNH PHẨM'!$B:$F,4,0),"")</f>
        <v/>
      </c>
      <c r="N819" s="291" t="str">
        <f>+IFERROR(VLOOKUP(K819,'THÀNH PHẨM'!$B:$F,5,0),"")</f>
        <v/>
      </c>
      <c r="O819" s="289"/>
      <c r="P819" s="292">
        <f t="shared" si="2"/>
        <v>0</v>
      </c>
      <c r="Q819" s="289"/>
      <c r="R819" s="289"/>
      <c r="S819" s="293">
        <f t="shared" si="62"/>
        <v>0</v>
      </c>
      <c r="T819" s="294"/>
      <c r="U819" s="295" t="str">
        <f>IFERROR(VLOOKUP(G819,'KL NÒNG ỐNG'!$B$2:$E$16,4,0)*I819*V819,"")</f>
        <v/>
      </c>
      <c r="V819" s="296"/>
      <c r="W819" s="297"/>
      <c r="X819" s="298"/>
      <c r="Y819" s="292" t="str">
        <f t="shared" si="69"/>
        <v/>
      </c>
      <c r="Z819" s="366">
        <f t="shared" si="70"/>
        <v>0</v>
      </c>
      <c r="AA819" s="299" t="str">
        <f t="shared" si="71"/>
        <v/>
      </c>
      <c r="AB819" s="300"/>
      <c r="AC819" s="301"/>
      <c r="AD819" s="302"/>
      <c r="AE819" s="303"/>
      <c r="AF819" s="304"/>
      <c r="AG819" s="304"/>
      <c r="AH819" s="304"/>
      <c r="AI819" s="304"/>
      <c r="AJ819" s="304"/>
      <c r="AK819" s="305"/>
      <c r="AL819" s="283"/>
      <c r="AM819" s="446"/>
    </row>
    <row r="820" ht="15.75" customHeight="1">
      <c r="A820" s="282">
        <f t="shared" si="1"/>
        <v>816</v>
      </c>
      <c r="B820" s="283"/>
      <c r="C820" s="284"/>
      <c r="D820" s="338"/>
      <c r="E820" s="286"/>
      <c r="F820" s="287"/>
      <c r="G820" s="288" t="str">
        <f>+IFERROR(VLOOKUP(F820,NVL!$B:$C,2,0),"")</f>
        <v/>
      </c>
      <c r="H820" s="288" t="str">
        <f>+IFERROR(VLOOKUP(F820,NVL!$B:$D,3,0),"")</f>
        <v/>
      </c>
      <c r="I820" s="288" t="str">
        <f>+IFERROR(VLOOKUP(F820,NVL!$B:$F,4,0),"")</f>
        <v/>
      </c>
      <c r="J820" s="289"/>
      <c r="K820" s="290"/>
      <c r="L820" s="291" t="str">
        <f>+IFERROR(VLOOKUP(K820,'THÀNH PHẨM'!$B:$F,3,0),"")</f>
        <v/>
      </c>
      <c r="M820" s="291" t="str">
        <f>+IFERROR(VLOOKUP(K820,'THÀNH PHẨM'!$B:$F,4,0),"")</f>
        <v/>
      </c>
      <c r="N820" s="291" t="str">
        <f>+IFERROR(VLOOKUP(K820,'THÀNH PHẨM'!$B:$F,5,0),"")</f>
        <v/>
      </c>
      <c r="O820" s="289"/>
      <c r="P820" s="292">
        <f t="shared" si="2"/>
        <v>0</v>
      </c>
      <c r="Q820" s="289"/>
      <c r="R820" s="289"/>
      <c r="S820" s="293">
        <f t="shared" si="62"/>
        <v>0</v>
      </c>
      <c r="T820" s="294"/>
      <c r="U820" s="295" t="str">
        <f>IFERROR(VLOOKUP(G820,'KL NÒNG ỐNG'!$B$2:$E$16,4,0)*I820*V820,"")</f>
        <v/>
      </c>
      <c r="V820" s="296"/>
      <c r="W820" s="297"/>
      <c r="X820" s="298"/>
      <c r="Y820" s="292" t="str">
        <f t="shared" si="69"/>
        <v/>
      </c>
      <c r="Z820" s="366">
        <f t="shared" si="70"/>
        <v>0</v>
      </c>
      <c r="AA820" s="299" t="str">
        <f t="shared" si="71"/>
        <v/>
      </c>
      <c r="AB820" s="300"/>
      <c r="AC820" s="301"/>
      <c r="AD820" s="302"/>
      <c r="AE820" s="303"/>
      <c r="AF820" s="304"/>
      <c r="AG820" s="304"/>
      <c r="AH820" s="304"/>
      <c r="AI820" s="304"/>
      <c r="AJ820" s="304"/>
      <c r="AK820" s="298"/>
      <c r="AL820" s="283"/>
      <c r="AM820" s="284"/>
    </row>
    <row r="821" ht="15.75" customHeight="1">
      <c r="A821" s="282">
        <f t="shared" si="1"/>
        <v>817</v>
      </c>
      <c r="B821" s="283"/>
      <c r="C821" s="284"/>
      <c r="D821" s="338"/>
      <c r="E821" s="286"/>
      <c r="F821" s="287"/>
      <c r="G821" s="288" t="str">
        <f>+IFERROR(VLOOKUP(F821,NVL!$B:$C,2,0),"")</f>
        <v/>
      </c>
      <c r="H821" s="288" t="str">
        <f>+IFERROR(VLOOKUP(F821,NVL!$B:$D,3,0),"")</f>
        <v/>
      </c>
      <c r="I821" s="288" t="str">
        <f>+IFERROR(VLOOKUP(F821,NVL!$B:$F,4,0),"")</f>
        <v/>
      </c>
      <c r="J821" s="289"/>
      <c r="K821" s="290"/>
      <c r="L821" s="291" t="str">
        <f>+IFERROR(VLOOKUP(K821,'THÀNH PHẨM'!$B:$F,3,0),"")</f>
        <v/>
      </c>
      <c r="M821" s="291" t="str">
        <f>+IFERROR(VLOOKUP(K821,'THÀNH PHẨM'!$B:$F,4,0),"")</f>
        <v/>
      </c>
      <c r="N821" s="291" t="str">
        <f>+IFERROR(VLOOKUP(K821,'THÀNH PHẨM'!$B:$F,5,0),"")</f>
        <v/>
      </c>
      <c r="O821" s="289"/>
      <c r="P821" s="292">
        <f t="shared" si="2"/>
        <v>0</v>
      </c>
      <c r="Q821" s="289"/>
      <c r="R821" s="289"/>
      <c r="S821" s="293">
        <f t="shared" si="62"/>
        <v>0</v>
      </c>
      <c r="T821" s="294"/>
      <c r="U821" s="295" t="str">
        <f>IFERROR(VLOOKUP(G821,'KL NÒNG ỐNG'!$B$2:$E$16,4,0)*I821*V821,"")</f>
        <v/>
      </c>
      <c r="V821" s="296"/>
      <c r="W821" s="297"/>
      <c r="X821" s="298"/>
      <c r="Y821" s="292" t="str">
        <f t="shared" si="69"/>
        <v/>
      </c>
      <c r="Z821" s="366">
        <f t="shared" si="70"/>
        <v>0</v>
      </c>
      <c r="AA821" s="299" t="str">
        <f t="shared" si="71"/>
        <v/>
      </c>
      <c r="AB821" s="300"/>
      <c r="AC821" s="301"/>
      <c r="AD821" s="302"/>
      <c r="AE821" s="303"/>
      <c r="AF821" s="304"/>
      <c r="AG821" s="304"/>
      <c r="AH821" s="304"/>
      <c r="AI821" s="304"/>
      <c r="AJ821" s="304"/>
      <c r="AK821" s="305"/>
      <c r="AL821" s="283"/>
      <c r="AM821" s="284"/>
    </row>
    <row r="822" ht="15.75" customHeight="1">
      <c r="A822" s="282">
        <f t="shared" si="1"/>
        <v>818</v>
      </c>
      <c r="B822" s="283"/>
      <c r="C822" s="284"/>
      <c r="D822" s="338"/>
      <c r="E822" s="286"/>
      <c r="F822" s="287"/>
      <c r="G822" s="288" t="str">
        <f>+IFERROR(VLOOKUP(F822,NVL!$B:$C,2,0),"")</f>
        <v/>
      </c>
      <c r="H822" s="288" t="str">
        <f>+IFERROR(VLOOKUP(F822,NVL!$B:$D,3,0),"")</f>
        <v/>
      </c>
      <c r="I822" s="288" t="str">
        <f>+IFERROR(VLOOKUP(F822,NVL!$B:$F,4,0),"")</f>
        <v/>
      </c>
      <c r="J822" s="289"/>
      <c r="K822" s="290"/>
      <c r="L822" s="291" t="str">
        <f>+IFERROR(VLOOKUP(K822,'THÀNH PHẨM'!$B:$F,3,0),"")</f>
        <v/>
      </c>
      <c r="M822" s="291" t="str">
        <f>+IFERROR(VLOOKUP(K822,'THÀNH PHẨM'!$B:$F,4,0),"")</f>
        <v/>
      </c>
      <c r="N822" s="291" t="str">
        <f>+IFERROR(VLOOKUP(K822,'THÀNH PHẨM'!$B:$F,5,0),"")</f>
        <v/>
      </c>
      <c r="O822" s="289"/>
      <c r="P822" s="292">
        <f t="shared" si="2"/>
        <v>0</v>
      </c>
      <c r="Q822" s="289"/>
      <c r="R822" s="289"/>
      <c r="S822" s="293">
        <f t="shared" si="62"/>
        <v>0</v>
      </c>
      <c r="T822" s="294"/>
      <c r="U822" s="295" t="str">
        <f>IFERROR(VLOOKUP(G822,'KL NÒNG ỐNG'!$B$2:$E$16,4,0)*I822*V822,"")</f>
        <v/>
      </c>
      <c r="V822" s="296"/>
      <c r="W822" s="297"/>
      <c r="X822" s="298"/>
      <c r="Y822" s="292" t="str">
        <f t="shared" si="69"/>
        <v/>
      </c>
      <c r="Z822" s="366">
        <f t="shared" si="70"/>
        <v>0</v>
      </c>
      <c r="AA822" s="299" t="str">
        <f t="shared" si="71"/>
        <v/>
      </c>
      <c r="AB822" s="300"/>
      <c r="AC822" s="301"/>
      <c r="AD822" s="302"/>
      <c r="AE822" s="303"/>
      <c r="AF822" s="304"/>
      <c r="AG822" s="304"/>
      <c r="AH822" s="304"/>
      <c r="AI822" s="304"/>
      <c r="AJ822" s="304"/>
      <c r="AK822" s="305"/>
      <c r="AL822" s="283"/>
      <c r="AM822" s="284"/>
    </row>
    <row r="823" ht="15.75" customHeight="1">
      <c r="A823" s="282">
        <f t="shared" si="1"/>
        <v>819</v>
      </c>
      <c r="B823" s="283"/>
      <c r="C823" s="284"/>
      <c r="D823" s="338"/>
      <c r="E823" s="286"/>
      <c r="F823" s="287"/>
      <c r="G823" s="288" t="str">
        <f>+IFERROR(VLOOKUP(F823,NVL!$B:$C,2,0),"")</f>
        <v/>
      </c>
      <c r="H823" s="288" t="str">
        <f>+IFERROR(VLOOKUP(F823,NVL!$B:$D,3,0),"")</f>
        <v/>
      </c>
      <c r="I823" s="288" t="str">
        <f>+IFERROR(VLOOKUP(F823,NVL!$B:$F,4,0),"")</f>
        <v/>
      </c>
      <c r="J823" s="289"/>
      <c r="K823" s="290"/>
      <c r="L823" s="291" t="str">
        <f>+IFERROR(VLOOKUP(K823,'THÀNH PHẨM'!$B:$F,3,0),"")</f>
        <v/>
      </c>
      <c r="M823" s="291" t="str">
        <f>+IFERROR(VLOOKUP(K823,'THÀNH PHẨM'!$B:$F,4,0),"")</f>
        <v/>
      </c>
      <c r="N823" s="291" t="str">
        <f>+IFERROR(VLOOKUP(K823,'THÀNH PHẨM'!$B:$F,5,0),"")</f>
        <v/>
      </c>
      <c r="O823" s="289"/>
      <c r="P823" s="292">
        <f t="shared" si="2"/>
        <v>0</v>
      </c>
      <c r="Q823" s="289"/>
      <c r="R823" s="289"/>
      <c r="S823" s="293">
        <f t="shared" si="62"/>
        <v>0</v>
      </c>
      <c r="T823" s="294"/>
      <c r="U823" s="295" t="str">
        <f>IFERROR(VLOOKUP(G823,'KL NÒNG ỐNG'!$B$2:$E$16,4,0)*I823*V823,"")</f>
        <v/>
      </c>
      <c r="V823" s="296"/>
      <c r="W823" s="297"/>
      <c r="X823" s="298"/>
      <c r="Y823" s="292" t="str">
        <f t="shared" si="69"/>
        <v/>
      </c>
      <c r="Z823" s="366">
        <f t="shared" si="70"/>
        <v>0</v>
      </c>
      <c r="AA823" s="299" t="str">
        <f t="shared" si="71"/>
        <v/>
      </c>
      <c r="AB823" s="300"/>
      <c r="AC823" s="301"/>
      <c r="AD823" s="302"/>
      <c r="AE823" s="303"/>
      <c r="AF823" s="304"/>
      <c r="AG823" s="304"/>
      <c r="AH823" s="304"/>
      <c r="AI823" s="304"/>
      <c r="AJ823" s="304"/>
      <c r="AK823" s="305"/>
      <c r="AL823" s="283"/>
      <c r="AM823" s="284"/>
    </row>
    <row r="824" ht="15.75" customHeight="1">
      <c r="A824" s="282">
        <f t="shared" si="1"/>
        <v>820</v>
      </c>
      <c r="B824" s="283"/>
      <c r="C824" s="284"/>
      <c r="D824" s="338"/>
      <c r="E824" s="286"/>
      <c r="F824" s="287"/>
      <c r="G824" s="288" t="str">
        <f>+IFERROR(VLOOKUP(F824,NVL!$B:$C,2,0),"")</f>
        <v/>
      </c>
      <c r="H824" s="288" t="str">
        <f>+IFERROR(VLOOKUP(F824,NVL!$B:$D,3,0),"")</f>
        <v/>
      </c>
      <c r="I824" s="288" t="str">
        <f>+IFERROR(VLOOKUP(F824,NVL!$B:$F,4,0),"")</f>
        <v/>
      </c>
      <c r="J824" s="289"/>
      <c r="K824" s="290"/>
      <c r="L824" s="291" t="str">
        <f>+IFERROR(VLOOKUP(K824,'THÀNH PHẨM'!$B:$F,3,0),"")</f>
        <v/>
      </c>
      <c r="M824" s="291" t="str">
        <f>+IFERROR(VLOOKUP(K824,'THÀNH PHẨM'!$B:$F,4,0),"")</f>
        <v/>
      </c>
      <c r="N824" s="291" t="str">
        <f>+IFERROR(VLOOKUP(K824,'THÀNH PHẨM'!$B:$F,5,0),"")</f>
        <v/>
      </c>
      <c r="O824" s="289"/>
      <c r="P824" s="292">
        <f t="shared" si="2"/>
        <v>0</v>
      </c>
      <c r="Q824" s="289"/>
      <c r="R824" s="289"/>
      <c r="S824" s="293">
        <f t="shared" si="62"/>
        <v>0</v>
      </c>
      <c r="T824" s="294"/>
      <c r="U824" s="295" t="str">
        <f>IFERROR(VLOOKUP(G824,'KL NÒNG ỐNG'!$B$2:$E$16,4,0)*I824*V824,"")</f>
        <v/>
      </c>
      <c r="V824" s="296"/>
      <c r="W824" s="297"/>
      <c r="X824" s="298"/>
      <c r="Y824" s="292" t="str">
        <f t="shared" si="69"/>
        <v/>
      </c>
      <c r="Z824" s="366">
        <f t="shared" si="70"/>
        <v>0</v>
      </c>
      <c r="AA824" s="299" t="str">
        <f t="shared" si="71"/>
        <v/>
      </c>
      <c r="AB824" s="300"/>
      <c r="AC824" s="301"/>
      <c r="AD824" s="302"/>
      <c r="AE824" s="303"/>
      <c r="AF824" s="304"/>
      <c r="AG824" s="304"/>
      <c r="AH824" s="304"/>
      <c r="AI824" s="304"/>
      <c r="AJ824" s="304"/>
      <c r="AK824" s="305"/>
      <c r="AL824" s="283"/>
      <c r="AM824" s="284"/>
    </row>
    <row r="825" ht="15.75" customHeight="1">
      <c r="A825" s="282">
        <f t="shared" si="1"/>
        <v>821</v>
      </c>
      <c r="B825" s="283"/>
      <c r="C825" s="284"/>
      <c r="D825" s="338"/>
      <c r="E825" s="286"/>
      <c r="F825" s="287"/>
      <c r="G825" s="288" t="str">
        <f>+IFERROR(VLOOKUP(F825,NVL!$B:$C,2,0),"")</f>
        <v/>
      </c>
      <c r="H825" s="288" t="str">
        <f>+IFERROR(VLOOKUP(F825,NVL!$B:$D,3,0),"")</f>
        <v/>
      </c>
      <c r="I825" s="288" t="str">
        <f>+IFERROR(VLOOKUP(F825,NVL!$B:$F,4,0),"")</f>
        <v/>
      </c>
      <c r="J825" s="289"/>
      <c r="K825" s="290"/>
      <c r="L825" s="291" t="str">
        <f>+IFERROR(VLOOKUP(K825,'THÀNH PHẨM'!$B:$F,3,0),"")</f>
        <v/>
      </c>
      <c r="M825" s="291" t="str">
        <f>+IFERROR(VLOOKUP(K825,'THÀNH PHẨM'!$B:$F,4,0),"")</f>
        <v/>
      </c>
      <c r="N825" s="291" t="str">
        <f>+IFERROR(VLOOKUP(K825,'THÀNH PHẨM'!$B:$F,5,0),"")</f>
        <v/>
      </c>
      <c r="O825" s="289"/>
      <c r="P825" s="292">
        <f t="shared" si="2"/>
        <v>0</v>
      </c>
      <c r="Q825" s="289"/>
      <c r="R825" s="289"/>
      <c r="S825" s="293">
        <f t="shared" si="62"/>
        <v>0</v>
      </c>
      <c r="T825" s="294"/>
      <c r="U825" s="295" t="str">
        <f>IFERROR(VLOOKUP(G825,'KL NÒNG ỐNG'!$B$2:$E$16,4,0)*I825*V825,"")</f>
        <v/>
      </c>
      <c r="V825" s="296"/>
      <c r="W825" s="297"/>
      <c r="X825" s="298"/>
      <c r="Y825" s="292" t="str">
        <f t="shared" si="69"/>
        <v/>
      </c>
      <c r="Z825" s="366">
        <f t="shared" si="70"/>
        <v>0</v>
      </c>
      <c r="AA825" s="299" t="str">
        <f t="shared" si="71"/>
        <v/>
      </c>
      <c r="AB825" s="300"/>
      <c r="AC825" s="301"/>
      <c r="AD825" s="302"/>
      <c r="AE825" s="303"/>
      <c r="AF825" s="304"/>
      <c r="AG825" s="304"/>
      <c r="AH825" s="304"/>
      <c r="AI825" s="304"/>
      <c r="AJ825" s="304"/>
      <c r="AK825" s="305"/>
      <c r="AL825" s="283"/>
      <c r="AM825" s="284"/>
    </row>
    <row r="826" ht="15.75" customHeight="1">
      <c r="A826" s="282">
        <f t="shared" si="1"/>
        <v>822</v>
      </c>
      <c r="B826" s="283"/>
      <c r="C826" s="284"/>
      <c r="D826" s="338"/>
      <c r="E826" s="286"/>
      <c r="F826" s="287"/>
      <c r="G826" s="288" t="str">
        <f>+IFERROR(VLOOKUP(F826,NVL!$B:$C,2,0),"")</f>
        <v/>
      </c>
      <c r="H826" s="288" t="str">
        <f>+IFERROR(VLOOKUP(F826,NVL!$B:$D,3,0),"")</f>
        <v/>
      </c>
      <c r="I826" s="288" t="str">
        <f>+IFERROR(VLOOKUP(F826,NVL!$B:$F,4,0),"")</f>
        <v/>
      </c>
      <c r="J826" s="289"/>
      <c r="K826" s="290"/>
      <c r="L826" s="291" t="str">
        <f>+IFERROR(VLOOKUP(K826,'THÀNH PHẨM'!$B:$F,3,0),"")</f>
        <v/>
      </c>
      <c r="M826" s="291" t="str">
        <f>+IFERROR(VLOOKUP(K826,'THÀNH PHẨM'!$B:$F,4,0),"")</f>
        <v/>
      </c>
      <c r="N826" s="291" t="str">
        <f>+IFERROR(VLOOKUP(K826,'THÀNH PHẨM'!$B:$F,5,0),"")</f>
        <v/>
      </c>
      <c r="O826" s="289"/>
      <c r="P826" s="292">
        <f t="shared" si="2"/>
        <v>0</v>
      </c>
      <c r="Q826" s="289"/>
      <c r="R826" s="289"/>
      <c r="S826" s="293">
        <f t="shared" si="62"/>
        <v>0</v>
      </c>
      <c r="T826" s="294"/>
      <c r="U826" s="295" t="str">
        <f>IFERROR(VLOOKUP(G826,'KL NÒNG ỐNG'!$B$2:$E$16,4,0)*I826*V826,"")</f>
        <v/>
      </c>
      <c r="V826" s="296"/>
      <c r="W826" s="297"/>
      <c r="X826" s="298"/>
      <c r="Y826" s="292" t="str">
        <f t="shared" si="69"/>
        <v/>
      </c>
      <c r="Z826" s="366">
        <f t="shared" si="70"/>
        <v>0</v>
      </c>
      <c r="AA826" s="299" t="str">
        <f t="shared" si="71"/>
        <v/>
      </c>
      <c r="AB826" s="300"/>
      <c r="AC826" s="301"/>
      <c r="AD826" s="302"/>
      <c r="AE826" s="303"/>
      <c r="AF826" s="304"/>
      <c r="AG826" s="304"/>
      <c r="AH826" s="304"/>
      <c r="AI826" s="304"/>
      <c r="AJ826" s="304"/>
      <c r="AK826" s="305"/>
      <c r="AL826" s="283"/>
      <c r="AM826" s="284"/>
    </row>
    <row r="827" ht="15.75" customHeight="1">
      <c r="A827" s="282">
        <f t="shared" si="1"/>
        <v>823</v>
      </c>
      <c r="B827" s="283"/>
      <c r="C827" s="284"/>
      <c r="D827" s="338"/>
      <c r="E827" s="286"/>
      <c r="F827" s="287"/>
      <c r="G827" s="288" t="str">
        <f>+IFERROR(VLOOKUP(F827,NVL!$B:$C,2,0),"")</f>
        <v/>
      </c>
      <c r="H827" s="288" t="str">
        <f>+IFERROR(VLOOKUP(F827,NVL!$B:$D,3,0),"")</f>
        <v/>
      </c>
      <c r="I827" s="288" t="str">
        <f>+IFERROR(VLOOKUP(F827,NVL!$B:$F,4,0),"")</f>
        <v/>
      </c>
      <c r="J827" s="289"/>
      <c r="K827" s="290"/>
      <c r="L827" s="291" t="str">
        <f>+IFERROR(VLOOKUP(K827,'THÀNH PHẨM'!$B:$F,3,0),"")</f>
        <v/>
      </c>
      <c r="M827" s="291" t="str">
        <f>+IFERROR(VLOOKUP(K827,'THÀNH PHẨM'!$B:$F,4,0),"")</f>
        <v/>
      </c>
      <c r="N827" s="291" t="str">
        <f>+IFERROR(VLOOKUP(K827,'THÀNH PHẨM'!$B:$F,5,0),"")</f>
        <v/>
      </c>
      <c r="O827" s="289"/>
      <c r="P827" s="292">
        <f t="shared" si="2"/>
        <v>0</v>
      </c>
      <c r="Q827" s="289"/>
      <c r="R827" s="289"/>
      <c r="S827" s="293">
        <f t="shared" si="62"/>
        <v>0</v>
      </c>
      <c r="T827" s="294"/>
      <c r="U827" s="295" t="str">
        <f>IFERROR(VLOOKUP(G827,'KL NÒNG ỐNG'!$B$2:$E$16,4,0)*I827*V827,"")</f>
        <v/>
      </c>
      <c r="V827" s="296"/>
      <c r="W827" s="297"/>
      <c r="X827" s="298"/>
      <c r="Y827" s="292" t="str">
        <f t="shared" si="69"/>
        <v/>
      </c>
      <c r="Z827" s="366">
        <f t="shared" si="70"/>
        <v>0</v>
      </c>
      <c r="AA827" s="299" t="str">
        <f t="shared" si="71"/>
        <v/>
      </c>
      <c r="AB827" s="300"/>
      <c r="AC827" s="301"/>
      <c r="AD827" s="302"/>
      <c r="AE827" s="303"/>
      <c r="AF827" s="304"/>
      <c r="AG827" s="304"/>
      <c r="AH827" s="304"/>
      <c r="AI827" s="304"/>
      <c r="AJ827" s="304"/>
      <c r="AK827" s="305"/>
      <c r="AL827" s="283"/>
      <c r="AM827" s="284"/>
    </row>
    <row r="828" ht="15.75" customHeight="1">
      <c r="A828" s="282">
        <f t="shared" si="1"/>
        <v>824</v>
      </c>
      <c r="B828" s="283"/>
      <c r="C828" s="284"/>
      <c r="D828" s="338"/>
      <c r="E828" s="286"/>
      <c r="F828" s="287"/>
      <c r="G828" s="288" t="str">
        <f>+IFERROR(VLOOKUP(F828,NVL!$B:$C,2,0),"")</f>
        <v/>
      </c>
      <c r="H828" s="288" t="str">
        <f>+IFERROR(VLOOKUP(F828,NVL!$B:$D,3,0),"")</f>
        <v/>
      </c>
      <c r="I828" s="288" t="str">
        <f>+IFERROR(VLOOKUP(F828,NVL!$B:$F,4,0),"")</f>
        <v/>
      </c>
      <c r="J828" s="289"/>
      <c r="K828" s="290"/>
      <c r="L828" s="291" t="str">
        <f>+IFERROR(VLOOKUP(K828,'THÀNH PHẨM'!$B:$F,3,0),"")</f>
        <v/>
      </c>
      <c r="M828" s="291" t="str">
        <f>+IFERROR(VLOOKUP(K828,'THÀNH PHẨM'!$B:$F,4,0),"")</f>
        <v/>
      </c>
      <c r="N828" s="291" t="str">
        <f>+IFERROR(VLOOKUP(K828,'THÀNH PHẨM'!$B:$F,5,0),"")</f>
        <v/>
      </c>
      <c r="O828" s="289"/>
      <c r="P828" s="292">
        <f t="shared" si="2"/>
        <v>0</v>
      </c>
      <c r="Q828" s="289"/>
      <c r="R828" s="289"/>
      <c r="S828" s="293">
        <f t="shared" si="62"/>
        <v>0</v>
      </c>
      <c r="T828" s="294"/>
      <c r="U828" s="295" t="str">
        <f>IFERROR(VLOOKUP(G828,'KL NÒNG ỐNG'!$B$2:$E$16,4,0)*I828*V828,"")</f>
        <v/>
      </c>
      <c r="V828" s="296"/>
      <c r="W828" s="297"/>
      <c r="X828" s="298"/>
      <c r="Y828" s="292" t="str">
        <f t="shared" si="69"/>
        <v/>
      </c>
      <c r="Z828" s="366">
        <f t="shared" si="70"/>
        <v>0</v>
      </c>
      <c r="AA828" s="299" t="str">
        <f t="shared" si="71"/>
        <v/>
      </c>
      <c r="AB828" s="300"/>
      <c r="AC828" s="301"/>
      <c r="AD828" s="302"/>
      <c r="AE828" s="303"/>
      <c r="AF828" s="304"/>
      <c r="AG828" s="304"/>
      <c r="AH828" s="304"/>
      <c r="AI828" s="304"/>
      <c r="AJ828" s="304"/>
      <c r="AK828" s="305"/>
      <c r="AL828" s="283"/>
      <c r="AM828" s="284"/>
    </row>
    <row r="829" ht="15.75" customHeight="1">
      <c r="A829" s="282">
        <f t="shared" si="1"/>
        <v>825</v>
      </c>
      <c r="B829" s="283"/>
      <c r="C829" s="284"/>
      <c r="D829" s="338"/>
      <c r="E829" s="286"/>
      <c r="F829" s="287"/>
      <c r="G829" s="288" t="str">
        <f>+IFERROR(VLOOKUP(F829,NVL!$B:$C,2,0),"")</f>
        <v/>
      </c>
      <c r="H829" s="288" t="str">
        <f>+IFERROR(VLOOKUP(F829,NVL!$B:$D,3,0),"")</f>
        <v/>
      </c>
      <c r="I829" s="288" t="str">
        <f>+IFERROR(VLOOKUP(F829,NVL!$B:$F,4,0),"")</f>
        <v/>
      </c>
      <c r="J829" s="289"/>
      <c r="K829" s="290"/>
      <c r="L829" s="291" t="str">
        <f>+IFERROR(VLOOKUP(K829,'THÀNH PHẨM'!$B:$F,3,0),"")</f>
        <v/>
      </c>
      <c r="M829" s="291" t="str">
        <f>+IFERROR(VLOOKUP(K829,'THÀNH PHẨM'!$B:$F,4,0),"")</f>
        <v/>
      </c>
      <c r="N829" s="291" t="str">
        <f>+IFERROR(VLOOKUP(K829,'THÀNH PHẨM'!$B:$F,5,0),"")</f>
        <v/>
      </c>
      <c r="O829" s="289"/>
      <c r="P829" s="292">
        <f t="shared" si="2"/>
        <v>0</v>
      </c>
      <c r="Q829" s="289"/>
      <c r="R829" s="289"/>
      <c r="S829" s="293">
        <f t="shared" si="62"/>
        <v>0</v>
      </c>
      <c r="T829" s="294"/>
      <c r="U829" s="295" t="str">
        <f>IFERROR(VLOOKUP(G829,'KL NÒNG ỐNG'!$B$2:$E$16,4,0)*I829*V829,"")</f>
        <v/>
      </c>
      <c r="V829" s="296"/>
      <c r="W829" s="297"/>
      <c r="X829" s="298"/>
      <c r="Y829" s="292" t="str">
        <f t="shared" si="69"/>
        <v/>
      </c>
      <c r="Z829" s="366">
        <f t="shared" si="70"/>
        <v>0</v>
      </c>
      <c r="AA829" s="299" t="str">
        <f t="shared" si="71"/>
        <v/>
      </c>
      <c r="AB829" s="300"/>
      <c r="AC829" s="301"/>
      <c r="AD829" s="302"/>
      <c r="AE829" s="303"/>
      <c r="AF829" s="304"/>
      <c r="AG829" s="304"/>
      <c r="AH829" s="304"/>
      <c r="AI829" s="304"/>
      <c r="AJ829" s="304"/>
      <c r="AK829" s="305"/>
      <c r="AL829" s="283"/>
      <c r="AM829" s="284"/>
    </row>
    <row r="830" ht="15.75" customHeight="1">
      <c r="A830" s="282">
        <f t="shared" si="1"/>
        <v>826</v>
      </c>
      <c r="B830" s="283"/>
      <c r="C830" s="284"/>
      <c r="D830" s="338"/>
      <c r="E830" s="286"/>
      <c r="F830" s="287"/>
      <c r="G830" s="288" t="str">
        <f>+IFERROR(VLOOKUP(F830,NVL!$B:$C,2,0),"")</f>
        <v/>
      </c>
      <c r="H830" s="288" t="str">
        <f>+IFERROR(VLOOKUP(F830,NVL!$B:$D,3,0),"")</f>
        <v/>
      </c>
      <c r="I830" s="288" t="str">
        <f>+IFERROR(VLOOKUP(F830,NVL!$B:$F,4,0),"")</f>
        <v/>
      </c>
      <c r="J830" s="289"/>
      <c r="K830" s="290"/>
      <c r="L830" s="291" t="str">
        <f>+IFERROR(VLOOKUP(K830,'THÀNH PHẨM'!$B:$F,3,0),"")</f>
        <v/>
      </c>
      <c r="M830" s="291" t="str">
        <f>+IFERROR(VLOOKUP(K830,'THÀNH PHẨM'!$B:$F,4,0),"")</f>
        <v/>
      </c>
      <c r="N830" s="291" t="str">
        <f>+IFERROR(VLOOKUP(K830,'THÀNH PHẨM'!$B:$F,5,0),"")</f>
        <v/>
      </c>
      <c r="O830" s="289"/>
      <c r="P830" s="292">
        <f t="shared" si="2"/>
        <v>0</v>
      </c>
      <c r="Q830" s="289"/>
      <c r="R830" s="289"/>
      <c r="S830" s="293">
        <f t="shared" si="62"/>
        <v>0</v>
      </c>
      <c r="T830" s="294"/>
      <c r="U830" s="295" t="str">
        <f>IFERROR(VLOOKUP(G830,'KL NÒNG ỐNG'!$B$2:$E$16,4,0)*I830*V830,"")</f>
        <v/>
      </c>
      <c r="V830" s="296"/>
      <c r="W830" s="297"/>
      <c r="X830" s="298"/>
      <c r="Y830" s="292" t="str">
        <f t="shared" si="69"/>
        <v/>
      </c>
      <c r="Z830" s="366">
        <f t="shared" si="70"/>
        <v>0</v>
      </c>
      <c r="AA830" s="299" t="str">
        <f t="shared" si="71"/>
        <v/>
      </c>
      <c r="AB830" s="300"/>
      <c r="AC830" s="301"/>
      <c r="AD830" s="302"/>
      <c r="AE830" s="303"/>
      <c r="AF830" s="304"/>
      <c r="AG830" s="304"/>
      <c r="AH830" s="304"/>
      <c r="AI830" s="304"/>
      <c r="AJ830" s="304"/>
      <c r="AK830" s="305"/>
      <c r="AL830" s="283"/>
      <c r="AM830" s="284"/>
    </row>
    <row r="831" ht="15.75" customHeight="1">
      <c r="A831" s="282">
        <f t="shared" si="1"/>
        <v>827</v>
      </c>
      <c r="B831" s="283"/>
      <c r="C831" s="284"/>
      <c r="D831" s="338"/>
      <c r="E831" s="286"/>
      <c r="F831" s="287"/>
      <c r="G831" s="288" t="str">
        <f>+IFERROR(VLOOKUP(F831,NVL!$B:$C,2,0),"")</f>
        <v/>
      </c>
      <c r="H831" s="288" t="str">
        <f>+IFERROR(VLOOKUP(F831,NVL!$B:$D,3,0),"")</f>
        <v/>
      </c>
      <c r="I831" s="288" t="str">
        <f>+IFERROR(VLOOKUP(F831,NVL!$B:$F,4,0),"")</f>
        <v/>
      </c>
      <c r="J831" s="289"/>
      <c r="K831" s="290"/>
      <c r="L831" s="291" t="str">
        <f>+IFERROR(VLOOKUP(K831,'THÀNH PHẨM'!$B:$F,3,0),"")</f>
        <v/>
      </c>
      <c r="M831" s="291" t="str">
        <f>+IFERROR(VLOOKUP(K831,'THÀNH PHẨM'!$B:$F,4,0),"")</f>
        <v/>
      </c>
      <c r="N831" s="291" t="str">
        <f>+IFERROR(VLOOKUP(K831,'THÀNH PHẨM'!$B:$F,5,0),"")</f>
        <v/>
      </c>
      <c r="O831" s="289"/>
      <c r="P831" s="292">
        <f t="shared" si="2"/>
        <v>0</v>
      </c>
      <c r="Q831" s="289"/>
      <c r="R831" s="289"/>
      <c r="S831" s="293">
        <f t="shared" si="62"/>
        <v>0</v>
      </c>
      <c r="T831" s="294"/>
      <c r="U831" s="295" t="str">
        <f>IFERROR(VLOOKUP(G831,'KL NÒNG ỐNG'!$B$2:$E$16,4,0)*I831*V831,"")</f>
        <v/>
      </c>
      <c r="V831" s="296"/>
      <c r="W831" s="297"/>
      <c r="X831" s="298"/>
      <c r="Y831" s="292" t="str">
        <f t="shared" si="69"/>
        <v/>
      </c>
      <c r="Z831" s="366">
        <f t="shared" si="70"/>
        <v>0</v>
      </c>
      <c r="AA831" s="299" t="str">
        <f t="shared" si="71"/>
        <v/>
      </c>
      <c r="AB831" s="300"/>
      <c r="AC831" s="301"/>
      <c r="AD831" s="302"/>
      <c r="AE831" s="303"/>
      <c r="AF831" s="304"/>
      <c r="AG831" s="304"/>
      <c r="AH831" s="304"/>
      <c r="AI831" s="304"/>
      <c r="AJ831" s="304"/>
      <c r="AK831" s="305"/>
      <c r="AL831" s="283"/>
      <c r="AM831" s="284"/>
    </row>
    <row r="832" ht="15.75" customHeight="1">
      <c r="A832" s="282">
        <f t="shared" si="1"/>
        <v>828</v>
      </c>
      <c r="B832" s="283"/>
      <c r="C832" s="284"/>
      <c r="D832" s="338"/>
      <c r="E832" s="286"/>
      <c r="F832" s="287"/>
      <c r="G832" s="288" t="str">
        <f>+IFERROR(VLOOKUP(F832,NVL!$B:$C,2,0),"")</f>
        <v/>
      </c>
      <c r="H832" s="288" t="str">
        <f>+IFERROR(VLOOKUP(F832,NVL!$B:$D,3,0),"")</f>
        <v/>
      </c>
      <c r="I832" s="288" t="str">
        <f>+IFERROR(VLOOKUP(F832,NVL!$B:$F,4,0),"")</f>
        <v/>
      </c>
      <c r="J832" s="289"/>
      <c r="K832" s="290"/>
      <c r="L832" s="291" t="str">
        <f>+IFERROR(VLOOKUP(K832,'THÀNH PHẨM'!$B:$F,3,0),"")</f>
        <v/>
      </c>
      <c r="M832" s="291" t="str">
        <f>+IFERROR(VLOOKUP(K832,'THÀNH PHẨM'!$B:$F,4,0),"")</f>
        <v/>
      </c>
      <c r="N832" s="291" t="str">
        <f>+IFERROR(VLOOKUP(K832,'THÀNH PHẨM'!$B:$F,5,0),"")</f>
        <v/>
      </c>
      <c r="O832" s="289"/>
      <c r="P832" s="292">
        <f t="shared" si="2"/>
        <v>0</v>
      </c>
      <c r="Q832" s="289"/>
      <c r="R832" s="289"/>
      <c r="S832" s="293">
        <f t="shared" si="62"/>
        <v>0</v>
      </c>
      <c r="T832" s="294"/>
      <c r="U832" s="295" t="str">
        <f>IFERROR(VLOOKUP(G832,'KL NÒNG ỐNG'!$B$2:$E$16,4,0)*I832*V832,"")</f>
        <v/>
      </c>
      <c r="V832" s="296"/>
      <c r="W832" s="297"/>
      <c r="X832" s="298"/>
      <c r="Y832" s="292" t="str">
        <f t="shared" si="69"/>
        <v/>
      </c>
      <c r="Z832" s="366">
        <f t="shared" si="70"/>
        <v>0</v>
      </c>
      <c r="AA832" s="299" t="str">
        <f t="shared" si="71"/>
        <v/>
      </c>
      <c r="AB832" s="300"/>
      <c r="AC832" s="301"/>
      <c r="AD832" s="302"/>
      <c r="AE832" s="303"/>
      <c r="AF832" s="304"/>
      <c r="AG832" s="304"/>
      <c r="AH832" s="304"/>
      <c r="AI832" s="304"/>
      <c r="AJ832" s="304"/>
      <c r="AK832" s="305"/>
      <c r="AL832" s="283"/>
      <c r="AM832" s="284"/>
    </row>
    <row r="833" ht="15.75" customHeight="1">
      <c r="A833" s="282">
        <f t="shared" si="1"/>
        <v>829</v>
      </c>
      <c r="B833" s="283"/>
      <c r="C833" s="284"/>
      <c r="D833" s="338"/>
      <c r="E833" s="286"/>
      <c r="F833" s="287"/>
      <c r="G833" s="288" t="str">
        <f>+IFERROR(VLOOKUP(F833,NVL!$B:$C,2,0),"")</f>
        <v/>
      </c>
      <c r="H833" s="288" t="str">
        <f>+IFERROR(VLOOKUP(F833,NVL!$B:$D,3,0),"")</f>
        <v/>
      </c>
      <c r="I833" s="288" t="str">
        <f>+IFERROR(VLOOKUP(F833,NVL!$B:$F,4,0),"")</f>
        <v/>
      </c>
      <c r="J833" s="289"/>
      <c r="K833" s="290"/>
      <c r="L833" s="291" t="str">
        <f>+IFERROR(VLOOKUP(K833,'THÀNH PHẨM'!$B:$F,3,0),"")</f>
        <v/>
      </c>
      <c r="M833" s="291" t="str">
        <f>+IFERROR(VLOOKUP(K833,'THÀNH PHẨM'!$B:$F,4,0),"")</f>
        <v/>
      </c>
      <c r="N833" s="291" t="str">
        <f>+IFERROR(VLOOKUP(K833,'THÀNH PHẨM'!$B:$F,5,0),"")</f>
        <v/>
      </c>
      <c r="O833" s="289"/>
      <c r="P833" s="292">
        <f t="shared" si="2"/>
        <v>0</v>
      </c>
      <c r="Q833" s="289"/>
      <c r="R833" s="289"/>
      <c r="S833" s="293">
        <f t="shared" si="62"/>
        <v>0</v>
      </c>
      <c r="T833" s="294"/>
      <c r="U833" s="295" t="str">
        <f>IFERROR(VLOOKUP(G833,'KL NÒNG ỐNG'!$B$2:$E$16,4,0)*I833*V833,"")</f>
        <v/>
      </c>
      <c r="V833" s="296"/>
      <c r="W833" s="297"/>
      <c r="X833" s="298"/>
      <c r="Y833" s="292" t="str">
        <f t="shared" si="69"/>
        <v/>
      </c>
      <c r="Z833" s="366">
        <f t="shared" si="70"/>
        <v>0</v>
      </c>
      <c r="AA833" s="299" t="str">
        <f t="shared" si="71"/>
        <v/>
      </c>
      <c r="AB833" s="300"/>
      <c r="AC833" s="301"/>
      <c r="AD833" s="302"/>
      <c r="AE833" s="303"/>
      <c r="AF833" s="304"/>
      <c r="AG833" s="304"/>
      <c r="AH833" s="304"/>
      <c r="AI833" s="304"/>
      <c r="AJ833" s="304"/>
      <c r="AK833" s="305"/>
      <c r="AL833" s="283"/>
      <c r="AM833" s="284"/>
    </row>
    <row r="834" ht="15.75" customHeight="1">
      <c r="A834" s="282">
        <f t="shared" si="1"/>
        <v>830</v>
      </c>
      <c r="B834" s="283"/>
      <c r="C834" s="284"/>
      <c r="D834" s="338"/>
      <c r="E834" s="286"/>
      <c r="F834" s="287"/>
      <c r="G834" s="288" t="str">
        <f>+IFERROR(VLOOKUP(F834,NVL!$B:$C,2,0),"")</f>
        <v/>
      </c>
      <c r="H834" s="288" t="str">
        <f>+IFERROR(VLOOKUP(F834,NVL!$B:$D,3,0),"")</f>
        <v/>
      </c>
      <c r="I834" s="288" t="str">
        <f>+IFERROR(VLOOKUP(F834,NVL!$B:$F,4,0),"")</f>
        <v/>
      </c>
      <c r="J834" s="289"/>
      <c r="K834" s="290"/>
      <c r="L834" s="291" t="str">
        <f>+IFERROR(VLOOKUP(K834,'THÀNH PHẨM'!$B:$F,3,0),"")</f>
        <v/>
      </c>
      <c r="M834" s="291" t="str">
        <f>+IFERROR(VLOOKUP(K834,'THÀNH PHẨM'!$B:$F,4,0),"")</f>
        <v/>
      </c>
      <c r="N834" s="291" t="str">
        <f>+IFERROR(VLOOKUP(K834,'THÀNH PHẨM'!$B:$F,5,0),"")</f>
        <v/>
      </c>
      <c r="O834" s="289"/>
      <c r="P834" s="292">
        <f t="shared" si="2"/>
        <v>0</v>
      </c>
      <c r="Q834" s="289"/>
      <c r="R834" s="289"/>
      <c r="S834" s="293">
        <f t="shared" si="62"/>
        <v>0</v>
      </c>
      <c r="T834" s="294"/>
      <c r="U834" s="295" t="str">
        <f>IFERROR(VLOOKUP(G834,'KL NÒNG ỐNG'!$B$2:$E$16,4,0)*I834*V834,"")</f>
        <v/>
      </c>
      <c r="V834" s="296"/>
      <c r="W834" s="297"/>
      <c r="X834" s="298"/>
      <c r="Y834" s="292" t="str">
        <f t="shared" si="69"/>
        <v/>
      </c>
      <c r="Z834" s="366">
        <f t="shared" si="70"/>
        <v>0</v>
      </c>
      <c r="AA834" s="299" t="str">
        <f t="shared" si="71"/>
        <v/>
      </c>
      <c r="AB834" s="300"/>
      <c r="AC834" s="301"/>
      <c r="AD834" s="302"/>
      <c r="AE834" s="303"/>
      <c r="AF834" s="304"/>
      <c r="AG834" s="304"/>
      <c r="AH834" s="304"/>
      <c r="AI834" s="304"/>
      <c r="AJ834" s="304"/>
      <c r="AK834" s="305"/>
      <c r="AL834" s="283"/>
      <c r="AM834" s="284"/>
    </row>
    <row r="835" ht="15.75" customHeight="1">
      <c r="A835" s="282">
        <f t="shared" si="1"/>
        <v>831</v>
      </c>
      <c r="B835" s="283"/>
      <c r="C835" s="284"/>
      <c r="D835" s="338"/>
      <c r="E835" s="286"/>
      <c r="F835" s="287"/>
      <c r="G835" s="288" t="str">
        <f>+IFERROR(VLOOKUP(F835,NVL!$B:$C,2,0),"")</f>
        <v/>
      </c>
      <c r="H835" s="288" t="str">
        <f>+IFERROR(VLOOKUP(F835,NVL!$B:$D,3,0),"")</f>
        <v/>
      </c>
      <c r="I835" s="288" t="str">
        <f>+IFERROR(VLOOKUP(F835,NVL!$B:$F,4,0),"")</f>
        <v/>
      </c>
      <c r="J835" s="289"/>
      <c r="K835" s="290"/>
      <c r="L835" s="291" t="str">
        <f>+IFERROR(VLOOKUP(K835,'THÀNH PHẨM'!$B:$F,3,0),"")</f>
        <v/>
      </c>
      <c r="M835" s="291" t="str">
        <f>+IFERROR(VLOOKUP(K835,'THÀNH PHẨM'!$B:$F,4,0),"")</f>
        <v/>
      </c>
      <c r="N835" s="291" t="str">
        <f>+IFERROR(VLOOKUP(K835,'THÀNH PHẨM'!$B:$F,5,0),"")</f>
        <v/>
      </c>
      <c r="O835" s="289"/>
      <c r="P835" s="292">
        <f t="shared" si="2"/>
        <v>0</v>
      </c>
      <c r="Q835" s="289"/>
      <c r="R835" s="289"/>
      <c r="S835" s="293">
        <f t="shared" si="62"/>
        <v>0</v>
      </c>
      <c r="T835" s="294"/>
      <c r="U835" s="295" t="str">
        <f>IFERROR(VLOOKUP(G835,'KL NÒNG ỐNG'!$B$2:$E$16,4,0)*I835*V835,"")</f>
        <v/>
      </c>
      <c r="V835" s="296"/>
      <c r="W835" s="297"/>
      <c r="X835" s="298"/>
      <c r="Y835" s="292" t="str">
        <f t="shared" si="69"/>
        <v/>
      </c>
      <c r="Z835" s="366">
        <f t="shared" si="70"/>
        <v>0</v>
      </c>
      <c r="AA835" s="299" t="str">
        <f t="shared" si="71"/>
        <v/>
      </c>
      <c r="AB835" s="300"/>
      <c r="AC835" s="301"/>
      <c r="AD835" s="302"/>
      <c r="AE835" s="303"/>
      <c r="AF835" s="304"/>
      <c r="AG835" s="304"/>
      <c r="AH835" s="304"/>
      <c r="AI835" s="304"/>
      <c r="AJ835" s="304"/>
      <c r="AK835" s="305"/>
      <c r="AL835" s="283"/>
      <c r="AM835" s="284"/>
    </row>
    <row r="836" ht="15.75" customHeight="1">
      <c r="A836" s="282">
        <f t="shared" si="1"/>
        <v>832</v>
      </c>
      <c r="B836" s="283"/>
      <c r="C836" s="284"/>
      <c r="D836" s="338"/>
      <c r="E836" s="286"/>
      <c r="F836" s="287"/>
      <c r="G836" s="288" t="str">
        <f>+IFERROR(VLOOKUP(F836,NVL!$B:$C,2,0),"")</f>
        <v/>
      </c>
      <c r="H836" s="288" t="str">
        <f>+IFERROR(VLOOKUP(F836,NVL!$B:$D,3,0),"")</f>
        <v/>
      </c>
      <c r="I836" s="288" t="str">
        <f>+IFERROR(VLOOKUP(F836,NVL!$B:$F,4,0),"")</f>
        <v/>
      </c>
      <c r="J836" s="289"/>
      <c r="K836" s="290"/>
      <c r="L836" s="291" t="str">
        <f>+IFERROR(VLOOKUP(K836,'THÀNH PHẨM'!$B:$F,3,0),"")</f>
        <v/>
      </c>
      <c r="M836" s="291" t="str">
        <f>+IFERROR(VLOOKUP(K836,'THÀNH PHẨM'!$B:$F,4,0),"")</f>
        <v/>
      </c>
      <c r="N836" s="291" t="str">
        <f>+IFERROR(VLOOKUP(K836,'THÀNH PHẨM'!$B:$F,5,0),"")</f>
        <v/>
      </c>
      <c r="O836" s="289"/>
      <c r="P836" s="292">
        <f t="shared" si="2"/>
        <v>0</v>
      </c>
      <c r="Q836" s="289"/>
      <c r="R836" s="289"/>
      <c r="S836" s="293">
        <f t="shared" si="62"/>
        <v>0</v>
      </c>
      <c r="T836" s="294"/>
      <c r="U836" s="295" t="str">
        <f>IFERROR(VLOOKUP(G836,'KL NÒNG ỐNG'!$B$2:$E$16,4,0)*I836*V836,"")</f>
        <v/>
      </c>
      <c r="V836" s="296"/>
      <c r="W836" s="297"/>
      <c r="X836" s="298"/>
      <c r="Y836" s="292" t="str">
        <f t="shared" si="69"/>
        <v/>
      </c>
      <c r="Z836" s="366">
        <f t="shared" si="70"/>
        <v>0</v>
      </c>
      <c r="AA836" s="299" t="str">
        <f t="shared" si="71"/>
        <v/>
      </c>
      <c r="AB836" s="300"/>
      <c r="AC836" s="301"/>
      <c r="AD836" s="302"/>
      <c r="AE836" s="303"/>
      <c r="AF836" s="304"/>
      <c r="AG836" s="304"/>
      <c r="AH836" s="304"/>
      <c r="AI836" s="304"/>
      <c r="AJ836" s="304"/>
      <c r="AK836" s="305"/>
      <c r="AL836" s="283"/>
      <c r="AM836" s="284"/>
    </row>
    <row r="837" ht="15.75" customHeight="1">
      <c r="A837" s="282">
        <f t="shared" si="1"/>
        <v>833</v>
      </c>
      <c r="B837" s="283"/>
      <c r="C837" s="284"/>
      <c r="D837" s="338"/>
      <c r="E837" s="286"/>
      <c r="F837" s="287"/>
      <c r="G837" s="288" t="str">
        <f>+IFERROR(VLOOKUP(F837,NVL!$B:$C,2,0),"")</f>
        <v/>
      </c>
      <c r="H837" s="288" t="str">
        <f>+IFERROR(VLOOKUP(F837,NVL!$B:$D,3,0),"")</f>
        <v/>
      </c>
      <c r="I837" s="288" t="str">
        <f>+IFERROR(VLOOKUP(F837,NVL!$B:$F,4,0),"")</f>
        <v/>
      </c>
      <c r="J837" s="289"/>
      <c r="K837" s="290"/>
      <c r="L837" s="291" t="str">
        <f>+IFERROR(VLOOKUP(K837,'THÀNH PHẨM'!$B:$F,3,0),"")</f>
        <v/>
      </c>
      <c r="M837" s="291" t="str">
        <f>+IFERROR(VLOOKUP(K837,'THÀNH PHẨM'!$B:$F,4,0),"")</f>
        <v/>
      </c>
      <c r="N837" s="291" t="str">
        <f>+IFERROR(VLOOKUP(K837,'THÀNH PHẨM'!$B:$F,5,0),"")</f>
        <v/>
      </c>
      <c r="O837" s="289"/>
      <c r="P837" s="292">
        <f t="shared" si="2"/>
        <v>0</v>
      </c>
      <c r="Q837" s="289"/>
      <c r="R837" s="289"/>
      <c r="S837" s="293">
        <f t="shared" si="62"/>
        <v>0</v>
      </c>
      <c r="T837" s="294"/>
      <c r="U837" s="295" t="str">
        <f>IFERROR(VLOOKUP(G837,'KL NÒNG ỐNG'!$B$2:$E$16,4,0)*I837*V837,"")</f>
        <v/>
      </c>
      <c r="V837" s="296"/>
      <c r="W837" s="297"/>
      <c r="X837" s="298"/>
      <c r="Y837" s="292" t="str">
        <f t="shared" si="69"/>
        <v/>
      </c>
      <c r="Z837" s="366">
        <f t="shared" si="70"/>
        <v>0</v>
      </c>
      <c r="AA837" s="299" t="str">
        <f t="shared" si="71"/>
        <v/>
      </c>
      <c r="AB837" s="300"/>
      <c r="AC837" s="301"/>
      <c r="AD837" s="302"/>
      <c r="AE837" s="303"/>
      <c r="AF837" s="304"/>
      <c r="AG837" s="304"/>
      <c r="AH837" s="304"/>
      <c r="AI837" s="304"/>
      <c r="AJ837" s="304"/>
      <c r="AK837" s="305"/>
      <c r="AL837" s="283"/>
      <c r="AM837" s="284"/>
    </row>
    <row r="838" ht="15.75" customHeight="1">
      <c r="A838" s="282">
        <f t="shared" si="1"/>
        <v>834</v>
      </c>
      <c r="B838" s="283"/>
      <c r="C838" s="284"/>
      <c r="D838" s="338"/>
      <c r="E838" s="286"/>
      <c r="F838" s="287"/>
      <c r="G838" s="288" t="str">
        <f>+IFERROR(VLOOKUP(F838,NVL!$B:$C,2,0),"")</f>
        <v/>
      </c>
      <c r="H838" s="288" t="str">
        <f>+IFERROR(VLOOKUP(F838,NVL!$B:$D,3,0),"")</f>
        <v/>
      </c>
      <c r="I838" s="288" t="str">
        <f>+IFERROR(VLOOKUP(F838,NVL!$B:$F,4,0),"")</f>
        <v/>
      </c>
      <c r="J838" s="289"/>
      <c r="K838" s="290"/>
      <c r="L838" s="291" t="str">
        <f>+IFERROR(VLOOKUP(K838,'THÀNH PHẨM'!$B:$F,3,0),"")</f>
        <v/>
      </c>
      <c r="M838" s="291" t="str">
        <f>+IFERROR(VLOOKUP(K838,'THÀNH PHẨM'!$B:$F,4,0),"")</f>
        <v/>
      </c>
      <c r="N838" s="291" t="str">
        <f>+IFERROR(VLOOKUP(K838,'THÀNH PHẨM'!$B:$F,5,0),"")</f>
        <v/>
      </c>
      <c r="O838" s="289"/>
      <c r="P838" s="292">
        <f t="shared" si="2"/>
        <v>0</v>
      </c>
      <c r="Q838" s="289"/>
      <c r="R838" s="289"/>
      <c r="S838" s="293">
        <f t="shared" si="62"/>
        <v>0</v>
      </c>
      <c r="T838" s="294"/>
      <c r="U838" s="295" t="str">
        <f>IFERROR(VLOOKUP(G838,'KL NÒNG ỐNG'!$B$2:$E$16,4,0)*I838*V838,"")</f>
        <v/>
      </c>
      <c r="V838" s="296"/>
      <c r="W838" s="297"/>
      <c r="X838" s="298"/>
      <c r="Y838" s="292" t="str">
        <f t="shared" si="69"/>
        <v/>
      </c>
      <c r="Z838" s="366">
        <f t="shared" si="70"/>
        <v>0</v>
      </c>
      <c r="AA838" s="299" t="str">
        <f t="shared" si="71"/>
        <v/>
      </c>
      <c r="AB838" s="300"/>
      <c r="AC838" s="301"/>
      <c r="AD838" s="302"/>
      <c r="AE838" s="303"/>
      <c r="AF838" s="304"/>
      <c r="AG838" s="304"/>
      <c r="AH838" s="304"/>
      <c r="AI838" s="304"/>
      <c r="AJ838" s="304"/>
      <c r="AK838" s="305"/>
      <c r="AL838" s="283"/>
      <c r="AM838" s="284"/>
    </row>
    <row r="839" ht="15.75" customHeight="1">
      <c r="A839" s="282">
        <f t="shared" si="1"/>
        <v>835</v>
      </c>
      <c r="B839" s="283"/>
      <c r="C839" s="284"/>
      <c r="D839" s="338"/>
      <c r="E839" s="286"/>
      <c r="F839" s="287"/>
      <c r="G839" s="288" t="str">
        <f>+IFERROR(VLOOKUP(F839,NVL!$B:$C,2,0),"")</f>
        <v/>
      </c>
      <c r="H839" s="288" t="str">
        <f>+IFERROR(VLOOKUP(F839,NVL!$B:$D,3,0),"")</f>
        <v/>
      </c>
      <c r="I839" s="288" t="str">
        <f>+IFERROR(VLOOKUP(F839,NVL!$B:$F,4,0),"")</f>
        <v/>
      </c>
      <c r="J839" s="289"/>
      <c r="K839" s="290"/>
      <c r="L839" s="291" t="str">
        <f>+IFERROR(VLOOKUP(K839,'THÀNH PHẨM'!$B:$F,3,0),"")</f>
        <v/>
      </c>
      <c r="M839" s="291" t="str">
        <f>+IFERROR(VLOOKUP(K839,'THÀNH PHẨM'!$B:$F,4,0),"")</f>
        <v/>
      </c>
      <c r="N839" s="291" t="str">
        <f>+IFERROR(VLOOKUP(K839,'THÀNH PHẨM'!$B:$F,5,0),"")</f>
        <v/>
      </c>
      <c r="O839" s="289"/>
      <c r="P839" s="292">
        <f t="shared" si="2"/>
        <v>0</v>
      </c>
      <c r="Q839" s="289"/>
      <c r="R839" s="289"/>
      <c r="S839" s="293">
        <f t="shared" si="62"/>
        <v>0</v>
      </c>
      <c r="T839" s="294"/>
      <c r="U839" s="295" t="str">
        <f>IFERROR(VLOOKUP(G839,'KL NÒNG ỐNG'!$B$2:$E$16,4,0)*I839*V839,"")</f>
        <v/>
      </c>
      <c r="V839" s="296"/>
      <c r="W839" s="297"/>
      <c r="X839" s="298"/>
      <c r="Y839" s="292" t="str">
        <f t="shared" si="69"/>
        <v/>
      </c>
      <c r="Z839" s="366">
        <f t="shared" si="70"/>
        <v>0</v>
      </c>
      <c r="AA839" s="299" t="str">
        <f t="shared" si="71"/>
        <v/>
      </c>
      <c r="AB839" s="300"/>
      <c r="AC839" s="301"/>
      <c r="AD839" s="302"/>
      <c r="AE839" s="303"/>
      <c r="AF839" s="304"/>
      <c r="AG839" s="304"/>
      <c r="AH839" s="304"/>
      <c r="AI839" s="304"/>
      <c r="AJ839" s="304"/>
      <c r="AK839" s="305"/>
      <c r="AL839" s="283"/>
      <c r="AM839" s="284"/>
    </row>
    <row r="840" ht="15.75" customHeight="1">
      <c r="A840" s="282">
        <f t="shared" si="1"/>
        <v>836</v>
      </c>
      <c r="B840" s="283"/>
      <c r="C840" s="284"/>
      <c r="D840" s="338"/>
      <c r="E840" s="286"/>
      <c r="F840" s="287"/>
      <c r="G840" s="288" t="str">
        <f>+IFERROR(VLOOKUP(F840,NVL!$B:$C,2,0),"")</f>
        <v/>
      </c>
      <c r="H840" s="288" t="str">
        <f>+IFERROR(VLOOKUP(F840,NVL!$B:$D,3,0),"")</f>
        <v/>
      </c>
      <c r="I840" s="288" t="str">
        <f>+IFERROR(VLOOKUP(F840,NVL!$B:$F,4,0),"")</f>
        <v/>
      </c>
      <c r="J840" s="289"/>
      <c r="K840" s="290"/>
      <c r="L840" s="291" t="str">
        <f>+IFERROR(VLOOKUP(K840,'THÀNH PHẨM'!$B:$F,3,0),"")</f>
        <v/>
      </c>
      <c r="M840" s="291" t="str">
        <f>+IFERROR(VLOOKUP(K840,'THÀNH PHẨM'!$B:$F,4,0),"")</f>
        <v/>
      </c>
      <c r="N840" s="291" t="str">
        <f>+IFERROR(VLOOKUP(K840,'THÀNH PHẨM'!$B:$F,5,0),"")</f>
        <v/>
      </c>
      <c r="O840" s="289"/>
      <c r="P840" s="292">
        <f t="shared" si="2"/>
        <v>0</v>
      </c>
      <c r="Q840" s="289"/>
      <c r="R840" s="289"/>
      <c r="S840" s="293">
        <f t="shared" si="62"/>
        <v>0</v>
      </c>
      <c r="T840" s="294"/>
      <c r="U840" s="295" t="str">
        <f>IFERROR(VLOOKUP(G840,'KL NÒNG ỐNG'!$B$2:$E$16,4,0)*I840*V840,"")</f>
        <v/>
      </c>
      <c r="V840" s="296"/>
      <c r="W840" s="297"/>
      <c r="X840" s="298"/>
      <c r="Y840" s="292" t="str">
        <f t="shared" si="69"/>
        <v/>
      </c>
      <c r="Z840" s="366">
        <f t="shared" si="70"/>
        <v>0</v>
      </c>
      <c r="AA840" s="299" t="str">
        <f t="shared" si="71"/>
        <v/>
      </c>
      <c r="AB840" s="300"/>
      <c r="AC840" s="301"/>
      <c r="AD840" s="302"/>
      <c r="AE840" s="303"/>
      <c r="AF840" s="304"/>
      <c r="AG840" s="304"/>
      <c r="AH840" s="304"/>
      <c r="AI840" s="304"/>
      <c r="AJ840" s="304"/>
      <c r="AK840" s="305"/>
      <c r="AL840" s="283"/>
      <c r="AM840" s="284"/>
    </row>
    <row r="841" ht="15.75" customHeight="1">
      <c r="A841" s="282">
        <f t="shared" si="1"/>
        <v>837</v>
      </c>
      <c r="B841" s="283"/>
      <c r="C841" s="284"/>
      <c r="D841" s="338"/>
      <c r="E841" s="286"/>
      <c r="F841" s="287"/>
      <c r="G841" s="288" t="str">
        <f>+IFERROR(VLOOKUP(F841,NVL!$B:$C,2,0),"")</f>
        <v/>
      </c>
      <c r="H841" s="288" t="str">
        <f>+IFERROR(VLOOKUP(F841,NVL!$B:$D,3,0),"")</f>
        <v/>
      </c>
      <c r="I841" s="288" t="str">
        <f>+IFERROR(VLOOKUP(F841,NVL!$B:$F,4,0),"")</f>
        <v/>
      </c>
      <c r="J841" s="289"/>
      <c r="K841" s="290"/>
      <c r="L841" s="291" t="str">
        <f>+IFERROR(VLOOKUP(K841,'THÀNH PHẨM'!$B:$F,3,0),"")</f>
        <v/>
      </c>
      <c r="M841" s="291" t="str">
        <f>+IFERROR(VLOOKUP(K841,'THÀNH PHẨM'!$B:$F,4,0),"")</f>
        <v/>
      </c>
      <c r="N841" s="291" t="str">
        <f>+IFERROR(VLOOKUP(K841,'THÀNH PHẨM'!$B:$F,5,0),"")</f>
        <v/>
      </c>
      <c r="O841" s="289"/>
      <c r="P841" s="292">
        <f t="shared" si="2"/>
        <v>0</v>
      </c>
      <c r="Q841" s="289"/>
      <c r="R841" s="289"/>
      <c r="S841" s="293">
        <f t="shared" si="62"/>
        <v>0</v>
      </c>
      <c r="T841" s="294"/>
      <c r="U841" s="295" t="str">
        <f>IFERROR(VLOOKUP(G841,'KL NÒNG ỐNG'!$B$2:$E$16,4,0)*I841*V841,"")</f>
        <v/>
      </c>
      <c r="V841" s="296"/>
      <c r="W841" s="297"/>
      <c r="X841" s="298"/>
      <c r="Y841" s="292" t="str">
        <f t="shared" si="69"/>
        <v/>
      </c>
      <c r="Z841" s="366">
        <f t="shared" si="70"/>
        <v>0</v>
      </c>
      <c r="AA841" s="299" t="str">
        <f t="shared" si="71"/>
        <v/>
      </c>
      <c r="AB841" s="300"/>
      <c r="AC841" s="301"/>
      <c r="AD841" s="302"/>
      <c r="AE841" s="303"/>
      <c r="AF841" s="304"/>
      <c r="AG841" s="304"/>
      <c r="AH841" s="304"/>
      <c r="AI841" s="304"/>
      <c r="AJ841" s="304"/>
      <c r="AK841" s="305"/>
      <c r="AL841" s="283"/>
      <c r="AM841" s="284"/>
    </row>
    <row r="842" ht="15.75" customHeight="1">
      <c r="A842" s="282">
        <f t="shared" si="1"/>
        <v>838</v>
      </c>
      <c r="B842" s="283"/>
      <c r="C842" s="284"/>
      <c r="D842" s="338"/>
      <c r="E842" s="286"/>
      <c r="F842" s="287"/>
      <c r="G842" s="288" t="str">
        <f>+IFERROR(VLOOKUP(F842,NVL!$B:$C,2,0),"")</f>
        <v/>
      </c>
      <c r="H842" s="288" t="str">
        <f>+IFERROR(VLOOKUP(F842,NVL!$B:$D,3,0),"")</f>
        <v/>
      </c>
      <c r="I842" s="288" t="str">
        <f>+IFERROR(VLOOKUP(F842,NVL!$B:$F,4,0),"")</f>
        <v/>
      </c>
      <c r="J842" s="289"/>
      <c r="K842" s="290"/>
      <c r="L842" s="291" t="str">
        <f>+IFERROR(VLOOKUP(K842,'THÀNH PHẨM'!$B:$F,3,0),"")</f>
        <v/>
      </c>
      <c r="M842" s="291" t="str">
        <f>+IFERROR(VLOOKUP(K842,'THÀNH PHẨM'!$B:$F,4,0),"")</f>
        <v/>
      </c>
      <c r="N842" s="291" t="str">
        <f>+IFERROR(VLOOKUP(K842,'THÀNH PHẨM'!$B:$F,5,0),"")</f>
        <v/>
      </c>
      <c r="O842" s="289"/>
      <c r="P842" s="292">
        <f t="shared" si="2"/>
        <v>0</v>
      </c>
      <c r="Q842" s="289"/>
      <c r="R842" s="289"/>
      <c r="S842" s="293">
        <f t="shared" si="62"/>
        <v>0</v>
      </c>
      <c r="T842" s="294"/>
      <c r="U842" s="295" t="str">
        <f>IFERROR(VLOOKUP(G842,'KL NÒNG ỐNG'!$B$2:$E$16,4,0)*I842*V842,"")</f>
        <v/>
      </c>
      <c r="V842" s="296"/>
      <c r="W842" s="297"/>
      <c r="X842" s="298"/>
      <c r="Y842" s="292" t="str">
        <f t="shared" si="69"/>
        <v/>
      </c>
      <c r="Z842" s="366">
        <f t="shared" si="70"/>
        <v>0</v>
      </c>
      <c r="AA842" s="299" t="str">
        <f t="shared" si="71"/>
        <v/>
      </c>
      <c r="AB842" s="300"/>
      <c r="AC842" s="301"/>
      <c r="AD842" s="302"/>
      <c r="AE842" s="303"/>
      <c r="AF842" s="304"/>
      <c r="AG842" s="304"/>
      <c r="AH842" s="304"/>
      <c r="AI842" s="304"/>
      <c r="AJ842" s="304"/>
      <c r="AK842" s="305"/>
      <c r="AL842" s="283"/>
      <c r="AM842" s="284"/>
    </row>
    <row r="843" ht="15.75" customHeight="1">
      <c r="A843" s="282">
        <f t="shared" si="1"/>
        <v>839</v>
      </c>
      <c r="B843" s="283"/>
      <c r="C843" s="284"/>
      <c r="D843" s="338"/>
      <c r="E843" s="286"/>
      <c r="F843" s="287"/>
      <c r="G843" s="288" t="str">
        <f>+IFERROR(VLOOKUP(F843,NVL!$B:$C,2,0),"")</f>
        <v/>
      </c>
      <c r="H843" s="288" t="str">
        <f>+IFERROR(VLOOKUP(F843,NVL!$B:$D,3,0),"")</f>
        <v/>
      </c>
      <c r="I843" s="288" t="str">
        <f>+IFERROR(VLOOKUP(F843,NVL!$B:$F,4,0),"")</f>
        <v/>
      </c>
      <c r="J843" s="289"/>
      <c r="K843" s="290"/>
      <c r="L843" s="291" t="str">
        <f>+IFERROR(VLOOKUP(K843,'THÀNH PHẨM'!$B:$F,3,0),"")</f>
        <v/>
      </c>
      <c r="M843" s="291" t="str">
        <f>+IFERROR(VLOOKUP(K843,'THÀNH PHẨM'!$B:$F,4,0),"")</f>
        <v/>
      </c>
      <c r="N843" s="291" t="str">
        <f>+IFERROR(VLOOKUP(K843,'THÀNH PHẨM'!$B:$F,5,0),"")</f>
        <v/>
      </c>
      <c r="O843" s="289"/>
      <c r="P843" s="292">
        <f t="shared" si="2"/>
        <v>0</v>
      </c>
      <c r="Q843" s="289"/>
      <c r="R843" s="289"/>
      <c r="S843" s="293">
        <f t="shared" si="62"/>
        <v>0</v>
      </c>
      <c r="T843" s="294"/>
      <c r="U843" s="295" t="str">
        <f>IFERROR(VLOOKUP(G843,'KL NÒNG ỐNG'!$B$2:$E$16,4,0)*I843*V843,"")</f>
        <v/>
      </c>
      <c r="V843" s="296"/>
      <c r="W843" s="297"/>
      <c r="X843" s="298"/>
      <c r="Y843" s="292" t="str">
        <f t="shared" si="69"/>
        <v/>
      </c>
      <c r="Z843" s="366">
        <f t="shared" si="70"/>
        <v>0</v>
      </c>
      <c r="AA843" s="299" t="str">
        <f t="shared" si="71"/>
        <v/>
      </c>
      <c r="AB843" s="300"/>
      <c r="AC843" s="301"/>
      <c r="AD843" s="302"/>
      <c r="AE843" s="303"/>
      <c r="AF843" s="304"/>
      <c r="AG843" s="304"/>
      <c r="AH843" s="304"/>
      <c r="AI843" s="304"/>
      <c r="AJ843" s="304"/>
      <c r="AK843" s="305"/>
      <c r="AL843" s="283"/>
      <c r="AM843" s="284"/>
    </row>
    <row r="844" ht="15.75" customHeight="1">
      <c r="A844" s="282">
        <f t="shared" si="1"/>
        <v>840</v>
      </c>
      <c r="B844" s="283"/>
      <c r="C844" s="284"/>
      <c r="D844" s="338"/>
      <c r="E844" s="286"/>
      <c r="F844" s="287"/>
      <c r="G844" s="288" t="str">
        <f>+IFERROR(VLOOKUP(F844,NVL!$B:$C,2,0),"")</f>
        <v/>
      </c>
      <c r="H844" s="288" t="str">
        <f>+IFERROR(VLOOKUP(F844,NVL!$B:$D,3,0),"")</f>
        <v/>
      </c>
      <c r="I844" s="288" t="str">
        <f>+IFERROR(VLOOKUP(F844,NVL!$B:$F,4,0),"")</f>
        <v/>
      </c>
      <c r="J844" s="289"/>
      <c r="K844" s="290"/>
      <c r="L844" s="291" t="str">
        <f>+IFERROR(VLOOKUP(K844,'THÀNH PHẨM'!$B:$F,3,0),"")</f>
        <v/>
      </c>
      <c r="M844" s="291" t="str">
        <f>+IFERROR(VLOOKUP(K844,'THÀNH PHẨM'!$B:$F,4,0),"")</f>
        <v/>
      </c>
      <c r="N844" s="291" t="str">
        <f>+IFERROR(VLOOKUP(K844,'THÀNH PHẨM'!$B:$F,5,0),"")</f>
        <v/>
      </c>
      <c r="O844" s="289"/>
      <c r="P844" s="292">
        <f t="shared" si="2"/>
        <v>0</v>
      </c>
      <c r="Q844" s="289"/>
      <c r="R844" s="289"/>
      <c r="S844" s="293">
        <f t="shared" si="62"/>
        <v>0</v>
      </c>
      <c r="T844" s="294"/>
      <c r="U844" s="295" t="str">
        <f>IFERROR(VLOOKUP(G844,'KL NÒNG ỐNG'!$B$2:$E$16,4,0)*I844*V844,"")</f>
        <v/>
      </c>
      <c r="V844" s="296"/>
      <c r="W844" s="297"/>
      <c r="X844" s="298"/>
      <c r="Y844" s="292" t="str">
        <f t="shared" si="69"/>
        <v/>
      </c>
      <c r="Z844" s="366">
        <f t="shared" si="70"/>
        <v>0</v>
      </c>
      <c r="AA844" s="299" t="str">
        <f t="shared" si="71"/>
        <v/>
      </c>
      <c r="AB844" s="300"/>
      <c r="AC844" s="301"/>
      <c r="AD844" s="302"/>
      <c r="AE844" s="303"/>
      <c r="AF844" s="304"/>
      <c r="AG844" s="304"/>
      <c r="AH844" s="304"/>
      <c r="AI844" s="304"/>
      <c r="AJ844" s="304"/>
      <c r="AK844" s="305"/>
      <c r="AL844" s="283"/>
      <c r="AM844" s="284"/>
    </row>
    <row r="845" ht="15.75" customHeight="1">
      <c r="A845" s="282">
        <f t="shared" si="1"/>
        <v>841</v>
      </c>
      <c r="B845" s="283"/>
      <c r="C845" s="284"/>
      <c r="D845" s="338"/>
      <c r="E845" s="286"/>
      <c r="F845" s="287"/>
      <c r="G845" s="288" t="str">
        <f>+IFERROR(VLOOKUP(F845,NVL!$B:$C,2,0),"")</f>
        <v/>
      </c>
      <c r="H845" s="288" t="str">
        <f>+IFERROR(VLOOKUP(F845,NVL!$B:$D,3,0),"")</f>
        <v/>
      </c>
      <c r="I845" s="288" t="str">
        <f>+IFERROR(VLOOKUP(F845,NVL!$B:$F,4,0),"")</f>
        <v/>
      </c>
      <c r="J845" s="289"/>
      <c r="K845" s="290"/>
      <c r="L845" s="291" t="str">
        <f>+IFERROR(VLOOKUP(K845,'THÀNH PHẨM'!$B:$F,3,0),"")</f>
        <v/>
      </c>
      <c r="M845" s="291" t="str">
        <f>+IFERROR(VLOOKUP(K845,'THÀNH PHẨM'!$B:$F,4,0),"")</f>
        <v/>
      </c>
      <c r="N845" s="291" t="str">
        <f>+IFERROR(VLOOKUP(K845,'THÀNH PHẨM'!$B:$F,5,0),"")</f>
        <v/>
      </c>
      <c r="O845" s="289"/>
      <c r="P845" s="292">
        <f t="shared" si="2"/>
        <v>0</v>
      </c>
      <c r="Q845" s="289"/>
      <c r="R845" s="289"/>
      <c r="S845" s="293">
        <f t="shared" si="62"/>
        <v>0</v>
      </c>
      <c r="T845" s="294"/>
      <c r="U845" s="295" t="str">
        <f>IFERROR(VLOOKUP(G845,'KL NÒNG ỐNG'!$B$2:$E$16,4,0)*I845*V845,"")</f>
        <v/>
      </c>
      <c r="V845" s="296"/>
      <c r="W845" s="297"/>
      <c r="X845" s="298"/>
      <c r="Y845" s="292" t="str">
        <f t="shared" si="69"/>
        <v/>
      </c>
      <c r="Z845" s="366">
        <f t="shared" si="70"/>
        <v>0</v>
      </c>
      <c r="AA845" s="299" t="str">
        <f t="shared" si="71"/>
        <v/>
      </c>
      <c r="AB845" s="300"/>
      <c r="AC845" s="301"/>
      <c r="AD845" s="302"/>
      <c r="AE845" s="303"/>
      <c r="AF845" s="304"/>
      <c r="AG845" s="304"/>
      <c r="AH845" s="304"/>
      <c r="AI845" s="304"/>
      <c r="AJ845" s="304"/>
      <c r="AK845" s="305"/>
      <c r="AL845" s="283"/>
      <c r="AM845" s="284"/>
    </row>
    <row r="846" ht="15.75" customHeight="1">
      <c r="A846" s="282">
        <f t="shared" si="1"/>
        <v>842</v>
      </c>
      <c r="B846" s="283"/>
      <c r="C846" s="284"/>
      <c r="D846" s="338"/>
      <c r="E846" s="286"/>
      <c r="F846" s="287"/>
      <c r="G846" s="288" t="str">
        <f>+IFERROR(VLOOKUP(F846,NVL!$B:$C,2,0),"")</f>
        <v/>
      </c>
      <c r="H846" s="288" t="str">
        <f>+IFERROR(VLOOKUP(F846,NVL!$B:$D,3,0),"")</f>
        <v/>
      </c>
      <c r="I846" s="288" t="str">
        <f>+IFERROR(VLOOKUP(F846,NVL!$B:$F,4,0),"")</f>
        <v/>
      </c>
      <c r="J846" s="289"/>
      <c r="K846" s="290"/>
      <c r="L846" s="291" t="str">
        <f>+IFERROR(VLOOKUP(K846,'THÀNH PHẨM'!$B:$F,3,0),"")</f>
        <v/>
      </c>
      <c r="M846" s="291" t="str">
        <f>+IFERROR(VLOOKUP(K846,'THÀNH PHẨM'!$B:$F,4,0),"")</f>
        <v/>
      </c>
      <c r="N846" s="291" t="str">
        <f>+IFERROR(VLOOKUP(K846,'THÀNH PHẨM'!$B:$F,5,0),"")</f>
        <v/>
      </c>
      <c r="O846" s="289"/>
      <c r="P846" s="292">
        <f t="shared" si="2"/>
        <v>0</v>
      </c>
      <c r="Q846" s="289"/>
      <c r="R846" s="289"/>
      <c r="S846" s="293">
        <f t="shared" si="62"/>
        <v>0</v>
      </c>
      <c r="T846" s="294"/>
      <c r="U846" s="295" t="str">
        <f>IFERROR(VLOOKUP(G846,'KL NÒNG ỐNG'!$B$2:$E$16,4,0)*I846*V846,"")</f>
        <v/>
      </c>
      <c r="V846" s="296"/>
      <c r="W846" s="297"/>
      <c r="X846" s="298"/>
      <c r="Y846" s="292" t="str">
        <f t="shared" si="69"/>
        <v/>
      </c>
      <c r="Z846" s="366">
        <f t="shared" si="70"/>
        <v>0</v>
      </c>
      <c r="AA846" s="299" t="str">
        <f t="shared" si="71"/>
        <v/>
      </c>
      <c r="AB846" s="300"/>
      <c r="AC846" s="301"/>
      <c r="AD846" s="302"/>
      <c r="AE846" s="303"/>
      <c r="AF846" s="304"/>
      <c r="AG846" s="304"/>
      <c r="AH846" s="304"/>
      <c r="AI846" s="304"/>
      <c r="AJ846" s="304"/>
      <c r="AK846" s="305"/>
      <c r="AL846" s="283"/>
      <c r="AM846" s="284"/>
    </row>
    <row r="847" ht="15.75" customHeight="1">
      <c r="A847" s="282">
        <f t="shared" si="1"/>
        <v>843</v>
      </c>
      <c r="B847" s="283"/>
      <c r="C847" s="284"/>
      <c r="D847" s="338"/>
      <c r="E847" s="286"/>
      <c r="F847" s="287"/>
      <c r="G847" s="288" t="str">
        <f>+IFERROR(VLOOKUP(F847,NVL!$B:$C,2,0),"")</f>
        <v/>
      </c>
      <c r="H847" s="288" t="str">
        <f>+IFERROR(VLOOKUP(F847,NVL!$B:$D,3,0),"")</f>
        <v/>
      </c>
      <c r="I847" s="288" t="str">
        <f>+IFERROR(VLOOKUP(F847,NVL!$B:$F,4,0),"")</f>
        <v/>
      </c>
      <c r="J847" s="289"/>
      <c r="K847" s="290"/>
      <c r="L847" s="291" t="str">
        <f>+IFERROR(VLOOKUP(K847,'THÀNH PHẨM'!$B:$F,3,0),"")</f>
        <v/>
      </c>
      <c r="M847" s="291" t="str">
        <f>+IFERROR(VLOOKUP(K847,'THÀNH PHẨM'!$B:$F,4,0),"")</f>
        <v/>
      </c>
      <c r="N847" s="291" t="str">
        <f>+IFERROR(VLOOKUP(K847,'THÀNH PHẨM'!$B:$F,5,0),"")</f>
        <v/>
      </c>
      <c r="O847" s="289"/>
      <c r="P847" s="292">
        <f t="shared" si="2"/>
        <v>0</v>
      </c>
      <c r="Q847" s="289"/>
      <c r="R847" s="289"/>
      <c r="S847" s="293">
        <f t="shared" si="62"/>
        <v>0</v>
      </c>
      <c r="T847" s="294"/>
      <c r="U847" s="295" t="str">
        <f>IFERROR(VLOOKUP(G847,'KL NÒNG ỐNG'!$B$2:$E$16,4,0)*I847*V847,"")</f>
        <v/>
      </c>
      <c r="V847" s="296"/>
      <c r="W847" s="297"/>
      <c r="X847" s="298"/>
      <c r="Y847" s="292" t="str">
        <f t="shared" si="69"/>
        <v/>
      </c>
      <c r="Z847" s="366">
        <f t="shared" si="70"/>
        <v>0</v>
      </c>
      <c r="AA847" s="299" t="str">
        <f t="shared" si="71"/>
        <v/>
      </c>
      <c r="AB847" s="300"/>
      <c r="AC847" s="301"/>
      <c r="AD847" s="302"/>
      <c r="AE847" s="303"/>
      <c r="AF847" s="304"/>
      <c r="AG847" s="304"/>
      <c r="AH847" s="304"/>
      <c r="AI847" s="304"/>
      <c r="AJ847" s="304"/>
      <c r="AK847" s="305"/>
      <c r="AL847" s="283"/>
      <c r="AM847" s="284"/>
    </row>
    <row r="848" ht="15.75" customHeight="1">
      <c r="A848" s="282">
        <f t="shared" si="1"/>
        <v>844</v>
      </c>
      <c r="B848" s="283"/>
      <c r="C848" s="284"/>
      <c r="D848" s="338"/>
      <c r="E848" s="286"/>
      <c r="F848" s="287"/>
      <c r="G848" s="288" t="str">
        <f>+IFERROR(VLOOKUP(F848,NVL!$B:$C,2,0),"")</f>
        <v/>
      </c>
      <c r="H848" s="288" t="str">
        <f>+IFERROR(VLOOKUP(F848,NVL!$B:$D,3,0),"")</f>
        <v/>
      </c>
      <c r="I848" s="288" t="str">
        <f>+IFERROR(VLOOKUP(F848,NVL!$B:$F,4,0),"")</f>
        <v/>
      </c>
      <c r="J848" s="289"/>
      <c r="K848" s="290"/>
      <c r="L848" s="291" t="str">
        <f>+IFERROR(VLOOKUP(K848,'THÀNH PHẨM'!$B:$F,3,0),"")</f>
        <v/>
      </c>
      <c r="M848" s="291" t="str">
        <f>+IFERROR(VLOOKUP(K848,'THÀNH PHẨM'!$B:$F,4,0),"")</f>
        <v/>
      </c>
      <c r="N848" s="291" t="str">
        <f>+IFERROR(VLOOKUP(K848,'THÀNH PHẨM'!$B:$F,5,0),"")</f>
        <v/>
      </c>
      <c r="O848" s="289"/>
      <c r="P848" s="292">
        <f t="shared" si="2"/>
        <v>0</v>
      </c>
      <c r="Q848" s="289"/>
      <c r="R848" s="289"/>
      <c r="S848" s="293">
        <f t="shared" si="62"/>
        <v>0</v>
      </c>
      <c r="T848" s="294"/>
      <c r="U848" s="295" t="str">
        <f>IFERROR(VLOOKUP(G848,'KL NÒNG ỐNG'!$B$2:$E$16,4,0)*I848*V848,"")</f>
        <v/>
      </c>
      <c r="V848" s="296"/>
      <c r="W848" s="297"/>
      <c r="X848" s="298"/>
      <c r="Y848" s="292" t="str">
        <f t="shared" si="69"/>
        <v/>
      </c>
      <c r="Z848" s="366">
        <f t="shared" si="70"/>
        <v>0</v>
      </c>
      <c r="AA848" s="299" t="str">
        <f t="shared" si="71"/>
        <v/>
      </c>
      <c r="AB848" s="300"/>
      <c r="AC848" s="301"/>
      <c r="AD848" s="302"/>
      <c r="AE848" s="303"/>
      <c r="AF848" s="304"/>
      <c r="AG848" s="304"/>
      <c r="AH848" s="304"/>
      <c r="AI848" s="304"/>
      <c r="AJ848" s="304"/>
      <c r="AK848" s="305"/>
      <c r="AL848" s="283"/>
      <c r="AM848" s="284"/>
    </row>
    <row r="849" ht="15.75" customHeight="1">
      <c r="A849" s="282">
        <f t="shared" si="1"/>
        <v>845</v>
      </c>
      <c r="B849" s="283"/>
      <c r="C849" s="284"/>
      <c r="D849" s="338"/>
      <c r="E849" s="286"/>
      <c r="F849" s="287"/>
      <c r="G849" s="288" t="str">
        <f>+IFERROR(VLOOKUP(F849,NVL!$B:$C,2,0),"")</f>
        <v/>
      </c>
      <c r="H849" s="288" t="str">
        <f>+IFERROR(VLOOKUP(F849,NVL!$B:$D,3,0),"")</f>
        <v/>
      </c>
      <c r="I849" s="288" t="str">
        <f>+IFERROR(VLOOKUP(F849,NVL!$B:$F,4,0),"")</f>
        <v/>
      </c>
      <c r="J849" s="289"/>
      <c r="K849" s="290"/>
      <c r="L849" s="291" t="str">
        <f>+IFERROR(VLOOKUP(K849,'THÀNH PHẨM'!$B:$F,3,0),"")</f>
        <v/>
      </c>
      <c r="M849" s="291" t="str">
        <f>+IFERROR(VLOOKUP(K849,'THÀNH PHẨM'!$B:$F,4,0),"")</f>
        <v/>
      </c>
      <c r="N849" s="291" t="str">
        <f>+IFERROR(VLOOKUP(K849,'THÀNH PHẨM'!$B:$F,5,0),"")</f>
        <v/>
      </c>
      <c r="O849" s="289"/>
      <c r="P849" s="292">
        <f t="shared" si="2"/>
        <v>0</v>
      </c>
      <c r="Q849" s="289"/>
      <c r="R849" s="289"/>
      <c r="S849" s="293">
        <f t="shared" si="62"/>
        <v>0</v>
      </c>
      <c r="T849" s="294"/>
      <c r="U849" s="295" t="str">
        <f>IFERROR(VLOOKUP(G849,'KL NÒNG ỐNG'!$B$2:$E$16,4,0)*I849*V849,"")</f>
        <v/>
      </c>
      <c r="V849" s="296"/>
      <c r="W849" s="297"/>
      <c r="X849" s="298"/>
      <c r="Y849" s="292" t="str">
        <f t="shared" si="69"/>
        <v/>
      </c>
      <c r="Z849" s="366">
        <f t="shared" si="70"/>
        <v>0</v>
      </c>
      <c r="AA849" s="299" t="str">
        <f t="shared" si="71"/>
        <v/>
      </c>
      <c r="AB849" s="300"/>
      <c r="AC849" s="301"/>
      <c r="AD849" s="302"/>
      <c r="AE849" s="303"/>
      <c r="AF849" s="304"/>
      <c r="AG849" s="304"/>
      <c r="AH849" s="304"/>
      <c r="AI849" s="304"/>
      <c r="AJ849" s="304"/>
      <c r="AK849" s="305"/>
      <c r="AL849" s="283"/>
      <c r="AM849" s="284"/>
    </row>
    <row r="850" ht="15.75" customHeight="1">
      <c r="A850" s="282">
        <f t="shared" si="1"/>
        <v>846</v>
      </c>
      <c r="B850" s="283"/>
      <c r="C850" s="284"/>
      <c r="D850" s="338"/>
      <c r="E850" s="286"/>
      <c r="F850" s="287"/>
      <c r="G850" s="288" t="str">
        <f>+IFERROR(VLOOKUP(F850,NVL!$B:$C,2,0),"")</f>
        <v/>
      </c>
      <c r="H850" s="288" t="str">
        <f>+IFERROR(VLOOKUP(F850,NVL!$B:$D,3,0),"")</f>
        <v/>
      </c>
      <c r="I850" s="288" t="str">
        <f>+IFERROR(VLOOKUP(F850,NVL!$B:$F,4,0),"")</f>
        <v/>
      </c>
      <c r="J850" s="289"/>
      <c r="K850" s="290"/>
      <c r="L850" s="291" t="str">
        <f>+IFERROR(VLOOKUP(K850,'THÀNH PHẨM'!$B:$F,3,0),"")</f>
        <v/>
      </c>
      <c r="M850" s="291" t="str">
        <f>+IFERROR(VLOOKUP(K850,'THÀNH PHẨM'!$B:$F,4,0),"")</f>
        <v/>
      </c>
      <c r="N850" s="291" t="str">
        <f>+IFERROR(VLOOKUP(K850,'THÀNH PHẨM'!$B:$F,5,0),"")</f>
        <v/>
      </c>
      <c r="O850" s="289"/>
      <c r="P850" s="292">
        <f t="shared" si="2"/>
        <v>0</v>
      </c>
      <c r="Q850" s="289"/>
      <c r="R850" s="289"/>
      <c r="S850" s="293">
        <f t="shared" si="62"/>
        <v>0</v>
      </c>
      <c r="T850" s="294"/>
      <c r="U850" s="295" t="str">
        <f>IFERROR(VLOOKUP(G850,'KL NÒNG ỐNG'!$B$2:$E$16,4,0)*I850*V850,"")</f>
        <v/>
      </c>
      <c r="V850" s="296"/>
      <c r="W850" s="297"/>
      <c r="X850" s="298"/>
      <c r="Y850" s="292" t="str">
        <f t="shared" si="69"/>
        <v/>
      </c>
      <c r="Z850" s="366">
        <f t="shared" si="70"/>
        <v>0</v>
      </c>
      <c r="AA850" s="299" t="str">
        <f t="shared" si="71"/>
        <v/>
      </c>
      <c r="AB850" s="300"/>
      <c r="AC850" s="301"/>
      <c r="AD850" s="302"/>
      <c r="AE850" s="303"/>
      <c r="AF850" s="304"/>
      <c r="AG850" s="304"/>
      <c r="AH850" s="304"/>
      <c r="AI850" s="304"/>
      <c r="AJ850" s="304"/>
      <c r="AK850" s="305"/>
      <c r="AL850" s="283"/>
      <c r="AM850" s="284"/>
    </row>
    <row r="851" ht="15.75" customHeight="1">
      <c r="A851" s="282">
        <f t="shared" si="1"/>
        <v>847</v>
      </c>
      <c r="B851" s="283"/>
      <c r="C851" s="284"/>
      <c r="D851" s="338"/>
      <c r="E851" s="286"/>
      <c r="F851" s="287"/>
      <c r="G851" s="288" t="str">
        <f>+IFERROR(VLOOKUP(F851,NVL!$B:$C,2,0),"")</f>
        <v/>
      </c>
      <c r="H851" s="288" t="str">
        <f>+IFERROR(VLOOKUP(F851,NVL!$B:$D,3,0),"")</f>
        <v/>
      </c>
      <c r="I851" s="288" t="str">
        <f>+IFERROR(VLOOKUP(F851,NVL!$B:$F,4,0),"")</f>
        <v/>
      </c>
      <c r="J851" s="289"/>
      <c r="K851" s="290"/>
      <c r="L851" s="291" t="str">
        <f>+IFERROR(VLOOKUP(K851,'THÀNH PHẨM'!$B:$F,3,0),"")</f>
        <v/>
      </c>
      <c r="M851" s="291" t="str">
        <f>+IFERROR(VLOOKUP(K851,'THÀNH PHẨM'!$B:$F,4,0),"")</f>
        <v/>
      </c>
      <c r="N851" s="291" t="str">
        <f>+IFERROR(VLOOKUP(K851,'THÀNH PHẨM'!$B:$F,5,0),"")</f>
        <v/>
      </c>
      <c r="O851" s="289"/>
      <c r="P851" s="292">
        <f t="shared" si="2"/>
        <v>0</v>
      </c>
      <c r="Q851" s="289"/>
      <c r="R851" s="289"/>
      <c r="S851" s="293">
        <f t="shared" si="62"/>
        <v>0</v>
      </c>
      <c r="T851" s="294"/>
      <c r="U851" s="295" t="str">
        <f>IFERROR(VLOOKUP(G851,'KL NÒNG ỐNG'!$B$2:$E$16,4,0)*I851*V851,"")</f>
        <v/>
      </c>
      <c r="V851" s="296"/>
      <c r="W851" s="297"/>
      <c r="X851" s="298"/>
      <c r="Y851" s="292" t="str">
        <f t="shared" si="69"/>
        <v/>
      </c>
      <c r="Z851" s="366">
        <f t="shared" si="70"/>
        <v>0</v>
      </c>
      <c r="AA851" s="299" t="str">
        <f t="shared" si="71"/>
        <v/>
      </c>
      <c r="AB851" s="300"/>
      <c r="AC851" s="301"/>
      <c r="AD851" s="302"/>
      <c r="AE851" s="303"/>
      <c r="AF851" s="304"/>
      <c r="AG851" s="304"/>
      <c r="AH851" s="304"/>
      <c r="AI851" s="304"/>
      <c r="AJ851" s="304"/>
      <c r="AK851" s="305"/>
      <c r="AL851" s="283"/>
      <c r="AM851" s="284"/>
    </row>
    <row r="852" ht="15.75" customHeight="1">
      <c r="A852" s="282">
        <f t="shared" si="1"/>
        <v>848</v>
      </c>
      <c r="B852" s="283"/>
      <c r="C852" s="284"/>
      <c r="D852" s="338"/>
      <c r="E852" s="286"/>
      <c r="F852" s="287"/>
      <c r="G852" s="288" t="str">
        <f>+IFERROR(VLOOKUP(F852,NVL!$B:$C,2,0),"")</f>
        <v/>
      </c>
      <c r="H852" s="288" t="str">
        <f>+IFERROR(VLOOKUP(F852,NVL!$B:$D,3,0),"")</f>
        <v/>
      </c>
      <c r="I852" s="288" t="str">
        <f>+IFERROR(VLOOKUP(F852,NVL!$B:$F,4,0),"")</f>
        <v/>
      </c>
      <c r="J852" s="289"/>
      <c r="K852" s="290"/>
      <c r="L852" s="291" t="str">
        <f>+IFERROR(VLOOKUP(K852,'THÀNH PHẨM'!$B:$F,3,0),"")</f>
        <v/>
      </c>
      <c r="M852" s="291" t="str">
        <f>+IFERROR(VLOOKUP(K852,'THÀNH PHẨM'!$B:$F,4,0),"")</f>
        <v/>
      </c>
      <c r="N852" s="291" t="str">
        <f>+IFERROR(VLOOKUP(K852,'THÀNH PHẨM'!$B:$F,5,0),"")</f>
        <v/>
      </c>
      <c r="O852" s="289"/>
      <c r="P852" s="292">
        <f t="shared" si="2"/>
        <v>0</v>
      </c>
      <c r="Q852" s="289"/>
      <c r="R852" s="289"/>
      <c r="S852" s="293">
        <f t="shared" si="62"/>
        <v>0</v>
      </c>
      <c r="T852" s="294"/>
      <c r="U852" s="295" t="str">
        <f>IFERROR(VLOOKUP(G852,'KL NÒNG ỐNG'!$B$2:$E$16,4,0)*I852*V852,"")</f>
        <v/>
      </c>
      <c r="V852" s="296"/>
      <c r="W852" s="297"/>
      <c r="X852" s="298"/>
      <c r="Y852" s="292" t="str">
        <f t="shared" si="69"/>
        <v/>
      </c>
      <c r="Z852" s="366">
        <f t="shared" si="70"/>
        <v>0</v>
      </c>
      <c r="AA852" s="299" t="str">
        <f t="shared" si="71"/>
        <v/>
      </c>
      <c r="AB852" s="300"/>
      <c r="AC852" s="301"/>
      <c r="AD852" s="302"/>
      <c r="AE852" s="303"/>
      <c r="AF852" s="304"/>
      <c r="AG852" s="304"/>
      <c r="AH852" s="304"/>
      <c r="AI852" s="304"/>
      <c r="AJ852" s="304"/>
      <c r="AK852" s="305"/>
      <c r="AL852" s="283"/>
      <c r="AM852" s="284"/>
    </row>
    <row r="853" ht="15.75" customHeight="1">
      <c r="A853" s="282">
        <f t="shared" si="1"/>
        <v>849</v>
      </c>
      <c r="B853" s="283"/>
      <c r="C853" s="284"/>
      <c r="D853" s="338"/>
      <c r="E853" s="286"/>
      <c r="F853" s="287"/>
      <c r="G853" s="288" t="str">
        <f>+IFERROR(VLOOKUP(F853,NVL!$B:$C,2,0),"")</f>
        <v/>
      </c>
      <c r="H853" s="288" t="str">
        <f>+IFERROR(VLOOKUP(F853,NVL!$B:$D,3,0),"")</f>
        <v/>
      </c>
      <c r="I853" s="288" t="str">
        <f>+IFERROR(VLOOKUP(F853,NVL!$B:$F,4,0),"")</f>
        <v/>
      </c>
      <c r="J853" s="289"/>
      <c r="K853" s="290"/>
      <c r="L853" s="291" t="str">
        <f>+IFERROR(VLOOKUP(K853,'THÀNH PHẨM'!$B:$F,3,0),"")</f>
        <v/>
      </c>
      <c r="M853" s="291" t="str">
        <f>+IFERROR(VLOOKUP(K853,'THÀNH PHẨM'!$B:$F,4,0),"")</f>
        <v/>
      </c>
      <c r="N853" s="291" t="str">
        <f>+IFERROR(VLOOKUP(K853,'THÀNH PHẨM'!$B:$F,5,0),"")</f>
        <v/>
      </c>
      <c r="O853" s="289"/>
      <c r="P853" s="292">
        <f t="shared" si="2"/>
        <v>0</v>
      </c>
      <c r="Q853" s="289"/>
      <c r="R853" s="289"/>
      <c r="S853" s="293">
        <f t="shared" si="62"/>
        <v>0</v>
      </c>
      <c r="T853" s="294"/>
      <c r="U853" s="295" t="str">
        <f>IFERROR(VLOOKUP(G853,'KL NÒNG ỐNG'!$B$2:$E$16,4,0)*I853*V853,"")</f>
        <v/>
      </c>
      <c r="V853" s="296"/>
      <c r="W853" s="297"/>
      <c r="X853" s="298"/>
      <c r="Y853" s="292" t="str">
        <f t="shared" si="69"/>
        <v/>
      </c>
      <c r="Z853" s="366">
        <f t="shared" si="70"/>
        <v>0</v>
      </c>
      <c r="AA853" s="299" t="str">
        <f t="shared" si="71"/>
        <v/>
      </c>
      <c r="AB853" s="300"/>
      <c r="AC853" s="301"/>
      <c r="AD853" s="302"/>
      <c r="AE853" s="303"/>
      <c r="AF853" s="304"/>
      <c r="AG853" s="304"/>
      <c r="AH853" s="304"/>
      <c r="AI853" s="304"/>
      <c r="AJ853" s="304"/>
      <c r="AK853" s="305"/>
      <c r="AL853" s="283"/>
      <c r="AM853" s="284"/>
    </row>
    <row r="854" ht="15.75" customHeight="1">
      <c r="A854" s="282">
        <f t="shared" si="1"/>
        <v>850</v>
      </c>
      <c r="B854" s="283"/>
      <c r="C854" s="284"/>
      <c r="D854" s="338"/>
      <c r="E854" s="286"/>
      <c r="F854" s="287"/>
      <c r="G854" s="288" t="str">
        <f>+IFERROR(VLOOKUP(F854,NVL!$B:$C,2,0),"")</f>
        <v/>
      </c>
      <c r="H854" s="288" t="str">
        <f>+IFERROR(VLOOKUP(F854,NVL!$B:$D,3,0),"")</f>
        <v/>
      </c>
      <c r="I854" s="288" t="str">
        <f>+IFERROR(VLOOKUP(F854,NVL!$B:$F,4,0),"")</f>
        <v/>
      </c>
      <c r="J854" s="289"/>
      <c r="K854" s="290"/>
      <c r="L854" s="291" t="str">
        <f>+IFERROR(VLOOKUP(K854,'THÀNH PHẨM'!$B:$F,3,0),"")</f>
        <v/>
      </c>
      <c r="M854" s="291" t="str">
        <f>+IFERROR(VLOOKUP(K854,'THÀNH PHẨM'!$B:$F,4,0),"")</f>
        <v/>
      </c>
      <c r="N854" s="291" t="str">
        <f>+IFERROR(VLOOKUP(K854,'THÀNH PHẨM'!$B:$F,5,0),"")</f>
        <v/>
      </c>
      <c r="O854" s="289"/>
      <c r="P854" s="292">
        <f t="shared" si="2"/>
        <v>0</v>
      </c>
      <c r="Q854" s="289"/>
      <c r="R854" s="289"/>
      <c r="S854" s="293">
        <f t="shared" si="62"/>
        <v>0</v>
      </c>
      <c r="T854" s="294"/>
      <c r="U854" s="295" t="str">
        <f>IFERROR(VLOOKUP(G854,'KL NÒNG ỐNG'!$B$2:$E$16,4,0)*I854*V854,"")</f>
        <v/>
      </c>
      <c r="V854" s="296"/>
      <c r="W854" s="297"/>
      <c r="X854" s="298"/>
      <c r="Y854" s="292" t="str">
        <f t="shared" si="69"/>
        <v/>
      </c>
      <c r="Z854" s="366">
        <f t="shared" si="70"/>
        <v>0</v>
      </c>
      <c r="AA854" s="299" t="str">
        <f t="shared" si="71"/>
        <v/>
      </c>
      <c r="AB854" s="300"/>
      <c r="AC854" s="301"/>
      <c r="AD854" s="302"/>
      <c r="AE854" s="303"/>
      <c r="AF854" s="304"/>
      <c r="AG854" s="304"/>
      <c r="AH854" s="304"/>
      <c r="AI854" s="304"/>
      <c r="AJ854" s="304"/>
      <c r="AK854" s="305"/>
      <c r="AL854" s="283"/>
      <c r="AM854" s="284"/>
    </row>
    <row r="855" ht="15.75" customHeight="1">
      <c r="A855" s="282">
        <f t="shared" si="1"/>
        <v>851</v>
      </c>
      <c r="B855" s="283"/>
      <c r="C855" s="284"/>
      <c r="D855" s="338"/>
      <c r="E855" s="286"/>
      <c r="F855" s="287"/>
      <c r="G855" s="288" t="str">
        <f>+IFERROR(VLOOKUP(F855,NVL!$B:$C,2,0),"")</f>
        <v/>
      </c>
      <c r="H855" s="288" t="str">
        <f>+IFERROR(VLOOKUP(F855,NVL!$B:$D,3,0),"")</f>
        <v/>
      </c>
      <c r="I855" s="288" t="str">
        <f>+IFERROR(VLOOKUP(F855,NVL!$B:$F,4,0),"")</f>
        <v/>
      </c>
      <c r="J855" s="289"/>
      <c r="K855" s="290"/>
      <c r="L855" s="291" t="str">
        <f>+IFERROR(VLOOKUP(K855,'THÀNH PHẨM'!$B:$F,3,0),"")</f>
        <v/>
      </c>
      <c r="M855" s="291" t="str">
        <f>+IFERROR(VLOOKUP(K855,'THÀNH PHẨM'!$B:$F,4,0),"")</f>
        <v/>
      </c>
      <c r="N855" s="291" t="str">
        <f>+IFERROR(VLOOKUP(K855,'THÀNH PHẨM'!$B:$F,5,0),"")</f>
        <v/>
      </c>
      <c r="O855" s="289"/>
      <c r="P855" s="292">
        <f t="shared" si="2"/>
        <v>0</v>
      </c>
      <c r="Q855" s="289"/>
      <c r="R855" s="289"/>
      <c r="S855" s="293">
        <f t="shared" si="62"/>
        <v>0</v>
      </c>
      <c r="T855" s="294"/>
      <c r="U855" s="295" t="str">
        <f>IFERROR(VLOOKUP(G855,'KL NÒNG ỐNG'!$B$2:$E$16,4,0)*I855*V855,"")</f>
        <v/>
      </c>
      <c r="V855" s="296"/>
      <c r="W855" s="297"/>
      <c r="X855" s="298"/>
      <c r="Y855" s="292" t="str">
        <f t="shared" si="69"/>
        <v/>
      </c>
      <c r="Z855" s="366">
        <f t="shared" si="70"/>
        <v>0</v>
      </c>
      <c r="AA855" s="299" t="str">
        <f t="shared" si="71"/>
        <v/>
      </c>
      <c r="AB855" s="300"/>
      <c r="AC855" s="301"/>
      <c r="AD855" s="302"/>
      <c r="AE855" s="303"/>
      <c r="AF855" s="304"/>
      <c r="AG855" s="304"/>
      <c r="AH855" s="304"/>
      <c r="AI855" s="304"/>
      <c r="AJ855" s="304"/>
      <c r="AK855" s="305"/>
      <c r="AL855" s="283"/>
      <c r="AM855" s="284"/>
    </row>
    <row r="856" ht="15.75" customHeight="1">
      <c r="A856" s="282">
        <f t="shared" si="1"/>
        <v>852</v>
      </c>
      <c r="B856" s="283"/>
      <c r="C856" s="284"/>
      <c r="D856" s="338"/>
      <c r="E856" s="286"/>
      <c r="F856" s="287"/>
      <c r="G856" s="288" t="str">
        <f>+IFERROR(VLOOKUP(F856,NVL!$B:$C,2,0),"")</f>
        <v/>
      </c>
      <c r="H856" s="288" t="str">
        <f>+IFERROR(VLOOKUP(F856,NVL!$B:$D,3,0),"")</f>
        <v/>
      </c>
      <c r="I856" s="288" t="str">
        <f>+IFERROR(VLOOKUP(F856,NVL!$B:$F,4,0),"")</f>
        <v/>
      </c>
      <c r="J856" s="289"/>
      <c r="K856" s="290"/>
      <c r="L856" s="291" t="str">
        <f>+IFERROR(VLOOKUP(K856,'THÀNH PHẨM'!$B:$F,3,0),"")</f>
        <v/>
      </c>
      <c r="M856" s="291" t="str">
        <f>+IFERROR(VLOOKUP(K856,'THÀNH PHẨM'!$B:$F,4,0),"")</f>
        <v/>
      </c>
      <c r="N856" s="291" t="str">
        <f>+IFERROR(VLOOKUP(K856,'THÀNH PHẨM'!$B:$F,5,0),"")</f>
        <v/>
      </c>
      <c r="O856" s="289"/>
      <c r="P856" s="292">
        <f t="shared" si="2"/>
        <v>0</v>
      </c>
      <c r="Q856" s="289"/>
      <c r="R856" s="289"/>
      <c r="S856" s="293">
        <f t="shared" si="62"/>
        <v>0</v>
      </c>
      <c r="T856" s="294"/>
      <c r="U856" s="295" t="str">
        <f>IFERROR(VLOOKUP(G856,'KL NÒNG ỐNG'!$B$2:$E$16,4,0)*I856*V856,"")</f>
        <v/>
      </c>
      <c r="V856" s="296"/>
      <c r="W856" s="297"/>
      <c r="X856" s="298"/>
      <c r="Y856" s="292" t="str">
        <f t="shared" si="69"/>
        <v/>
      </c>
      <c r="Z856" s="366">
        <f t="shared" si="70"/>
        <v>0</v>
      </c>
      <c r="AA856" s="299" t="str">
        <f t="shared" si="71"/>
        <v/>
      </c>
      <c r="AB856" s="300"/>
      <c r="AC856" s="301"/>
      <c r="AD856" s="302"/>
      <c r="AE856" s="303"/>
      <c r="AF856" s="304"/>
      <c r="AG856" s="304"/>
      <c r="AH856" s="304"/>
      <c r="AI856" s="304"/>
      <c r="AJ856" s="304"/>
      <c r="AK856" s="305"/>
      <c r="AL856" s="283"/>
      <c r="AM856" s="284"/>
    </row>
    <row r="857" ht="15.75" customHeight="1">
      <c r="A857" s="282">
        <f t="shared" si="1"/>
        <v>853</v>
      </c>
      <c r="B857" s="283"/>
      <c r="C857" s="284"/>
      <c r="D857" s="338"/>
      <c r="E857" s="286"/>
      <c r="F857" s="287"/>
      <c r="G857" s="288" t="str">
        <f>+IFERROR(VLOOKUP(F857,NVL!$B:$C,2,0),"")</f>
        <v/>
      </c>
      <c r="H857" s="288" t="str">
        <f>+IFERROR(VLOOKUP(F857,NVL!$B:$D,3,0),"")</f>
        <v/>
      </c>
      <c r="I857" s="288" t="str">
        <f>+IFERROR(VLOOKUP(F857,NVL!$B:$F,4,0),"")</f>
        <v/>
      </c>
      <c r="J857" s="289"/>
      <c r="K857" s="290"/>
      <c r="L857" s="291" t="str">
        <f>+IFERROR(VLOOKUP(K857,'THÀNH PHẨM'!$B:$F,3,0),"")</f>
        <v/>
      </c>
      <c r="M857" s="291" t="str">
        <f>+IFERROR(VLOOKUP(K857,'THÀNH PHẨM'!$B:$F,4,0),"")</f>
        <v/>
      </c>
      <c r="N857" s="291" t="str">
        <f>+IFERROR(VLOOKUP(K857,'THÀNH PHẨM'!$B:$F,5,0),"")</f>
        <v/>
      </c>
      <c r="O857" s="289"/>
      <c r="P857" s="292">
        <f t="shared" si="2"/>
        <v>0</v>
      </c>
      <c r="Q857" s="289"/>
      <c r="R857" s="289"/>
      <c r="S857" s="293">
        <f t="shared" si="62"/>
        <v>0</v>
      </c>
      <c r="T857" s="294"/>
      <c r="U857" s="295" t="str">
        <f>IFERROR(VLOOKUP(G857,'KL NÒNG ỐNG'!$B$2:$E$16,4,0)*I857*V857,"")</f>
        <v/>
      </c>
      <c r="V857" s="296"/>
      <c r="W857" s="297"/>
      <c r="X857" s="298"/>
      <c r="Y857" s="292" t="str">
        <f t="shared" si="69"/>
        <v/>
      </c>
      <c r="Z857" s="366">
        <f t="shared" si="70"/>
        <v>0</v>
      </c>
      <c r="AA857" s="299" t="str">
        <f t="shared" si="71"/>
        <v/>
      </c>
      <c r="AB857" s="300"/>
      <c r="AC857" s="301"/>
      <c r="AD857" s="302"/>
      <c r="AE857" s="303"/>
      <c r="AF857" s="304"/>
      <c r="AG857" s="304"/>
      <c r="AH857" s="304"/>
      <c r="AI857" s="304"/>
      <c r="AJ857" s="304"/>
      <c r="AK857" s="305"/>
      <c r="AL857" s="283"/>
      <c r="AM857" s="284"/>
    </row>
    <row r="858" ht="15.75" customHeight="1">
      <c r="A858" s="282">
        <f t="shared" si="1"/>
        <v>854</v>
      </c>
      <c r="B858" s="283"/>
      <c r="C858" s="284"/>
      <c r="D858" s="338"/>
      <c r="E858" s="286"/>
      <c r="F858" s="287"/>
      <c r="G858" s="288" t="str">
        <f>+IFERROR(VLOOKUP(F858,NVL!$B:$C,2,0),"")</f>
        <v/>
      </c>
      <c r="H858" s="288" t="str">
        <f>+IFERROR(VLOOKUP(F858,NVL!$B:$D,3,0),"")</f>
        <v/>
      </c>
      <c r="I858" s="288" t="str">
        <f>+IFERROR(VLOOKUP(F858,NVL!$B:$F,4,0),"")</f>
        <v/>
      </c>
      <c r="J858" s="289"/>
      <c r="K858" s="290"/>
      <c r="L858" s="291" t="str">
        <f>+IFERROR(VLOOKUP(K858,'THÀNH PHẨM'!$B:$F,3,0),"")</f>
        <v/>
      </c>
      <c r="M858" s="291" t="str">
        <f>+IFERROR(VLOOKUP(K858,'THÀNH PHẨM'!$B:$F,4,0),"")</f>
        <v/>
      </c>
      <c r="N858" s="291" t="str">
        <f>+IFERROR(VLOOKUP(K858,'THÀNH PHẨM'!$B:$F,5,0),"")</f>
        <v/>
      </c>
      <c r="O858" s="289"/>
      <c r="P858" s="292">
        <f t="shared" si="2"/>
        <v>0</v>
      </c>
      <c r="Q858" s="289"/>
      <c r="R858" s="289"/>
      <c r="S858" s="293">
        <f t="shared" si="62"/>
        <v>0</v>
      </c>
      <c r="T858" s="294"/>
      <c r="U858" s="295" t="str">
        <f>IFERROR(VLOOKUP(G858,'KL NÒNG ỐNG'!$B$2:$E$16,4,0)*I858*V858,"")</f>
        <v/>
      </c>
      <c r="V858" s="296"/>
      <c r="W858" s="297"/>
      <c r="X858" s="298"/>
      <c r="Y858" s="292" t="str">
        <f t="shared" si="69"/>
        <v/>
      </c>
      <c r="Z858" s="366">
        <f t="shared" si="70"/>
        <v>0</v>
      </c>
      <c r="AA858" s="299" t="str">
        <f t="shared" si="71"/>
        <v/>
      </c>
      <c r="AB858" s="300"/>
      <c r="AC858" s="301"/>
      <c r="AD858" s="302"/>
      <c r="AE858" s="303"/>
      <c r="AF858" s="304"/>
      <c r="AG858" s="304"/>
      <c r="AH858" s="304"/>
      <c r="AI858" s="304"/>
      <c r="AJ858" s="304"/>
      <c r="AK858" s="305"/>
      <c r="AL858" s="283"/>
      <c r="AM858" s="284"/>
    </row>
    <row r="859" ht="15.75" customHeight="1">
      <c r="A859" s="282">
        <f t="shared" si="1"/>
        <v>855</v>
      </c>
      <c r="B859" s="283"/>
      <c r="C859" s="284"/>
      <c r="D859" s="338"/>
      <c r="E859" s="286"/>
      <c r="F859" s="287"/>
      <c r="G859" s="288" t="str">
        <f>+IFERROR(VLOOKUP(F859,NVL!$B:$C,2,0),"")</f>
        <v/>
      </c>
      <c r="H859" s="288" t="str">
        <f>+IFERROR(VLOOKUP(F859,NVL!$B:$D,3,0),"")</f>
        <v/>
      </c>
      <c r="I859" s="288" t="str">
        <f>+IFERROR(VLOOKUP(F859,NVL!$B:$F,4,0),"")</f>
        <v/>
      </c>
      <c r="J859" s="289"/>
      <c r="K859" s="290"/>
      <c r="L859" s="291" t="str">
        <f>+IFERROR(VLOOKUP(K859,'THÀNH PHẨM'!$B:$F,3,0),"")</f>
        <v/>
      </c>
      <c r="M859" s="291" t="str">
        <f>+IFERROR(VLOOKUP(K859,'THÀNH PHẨM'!$B:$F,4,0),"")</f>
        <v/>
      </c>
      <c r="N859" s="291" t="str">
        <f>+IFERROR(VLOOKUP(K859,'THÀNH PHẨM'!$B:$F,5,0),"")</f>
        <v/>
      </c>
      <c r="O859" s="289"/>
      <c r="P859" s="292">
        <f t="shared" si="2"/>
        <v>0</v>
      </c>
      <c r="Q859" s="289"/>
      <c r="R859" s="289"/>
      <c r="S859" s="293">
        <f t="shared" si="62"/>
        <v>0</v>
      </c>
      <c r="T859" s="294"/>
      <c r="U859" s="295" t="str">
        <f>IFERROR(VLOOKUP(G859,'KL NÒNG ỐNG'!$B$2:$E$16,4,0)*I859*V859,"")</f>
        <v/>
      </c>
      <c r="V859" s="296"/>
      <c r="W859" s="297"/>
      <c r="X859" s="298"/>
      <c r="Y859" s="292" t="str">
        <f t="shared" si="69"/>
        <v/>
      </c>
      <c r="Z859" s="366">
        <f t="shared" si="70"/>
        <v>0</v>
      </c>
      <c r="AA859" s="299" t="str">
        <f t="shared" si="71"/>
        <v/>
      </c>
      <c r="AB859" s="300"/>
      <c r="AC859" s="301"/>
      <c r="AD859" s="302"/>
      <c r="AE859" s="303"/>
      <c r="AF859" s="304"/>
      <c r="AG859" s="304"/>
      <c r="AH859" s="304"/>
      <c r="AI859" s="304"/>
      <c r="AJ859" s="304"/>
      <c r="AK859" s="305"/>
      <c r="AL859" s="283"/>
      <c r="AM859" s="284"/>
    </row>
    <row r="860" ht="15.75" customHeight="1">
      <c r="A860" s="282">
        <f t="shared" si="1"/>
        <v>856</v>
      </c>
      <c r="B860" s="283"/>
      <c r="C860" s="284"/>
      <c r="D860" s="338"/>
      <c r="E860" s="286"/>
      <c r="F860" s="287"/>
      <c r="G860" s="288" t="str">
        <f>+IFERROR(VLOOKUP(F860,NVL!$B:$C,2,0),"")</f>
        <v/>
      </c>
      <c r="H860" s="288" t="str">
        <f>+IFERROR(VLOOKUP(F860,NVL!$B:$D,3,0),"")</f>
        <v/>
      </c>
      <c r="I860" s="288" t="str">
        <f>+IFERROR(VLOOKUP(F860,NVL!$B:$F,4,0),"")</f>
        <v/>
      </c>
      <c r="J860" s="289"/>
      <c r="K860" s="290"/>
      <c r="L860" s="291" t="str">
        <f>+IFERROR(VLOOKUP(K860,'THÀNH PHẨM'!$B:$F,3,0),"")</f>
        <v/>
      </c>
      <c r="M860" s="291" t="str">
        <f>+IFERROR(VLOOKUP(K860,'THÀNH PHẨM'!$B:$F,4,0),"")</f>
        <v/>
      </c>
      <c r="N860" s="291" t="str">
        <f>+IFERROR(VLOOKUP(K860,'THÀNH PHẨM'!$B:$F,5,0),"")</f>
        <v/>
      </c>
      <c r="O860" s="289"/>
      <c r="P860" s="292">
        <f t="shared" si="2"/>
        <v>0</v>
      </c>
      <c r="Q860" s="289"/>
      <c r="R860" s="289"/>
      <c r="S860" s="293">
        <f t="shared" si="62"/>
        <v>0</v>
      </c>
      <c r="T860" s="294"/>
      <c r="U860" s="295" t="str">
        <f>IFERROR(VLOOKUP(G860,'KL NÒNG ỐNG'!$B$2:$E$16,4,0)*I860*V860,"")</f>
        <v/>
      </c>
      <c r="V860" s="296"/>
      <c r="W860" s="297"/>
      <c r="X860" s="298"/>
      <c r="Y860" s="292" t="str">
        <f t="shared" si="69"/>
        <v/>
      </c>
      <c r="Z860" s="366">
        <f t="shared" si="70"/>
        <v>0</v>
      </c>
      <c r="AA860" s="299" t="str">
        <f t="shared" si="71"/>
        <v/>
      </c>
      <c r="AB860" s="300"/>
      <c r="AC860" s="301"/>
      <c r="AD860" s="302"/>
      <c r="AE860" s="303"/>
      <c r="AF860" s="304"/>
      <c r="AG860" s="304"/>
      <c r="AH860" s="304"/>
      <c r="AI860" s="304"/>
      <c r="AJ860" s="304"/>
      <c r="AK860" s="305"/>
      <c r="AL860" s="283"/>
      <c r="AM860" s="284"/>
    </row>
    <row r="861" ht="15.75" customHeight="1">
      <c r="A861" s="282">
        <f t="shared" si="1"/>
        <v>857</v>
      </c>
      <c r="B861" s="283"/>
      <c r="C861" s="284"/>
      <c r="D861" s="338"/>
      <c r="E861" s="286"/>
      <c r="F861" s="287"/>
      <c r="G861" s="288" t="str">
        <f>+IFERROR(VLOOKUP(F861,NVL!$B:$C,2,0),"")</f>
        <v/>
      </c>
      <c r="H861" s="288" t="str">
        <f>+IFERROR(VLOOKUP(F861,NVL!$B:$D,3,0),"")</f>
        <v/>
      </c>
      <c r="I861" s="288" t="str">
        <f>+IFERROR(VLOOKUP(F861,NVL!$B:$F,4,0),"")</f>
        <v/>
      </c>
      <c r="J861" s="289"/>
      <c r="K861" s="290"/>
      <c r="L861" s="291" t="str">
        <f>+IFERROR(VLOOKUP(K861,'THÀNH PHẨM'!$B:$F,3,0),"")</f>
        <v/>
      </c>
      <c r="M861" s="291" t="str">
        <f>+IFERROR(VLOOKUP(K861,'THÀNH PHẨM'!$B:$F,4,0),"")</f>
        <v/>
      </c>
      <c r="N861" s="291" t="str">
        <f>+IFERROR(VLOOKUP(K861,'THÀNH PHẨM'!$B:$F,5,0),"")</f>
        <v/>
      </c>
      <c r="O861" s="289"/>
      <c r="P861" s="292">
        <f t="shared" si="2"/>
        <v>0</v>
      </c>
      <c r="Q861" s="289"/>
      <c r="R861" s="289"/>
      <c r="S861" s="293">
        <f t="shared" si="62"/>
        <v>0</v>
      </c>
      <c r="T861" s="294"/>
      <c r="U861" s="295" t="str">
        <f>IFERROR(VLOOKUP(G861,'KL NÒNG ỐNG'!$B$2:$E$16,4,0)*I861*V861,"")</f>
        <v/>
      </c>
      <c r="V861" s="296"/>
      <c r="W861" s="297"/>
      <c r="X861" s="298"/>
      <c r="Y861" s="292" t="str">
        <f t="shared" si="69"/>
        <v/>
      </c>
      <c r="Z861" s="366">
        <f t="shared" si="70"/>
        <v>0</v>
      </c>
      <c r="AA861" s="299" t="str">
        <f t="shared" si="71"/>
        <v/>
      </c>
      <c r="AB861" s="300"/>
      <c r="AC861" s="301"/>
      <c r="AD861" s="302"/>
      <c r="AE861" s="303"/>
      <c r="AF861" s="304"/>
      <c r="AG861" s="304"/>
      <c r="AH861" s="304"/>
      <c r="AI861" s="304"/>
      <c r="AJ861" s="304"/>
      <c r="AK861" s="305"/>
      <c r="AL861" s="283"/>
      <c r="AM861" s="284"/>
    </row>
    <row r="862" ht="15.75" customHeight="1">
      <c r="A862" s="282">
        <f t="shared" si="1"/>
        <v>858</v>
      </c>
      <c r="B862" s="283"/>
      <c r="C862" s="284"/>
      <c r="D862" s="338"/>
      <c r="E862" s="286"/>
      <c r="F862" s="287"/>
      <c r="G862" s="288" t="str">
        <f>+IFERROR(VLOOKUP(F862,NVL!$B:$C,2,0),"")</f>
        <v/>
      </c>
      <c r="H862" s="288" t="str">
        <f>+IFERROR(VLOOKUP(F862,NVL!$B:$D,3,0),"")</f>
        <v/>
      </c>
      <c r="I862" s="288" t="str">
        <f>+IFERROR(VLOOKUP(F862,NVL!$B:$F,4,0),"")</f>
        <v/>
      </c>
      <c r="J862" s="289"/>
      <c r="K862" s="290"/>
      <c r="L862" s="291" t="str">
        <f>+IFERROR(VLOOKUP(K862,'THÀNH PHẨM'!$B:$F,3,0),"")</f>
        <v/>
      </c>
      <c r="M862" s="291" t="str">
        <f>+IFERROR(VLOOKUP(K862,'THÀNH PHẨM'!$B:$F,4,0),"")</f>
        <v/>
      </c>
      <c r="N862" s="291" t="str">
        <f>+IFERROR(VLOOKUP(K862,'THÀNH PHẨM'!$B:$F,5,0),"")</f>
        <v/>
      </c>
      <c r="O862" s="289"/>
      <c r="P862" s="292">
        <f t="shared" si="2"/>
        <v>0</v>
      </c>
      <c r="Q862" s="289"/>
      <c r="R862" s="289"/>
      <c r="S862" s="293">
        <f t="shared" si="62"/>
        <v>0</v>
      </c>
      <c r="T862" s="294"/>
      <c r="U862" s="295" t="str">
        <f>IFERROR(VLOOKUP(G862,'KL NÒNG ỐNG'!$B$2:$E$16,4,0)*I862*V862,"")</f>
        <v/>
      </c>
      <c r="V862" s="296"/>
      <c r="W862" s="297"/>
      <c r="X862" s="298"/>
      <c r="Y862" s="292" t="str">
        <f t="shared" si="69"/>
        <v/>
      </c>
      <c r="Z862" s="366">
        <f t="shared" si="70"/>
        <v>0</v>
      </c>
      <c r="AA862" s="299" t="str">
        <f t="shared" si="71"/>
        <v/>
      </c>
      <c r="AB862" s="300"/>
      <c r="AC862" s="301"/>
      <c r="AD862" s="302"/>
      <c r="AE862" s="303"/>
      <c r="AF862" s="304"/>
      <c r="AG862" s="304"/>
      <c r="AH862" s="304"/>
      <c r="AI862" s="304"/>
      <c r="AJ862" s="304"/>
      <c r="AK862" s="305"/>
      <c r="AL862" s="283"/>
      <c r="AM862" s="284"/>
    </row>
    <row r="863" ht="15.75" customHeight="1">
      <c r="A863" s="282">
        <f t="shared" si="1"/>
        <v>859</v>
      </c>
      <c r="B863" s="283"/>
      <c r="C863" s="284"/>
      <c r="D863" s="338"/>
      <c r="E863" s="286"/>
      <c r="F863" s="287"/>
      <c r="G863" s="288" t="str">
        <f>+IFERROR(VLOOKUP(F863,NVL!$B:$C,2,0),"")</f>
        <v/>
      </c>
      <c r="H863" s="288" t="str">
        <f>+IFERROR(VLOOKUP(F863,NVL!$B:$D,3,0),"")</f>
        <v/>
      </c>
      <c r="I863" s="288" t="str">
        <f>+IFERROR(VLOOKUP(F863,NVL!$B:$F,4,0),"")</f>
        <v/>
      </c>
      <c r="J863" s="289"/>
      <c r="K863" s="290"/>
      <c r="L863" s="291" t="str">
        <f>+IFERROR(VLOOKUP(K863,'THÀNH PHẨM'!$B:$F,3,0),"")</f>
        <v/>
      </c>
      <c r="M863" s="291" t="str">
        <f>+IFERROR(VLOOKUP(K863,'THÀNH PHẨM'!$B:$F,4,0),"")</f>
        <v/>
      </c>
      <c r="N863" s="291" t="str">
        <f>+IFERROR(VLOOKUP(K863,'THÀNH PHẨM'!$B:$F,5,0),"")</f>
        <v/>
      </c>
      <c r="O863" s="289"/>
      <c r="P863" s="292">
        <f t="shared" si="2"/>
        <v>0</v>
      </c>
      <c r="Q863" s="289"/>
      <c r="R863" s="289"/>
      <c r="S863" s="293">
        <f t="shared" si="62"/>
        <v>0</v>
      </c>
      <c r="T863" s="294"/>
      <c r="U863" s="295" t="str">
        <f>IFERROR(VLOOKUP(G863,'KL NÒNG ỐNG'!$B$2:$E$16,4,0)*I863*V863,"")</f>
        <v/>
      </c>
      <c r="V863" s="296"/>
      <c r="W863" s="297"/>
      <c r="X863" s="298"/>
      <c r="Y863" s="292" t="str">
        <f t="shared" si="69"/>
        <v/>
      </c>
      <c r="Z863" s="366">
        <f t="shared" si="70"/>
        <v>0</v>
      </c>
      <c r="AA863" s="299" t="str">
        <f t="shared" si="71"/>
        <v/>
      </c>
      <c r="AB863" s="300"/>
      <c r="AC863" s="301"/>
      <c r="AD863" s="302"/>
      <c r="AE863" s="303"/>
      <c r="AF863" s="304"/>
      <c r="AG863" s="304"/>
      <c r="AH863" s="304"/>
      <c r="AI863" s="304"/>
      <c r="AJ863" s="304"/>
      <c r="AK863" s="305"/>
      <c r="AL863" s="283"/>
      <c r="AM863" s="284"/>
    </row>
    <row r="864" ht="15.75" customHeight="1">
      <c r="A864" s="282">
        <f t="shared" si="1"/>
        <v>860</v>
      </c>
      <c r="B864" s="283"/>
      <c r="C864" s="284"/>
      <c r="D864" s="338"/>
      <c r="E864" s="286"/>
      <c r="F864" s="287"/>
      <c r="G864" s="288" t="str">
        <f>+IFERROR(VLOOKUP(F864,NVL!$B:$C,2,0),"")</f>
        <v/>
      </c>
      <c r="H864" s="288" t="str">
        <f>+IFERROR(VLOOKUP(F864,NVL!$B:$D,3,0),"")</f>
        <v/>
      </c>
      <c r="I864" s="288" t="str">
        <f>+IFERROR(VLOOKUP(F864,NVL!$B:$F,4,0),"")</f>
        <v/>
      </c>
      <c r="J864" s="289"/>
      <c r="K864" s="290"/>
      <c r="L864" s="291" t="str">
        <f>+IFERROR(VLOOKUP(K864,'THÀNH PHẨM'!$B:$F,3,0),"")</f>
        <v/>
      </c>
      <c r="M864" s="291" t="str">
        <f>+IFERROR(VLOOKUP(K864,'THÀNH PHẨM'!$B:$F,4,0),"")</f>
        <v/>
      </c>
      <c r="N864" s="291" t="str">
        <f>+IFERROR(VLOOKUP(K864,'THÀNH PHẨM'!$B:$F,5,0),"")</f>
        <v/>
      </c>
      <c r="O864" s="289"/>
      <c r="P864" s="292">
        <f t="shared" si="2"/>
        <v>0</v>
      </c>
      <c r="Q864" s="289"/>
      <c r="R864" s="289"/>
      <c r="S864" s="293">
        <f t="shared" si="62"/>
        <v>0</v>
      </c>
      <c r="T864" s="294"/>
      <c r="U864" s="295" t="str">
        <f>IFERROR(VLOOKUP(G864,'KL NÒNG ỐNG'!$B$2:$E$16,4,0)*I864*V864,"")</f>
        <v/>
      </c>
      <c r="V864" s="296"/>
      <c r="W864" s="297"/>
      <c r="X864" s="298"/>
      <c r="Y864" s="292" t="str">
        <f t="shared" si="69"/>
        <v/>
      </c>
      <c r="Z864" s="366">
        <f t="shared" si="70"/>
        <v>0</v>
      </c>
      <c r="AA864" s="299" t="str">
        <f t="shared" si="71"/>
        <v/>
      </c>
      <c r="AB864" s="300"/>
      <c r="AC864" s="301"/>
      <c r="AD864" s="302"/>
      <c r="AE864" s="303"/>
      <c r="AF864" s="304"/>
      <c r="AG864" s="304"/>
      <c r="AH864" s="304"/>
      <c r="AI864" s="304"/>
      <c r="AJ864" s="304"/>
      <c r="AK864" s="305"/>
      <c r="AL864" s="283"/>
      <c r="AM864" s="284"/>
    </row>
    <row r="865" ht="15.75" customHeight="1">
      <c r="A865" s="282">
        <f t="shared" si="1"/>
        <v>861</v>
      </c>
      <c r="B865" s="283"/>
      <c r="C865" s="335"/>
      <c r="D865" s="338"/>
      <c r="E865" s="286"/>
      <c r="F865" s="287"/>
      <c r="G865" s="288" t="str">
        <f>+IFERROR(VLOOKUP(F865,NVL!$B:$C,2,0),"")</f>
        <v/>
      </c>
      <c r="H865" s="288" t="str">
        <f>+IFERROR(VLOOKUP(F865,NVL!$B:$D,3,0),"")</f>
        <v/>
      </c>
      <c r="I865" s="288" t="str">
        <f>+IFERROR(VLOOKUP(F865,NVL!$B:$F,4,0),"")</f>
        <v/>
      </c>
      <c r="J865" s="289"/>
      <c r="K865" s="290"/>
      <c r="L865" s="291" t="str">
        <f>+IFERROR(VLOOKUP(K865,'THÀNH PHẨM'!$B:$F,3,0),"")</f>
        <v/>
      </c>
      <c r="M865" s="291" t="str">
        <f>+IFERROR(VLOOKUP(K865,'THÀNH PHẨM'!$B:$F,4,0),"")</f>
        <v/>
      </c>
      <c r="N865" s="291" t="str">
        <f>+IFERROR(VLOOKUP(K865,'THÀNH PHẨM'!$B:$F,5,0),"")</f>
        <v/>
      </c>
      <c r="O865" s="289"/>
      <c r="P865" s="292">
        <f t="shared" si="2"/>
        <v>0</v>
      </c>
      <c r="Q865" s="289"/>
      <c r="R865" s="289"/>
      <c r="S865" s="293">
        <f t="shared" si="62"/>
        <v>0</v>
      </c>
      <c r="T865" s="294"/>
      <c r="U865" s="295" t="str">
        <f>IFERROR(VLOOKUP(G865,'KL NÒNG ỐNG'!$B$2:$E$16,4,0)*I865*V865,"")</f>
        <v/>
      </c>
      <c r="V865" s="296"/>
      <c r="W865" s="297"/>
      <c r="X865" s="298"/>
      <c r="Y865" s="292" t="str">
        <f t="shared" si="69"/>
        <v/>
      </c>
      <c r="Z865" s="366">
        <f t="shared" si="70"/>
        <v>0</v>
      </c>
      <c r="AA865" s="299" t="str">
        <f t="shared" si="71"/>
        <v/>
      </c>
      <c r="AB865" s="300"/>
      <c r="AC865" s="301"/>
      <c r="AD865" s="302"/>
      <c r="AE865" s="303"/>
      <c r="AF865" s="304"/>
      <c r="AG865" s="304"/>
      <c r="AH865" s="304"/>
      <c r="AI865" s="304"/>
      <c r="AJ865" s="304"/>
      <c r="AK865" s="305"/>
      <c r="AL865" s="283"/>
      <c r="AM865" s="459"/>
    </row>
    <row r="866" ht="15.75" customHeight="1">
      <c r="A866" s="282">
        <f t="shared" si="1"/>
        <v>862</v>
      </c>
      <c r="B866" s="283"/>
      <c r="C866" s="284"/>
      <c r="D866" s="338"/>
      <c r="E866" s="286"/>
      <c r="F866" s="287"/>
      <c r="G866" s="288" t="str">
        <f>+IFERROR(VLOOKUP(F866,NVL!$B:$C,2,0),"")</f>
        <v/>
      </c>
      <c r="H866" s="288" t="str">
        <f>+IFERROR(VLOOKUP(F866,NVL!$B:$D,3,0),"")</f>
        <v/>
      </c>
      <c r="I866" s="288" t="str">
        <f>+IFERROR(VLOOKUP(F866,NVL!$B:$F,4,0),"")</f>
        <v/>
      </c>
      <c r="J866" s="289"/>
      <c r="K866" s="290"/>
      <c r="L866" s="291" t="str">
        <f>+IFERROR(VLOOKUP(K866,'THÀNH PHẨM'!$B:$F,3,0),"")</f>
        <v/>
      </c>
      <c r="M866" s="291" t="str">
        <f>+IFERROR(VLOOKUP(K866,'THÀNH PHẨM'!$B:$F,4,0),"")</f>
        <v/>
      </c>
      <c r="N866" s="291" t="str">
        <f>+IFERROR(VLOOKUP(K866,'THÀNH PHẨM'!$B:$F,5,0),"")</f>
        <v/>
      </c>
      <c r="O866" s="289"/>
      <c r="P866" s="292">
        <f t="shared" si="2"/>
        <v>0</v>
      </c>
      <c r="Q866" s="289"/>
      <c r="R866" s="289"/>
      <c r="S866" s="293">
        <f t="shared" si="62"/>
        <v>0</v>
      </c>
      <c r="T866" s="294"/>
      <c r="U866" s="295" t="str">
        <f>IFERROR(VLOOKUP(G866,'KL NÒNG ỐNG'!$B$2:$E$16,4,0)*I866*V866,"")</f>
        <v/>
      </c>
      <c r="V866" s="296"/>
      <c r="W866" s="297"/>
      <c r="X866" s="298"/>
      <c r="Y866" s="292" t="str">
        <f t="shared" si="69"/>
        <v/>
      </c>
      <c r="Z866" s="366">
        <f t="shared" si="70"/>
        <v>0</v>
      </c>
      <c r="AA866" s="299" t="str">
        <f t="shared" si="71"/>
        <v/>
      </c>
      <c r="AB866" s="300"/>
      <c r="AC866" s="301"/>
      <c r="AD866" s="302"/>
      <c r="AE866" s="303"/>
      <c r="AF866" s="304"/>
      <c r="AG866" s="304"/>
      <c r="AH866" s="304"/>
      <c r="AI866" s="304"/>
      <c r="AJ866" s="304"/>
      <c r="AK866" s="305"/>
      <c r="AL866" s="283"/>
      <c r="AM866" s="284"/>
    </row>
    <row r="867" ht="15.75" customHeight="1">
      <c r="A867" s="282">
        <f t="shared" si="1"/>
        <v>863</v>
      </c>
      <c r="B867" s="283"/>
      <c r="C867" s="284"/>
      <c r="D867" s="338"/>
      <c r="E867" s="286"/>
      <c r="F867" s="287"/>
      <c r="G867" s="288" t="str">
        <f>+IFERROR(VLOOKUP(F867,NVL!$B:$C,2,0),"")</f>
        <v/>
      </c>
      <c r="H867" s="288" t="str">
        <f>+IFERROR(VLOOKUP(F867,NVL!$B:$D,3,0),"")</f>
        <v/>
      </c>
      <c r="I867" s="288" t="str">
        <f>+IFERROR(VLOOKUP(F867,NVL!$B:$F,4,0),"")</f>
        <v/>
      </c>
      <c r="J867" s="289"/>
      <c r="K867" s="290"/>
      <c r="L867" s="291" t="str">
        <f>+IFERROR(VLOOKUP(K867,'THÀNH PHẨM'!$B:$F,3,0),"")</f>
        <v/>
      </c>
      <c r="M867" s="291" t="str">
        <f>+IFERROR(VLOOKUP(K867,'THÀNH PHẨM'!$B:$F,4,0),"")</f>
        <v/>
      </c>
      <c r="N867" s="291" t="str">
        <f>+IFERROR(VLOOKUP(K867,'THÀNH PHẨM'!$B:$F,5,0),"")</f>
        <v/>
      </c>
      <c r="O867" s="289"/>
      <c r="P867" s="292">
        <f t="shared" si="2"/>
        <v>0</v>
      </c>
      <c r="Q867" s="289"/>
      <c r="R867" s="289"/>
      <c r="S867" s="293">
        <f t="shared" si="62"/>
        <v>0</v>
      </c>
      <c r="T867" s="294"/>
      <c r="U867" s="295" t="str">
        <f>IFERROR(VLOOKUP(G867,'KL NÒNG ỐNG'!$B$2:$E$16,4,0)*I867*V867,"")</f>
        <v/>
      </c>
      <c r="V867" s="296"/>
      <c r="W867" s="297"/>
      <c r="X867" s="298"/>
      <c r="Y867" s="292" t="str">
        <f t="shared" si="69"/>
        <v/>
      </c>
      <c r="Z867" s="366">
        <f t="shared" si="70"/>
        <v>0</v>
      </c>
      <c r="AA867" s="299" t="str">
        <f t="shared" si="71"/>
        <v/>
      </c>
      <c r="AB867" s="300"/>
      <c r="AC867" s="301"/>
      <c r="AD867" s="302"/>
      <c r="AE867" s="303"/>
      <c r="AF867" s="304"/>
      <c r="AG867" s="304"/>
      <c r="AH867" s="304"/>
      <c r="AI867" s="304"/>
      <c r="AJ867" s="304"/>
      <c r="AK867" s="305"/>
      <c r="AL867" s="283"/>
      <c r="AM867" s="284"/>
    </row>
    <row r="868" ht="15.75" customHeight="1">
      <c r="A868" s="282">
        <f t="shared" si="1"/>
        <v>864</v>
      </c>
      <c r="B868" s="283"/>
      <c r="C868" s="284"/>
      <c r="D868" s="338"/>
      <c r="E868" s="286"/>
      <c r="F868" s="287"/>
      <c r="G868" s="288" t="str">
        <f>+IFERROR(VLOOKUP(F868,NVL!$B:$C,2,0),"")</f>
        <v/>
      </c>
      <c r="H868" s="288" t="str">
        <f>+IFERROR(VLOOKUP(F868,NVL!$B:$D,3,0),"")</f>
        <v/>
      </c>
      <c r="I868" s="288" t="str">
        <f>+IFERROR(VLOOKUP(F868,NVL!$B:$F,4,0),"")</f>
        <v/>
      </c>
      <c r="J868" s="289"/>
      <c r="K868" s="290"/>
      <c r="L868" s="291" t="str">
        <f>+IFERROR(VLOOKUP(K868,'THÀNH PHẨM'!$B:$F,3,0),"")</f>
        <v/>
      </c>
      <c r="M868" s="291" t="str">
        <f>+IFERROR(VLOOKUP(K868,'THÀNH PHẨM'!$B:$F,4,0),"")</f>
        <v/>
      </c>
      <c r="N868" s="291" t="str">
        <f>+IFERROR(VLOOKUP(K868,'THÀNH PHẨM'!$B:$F,5,0),"")</f>
        <v/>
      </c>
      <c r="O868" s="289"/>
      <c r="P868" s="292">
        <f t="shared" si="2"/>
        <v>0</v>
      </c>
      <c r="Q868" s="289"/>
      <c r="R868" s="289"/>
      <c r="S868" s="293">
        <f t="shared" si="62"/>
        <v>0</v>
      </c>
      <c r="T868" s="294"/>
      <c r="U868" s="295" t="str">
        <f>IFERROR(VLOOKUP(G868,'KL NÒNG ỐNG'!$B$2:$E$16,4,0)*I868*V868,"")</f>
        <v/>
      </c>
      <c r="V868" s="296"/>
      <c r="W868" s="297"/>
      <c r="X868" s="298"/>
      <c r="Y868" s="292" t="str">
        <f t="shared" si="69"/>
        <v/>
      </c>
      <c r="Z868" s="366">
        <f t="shared" si="70"/>
        <v>0</v>
      </c>
      <c r="AA868" s="299" t="str">
        <f t="shared" si="71"/>
        <v/>
      </c>
      <c r="AB868" s="300"/>
      <c r="AC868" s="301"/>
      <c r="AD868" s="302"/>
      <c r="AE868" s="303"/>
      <c r="AF868" s="304"/>
      <c r="AG868" s="304"/>
      <c r="AH868" s="304"/>
      <c r="AI868" s="304"/>
      <c r="AJ868" s="304"/>
      <c r="AK868" s="305"/>
      <c r="AL868" s="283"/>
      <c r="AM868" s="284"/>
    </row>
    <row r="869" ht="15.75" customHeight="1">
      <c r="A869" s="282">
        <f t="shared" si="1"/>
        <v>865</v>
      </c>
      <c r="B869" s="283"/>
      <c r="C869" s="284"/>
      <c r="D869" s="338"/>
      <c r="E869" s="286"/>
      <c r="F869" s="287"/>
      <c r="G869" s="288" t="str">
        <f>+IFERROR(VLOOKUP(F869,NVL!$B:$C,2,0),"")</f>
        <v/>
      </c>
      <c r="H869" s="288" t="str">
        <f>+IFERROR(VLOOKUP(F869,NVL!$B:$D,3,0),"")</f>
        <v/>
      </c>
      <c r="I869" s="288" t="str">
        <f>+IFERROR(VLOOKUP(F869,NVL!$B:$F,4,0),"")</f>
        <v/>
      </c>
      <c r="J869" s="289"/>
      <c r="K869" s="290"/>
      <c r="L869" s="291" t="str">
        <f>+IFERROR(VLOOKUP(K869,'THÀNH PHẨM'!$B:$F,3,0),"")</f>
        <v/>
      </c>
      <c r="M869" s="291" t="str">
        <f>+IFERROR(VLOOKUP(K869,'THÀNH PHẨM'!$B:$F,4,0),"")</f>
        <v/>
      </c>
      <c r="N869" s="291" t="str">
        <f>+IFERROR(VLOOKUP(K869,'THÀNH PHẨM'!$B:$F,5,0),"")</f>
        <v/>
      </c>
      <c r="O869" s="289"/>
      <c r="P869" s="292">
        <f t="shared" si="2"/>
        <v>0</v>
      </c>
      <c r="Q869" s="289"/>
      <c r="R869" s="289"/>
      <c r="S869" s="293">
        <f t="shared" si="62"/>
        <v>0</v>
      </c>
      <c r="T869" s="294"/>
      <c r="U869" s="295" t="str">
        <f>IFERROR(VLOOKUP(G869,'KL NÒNG ỐNG'!$B$2:$E$16,4,0)*I869*V869,"")</f>
        <v/>
      </c>
      <c r="V869" s="296"/>
      <c r="W869" s="297"/>
      <c r="X869" s="298"/>
      <c r="Y869" s="292" t="str">
        <f t="shared" si="69"/>
        <v/>
      </c>
      <c r="Z869" s="366">
        <f t="shared" si="70"/>
        <v>0</v>
      </c>
      <c r="AA869" s="299" t="str">
        <f t="shared" si="71"/>
        <v/>
      </c>
      <c r="AB869" s="300"/>
      <c r="AC869" s="301"/>
      <c r="AD869" s="302"/>
      <c r="AE869" s="303"/>
      <c r="AF869" s="304"/>
      <c r="AG869" s="304"/>
      <c r="AH869" s="304"/>
      <c r="AI869" s="304"/>
      <c r="AJ869" s="304"/>
      <c r="AK869" s="305"/>
      <c r="AL869" s="283"/>
      <c r="AM869" s="284"/>
    </row>
    <row r="870" ht="15.75" customHeight="1">
      <c r="A870" s="282">
        <f t="shared" si="1"/>
        <v>866</v>
      </c>
      <c r="B870" s="283"/>
      <c r="C870" s="284"/>
      <c r="D870" s="338"/>
      <c r="E870" s="286"/>
      <c r="F870" s="287"/>
      <c r="G870" s="288" t="str">
        <f>+IFERROR(VLOOKUP(F870,NVL!$B:$C,2,0),"")</f>
        <v/>
      </c>
      <c r="H870" s="288" t="str">
        <f>+IFERROR(VLOOKUP(F870,NVL!$B:$D,3,0),"")</f>
        <v/>
      </c>
      <c r="I870" s="288" t="str">
        <f>+IFERROR(VLOOKUP(F870,NVL!$B:$F,4,0),"")</f>
        <v/>
      </c>
      <c r="J870" s="289"/>
      <c r="K870" s="290"/>
      <c r="L870" s="291" t="str">
        <f>+IFERROR(VLOOKUP(K870,'THÀNH PHẨM'!$B:$F,3,0),"")</f>
        <v/>
      </c>
      <c r="M870" s="291" t="str">
        <f>+IFERROR(VLOOKUP(K870,'THÀNH PHẨM'!$B:$F,4,0),"")</f>
        <v/>
      </c>
      <c r="N870" s="291" t="str">
        <f>+IFERROR(VLOOKUP(K870,'THÀNH PHẨM'!$B:$F,5,0),"")</f>
        <v/>
      </c>
      <c r="O870" s="289"/>
      <c r="P870" s="292">
        <f t="shared" si="2"/>
        <v>0</v>
      </c>
      <c r="Q870" s="289"/>
      <c r="R870" s="289"/>
      <c r="S870" s="293">
        <f t="shared" si="62"/>
        <v>0</v>
      </c>
      <c r="T870" s="294"/>
      <c r="U870" s="295" t="str">
        <f>IFERROR(VLOOKUP(G870,'KL NÒNG ỐNG'!$B$2:$E$16,4,0)*I870*V870,"")</f>
        <v/>
      </c>
      <c r="V870" s="296"/>
      <c r="W870" s="297"/>
      <c r="X870" s="298"/>
      <c r="Y870" s="292" t="str">
        <f t="shared" si="69"/>
        <v/>
      </c>
      <c r="Z870" s="366">
        <f t="shared" si="70"/>
        <v>0</v>
      </c>
      <c r="AA870" s="299" t="str">
        <f t="shared" si="71"/>
        <v/>
      </c>
      <c r="AB870" s="300"/>
      <c r="AC870" s="301"/>
      <c r="AD870" s="302"/>
      <c r="AE870" s="303"/>
      <c r="AF870" s="304"/>
      <c r="AG870" s="304"/>
      <c r="AH870" s="304"/>
      <c r="AI870" s="304"/>
      <c r="AJ870" s="304"/>
      <c r="AK870" s="305"/>
      <c r="AL870" s="283"/>
      <c r="AM870" s="284"/>
    </row>
    <row r="871" ht="15.75" customHeight="1">
      <c r="A871" s="282">
        <f t="shared" si="1"/>
        <v>867</v>
      </c>
      <c r="B871" s="283"/>
      <c r="C871" s="284"/>
      <c r="D871" s="338"/>
      <c r="E871" s="286"/>
      <c r="F871" s="287"/>
      <c r="G871" s="288" t="str">
        <f>+IFERROR(VLOOKUP(F871,NVL!$B:$C,2,0),"")</f>
        <v/>
      </c>
      <c r="H871" s="288" t="str">
        <f>+IFERROR(VLOOKUP(F871,NVL!$B:$D,3,0),"")</f>
        <v/>
      </c>
      <c r="I871" s="288" t="str">
        <f>+IFERROR(VLOOKUP(F871,NVL!$B:$F,4,0),"")</f>
        <v/>
      </c>
      <c r="J871" s="289"/>
      <c r="K871" s="290"/>
      <c r="L871" s="291" t="str">
        <f>+IFERROR(VLOOKUP(K871,'THÀNH PHẨM'!$B:$F,3,0),"")</f>
        <v/>
      </c>
      <c r="M871" s="291" t="str">
        <f>+IFERROR(VLOOKUP(K871,'THÀNH PHẨM'!$B:$F,4,0),"")</f>
        <v/>
      </c>
      <c r="N871" s="291" t="str">
        <f>+IFERROR(VLOOKUP(K871,'THÀNH PHẨM'!$B:$F,5,0),"")</f>
        <v/>
      </c>
      <c r="O871" s="289"/>
      <c r="P871" s="292">
        <f t="shared" si="2"/>
        <v>0</v>
      </c>
      <c r="Q871" s="289"/>
      <c r="R871" s="289"/>
      <c r="S871" s="293">
        <f t="shared" si="62"/>
        <v>0</v>
      </c>
      <c r="T871" s="294"/>
      <c r="U871" s="295" t="str">
        <f>IFERROR(VLOOKUP(G871,'KL NÒNG ỐNG'!$B$2:$E$16,4,0)*I871*V871,"")</f>
        <v/>
      </c>
      <c r="V871" s="296"/>
      <c r="W871" s="297"/>
      <c r="X871" s="298"/>
      <c r="Y871" s="292" t="str">
        <f t="shared" si="69"/>
        <v/>
      </c>
      <c r="Z871" s="366">
        <f t="shared" si="70"/>
        <v>0</v>
      </c>
      <c r="AA871" s="299" t="str">
        <f t="shared" si="71"/>
        <v/>
      </c>
      <c r="AB871" s="300"/>
      <c r="AC871" s="301"/>
      <c r="AD871" s="302"/>
      <c r="AE871" s="303"/>
      <c r="AF871" s="304"/>
      <c r="AG871" s="304"/>
      <c r="AH871" s="304"/>
      <c r="AI871" s="304"/>
      <c r="AJ871" s="304"/>
      <c r="AK871" s="305"/>
      <c r="AL871" s="283"/>
      <c r="AM871" s="284"/>
    </row>
    <row r="872" ht="15.75" customHeight="1">
      <c r="A872" s="282">
        <f t="shared" si="1"/>
        <v>868</v>
      </c>
      <c r="B872" s="283"/>
      <c r="C872" s="284"/>
      <c r="D872" s="338"/>
      <c r="E872" s="286"/>
      <c r="F872" s="287"/>
      <c r="G872" s="288" t="str">
        <f>+IFERROR(VLOOKUP(F872,NVL!$B:$C,2,0),"")</f>
        <v/>
      </c>
      <c r="H872" s="288" t="str">
        <f>+IFERROR(VLOOKUP(F872,NVL!$B:$D,3,0),"")</f>
        <v/>
      </c>
      <c r="I872" s="288" t="str">
        <f>+IFERROR(VLOOKUP(F872,NVL!$B:$F,4,0),"")</f>
        <v/>
      </c>
      <c r="J872" s="289"/>
      <c r="K872" s="290"/>
      <c r="L872" s="291" t="str">
        <f>+IFERROR(VLOOKUP(K872,'THÀNH PHẨM'!$B:$F,3,0),"")</f>
        <v/>
      </c>
      <c r="M872" s="291" t="str">
        <f>+IFERROR(VLOOKUP(K872,'THÀNH PHẨM'!$B:$F,4,0),"")</f>
        <v/>
      </c>
      <c r="N872" s="291" t="str">
        <f>+IFERROR(VLOOKUP(K872,'THÀNH PHẨM'!$B:$F,5,0),"")</f>
        <v/>
      </c>
      <c r="O872" s="289"/>
      <c r="P872" s="292">
        <f t="shared" si="2"/>
        <v>0</v>
      </c>
      <c r="Q872" s="289"/>
      <c r="R872" s="289"/>
      <c r="S872" s="293">
        <f t="shared" si="62"/>
        <v>0</v>
      </c>
      <c r="T872" s="294"/>
      <c r="U872" s="295" t="str">
        <f>IFERROR(VLOOKUP(G872,'KL NÒNG ỐNG'!$B$2:$E$16,4,0)*I872*V872,"")</f>
        <v/>
      </c>
      <c r="V872" s="296"/>
      <c r="W872" s="297"/>
      <c r="X872" s="298"/>
      <c r="Y872" s="292" t="str">
        <f t="shared" si="69"/>
        <v/>
      </c>
      <c r="Z872" s="366">
        <f t="shared" si="70"/>
        <v>0</v>
      </c>
      <c r="AA872" s="299" t="str">
        <f t="shared" si="71"/>
        <v/>
      </c>
      <c r="AB872" s="300"/>
      <c r="AC872" s="301"/>
      <c r="AD872" s="302"/>
      <c r="AE872" s="303"/>
      <c r="AF872" s="304"/>
      <c r="AG872" s="304"/>
      <c r="AH872" s="304"/>
      <c r="AI872" s="304"/>
      <c r="AJ872" s="304"/>
      <c r="AK872" s="305"/>
      <c r="AL872" s="283"/>
      <c r="AM872" s="284"/>
    </row>
    <row r="873" ht="15.75" customHeight="1">
      <c r="A873" s="282">
        <f t="shared" si="1"/>
        <v>869</v>
      </c>
      <c r="B873" s="283"/>
      <c r="C873" s="284"/>
      <c r="D873" s="338"/>
      <c r="E873" s="286"/>
      <c r="F873" s="287"/>
      <c r="G873" s="288" t="str">
        <f>+IFERROR(VLOOKUP(F873,NVL!$B:$C,2,0),"")</f>
        <v/>
      </c>
      <c r="H873" s="288" t="str">
        <f>+IFERROR(VLOOKUP(F873,NVL!$B:$D,3,0),"")</f>
        <v/>
      </c>
      <c r="I873" s="288" t="str">
        <f>+IFERROR(VLOOKUP(F873,NVL!$B:$F,4,0),"")</f>
        <v/>
      </c>
      <c r="J873" s="289"/>
      <c r="K873" s="290"/>
      <c r="L873" s="291" t="str">
        <f>+IFERROR(VLOOKUP(K873,'THÀNH PHẨM'!$B:$F,3,0),"")</f>
        <v/>
      </c>
      <c r="M873" s="291" t="str">
        <f>+IFERROR(VLOOKUP(K873,'THÀNH PHẨM'!$B:$F,4,0),"")</f>
        <v/>
      </c>
      <c r="N873" s="291" t="str">
        <f>+IFERROR(VLOOKUP(K873,'THÀNH PHẨM'!$B:$F,5,0),"")</f>
        <v/>
      </c>
      <c r="O873" s="289"/>
      <c r="P873" s="292">
        <f t="shared" si="2"/>
        <v>0</v>
      </c>
      <c r="Q873" s="289"/>
      <c r="R873" s="289"/>
      <c r="S873" s="293">
        <f t="shared" si="62"/>
        <v>0</v>
      </c>
      <c r="T873" s="294"/>
      <c r="U873" s="295" t="str">
        <f>IFERROR(VLOOKUP(G873,'KL NÒNG ỐNG'!$B$2:$E$16,4,0)*I873*V873,"")</f>
        <v/>
      </c>
      <c r="V873" s="296"/>
      <c r="W873" s="297"/>
      <c r="X873" s="298"/>
      <c r="Y873" s="292" t="str">
        <f t="shared" si="69"/>
        <v/>
      </c>
      <c r="Z873" s="366">
        <f t="shared" si="70"/>
        <v>0</v>
      </c>
      <c r="AA873" s="299" t="str">
        <f t="shared" si="71"/>
        <v/>
      </c>
      <c r="AB873" s="300"/>
      <c r="AC873" s="301"/>
      <c r="AD873" s="302"/>
      <c r="AE873" s="303"/>
      <c r="AF873" s="304"/>
      <c r="AG873" s="304"/>
      <c r="AH873" s="304"/>
      <c r="AI873" s="304"/>
      <c r="AJ873" s="304"/>
      <c r="AK873" s="305"/>
      <c r="AL873" s="283"/>
      <c r="AM873" s="284"/>
    </row>
    <row r="874" ht="15.75" customHeight="1">
      <c r="A874" s="282">
        <f t="shared" si="1"/>
        <v>870</v>
      </c>
      <c r="B874" s="283"/>
      <c r="C874" s="284"/>
      <c r="D874" s="338"/>
      <c r="E874" s="286"/>
      <c r="F874" s="287"/>
      <c r="G874" s="288" t="str">
        <f>+IFERROR(VLOOKUP(F874,NVL!$B:$C,2,0),"")</f>
        <v/>
      </c>
      <c r="H874" s="288" t="str">
        <f>+IFERROR(VLOOKUP(F874,NVL!$B:$D,3,0),"")</f>
        <v/>
      </c>
      <c r="I874" s="288" t="str">
        <f>+IFERROR(VLOOKUP(F874,NVL!$B:$F,4,0),"")</f>
        <v/>
      </c>
      <c r="J874" s="289"/>
      <c r="K874" s="290"/>
      <c r="L874" s="291" t="str">
        <f>+IFERROR(VLOOKUP(K874,'THÀNH PHẨM'!$B:$F,3,0),"")</f>
        <v/>
      </c>
      <c r="M874" s="291" t="str">
        <f>+IFERROR(VLOOKUP(K874,'THÀNH PHẨM'!$B:$F,4,0),"")</f>
        <v/>
      </c>
      <c r="N874" s="291" t="str">
        <f>+IFERROR(VLOOKUP(K874,'THÀNH PHẨM'!$B:$F,5,0),"")</f>
        <v/>
      </c>
      <c r="O874" s="289"/>
      <c r="P874" s="292">
        <f t="shared" si="2"/>
        <v>0</v>
      </c>
      <c r="Q874" s="289"/>
      <c r="R874" s="289"/>
      <c r="S874" s="293">
        <f t="shared" si="62"/>
        <v>0</v>
      </c>
      <c r="T874" s="294"/>
      <c r="U874" s="295" t="str">
        <f>IFERROR(VLOOKUP(G874,'KL NÒNG ỐNG'!$B$2:$E$16,4,0)*I874*V874,"")</f>
        <v/>
      </c>
      <c r="V874" s="296"/>
      <c r="W874" s="297"/>
      <c r="X874" s="298"/>
      <c r="Y874" s="292" t="str">
        <f t="shared" si="69"/>
        <v/>
      </c>
      <c r="Z874" s="366">
        <f t="shared" si="70"/>
        <v>0</v>
      </c>
      <c r="AA874" s="299" t="str">
        <f t="shared" si="71"/>
        <v/>
      </c>
      <c r="AB874" s="300"/>
      <c r="AC874" s="301"/>
      <c r="AD874" s="302"/>
      <c r="AE874" s="303"/>
      <c r="AF874" s="304"/>
      <c r="AG874" s="304"/>
      <c r="AH874" s="304"/>
      <c r="AI874" s="304"/>
      <c r="AJ874" s="304"/>
      <c r="AK874" s="305"/>
      <c r="AL874" s="283"/>
      <c r="AM874" s="284"/>
    </row>
    <row r="875" ht="15.75" customHeight="1">
      <c r="A875" s="282">
        <f t="shared" si="1"/>
        <v>871</v>
      </c>
      <c r="B875" s="283"/>
      <c r="C875" s="284"/>
      <c r="D875" s="338"/>
      <c r="E875" s="286"/>
      <c r="F875" s="287"/>
      <c r="G875" s="288" t="str">
        <f>+IFERROR(VLOOKUP(F875,NVL!$B:$C,2,0),"")</f>
        <v/>
      </c>
      <c r="H875" s="288" t="str">
        <f>+IFERROR(VLOOKUP(F875,NVL!$B:$D,3,0),"")</f>
        <v/>
      </c>
      <c r="I875" s="288" t="str">
        <f>+IFERROR(VLOOKUP(F875,NVL!$B:$F,4,0),"")</f>
        <v/>
      </c>
      <c r="J875" s="289"/>
      <c r="K875" s="290"/>
      <c r="L875" s="291" t="str">
        <f>+IFERROR(VLOOKUP(K875,'THÀNH PHẨM'!$B:$F,3,0),"")</f>
        <v/>
      </c>
      <c r="M875" s="291" t="str">
        <f>+IFERROR(VLOOKUP(K875,'THÀNH PHẨM'!$B:$F,4,0),"")</f>
        <v/>
      </c>
      <c r="N875" s="291" t="str">
        <f>+IFERROR(VLOOKUP(K875,'THÀNH PHẨM'!$B:$F,5,0),"")</f>
        <v/>
      </c>
      <c r="O875" s="289"/>
      <c r="P875" s="292">
        <f t="shared" si="2"/>
        <v>0</v>
      </c>
      <c r="Q875" s="289"/>
      <c r="R875" s="289"/>
      <c r="S875" s="293">
        <f t="shared" si="62"/>
        <v>0</v>
      </c>
      <c r="T875" s="294"/>
      <c r="U875" s="295" t="str">
        <f>IFERROR(VLOOKUP(G875,'KL NÒNG ỐNG'!$B$2:$E$16,4,0)*I875*V875,"")</f>
        <v/>
      </c>
      <c r="V875" s="296"/>
      <c r="W875" s="297"/>
      <c r="X875" s="298"/>
      <c r="Y875" s="292" t="str">
        <f t="shared" si="69"/>
        <v/>
      </c>
      <c r="Z875" s="366">
        <f t="shared" si="70"/>
        <v>0</v>
      </c>
      <c r="AA875" s="299" t="str">
        <f t="shared" si="71"/>
        <v/>
      </c>
      <c r="AB875" s="300"/>
      <c r="AC875" s="301"/>
      <c r="AD875" s="302"/>
      <c r="AE875" s="303"/>
      <c r="AF875" s="304"/>
      <c r="AG875" s="304"/>
      <c r="AH875" s="304"/>
      <c r="AI875" s="304"/>
      <c r="AJ875" s="304"/>
      <c r="AK875" s="305"/>
      <c r="AL875" s="283"/>
      <c r="AM875" s="284"/>
    </row>
    <row r="876" ht="15.75" customHeight="1">
      <c r="A876" s="282">
        <f t="shared" si="1"/>
        <v>872</v>
      </c>
      <c r="B876" s="283"/>
      <c r="C876" s="284"/>
      <c r="D876" s="338"/>
      <c r="E876" s="286"/>
      <c r="F876" s="287"/>
      <c r="G876" s="288" t="str">
        <f>+IFERROR(VLOOKUP(F876,NVL!$B:$C,2,0),"")</f>
        <v/>
      </c>
      <c r="H876" s="288" t="str">
        <f>+IFERROR(VLOOKUP(F876,NVL!$B:$D,3,0),"")</f>
        <v/>
      </c>
      <c r="I876" s="288" t="str">
        <f>+IFERROR(VLOOKUP(F876,NVL!$B:$F,4,0),"")</f>
        <v/>
      </c>
      <c r="J876" s="289"/>
      <c r="K876" s="290"/>
      <c r="L876" s="291" t="str">
        <f>+IFERROR(VLOOKUP(K876,'THÀNH PHẨM'!$B:$F,3,0),"")</f>
        <v/>
      </c>
      <c r="M876" s="291" t="str">
        <f>+IFERROR(VLOOKUP(K876,'THÀNH PHẨM'!$B:$F,4,0),"")</f>
        <v/>
      </c>
      <c r="N876" s="291" t="str">
        <f>+IFERROR(VLOOKUP(K876,'THÀNH PHẨM'!$B:$F,5,0),"")</f>
        <v/>
      </c>
      <c r="O876" s="289"/>
      <c r="P876" s="292">
        <f t="shared" si="2"/>
        <v>0</v>
      </c>
      <c r="Q876" s="289"/>
      <c r="R876" s="289"/>
      <c r="S876" s="293">
        <f t="shared" si="62"/>
        <v>0</v>
      </c>
      <c r="T876" s="294"/>
      <c r="U876" s="295" t="str">
        <f>IFERROR(VLOOKUP(G876,'KL NÒNG ỐNG'!$B$2:$E$16,4,0)*I876*V876,"")</f>
        <v/>
      </c>
      <c r="V876" s="296"/>
      <c r="W876" s="297"/>
      <c r="X876" s="298"/>
      <c r="Y876" s="292" t="str">
        <f t="shared" si="69"/>
        <v/>
      </c>
      <c r="Z876" s="366">
        <f t="shared" si="70"/>
        <v>0</v>
      </c>
      <c r="AA876" s="299" t="str">
        <f t="shared" si="71"/>
        <v/>
      </c>
      <c r="AB876" s="300"/>
      <c r="AC876" s="301"/>
      <c r="AD876" s="302"/>
      <c r="AE876" s="303"/>
      <c r="AF876" s="304"/>
      <c r="AG876" s="304"/>
      <c r="AH876" s="304"/>
      <c r="AI876" s="304"/>
      <c r="AJ876" s="304"/>
      <c r="AK876" s="305"/>
      <c r="AL876" s="283"/>
      <c r="AM876" s="284"/>
    </row>
    <row r="877" ht="15.75" customHeight="1">
      <c r="A877" s="282">
        <f t="shared" si="1"/>
        <v>873</v>
      </c>
      <c r="B877" s="283"/>
      <c r="C877" s="284"/>
      <c r="D877" s="338"/>
      <c r="E877" s="286"/>
      <c r="F877" s="287"/>
      <c r="G877" s="288" t="str">
        <f>+IFERROR(VLOOKUP(F877,NVL!$B:$C,2,0),"")</f>
        <v/>
      </c>
      <c r="H877" s="288" t="str">
        <f>+IFERROR(VLOOKUP(F877,NVL!$B:$D,3,0),"")</f>
        <v/>
      </c>
      <c r="I877" s="288" t="str">
        <f>+IFERROR(VLOOKUP(F877,NVL!$B:$F,4,0),"")</f>
        <v/>
      </c>
      <c r="J877" s="289"/>
      <c r="K877" s="290"/>
      <c r="L877" s="291" t="str">
        <f>+IFERROR(VLOOKUP(K877,'THÀNH PHẨM'!$B:$F,3,0),"")</f>
        <v/>
      </c>
      <c r="M877" s="291" t="str">
        <f>+IFERROR(VLOOKUP(K877,'THÀNH PHẨM'!$B:$F,4,0),"")</f>
        <v/>
      </c>
      <c r="N877" s="291" t="str">
        <f>+IFERROR(VLOOKUP(K877,'THÀNH PHẨM'!$B:$F,5,0),"")</f>
        <v/>
      </c>
      <c r="O877" s="289"/>
      <c r="P877" s="292">
        <f t="shared" si="2"/>
        <v>0</v>
      </c>
      <c r="Q877" s="289"/>
      <c r="R877" s="289"/>
      <c r="S877" s="293">
        <f t="shared" si="62"/>
        <v>0</v>
      </c>
      <c r="T877" s="294"/>
      <c r="U877" s="295" t="str">
        <f>IFERROR(VLOOKUP(G877,'KL NÒNG ỐNG'!$B$2:$E$16,4,0)*I877*V877,"")</f>
        <v/>
      </c>
      <c r="V877" s="296"/>
      <c r="W877" s="297"/>
      <c r="X877" s="298"/>
      <c r="Y877" s="292" t="str">
        <f t="shared" si="69"/>
        <v/>
      </c>
      <c r="Z877" s="366">
        <f t="shared" si="70"/>
        <v>0</v>
      </c>
      <c r="AA877" s="299" t="str">
        <f t="shared" si="71"/>
        <v/>
      </c>
      <c r="AB877" s="300"/>
      <c r="AC877" s="301"/>
      <c r="AD877" s="302"/>
      <c r="AE877" s="303"/>
      <c r="AF877" s="304"/>
      <c r="AG877" s="304"/>
      <c r="AH877" s="304"/>
      <c r="AI877" s="304"/>
      <c r="AJ877" s="304"/>
      <c r="AK877" s="305"/>
      <c r="AL877" s="283"/>
      <c r="AM877" s="284"/>
    </row>
    <row r="878" ht="15.75" customHeight="1">
      <c r="A878" s="282">
        <f t="shared" si="1"/>
        <v>874</v>
      </c>
      <c r="B878" s="283"/>
      <c r="C878" s="284"/>
      <c r="D878" s="338"/>
      <c r="E878" s="286"/>
      <c r="F878" s="287"/>
      <c r="G878" s="288" t="str">
        <f>+IFERROR(VLOOKUP(F878,NVL!$B:$C,2,0),"")</f>
        <v/>
      </c>
      <c r="H878" s="288" t="str">
        <f>+IFERROR(VLOOKUP(F878,NVL!$B:$D,3,0),"")</f>
        <v/>
      </c>
      <c r="I878" s="288" t="str">
        <f>+IFERROR(VLOOKUP(F878,NVL!$B:$F,4,0),"")</f>
        <v/>
      </c>
      <c r="J878" s="289"/>
      <c r="K878" s="290"/>
      <c r="L878" s="291" t="str">
        <f>+IFERROR(VLOOKUP(K878,'THÀNH PHẨM'!$B:$F,3,0),"")</f>
        <v/>
      </c>
      <c r="M878" s="291" t="str">
        <f>+IFERROR(VLOOKUP(K878,'THÀNH PHẨM'!$B:$F,4,0),"")</f>
        <v/>
      </c>
      <c r="N878" s="291" t="str">
        <f>+IFERROR(VLOOKUP(K878,'THÀNH PHẨM'!$B:$F,5,0),"")</f>
        <v/>
      </c>
      <c r="O878" s="289"/>
      <c r="P878" s="292">
        <f t="shared" si="2"/>
        <v>0</v>
      </c>
      <c r="Q878" s="289"/>
      <c r="R878" s="289"/>
      <c r="S878" s="293">
        <f t="shared" si="62"/>
        <v>0</v>
      </c>
      <c r="T878" s="294"/>
      <c r="U878" s="295" t="str">
        <f>IFERROR(VLOOKUP(G878,'KL NÒNG ỐNG'!$B$2:$E$16,4,0)*I878*V878,"")</f>
        <v/>
      </c>
      <c r="V878" s="296"/>
      <c r="W878" s="297"/>
      <c r="X878" s="298"/>
      <c r="Y878" s="292" t="str">
        <f t="shared" si="69"/>
        <v/>
      </c>
      <c r="Z878" s="366">
        <f t="shared" si="70"/>
        <v>0</v>
      </c>
      <c r="AA878" s="299" t="str">
        <f t="shared" si="71"/>
        <v/>
      </c>
      <c r="AB878" s="300"/>
      <c r="AC878" s="301"/>
      <c r="AD878" s="302"/>
      <c r="AE878" s="303"/>
      <c r="AF878" s="304"/>
      <c r="AG878" s="304"/>
      <c r="AH878" s="304"/>
      <c r="AI878" s="304"/>
      <c r="AJ878" s="304"/>
      <c r="AK878" s="305"/>
      <c r="AL878" s="283"/>
      <c r="AM878" s="284"/>
    </row>
    <row r="879" ht="15.75" customHeight="1">
      <c r="A879" s="282">
        <f t="shared" si="1"/>
        <v>875</v>
      </c>
      <c r="B879" s="283"/>
      <c r="C879" s="284"/>
      <c r="D879" s="338"/>
      <c r="E879" s="286"/>
      <c r="F879" s="287"/>
      <c r="G879" s="288" t="str">
        <f>+IFERROR(VLOOKUP(F879,NVL!$B:$C,2,0),"")</f>
        <v/>
      </c>
      <c r="H879" s="288" t="str">
        <f>+IFERROR(VLOOKUP(F879,NVL!$B:$D,3,0),"")</f>
        <v/>
      </c>
      <c r="I879" s="288" t="str">
        <f>+IFERROR(VLOOKUP(F879,NVL!$B:$F,4,0),"")</f>
        <v/>
      </c>
      <c r="J879" s="289"/>
      <c r="K879" s="290"/>
      <c r="L879" s="291" t="str">
        <f>+IFERROR(VLOOKUP(K879,'THÀNH PHẨM'!$B:$F,3,0),"")</f>
        <v/>
      </c>
      <c r="M879" s="291" t="str">
        <f>+IFERROR(VLOOKUP(K879,'THÀNH PHẨM'!$B:$F,4,0),"")</f>
        <v/>
      </c>
      <c r="N879" s="291" t="str">
        <f>+IFERROR(VLOOKUP(K879,'THÀNH PHẨM'!$B:$F,5,0),"")</f>
        <v/>
      </c>
      <c r="O879" s="289"/>
      <c r="P879" s="292">
        <f t="shared" si="2"/>
        <v>0</v>
      </c>
      <c r="Q879" s="289"/>
      <c r="R879" s="289"/>
      <c r="S879" s="293">
        <f t="shared" si="62"/>
        <v>0</v>
      </c>
      <c r="T879" s="294"/>
      <c r="U879" s="295" t="str">
        <f>IFERROR(VLOOKUP(G879,'KL NÒNG ỐNG'!$B$2:$E$16,4,0)*I879*V879,"")</f>
        <v/>
      </c>
      <c r="V879" s="296"/>
      <c r="W879" s="297"/>
      <c r="X879" s="298"/>
      <c r="Y879" s="292" t="str">
        <f t="shared" si="69"/>
        <v/>
      </c>
      <c r="Z879" s="366">
        <f t="shared" si="70"/>
        <v>0</v>
      </c>
      <c r="AA879" s="299" t="str">
        <f t="shared" si="71"/>
        <v/>
      </c>
      <c r="AB879" s="300"/>
      <c r="AC879" s="301"/>
      <c r="AD879" s="302"/>
      <c r="AE879" s="303"/>
      <c r="AF879" s="304"/>
      <c r="AG879" s="304"/>
      <c r="AH879" s="304"/>
      <c r="AI879" s="304"/>
      <c r="AJ879" s="304"/>
      <c r="AK879" s="305"/>
      <c r="AL879" s="283"/>
      <c r="AM879" s="284"/>
    </row>
    <row r="880" ht="15.75" customHeight="1">
      <c r="A880" s="282">
        <f t="shared" si="1"/>
        <v>876</v>
      </c>
      <c r="B880" s="283"/>
      <c r="C880" s="284"/>
      <c r="D880" s="338"/>
      <c r="E880" s="286"/>
      <c r="F880" s="287"/>
      <c r="G880" s="288" t="str">
        <f>+IFERROR(VLOOKUP(F880,NVL!$B:$C,2,0),"")</f>
        <v/>
      </c>
      <c r="H880" s="288" t="str">
        <f>+IFERROR(VLOOKUP(F880,NVL!$B:$D,3,0),"")</f>
        <v/>
      </c>
      <c r="I880" s="288" t="str">
        <f>+IFERROR(VLOOKUP(F880,NVL!$B:$F,4,0),"")</f>
        <v/>
      </c>
      <c r="J880" s="289"/>
      <c r="K880" s="290"/>
      <c r="L880" s="291" t="str">
        <f>+IFERROR(VLOOKUP(K880,'THÀNH PHẨM'!$B:$F,3,0),"")</f>
        <v/>
      </c>
      <c r="M880" s="291" t="str">
        <f>+IFERROR(VLOOKUP(K880,'THÀNH PHẨM'!$B:$F,4,0),"")</f>
        <v/>
      </c>
      <c r="N880" s="291" t="str">
        <f>+IFERROR(VLOOKUP(K880,'THÀNH PHẨM'!$B:$F,5,0),"")</f>
        <v/>
      </c>
      <c r="O880" s="289"/>
      <c r="P880" s="292">
        <f t="shared" si="2"/>
        <v>0</v>
      </c>
      <c r="Q880" s="289"/>
      <c r="R880" s="289"/>
      <c r="S880" s="293">
        <f t="shared" si="62"/>
        <v>0</v>
      </c>
      <c r="T880" s="294"/>
      <c r="U880" s="295" t="str">
        <f>IFERROR(VLOOKUP(G880,'KL NÒNG ỐNG'!$B$2:$E$16,4,0)*I880*V880,"")</f>
        <v/>
      </c>
      <c r="V880" s="296"/>
      <c r="W880" s="297"/>
      <c r="X880" s="298"/>
      <c r="Y880" s="292" t="str">
        <f t="shared" si="69"/>
        <v/>
      </c>
      <c r="Z880" s="366">
        <f t="shared" si="70"/>
        <v>0</v>
      </c>
      <c r="AA880" s="299" t="str">
        <f t="shared" si="71"/>
        <v/>
      </c>
      <c r="AB880" s="300"/>
      <c r="AC880" s="301"/>
      <c r="AD880" s="302"/>
      <c r="AE880" s="303"/>
      <c r="AF880" s="304"/>
      <c r="AG880" s="304"/>
      <c r="AH880" s="304"/>
      <c r="AI880" s="304"/>
      <c r="AJ880" s="304"/>
      <c r="AK880" s="305"/>
      <c r="AL880" s="283"/>
      <c r="AM880" s="284"/>
    </row>
    <row r="881" ht="15.75" customHeight="1">
      <c r="A881" s="282">
        <f t="shared" si="1"/>
        <v>877</v>
      </c>
      <c r="B881" s="283"/>
      <c r="C881" s="284"/>
      <c r="D881" s="338"/>
      <c r="E881" s="286"/>
      <c r="F881" s="287"/>
      <c r="G881" s="288" t="str">
        <f>+IFERROR(VLOOKUP(F881,NVL!$B:$C,2,0),"")</f>
        <v/>
      </c>
      <c r="H881" s="288" t="str">
        <f>+IFERROR(VLOOKUP(F881,NVL!$B:$D,3,0),"")</f>
        <v/>
      </c>
      <c r="I881" s="288" t="str">
        <f>+IFERROR(VLOOKUP(F881,NVL!$B:$F,4,0),"")</f>
        <v/>
      </c>
      <c r="J881" s="289"/>
      <c r="K881" s="290"/>
      <c r="L881" s="291" t="str">
        <f>+IFERROR(VLOOKUP(K881,'THÀNH PHẨM'!$B:$F,3,0),"")</f>
        <v/>
      </c>
      <c r="M881" s="291" t="str">
        <f>+IFERROR(VLOOKUP(K881,'THÀNH PHẨM'!$B:$F,4,0),"")</f>
        <v/>
      </c>
      <c r="N881" s="291" t="str">
        <f>+IFERROR(VLOOKUP(K881,'THÀNH PHẨM'!$B:$F,5,0),"")</f>
        <v/>
      </c>
      <c r="O881" s="289"/>
      <c r="P881" s="292">
        <f t="shared" si="2"/>
        <v>0</v>
      </c>
      <c r="Q881" s="289"/>
      <c r="R881" s="289"/>
      <c r="S881" s="293">
        <f t="shared" si="62"/>
        <v>0</v>
      </c>
      <c r="T881" s="294"/>
      <c r="U881" s="295" t="str">
        <f>IFERROR(VLOOKUP(G881,'KL NÒNG ỐNG'!$B$2:$E$16,4,0)*I881*V881,"")</f>
        <v/>
      </c>
      <c r="V881" s="296"/>
      <c r="W881" s="297"/>
      <c r="X881" s="298"/>
      <c r="Y881" s="292" t="str">
        <f t="shared" si="69"/>
        <v/>
      </c>
      <c r="Z881" s="366">
        <f t="shared" si="70"/>
        <v>0</v>
      </c>
      <c r="AA881" s="299" t="str">
        <f t="shared" si="71"/>
        <v/>
      </c>
      <c r="AB881" s="300"/>
      <c r="AC881" s="301"/>
      <c r="AD881" s="302"/>
      <c r="AE881" s="303"/>
      <c r="AF881" s="304"/>
      <c r="AG881" s="304"/>
      <c r="AH881" s="304"/>
      <c r="AI881" s="304"/>
      <c r="AJ881" s="304"/>
      <c r="AK881" s="305"/>
      <c r="AL881" s="283"/>
      <c r="AM881" s="284"/>
    </row>
    <row r="882" ht="15.75" customHeight="1">
      <c r="A882" s="282">
        <f t="shared" si="1"/>
        <v>878</v>
      </c>
      <c r="B882" s="283"/>
      <c r="C882" s="284"/>
      <c r="D882" s="338"/>
      <c r="E882" s="286"/>
      <c r="F882" s="287"/>
      <c r="G882" s="288" t="str">
        <f>+IFERROR(VLOOKUP(F882,NVL!$B:$C,2,0),"")</f>
        <v/>
      </c>
      <c r="H882" s="288" t="str">
        <f>+IFERROR(VLOOKUP(F882,NVL!$B:$D,3,0),"")</f>
        <v/>
      </c>
      <c r="I882" s="288" t="str">
        <f>+IFERROR(VLOOKUP(F882,NVL!$B:$F,4,0),"")</f>
        <v/>
      </c>
      <c r="J882" s="289"/>
      <c r="K882" s="290"/>
      <c r="L882" s="291" t="str">
        <f>+IFERROR(VLOOKUP(K882,'THÀNH PHẨM'!$B:$F,3,0),"")</f>
        <v/>
      </c>
      <c r="M882" s="291" t="str">
        <f>+IFERROR(VLOOKUP(K882,'THÀNH PHẨM'!$B:$F,4,0),"")</f>
        <v/>
      </c>
      <c r="N882" s="291" t="str">
        <f>+IFERROR(VLOOKUP(K882,'THÀNH PHẨM'!$B:$F,5,0),"")</f>
        <v/>
      </c>
      <c r="O882" s="289"/>
      <c r="P882" s="292">
        <f t="shared" si="2"/>
        <v>0</v>
      </c>
      <c r="Q882" s="289"/>
      <c r="R882" s="289"/>
      <c r="S882" s="293">
        <f t="shared" si="62"/>
        <v>0</v>
      </c>
      <c r="T882" s="294"/>
      <c r="U882" s="295" t="str">
        <f>IFERROR(VLOOKUP(G882,'KL NÒNG ỐNG'!$B$2:$E$16,4,0)*I882*V882,"")</f>
        <v/>
      </c>
      <c r="V882" s="296"/>
      <c r="W882" s="297"/>
      <c r="X882" s="298"/>
      <c r="Y882" s="292" t="str">
        <f t="shared" si="69"/>
        <v/>
      </c>
      <c r="Z882" s="366">
        <f t="shared" si="70"/>
        <v>0</v>
      </c>
      <c r="AA882" s="299" t="str">
        <f t="shared" si="71"/>
        <v/>
      </c>
      <c r="AB882" s="300"/>
      <c r="AC882" s="301"/>
      <c r="AD882" s="302"/>
      <c r="AE882" s="303"/>
      <c r="AF882" s="304"/>
      <c r="AG882" s="304"/>
      <c r="AH882" s="304"/>
      <c r="AI882" s="304"/>
      <c r="AJ882" s="304"/>
      <c r="AK882" s="305"/>
      <c r="AL882" s="283"/>
      <c r="AM882" s="284"/>
    </row>
    <row r="883" ht="15.75" customHeight="1">
      <c r="A883" s="282">
        <f t="shared" si="1"/>
        <v>879</v>
      </c>
      <c r="B883" s="283"/>
      <c r="C883" s="284"/>
      <c r="D883" s="338"/>
      <c r="E883" s="286"/>
      <c r="F883" s="287"/>
      <c r="G883" s="288" t="str">
        <f>+IFERROR(VLOOKUP(F883,NVL!$B:$C,2,0),"")</f>
        <v/>
      </c>
      <c r="H883" s="288" t="str">
        <f>+IFERROR(VLOOKUP(F883,NVL!$B:$D,3,0),"")</f>
        <v/>
      </c>
      <c r="I883" s="288" t="str">
        <f>+IFERROR(VLOOKUP(F883,NVL!$B:$F,4,0),"")</f>
        <v/>
      </c>
      <c r="J883" s="289"/>
      <c r="K883" s="290"/>
      <c r="L883" s="291" t="str">
        <f>+IFERROR(VLOOKUP(K883,'THÀNH PHẨM'!$B:$F,3,0),"")</f>
        <v/>
      </c>
      <c r="M883" s="291" t="str">
        <f>+IFERROR(VLOOKUP(K883,'THÀNH PHẨM'!$B:$F,4,0),"")</f>
        <v/>
      </c>
      <c r="N883" s="291" t="str">
        <f>+IFERROR(VLOOKUP(K883,'THÀNH PHẨM'!$B:$F,5,0),"")</f>
        <v/>
      </c>
      <c r="O883" s="289"/>
      <c r="P883" s="292">
        <f t="shared" si="2"/>
        <v>0</v>
      </c>
      <c r="Q883" s="289"/>
      <c r="R883" s="289"/>
      <c r="S883" s="293">
        <f t="shared" si="62"/>
        <v>0</v>
      </c>
      <c r="T883" s="294"/>
      <c r="U883" s="295" t="str">
        <f>IFERROR(VLOOKUP(G883,'KL NÒNG ỐNG'!$B$2:$E$16,4,0)*I883*V883,"")</f>
        <v/>
      </c>
      <c r="V883" s="296"/>
      <c r="W883" s="297"/>
      <c r="X883" s="298"/>
      <c r="Y883" s="292" t="str">
        <f t="shared" si="69"/>
        <v/>
      </c>
      <c r="Z883" s="366">
        <f t="shared" si="70"/>
        <v>0</v>
      </c>
      <c r="AA883" s="299" t="str">
        <f t="shared" si="71"/>
        <v/>
      </c>
      <c r="AB883" s="300"/>
      <c r="AC883" s="301"/>
      <c r="AD883" s="302"/>
      <c r="AE883" s="303"/>
      <c r="AF883" s="304"/>
      <c r="AG883" s="304"/>
      <c r="AH883" s="304"/>
      <c r="AI883" s="304"/>
      <c r="AJ883" s="304"/>
      <c r="AK883" s="305"/>
      <c r="AL883" s="283"/>
      <c r="AM883" s="284"/>
    </row>
    <row r="884" ht="15.75" customHeight="1">
      <c r="A884" s="282">
        <f t="shared" si="1"/>
        <v>880</v>
      </c>
      <c r="B884" s="283"/>
      <c r="C884" s="284"/>
      <c r="D884" s="338"/>
      <c r="E884" s="286"/>
      <c r="F884" s="287"/>
      <c r="G884" s="288" t="str">
        <f>+IFERROR(VLOOKUP(F884,NVL!$B:$C,2,0),"")</f>
        <v/>
      </c>
      <c r="H884" s="288" t="str">
        <f>+IFERROR(VLOOKUP(F884,NVL!$B:$D,3,0),"")</f>
        <v/>
      </c>
      <c r="I884" s="288" t="str">
        <f>+IFERROR(VLOOKUP(F884,NVL!$B:$F,4,0),"")</f>
        <v/>
      </c>
      <c r="J884" s="289"/>
      <c r="K884" s="290"/>
      <c r="L884" s="291" t="str">
        <f>+IFERROR(VLOOKUP(K884,'THÀNH PHẨM'!$B:$F,3,0),"")</f>
        <v/>
      </c>
      <c r="M884" s="291" t="str">
        <f>+IFERROR(VLOOKUP(K884,'THÀNH PHẨM'!$B:$F,4,0),"")</f>
        <v/>
      </c>
      <c r="N884" s="291" t="str">
        <f>+IFERROR(VLOOKUP(K884,'THÀNH PHẨM'!$B:$F,5,0),"")</f>
        <v/>
      </c>
      <c r="O884" s="289"/>
      <c r="P884" s="292">
        <f t="shared" si="2"/>
        <v>0</v>
      </c>
      <c r="Q884" s="289"/>
      <c r="R884" s="289"/>
      <c r="S884" s="293">
        <f t="shared" si="62"/>
        <v>0</v>
      </c>
      <c r="T884" s="294"/>
      <c r="U884" s="295" t="str">
        <f>IFERROR(VLOOKUP(G884,'KL NÒNG ỐNG'!$B$2:$E$16,4,0)*I884*V884,"")</f>
        <v/>
      </c>
      <c r="V884" s="296"/>
      <c r="W884" s="297"/>
      <c r="X884" s="298"/>
      <c r="Y884" s="292" t="str">
        <f t="shared" si="69"/>
        <v/>
      </c>
      <c r="Z884" s="366">
        <f t="shared" si="70"/>
        <v>0</v>
      </c>
      <c r="AA884" s="299" t="str">
        <f t="shared" si="71"/>
        <v/>
      </c>
      <c r="AB884" s="300"/>
      <c r="AC884" s="301"/>
      <c r="AD884" s="302"/>
      <c r="AE884" s="303"/>
      <c r="AF884" s="304"/>
      <c r="AG884" s="304"/>
      <c r="AH884" s="304"/>
      <c r="AI884" s="304"/>
      <c r="AJ884" s="304"/>
      <c r="AK884" s="305"/>
      <c r="AL884" s="283"/>
      <c r="AM884" s="284"/>
    </row>
    <row r="885" ht="15.75" customHeight="1">
      <c r="A885" s="282">
        <f t="shared" si="1"/>
        <v>881</v>
      </c>
      <c r="B885" s="283"/>
      <c r="C885" s="284"/>
      <c r="D885" s="338"/>
      <c r="E885" s="286"/>
      <c r="F885" s="287"/>
      <c r="G885" s="288" t="str">
        <f>+IFERROR(VLOOKUP(F885,NVL!$B:$C,2,0),"")</f>
        <v/>
      </c>
      <c r="H885" s="288" t="str">
        <f>+IFERROR(VLOOKUP(F885,NVL!$B:$D,3,0),"")</f>
        <v/>
      </c>
      <c r="I885" s="288" t="str">
        <f>+IFERROR(VLOOKUP(F885,NVL!$B:$F,4,0),"")</f>
        <v/>
      </c>
      <c r="J885" s="289"/>
      <c r="K885" s="290"/>
      <c r="L885" s="291" t="str">
        <f>+IFERROR(VLOOKUP(K885,'THÀNH PHẨM'!$B:$F,3,0),"")</f>
        <v/>
      </c>
      <c r="M885" s="291" t="str">
        <f>+IFERROR(VLOOKUP(K885,'THÀNH PHẨM'!$B:$F,4,0),"")</f>
        <v/>
      </c>
      <c r="N885" s="291" t="str">
        <f>+IFERROR(VLOOKUP(K885,'THÀNH PHẨM'!$B:$F,5,0),"")</f>
        <v/>
      </c>
      <c r="O885" s="289"/>
      <c r="P885" s="292">
        <f t="shared" si="2"/>
        <v>0</v>
      </c>
      <c r="Q885" s="289"/>
      <c r="R885" s="289"/>
      <c r="S885" s="293">
        <f t="shared" si="62"/>
        <v>0</v>
      </c>
      <c r="T885" s="294"/>
      <c r="U885" s="295" t="str">
        <f>IFERROR(VLOOKUP(G885,'KL NÒNG ỐNG'!$B$2:$E$16,4,0)*I885*V885,"")</f>
        <v/>
      </c>
      <c r="V885" s="296"/>
      <c r="W885" s="297"/>
      <c r="X885" s="298"/>
      <c r="Y885" s="292" t="str">
        <f t="shared" si="69"/>
        <v/>
      </c>
      <c r="Z885" s="366">
        <f t="shared" si="70"/>
        <v>0</v>
      </c>
      <c r="AA885" s="299" t="str">
        <f t="shared" si="71"/>
        <v/>
      </c>
      <c r="AB885" s="300"/>
      <c r="AC885" s="301"/>
      <c r="AD885" s="302"/>
      <c r="AE885" s="303"/>
      <c r="AF885" s="304"/>
      <c r="AG885" s="304"/>
      <c r="AH885" s="304"/>
      <c r="AI885" s="304"/>
      <c r="AJ885" s="304"/>
      <c r="AK885" s="305"/>
      <c r="AL885" s="283"/>
      <c r="AM885" s="284"/>
    </row>
    <row r="886" ht="15.75" customHeight="1">
      <c r="A886" s="282">
        <f t="shared" si="1"/>
        <v>882</v>
      </c>
      <c r="B886" s="283"/>
      <c r="C886" s="284"/>
      <c r="D886" s="338"/>
      <c r="E886" s="286"/>
      <c r="F886" s="287"/>
      <c r="G886" s="288" t="str">
        <f>+IFERROR(VLOOKUP(F886,NVL!$B:$C,2,0),"")</f>
        <v/>
      </c>
      <c r="H886" s="288" t="str">
        <f>+IFERROR(VLOOKUP(F886,NVL!$B:$D,3,0),"")</f>
        <v/>
      </c>
      <c r="I886" s="288" t="str">
        <f>+IFERROR(VLOOKUP(F886,NVL!$B:$F,4,0),"")</f>
        <v/>
      </c>
      <c r="J886" s="289"/>
      <c r="K886" s="290"/>
      <c r="L886" s="291" t="str">
        <f>+IFERROR(VLOOKUP(K886,'THÀNH PHẨM'!$B:$F,3,0),"")</f>
        <v/>
      </c>
      <c r="M886" s="291" t="str">
        <f>+IFERROR(VLOOKUP(K886,'THÀNH PHẨM'!$B:$F,4,0),"")</f>
        <v/>
      </c>
      <c r="N886" s="291" t="str">
        <f>+IFERROR(VLOOKUP(K886,'THÀNH PHẨM'!$B:$F,5,0),"")</f>
        <v/>
      </c>
      <c r="O886" s="289"/>
      <c r="P886" s="292">
        <f t="shared" si="2"/>
        <v>0</v>
      </c>
      <c r="Q886" s="289"/>
      <c r="R886" s="289"/>
      <c r="S886" s="293">
        <f t="shared" si="62"/>
        <v>0</v>
      </c>
      <c r="T886" s="294"/>
      <c r="U886" s="295" t="str">
        <f>IFERROR(VLOOKUP(G886,'KL NÒNG ỐNG'!$B$2:$E$16,4,0)*I886*V886,"")</f>
        <v/>
      </c>
      <c r="V886" s="296"/>
      <c r="W886" s="297"/>
      <c r="X886" s="298"/>
      <c r="Y886" s="292" t="str">
        <f t="shared" si="69"/>
        <v/>
      </c>
      <c r="Z886" s="366">
        <f t="shared" si="70"/>
        <v>0</v>
      </c>
      <c r="AA886" s="299" t="str">
        <f t="shared" si="71"/>
        <v/>
      </c>
      <c r="AB886" s="300"/>
      <c r="AC886" s="301"/>
      <c r="AD886" s="302"/>
      <c r="AE886" s="303"/>
      <c r="AF886" s="304"/>
      <c r="AG886" s="304"/>
      <c r="AH886" s="304"/>
      <c r="AI886" s="304"/>
      <c r="AJ886" s="304"/>
      <c r="AK886" s="305"/>
      <c r="AL886" s="283"/>
      <c r="AM886" s="284"/>
    </row>
    <row r="887" ht="15.75" customHeight="1">
      <c r="A887" s="282">
        <f t="shared" si="1"/>
        <v>883</v>
      </c>
      <c r="B887" s="283"/>
      <c r="C887" s="284"/>
      <c r="D887" s="338"/>
      <c r="E887" s="286"/>
      <c r="F887" s="287"/>
      <c r="G887" s="288" t="str">
        <f>+IFERROR(VLOOKUP(F887,NVL!$B:$C,2,0),"")</f>
        <v/>
      </c>
      <c r="H887" s="288" t="str">
        <f>+IFERROR(VLOOKUP(F887,NVL!$B:$D,3,0),"")</f>
        <v/>
      </c>
      <c r="I887" s="288" t="str">
        <f>+IFERROR(VLOOKUP(F887,NVL!$B:$F,4,0),"")</f>
        <v/>
      </c>
      <c r="J887" s="289"/>
      <c r="K887" s="290"/>
      <c r="L887" s="291" t="str">
        <f>+IFERROR(VLOOKUP(K887,'THÀNH PHẨM'!$B:$F,3,0),"")</f>
        <v/>
      </c>
      <c r="M887" s="291" t="str">
        <f>+IFERROR(VLOOKUP(K887,'THÀNH PHẨM'!$B:$F,4,0),"")</f>
        <v/>
      </c>
      <c r="N887" s="291" t="str">
        <f>+IFERROR(VLOOKUP(K887,'THÀNH PHẨM'!$B:$F,5,0),"")</f>
        <v/>
      </c>
      <c r="O887" s="289"/>
      <c r="P887" s="292">
        <f t="shared" si="2"/>
        <v>0</v>
      </c>
      <c r="Q887" s="289"/>
      <c r="R887" s="289"/>
      <c r="S887" s="293">
        <f t="shared" si="62"/>
        <v>0</v>
      </c>
      <c r="T887" s="294"/>
      <c r="U887" s="295" t="str">
        <f>IFERROR(VLOOKUP(G887,'KL NÒNG ỐNG'!$B$2:$E$16,4,0)*I887*V887,"")</f>
        <v/>
      </c>
      <c r="V887" s="296"/>
      <c r="W887" s="297"/>
      <c r="X887" s="298"/>
      <c r="Y887" s="292" t="str">
        <f t="shared" si="69"/>
        <v/>
      </c>
      <c r="Z887" s="366">
        <f t="shared" si="70"/>
        <v>0</v>
      </c>
      <c r="AA887" s="299" t="str">
        <f t="shared" si="71"/>
        <v/>
      </c>
      <c r="AB887" s="300"/>
      <c r="AC887" s="301"/>
      <c r="AD887" s="302"/>
      <c r="AE887" s="303"/>
      <c r="AF887" s="304"/>
      <c r="AG887" s="304"/>
      <c r="AH887" s="304"/>
      <c r="AI887" s="304"/>
      <c r="AJ887" s="304"/>
      <c r="AK887" s="305"/>
      <c r="AL887" s="283"/>
      <c r="AM887" s="284"/>
    </row>
    <row r="888" ht="15.75" customHeight="1">
      <c r="A888" s="282">
        <f t="shared" si="1"/>
        <v>884</v>
      </c>
      <c r="B888" s="283"/>
      <c r="C888" s="284"/>
      <c r="D888" s="338"/>
      <c r="E888" s="286"/>
      <c r="F888" s="287"/>
      <c r="G888" s="288" t="str">
        <f>+IFERROR(VLOOKUP(F888,NVL!$B:$C,2,0),"")</f>
        <v/>
      </c>
      <c r="H888" s="288" t="str">
        <f>+IFERROR(VLOOKUP(F888,NVL!$B:$D,3,0),"")</f>
        <v/>
      </c>
      <c r="I888" s="288" t="str">
        <f>+IFERROR(VLOOKUP(F888,NVL!$B:$F,4,0),"")</f>
        <v/>
      </c>
      <c r="J888" s="289"/>
      <c r="K888" s="290"/>
      <c r="L888" s="291" t="str">
        <f>+IFERROR(VLOOKUP(K888,'THÀNH PHẨM'!$B:$F,3,0),"")</f>
        <v/>
      </c>
      <c r="M888" s="291" t="str">
        <f>+IFERROR(VLOOKUP(K888,'THÀNH PHẨM'!$B:$F,4,0),"")</f>
        <v/>
      </c>
      <c r="N888" s="291" t="str">
        <f>+IFERROR(VLOOKUP(K888,'THÀNH PHẨM'!$B:$F,5,0),"")</f>
        <v/>
      </c>
      <c r="O888" s="289"/>
      <c r="P888" s="292">
        <f t="shared" si="2"/>
        <v>0</v>
      </c>
      <c r="Q888" s="289"/>
      <c r="R888" s="289"/>
      <c r="S888" s="293">
        <f t="shared" si="62"/>
        <v>0</v>
      </c>
      <c r="T888" s="294"/>
      <c r="U888" s="295" t="str">
        <f>IFERROR(VLOOKUP(G888,'KL NÒNG ỐNG'!$B$2:$E$16,4,0)*I888*V888,"")</f>
        <v/>
      </c>
      <c r="V888" s="296"/>
      <c r="W888" s="297"/>
      <c r="X888" s="298"/>
      <c r="Y888" s="292" t="str">
        <f t="shared" si="69"/>
        <v/>
      </c>
      <c r="Z888" s="366">
        <f t="shared" si="70"/>
        <v>0</v>
      </c>
      <c r="AA888" s="299" t="str">
        <f t="shared" si="71"/>
        <v/>
      </c>
      <c r="AB888" s="300"/>
      <c r="AC888" s="301"/>
      <c r="AD888" s="302"/>
      <c r="AE888" s="303"/>
      <c r="AF888" s="304"/>
      <c r="AG888" s="304"/>
      <c r="AH888" s="304"/>
      <c r="AI888" s="304"/>
      <c r="AJ888" s="304"/>
      <c r="AK888" s="305"/>
      <c r="AL888" s="283"/>
      <c r="AM888" s="284"/>
    </row>
    <row r="889" ht="15.75" customHeight="1">
      <c r="A889" s="282">
        <f t="shared" si="1"/>
        <v>885</v>
      </c>
      <c r="B889" s="283"/>
      <c r="C889" s="284"/>
      <c r="D889" s="338"/>
      <c r="E889" s="286"/>
      <c r="F889" s="287"/>
      <c r="G889" s="288" t="str">
        <f>+IFERROR(VLOOKUP(F889,NVL!$B:$C,2,0),"")</f>
        <v/>
      </c>
      <c r="H889" s="288" t="str">
        <f>+IFERROR(VLOOKUP(F889,NVL!$B:$D,3,0),"")</f>
        <v/>
      </c>
      <c r="I889" s="288" t="str">
        <f>+IFERROR(VLOOKUP(F889,NVL!$B:$F,4,0),"")</f>
        <v/>
      </c>
      <c r="J889" s="289"/>
      <c r="K889" s="290"/>
      <c r="L889" s="291" t="str">
        <f>+IFERROR(VLOOKUP(K889,'THÀNH PHẨM'!$B:$F,3,0),"")</f>
        <v/>
      </c>
      <c r="M889" s="291" t="str">
        <f>+IFERROR(VLOOKUP(K889,'THÀNH PHẨM'!$B:$F,4,0),"")</f>
        <v/>
      </c>
      <c r="N889" s="291" t="str">
        <f>+IFERROR(VLOOKUP(K889,'THÀNH PHẨM'!$B:$F,5,0),"")</f>
        <v/>
      </c>
      <c r="O889" s="289"/>
      <c r="P889" s="292">
        <f t="shared" si="2"/>
        <v>0</v>
      </c>
      <c r="Q889" s="289"/>
      <c r="R889" s="289"/>
      <c r="S889" s="293">
        <f t="shared" si="62"/>
        <v>0</v>
      </c>
      <c r="T889" s="294"/>
      <c r="U889" s="295" t="str">
        <f>IFERROR(VLOOKUP(G889,'KL NÒNG ỐNG'!$B$2:$E$16,4,0)*I889*V889,"")</f>
        <v/>
      </c>
      <c r="V889" s="296"/>
      <c r="W889" s="297"/>
      <c r="X889" s="298"/>
      <c r="Y889" s="292" t="str">
        <f t="shared" si="69"/>
        <v/>
      </c>
      <c r="Z889" s="366">
        <f t="shared" si="70"/>
        <v>0</v>
      </c>
      <c r="AA889" s="299" t="str">
        <f t="shared" si="71"/>
        <v/>
      </c>
      <c r="AB889" s="300"/>
      <c r="AC889" s="301"/>
      <c r="AD889" s="302"/>
      <c r="AE889" s="303"/>
      <c r="AF889" s="304"/>
      <c r="AG889" s="304"/>
      <c r="AH889" s="304"/>
      <c r="AI889" s="304"/>
      <c r="AJ889" s="304"/>
      <c r="AK889" s="305"/>
      <c r="AL889" s="283"/>
      <c r="AM889" s="284"/>
    </row>
    <row r="890" ht="15.75" customHeight="1">
      <c r="A890" s="282">
        <f t="shared" si="1"/>
        <v>886</v>
      </c>
      <c r="B890" s="283"/>
      <c r="C890" s="284"/>
      <c r="D890" s="338"/>
      <c r="E890" s="286"/>
      <c r="F890" s="287"/>
      <c r="G890" s="288" t="str">
        <f>+IFERROR(VLOOKUP(F890,NVL!$B:$C,2,0),"")</f>
        <v/>
      </c>
      <c r="H890" s="288" t="str">
        <f>+IFERROR(VLOOKUP(F890,NVL!$B:$D,3,0),"")</f>
        <v/>
      </c>
      <c r="I890" s="288" t="str">
        <f>+IFERROR(VLOOKUP(F890,NVL!$B:$F,4,0),"")</f>
        <v/>
      </c>
      <c r="J890" s="289"/>
      <c r="K890" s="290"/>
      <c r="L890" s="291" t="str">
        <f>+IFERROR(VLOOKUP(K890,'THÀNH PHẨM'!$B:$F,3,0),"")</f>
        <v/>
      </c>
      <c r="M890" s="291" t="str">
        <f>+IFERROR(VLOOKUP(K890,'THÀNH PHẨM'!$B:$F,4,0),"")</f>
        <v/>
      </c>
      <c r="N890" s="291" t="str">
        <f>+IFERROR(VLOOKUP(K890,'THÀNH PHẨM'!$B:$F,5,0),"")</f>
        <v/>
      </c>
      <c r="O890" s="289"/>
      <c r="P890" s="292">
        <f t="shared" si="2"/>
        <v>0</v>
      </c>
      <c r="Q890" s="289"/>
      <c r="R890" s="289"/>
      <c r="S890" s="293">
        <f t="shared" si="62"/>
        <v>0</v>
      </c>
      <c r="T890" s="294"/>
      <c r="U890" s="295" t="str">
        <f>IFERROR(VLOOKUP(G890,'KL NÒNG ỐNG'!$B$2:$E$16,4,0)*I890*V890,"")</f>
        <v/>
      </c>
      <c r="V890" s="296"/>
      <c r="W890" s="297"/>
      <c r="X890" s="298"/>
      <c r="Y890" s="292" t="str">
        <f t="shared" si="69"/>
        <v/>
      </c>
      <c r="Z890" s="366">
        <f t="shared" si="70"/>
        <v>0</v>
      </c>
      <c r="AA890" s="299" t="str">
        <f t="shared" si="71"/>
        <v/>
      </c>
      <c r="AB890" s="300"/>
      <c r="AC890" s="301"/>
      <c r="AD890" s="302"/>
      <c r="AE890" s="303"/>
      <c r="AF890" s="304"/>
      <c r="AG890" s="304"/>
      <c r="AH890" s="304"/>
      <c r="AI890" s="304"/>
      <c r="AJ890" s="304"/>
      <c r="AK890" s="305"/>
      <c r="AL890" s="283"/>
      <c r="AM890" s="284"/>
    </row>
    <row r="891" ht="15.75" customHeight="1">
      <c r="A891" s="282">
        <f t="shared" si="1"/>
        <v>887</v>
      </c>
      <c r="B891" s="283"/>
      <c r="C891" s="284"/>
      <c r="D891" s="338"/>
      <c r="E891" s="286"/>
      <c r="F891" s="287"/>
      <c r="G891" s="288" t="str">
        <f>+IFERROR(VLOOKUP(F891,NVL!$B:$C,2,0),"")</f>
        <v/>
      </c>
      <c r="H891" s="288" t="str">
        <f>+IFERROR(VLOOKUP(F891,NVL!$B:$D,3,0),"")</f>
        <v/>
      </c>
      <c r="I891" s="288" t="str">
        <f>+IFERROR(VLOOKUP(F891,NVL!$B:$F,4,0),"")</f>
        <v/>
      </c>
      <c r="J891" s="289"/>
      <c r="K891" s="290"/>
      <c r="L891" s="291" t="str">
        <f>+IFERROR(VLOOKUP(K891,'THÀNH PHẨM'!$B:$F,3,0),"")</f>
        <v/>
      </c>
      <c r="M891" s="291" t="str">
        <f>+IFERROR(VLOOKUP(K891,'THÀNH PHẨM'!$B:$F,4,0),"")</f>
        <v/>
      </c>
      <c r="N891" s="291" t="str">
        <f>+IFERROR(VLOOKUP(K891,'THÀNH PHẨM'!$B:$F,5,0),"")</f>
        <v/>
      </c>
      <c r="O891" s="289"/>
      <c r="P891" s="292">
        <f t="shared" si="2"/>
        <v>0</v>
      </c>
      <c r="Q891" s="289"/>
      <c r="R891" s="289"/>
      <c r="S891" s="293">
        <f t="shared" si="62"/>
        <v>0</v>
      </c>
      <c r="T891" s="294"/>
      <c r="U891" s="295" t="str">
        <f>IFERROR(VLOOKUP(G891,'KL NÒNG ỐNG'!$B$2:$E$16,4,0)*I891*V891,"")</f>
        <v/>
      </c>
      <c r="V891" s="296"/>
      <c r="W891" s="297"/>
      <c r="X891" s="298"/>
      <c r="Y891" s="292" t="str">
        <f t="shared" si="69"/>
        <v/>
      </c>
      <c r="Z891" s="366">
        <f t="shared" si="70"/>
        <v>0</v>
      </c>
      <c r="AA891" s="299" t="str">
        <f t="shared" si="71"/>
        <v/>
      </c>
      <c r="AB891" s="300"/>
      <c r="AC891" s="301"/>
      <c r="AD891" s="302"/>
      <c r="AE891" s="303"/>
      <c r="AF891" s="304"/>
      <c r="AG891" s="304"/>
      <c r="AH891" s="304"/>
      <c r="AI891" s="304"/>
      <c r="AJ891" s="304"/>
      <c r="AK891" s="305"/>
      <c r="AL891" s="283"/>
      <c r="AM891" s="284"/>
    </row>
    <row r="892" ht="15.75" customHeight="1">
      <c r="A892" s="282">
        <f t="shared" si="1"/>
        <v>888</v>
      </c>
      <c r="B892" s="283"/>
      <c r="C892" s="284"/>
      <c r="D892" s="338"/>
      <c r="E892" s="286"/>
      <c r="F892" s="287"/>
      <c r="G892" s="288" t="str">
        <f>+IFERROR(VLOOKUP(F892,NVL!$B:$C,2,0),"")</f>
        <v/>
      </c>
      <c r="H892" s="288" t="str">
        <f>+IFERROR(VLOOKUP(F892,NVL!$B:$D,3,0),"")</f>
        <v/>
      </c>
      <c r="I892" s="288" t="str">
        <f>+IFERROR(VLOOKUP(F892,NVL!$B:$F,4,0),"")</f>
        <v/>
      </c>
      <c r="J892" s="289"/>
      <c r="K892" s="290"/>
      <c r="L892" s="291" t="str">
        <f>+IFERROR(VLOOKUP(K892,'THÀNH PHẨM'!$B:$F,3,0),"")</f>
        <v/>
      </c>
      <c r="M892" s="291" t="str">
        <f>+IFERROR(VLOOKUP(K892,'THÀNH PHẨM'!$B:$F,4,0),"")</f>
        <v/>
      </c>
      <c r="N892" s="291" t="str">
        <f>+IFERROR(VLOOKUP(K892,'THÀNH PHẨM'!$B:$F,5,0),"")</f>
        <v/>
      </c>
      <c r="O892" s="289"/>
      <c r="P892" s="292">
        <f t="shared" si="2"/>
        <v>0</v>
      </c>
      <c r="Q892" s="289"/>
      <c r="R892" s="289"/>
      <c r="S892" s="293">
        <f t="shared" si="62"/>
        <v>0</v>
      </c>
      <c r="T892" s="294"/>
      <c r="U892" s="295" t="str">
        <f>IFERROR(VLOOKUP(G892,'KL NÒNG ỐNG'!$B$2:$E$16,4,0)*I892*V892,"")</f>
        <v/>
      </c>
      <c r="V892" s="296"/>
      <c r="W892" s="297"/>
      <c r="X892" s="298"/>
      <c r="Y892" s="292" t="str">
        <f t="shared" si="69"/>
        <v/>
      </c>
      <c r="Z892" s="366">
        <f t="shared" si="70"/>
        <v>0</v>
      </c>
      <c r="AA892" s="299" t="str">
        <f t="shared" si="71"/>
        <v/>
      </c>
      <c r="AB892" s="300"/>
      <c r="AC892" s="301"/>
      <c r="AD892" s="302"/>
      <c r="AE892" s="303"/>
      <c r="AF892" s="304"/>
      <c r="AG892" s="304"/>
      <c r="AH892" s="304"/>
      <c r="AI892" s="304"/>
      <c r="AJ892" s="304"/>
      <c r="AK892" s="305"/>
      <c r="AL892" s="283"/>
      <c r="AM892" s="284"/>
    </row>
    <row r="893" ht="15.75" customHeight="1">
      <c r="A893" s="282">
        <f t="shared" si="1"/>
        <v>889</v>
      </c>
      <c r="B893" s="283"/>
      <c r="C893" s="284"/>
      <c r="D893" s="338"/>
      <c r="E893" s="286"/>
      <c r="F893" s="287"/>
      <c r="G893" s="288" t="str">
        <f>+IFERROR(VLOOKUP(F893,NVL!$B:$C,2,0),"")</f>
        <v/>
      </c>
      <c r="H893" s="288" t="str">
        <f>+IFERROR(VLOOKUP(F893,NVL!$B:$D,3,0),"")</f>
        <v/>
      </c>
      <c r="I893" s="288" t="str">
        <f>+IFERROR(VLOOKUP(F893,NVL!$B:$F,4,0),"")</f>
        <v/>
      </c>
      <c r="J893" s="289"/>
      <c r="K893" s="290"/>
      <c r="L893" s="291" t="str">
        <f>+IFERROR(VLOOKUP(K893,'THÀNH PHẨM'!$B:$F,3,0),"")</f>
        <v/>
      </c>
      <c r="M893" s="291" t="str">
        <f>+IFERROR(VLOOKUP(K893,'THÀNH PHẨM'!$B:$F,4,0),"")</f>
        <v/>
      </c>
      <c r="N893" s="291" t="str">
        <f>+IFERROR(VLOOKUP(K893,'THÀNH PHẨM'!$B:$F,5,0),"")</f>
        <v/>
      </c>
      <c r="O893" s="289"/>
      <c r="P893" s="292">
        <f t="shared" si="2"/>
        <v>0</v>
      </c>
      <c r="Q893" s="289"/>
      <c r="R893" s="289"/>
      <c r="S893" s="293">
        <f t="shared" si="62"/>
        <v>0</v>
      </c>
      <c r="T893" s="294"/>
      <c r="U893" s="295" t="str">
        <f>IFERROR(VLOOKUP(G893,'KL NÒNG ỐNG'!$B$2:$E$16,4,0)*I893*V893,"")</f>
        <v/>
      </c>
      <c r="V893" s="296"/>
      <c r="W893" s="297"/>
      <c r="X893" s="298"/>
      <c r="Y893" s="292" t="str">
        <f t="shared" si="69"/>
        <v/>
      </c>
      <c r="Z893" s="366">
        <f t="shared" si="70"/>
        <v>0</v>
      </c>
      <c r="AA893" s="299" t="str">
        <f t="shared" si="71"/>
        <v/>
      </c>
      <c r="AB893" s="300"/>
      <c r="AC893" s="301"/>
      <c r="AD893" s="302"/>
      <c r="AE893" s="303"/>
      <c r="AF893" s="304"/>
      <c r="AG893" s="304"/>
      <c r="AH893" s="304"/>
      <c r="AI893" s="304"/>
      <c r="AJ893" s="304"/>
      <c r="AK893" s="305"/>
      <c r="AL893" s="283"/>
      <c r="AM893" s="284"/>
    </row>
    <row r="894" ht="15.75" customHeight="1">
      <c r="A894" s="282">
        <f t="shared" si="1"/>
        <v>890</v>
      </c>
      <c r="B894" s="283"/>
      <c r="C894" s="284"/>
      <c r="D894" s="338"/>
      <c r="E894" s="286"/>
      <c r="F894" s="287"/>
      <c r="G894" s="288" t="str">
        <f>+IFERROR(VLOOKUP(F894,NVL!$B:$C,2,0),"")</f>
        <v/>
      </c>
      <c r="H894" s="288" t="str">
        <f>+IFERROR(VLOOKUP(F894,NVL!$B:$D,3,0),"")</f>
        <v/>
      </c>
      <c r="I894" s="288" t="str">
        <f>+IFERROR(VLOOKUP(F894,NVL!$B:$F,4,0),"")</f>
        <v/>
      </c>
      <c r="J894" s="289"/>
      <c r="K894" s="290"/>
      <c r="L894" s="291" t="str">
        <f>+IFERROR(VLOOKUP(K894,'THÀNH PHẨM'!$B:$F,3,0),"")</f>
        <v/>
      </c>
      <c r="M894" s="291" t="str">
        <f>+IFERROR(VLOOKUP(K894,'THÀNH PHẨM'!$B:$F,4,0),"")</f>
        <v/>
      </c>
      <c r="N894" s="291" t="str">
        <f>+IFERROR(VLOOKUP(K894,'THÀNH PHẨM'!$B:$F,5,0),"")</f>
        <v/>
      </c>
      <c r="O894" s="289"/>
      <c r="P894" s="292">
        <f t="shared" si="2"/>
        <v>0</v>
      </c>
      <c r="Q894" s="289"/>
      <c r="R894" s="289"/>
      <c r="S894" s="293">
        <f t="shared" si="62"/>
        <v>0</v>
      </c>
      <c r="T894" s="294"/>
      <c r="U894" s="295" t="str">
        <f>IFERROR(VLOOKUP(G894,'KL NÒNG ỐNG'!$B$2:$E$16,4,0)*I894*V894,"")</f>
        <v/>
      </c>
      <c r="V894" s="296"/>
      <c r="W894" s="297"/>
      <c r="X894" s="298"/>
      <c r="Y894" s="292" t="str">
        <f t="shared" si="69"/>
        <v/>
      </c>
      <c r="Z894" s="366">
        <f t="shared" si="70"/>
        <v>0</v>
      </c>
      <c r="AA894" s="299" t="str">
        <f t="shared" si="71"/>
        <v/>
      </c>
      <c r="AB894" s="300"/>
      <c r="AC894" s="301"/>
      <c r="AD894" s="302"/>
      <c r="AE894" s="303"/>
      <c r="AF894" s="304"/>
      <c r="AG894" s="304"/>
      <c r="AH894" s="304"/>
      <c r="AI894" s="304"/>
      <c r="AJ894" s="304"/>
      <c r="AK894" s="305"/>
      <c r="AL894" s="283"/>
      <c r="AM894" s="284"/>
    </row>
    <row r="895" ht="15.75" customHeight="1">
      <c r="A895" s="282">
        <f t="shared" si="1"/>
        <v>891</v>
      </c>
      <c r="B895" s="283"/>
      <c r="C895" s="284"/>
      <c r="D895" s="338"/>
      <c r="E895" s="286"/>
      <c r="F895" s="287"/>
      <c r="G895" s="288" t="str">
        <f>+IFERROR(VLOOKUP(F895,NVL!$B:$C,2,0),"")</f>
        <v/>
      </c>
      <c r="H895" s="288" t="str">
        <f>+IFERROR(VLOOKUP(F895,NVL!$B:$D,3,0),"")</f>
        <v/>
      </c>
      <c r="I895" s="288" t="str">
        <f>+IFERROR(VLOOKUP(F895,NVL!$B:$F,4,0),"")</f>
        <v/>
      </c>
      <c r="J895" s="289"/>
      <c r="K895" s="290"/>
      <c r="L895" s="291" t="str">
        <f>+IFERROR(VLOOKUP(K895,'THÀNH PHẨM'!$B:$F,3,0),"")</f>
        <v/>
      </c>
      <c r="M895" s="291" t="str">
        <f>+IFERROR(VLOOKUP(K895,'THÀNH PHẨM'!$B:$F,4,0),"")</f>
        <v/>
      </c>
      <c r="N895" s="291" t="str">
        <f>+IFERROR(VLOOKUP(K895,'THÀNH PHẨM'!$B:$F,5,0),"")</f>
        <v/>
      </c>
      <c r="O895" s="289"/>
      <c r="P895" s="292">
        <f t="shared" si="2"/>
        <v>0</v>
      </c>
      <c r="Q895" s="289"/>
      <c r="R895" s="289"/>
      <c r="S895" s="293">
        <f t="shared" si="62"/>
        <v>0</v>
      </c>
      <c r="T895" s="294"/>
      <c r="U895" s="295" t="str">
        <f>IFERROR(VLOOKUP(G895,'KL NÒNG ỐNG'!$B$2:$E$16,4,0)*I895*V895,"")</f>
        <v/>
      </c>
      <c r="V895" s="296"/>
      <c r="W895" s="297"/>
      <c r="X895" s="298"/>
      <c r="Y895" s="292" t="str">
        <f t="shared" si="69"/>
        <v/>
      </c>
      <c r="Z895" s="366">
        <f t="shared" si="70"/>
        <v>0</v>
      </c>
      <c r="AA895" s="299" t="str">
        <f t="shared" si="71"/>
        <v/>
      </c>
      <c r="AB895" s="300"/>
      <c r="AC895" s="301"/>
      <c r="AD895" s="302"/>
      <c r="AE895" s="303"/>
      <c r="AF895" s="304"/>
      <c r="AG895" s="304"/>
      <c r="AH895" s="304"/>
      <c r="AI895" s="304"/>
      <c r="AJ895" s="304"/>
      <c r="AK895" s="305"/>
      <c r="AL895" s="283"/>
      <c r="AM895" s="284"/>
    </row>
    <row r="896" ht="15.75" customHeight="1">
      <c r="A896" s="282">
        <f t="shared" si="1"/>
        <v>892</v>
      </c>
      <c r="B896" s="283"/>
      <c r="C896" s="284"/>
      <c r="D896" s="338"/>
      <c r="E896" s="286"/>
      <c r="F896" s="287"/>
      <c r="G896" s="288" t="str">
        <f>+IFERROR(VLOOKUP(F896,NVL!$B:$C,2,0),"")</f>
        <v/>
      </c>
      <c r="H896" s="288" t="str">
        <f>+IFERROR(VLOOKUP(F896,NVL!$B:$D,3,0),"")</f>
        <v/>
      </c>
      <c r="I896" s="288" t="str">
        <f>+IFERROR(VLOOKUP(F896,NVL!$B:$F,4,0),"")</f>
        <v/>
      </c>
      <c r="J896" s="289"/>
      <c r="K896" s="290"/>
      <c r="L896" s="291" t="str">
        <f>+IFERROR(VLOOKUP(K896,'THÀNH PHẨM'!$B:$F,3,0),"")</f>
        <v/>
      </c>
      <c r="M896" s="291" t="str">
        <f>+IFERROR(VLOOKUP(K896,'THÀNH PHẨM'!$B:$F,4,0),"")</f>
        <v/>
      </c>
      <c r="N896" s="291" t="str">
        <f>+IFERROR(VLOOKUP(K896,'THÀNH PHẨM'!$B:$F,5,0),"")</f>
        <v/>
      </c>
      <c r="O896" s="289"/>
      <c r="P896" s="292">
        <f t="shared" si="2"/>
        <v>0</v>
      </c>
      <c r="Q896" s="289"/>
      <c r="R896" s="289"/>
      <c r="S896" s="293">
        <f t="shared" si="62"/>
        <v>0</v>
      </c>
      <c r="T896" s="294"/>
      <c r="U896" s="295" t="str">
        <f>IFERROR(VLOOKUP(G896,'KL NÒNG ỐNG'!$B$2:$E$16,4,0)*I896*V896,"")</f>
        <v/>
      </c>
      <c r="V896" s="296"/>
      <c r="W896" s="297"/>
      <c r="X896" s="298"/>
      <c r="Y896" s="292" t="str">
        <f t="shared" si="69"/>
        <v/>
      </c>
      <c r="Z896" s="366">
        <f t="shared" si="70"/>
        <v>0</v>
      </c>
      <c r="AA896" s="299" t="str">
        <f t="shared" si="71"/>
        <v/>
      </c>
      <c r="AB896" s="300"/>
      <c r="AC896" s="301"/>
      <c r="AD896" s="302"/>
      <c r="AE896" s="303"/>
      <c r="AF896" s="304"/>
      <c r="AG896" s="304"/>
      <c r="AH896" s="304"/>
      <c r="AI896" s="304"/>
      <c r="AJ896" s="304"/>
      <c r="AK896" s="305"/>
      <c r="AL896" s="283"/>
      <c r="AM896" s="284"/>
    </row>
    <row r="897" ht="15.75" customHeight="1">
      <c r="A897" s="282">
        <f t="shared" si="1"/>
        <v>893</v>
      </c>
      <c r="B897" s="283"/>
      <c r="C897" s="284"/>
      <c r="D897" s="338"/>
      <c r="E897" s="286"/>
      <c r="F897" s="287"/>
      <c r="G897" s="288" t="str">
        <f>+IFERROR(VLOOKUP(F897,NVL!$B:$C,2,0),"")</f>
        <v/>
      </c>
      <c r="H897" s="288" t="str">
        <f>+IFERROR(VLOOKUP(F897,NVL!$B:$D,3,0),"")</f>
        <v/>
      </c>
      <c r="I897" s="288" t="str">
        <f>+IFERROR(VLOOKUP(F897,NVL!$B:$F,4,0),"")</f>
        <v/>
      </c>
      <c r="J897" s="289"/>
      <c r="K897" s="290"/>
      <c r="L897" s="291" t="str">
        <f>+IFERROR(VLOOKUP(K897,'THÀNH PHẨM'!$B:$F,3,0),"")</f>
        <v/>
      </c>
      <c r="M897" s="291" t="str">
        <f>+IFERROR(VLOOKUP(K897,'THÀNH PHẨM'!$B:$F,4,0),"")</f>
        <v/>
      </c>
      <c r="N897" s="291" t="str">
        <f>+IFERROR(VLOOKUP(K897,'THÀNH PHẨM'!$B:$F,5,0),"")</f>
        <v/>
      </c>
      <c r="O897" s="289"/>
      <c r="P897" s="292">
        <f t="shared" si="2"/>
        <v>0</v>
      </c>
      <c r="Q897" s="289"/>
      <c r="R897" s="289"/>
      <c r="S897" s="293">
        <f t="shared" si="62"/>
        <v>0</v>
      </c>
      <c r="T897" s="294"/>
      <c r="U897" s="295" t="str">
        <f>IFERROR(VLOOKUP(G897,'KL NÒNG ỐNG'!$B$2:$E$16,4,0)*I897*V897,"")</f>
        <v/>
      </c>
      <c r="V897" s="296"/>
      <c r="W897" s="297"/>
      <c r="X897" s="298"/>
      <c r="Y897" s="292" t="str">
        <f t="shared" si="69"/>
        <v/>
      </c>
      <c r="Z897" s="366">
        <f t="shared" si="70"/>
        <v>0</v>
      </c>
      <c r="AA897" s="299" t="str">
        <f t="shared" si="71"/>
        <v/>
      </c>
      <c r="AB897" s="300"/>
      <c r="AC897" s="301"/>
      <c r="AD897" s="302"/>
      <c r="AE897" s="303"/>
      <c r="AF897" s="304"/>
      <c r="AG897" s="304"/>
      <c r="AH897" s="304"/>
      <c r="AI897" s="304"/>
      <c r="AJ897" s="304"/>
      <c r="AK897" s="305"/>
      <c r="AL897" s="283"/>
      <c r="AM897" s="284"/>
    </row>
    <row r="898" ht="15.75" customHeight="1">
      <c r="A898" s="282">
        <f t="shared" si="1"/>
        <v>894</v>
      </c>
      <c r="B898" s="283"/>
      <c r="C898" s="284"/>
      <c r="D898" s="338"/>
      <c r="E898" s="286"/>
      <c r="F898" s="287"/>
      <c r="G898" s="288" t="str">
        <f>+IFERROR(VLOOKUP(F898,NVL!$B:$C,2,0),"")</f>
        <v/>
      </c>
      <c r="H898" s="288" t="str">
        <f>+IFERROR(VLOOKUP(F898,NVL!$B:$D,3,0),"")</f>
        <v/>
      </c>
      <c r="I898" s="288" t="str">
        <f>+IFERROR(VLOOKUP(F898,NVL!$B:$F,4,0),"")</f>
        <v/>
      </c>
      <c r="J898" s="289"/>
      <c r="K898" s="290"/>
      <c r="L898" s="291" t="str">
        <f>+IFERROR(VLOOKUP(K898,'THÀNH PHẨM'!$B:$F,3,0),"")</f>
        <v/>
      </c>
      <c r="M898" s="291" t="str">
        <f>+IFERROR(VLOOKUP(K898,'THÀNH PHẨM'!$B:$F,4,0),"")</f>
        <v/>
      </c>
      <c r="N898" s="291" t="str">
        <f>+IFERROR(VLOOKUP(K898,'THÀNH PHẨM'!$B:$F,5,0),"")</f>
        <v/>
      </c>
      <c r="O898" s="289"/>
      <c r="P898" s="292">
        <f t="shared" si="2"/>
        <v>0</v>
      </c>
      <c r="Q898" s="289"/>
      <c r="R898" s="289"/>
      <c r="S898" s="293">
        <f t="shared" si="62"/>
        <v>0</v>
      </c>
      <c r="T898" s="294"/>
      <c r="U898" s="295" t="str">
        <f>IFERROR(VLOOKUP(G898,'KL NÒNG ỐNG'!$B$2:$E$16,4,0)*I898*V898,"")</f>
        <v/>
      </c>
      <c r="V898" s="296"/>
      <c r="W898" s="297"/>
      <c r="X898" s="298"/>
      <c r="Y898" s="292" t="str">
        <f t="shared" si="69"/>
        <v/>
      </c>
      <c r="Z898" s="366">
        <f t="shared" si="70"/>
        <v>0</v>
      </c>
      <c r="AA898" s="299" t="str">
        <f t="shared" si="71"/>
        <v/>
      </c>
      <c r="AB898" s="300"/>
      <c r="AC898" s="301"/>
      <c r="AD898" s="302"/>
      <c r="AE898" s="303"/>
      <c r="AF898" s="304"/>
      <c r="AG898" s="304"/>
      <c r="AH898" s="304"/>
      <c r="AI898" s="304"/>
      <c r="AJ898" s="304"/>
      <c r="AK898" s="305"/>
      <c r="AL898" s="283"/>
      <c r="AM898" s="284"/>
    </row>
    <row r="899" ht="15.75" customHeight="1">
      <c r="A899" s="282">
        <f t="shared" si="1"/>
        <v>895</v>
      </c>
      <c r="B899" s="283"/>
      <c r="C899" s="284"/>
      <c r="D899" s="338"/>
      <c r="E899" s="286"/>
      <c r="F899" s="287"/>
      <c r="G899" s="288" t="str">
        <f>+IFERROR(VLOOKUP(F899,NVL!$B:$C,2,0),"")</f>
        <v/>
      </c>
      <c r="H899" s="288" t="str">
        <f>+IFERROR(VLOOKUP(F899,NVL!$B:$D,3,0),"")</f>
        <v/>
      </c>
      <c r="I899" s="288" t="str">
        <f>+IFERROR(VLOOKUP(F899,NVL!$B:$F,4,0),"")</f>
        <v/>
      </c>
      <c r="J899" s="289"/>
      <c r="K899" s="290"/>
      <c r="L899" s="291" t="str">
        <f>+IFERROR(VLOOKUP(K899,'THÀNH PHẨM'!$B:$F,3,0),"")</f>
        <v/>
      </c>
      <c r="M899" s="291" t="str">
        <f>+IFERROR(VLOOKUP(K899,'THÀNH PHẨM'!$B:$F,4,0),"")</f>
        <v/>
      </c>
      <c r="N899" s="291" t="str">
        <f>+IFERROR(VLOOKUP(K899,'THÀNH PHẨM'!$B:$F,5,0),"")</f>
        <v/>
      </c>
      <c r="O899" s="289"/>
      <c r="P899" s="292">
        <f t="shared" si="2"/>
        <v>0</v>
      </c>
      <c r="Q899" s="289"/>
      <c r="R899" s="289"/>
      <c r="S899" s="293">
        <f t="shared" si="62"/>
        <v>0</v>
      </c>
      <c r="T899" s="294"/>
      <c r="U899" s="295" t="str">
        <f>IFERROR(VLOOKUP(G899,'KL NÒNG ỐNG'!$B$2:$E$16,4,0)*I899*V899,"")</f>
        <v/>
      </c>
      <c r="V899" s="296"/>
      <c r="W899" s="297"/>
      <c r="X899" s="298"/>
      <c r="Y899" s="292" t="str">
        <f t="shared" si="69"/>
        <v/>
      </c>
      <c r="Z899" s="366">
        <f t="shared" si="70"/>
        <v>0</v>
      </c>
      <c r="AA899" s="299" t="str">
        <f t="shared" si="71"/>
        <v/>
      </c>
      <c r="AB899" s="300"/>
      <c r="AC899" s="301"/>
      <c r="AD899" s="302"/>
      <c r="AE899" s="303"/>
      <c r="AF899" s="304"/>
      <c r="AG899" s="304"/>
      <c r="AH899" s="304"/>
      <c r="AI899" s="304"/>
      <c r="AJ899" s="304"/>
      <c r="AK899" s="305"/>
      <c r="AL899" s="283"/>
      <c r="AM899" s="284"/>
    </row>
    <row r="900" ht="15.75" customHeight="1">
      <c r="A900" s="282">
        <f t="shared" si="1"/>
        <v>896</v>
      </c>
      <c r="B900" s="283"/>
      <c r="C900" s="284"/>
      <c r="D900" s="338"/>
      <c r="E900" s="286"/>
      <c r="F900" s="287"/>
      <c r="G900" s="288" t="str">
        <f>+IFERROR(VLOOKUP(F900,NVL!$B:$C,2,0),"")</f>
        <v/>
      </c>
      <c r="H900" s="288" t="str">
        <f>+IFERROR(VLOOKUP(F900,NVL!$B:$D,3,0),"")</f>
        <v/>
      </c>
      <c r="I900" s="288" t="str">
        <f>+IFERROR(VLOOKUP(F900,NVL!$B:$F,4,0),"")</f>
        <v/>
      </c>
      <c r="J900" s="289"/>
      <c r="K900" s="290"/>
      <c r="L900" s="291" t="str">
        <f>+IFERROR(VLOOKUP(K900,'THÀNH PHẨM'!$B:$F,3,0),"")</f>
        <v/>
      </c>
      <c r="M900" s="291" t="str">
        <f>+IFERROR(VLOOKUP(K900,'THÀNH PHẨM'!$B:$F,4,0),"")</f>
        <v/>
      </c>
      <c r="N900" s="291" t="str">
        <f>+IFERROR(VLOOKUP(K900,'THÀNH PHẨM'!$B:$F,5,0),"")</f>
        <v/>
      </c>
      <c r="O900" s="289"/>
      <c r="P900" s="292">
        <f t="shared" si="2"/>
        <v>0</v>
      </c>
      <c r="Q900" s="289"/>
      <c r="R900" s="289"/>
      <c r="S900" s="293">
        <f t="shared" si="62"/>
        <v>0</v>
      </c>
      <c r="T900" s="294"/>
      <c r="U900" s="295" t="str">
        <f>IFERROR(VLOOKUP(G900,'KL NÒNG ỐNG'!$B$2:$E$16,4,0)*I900*V900,"")</f>
        <v/>
      </c>
      <c r="V900" s="296"/>
      <c r="W900" s="297"/>
      <c r="X900" s="298"/>
      <c r="Y900" s="292" t="str">
        <f t="shared" si="69"/>
        <v/>
      </c>
      <c r="Z900" s="366">
        <f t="shared" si="70"/>
        <v>0</v>
      </c>
      <c r="AA900" s="299" t="str">
        <f t="shared" si="71"/>
        <v/>
      </c>
      <c r="AB900" s="300"/>
      <c r="AC900" s="301"/>
      <c r="AD900" s="302"/>
      <c r="AE900" s="303"/>
      <c r="AF900" s="304"/>
      <c r="AG900" s="304"/>
      <c r="AH900" s="304"/>
      <c r="AI900" s="304"/>
      <c r="AJ900" s="304"/>
      <c r="AK900" s="305"/>
      <c r="AL900" s="283"/>
      <c r="AM900" s="284"/>
    </row>
    <row r="901" ht="15.75" customHeight="1">
      <c r="A901" s="282">
        <f t="shared" si="1"/>
        <v>897</v>
      </c>
      <c r="B901" s="283"/>
      <c r="C901" s="284"/>
      <c r="D901" s="338"/>
      <c r="E901" s="286"/>
      <c r="F901" s="287"/>
      <c r="G901" s="288" t="str">
        <f>+IFERROR(VLOOKUP(F901,NVL!$B:$C,2,0),"")</f>
        <v/>
      </c>
      <c r="H901" s="288" t="str">
        <f>+IFERROR(VLOOKUP(F901,NVL!$B:$D,3,0),"")</f>
        <v/>
      </c>
      <c r="I901" s="288" t="str">
        <f>+IFERROR(VLOOKUP(F901,NVL!$B:$F,4,0),"")</f>
        <v/>
      </c>
      <c r="J901" s="289"/>
      <c r="K901" s="290"/>
      <c r="L901" s="291" t="str">
        <f>+IFERROR(VLOOKUP(K901,'THÀNH PHẨM'!$B:$F,3,0),"")</f>
        <v/>
      </c>
      <c r="M901" s="291" t="str">
        <f>+IFERROR(VLOOKUP(K901,'THÀNH PHẨM'!$B:$F,4,0),"")</f>
        <v/>
      </c>
      <c r="N901" s="291" t="str">
        <f>+IFERROR(VLOOKUP(K901,'THÀNH PHẨM'!$B:$F,5,0),"")</f>
        <v/>
      </c>
      <c r="O901" s="289"/>
      <c r="P901" s="292">
        <f t="shared" si="2"/>
        <v>0</v>
      </c>
      <c r="Q901" s="289"/>
      <c r="R901" s="289"/>
      <c r="S901" s="293">
        <f t="shared" si="62"/>
        <v>0</v>
      </c>
      <c r="T901" s="294"/>
      <c r="U901" s="295" t="str">
        <f>IFERROR(VLOOKUP(G901,'KL NÒNG ỐNG'!$B$2:$E$16,4,0)*I901*V901,"")</f>
        <v/>
      </c>
      <c r="V901" s="296"/>
      <c r="W901" s="297"/>
      <c r="X901" s="298"/>
      <c r="Y901" s="292" t="str">
        <f t="shared" si="69"/>
        <v/>
      </c>
      <c r="Z901" s="366">
        <f t="shared" si="70"/>
        <v>0</v>
      </c>
      <c r="AA901" s="299" t="str">
        <f t="shared" si="71"/>
        <v/>
      </c>
      <c r="AB901" s="300"/>
      <c r="AC901" s="301"/>
      <c r="AD901" s="302"/>
      <c r="AE901" s="303"/>
      <c r="AF901" s="304"/>
      <c r="AG901" s="304"/>
      <c r="AH901" s="304"/>
      <c r="AI901" s="304"/>
      <c r="AJ901" s="304"/>
      <c r="AK901" s="298"/>
      <c r="AL901" s="283"/>
      <c r="AM901" s="284"/>
    </row>
    <row r="902" ht="15.75" customHeight="1">
      <c r="A902" s="282">
        <f t="shared" si="1"/>
        <v>898</v>
      </c>
      <c r="B902" s="283"/>
      <c r="C902" s="284"/>
      <c r="D902" s="338"/>
      <c r="E902" s="286"/>
      <c r="F902" s="287"/>
      <c r="G902" s="288" t="str">
        <f>+IFERROR(VLOOKUP(F902,NVL!$B:$C,2,0),"")</f>
        <v/>
      </c>
      <c r="H902" s="288" t="str">
        <f>+IFERROR(VLOOKUP(F902,NVL!$B:$D,3,0),"")</f>
        <v/>
      </c>
      <c r="I902" s="288" t="str">
        <f>+IFERROR(VLOOKUP(F902,NVL!$B:$F,4,0),"")</f>
        <v/>
      </c>
      <c r="J902" s="289"/>
      <c r="K902" s="290"/>
      <c r="L902" s="291" t="str">
        <f>+IFERROR(VLOOKUP(K902,'THÀNH PHẨM'!$B:$F,3,0),"")</f>
        <v/>
      </c>
      <c r="M902" s="291" t="str">
        <f>+IFERROR(VLOOKUP(K902,'THÀNH PHẨM'!$B:$F,4,0),"")</f>
        <v/>
      </c>
      <c r="N902" s="291" t="str">
        <f>+IFERROR(VLOOKUP(K902,'THÀNH PHẨM'!$B:$F,5,0),"")</f>
        <v/>
      </c>
      <c r="O902" s="289"/>
      <c r="P902" s="292">
        <f t="shared" si="2"/>
        <v>0</v>
      </c>
      <c r="Q902" s="289"/>
      <c r="R902" s="289"/>
      <c r="S902" s="293">
        <f t="shared" si="62"/>
        <v>0</v>
      </c>
      <c r="T902" s="294"/>
      <c r="U902" s="295" t="str">
        <f>IFERROR(VLOOKUP(G902,'KL NÒNG ỐNG'!$B$2:$E$16,4,0)*I902*V902,"")</f>
        <v/>
      </c>
      <c r="V902" s="296"/>
      <c r="W902" s="297"/>
      <c r="X902" s="298"/>
      <c r="Y902" s="292" t="str">
        <f t="shared" si="69"/>
        <v/>
      </c>
      <c r="Z902" s="366">
        <f t="shared" si="70"/>
        <v>0</v>
      </c>
      <c r="AA902" s="299" t="str">
        <f t="shared" si="71"/>
        <v/>
      </c>
      <c r="AB902" s="300"/>
      <c r="AC902" s="301"/>
      <c r="AD902" s="302"/>
      <c r="AE902" s="303"/>
      <c r="AF902" s="304"/>
      <c r="AG902" s="304"/>
      <c r="AH902" s="304"/>
      <c r="AI902" s="304"/>
      <c r="AJ902" s="304"/>
      <c r="AK902" s="305"/>
      <c r="AL902" s="283"/>
      <c r="AM902" s="284"/>
    </row>
    <row r="903" ht="15.75" customHeight="1">
      <c r="A903" s="282">
        <f t="shared" si="1"/>
        <v>899</v>
      </c>
      <c r="B903" s="283"/>
      <c r="C903" s="284"/>
      <c r="D903" s="338"/>
      <c r="E903" s="286"/>
      <c r="F903" s="287"/>
      <c r="G903" s="288" t="str">
        <f>+IFERROR(VLOOKUP(F903,NVL!$B:$C,2,0),"")</f>
        <v/>
      </c>
      <c r="H903" s="288" t="str">
        <f>+IFERROR(VLOOKUP(F903,NVL!$B:$D,3,0),"")</f>
        <v/>
      </c>
      <c r="I903" s="288" t="str">
        <f>+IFERROR(VLOOKUP(F903,NVL!$B:$F,4,0),"")</f>
        <v/>
      </c>
      <c r="J903" s="289"/>
      <c r="K903" s="290"/>
      <c r="L903" s="291" t="str">
        <f>+IFERROR(VLOOKUP(K903,'THÀNH PHẨM'!$B:$F,3,0),"")</f>
        <v/>
      </c>
      <c r="M903" s="291" t="str">
        <f>+IFERROR(VLOOKUP(K903,'THÀNH PHẨM'!$B:$F,4,0),"")</f>
        <v/>
      </c>
      <c r="N903" s="291" t="str">
        <f>+IFERROR(VLOOKUP(K903,'THÀNH PHẨM'!$B:$F,5,0),"")</f>
        <v/>
      </c>
      <c r="O903" s="289"/>
      <c r="P903" s="292">
        <f t="shared" si="2"/>
        <v>0</v>
      </c>
      <c r="Q903" s="289"/>
      <c r="R903" s="289"/>
      <c r="S903" s="293">
        <f t="shared" si="62"/>
        <v>0</v>
      </c>
      <c r="T903" s="294"/>
      <c r="U903" s="295" t="str">
        <f>IFERROR(VLOOKUP(G903,'KL NÒNG ỐNG'!$B$2:$E$16,4,0)*I903*V903,"")</f>
        <v/>
      </c>
      <c r="V903" s="296"/>
      <c r="W903" s="297"/>
      <c r="X903" s="298"/>
      <c r="Y903" s="292" t="str">
        <f t="shared" si="69"/>
        <v/>
      </c>
      <c r="Z903" s="366">
        <f t="shared" si="70"/>
        <v>0</v>
      </c>
      <c r="AA903" s="299" t="str">
        <f t="shared" si="71"/>
        <v/>
      </c>
      <c r="AB903" s="300"/>
      <c r="AC903" s="301"/>
      <c r="AD903" s="302"/>
      <c r="AE903" s="303"/>
      <c r="AF903" s="304"/>
      <c r="AG903" s="304"/>
      <c r="AH903" s="304"/>
      <c r="AI903" s="304"/>
      <c r="AJ903" s="304"/>
      <c r="AK903" s="429"/>
      <c r="AL903" s="283"/>
      <c r="AM903" s="284"/>
    </row>
    <row r="904" ht="15.75" customHeight="1">
      <c r="A904" s="282">
        <f t="shared" si="1"/>
        <v>900</v>
      </c>
      <c r="B904" s="283"/>
      <c r="C904" s="284"/>
      <c r="D904" s="338"/>
      <c r="E904" s="286"/>
      <c r="F904" s="287"/>
      <c r="G904" s="288" t="str">
        <f>+IFERROR(VLOOKUP(F904,NVL!$B:$C,2,0),"")</f>
        <v/>
      </c>
      <c r="H904" s="288" t="str">
        <f>+IFERROR(VLOOKUP(F904,NVL!$B:$D,3,0),"")</f>
        <v/>
      </c>
      <c r="I904" s="288" t="str">
        <f>+IFERROR(VLOOKUP(F904,NVL!$B:$F,4,0),"")</f>
        <v/>
      </c>
      <c r="J904" s="289"/>
      <c r="K904" s="290"/>
      <c r="L904" s="291" t="str">
        <f>+IFERROR(VLOOKUP(K904,'THÀNH PHẨM'!$B:$F,3,0),"")</f>
        <v/>
      </c>
      <c r="M904" s="291" t="str">
        <f>+IFERROR(VLOOKUP(K904,'THÀNH PHẨM'!$B:$F,4,0),"")</f>
        <v/>
      </c>
      <c r="N904" s="291" t="str">
        <f>+IFERROR(VLOOKUP(K904,'THÀNH PHẨM'!$B:$F,5,0),"")</f>
        <v/>
      </c>
      <c r="O904" s="289"/>
      <c r="P904" s="292">
        <f t="shared" si="2"/>
        <v>0</v>
      </c>
      <c r="Q904" s="289"/>
      <c r="R904" s="289"/>
      <c r="S904" s="293">
        <f t="shared" si="62"/>
        <v>0</v>
      </c>
      <c r="T904" s="294"/>
      <c r="U904" s="295"/>
      <c r="V904" s="296"/>
      <c r="W904" s="297"/>
      <c r="X904" s="298"/>
      <c r="Y904" s="292" t="str">
        <f t="shared" si="69"/>
        <v/>
      </c>
      <c r="Z904" s="366">
        <f t="shared" si="70"/>
        <v>0</v>
      </c>
      <c r="AA904" s="299" t="str">
        <f t="shared" si="71"/>
        <v/>
      </c>
      <c r="AB904" s="300"/>
      <c r="AC904" s="301"/>
      <c r="AD904" s="302"/>
      <c r="AE904" s="303"/>
      <c r="AF904" s="304"/>
      <c r="AG904" s="304"/>
      <c r="AH904" s="304"/>
      <c r="AI904" s="304"/>
      <c r="AJ904" s="304"/>
      <c r="AK904" s="305"/>
      <c r="AL904" s="283"/>
      <c r="AM904" s="284"/>
    </row>
    <row r="905" ht="15.75" customHeight="1">
      <c r="A905" s="282">
        <f t="shared" si="1"/>
        <v>901</v>
      </c>
      <c r="B905" s="283"/>
      <c r="C905" s="284"/>
      <c r="D905" s="338"/>
      <c r="E905" s="286"/>
      <c r="F905" s="287"/>
      <c r="G905" s="288" t="str">
        <f>+IFERROR(VLOOKUP(F905,NVL!$B:$C,2,0),"")</f>
        <v/>
      </c>
      <c r="H905" s="288" t="str">
        <f>+IFERROR(VLOOKUP(F905,NVL!$B:$D,3,0),"")</f>
        <v/>
      </c>
      <c r="I905" s="288" t="str">
        <f>+IFERROR(VLOOKUP(F905,NVL!$B:$F,4,0),"")</f>
        <v/>
      </c>
      <c r="J905" s="289"/>
      <c r="K905" s="290"/>
      <c r="L905" s="291" t="str">
        <f>+IFERROR(VLOOKUP(K905,'THÀNH PHẨM'!$B:$F,3,0),"")</f>
        <v/>
      </c>
      <c r="M905" s="291" t="str">
        <f>+IFERROR(VLOOKUP(K905,'THÀNH PHẨM'!$B:$F,4,0),"")</f>
        <v/>
      </c>
      <c r="N905" s="291" t="str">
        <f>+IFERROR(VLOOKUP(K905,'THÀNH PHẨM'!$B:$F,5,0),"")</f>
        <v/>
      </c>
      <c r="O905" s="289"/>
      <c r="P905" s="292">
        <f t="shared" si="2"/>
        <v>0</v>
      </c>
      <c r="Q905" s="289"/>
      <c r="R905" s="289"/>
      <c r="S905" s="293">
        <f t="shared" si="62"/>
        <v>0</v>
      </c>
      <c r="T905" s="294"/>
      <c r="U905" s="295" t="str">
        <f>IFERROR(VLOOKUP(G905,'KL NÒNG ỐNG'!$B$2:$E$16,4,0)*I905*V905,"")</f>
        <v/>
      </c>
      <c r="V905" s="296"/>
      <c r="W905" s="297"/>
      <c r="X905" s="298"/>
      <c r="Y905" s="292" t="str">
        <f t="shared" si="69"/>
        <v/>
      </c>
      <c r="Z905" s="366">
        <f t="shared" si="70"/>
        <v>0</v>
      </c>
      <c r="AA905" s="299" t="str">
        <f t="shared" si="71"/>
        <v/>
      </c>
      <c r="AB905" s="300"/>
      <c r="AC905" s="301"/>
      <c r="AD905" s="302"/>
      <c r="AE905" s="303"/>
      <c r="AF905" s="304"/>
      <c r="AG905" s="304"/>
      <c r="AH905" s="304"/>
      <c r="AI905" s="304"/>
      <c r="AJ905" s="304"/>
      <c r="AK905" s="305"/>
      <c r="AL905" s="283"/>
      <c r="AM905" s="284"/>
    </row>
    <row r="906" ht="15.75" customHeight="1">
      <c r="A906" s="282">
        <f t="shared" si="1"/>
        <v>902</v>
      </c>
      <c r="B906" s="283"/>
      <c r="C906" s="284"/>
      <c r="D906" s="338"/>
      <c r="E906" s="286"/>
      <c r="F906" s="287"/>
      <c r="G906" s="288" t="str">
        <f>+IFERROR(VLOOKUP(F906,NVL!$B:$C,2,0),"")</f>
        <v/>
      </c>
      <c r="H906" s="288" t="str">
        <f>+IFERROR(VLOOKUP(F906,NVL!$B:$D,3,0),"")</f>
        <v/>
      </c>
      <c r="I906" s="288" t="str">
        <f>+IFERROR(VLOOKUP(F906,NVL!$B:$F,4,0),"")</f>
        <v/>
      </c>
      <c r="J906" s="289"/>
      <c r="K906" s="290"/>
      <c r="L906" s="291" t="str">
        <f>+IFERROR(VLOOKUP(K906,'THÀNH PHẨM'!$B:$F,3,0),"")</f>
        <v/>
      </c>
      <c r="M906" s="291" t="str">
        <f>+IFERROR(VLOOKUP(K906,'THÀNH PHẨM'!$B:$F,4,0),"")</f>
        <v/>
      </c>
      <c r="N906" s="291" t="str">
        <f>+IFERROR(VLOOKUP(K906,'THÀNH PHẨM'!$B:$F,5,0),"")</f>
        <v/>
      </c>
      <c r="O906" s="289"/>
      <c r="P906" s="292">
        <f t="shared" si="2"/>
        <v>0</v>
      </c>
      <c r="Q906" s="289"/>
      <c r="R906" s="289"/>
      <c r="S906" s="293">
        <f t="shared" si="62"/>
        <v>0</v>
      </c>
      <c r="T906" s="294"/>
      <c r="U906" s="295" t="str">
        <f>IFERROR(VLOOKUP(G906,'KL NÒNG ỐNG'!$B$2:$E$16,4,0)*I906*V906,"")</f>
        <v/>
      </c>
      <c r="V906" s="296"/>
      <c r="W906" s="297"/>
      <c r="X906" s="298"/>
      <c r="Y906" s="292" t="str">
        <f t="shared" si="69"/>
        <v/>
      </c>
      <c r="Z906" s="366">
        <f t="shared" si="70"/>
        <v>0</v>
      </c>
      <c r="AA906" s="299" t="str">
        <f t="shared" si="71"/>
        <v/>
      </c>
      <c r="AB906" s="300"/>
      <c r="AC906" s="301"/>
      <c r="AD906" s="302"/>
      <c r="AE906" s="303"/>
      <c r="AF906" s="304"/>
      <c r="AG906" s="304"/>
      <c r="AH906" s="304"/>
      <c r="AI906" s="304"/>
      <c r="AJ906" s="304"/>
      <c r="AK906" s="305"/>
      <c r="AL906" s="283"/>
      <c r="AM906" s="284"/>
    </row>
    <row r="907" ht="15.75" customHeight="1">
      <c r="A907" s="282">
        <f t="shared" si="1"/>
        <v>903</v>
      </c>
      <c r="B907" s="283"/>
      <c r="C907" s="284"/>
      <c r="D907" s="338"/>
      <c r="E907" s="286"/>
      <c r="F907" s="287"/>
      <c r="G907" s="288" t="str">
        <f>+IFERROR(VLOOKUP(F907,NVL!$B:$C,2,0),"")</f>
        <v/>
      </c>
      <c r="H907" s="288" t="str">
        <f>+IFERROR(VLOOKUP(F907,NVL!$B:$D,3,0),"")</f>
        <v/>
      </c>
      <c r="I907" s="288" t="str">
        <f>+IFERROR(VLOOKUP(F907,NVL!$B:$F,4,0),"")</f>
        <v/>
      </c>
      <c r="J907" s="289"/>
      <c r="K907" s="290"/>
      <c r="L907" s="291" t="str">
        <f>+IFERROR(VLOOKUP(K907,'THÀNH PHẨM'!$B:$F,3,0),"")</f>
        <v/>
      </c>
      <c r="M907" s="291" t="str">
        <f>+IFERROR(VLOOKUP(K907,'THÀNH PHẨM'!$B:$F,4,0),"")</f>
        <v/>
      </c>
      <c r="N907" s="291" t="str">
        <f>+IFERROR(VLOOKUP(K907,'THÀNH PHẨM'!$B:$F,5,0),"")</f>
        <v/>
      </c>
      <c r="O907" s="289"/>
      <c r="P907" s="292">
        <f t="shared" si="2"/>
        <v>0</v>
      </c>
      <c r="Q907" s="289"/>
      <c r="R907" s="289"/>
      <c r="S907" s="293">
        <f t="shared" si="62"/>
        <v>0</v>
      </c>
      <c r="T907" s="294"/>
      <c r="U907" s="295" t="str">
        <f>IFERROR(VLOOKUP(G907,'KL NÒNG ỐNG'!$B$2:$E$16,4,0)*I907*V907,"")</f>
        <v/>
      </c>
      <c r="V907" s="296"/>
      <c r="W907" s="297"/>
      <c r="X907" s="298"/>
      <c r="Y907" s="292" t="str">
        <f t="shared" si="69"/>
        <v/>
      </c>
      <c r="Z907" s="366">
        <f t="shared" si="70"/>
        <v>0</v>
      </c>
      <c r="AA907" s="299" t="str">
        <f t="shared" si="71"/>
        <v/>
      </c>
      <c r="AB907" s="300"/>
      <c r="AC907" s="301"/>
      <c r="AD907" s="302"/>
      <c r="AE907" s="303"/>
      <c r="AF907" s="304"/>
      <c r="AG907" s="304"/>
      <c r="AH907" s="304"/>
      <c r="AI907" s="304"/>
      <c r="AJ907" s="304"/>
      <c r="AK907" s="305"/>
      <c r="AL907" s="283"/>
      <c r="AM907" s="284"/>
    </row>
    <row r="908" ht="15.75" customHeight="1">
      <c r="A908" s="282">
        <f t="shared" si="1"/>
        <v>904</v>
      </c>
      <c r="B908" s="283"/>
      <c r="C908" s="284"/>
      <c r="D908" s="338"/>
      <c r="E908" s="286"/>
      <c r="F908" s="287"/>
      <c r="G908" s="288" t="str">
        <f>+IFERROR(VLOOKUP(F908,NVL!$B:$C,2,0),"")</f>
        <v/>
      </c>
      <c r="H908" s="288" t="str">
        <f>+IFERROR(VLOOKUP(F908,NVL!$B:$D,3,0),"")</f>
        <v/>
      </c>
      <c r="I908" s="288" t="str">
        <f>+IFERROR(VLOOKUP(F908,NVL!$B:$F,4,0),"")</f>
        <v/>
      </c>
      <c r="J908" s="289"/>
      <c r="K908" s="290"/>
      <c r="L908" s="291" t="str">
        <f>+IFERROR(VLOOKUP(K908,'THÀNH PHẨM'!$B:$F,3,0),"")</f>
        <v/>
      </c>
      <c r="M908" s="291" t="str">
        <f>+IFERROR(VLOOKUP(K908,'THÀNH PHẨM'!$B:$F,4,0),"")</f>
        <v/>
      </c>
      <c r="N908" s="291" t="str">
        <f>+IFERROR(VLOOKUP(K908,'THÀNH PHẨM'!$B:$F,5,0),"")</f>
        <v/>
      </c>
      <c r="O908" s="289"/>
      <c r="P908" s="292">
        <f t="shared" si="2"/>
        <v>0</v>
      </c>
      <c r="Q908" s="289"/>
      <c r="R908" s="289"/>
      <c r="S908" s="293">
        <f t="shared" si="62"/>
        <v>0</v>
      </c>
      <c r="T908" s="294"/>
      <c r="U908" s="295" t="str">
        <f>IFERROR(VLOOKUP(G908,'KL NÒNG ỐNG'!$B$2:$E$16,4,0)*I908*V908,"")</f>
        <v/>
      </c>
      <c r="V908" s="296"/>
      <c r="W908" s="297"/>
      <c r="X908" s="298"/>
      <c r="Y908" s="292" t="str">
        <f t="shared" si="69"/>
        <v/>
      </c>
      <c r="Z908" s="366">
        <f t="shared" si="70"/>
        <v>0</v>
      </c>
      <c r="AA908" s="299" t="str">
        <f t="shared" si="71"/>
        <v/>
      </c>
      <c r="AB908" s="300"/>
      <c r="AC908" s="301"/>
      <c r="AD908" s="302"/>
      <c r="AE908" s="303"/>
      <c r="AF908" s="304"/>
      <c r="AG908" s="304"/>
      <c r="AH908" s="304"/>
      <c r="AI908" s="304"/>
      <c r="AJ908" s="304"/>
      <c r="AK908" s="305"/>
      <c r="AL908" s="283"/>
      <c r="AM908" s="284"/>
    </row>
    <row r="909" ht="15.75" customHeight="1">
      <c r="A909" s="282">
        <f t="shared" si="1"/>
        <v>905</v>
      </c>
      <c r="B909" s="283"/>
      <c r="C909" s="284"/>
      <c r="D909" s="338"/>
      <c r="E909" s="286"/>
      <c r="F909" s="287"/>
      <c r="G909" s="288" t="str">
        <f>+IFERROR(VLOOKUP(F909,NVL!$B:$C,2,0),"")</f>
        <v/>
      </c>
      <c r="H909" s="288" t="str">
        <f>+IFERROR(VLOOKUP(F909,NVL!$B:$D,3,0),"")</f>
        <v/>
      </c>
      <c r="I909" s="288" t="str">
        <f>+IFERROR(VLOOKUP(F909,NVL!$B:$F,4,0),"")</f>
        <v/>
      </c>
      <c r="J909" s="289"/>
      <c r="K909" s="290"/>
      <c r="L909" s="291" t="str">
        <f>+IFERROR(VLOOKUP(K909,'THÀNH PHẨM'!$B:$F,3,0),"")</f>
        <v/>
      </c>
      <c r="M909" s="291" t="str">
        <f>+IFERROR(VLOOKUP(K909,'THÀNH PHẨM'!$B:$F,4,0),"")</f>
        <v/>
      </c>
      <c r="N909" s="291" t="str">
        <f>+IFERROR(VLOOKUP(K909,'THÀNH PHẨM'!$B:$F,5,0),"")</f>
        <v/>
      </c>
      <c r="O909" s="289"/>
      <c r="P909" s="292">
        <f t="shared" si="2"/>
        <v>0</v>
      </c>
      <c r="Q909" s="289"/>
      <c r="R909" s="289"/>
      <c r="S909" s="293">
        <f t="shared" si="62"/>
        <v>0</v>
      </c>
      <c r="T909" s="294"/>
      <c r="U909" s="295" t="str">
        <f>IFERROR(VLOOKUP(G909,'KL NÒNG ỐNG'!$B$2:$E$16,4,0)*I909*V909,"")</f>
        <v/>
      </c>
      <c r="V909" s="296"/>
      <c r="W909" s="297"/>
      <c r="X909" s="298"/>
      <c r="Y909" s="292" t="str">
        <f t="shared" si="69"/>
        <v/>
      </c>
      <c r="Z909" s="366">
        <f t="shared" si="70"/>
        <v>0</v>
      </c>
      <c r="AA909" s="299" t="str">
        <f t="shared" si="71"/>
        <v/>
      </c>
      <c r="AB909" s="300"/>
      <c r="AC909" s="301"/>
      <c r="AD909" s="302"/>
      <c r="AE909" s="303"/>
      <c r="AF909" s="304"/>
      <c r="AG909" s="304"/>
      <c r="AH909" s="304"/>
      <c r="AI909" s="304"/>
      <c r="AJ909" s="304"/>
      <c r="AK909" s="305"/>
      <c r="AL909" s="283"/>
      <c r="AM909" s="284"/>
    </row>
    <row r="910" ht="15.75" customHeight="1">
      <c r="A910" s="282">
        <f t="shared" si="1"/>
        <v>906</v>
      </c>
      <c r="B910" s="283"/>
      <c r="C910" s="284"/>
      <c r="D910" s="338"/>
      <c r="E910" s="286"/>
      <c r="F910" s="287"/>
      <c r="G910" s="288" t="str">
        <f>+IFERROR(VLOOKUP(F910,NVL!$B:$C,2,0),"")</f>
        <v/>
      </c>
      <c r="H910" s="288" t="str">
        <f>+IFERROR(VLOOKUP(F910,NVL!$B:$D,3,0),"")</f>
        <v/>
      </c>
      <c r="I910" s="288" t="str">
        <f>+IFERROR(VLOOKUP(F910,NVL!$B:$F,4,0),"")</f>
        <v/>
      </c>
      <c r="J910" s="289"/>
      <c r="K910" s="290"/>
      <c r="L910" s="291" t="str">
        <f>+IFERROR(VLOOKUP(K910,'THÀNH PHẨM'!$B:$F,3,0),"")</f>
        <v/>
      </c>
      <c r="M910" s="291" t="str">
        <f>+IFERROR(VLOOKUP(K910,'THÀNH PHẨM'!$B:$F,4,0),"")</f>
        <v/>
      </c>
      <c r="N910" s="291" t="str">
        <f>+IFERROR(VLOOKUP(K910,'THÀNH PHẨM'!$B:$F,5,0),"")</f>
        <v/>
      </c>
      <c r="O910" s="289"/>
      <c r="P910" s="292">
        <f t="shared" si="2"/>
        <v>0</v>
      </c>
      <c r="Q910" s="289"/>
      <c r="R910" s="289"/>
      <c r="S910" s="293">
        <f t="shared" si="62"/>
        <v>0</v>
      </c>
      <c r="T910" s="294"/>
      <c r="U910" s="295" t="str">
        <f>IFERROR(VLOOKUP(G910,'KL NÒNG ỐNG'!$B$2:$E$16,4,0)*I910*V910,"")</f>
        <v/>
      </c>
      <c r="V910" s="296"/>
      <c r="W910" s="297"/>
      <c r="X910" s="298"/>
      <c r="Y910" s="292" t="str">
        <f t="shared" si="69"/>
        <v/>
      </c>
      <c r="Z910" s="366">
        <f t="shared" si="70"/>
        <v>0</v>
      </c>
      <c r="AA910" s="299" t="str">
        <f t="shared" si="71"/>
        <v/>
      </c>
      <c r="AB910" s="300"/>
      <c r="AC910" s="301"/>
      <c r="AD910" s="302"/>
      <c r="AE910" s="303"/>
      <c r="AF910" s="304"/>
      <c r="AG910" s="304"/>
      <c r="AH910" s="304"/>
      <c r="AI910" s="304"/>
      <c r="AJ910" s="304"/>
      <c r="AK910" s="305"/>
      <c r="AL910" s="283"/>
      <c r="AM910" s="284"/>
    </row>
    <row r="911" ht="15.75" customHeight="1">
      <c r="A911" s="282">
        <f t="shared" si="1"/>
        <v>907</v>
      </c>
      <c r="B911" s="283"/>
      <c r="C911" s="284"/>
      <c r="D911" s="338"/>
      <c r="E911" s="286"/>
      <c r="F911" s="287"/>
      <c r="G911" s="288" t="str">
        <f>+IFERROR(VLOOKUP(F911,NVL!$B:$C,2,0),"")</f>
        <v/>
      </c>
      <c r="H911" s="288" t="str">
        <f>+IFERROR(VLOOKUP(F911,NVL!$B:$D,3,0),"")</f>
        <v/>
      </c>
      <c r="I911" s="288" t="str">
        <f>+IFERROR(VLOOKUP(F911,NVL!$B:$F,4,0),"")</f>
        <v/>
      </c>
      <c r="J911" s="289"/>
      <c r="K911" s="290"/>
      <c r="L911" s="291" t="str">
        <f>+IFERROR(VLOOKUP(K911,'THÀNH PHẨM'!$B:$F,3,0),"")</f>
        <v/>
      </c>
      <c r="M911" s="291" t="str">
        <f>+IFERROR(VLOOKUP(K911,'THÀNH PHẨM'!$B:$F,4,0),"")</f>
        <v/>
      </c>
      <c r="N911" s="291" t="str">
        <f>+IFERROR(VLOOKUP(K911,'THÀNH PHẨM'!$B:$F,5,0),"")</f>
        <v/>
      </c>
      <c r="O911" s="289"/>
      <c r="P911" s="292">
        <f t="shared" si="2"/>
        <v>0</v>
      </c>
      <c r="Q911" s="289"/>
      <c r="R911" s="289"/>
      <c r="S911" s="293">
        <f t="shared" si="62"/>
        <v>0</v>
      </c>
      <c r="T911" s="294"/>
      <c r="U911" s="295" t="str">
        <f>IFERROR(VLOOKUP(G911,'KL NÒNG ỐNG'!$B$2:$E$16,4,0)*I911*V911,"")</f>
        <v/>
      </c>
      <c r="V911" s="296"/>
      <c r="W911" s="297"/>
      <c r="X911" s="298"/>
      <c r="Y911" s="292" t="str">
        <f t="shared" si="69"/>
        <v/>
      </c>
      <c r="Z911" s="366">
        <f t="shared" si="70"/>
        <v>0</v>
      </c>
      <c r="AA911" s="299" t="str">
        <f t="shared" si="71"/>
        <v/>
      </c>
      <c r="AB911" s="300"/>
      <c r="AC911" s="301"/>
      <c r="AD911" s="302"/>
      <c r="AE911" s="303"/>
      <c r="AF911" s="304"/>
      <c r="AG911" s="304"/>
      <c r="AH911" s="304"/>
      <c r="AI911" s="304"/>
      <c r="AJ911" s="304"/>
      <c r="AK911" s="305"/>
      <c r="AL911" s="283"/>
      <c r="AM911" s="284"/>
    </row>
    <row r="912" ht="15.75" customHeight="1">
      <c r="A912" s="282">
        <f t="shared" si="1"/>
        <v>908</v>
      </c>
      <c r="B912" s="283"/>
      <c r="C912" s="284"/>
      <c r="D912" s="338"/>
      <c r="E912" s="286"/>
      <c r="F912" s="287"/>
      <c r="G912" s="288" t="str">
        <f>+IFERROR(VLOOKUP(F912,NVL!$B:$C,2,0),"")</f>
        <v/>
      </c>
      <c r="H912" s="288" t="str">
        <f>+IFERROR(VLOOKUP(F912,NVL!$B:$D,3,0),"")</f>
        <v/>
      </c>
      <c r="I912" s="288" t="str">
        <f>+IFERROR(VLOOKUP(F912,NVL!$B:$F,4,0),"")</f>
        <v/>
      </c>
      <c r="J912" s="289"/>
      <c r="K912" s="290"/>
      <c r="L912" s="291" t="str">
        <f>+IFERROR(VLOOKUP(K912,'THÀNH PHẨM'!$B:$F,3,0),"")</f>
        <v/>
      </c>
      <c r="M912" s="291" t="str">
        <f>+IFERROR(VLOOKUP(K912,'THÀNH PHẨM'!$B:$F,4,0),"")</f>
        <v/>
      </c>
      <c r="N912" s="291" t="str">
        <f>+IFERROR(VLOOKUP(K912,'THÀNH PHẨM'!$B:$F,5,0),"")</f>
        <v/>
      </c>
      <c r="O912" s="289"/>
      <c r="P912" s="292">
        <f t="shared" si="2"/>
        <v>0</v>
      </c>
      <c r="Q912" s="289"/>
      <c r="R912" s="289"/>
      <c r="S912" s="293">
        <f t="shared" si="62"/>
        <v>0</v>
      </c>
      <c r="T912" s="294"/>
      <c r="U912" s="295" t="str">
        <f>IFERROR(VLOOKUP(G912,'KL NÒNG ỐNG'!$B$2:$E$16,4,0)*I912*V912,"")</f>
        <v/>
      </c>
      <c r="V912" s="296"/>
      <c r="W912" s="297"/>
      <c r="X912" s="298"/>
      <c r="Y912" s="292" t="str">
        <f t="shared" si="69"/>
        <v/>
      </c>
      <c r="Z912" s="366">
        <f t="shared" si="70"/>
        <v>0</v>
      </c>
      <c r="AA912" s="299" t="str">
        <f t="shared" si="71"/>
        <v/>
      </c>
      <c r="AB912" s="300"/>
      <c r="AC912" s="301"/>
      <c r="AD912" s="302"/>
      <c r="AE912" s="303"/>
      <c r="AF912" s="304"/>
      <c r="AG912" s="304"/>
      <c r="AH912" s="304"/>
      <c r="AI912" s="304"/>
      <c r="AJ912" s="304"/>
      <c r="AK912" s="305"/>
      <c r="AL912" s="283"/>
      <c r="AM912" s="284"/>
    </row>
    <row r="913" ht="15.75" customHeight="1">
      <c r="A913" s="282">
        <f t="shared" si="1"/>
        <v>909</v>
      </c>
      <c r="B913" s="283"/>
      <c r="C913" s="284"/>
      <c r="D913" s="338"/>
      <c r="E913" s="286"/>
      <c r="F913" s="287"/>
      <c r="G913" s="288" t="str">
        <f>+IFERROR(VLOOKUP(F913,NVL!$B:$C,2,0),"")</f>
        <v/>
      </c>
      <c r="H913" s="288" t="str">
        <f>+IFERROR(VLOOKUP(F913,NVL!$B:$D,3,0),"")</f>
        <v/>
      </c>
      <c r="I913" s="288" t="str">
        <f>+IFERROR(VLOOKUP(F913,NVL!$B:$F,4,0),"")</f>
        <v/>
      </c>
      <c r="J913" s="289"/>
      <c r="K913" s="290"/>
      <c r="L913" s="291" t="str">
        <f>+IFERROR(VLOOKUP(K913,'THÀNH PHẨM'!$B:$F,3,0),"")</f>
        <v/>
      </c>
      <c r="M913" s="291" t="str">
        <f>+IFERROR(VLOOKUP(K913,'THÀNH PHẨM'!$B:$F,4,0),"")</f>
        <v/>
      </c>
      <c r="N913" s="291" t="str">
        <f>+IFERROR(VLOOKUP(K913,'THÀNH PHẨM'!$B:$F,5,0),"")</f>
        <v/>
      </c>
      <c r="O913" s="289"/>
      <c r="P913" s="292">
        <f t="shared" si="2"/>
        <v>0</v>
      </c>
      <c r="Q913" s="289"/>
      <c r="R913" s="289"/>
      <c r="S913" s="293">
        <f t="shared" si="62"/>
        <v>0</v>
      </c>
      <c r="T913" s="294"/>
      <c r="U913" s="295" t="str">
        <f>IFERROR(VLOOKUP(G913,'KL NÒNG ỐNG'!$B$2:$E$16,4,0)*I913*V913,"")</f>
        <v/>
      </c>
      <c r="V913" s="296"/>
      <c r="W913" s="297"/>
      <c r="X913" s="298"/>
      <c r="Y913" s="292" t="str">
        <f t="shared" si="69"/>
        <v/>
      </c>
      <c r="Z913" s="366">
        <f t="shared" si="70"/>
        <v>0</v>
      </c>
      <c r="AA913" s="299" t="str">
        <f t="shared" si="71"/>
        <v/>
      </c>
      <c r="AB913" s="300"/>
      <c r="AC913" s="301"/>
      <c r="AD913" s="302"/>
      <c r="AE913" s="303"/>
      <c r="AF913" s="304"/>
      <c r="AG913" s="304"/>
      <c r="AH913" s="304"/>
      <c r="AI913" s="304"/>
      <c r="AJ913" s="304"/>
      <c r="AK913" s="305"/>
      <c r="AL913" s="283"/>
      <c r="AM913" s="284"/>
    </row>
    <row r="914" ht="15.75" customHeight="1">
      <c r="A914" s="282">
        <f t="shared" si="1"/>
        <v>910</v>
      </c>
      <c r="B914" s="283"/>
      <c r="C914" s="284"/>
      <c r="D914" s="338"/>
      <c r="E914" s="286"/>
      <c r="F914" s="287"/>
      <c r="G914" s="288" t="str">
        <f>+IFERROR(VLOOKUP(F914,NVL!$B:$C,2,0),"")</f>
        <v/>
      </c>
      <c r="H914" s="288" t="str">
        <f>+IFERROR(VLOOKUP(F914,NVL!$B:$D,3,0),"")</f>
        <v/>
      </c>
      <c r="I914" s="288" t="str">
        <f>+IFERROR(VLOOKUP(F914,NVL!$B:$F,4,0),"")</f>
        <v/>
      </c>
      <c r="J914" s="289"/>
      <c r="K914" s="290"/>
      <c r="L914" s="291" t="str">
        <f>+IFERROR(VLOOKUP(K914,'THÀNH PHẨM'!$B:$F,3,0),"")</f>
        <v/>
      </c>
      <c r="M914" s="291" t="str">
        <f>+IFERROR(VLOOKUP(K914,'THÀNH PHẨM'!$B:$F,4,0),"")</f>
        <v/>
      </c>
      <c r="N914" s="291" t="str">
        <f>+IFERROR(VLOOKUP(K914,'THÀNH PHẨM'!$B:$F,5,0),"")</f>
        <v/>
      </c>
      <c r="O914" s="289"/>
      <c r="P914" s="292">
        <f t="shared" si="2"/>
        <v>0</v>
      </c>
      <c r="Q914" s="289"/>
      <c r="R914" s="289"/>
      <c r="S914" s="293">
        <f t="shared" si="62"/>
        <v>0</v>
      </c>
      <c r="T914" s="294"/>
      <c r="U914" s="295" t="str">
        <f>IFERROR(VLOOKUP(G914,'KL NÒNG ỐNG'!$B$2:$E$16,4,0)*I914*V914,"")</f>
        <v/>
      </c>
      <c r="V914" s="296"/>
      <c r="W914" s="297"/>
      <c r="X914" s="298"/>
      <c r="Y914" s="292" t="str">
        <f t="shared" si="69"/>
        <v/>
      </c>
      <c r="Z914" s="366">
        <f t="shared" si="70"/>
        <v>0</v>
      </c>
      <c r="AA914" s="299" t="str">
        <f t="shared" si="71"/>
        <v/>
      </c>
      <c r="AB914" s="300"/>
      <c r="AC914" s="301"/>
      <c r="AD914" s="302"/>
      <c r="AE914" s="303"/>
      <c r="AF914" s="304"/>
      <c r="AG914" s="304"/>
      <c r="AH914" s="304"/>
      <c r="AI914" s="304"/>
      <c r="AJ914" s="304"/>
      <c r="AK914" s="305"/>
      <c r="AL914" s="283"/>
      <c r="AM914" s="284"/>
    </row>
    <row r="915" ht="15.75" customHeight="1">
      <c r="A915" s="282">
        <f t="shared" si="1"/>
        <v>911</v>
      </c>
      <c r="B915" s="283"/>
      <c r="C915" s="284"/>
      <c r="D915" s="338"/>
      <c r="E915" s="286"/>
      <c r="F915" s="287"/>
      <c r="G915" s="288" t="str">
        <f>+IFERROR(VLOOKUP(F915,NVL!$B:$C,2,0),"")</f>
        <v/>
      </c>
      <c r="H915" s="288" t="str">
        <f>+IFERROR(VLOOKUP(F915,NVL!$B:$D,3,0),"")</f>
        <v/>
      </c>
      <c r="I915" s="288" t="str">
        <f>+IFERROR(VLOOKUP(F915,NVL!$B:$F,4,0),"")</f>
        <v/>
      </c>
      <c r="J915" s="289"/>
      <c r="K915" s="290"/>
      <c r="L915" s="291" t="str">
        <f>+IFERROR(VLOOKUP(K915,'THÀNH PHẨM'!$B:$F,3,0),"")</f>
        <v/>
      </c>
      <c r="M915" s="291" t="str">
        <f>+IFERROR(VLOOKUP(K915,'THÀNH PHẨM'!$B:$F,4,0),"")</f>
        <v/>
      </c>
      <c r="N915" s="291" t="str">
        <f>+IFERROR(VLOOKUP(K915,'THÀNH PHẨM'!$B:$F,5,0),"")</f>
        <v/>
      </c>
      <c r="O915" s="289"/>
      <c r="P915" s="292">
        <f t="shared" si="2"/>
        <v>0</v>
      </c>
      <c r="Q915" s="289"/>
      <c r="R915" s="289"/>
      <c r="S915" s="293">
        <f t="shared" si="62"/>
        <v>0</v>
      </c>
      <c r="T915" s="294"/>
      <c r="U915" s="295" t="str">
        <f>IFERROR(VLOOKUP(G915,'KL NÒNG ỐNG'!$B$2:$E$16,4,0)*I915*V915,"")</f>
        <v/>
      </c>
      <c r="V915" s="296"/>
      <c r="W915" s="297"/>
      <c r="X915" s="298"/>
      <c r="Y915" s="292" t="str">
        <f t="shared" si="69"/>
        <v/>
      </c>
      <c r="Z915" s="366">
        <f t="shared" si="70"/>
        <v>0</v>
      </c>
      <c r="AA915" s="299" t="str">
        <f t="shared" si="71"/>
        <v/>
      </c>
      <c r="AB915" s="300"/>
      <c r="AC915" s="301"/>
      <c r="AD915" s="302"/>
      <c r="AE915" s="303"/>
      <c r="AF915" s="304"/>
      <c r="AG915" s="304"/>
      <c r="AH915" s="304"/>
      <c r="AI915" s="304"/>
      <c r="AJ915" s="304"/>
      <c r="AK915" s="305"/>
      <c r="AL915" s="283"/>
      <c r="AM915" s="284"/>
    </row>
    <row r="916" ht="15.75" customHeight="1">
      <c r="A916" s="282">
        <f t="shared" si="1"/>
        <v>912</v>
      </c>
      <c r="B916" s="283"/>
      <c r="C916" s="284"/>
      <c r="D916" s="338"/>
      <c r="E916" s="286"/>
      <c r="F916" s="287"/>
      <c r="G916" s="288" t="str">
        <f>+IFERROR(VLOOKUP(F916,NVL!$B:$C,2,0),"")</f>
        <v/>
      </c>
      <c r="H916" s="288" t="str">
        <f>+IFERROR(VLOOKUP(F916,NVL!$B:$D,3,0),"")</f>
        <v/>
      </c>
      <c r="I916" s="288" t="str">
        <f>+IFERROR(VLOOKUP(F916,NVL!$B:$F,4,0),"")</f>
        <v/>
      </c>
      <c r="J916" s="289"/>
      <c r="K916" s="290"/>
      <c r="L916" s="291" t="str">
        <f>+IFERROR(VLOOKUP(K916,'THÀNH PHẨM'!$B:$F,3,0),"")</f>
        <v/>
      </c>
      <c r="M916" s="291" t="str">
        <f>+IFERROR(VLOOKUP(K916,'THÀNH PHẨM'!$B:$F,4,0),"")</f>
        <v/>
      </c>
      <c r="N916" s="291" t="str">
        <f>+IFERROR(VLOOKUP(K916,'THÀNH PHẨM'!$B:$F,5,0),"")</f>
        <v/>
      </c>
      <c r="O916" s="289"/>
      <c r="P916" s="292">
        <f t="shared" si="2"/>
        <v>0</v>
      </c>
      <c r="Q916" s="289"/>
      <c r="R916" s="289"/>
      <c r="S916" s="293">
        <f t="shared" si="62"/>
        <v>0</v>
      </c>
      <c r="T916" s="294"/>
      <c r="U916" s="295" t="str">
        <f>IFERROR(VLOOKUP(G916,'KL NÒNG ỐNG'!$B$2:$E$16,4,0)*I916*V916,"")</f>
        <v/>
      </c>
      <c r="V916" s="296"/>
      <c r="W916" s="297"/>
      <c r="X916" s="298"/>
      <c r="Y916" s="292" t="str">
        <f t="shared" si="69"/>
        <v/>
      </c>
      <c r="Z916" s="366">
        <f t="shared" si="70"/>
        <v>0</v>
      </c>
      <c r="AA916" s="299" t="str">
        <f t="shared" si="71"/>
        <v/>
      </c>
      <c r="AB916" s="300"/>
      <c r="AC916" s="301"/>
      <c r="AD916" s="302"/>
      <c r="AE916" s="303"/>
      <c r="AF916" s="304"/>
      <c r="AG916" s="304"/>
      <c r="AH916" s="304"/>
      <c r="AI916" s="304"/>
      <c r="AJ916" s="304"/>
      <c r="AK916" s="305"/>
      <c r="AL916" s="283"/>
      <c r="AM916" s="284"/>
    </row>
    <row r="917" ht="15.75" customHeight="1">
      <c r="A917" s="282">
        <f t="shared" si="1"/>
        <v>913</v>
      </c>
      <c r="B917" s="283"/>
      <c r="C917" s="284"/>
      <c r="D917" s="338"/>
      <c r="E917" s="286"/>
      <c r="F917" s="287"/>
      <c r="G917" s="288" t="str">
        <f>+IFERROR(VLOOKUP(F917,NVL!$B:$C,2,0),"")</f>
        <v/>
      </c>
      <c r="H917" s="288" t="str">
        <f>+IFERROR(VLOOKUP(F917,NVL!$B:$D,3,0),"")</f>
        <v/>
      </c>
      <c r="I917" s="288" t="str">
        <f>+IFERROR(VLOOKUP(F917,NVL!$B:$F,4,0),"")</f>
        <v/>
      </c>
      <c r="J917" s="289"/>
      <c r="K917" s="290"/>
      <c r="L917" s="291" t="str">
        <f>+IFERROR(VLOOKUP(K917,'THÀNH PHẨM'!$B:$F,3,0),"")</f>
        <v/>
      </c>
      <c r="M917" s="291" t="str">
        <f>+IFERROR(VLOOKUP(K917,'THÀNH PHẨM'!$B:$F,4,0),"")</f>
        <v/>
      </c>
      <c r="N917" s="291" t="str">
        <f>+IFERROR(VLOOKUP(K917,'THÀNH PHẨM'!$B:$F,5,0),"")</f>
        <v/>
      </c>
      <c r="O917" s="289"/>
      <c r="P917" s="292">
        <f t="shared" si="2"/>
        <v>0</v>
      </c>
      <c r="Q917" s="289"/>
      <c r="R917" s="289"/>
      <c r="S917" s="293">
        <f t="shared" si="62"/>
        <v>0</v>
      </c>
      <c r="T917" s="294"/>
      <c r="U917" s="295" t="str">
        <f>IFERROR(VLOOKUP(G917,'KL NÒNG ỐNG'!$B$2:$E$16,4,0)*I917*V917,"")</f>
        <v/>
      </c>
      <c r="V917" s="296"/>
      <c r="W917" s="297"/>
      <c r="X917" s="298"/>
      <c r="Y917" s="292" t="str">
        <f t="shared" si="69"/>
        <v/>
      </c>
      <c r="Z917" s="366">
        <f t="shared" si="70"/>
        <v>0</v>
      </c>
      <c r="AA917" s="299" t="str">
        <f t="shared" si="71"/>
        <v/>
      </c>
      <c r="AB917" s="300"/>
      <c r="AC917" s="301"/>
      <c r="AD917" s="302"/>
      <c r="AE917" s="303"/>
      <c r="AF917" s="304"/>
      <c r="AG917" s="304"/>
      <c r="AH917" s="304"/>
      <c r="AI917" s="304"/>
      <c r="AJ917" s="304"/>
      <c r="AK917" s="305"/>
      <c r="AL917" s="283"/>
      <c r="AM917" s="284"/>
    </row>
    <row r="918" ht="15.75" customHeight="1">
      <c r="A918" s="282">
        <f t="shared" si="1"/>
        <v>914</v>
      </c>
      <c r="B918" s="283"/>
      <c r="C918" s="284"/>
      <c r="D918" s="338"/>
      <c r="E918" s="286"/>
      <c r="F918" s="287"/>
      <c r="G918" s="288" t="str">
        <f>+IFERROR(VLOOKUP(F918,NVL!$B:$C,2,0),"")</f>
        <v/>
      </c>
      <c r="H918" s="288" t="str">
        <f>+IFERROR(VLOOKUP(F918,NVL!$B:$D,3,0),"")</f>
        <v/>
      </c>
      <c r="I918" s="288" t="str">
        <f>+IFERROR(VLOOKUP(F918,NVL!$B:$F,4,0),"")</f>
        <v/>
      </c>
      <c r="J918" s="289"/>
      <c r="K918" s="290"/>
      <c r="L918" s="291" t="str">
        <f>+IFERROR(VLOOKUP(K918,'THÀNH PHẨM'!$B:$F,3,0),"")</f>
        <v/>
      </c>
      <c r="M918" s="291" t="str">
        <f>+IFERROR(VLOOKUP(K918,'THÀNH PHẨM'!$B:$F,4,0),"")</f>
        <v/>
      </c>
      <c r="N918" s="291" t="str">
        <f>+IFERROR(VLOOKUP(K918,'THÀNH PHẨM'!$B:$F,5,0),"")</f>
        <v/>
      </c>
      <c r="O918" s="289"/>
      <c r="P918" s="292">
        <f t="shared" si="2"/>
        <v>0</v>
      </c>
      <c r="Q918" s="289"/>
      <c r="R918" s="289"/>
      <c r="S918" s="293">
        <f t="shared" si="62"/>
        <v>0</v>
      </c>
      <c r="T918" s="294"/>
      <c r="U918" s="295" t="str">
        <f>IFERROR(VLOOKUP(G918,'KL NÒNG ỐNG'!$B$2:$E$16,4,0)*I918*V918,"")</f>
        <v/>
      </c>
      <c r="V918" s="296"/>
      <c r="W918" s="297"/>
      <c r="X918" s="298"/>
      <c r="Y918" s="292" t="str">
        <f t="shared" si="69"/>
        <v/>
      </c>
      <c r="Z918" s="366">
        <f t="shared" si="70"/>
        <v>0</v>
      </c>
      <c r="AA918" s="299" t="str">
        <f t="shared" si="71"/>
        <v/>
      </c>
      <c r="AB918" s="300"/>
      <c r="AC918" s="301"/>
      <c r="AD918" s="302"/>
      <c r="AE918" s="303"/>
      <c r="AF918" s="304"/>
      <c r="AG918" s="304"/>
      <c r="AH918" s="304"/>
      <c r="AI918" s="304"/>
      <c r="AJ918" s="304"/>
      <c r="AK918" s="305"/>
      <c r="AL918" s="283"/>
      <c r="AM918" s="284"/>
    </row>
    <row r="919" ht="15.75" customHeight="1">
      <c r="A919" s="282">
        <f t="shared" si="1"/>
        <v>915</v>
      </c>
      <c r="B919" s="283"/>
      <c r="C919" s="284"/>
      <c r="D919" s="338"/>
      <c r="E919" s="286"/>
      <c r="F919" s="287"/>
      <c r="G919" s="288" t="str">
        <f>+IFERROR(VLOOKUP(F919,NVL!$B:$C,2,0),"")</f>
        <v/>
      </c>
      <c r="H919" s="288" t="str">
        <f>+IFERROR(VLOOKUP(F919,NVL!$B:$D,3,0),"")</f>
        <v/>
      </c>
      <c r="I919" s="288" t="str">
        <f>+IFERROR(VLOOKUP(F919,NVL!$B:$F,4,0),"")</f>
        <v/>
      </c>
      <c r="J919" s="289"/>
      <c r="K919" s="290"/>
      <c r="L919" s="291" t="str">
        <f>+IFERROR(VLOOKUP(K919,'THÀNH PHẨM'!$B:$F,3,0),"")</f>
        <v/>
      </c>
      <c r="M919" s="291" t="str">
        <f>+IFERROR(VLOOKUP(K919,'THÀNH PHẨM'!$B:$F,4,0),"")</f>
        <v/>
      </c>
      <c r="N919" s="291" t="str">
        <f>+IFERROR(VLOOKUP(K919,'THÀNH PHẨM'!$B:$F,5,0),"")</f>
        <v/>
      </c>
      <c r="O919" s="289"/>
      <c r="P919" s="292">
        <f t="shared" si="2"/>
        <v>0</v>
      </c>
      <c r="Q919" s="289"/>
      <c r="R919" s="289"/>
      <c r="S919" s="293">
        <f t="shared" si="62"/>
        <v>0</v>
      </c>
      <c r="T919" s="294"/>
      <c r="U919" s="295" t="str">
        <f>IFERROR(VLOOKUP(G919,'KL NÒNG ỐNG'!$B$2:$E$16,4,0)*I919*V919,"")</f>
        <v/>
      </c>
      <c r="V919" s="296"/>
      <c r="W919" s="297"/>
      <c r="X919" s="298"/>
      <c r="Y919" s="292" t="str">
        <f t="shared" si="69"/>
        <v/>
      </c>
      <c r="Z919" s="366">
        <f t="shared" si="70"/>
        <v>0</v>
      </c>
      <c r="AA919" s="299" t="str">
        <f t="shared" si="71"/>
        <v/>
      </c>
      <c r="AB919" s="300"/>
      <c r="AC919" s="301"/>
      <c r="AD919" s="302"/>
      <c r="AE919" s="303"/>
      <c r="AF919" s="304"/>
      <c r="AG919" s="304"/>
      <c r="AH919" s="304"/>
      <c r="AI919" s="304"/>
      <c r="AJ919" s="304"/>
      <c r="AK919" s="305"/>
      <c r="AL919" s="283"/>
      <c r="AM919" s="284"/>
    </row>
    <row r="920" ht="15.75" customHeight="1">
      <c r="A920" s="282">
        <f t="shared" si="1"/>
        <v>916</v>
      </c>
      <c r="B920" s="283"/>
      <c r="C920" s="284"/>
      <c r="D920" s="338"/>
      <c r="E920" s="286"/>
      <c r="F920" s="287"/>
      <c r="G920" s="288" t="str">
        <f>+IFERROR(VLOOKUP(F920,NVL!$B:$C,2,0),"")</f>
        <v/>
      </c>
      <c r="H920" s="288" t="str">
        <f>+IFERROR(VLOOKUP(F920,NVL!$B:$D,3,0),"")</f>
        <v/>
      </c>
      <c r="I920" s="288" t="str">
        <f>+IFERROR(VLOOKUP(F920,NVL!$B:$F,4,0),"")</f>
        <v/>
      </c>
      <c r="J920" s="289"/>
      <c r="K920" s="290"/>
      <c r="L920" s="291" t="str">
        <f>+IFERROR(VLOOKUP(K920,'THÀNH PHẨM'!$B:$F,3,0),"")</f>
        <v/>
      </c>
      <c r="M920" s="291" t="str">
        <f>+IFERROR(VLOOKUP(K920,'THÀNH PHẨM'!$B:$F,4,0),"")</f>
        <v/>
      </c>
      <c r="N920" s="291" t="str">
        <f>+IFERROR(VLOOKUP(K920,'THÀNH PHẨM'!$B:$F,5,0),"")</f>
        <v/>
      </c>
      <c r="O920" s="289"/>
      <c r="P920" s="292">
        <f t="shared" si="2"/>
        <v>0</v>
      </c>
      <c r="Q920" s="289"/>
      <c r="R920" s="289"/>
      <c r="S920" s="293">
        <f t="shared" si="62"/>
        <v>0</v>
      </c>
      <c r="T920" s="294"/>
      <c r="U920" s="295" t="str">
        <f>IFERROR(VLOOKUP(G920,'KL NÒNG ỐNG'!$B$2:$E$16,4,0)*I920*V920,"")</f>
        <v/>
      </c>
      <c r="V920" s="296"/>
      <c r="W920" s="297"/>
      <c r="X920" s="298"/>
      <c r="Y920" s="292" t="str">
        <f t="shared" si="69"/>
        <v/>
      </c>
      <c r="Z920" s="366">
        <f t="shared" si="70"/>
        <v>0</v>
      </c>
      <c r="AA920" s="299" t="str">
        <f t="shared" si="71"/>
        <v/>
      </c>
      <c r="AB920" s="300"/>
      <c r="AC920" s="301"/>
      <c r="AD920" s="302"/>
      <c r="AE920" s="303"/>
      <c r="AF920" s="304"/>
      <c r="AG920" s="304"/>
      <c r="AH920" s="304"/>
      <c r="AI920" s="304"/>
      <c r="AJ920" s="304"/>
      <c r="AK920" s="305"/>
      <c r="AL920" s="283"/>
      <c r="AM920" s="284"/>
    </row>
    <row r="921" ht="15.75" customHeight="1">
      <c r="A921" s="282">
        <f t="shared" si="1"/>
        <v>917</v>
      </c>
      <c r="B921" s="283"/>
      <c r="C921" s="284"/>
      <c r="D921" s="338"/>
      <c r="E921" s="286"/>
      <c r="F921" s="287"/>
      <c r="G921" s="288" t="str">
        <f>+IFERROR(VLOOKUP(F921,NVL!$B:$C,2,0),"")</f>
        <v/>
      </c>
      <c r="H921" s="288" t="str">
        <f>+IFERROR(VLOOKUP(F921,NVL!$B:$D,3,0),"")</f>
        <v/>
      </c>
      <c r="I921" s="288" t="str">
        <f>+IFERROR(VLOOKUP(F921,NVL!$B:$F,4,0),"")</f>
        <v/>
      </c>
      <c r="J921" s="289"/>
      <c r="K921" s="290"/>
      <c r="L921" s="291" t="str">
        <f>+IFERROR(VLOOKUP(K921,'THÀNH PHẨM'!$B:$F,3,0),"")</f>
        <v/>
      </c>
      <c r="M921" s="291" t="str">
        <f>+IFERROR(VLOOKUP(K921,'THÀNH PHẨM'!$B:$F,4,0),"")</f>
        <v/>
      </c>
      <c r="N921" s="291" t="str">
        <f>+IFERROR(VLOOKUP(K921,'THÀNH PHẨM'!$B:$F,5,0),"")</f>
        <v/>
      </c>
      <c r="O921" s="289"/>
      <c r="P921" s="292">
        <f t="shared" si="2"/>
        <v>0</v>
      </c>
      <c r="Q921" s="289"/>
      <c r="R921" s="289"/>
      <c r="S921" s="293">
        <f t="shared" si="62"/>
        <v>0</v>
      </c>
      <c r="T921" s="294"/>
      <c r="U921" s="295" t="str">
        <f>IFERROR(VLOOKUP(G921,'KL NÒNG ỐNG'!$B$2:$E$16,4,0)*I921*V921,"")</f>
        <v/>
      </c>
      <c r="V921" s="296"/>
      <c r="W921" s="297"/>
      <c r="X921" s="298"/>
      <c r="Y921" s="292" t="str">
        <f t="shared" si="69"/>
        <v/>
      </c>
      <c r="Z921" s="366">
        <f t="shared" si="70"/>
        <v>0</v>
      </c>
      <c r="AA921" s="299" t="str">
        <f t="shared" si="71"/>
        <v/>
      </c>
      <c r="AB921" s="300"/>
      <c r="AC921" s="301"/>
      <c r="AD921" s="302"/>
      <c r="AE921" s="303"/>
      <c r="AF921" s="304"/>
      <c r="AG921" s="304"/>
      <c r="AH921" s="304"/>
      <c r="AI921" s="304"/>
      <c r="AJ921" s="304"/>
      <c r="AK921" s="305"/>
      <c r="AL921" s="283"/>
      <c r="AM921" s="284"/>
    </row>
    <row r="922" ht="15.75" customHeight="1">
      <c r="A922" s="282">
        <f t="shared" si="1"/>
        <v>918</v>
      </c>
      <c r="B922" s="283"/>
      <c r="C922" s="284"/>
      <c r="D922" s="338"/>
      <c r="E922" s="286"/>
      <c r="F922" s="287"/>
      <c r="G922" s="288" t="str">
        <f>+IFERROR(VLOOKUP(F922,NVL!$B:$C,2,0),"")</f>
        <v/>
      </c>
      <c r="H922" s="288" t="str">
        <f>+IFERROR(VLOOKUP(F922,NVL!$B:$D,3,0),"")</f>
        <v/>
      </c>
      <c r="I922" s="288" t="str">
        <f>+IFERROR(VLOOKUP(F922,NVL!$B:$F,4,0),"")</f>
        <v/>
      </c>
      <c r="J922" s="289"/>
      <c r="K922" s="290"/>
      <c r="L922" s="291" t="str">
        <f>+IFERROR(VLOOKUP(K922,'THÀNH PHẨM'!$B:$F,3,0),"")</f>
        <v/>
      </c>
      <c r="M922" s="291" t="str">
        <f>+IFERROR(VLOOKUP(K922,'THÀNH PHẨM'!$B:$F,4,0),"")</f>
        <v/>
      </c>
      <c r="N922" s="291" t="str">
        <f>+IFERROR(VLOOKUP(K922,'THÀNH PHẨM'!$B:$F,5,0),"")</f>
        <v/>
      </c>
      <c r="O922" s="289"/>
      <c r="P922" s="292">
        <f t="shared" si="2"/>
        <v>0</v>
      </c>
      <c r="Q922" s="289"/>
      <c r="R922" s="289"/>
      <c r="S922" s="293">
        <f t="shared" si="62"/>
        <v>0</v>
      </c>
      <c r="T922" s="294"/>
      <c r="U922" s="295" t="str">
        <f>IFERROR(VLOOKUP(G922,'KL NÒNG ỐNG'!$B$2:$E$16,4,0)*I922*V922,"")</f>
        <v/>
      </c>
      <c r="V922" s="296"/>
      <c r="W922" s="297"/>
      <c r="X922" s="298"/>
      <c r="Y922" s="292" t="str">
        <f t="shared" si="69"/>
        <v/>
      </c>
      <c r="Z922" s="366">
        <f t="shared" si="70"/>
        <v>0</v>
      </c>
      <c r="AA922" s="299" t="str">
        <f t="shared" si="71"/>
        <v/>
      </c>
      <c r="AB922" s="300"/>
      <c r="AC922" s="301"/>
      <c r="AD922" s="302"/>
      <c r="AE922" s="303"/>
      <c r="AF922" s="304"/>
      <c r="AG922" s="304"/>
      <c r="AH922" s="304"/>
      <c r="AI922" s="304"/>
      <c r="AJ922" s="304"/>
      <c r="AK922" s="305"/>
      <c r="AL922" s="283"/>
      <c r="AM922" s="284"/>
    </row>
    <row r="923" ht="15.75" customHeight="1">
      <c r="A923" s="282">
        <f t="shared" si="1"/>
        <v>919</v>
      </c>
      <c r="B923" s="283"/>
      <c r="C923" s="335"/>
      <c r="D923" s="338"/>
      <c r="E923" s="286"/>
      <c r="F923" s="287"/>
      <c r="G923" s="288" t="str">
        <f>+IFERROR(VLOOKUP(F923,NVL!$B:$C,2,0),"")</f>
        <v/>
      </c>
      <c r="H923" s="288" t="str">
        <f>+IFERROR(VLOOKUP(F923,NVL!$B:$D,3,0),"")</f>
        <v/>
      </c>
      <c r="I923" s="288" t="str">
        <f>+IFERROR(VLOOKUP(F923,NVL!$B:$F,4,0),"")</f>
        <v/>
      </c>
      <c r="J923" s="289"/>
      <c r="K923" s="290"/>
      <c r="L923" s="291" t="str">
        <f>+IFERROR(VLOOKUP(K923,'THÀNH PHẨM'!$B:$F,3,0),"")</f>
        <v/>
      </c>
      <c r="M923" s="291" t="str">
        <f>+IFERROR(VLOOKUP(K923,'THÀNH PHẨM'!$B:$F,4,0),"")</f>
        <v/>
      </c>
      <c r="N923" s="291" t="str">
        <f>+IFERROR(VLOOKUP(K923,'THÀNH PHẨM'!$B:$F,5,0),"")</f>
        <v/>
      </c>
      <c r="O923" s="289"/>
      <c r="P923" s="292">
        <f t="shared" si="2"/>
        <v>0</v>
      </c>
      <c r="Q923" s="289"/>
      <c r="R923" s="289"/>
      <c r="S923" s="293">
        <f t="shared" si="62"/>
        <v>0</v>
      </c>
      <c r="T923" s="294"/>
      <c r="U923" s="295" t="str">
        <f>IFERROR(VLOOKUP(G923,'KL NÒNG ỐNG'!$B$2:$E$16,4,0)*I923*V923,"")</f>
        <v/>
      </c>
      <c r="V923" s="296"/>
      <c r="W923" s="297"/>
      <c r="X923" s="298"/>
      <c r="Y923" s="292" t="str">
        <f t="shared" si="69"/>
        <v/>
      </c>
      <c r="Z923" s="366">
        <f t="shared" si="70"/>
        <v>0</v>
      </c>
      <c r="AA923" s="299" t="str">
        <f t="shared" si="71"/>
        <v/>
      </c>
      <c r="AB923" s="300"/>
      <c r="AC923" s="301"/>
      <c r="AD923" s="302"/>
      <c r="AE923" s="303"/>
      <c r="AF923" s="304"/>
      <c r="AG923" s="304"/>
      <c r="AH923" s="304"/>
      <c r="AI923" s="304"/>
      <c r="AJ923" s="304"/>
      <c r="AK923" s="305"/>
      <c r="AL923" s="283"/>
      <c r="AM923" s="284"/>
    </row>
    <row r="924" ht="15.75" customHeight="1">
      <c r="A924" s="282">
        <f t="shared" si="1"/>
        <v>920</v>
      </c>
      <c r="B924" s="283"/>
      <c r="C924" s="335"/>
      <c r="D924" s="338"/>
      <c r="E924" s="286"/>
      <c r="F924" s="287"/>
      <c r="G924" s="288" t="str">
        <f>+IFERROR(VLOOKUP(F924,NVL!$B:$C,2,0),"")</f>
        <v/>
      </c>
      <c r="H924" s="288" t="str">
        <f>+IFERROR(VLOOKUP(F924,NVL!$B:$D,3,0),"")</f>
        <v/>
      </c>
      <c r="I924" s="288" t="str">
        <f>+IFERROR(VLOOKUP(F924,NVL!$B:$F,4,0),"")</f>
        <v/>
      </c>
      <c r="J924" s="289"/>
      <c r="K924" s="290"/>
      <c r="L924" s="291" t="str">
        <f>+IFERROR(VLOOKUP(K924,'THÀNH PHẨM'!$B:$F,3,0),"")</f>
        <v/>
      </c>
      <c r="M924" s="291" t="str">
        <f>+IFERROR(VLOOKUP(K924,'THÀNH PHẨM'!$B:$F,4,0),"")</f>
        <v/>
      </c>
      <c r="N924" s="291" t="str">
        <f>+IFERROR(VLOOKUP(K924,'THÀNH PHẨM'!$B:$F,5,0),"")</f>
        <v/>
      </c>
      <c r="O924" s="289"/>
      <c r="P924" s="292">
        <f t="shared" si="2"/>
        <v>0</v>
      </c>
      <c r="Q924" s="289"/>
      <c r="R924" s="289"/>
      <c r="S924" s="293">
        <f t="shared" si="62"/>
        <v>0</v>
      </c>
      <c r="T924" s="294"/>
      <c r="U924" s="295" t="str">
        <f>IFERROR(VLOOKUP(G924,'KL NÒNG ỐNG'!$B$2:$E$16,4,0)*I924*V924,"")</f>
        <v/>
      </c>
      <c r="V924" s="296"/>
      <c r="W924" s="297"/>
      <c r="X924" s="298"/>
      <c r="Y924" s="292" t="str">
        <f t="shared" si="69"/>
        <v/>
      </c>
      <c r="Z924" s="366">
        <f t="shared" si="70"/>
        <v>0</v>
      </c>
      <c r="AA924" s="299" t="str">
        <f t="shared" si="71"/>
        <v/>
      </c>
      <c r="AB924" s="300"/>
      <c r="AC924" s="301"/>
      <c r="AD924" s="302"/>
      <c r="AE924" s="303"/>
      <c r="AF924" s="304"/>
      <c r="AG924" s="304"/>
      <c r="AH924" s="304"/>
      <c r="AI924" s="304"/>
      <c r="AJ924" s="304"/>
      <c r="AK924" s="305"/>
      <c r="AL924" s="283"/>
      <c r="AM924" s="284"/>
    </row>
    <row r="925" ht="15.75" customHeight="1">
      <c r="A925" s="282">
        <f t="shared" si="1"/>
        <v>921</v>
      </c>
      <c r="B925" s="283"/>
      <c r="C925" s="335"/>
      <c r="D925" s="338"/>
      <c r="E925" s="286"/>
      <c r="F925" s="287"/>
      <c r="G925" s="288" t="str">
        <f>+IFERROR(VLOOKUP(F925,NVL!$B:$C,2,0),"")</f>
        <v/>
      </c>
      <c r="H925" s="288" t="str">
        <f>+IFERROR(VLOOKUP(F925,NVL!$B:$D,3,0),"")</f>
        <v/>
      </c>
      <c r="I925" s="288" t="str">
        <f>+IFERROR(VLOOKUP(F925,NVL!$B:$F,4,0),"")</f>
        <v/>
      </c>
      <c r="J925" s="289"/>
      <c r="K925" s="290"/>
      <c r="L925" s="291" t="str">
        <f>+IFERROR(VLOOKUP(K925,'THÀNH PHẨM'!$B:$F,3,0),"")</f>
        <v/>
      </c>
      <c r="M925" s="291" t="str">
        <f>+IFERROR(VLOOKUP(K925,'THÀNH PHẨM'!$B:$F,4,0),"")</f>
        <v/>
      </c>
      <c r="N925" s="291" t="str">
        <f>+IFERROR(VLOOKUP(K925,'THÀNH PHẨM'!$B:$F,5,0),"")</f>
        <v/>
      </c>
      <c r="O925" s="289"/>
      <c r="P925" s="292">
        <f t="shared" si="2"/>
        <v>0</v>
      </c>
      <c r="Q925" s="289"/>
      <c r="R925" s="289"/>
      <c r="S925" s="293">
        <f t="shared" si="62"/>
        <v>0</v>
      </c>
      <c r="T925" s="294"/>
      <c r="U925" s="295" t="str">
        <f>IFERROR(VLOOKUP(G925,'KL NÒNG ỐNG'!$B$2:$E$16,4,0)*I925*V925,"")</f>
        <v/>
      </c>
      <c r="V925" s="296"/>
      <c r="W925" s="297"/>
      <c r="X925" s="298"/>
      <c r="Y925" s="292" t="str">
        <f t="shared" si="69"/>
        <v/>
      </c>
      <c r="Z925" s="366">
        <f t="shared" si="70"/>
        <v>0</v>
      </c>
      <c r="AA925" s="299" t="str">
        <f t="shared" si="71"/>
        <v/>
      </c>
      <c r="AB925" s="300"/>
      <c r="AC925" s="301"/>
      <c r="AD925" s="302"/>
      <c r="AE925" s="303"/>
      <c r="AF925" s="304"/>
      <c r="AG925" s="304"/>
      <c r="AH925" s="304"/>
      <c r="AI925" s="304"/>
      <c r="AJ925" s="304"/>
      <c r="AK925" s="305"/>
      <c r="AL925" s="283"/>
      <c r="AM925" s="284"/>
    </row>
    <row r="926" ht="15.75" customHeight="1">
      <c r="A926" s="282">
        <f t="shared" si="1"/>
        <v>922</v>
      </c>
      <c r="B926" s="283"/>
      <c r="C926" s="335"/>
      <c r="D926" s="338"/>
      <c r="E926" s="286"/>
      <c r="F926" s="287"/>
      <c r="G926" s="288" t="str">
        <f>+IFERROR(VLOOKUP(F926,NVL!$B:$C,2,0),"")</f>
        <v/>
      </c>
      <c r="H926" s="288" t="str">
        <f>+IFERROR(VLOOKUP(F926,NVL!$B:$D,3,0),"")</f>
        <v/>
      </c>
      <c r="I926" s="288" t="str">
        <f>+IFERROR(VLOOKUP(F926,NVL!$B:$F,4,0),"")</f>
        <v/>
      </c>
      <c r="J926" s="289"/>
      <c r="K926" s="290"/>
      <c r="L926" s="291" t="str">
        <f>+IFERROR(VLOOKUP(K926,'THÀNH PHẨM'!$B:$F,3,0),"")</f>
        <v/>
      </c>
      <c r="M926" s="291" t="str">
        <f>+IFERROR(VLOOKUP(K926,'THÀNH PHẨM'!$B:$F,4,0),"")</f>
        <v/>
      </c>
      <c r="N926" s="291" t="str">
        <f>+IFERROR(VLOOKUP(K926,'THÀNH PHẨM'!$B:$F,5,0),"")</f>
        <v/>
      </c>
      <c r="O926" s="289"/>
      <c r="P926" s="292">
        <f t="shared" si="2"/>
        <v>0</v>
      </c>
      <c r="Q926" s="289"/>
      <c r="R926" s="289"/>
      <c r="S926" s="293">
        <f t="shared" si="62"/>
        <v>0</v>
      </c>
      <c r="T926" s="294"/>
      <c r="U926" s="295" t="str">
        <f>IFERROR(VLOOKUP(G926,'KL NÒNG ỐNG'!$B$2:$E$16,4,0)*I926*V926,"")</f>
        <v/>
      </c>
      <c r="V926" s="296"/>
      <c r="W926" s="297"/>
      <c r="X926" s="298"/>
      <c r="Y926" s="292" t="str">
        <f t="shared" si="69"/>
        <v/>
      </c>
      <c r="Z926" s="366">
        <f t="shared" si="70"/>
        <v>0</v>
      </c>
      <c r="AA926" s="299" t="str">
        <f t="shared" si="71"/>
        <v/>
      </c>
      <c r="AB926" s="300"/>
      <c r="AC926" s="301"/>
      <c r="AD926" s="302"/>
      <c r="AE926" s="303"/>
      <c r="AF926" s="304"/>
      <c r="AG926" s="304"/>
      <c r="AH926" s="304"/>
      <c r="AI926" s="304"/>
      <c r="AJ926" s="304"/>
      <c r="AK926" s="305"/>
      <c r="AL926" s="283"/>
      <c r="AM926" s="284"/>
    </row>
    <row r="927" ht="15.75" customHeight="1">
      <c r="A927" s="282">
        <f t="shared" si="1"/>
        <v>923</v>
      </c>
      <c r="B927" s="283"/>
      <c r="C927" s="335"/>
      <c r="D927" s="338"/>
      <c r="E927" s="286"/>
      <c r="F927" s="287"/>
      <c r="G927" s="288" t="str">
        <f>+IFERROR(VLOOKUP(F927,NVL!$B:$C,2,0),"")</f>
        <v/>
      </c>
      <c r="H927" s="288" t="str">
        <f>+IFERROR(VLOOKUP(F927,NVL!$B:$D,3,0),"")</f>
        <v/>
      </c>
      <c r="I927" s="288" t="str">
        <f>+IFERROR(VLOOKUP(F927,NVL!$B:$F,4,0),"")</f>
        <v/>
      </c>
      <c r="J927" s="289"/>
      <c r="K927" s="290"/>
      <c r="L927" s="291" t="str">
        <f>+IFERROR(VLOOKUP(K927,'THÀNH PHẨM'!$B:$F,3,0),"")</f>
        <v/>
      </c>
      <c r="M927" s="291" t="str">
        <f>+IFERROR(VLOOKUP(K927,'THÀNH PHẨM'!$B:$F,4,0),"")</f>
        <v/>
      </c>
      <c r="N927" s="291" t="str">
        <f>+IFERROR(VLOOKUP(K927,'THÀNH PHẨM'!$B:$F,5,0),"")</f>
        <v/>
      </c>
      <c r="O927" s="289"/>
      <c r="P927" s="292">
        <f t="shared" si="2"/>
        <v>0</v>
      </c>
      <c r="Q927" s="289"/>
      <c r="R927" s="289"/>
      <c r="S927" s="293">
        <f t="shared" si="62"/>
        <v>0</v>
      </c>
      <c r="T927" s="294"/>
      <c r="U927" s="295" t="str">
        <f>IFERROR(VLOOKUP(G927,'KL NÒNG ỐNG'!$B$2:$E$16,4,0)*I927*V927,"")</f>
        <v/>
      </c>
      <c r="V927" s="296"/>
      <c r="W927" s="297"/>
      <c r="X927" s="298"/>
      <c r="Y927" s="292" t="str">
        <f t="shared" si="69"/>
        <v/>
      </c>
      <c r="Z927" s="366">
        <f t="shared" si="70"/>
        <v>0</v>
      </c>
      <c r="AA927" s="299" t="str">
        <f t="shared" si="71"/>
        <v/>
      </c>
      <c r="AB927" s="300"/>
      <c r="AC927" s="301"/>
      <c r="AD927" s="302"/>
      <c r="AE927" s="303"/>
      <c r="AF927" s="304"/>
      <c r="AG927" s="304"/>
      <c r="AH927" s="304"/>
      <c r="AI927" s="304"/>
      <c r="AJ927" s="304"/>
      <c r="AK927" s="305"/>
      <c r="AL927" s="283"/>
      <c r="AM927" s="284"/>
    </row>
    <row r="928" ht="15.75" customHeight="1">
      <c r="A928" s="282">
        <f t="shared" si="1"/>
        <v>924</v>
      </c>
      <c r="B928" s="283"/>
      <c r="C928" s="335"/>
      <c r="D928" s="338"/>
      <c r="E928" s="286"/>
      <c r="F928" s="287"/>
      <c r="G928" s="288" t="str">
        <f>+IFERROR(VLOOKUP(F928,NVL!$B:$C,2,0),"")</f>
        <v/>
      </c>
      <c r="H928" s="288" t="str">
        <f>+IFERROR(VLOOKUP(F928,NVL!$B:$D,3,0),"")</f>
        <v/>
      </c>
      <c r="I928" s="288" t="str">
        <f>+IFERROR(VLOOKUP(F928,NVL!$B:$F,4,0),"")</f>
        <v/>
      </c>
      <c r="J928" s="289"/>
      <c r="K928" s="290"/>
      <c r="L928" s="291" t="str">
        <f>+IFERROR(VLOOKUP(K928,'THÀNH PHẨM'!$B:$F,3,0),"")</f>
        <v/>
      </c>
      <c r="M928" s="291" t="str">
        <f>+IFERROR(VLOOKUP(K928,'THÀNH PHẨM'!$B:$F,4,0),"")</f>
        <v/>
      </c>
      <c r="N928" s="291" t="str">
        <f>+IFERROR(VLOOKUP(K928,'THÀNH PHẨM'!$B:$F,5,0),"")</f>
        <v/>
      </c>
      <c r="O928" s="289"/>
      <c r="P928" s="292">
        <f t="shared" si="2"/>
        <v>0</v>
      </c>
      <c r="Q928" s="289"/>
      <c r="R928" s="289"/>
      <c r="S928" s="293">
        <f t="shared" si="62"/>
        <v>0</v>
      </c>
      <c r="T928" s="294"/>
      <c r="U928" s="295" t="str">
        <f>IFERROR(VLOOKUP(G928,'KL NÒNG ỐNG'!$B$2:$E$16,4,0)*I928*V928,"")</f>
        <v/>
      </c>
      <c r="V928" s="296"/>
      <c r="W928" s="297"/>
      <c r="X928" s="298"/>
      <c r="Y928" s="292" t="str">
        <f t="shared" si="69"/>
        <v/>
      </c>
      <c r="Z928" s="366">
        <f t="shared" si="70"/>
        <v>0</v>
      </c>
      <c r="AA928" s="299" t="str">
        <f t="shared" si="71"/>
        <v/>
      </c>
      <c r="AB928" s="300"/>
      <c r="AC928" s="301"/>
      <c r="AD928" s="302"/>
      <c r="AE928" s="303"/>
      <c r="AF928" s="304"/>
      <c r="AG928" s="304"/>
      <c r="AH928" s="304"/>
      <c r="AI928" s="304"/>
      <c r="AJ928" s="304"/>
      <c r="AK928" s="305"/>
      <c r="AL928" s="283"/>
      <c r="AM928" s="284"/>
    </row>
    <row r="929" ht="15.75" customHeight="1">
      <c r="A929" s="282">
        <f t="shared" si="1"/>
        <v>925</v>
      </c>
      <c r="B929" s="283"/>
      <c r="C929" s="284"/>
      <c r="D929" s="338"/>
      <c r="E929" s="286"/>
      <c r="F929" s="287"/>
      <c r="G929" s="288" t="str">
        <f>+IFERROR(VLOOKUP(F929,NVL!$B:$C,2,0),"")</f>
        <v/>
      </c>
      <c r="H929" s="288" t="str">
        <f>+IFERROR(VLOOKUP(F929,NVL!$B:$D,3,0),"")</f>
        <v/>
      </c>
      <c r="I929" s="288" t="str">
        <f>+IFERROR(VLOOKUP(F929,NVL!$B:$F,4,0),"")</f>
        <v/>
      </c>
      <c r="J929" s="289"/>
      <c r="K929" s="290"/>
      <c r="L929" s="291" t="str">
        <f>+IFERROR(VLOOKUP(K929,'THÀNH PHẨM'!$B:$F,3,0),"")</f>
        <v/>
      </c>
      <c r="M929" s="291" t="str">
        <f>+IFERROR(VLOOKUP(K929,'THÀNH PHẨM'!$B:$F,4,0),"")</f>
        <v/>
      </c>
      <c r="N929" s="291" t="str">
        <f>+IFERROR(VLOOKUP(K929,'THÀNH PHẨM'!$B:$F,5,0),"")</f>
        <v/>
      </c>
      <c r="O929" s="289"/>
      <c r="P929" s="292">
        <f t="shared" si="2"/>
        <v>0</v>
      </c>
      <c r="Q929" s="289"/>
      <c r="R929" s="289"/>
      <c r="S929" s="293">
        <f t="shared" si="62"/>
        <v>0</v>
      </c>
      <c r="T929" s="294"/>
      <c r="U929" s="295" t="str">
        <f>IFERROR(VLOOKUP(G929,'KL NÒNG ỐNG'!$B$2:$E$16,4,0)*I929*V929,"")</f>
        <v/>
      </c>
      <c r="V929" s="296"/>
      <c r="W929" s="297"/>
      <c r="X929" s="298"/>
      <c r="Y929" s="292" t="str">
        <f t="shared" si="69"/>
        <v/>
      </c>
      <c r="Z929" s="366">
        <f t="shared" si="70"/>
        <v>0</v>
      </c>
      <c r="AA929" s="299" t="str">
        <f t="shared" si="71"/>
        <v/>
      </c>
      <c r="AB929" s="300"/>
      <c r="AC929" s="301"/>
      <c r="AD929" s="302"/>
      <c r="AE929" s="303"/>
      <c r="AF929" s="304"/>
      <c r="AG929" s="304"/>
      <c r="AH929" s="304"/>
      <c r="AI929" s="304"/>
      <c r="AJ929" s="304"/>
      <c r="AK929" s="305"/>
      <c r="AL929" s="283"/>
      <c r="AM929" s="284"/>
    </row>
    <row r="930" ht="15.75" customHeight="1">
      <c r="A930" s="282">
        <f t="shared" si="1"/>
        <v>926</v>
      </c>
      <c r="B930" s="283"/>
      <c r="C930" s="284"/>
      <c r="D930" s="338"/>
      <c r="E930" s="286"/>
      <c r="F930" s="287"/>
      <c r="G930" s="288" t="str">
        <f>+IFERROR(VLOOKUP(F930,NVL!$B:$C,2,0),"")</f>
        <v/>
      </c>
      <c r="H930" s="288" t="str">
        <f>+IFERROR(VLOOKUP(F930,NVL!$B:$D,3,0),"")</f>
        <v/>
      </c>
      <c r="I930" s="288" t="str">
        <f>+IFERROR(VLOOKUP(F930,NVL!$B:$F,4,0),"")</f>
        <v/>
      </c>
      <c r="J930" s="289"/>
      <c r="K930" s="290"/>
      <c r="L930" s="291" t="str">
        <f>+IFERROR(VLOOKUP(K930,'THÀNH PHẨM'!$B:$F,3,0),"")</f>
        <v/>
      </c>
      <c r="M930" s="291" t="str">
        <f>+IFERROR(VLOOKUP(K930,'THÀNH PHẨM'!$B:$F,4,0),"")</f>
        <v/>
      </c>
      <c r="N930" s="291" t="str">
        <f>+IFERROR(VLOOKUP(K930,'THÀNH PHẨM'!$B:$F,5,0),"")</f>
        <v/>
      </c>
      <c r="O930" s="289"/>
      <c r="P930" s="292">
        <f t="shared" si="2"/>
        <v>0</v>
      </c>
      <c r="Q930" s="289"/>
      <c r="R930" s="289"/>
      <c r="S930" s="293">
        <f t="shared" si="62"/>
        <v>0</v>
      </c>
      <c r="T930" s="294"/>
      <c r="U930" s="295"/>
      <c r="V930" s="296"/>
      <c r="W930" s="297"/>
      <c r="X930" s="298"/>
      <c r="Y930" s="292" t="str">
        <f t="shared" si="69"/>
        <v/>
      </c>
      <c r="Z930" s="366">
        <f t="shared" si="70"/>
        <v>0</v>
      </c>
      <c r="AA930" s="299" t="str">
        <f t="shared" si="71"/>
        <v/>
      </c>
      <c r="AB930" s="300"/>
      <c r="AC930" s="301"/>
      <c r="AD930" s="302"/>
      <c r="AE930" s="303"/>
      <c r="AF930" s="304"/>
      <c r="AG930" s="304"/>
      <c r="AH930" s="304"/>
      <c r="AI930" s="304"/>
      <c r="AJ930" s="304"/>
      <c r="AK930" s="305"/>
      <c r="AL930" s="283"/>
      <c r="AM930" s="284"/>
    </row>
    <row r="931" ht="15.75" customHeight="1">
      <c r="A931" s="282">
        <f t="shared" si="1"/>
        <v>927</v>
      </c>
      <c r="B931" s="283"/>
      <c r="C931" s="284"/>
      <c r="D931" s="338"/>
      <c r="E931" s="286"/>
      <c r="F931" s="287"/>
      <c r="G931" s="288" t="str">
        <f>+IFERROR(VLOOKUP(F931,NVL!$B:$C,2,0),"")</f>
        <v/>
      </c>
      <c r="H931" s="288" t="str">
        <f>+IFERROR(VLOOKUP(F931,NVL!$B:$D,3,0),"")</f>
        <v/>
      </c>
      <c r="I931" s="288" t="str">
        <f>+IFERROR(VLOOKUP(F931,NVL!$B:$F,4,0),"")</f>
        <v/>
      </c>
      <c r="J931" s="289"/>
      <c r="K931" s="290"/>
      <c r="L931" s="291" t="str">
        <f>+IFERROR(VLOOKUP(K931,'THÀNH PHẨM'!$B:$F,3,0),"")</f>
        <v/>
      </c>
      <c r="M931" s="291" t="str">
        <f>+IFERROR(VLOOKUP(K931,'THÀNH PHẨM'!$B:$F,4,0),"")</f>
        <v/>
      </c>
      <c r="N931" s="291" t="str">
        <f>+IFERROR(VLOOKUP(K931,'THÀNH PHẨM'!$B:$F,5,0),"")</f>
        <v/>
      </c>
      <c r="O931" s="289"/>
      <c r="P931" s="292">
        <f t="shared" si="2"/>
        <v>0</v>
      </c>
      <c r="Q931" s="289"/>
      <c r="R931" s="289"/>
      <c r="S931" s="293">
        <f t="shared" si="62"/>
        <v>0</v>
      </c>
      <c r="T931" s="294"/>
      <c r="U931" s="295" t="str">
        <f>IFERROR(VLOOKUP(G931,'KL NÒNG ỐNG'!$B$2:$E$16,4,0)*I931*V931,"")</f>
        <v/>
      </c>
      <c r="V931" s="296"/>
      <c r="W931" s="297"/>
      <c r="X931" s="298"/>
      <c r="Y931" s="292" t="str">
        <f t="shared" si="69"/>
        <v/>
      </c>
      <c r="Z931" s="366">
        <f t="shared" si="70"/>
        <v>0</v>
      </c>
      <c r="AA931" s="299" t="str">
        <f t="shared" si="71"/>
        <v/>
      </c>
      <c r="AB931" s="300"/>
      <c r="AC931" s="301"/>
      <c r="AD931" s="302"/>
      <c r="AE931" s="303"/>
      <c r="AF931" s="304"/>
      <c r="AG931" s="304"/>
      <c r="AH931" s="304"/>
      <c r="AI931" s="304"/>
      <c r="AJ931" s="304"/>
      <c r="AK931" s="305"/>
      <c r="AL931" s="283"/>
      <c r="AM931" s="284"/>
    </row>
    <row r="932" ht="15.75" customHeight="1">
      <c r="A932" s="282">
        <f t="shared" si="1"/>
        <v>928</v>
      </c>
      <c r="B932" s="283"/>
      <c r="C932" s="284"/>
      <c r="D932" s="338"/>
      <c r="E932" s="286"/>
      <c r="F932" s="287"/>
      <c r="G932" s="288" t="str">
        <f>+IFERROR(VLOOKUP(F932,NVL!$B:$C,2,0),"")</f>
        <v/>
      </c>
      <c r="H932" s="288" t="str">
        <f>+IFERROR(VLOOKUP(F932,NVL!$B:$D,3,0),"")</f>
        <v/>
      </c>
      <c r="I932" s="288" t="str">
        <f>+IFERROR(VLOOKUP(F932,NVL!$B:$F,4,0),"")</f>
        <v/>
      </c>
      <c r="J932" s="289"/>
      <c r="K932" s="290"/>
      <c r="L932" s="291" t="str">
        <f>+IFERROR(VLOOKUP(K932,'THÀNH PHẨM'!$B:$F,3,0),"")</f>
        <v/>
      </c>
      <c r="M932" s="291" t="str">
        <f>+IFERROR(VLOOKUP(K932,'THÀNH PHẨM'!$B:$F,4,0),"")</f>
        <v/>
      </c>
      <c r="N932" s="291" t="str">
        <f>+IFERROR(VLOOKUP(K932,'THÀNH PHẨM'!$B:$F,5,0),"")</f>
        <v/>
      </c>
      <c r="O932" s="289"/>
      <c r="P932" s="292">
        <f t="shared" si="2"/>
        <v>0</v>
      </c>
      <c r="Q932" s="289"/>
      <c r="R932" s="289"/>
      <c r="S932" s="293">
        <f t="shared" si="62"/>
        <v>0</v>
      </c>
      <c r="T932" s="294"/>
      <c r="U932" s="295" t="str">
        <f>IFERROR(VLOOKUP(G932,'KL NÒNG ỐNG'!$B$2:$E$16,4,0)*I932*V932,"")</f>
        <v/>
      </c>
      <c r="V932" s="296"/>
      <c r="W932" s="297"/>
      <c r="X932" s="298"/>
      <c r="Y932" s="292" t="str">
        <f t="shared" si="69"/>
        <v/>
      </c>
      <c r="Z932" s="366">
        <f t="shared" si="70"/>
        <v>0</v>
      </c>
      <c r="AA932" s="299" t="str">
        <f t="shared" si="71"/>
        <v/>
      </c>
      <c r="AB932" s="300"/>
      <c r="AC932" s="301"/>
      <c r="AD932" s="302"/>
      <c r="AE932" s="303"/>
      <c r="AF932" s="304"/>
      <c r="AG932" s="304"/>
      <c r="AH932" s="304"/>
      <c r="AI932" s="304"/>
      <c r="AJ932" s="304"/>
      <c r="AK932" s="305"/>
      <c r="AL932" s="283"/>
      <c r="AM932" s="284"/>
    </row>
    <row r="933" ht="15.75" customHeight="1">
      <c r="A933" s="282">
        <f t="shared" si="1"/>
        <v>929</v>
      </c>
      <c r="B933" s="283"/>
      <c r="C933" s="284"/>
      <c r="D933" s="338"/>
      <c r="E933" s="286"/>
      <c r="F933" s="287"/>
      <c r="G933" s="288" t="str">
        <f>+IFERROR(VLOOKUP(F933,NVL!$B:$C,2,0),"")</f>
        <v/>
      </c>
      <c r="H933" s="288" t="str">
        <f>+IFERROR(VLOOKUP(F933,NVL!$B:$D,3,0),"")</f>
        <v/>
      </c>
      <c r="I933" s="288" t="str">
        <f>+IFERROR(VLOOKUP(F933,NVL!$B:$F,4,0),"")</f>
        <v/>
      </c>
      <c r="J933" s="289"/>
      <c r="K933" s="290"/>
      <c r="L933" s="291" t="str">
        <f>+IFERROR(VLOOKUP(K933,'THÀNH PHẨM'!$B:$F,3,0),"")</f>
        <v/>
      </c>
      <c r="M933" s="291" t="str">
        <f>+IFERROR(VLOOKUP(K933,'THÀNH PHẨM'!$B:$F,4,0),"")</f>
        <v/>
      </c>
      <c r="N933" s="291" t="str">
        <f>+IFERROR(VLOOKUP(K933,'THÀNH PHẨM'!$B:$F,5,0),"")</f>
        <v/>
      </c>
      <c r="O933" s="289"/>
      <c r="P933" s="292">
        <f t="shared" si="2"/>
        <v>0</v>
      </c>
      <c r="Q933" s="289"/>
      <c r="R933" s="289"/>
      <c r="S933" s="293">
        <f t="shared" si="62"/>
        <v>0</v>
      </c>
      <c r="T933" s="294"/>
      <c r="U933" s="295" t="str">
        <f>IFERROR(VLOOKUP(G933,'KL NÒNG ỐNG'!$B$2:$E$16,4,0)*I933*V933,"")</f>
        <v/>
      </c>
      <c r="V933" s="296"/>
      <c r="W933" s="297"/>
      <c r="X933" s="298"/>
      <c r="Y933" s="292" t="str">
        <f t="shared" si="69"/>
        <v/>
      </c>
      <c r="Z933" s="366">
        <f t="shared" si="70"/>
        <v>0</v>
      </c>
      <c r="AA933" s="299" t="str">
        <f t="shared" si="71"/>
        <v/>
      </c>
      <c r="AB933" s="300"/>
      <c r="AC933" s="301"/>
      <c r="AD933" s="302"/>
      <c r="AE933" s="303"/>
      <c r="AF933" s="304"/>
      <c r="AG933" s="304"/>
      <c r="AH933" s="304"/>
      <c r="AI933" s="304"/>
      <c r="AJ933" s="304"/>
      <c r="AK933" s="305"/>
      <c r="AL933" s="283"/>
      <c r="AM933" s="284"/>
    </row>
    <row r="934" ht="15.75" customHeight="1">
      <c r="A934" s="282">
        <f t="shared" si="1"/>
        <v>930</v>
      </c>
      <c r="B934" s="283"/>
      <c r="C934" s="284"/>
      <c r="D934" s="338"/>
      <c r="E934" s="286"/>
      <c r="F934" s="287"/>
      <c r="G934" s="288" t="str">
        <f>+IFERROR(VLOOKUP(F934,NVL!$B:$C,2,0),"")</f>
        <v/>
      </c>
      <c r="H934" s="288" t="str">
        <f>+IFERROR(VLOOKUP(F934,NVL!$B:$D,3,0),"")</f>
        <v/>
      </c>
      <c r="I934" s="288" t="str">
        <f>+IFERROR(VLOOKUP(F934,NVL!$B:$F,4,0),"")</f>
        <v/>
      </c>
      <c r="J934" s="289"/>
      <c r="K934" s="290"/>
      <c r="L934" s="291" t="str">
        <f>+IFERROR(VLOOKUP(K934,'THÀNH PHẨM'!$B:$F,3,0),"")</f>
        <v/>
      </c>
      <c r="M934" s="291" t="str">
        <f>+IFERROR(VLOOKUP(K934,'THÀNH PHẨM'!$B:$F,4,0),"")</f>
        <v/>
      </c>
      <c r="N934" s="291" t="str">
        <f>+IFERROR(VLOOKUP(K934,'THÀNH PHẨM'!$B:$F,5,0),"")</f>
        <v/>
      </c>
      <c r="O934" s="289"/>
      <c r="P934" s="292">
        <f t="shared" si="2"/>
        <v>0</v>
      </c>
      <c r="Q934" s="289"/>
      <c r="R934" s="289"/>
      <c r="S934" s="293">
        <f t="shared" si="62"/>
        <v>0</v>
      </c>
      <c r="T934" s="294"/>
      <c r="U934" s="295" t="str">
        <f>IFERROR(VLOOKUP(G934,'KL NÒNG ỐNG'!$B$2:$E$16,4,0)*I934*V934,"")</f>
        <v/>
      </c>
      <c r="V934" s="296"/>
      <c r="W934" s="297"/>
      <c r="X934" s="298"/>
      <c r="Y934" s="292" t="str">
        <f t="shared" si="69"/>
        <v/>
      </c>
      <c r="Z934" s="366">
        <f t="shared" si="70"/>
        <v>0</v>
      </c>
      <c r="AA934" s="299" t="str">
        <f t="shared" si="71"/>
        <v/>
      </c>
      <c r="AB934" s="300"/>
      <c r="AC934" s="301"/>
      <c r="AD934" s="302"/>
      <c r="AE934" s="303"/>
      <c r="AF934" s="304"/>
      <c r="AG934" s="304"/>
      <c r="AH934" s="304"/>
      <c r="AI934" s="304"/>
      <c r="AJ934" s="304"/>
      <c r="AK934" s="305"/>
      <c r="AL934" s="283"/>
      <c r="AM934" s="284"/>
    </row>
    <row r="935" ht="15.75" customHeight="1">
      <c r="A935" s="282">
        <f t="shared" si="1"/>
        <v>931</v>
      </c>
      <c r="B935" s="283"/>
      <c r="C935" s="284"/>
      <c r="D935" s="338"/>
      <c r="E935" s="286"/>
      <c r="F935" s="287"/>
      <c r="G935" s="288" t="str">
        <f>+IFERROR(VLOOKUP(F935,NVL!$B:$C,2,0),"")</f>
        <v/>
      </c>
      <c r="H935" s="288" t="str">
        <f>+IFERROR(VLOOKUP(F935,NVL!$B:$D,3,0),"")</f>
        <v/>
      </c>
      <c r="I935" s="288" t="str">
        <f>+IFERROR(VLOOKUP(F935,NVL!$B:$F,4,0),"")</f>
        <v/>
      </c>
      <c r="J935" s="289"/>
      <c r="K935" s="290"/>
      <c r="L935" s="291" t="str">
        <f>+IFERROR(VLOOKUP(K935,'THÀNH PHẨM'!$B:$F,3,0),"")</f>
        <v/>
      </c>
      <c r="M935" s="291" t="str">
        <f>+IFERROR(VLOOKUP(K935,'THÀNH PHẨM'!$B:$F,4,0),"")</f>
        <v/>
      </c>
      <c r="N935" s="291" t="str">
        <f>+IFERROR(VLOOKUP(K935,'THÀNH PHẨM'!$B:$F,5,0),"")</f>
        <v/>
      </c>
      <c r="O935" s="289"/>
      <c r="P935" s="292">
        <f t="shared" si="2"/>
        <v>0</v>
      </c>
      <c r="Q935" s="289"/>
      <c r="R935" s="289"/>
      <c r="S935" s="293">
        <f t="shared" si="62"/>
        <v>0</v>
      </c>
      <c r="T935" s="294"/>
      <c r="U935" s="295" t="str">
        <f>IFERROR(VLOOKUP(G935,'KL NÒNG ỐNG'!$B$2:$E$16,4,0)*I935*V935,"")</f>
        <v/>
      </c>
      <c r="V935" s="296"/>
      <c r="W935" s="297"/>
      <c r="X935" s="298"/>
      <c r="Y935" s="292" t="str">
        <f t="shared" si="69"/>
        <v/>
      </c>
      <c r="Z935" s="366">
        <f t="shared" si="70"/>
        <v>0</v>
      </c>
      <c r="AA935" s="299" t="str">
        <f t="shared" si="71"/>
        <v/>
      </c>
      <c r="AB935" s="300"/>
      <c r="AC935" s="301"/>
      <c r="AD935" s="302"/>
      <c r="AE935" s="303"/>
      <c r="AF935" s="304"/>
      <c r="AG935" s="304"/>
      <c r="AH935" s="304"/>
      <c r="AI935" s="304"/>
      <c r="AJ935" s="304"/>
      <c r="AK935" s="305"/>
      <c r="AL935" s="283"/>
      <c r="AM935" s="284"/>
    </row>
    <row r="936" ht="15.75" customHeight="1">
      <c r="A936" s="282">
        <f t="shared" si="1"/>
        <v>932</v>
      </c>
      <c r="B936" s="283"/>
      <c r="C936" s="284"/>
      <c r="D936" s="338"/>
      <c r="E936" s="286"/>
      <c r="F936" s="287"/>
      <c r="G936" s="288" t="str">
        <f>+IFERROR(VLOOKUP(F936,NVL!$B:$C,2,0),"")</f>
        <v/>
      </c>
      <c r="H936" s="288" t="str">
        <f>+IFERROR(VLOOKUP(F936,NVL!$B:$D,3,0),"")</f>
        <v/>
      </c>
      <c r="I936" s="288" t="str">
        <f>+IFERROR(VLOOKUP(F936,NVL!$B:$F,4,0),"")</f>
        <v/>
      </c>
      <c r="J936" s="289"/>
      <c r="K936" s="290"/>
      <c r="L936" s="291" t="str">
        <f>+IFERROR(VLOOKUP(K936,'THÀNH PHẨM'!$B:$F,3,0),"")</f>
        <v/>
      </c>
      <c r="M936" s="291" t="str">
        <f>+IFERROR(VLOOKUP(K936,'THÀNH PHẨM'!$B:$F,4,0),"")</f>
        <v/>
      </c>
      <c r="N936" s="291" t="str">
        <f>+IFERROR(VLOOKUP(K936,'THÀNH PHẨM'!$B:$F,5,0),"")</f>
        <v/>
      </c>
      <c r="O936" s="289"/>
      <c r="P936" s="292">
        <f t="shared" si="2"/>
        <v>0</v>
      </c>
      <c r="Q936" s="289"/>
      <c r="R936" s="289"/>
      <c r="S936" s="293">
        <f t="shared" si="62"/>
        <v>0</v>
      </c>
      <c r="T936" s="294"/>
      <c r="U936" s="295" t="str">
        <f>IFERROR(VLOOKUP(G936,'KL NÒNG ỐNG'!$B$2:$E$16,4,0)*I936*V936,"")</f>
        <v/>
      </c>
      <c r="V936" s="296"/>
      <c r="W936" s="297"/>
      <c r="X936" s="298"/>
      <c r="Y936" s="292" t="str">
        <f t="shared" si="69"/>
        <v/>
      </c>
      <c r="Z936" s="366">
        <f t="shared" si="70"/>
        <v>0</v>
      </c>
      <c r="AA936" s="299" t="str">
        <f t="shared" si="71"/>
        <v/>
      </c>
      <c r="AB936" s="300"/>
      <c r="AC936" s="301"/>
      <c r="AD936" s="302"/>
      <c r="AE936" s="303"/>
      <c r="AF936" s="304"/>
      <c r="AG936" s="304"/>
      <c r="AH936" s="304"/>
      <c r="AI936" s="304"/>
      <c r="AJ936" s="304"/>
      <c r="AK936" s="305"/>
      <c r="AL936" s="283"/>
      <c r="AM936" s="284"/>
    </row>
    <row r="937" ht="15.75" customHeight="1">
      <c r="A937" s="282">
        <f t="shared" si="1"/>
        <v>933</v>
      </c>
      <c r="B937" s="283"/>
      <c r="C937" s="284"/>
      <c r="D937" s="338"/>
      <c r="E937" s="286"/>
      <c r="F937" s="287"/>
      <c r="G937" s="288" t="str">
        <f>+IFERROR(VLOOKUP(F937,NVL!$B:$C,2,0),"")</f>
        <v/>
      </c>
      <c r="H937" s="288" t="str">
        <f>+IFERROR(VLOOKUP(F937,NVL!$B:$D,3,0),"")</f>
        <v/>
      </c>
      <c r="I937" s="288" t="str">
        <f>+IFERROR(VLOOKUP(F937,NVL!$B:$F,4,0),"")</f>
        <v/>
      </c>
      <c r="J937" s="289"/>
      <c r="K937" s="290"/>
      <c r="L937" s="291" t="str">
        <f>+IFERROR(VLOOKUP(K937,'THÀNH PHẨM'!$B:$F,3,0),"")</f>
        <v/>
      </c>
      <c r="M937" s="291" t="str">
        <f>+IFERROR(VLOOKUP(K937,'THÀNH PHẨM'!$B:$F,4,0),"")</f>
        <v/>
      </c>
      <c r="N937" s="291" t="str">
        <f>+IFERROR(VLOOKUP(K937,'THÀNH PHẨM'!$B:$F,5,0),"")</f>
        <v/>
      </c>
      <c r="O937" s="289"/>
      <c r="P937" s="292">
        <f t="shared" si="2"/>
        <v>0</v>
      </c>
      <c r="Q937" s="289"/>
      <c r="R937" s="289"/>
      <c r="S937" s="293">
        <f t="shared" si="62"/>
        <v>0</v>
      </c>
      <c r="T937" s="294"/>
      <c r="U937" s="295" t="str">
        <f>IFERROR(VLOOKUP(G937,'KL NÒNG ỐNG'!$B$2:$E$16,4,0)*I937*V937,"")</f>
        <v/>
      </c>
      <c r="V937" s="296"/>
      <c r="W937" s="297"/>
      <c r="X937" s="298"/>
      <c r="Y937" s="292" t="str">
        <f t="shared" si="69"/>
        <v/>
      </c>
      <c r="Z937" s="366">
        <f t="shared" si="70"/>
        <v>0</v>
      </c>
      <c r="AA937" s="299" t="str">
        <f t="shared" si="71"/>
        <v/>
      </c>
      <c r="AB937" s="300"/>
      <c r="AC937" s="301"/>
      <c r="AD937" s="302"/>
      <c r="AE937" s="303"/>
      <c r="AF937" s="304"/>
      <c r="AG937" s="304"/>
      <c r="AH937" s="304"/>
      <c r="AI937" s="304"/>
      <c r="AJ937" s="304"/>
      <c r="AK937" s="305"/>
      <c r="AL937" s="283"/>
      <c r="AM937" s="284"/>
    </row>
    <row r="938" ht="15.75" customHeight="1">
      <c r="A938" s="282">
        <f t="shared" si="1"/>
        <v>934</v>
      </c>
      <c r="B938" s="283"/>
      <c r="C938" s="284"/>
      <c r="D938" s="338"/>
      <c r="E938" s="286"/>
      <c r="F938" s="287"/>
      <c r="G938" s="288" t="str">
        <f>+IFERROR(VLOOKUP(F938,NVL!$B:$C,2,0),"")</f>
        <v/>
      </c>
      <c r="H938" s="288" t="str">
        <f>+IFERROR(VLOOKUP(F938,NVL!$B:$D,3,0),"")</f>
        <v/>
      </c>
      <c r="I938" s="288" t="str">
        <f>+IFERROR(VLOOKUP(F938,NVL!$B:$F,4,0),"")</f>
        <v/>
      </c>
      <c r="J938" s="289"/>
      <c r="K938" s="290"/>
      <c r="L938" s="291" t="str">
        <f>+IFERROR(VLOOKUP(K938,'THÀNH PHẨM'!$B:$F,3,0),"")</f>
        <v/>
      </c>
      <c r="M938" s="291" t="str">
        <f>+IFERROR(VLOOKUP(K938,'THÀNH PHẨM'!$B:$F,4,0),"")</f>
        <v/>
      </c>
      <c r="N938" s="291" t="str">
        <f>+IFERROR(VLOOKUP(K938,'THÀNH PHẨM'!$B:$F,5,0),"")</f>
        <v/>
      </c>
      <c r="O938" s="289"/>
      <c r="P938" s="292">
        <f t="shared" si="2"/>
        <v>0</v>
      </c>
      <c r="Q938" s="289"/>
      <c r="R938" s="289"/>
      <c r="S938" s="293">
        <f t="shared" si="62"/>
        <v>0</v>
      </c>
      <c r="T938" s="294"/>
      <c r="U938" s="295" t="str">
        <f>IFERROR(VLOOKUP(G938,'KL NÒNG ỐNG'!$B$2:$E$16,4,0)*I938*V938,"")</f>
        <v/>
      </c>
      <c r="V938" s="296"/>
      <c r="W938" s="297"/>
      <c r="X938" s="298"/>
      <c r="Y938" s="292" t="str">
        <f t="shared" si="69"/>
        <v/>
      </c>
      <c r="Z938" s="366">
        <f t="shared" si="70"/>
        <v>0</v>
      </c>
      <c r="AA938" s="299" t="str">
        <f t="shared" si="71"/>
        <v/>
      </c>
      <c r="AB938" s="300"/>
      <c r="AC938" s="301"/>
      <c r="AD938" s="302"/>
      <c r="AE938" s="303"/>
      <c r="AF938" s="304"/>
      <c r="AG938" s="304"/>
      <c r="AH938" s="304"/>
      <c r="AI938" s="304"/>
      <c r="AJ938" s="304"/>
      <c r="AK938" s="305"/>
      <c r="AL938" s="283"/>
      <c r="AM938" s="284"/>
    </row>
    <row r="939" ht="15.75" customHeight="1">
      <c r="A939" s="282">
        <f t="shared" si="1"/>
        <v>935</v>
      </c>
      <c r="B939" s="283"/>
      <c r="C939" s="284"/>
      <c r="D939" s="338"/>
      <c r="E939" s="286"/>
      <c r="F939" s="287"/>
      <c r="G939" s="288" t="str">
        <f>+IFERROR(VLOOKUP(F939,NVL!$B:$C,2,0),"")</f>
        <v/>
      </c>
      <c r="H939" s="288" t="str">
        <f>+IFERROR(VLOOKUP(F939,NVL!$B:$D,3,0),"")</f>
        <v/>
      </c>
      <c r="I939" s="288" t="str">
        <f>+IFERROR(VLOOKUP(F939,NVL!$B:$F,4,0),"")</f>
        <v/>
      </c>
      <c r="J939" s="289"/>
      <c r="K939" s="290"/>
      <c r="L939" s="291" t="str">
        <f>+IFERROR(VLOOKUP(K939,'THÀNH PHẨM'!$B:$F,3,0),"")</f>
        <v/>
      </c>
      <c r="M939" s="291" t="str">
        <f>+IFERROR(VLOOKUP(K939,'THÀNH PHẨM'!$B:$F,4,0),"")</f>
        <v/>
      </c>
      <c r="N939" s="291" t="str">
        <f>+IFERROR(VLOOKUP(K939,'THÀNH PHẨM'!$B:$F,5,0),"")</f>
        <v/>
      </c>
      <c r="O939" s="289"/>
      <c r="P939" s="292">
        <f t="shared" si="2"/>
        <v>0</v>
      </c>
      <c r="Q939" s="289"/>
      <c r="R939" s="289"/>
      <c r="S939" s="293">
        <f t="shared" si="62"/>
        <v>0</v>
      </c>
      <c r="T939" s="294"/>
      <c r="U939" s="295" t="str">
        <f>IFERROR(VLOOKUP(G939,'KL NÒNG ỐNG'!$B$2:$E$16,4,0)*I939*V939,"")</f>
        <v/>
      </c>
      <c r="V939" s="296"/>
      <c r="W939" s="297"/>
      <c r="X939" s="298"/>
      <c r="Y939" s="292" t="str">
        <f t="shared" si="69"/>
        <v/>
      </c>
      <c r="Z939" s="366">
        <f t="shared" si="70"/>
        <v>0</v>
      </c>
      <c r="AA939" s="299" t="str">
        <f t="shared" si="71"/>
        <v/>
      </c>
      <c r="AB939" s="300"/>
      <c r="AC939" s="301"/>
      <c r="AD939" s="302"/>
      <c r="AE939" s="303"/>
      <c r="AF939" s="304"/>
      <c r="AG939" s="304"/>
      <c r="AH939" s="304"/>
      <c r="AI939" s="304"/>
      <c r="AJ939" s="304"/>
      <c r="AK939" s="305"/>
      <c r="AL939" s="283"/>
      <c r="AM939" s="284"/>
    </row>
    <row r="940" ht="15.75" customHeight="1">
      <c r="A940" s="282">
        <f t="shared" si="1"/>
        <v>936</v>
      </c>
      <c r="B940" s="283"/>
      <c r="C940" s="284"/>
      <c r="D940" s="338"/>
      <c r="E940" s="286"/>
      <c r="F940" s="287"/>
      <c r="G940" s="288" t="str">
        <f>+IFERROR(VLOOKUP(F940,NVL!$B:$C,2,0),"")</f>
        <v/>
      </c>
      <c r="H940" s="288" t="str">
        <f>+IFERROR(VLOOKUP(F940,NVL!$B:$D,3,0),"")</f>
        <v/>
      </c>
      <c r="I940" s="288" t="str">
        <f>+IFERROR(VLOOKUP(F940,NVL!$B:$F,4,0),"")</f>
        <v/>
      </c>
      <c r="J940" s="289"/>
      <c r="K940" s="290"/>
      <c r="L940" s="291" t="str">
        <f>+IFERROR(VLOOKUP(K940,'THÀNH PHẨM'!$B:$F,3,0),"")</f>
        <v/>
      </c>
      <c r="M940" s="291" t="str">
        <f>+IFERROR(VLOOKUP(K940,'THÀNH PHẨM'!$B:$F,4,0),"")</f>
        <v/>
      </c>
      <c r="N940" s="291" t="str">
        <f>+IFERROR(VLOOKUP(K940,'THÀNH PHẨM'!$B:$F,5,0),"")</f>
        <v/>
      </c>
      <c r="O940" s="289"/>
      <c r="P940" s="292">
        <f t="shared" si="2"/>
        <v>0</v>
      </c>
      <c r="Q940" s="289"/>
      <c r="R940" s="289"/>
      <c r="S940" s="293">
        <f t="shared" si="62"/>
        <v>0</v>
      </c>
      <c r="T940" s="294"/>
      <c r="U940" s="295" t="str">
        <f>IFERROR(VLOOKUP(G940,'KL NÒNG ỐNG'!$B$2:$E$16,4,0)*I940*V940,"")</f>
        <v/>
      </c>
      <c r="V940" s="296"/>
      <c r="W940" s="297"/>
      <c r="X940" s="298"/>
      <c r="Y940" s="292" t="str">
        <f t="shared" si="69"/>
        <v/>
      </c>
      <c r="Z940" s="366">
        <f t="shared" si="70"/>
        <v>0</v>
      </c>
      <c r="AA940" s="299" t="str">
        <f t="shared" si="71"/>
        <v/>
      </c>
      <c r="AB940" s="300"/>
      <c r="AC940" s="301"/>
      <c r="AD940" s="302"/>
      <c r="AE940" s="303"/>
      <c r="AF940" s="304"/>
      <c r="AG940" s="304"/>
      <c r="AH940" s="304"/>
      <c r="AI940" s="304"/>
      <c r="AJ940" s="304"/>
      <c r="AK940" s="305"/>
      <c r="AL940" s="283"/>
      <c r="AM940" s="284"/>
    </row>
    <row r="941" ht="15.75" customHeight="1">
      <c r="A941" s="282">
        <f t="shared" si="1"/>
        <v>937</v>
      </c>
      <c r="B941" s="283"/>
      <c r="C941" s="284"/>
      <c r="D941" s="338"/>
      <c r="E941" s="286"/>
      <c r="F941" s="287"/>
      <c r="G941" s="288" t="str">
        <f>+IFERROR(VLOOKUP(F941,NVL!$B:$C,2,0),"")</f>
        <v/>
      </c>
      <c r="H941" s="288" t="str">
        <f>+IFERROR(VLOOKUP(F941,NVL!$B:$D,3,0),"")</f>
        <v/>
      </c>
      <c r="I941" s="288" t="str">
        <f>+IFERROR(VLOOKUP(F941,NVL!$B:$F,4,0),"")</f>
        <v/>
      </c>
      <c r="J941" s="289"/>
      <c r="K941" s="290"/>
      <c r="L941" s="291" t="str">
        <f>+IFERROR(VLOOKUP(K941,'THÀNH PHẨM'!$B:$F,3,0),"")</f>
        <v/>
      </c>
      <c r="M941" s="291" t="str">
        <f>+IFERROR(VLOOKUP(K941,'THÀNH PHẨM'!$B:$F,4,0),"")</f>
        <v/>
      </c>
      <c r="N941" s="291" t="str">
        <f>+IFERROR(VLOOKUP(K941,'THÀNH PHẨM'!$B:$F,5,0),"")</f>
        <v/>
      </c>
      <c r="O941" s="289"/>
      <c r="P941" s="292">
        <f t="shared" si="2"/>
        <v>0</v>
      </c>
      <c r="Q941" s="289"/>
      <c r="R941" s="289"/>
      <c r="S941" s="293">
        <f t="shared" si="62"/>
        <v>0</v>
      </c>
      <c r="T941" s="294"/>
      <c r="U941" s="295" t="str">
        <f>IFERROR(VLOOKUP(G941,'KL NÒNG ỐNG'!$B$2:$E$16,4,0)*I941*V941,"")</f>
        <v/>
      </c>
      <c r="V941" s="296"/>
      <c r="W941" s="297"/>
      <c r="X941" s="298"/>
      <c r="Y941" s="292" t="str">
        <f t="shared" si="69"/>
        <v/>
      </c>
      <c r="Z941" s="366">
        <f t="shared" si="70"/>
        <v>0</v>
      </c>
      <c r="AA941" s="299" t="str">
        <f t="shared" si="71"/>
        <v/>
      </c>
      <c r="AB941" s="300"/>
      <c r="AC941" s="301"/>
      <c r="AD941" s="302"/>
      <c r="AE941" s="303"/>
      <c r="AF941" s="304"/>
      <c r="AG941" s="304"/>
      <c r="AH941" s="304"/>
      <c r="AI941" s="304"/>
      <c r="AJ941" s="304"/>
      <c r="AK941" s="305"/>
      <c r="AL941" s="283"/>
      <c r="AM941" s="284"/>
    </row>
    <row r="942" ht="15.75" customHeight="1">
      <c r="A942" s="282">
        <f t="shared" si="1"/>
        <v>938</v>
      </c>
      <c r="B942" s="283"/>
      <c r="C942" s="284"/>
      <c r="D942" s="338"/>
      <c r="E942" s="286"/>
      <c r="F942" s="287"/>
      <c r="G942" s="288" t="str">
        <f>+IFERROR(VLOOKUP(F942,NVL!$B:$C,2,0),"")</f>
        <v/>
      </c>
      <c r="H942" s="288" t="str">
        <f>+IFERROR(VLOOKUP(F942,NVL!$B:$D,3,0),"")</f>
        <v/>
      </c>
      <c r="I942" s="288" t="str">
        <f>+IFERROR(VLOOKUP(F942,NVL!$B:$F,4,0),"")</f>
        <v/>
      </c>
      <c r="J942" s="289"/>
      <c r="K942" s="290"/>
      <c r="L942" s="291" t="str">
        <f>+IFERROR(VLOOKUP(K942,'THÀNH PHẨM'!$B:$F,3,0),"")</f>
        <v/>
      </c>
      <c r="M942" s="291" t="str">
        <f>+IFERROR(VLOOKUP(K942,'THÀNH PHẨM'!$B:$F,4,0),"")</f>
        <v/>
      </c>
      <c r="N942" s="291" t="str">
        <f>+IFERROR(VLOOKUP(K942,'THÀNH PHẨM'!$B:$F,5,0),"")</f>
        <v/>
      </c>
      <c r="O942" s="289"/>
      <c r="P942" s="292">
        <f t="shared" si="2"/>
        <v>0</v>
      </c>
      <c r="Q942" s="289"/>
      <c r="R942" s="289"/>
      <c r="S942" s="293">
        <f t="shared" si="62"/>
        <v>0</v>
      </c>
      <c r="T942" s="294"/>
      <c r="U942" s="295" t="str">
        <f>IFERROR(VLOOKUP(G942,'KL NÒNG ỐNG'!$B$2:$E$16,4,0)*I942*V942,"")</f>
        <v/>
      </c>
      <c r="V942" s="296"/>
      <c r="W942" s="297"/>
      <c r="X942" s="298"/>
      <c r="Y942" s="292" t="str">
        <f t="shared" si="69"/>
        <v/>
      </c>
      <c r="Z942" s="366">
        <f t="shared" si="70"/>
        <v>0</v>
      </c>
      <c r="AA942" s="299" t="str">
        <f t="shared" si="71"/>
        <v/>
      </c>
      <c r="AB942" s="300"/>
      <c r="AC942" s="301"/>
      <c r="AD942" s="302"/>
      <c r="AE942" s="303"/>
      <c r="AF942" s="304"/>
      <c r="AG942" s="304"/>
      <c r="AH942" s="304"/>
      <c r="AI942" s="304"/>
      <c r="AJ942" s="304"/>
      <c r="AK942" s="305"/>
      <c r="AL942" s="283"/>
      <c r="AM942" s="459"/>
    </row>
    <row r="943" ht="15.75" customHeight="1">
      <c r="A943" s="282">
        <f t="shared" si="1"/>
        <v>939</v>
      </c>
      <c r="B943" s="283"/>
      <c r="C943" s="284"/>
      <c r="D943" s="338"/>
      <c r="E943" s="286"/>
      <c r="F943" s="287"/>
      <c r="G943" s="288" t="str">
        <f>+IFERROR(VLOOKUP(F943,NVL!$B:$C,2,0),"")</f>
        <v/>
      </c>
      <c r="H943" s="288" t="str">
        <f>+IFERROR(VLOOKUP(F943,NVL!$B:$D,3,0),"")</f>
        <v/>
      </c>
      <c r="I943" s="288" t="str">
        <f>+IFERROR(VLOOKUP(F943,NVL!$B:$F,4,0),"")</f>
        <v/>
      </c>
      <c r="J943" s="289"/>
      <c r="K943" s="290"/>
      <c r="L943" s="291" t="str">
        <f>+IFERROR(VLOOKUP(K943,'THÀNH PHẨM'!$B:$F,3,0),"")</f>
        <v/>
      </c>
      <c r="M943" s="291" t="str">
        <f>+IFERROR(VLOOKUP(K943,'THÀNH PHẨM'!$B:$F,4,0),"")</f>
        <v/>
      </c>
      <c r="N943" s="291" t="str">
        <f>+IFERROR(VLOOKUP(K943,'THÀNH PHẨM'!$B:$F,5,0),"")</f>
        <v/>
      </c>
      <c r="O943" s="289"/>
      <c r="P943" s="292">
        <f t="shared" si="2"/>
        <v>0</v>
      </c>
      <c r="Q943" s="289"/>
      <c r="R943" s="289"/>
      <c r="S943" s="293">
        <f t="shared" si="62"/>
        <v>0</v>
      </c>
      <c r="T943" s="294"/>
      <c r="U943" s="295" t="str">
        <f>IFERROR(VLOOKUP(G943,'KL NÒNG ỐNG'!$B$2:$E$16,4,0)*I943*V943,"")</f>
        <v/>
      </c>
      <c r="V943" s="296"/>
      <c r="W943" s="297"/>
      <c r="X943" s="298"/>
      <c r="Y943" s="292" t="str">
        <f t="shared" si="69"/>
        <v/>
      </c>
      <c r="Z943" s="366">
        <f t="shared" si="70"/>
        <v>0</v>
      </c>
      <c r="AA943" s="299" t="str">
        <f t="shared" si="71"/>
        <v/>
      </c>
      <c r="AB943" s="300"/>
      <c r="AC943" s="301"/>
      <c r="AD943" s="302"/>
      <c r="AE943" s="303"/>
      <c r="AF943" s="304"/>
      <c r="AG943" s="304"/>
      <c r="AH943" s="304"/>
      <c r="AI943" s="304"/>
      <c r="AJ943" s="304"/>
      <c r="AK943" s="305"/>
      <c r="AL943" s="283"/>
      <c r="AM943" s="284"/>
    </row>
    <row r="944" ht="15.75" customHeight="1">
      <c r="A944" s="282">
        <f t="shared" si="1"/>
        <v>940</v>
      </c>
      <c r="B944" s="283"/>
      <c r="C944" s="284"/>
      <c r="D944" s="338"/>
      <c r="E944" s="286"/>
      <c r="F944" s="287"/>
      <c r="G944" s="288" t="str">
        <f>+IFERROR(VLOOKUP(F944,NVL!$B:$C,2,0),"")</f>
        <v/>
      </c>
      <c r="H944" s="288" t="str">
        <f>+IFERROR(VLOOKUP(F944,NVL!$B:$D,3,0),"")</f>
        <v/>
      </c>
      <c r="I944" s="288" t="str">
        <f>+IFERROR(VLOOKUP(F944,NVL!$B:$F,4,0),"")</f>
        <v/>
      </c>
      <c r="J944" s="289"/>
      <c r="K944" s="290"/>
      <c r="L944" s="291" t="str">
        <f>+IFERROR(VLOOKUP(K944,'THÀNH PHẨM'!$B:$F,3,0),"")</f>
        <v/>
      </c>
      <c r="M944" s="291" t="str">
        <f>+IFERROR(VLOOKUP(K944,'THÀNH PHẨM'!$B:$F,4,0),"")</f>
        <v/>
      </c>
      <c r="N944" s="291" t="str">
        <f>+IFERROR(VLOOKUP(K944,'THÀNH PHẨM'!$B:$F,5,0),"")</f>
        <v/>
      </c>
      <c r="O944" s="289"/>
      <c r="P944" s="292">
        <f t="shared" si="2"/>
        <v>0</v>
      </c>
      <c r="Q944" s="289"/>
      <c r="R944" s="289"/>
      <c r="S944" s="293">
        <f t="shared" si="62"/>
        <v>0</v>
      </c>
      <c r="T944" s="294"/>
      <c r="U944" s="295" t="str">
        <f>IFERROR(VLOOKUP(G944,'KL NÒNG ỐNG'!$B$2:$E$16,4,0)*I944*V944,"")</f>
        <v/>
      </c>
      <c r="V944" s="296"/>
      <c r="W944" s="297"/>
      <c r="X944" s="298"/>
      <c r="Y944" s="292" t="str">
        <f t="shared" si="69"/>
        <v/>
      </c>
      <c r="Z944" s="366">
        <f t="shared" si="70"/>
        <v>0</v>
      </c>
      <c r="AA944" s="299" t="str">
        <f t="shared" si="71"/>
        <v/>
      </c>
      <c r="AB944" s="300"/>
      <c r="AC944" s="301"/>
      <c r="AD944" s="302"/>
      <c r="AE944" s="303"/>
      <c r="AF944" s="304"/>
      <c r="AG944" s="304"/>
      <c r="AH944" s="304"/>
      <c r="AI944" s="304"/>
      <c r="AJ944" s="304"/>
      <c r="AK944" s="305"/>
      <c r="AL944" s="283"/>
      <c r="AM944" s="284"/>
    </row>
    <row r="945" ht="15.75" customHeight="1">
      <c r="A945" s="282">
        <f t="shared" si="1"/>
        <v>941</v>
      </c>
      <c r="B945" s="283"/>
      <c r="C945" s="284"/>
      <c r="D945" s="338"/>
      <c r="E945" s="286"/>
      <c r="F945" s="287"/>
      <c r="G945" s="288" t="str">
        <f>+IFERROR(VLOOKUP(F945,NVL!$B:$C,2,0),"")</f>
        <v/>
      </c>
      <c r="H945" s="288" t="str">
        <f>+IFERROR(VLOOKUP(F945,NVL!$B:$D,3,0),"")</f>
        <v/>
      </c>
      <c r="I945" s="288" t="str">
        <f>+IFERROR(VLOOKUP(F945,NVL!$B:$F,4,0),"")</f>
        <v/>
      </c>
      <c r="J945" s="289"/>
      <c r="K945" s="290"/>
      <c r="L945" s="291" t="str">
        <f>+IFERROR(VLOOKUP(K945,'THÀNH PHẨM'!$B:$F,3,0),"")</f>
        <v/>
      </c>
      <c r="M945" s="291" t="str">
        <f>+IFERROR(VLOOKUP(K945,'THÀNH PHẨM'!$B:$F,4,0),"")</f>
        <v/>
      </c>
      <c r="N945" s="291" t="str">
        <f>+IFERROR(VLOOKUP(K945,'THÀNH PHẨM'!$B:$F,5,0),"")</f>
        <v/>
      </c>
      <c r="O945" s="289"/>
      <c r="P945" s="292">
        <f t="shared" si="2"/>
        <v>0</v>
      </c>
      <c r="Q945" s="289"/>
      <c r="R945" s="289"/>
      <c r="S945" s="293">
        <f t="shared" si="62"/>
        <v>0</v>
      </c>
      <c r="T945" s="294"/>
      <c r="U945" s="295" t="str">
        <f>IFERROR(VLOOKUP(G945,'KL NÒNG ỐNG'!$B$2:$E$16,4,0)*I945*V945,"")</f>
        <v/>
      </c>
      <c r="V945" s="296"/>
      <c r="W945" s="297"/>
      <c r="X945" s="298"/>
      <c r="Y945" s="292" t="str">
        <f t="shared" si="69"/>
        <v/>
      </c>
      <c r="Z945" s="366">
        <f t="shared" si="70"/>
        <v>0</v>
      </c>
      <c r="AA945" s="299" t="str">
        <f t="shared" si="71"/>
        <v/>
      </c>
      <c r="AB945" s="300"/>
      <c r="AC945" s="301"/>
      <c r="AD945" s="302"/>
      <c r="AE945" s="303"/>
      <c r="AF945" s="304"/>
      <c r="AG945" s="304"/>
      <c r="AH945" s="304"/>
      <c r="AI945" s="304"/>
      <c r="AJ945" s="304"/>
      <c r="AK945" s="305"/>
      <c r="AL945" s="283"/>
      <c r="AM945" s="284"/>
    </row>
    <row r="946" ht="15.75" customHeight="1">
      <c r="A946" s="282">
        <f t="shared" si="1"/>
        <v>942</v>
      </c>
      <c r="B946" s="283"/>
      <c r="C946" s="284"/>
      <c r="D946" s="338"/>
      <c r="E946" s="286"/>
      <c r="F946" s="287"/>
      <c r="G946" s="288" t="str">
        <f>+IFERROR(VLOOKUP(F946,NVL!$B:$C,2,0),"")</f>
        <v/>
      </c>
      <c r="H946" s="288" t="str">
        <f>+IFERROR(VLOOKUP(F946,NVL!$B:$D,3,0),"")</f>
        <v/>
      </c>
      <c r="I946" s="288" t="str">
        <f>+IFERROR(VLOOKUP(F946,NVL!$B:$F,4,0),"")</f>
        <v/>
      </c>
      <c r="J946" s="289"/>
      <c r="K946" s="290"/>
      <c r="L946" s="291" t="str">
        <f>+IFERROR(VLOOKUP(K946,'THÀNH PHẨM'!$B:$F,3,0),"")</f>
        <v/>
      </c>
      <c r="M946" s="291" t="str">
        <f>+IFERROR(VLOOKUP(K946,'THÀNH PHẨM'!$B:$F,4,0),"")</f>
        <v/>
      </c>
      <c r="N946" s="291" t="str">
        <f>+IFERROR(VLOOKUP(K946,'THÀNH PHẨM'!$B:$F,5,0),"")</f>
        <v/>
      </c>
      <c r="O946" s="289"/>
      <c r="P946" s="292">
        <f t="shared" si="2"/>
        <v>0</v>
      </c>
      <c r="Q946" s="289"/>
      <c r="R946" s="289"/>
      <c r="S946" s="293">
        <f t="shared" si="62"/>
        <v>0</v>
      </c>
      <c r="T946" s="294"/>
      <c r="U946" s="295" t="str">
        <f>IFERROR(VLOOKUP(G946,'KL NÒNG ỐNG'!$B$2:$E$16,4,0)*I946*V946,"")</f>
        <v/>
      </c>
      <c r="V946" s="296"/>
      <c r="W946" s="297"/>
      <c r="X946" s="298"/>
      <c r="Y946" s="292" t="str">
        <f t="shared" si="69"/>
        <v/>
      </c>
      <c r="Z946" s="366">
        <f t="shared" si="70"/>
        <v>0</v>
      </c>
      <c r="AA946" s="299" t="str">
        <f t="shared" si="71"/>
        <v/>
      </c>
      <c r="AB946" s="300"/>
      <c r="AC946" s="301"/>
      <c r="AD946" s="302"/>
      <c r="AE946" s="303"/>
      <c r="AF946" s="304"/>
      <c r="AG946" s="304"/>
      <c r="AH946" s="304"/>
      <c r="AI946" s="304"/>
      <c r="AJ946" s="304"/>
      <c r="AK946" s="305"/>
      <c r="AL946" s="283"/>
      <c r="AM946" s="284"/>
    </row>
    <row r="947" ht="15.75" customHeight="1">
      <c r="A947" s="282">
        <f t="shared" si="1"/>
        <v>943</v>
      </c>
      <c r="B947" s="283"/>
      <c r="C947" s="284"/>
      <c r="D947" s="338"/>
      <c r="E947" s="286"/>
      <c r="F947" s="287"/>
      <c r="G947" s="288" t="str">
        <f>+IFERROR(VLOOKUP(F947,NVL!$B:$C,2,0),"")</f>
        <v/>
      </c>
      <c r="H947" s="288" t="str">
        <f>+IFERROR(VLOOKUP(F947,NVL!$B:$D,3,0),"")</f>
        <v/>
      </c>
      <c r="I947" s="288" t="str">
        <f>+IFERROR(VLOOKUP(F947,NVL!$B:$F,4,0),"")</f>
        <v/>
      </c>
      <c r="J947" s="289"/>
      <c r="K947" s="290"/>
      <c r="L947" s="291" t="str">
        <f>+IFERROR(VLOOKUP(K947,'THÀNH PHẨM'!$B:$F,3,0),"")</f>
        <v/>
      </c>
      <c r="M947" s="291" t="str">
        <f>+IFERROR(VLOOKUP(K947,'THÀNH PHẨM'!$B:$F,4,0),"")</f>
        <v/>
      </c>
      <c r="N947" s="291" t="str">
        <f>+IFERROR(VLOOKUP(K947,'THÀNH PHẨM'!$B:$F,5,0),"")</f>
        <v/>
      </c>
      <c r="O947" s="289"/>
      <c r="P947" s="292">
        <f t="shared" si="2"/>
        <v>0</v>
      </c>
      <c r="Q947" s="289"/>
      <c r="R947" s="289"/>
      <c r="S947" s="293">
        <f t="shared" si="62"/>
        <v>0</v>
      </c>
      <c r="T947" s="294"/>
      <c r="U947" s="295" t="str">
        <f>IFERROR(VLOOKUP(G947,'KL NÒNG ỐNG'!$B$2:$E$16,4,0)*I947*V947,"")</f>
        <v/>
      </c>
      <c r="V947" s="296"/>
      <c r="W947" s="297"/>
      <c r="X947" s="298"/>
      <c r="Y947" s="292" t="str">
        <f t="shared" si="69"/>
        <v/>
      </c>
      <c r="Z947" s="366">
        <f t="shared" si="70"/>
        <v>0</v>
      </c>
      <c r="AA947" s="299" t="str">
        <f t="shared" si="71"/>
        <v/>
      </c>
      <c r="AB947" s="300"/>
      <c r="AC947" s="301"/>
      <c r="AD947" s="302"/>
      <c r="AE947" s="303"/>
      <c r="AF947" s="304"/>
      <c r="AG947" s="304"/>
      <c r="AH947" s="304"/>
      <c r="AI947" s="304"/>
      <c r="AJ947" s="304"/>
      <c r="AK947" s="305"/>
      <c r="AL947" s="283"/>
      <c r="AM947" s="284"/>
    </row>
    <row r="948" ht="15.75" customHeight="1">
      <c r="A948" s="282">
        <f t="shared" si="1"/>
        <v>944</v>
      </c>
      <c r="B948" s="283"/>
      <c r="C948" s="284"/>
      <c r="D948" s="338"/>
      <c r="E948" s="286"/>
      <c r="F948" s="287"/>
      <c r="G948" s="288" t="str">
        <f>+IFERROR(VLOOKUP(F948,NVL!$B:$C,2,0),"")</f>
        <v/>
      </c>
      <c r="H948" s="288" t="str">
        <f>+IFERROR(VLOOKUP(F948,NVL!$B:$D,3,0),"")</f>
        <v/>
      </c>
      <c r="I948" s="288" t="str">
        <f>+IFERROR(VLOOKUP(F948,NVL!$B:$F,4,0),"")</f>
        <v/>
      </c>
      <c r="J948" s="289"/>
      <c r="K948" s="290"/>
      <c r="L948" s="291" t="str">
        <f>+IFERROR(VLOOKUP(K948,'THÀNH PHẨM'!$B:$F,3,0),"")</f>
        <v/>
      </c>
      <c r="M948" s="291" t="str">
        <f>+IFERROR(VLOOKUP(K948,'THÀNH PHẨM'!$B:$F,4,0),"")</f>
        <v/>
      </c>
      <c r="N948" s="291" t="str">
        <f>+IFERROR(VLOOKUP(K948,'THÀNH PHẨM'!$B:$F,5,0),"")</f>
        <v/>
      </c>
      <c r="O948" s="289"/>
      <c r="P948" s="292">
        <f t="shared" si="2"/>
        <v>0</v>
      </c>
      <c r="Q948" s="289"/>
      <c r="R948" s="289"/>
      <c r="S948" s="293">
        <f t="shared" si="62"/>
        <v>0</v>
      </c>
      <c r="T948" s="294"/>
      <c r="U948" s="295" t="str">
        <f>IFERROR(VLOOKUP(G948,'KL NÒNG ỐNG'!$B$2:$E$16,4,0)*I948*V948,"")</f>
        <v/>
      </c>
      <c r="V948" s="296"/>
      <c r="W948" s="297"/>
      <c r="X948" s="298"/>
      <c r="Y948" s="292" t="str">
        <f t="shared" si="69"/>
        <v/>
      </c>
      <c r="Z948" s="366">
        <f t="shared" si="70"/>
        <v>0</v>
      </c>
      <c r="AA948" s="299" t="str">
        <f t="shared" si="71"/>
        <v/>
      </c>
      <c r="AB948" s="300"/>
      <c r="AC948" s="301"/>
      <c r="AD948" s="302"/>
      <c r="AE948" s="303"/>
      <c r="AF948" s="304"/>
      <c r="AG948" s="304"/>
      <c r="AH948" s="304"/>
      <c r="AI948" s="304"/>
      <c r="AJ948" s="304"/>
      <c r="AK948" s="305"/>
      <c r="AL948" s="283"/>
      <c r="AM948" s="284"/>
    </row>
    <row r="949" ht="15.75" customHeight="1">
      <c r="A949" s="282">
        <f t="shared" si="1"/>
        <v>945</v>
      </c>
      <c r="B949" s="283"/>
      <c r="C949" s="284"/>
      <c r="D949" s="338"/>
      <c r="E949" s="286"/>
      <c r="F949" s="287"/>
      <c r="G949" s="288" t="str">
        <f>+IFERROR(VLOOKUP(F949,NVL!$B:$C,2,0),"")</f>
        <v/>
      </c>
      <c r="H949" s="288" t="str">
        <f>+IFERROR(VLOOKUP(F949,NVL!$B:$D,3,0),"")</f>
        <v/>
      </c>
      <c r="I949" s="288" t="str">
        <f>+IFERROR(VLOOKUP(F949,NVL!$B:$F,4,0),"")</f>
        <v/>
      </c>
      <c r="J949" s="289"/>
      <c r="K949" s="290"/>
      <c r="L949" s="291" t="str">
        <f>+IFERROR(VLOOKUP(K949,'THÀNH PHẨM'!$B:$F,3,0),"")</f>
        <v/>
      </c>
      <c r="M949" s="291" t="str">
        <f>+IFERROR(VLOOKUP(K949,'THÀNH PHẨM'!$B:$F,4,0),"")</f>
        <v/>
      </c>
      <c r="N949" s="291" t="str">
        <f>+IFERROR(VLOOKUP(K949,'THÀNH PHẨM'!$B:$F,5,0),"")</f>
        <v/>
      </c>
      <c r="O949" s="289"/>
      <c r="P949" s="292">
        <f t="shared" si="2"/>
        <v>0</v>
      </c>
      <c r="Q949" s="289"/>
      <c r="R949" s="289"/>
      <c r="S949" s="293">
        <f t="shared" si="62"/>
        <v>0</v>
      </c>
      <c r="T949" s="294"/>
      <c r="U949" s="295" t="str">
        <f>IFERROR(VLOOKUP(G949,'KL NÒNG ỐNG'!$B$2:$E$16,4,0)*I949*V949,"")</f>
        <v/>
      </c>
      <c r="V949" s="296"/>
      <c r="W949" s="297"/>
      <c r="X949" s="298"/>
      <c r="Y949" s="292" t="str">
        <f t="shared" si="69"/>
        <v/>
      </c>
      <c r="Z949" s="366">
        <f t="shared" si="70"/>
        <v>0</v>
      </c>
      <c r="AA949" s="299" t="str">
        <f t="shared" si="71"/>
        <v/>
      </c>
      <c r="AB949" s="300"/>
      <c r="AC949" s="301"/>
      <c r="AD949" s="302"/>
      <c r="AE949" s="303"/>
      <c r="AF949" s="304"/>
      <c r="AG949" s="304"/>
      <c r="AH949" s="304"/>
      <c r="AI949" s="304"/>
      <c r="AJ949" s="304"/>
      <c r="AK949" s="305"/>
      <c r="AL949" s="283"/>
      <c r="AM949" s="284"/>
    </row>
    <row r="950" ht="15.75" customHeight="1">
      <c r="A950" s="282">
        <f t="shared" si="1"/>
        <v>946</v>
      </c>
      <c r="B950" s="283"/>
      <c r="C950" s="284"/>
      <c r="D950" s="338"/>
      <c r="E950" s="286"/>
      <c r="F950" s="287"/>
      <c r="G950" s="288" t="str">
        <f>+IFERROR(VLOOKUP(F950,NVL!$B:$C,2,0),"")</f>
        <v/>
      </c>
      <c r="H950" s="288" t="str">
        <f>+IFERROR(VLOOKUP(F950,NVL!$B:$D,3,0),"")</f>
        <v/>
      </c>
      <c r="I950" s="288" t="str">
        <f>+IFERROR(VLOOKUP(F950,NVL!$B:$F,4,0),"")</f>
        <v/>
      </c>
      <c r="J950" s="289"/>
      <c r="K950" s="290"/>
      <c r="L950" s="291" t="str">
        <f>+IFERROR(VLOOKUP(K950,'THÀNH PHẨM'!$B:$F,3,0),"")</f>
        <v/>
      </c>
      <c r="M950" s="291" t="str">
        <f>+IFERROR(VLOOKUP(K950,'THÀNH PHẨM'!$B:$F,4,0),"")</f>
        <v/>
      </c>
      <c r="N950" s="291" t="str">
        <f>+IFERROR(VLOOKUP(K950,'THÀNH PHẨM'!$B:$F,5,0),"")</f>
        <v/>
      </c>
      <c r="O950" s="289"/>
      <c r="P950" s="292">
        <f t="shared" si="2"/>
        <v>0</v>
      </c>
      <c r="Q950" s="289"/>
      <c r="R950" s="289"/>
      <c r="S950" s="293">
        <f t="shared" si="62"/>
        <v>0</v>
      </c>
      <c r="T950" s="294"/>
      <c r="U950" s="295" t="str">
        <f>IFERROR(VLOOKUP(G950,'KL NÒNG ỐNG'!$B$2:$E$16,4,0)*I950*V950,"")</f>
        <v/>
      </c>
      <c r="V950" s="296"/>
      <c r="W950" s="297"/>
      <c r="X950" s="298"/>
      <c r="Y950" s="292" t="str">
        <f t="shared" si="69"/>
        <v/>
      </c>
      <c r="Z950" s="366">
        <f t="shared" si="70"/>
        <v>0</v>
      </c>
      <c r="AA950" s="299" t="str">
        <f t="shared" si="71"/>
        <v/>
      </c>
      <c r="AB950" s="300"/>
      <c r="AC950" s="301"/>
      <c r="AD950" s="302"/>
      <c r="AE950" s="303"/>
      <c r="AF950" s="304"/>
      <c r="AG950" s="304"/>
      <c r="AH950" s="304"/>
      <c r="AI950" s="304"/>
      <c r="AJ950" s="304"/>
      <c r="AK950" s="305"/>
      <c r="AL950" s="283"/>
      <c r="AM950" s="284"/>
    </row>
    <row r="951" ht="15.75" customHeight="1">
      <c r="A951" s="282">
        <f t="shared" si="1"/>
        <v>947</v>
      </c>
      <c r="B951" s="283"/>
      <c r="C951" s="284"/>
      <c r="D951" s="338"/>
      <c r="E951" s="286"/>
      <c r="F951" s="287"/>
      <c r="G951" s="288" t="str">
        <f>+IFERROR(VLOOKUP(F951,NVL!$B:$C,2,0),"")</f>
        <v/>
      </c>
      <c r="H951" s="288" t="str">
        <f>+IFERROR(VLOOKUP(F951,NVL!$B:$D,3,0),"")</f>
        <v/>
      </c>
      <c r="I951" s="288" t="str">
        <f>+IFERROR(VLOOKUP(F951,NVL!$B:$F,4,0),"")</f>
        <v/>
      </c>
      <c r="J951" s="289"/>
      <c r="K951" s="290"/>
      <c r="L951" s="291" t="str">
        <f>+IFERROR(VLOOKUP(K951,'THÀNH PHẨM'!$B:$F,3,0),"")</f>
        <v/>
      </c>
      <c r="M951" s="291" t="str">
        <f>+IFERROR(VLOOKUP(K951,'THÀNH PHẨM'!$B:$F,4,0),"")</f>
        <v/>
      </c>
      <c r="N951" s="291" t="str">
        <f>+IFERROR(VLOOKUP(K951,'THÀNH PHẨM'!$B:$F,5,0),"")</f>
        <v/>
      </c>
      <c r="O951" s="289"/>
      <c r="P951" s="292">
        <f t="shared" si="2"/>
        <v>0</v>
      </c>
      <c r="Q951" s="289"/>
      <c r="R951" s="289"/>
      <c r="S951" s="293">
        <f t="shared" si="62"/>
        <v>0</v>
      </c>
      <c r="T951" s="294"/>
      <c r="U951" s="295" t="str">
        <f>IFERROR(VLOOKUP(G951,'KL NÒNG ỐNG'!$B$2:$E$16,4,0)*I951*V951,"")</f>
        <v/>
      </c>
      <c r="V951" s="296"/>
      <c r="W951" s="297"/>
      <c r="X951" s="298"/>
      <c r="Y951" s="292" t="str">
        <f t="shared" si="69"/>
        <v/>
      </c>
      <c r="Z951" s="366">
        <f t="shared" si="70"/>
        <v>0</v>
      </c>
      <c r="AA951" s="299" t="str">
        <f t="shared" si="71"/>
        <v/>
      </c>
      <c r="AB951" s="300"/>
      <c r="AC951" s="301"/>
      <c r="AD951" s="302"/>
      <c r="AE951" s="303"/>
      <c r="AF951" s="304"/>
      <c r="AG951" s="304"/>
      <c r="AH951" s="304"/>
      <c r="AI951" s="304"/>
      <c r="AJ951" s="304"/>
      <c r="AK951" s="305"/>
      <c r="AL951" s="283"/>
      <c r="AM951" s="284"/>
    </row>
    <row r="952" ht="15.75" customHeight="1">
      <c r="A952" s="282">
        <f t="shared" si="1"/>
        <v>948</v>
      </c>
      <c r="B952" s="283"/>
      <c r="C952" s="284"/>
      <c r="D952" s="338"/>
      <c r="E952" s="286"/>
      <c r="F952" s="287"/>
      <c r="G952" s="288" t="str">
        <f>+IFERROR(VLOOKUP(F952,NVL!$B:$C,2,0),"")</f>
        <v/>
      </c>
      <c r="H952" s="288" t="str">
        <f>+IFERROR(VLOOKUP(F952,NVL!$B:$D,3,0),"")</f>
        <v/>
      </c>
      <c r="I952" s="288" t="str">
        <f>+IFERROR(VLOOKUP(F952,NVL!$B:$F,4,0),"")</f>
        <v/>
      </c>
      <c r="J952" s="289"/>
      <c r="K952" s="290"/>
      <c r="L952" s="291" t="str">
        <f>+IFERROR(VLOOKUP(K952,'THÀNH PHẨM'!$B:$F,3,0),"")</f>
        <v/>
      </c>
      <c r="M952" s="291" t="str">
        <f>+IFERROR(VLOOKUP(K952,'THÀNH PHẨM'!$B:$F,4,0),"")</f>
        <v/>
      </c>
      <c r="N952" s="291" t="str">
        <f>+IFERROR(VLOOKUP(K952,'THÀNH PHẨM'!$B:$F,5,0),"")</f>
        <v/>
      </c>
      <c r="O952" s="289"/>
      <c r="P952" s="292">
        <f t="shared" si="2"/>
        <v>0</v>
      </c>
      <c r="Q952" s="289"/>
      <c r="R952" s="289"/>
      <c r="S952" s="293">
        <f t="shared" si="62"/>
        <v>0</v>
      </c>
      <c r="T952" s="294"/>
      <c r="U952" s="295" t="str">
        <f>IFERROR(VLOOKUP(G952,'KL NÒNG ỐNG'!$B$2:$E$16,4,0)*I952*V952,"")</f>
        <v/>
      </c>
      <c r="V952" s="296"/>
      <c r="W952" s="297"/>
      <c r="X952" s="298"/>
      <c r="Y952" s="292" t="str">
        <f t="shared" si="69"/>
        <v/>
      </c>
      <c r="Z952" s="366">
        <f t="shared" si="70"/>
        <v>0</v>
      </c>
      <c r="AA952" s="299" t="str">
        <f t="shared" si="71"/>
        <v/>
      </c>
      <c r="AB952" s="300"/>
      <c r="AC952" s="301"/>
      <c r="AD952" s="302"/>
      <c r="AE952" s="303"/>
      <c r="AF952" s="304"/>
      <c r="AG952" s="304"/>
      <c r="AH952" s="304"/>
      <c r="AI952" s="304"/>
      <c r="AJ952" s="304"/>
      <c r="AK952" s="305"/>
      <c r="AL952" s="283"/>
      <c r="AM952" s="284"/>
    </row>
    <row r="953" ht="15.75" customHeight="1">
      <c r="A953" s="282">
        <f t="shared" si="1"/>
        <v>949</v>
      </c>
      <c r="B953" s="283"/>
      <c r="C953" s="284"/>
      <c r="D953" s="338"/>
      <c r="E953" s="286"/>
      <c r="F953" s="287"/>
      <c r="G953" s="288" t="str">
        <f>+IFERROR(VLOOKUP(F953,NVL!$B:$C,2,0),"")</f>
        <v/>
      </c>
      <c r="H953" s="288" t="str">
        <f>+IFERROR(VLOOKUP(F953,NVL!$B:$D,3,0),"")</f>
        <v/>
      </c>
      <c r="I953" s="288" t="str">
        <f>+IFERROR(VLOOKUP(F953,NVL!$B:$F,4,0),"")</f>
        <v/>
      </c>
      <c r="J953" s="289"/>
      <c r="K953" s="290"/>
      <c r="L953" s="291" t="str">
        <f>+IFERROR(VLOOKUP(K953,'THÀNH PHẨM'!$B:$F,3,0),"")</f>
        <v/>
      </c>
      <c r="M953" s="291" t="str">
        <f>+IFERROR(VLOOKUP(K953,'THÀNH PHẨM'!$B:$F,4,0),"")</f>
        <v/>
      </c>
      <c r="N953" s="291" t="str">
        <f>+IFERROR(VLOOKUP(K953,'THÀNH PHẨM'!$B:$F,5,0),"")</f>
        <v/>
      </c>
      <c r="O953" s="289"/>
      <c r="P953" s="292">
        <f t="shared" si="2"/>
        <v>0</v>
      </c>
      <c r="Q953" s="289"/>
      <c r="R953" s="289"/>
      <c r="S953" s="293">
        <f t="shared" si="62"/>
        <v>0</v>
      </c>
      <c r="T953" s="294"/>
      <c r="U953" s="295" t="str">
        <f>IFERROR(VLOOKUP(G953,'KL NÒNG ỐNG'!$B$2:$E$16,4,0)*I953*V953,"")</f>
        <v/>
      </c>
      <c r="V953" s="296"/>
      <c r="W953" s="297"/>
      <c r="X953" s="298"/>
      <c r="Y953" s="292" t="str">
        <f t="shared" si="69"/>
        <v/>
      </c>
      <c r="Z953" s="366">
        <f t="shared" si="70"/>
        <v>0</v>
      </c>
      <c r="AA953" s="299" t="str">
        <f t="shared" si="71"/>
        <v/>
      </c>
      <c r="AB953" s="300"/>
      <c r="AC953" s="301"/>
      <c r="AD953" s="302"/>
      <c r="AE953" s="303"/>
      <c r="AF953" s="304"/>
      <c r="AG953" s="304"/>
      <c r="AH953" s="304"/>
      <c r="AI953" s="304"/>
      <c r="AJ953" s="304"/>
      <c r="AK953" s="305"/>
      <c r="AL953" s="283"/>
      <c r="AM953" s="284"/>
    </row>
    <row r="954" ht="15.75" customHeight="1">
      <c r="A954" s="282">
        <f t="shared" si="1"/>
        <v>950</v>
      </c>
      <c r="B954" s="283"/>
      <c r="C954" s="284"/>
      <c r="D954" s="338"/>
      <c r="E954" s="286"/>
      <c r="F954" s="287"/>
      <c r="G954" s="288" t="str">
        <f>+IFERROR(VLOOKUP(F954,NVL!$B:$C,2,0),"")</f>
        <v/>
      </c>
      <c r="H954" s="288" t="str">
        <f>+IFERROR(VLOOKUP(F954,NVL!$B:$D,3,0),"")</f>
        <v/>
      </c>
      <c r="I954" s="288" t="str">
        <f>+IFERROR(VLOOKUP(F954,NVL!$B:$F,4,0),"")</f>
        <v/>
      </c>
      <c r="J954" s="289"/>
      <c r="K954" s="290"/>
      <c r="L954" s="291" t="str">
        <f>+IFERROR(VLOOKUP(K954,'THÀNH PHẨM'!$B:$F,3,0),"")</f>
        <v/>
      </c>
      <c r="M954" s="291" t="str">
        <f>+IFERROR(VLOOKUP(K954,'THÀNH PHẨM'!$B:$F,4,0),"")</f>
        <v/>
      </c>
      <c r="N954" s="291" t="str">
        <f>+IFERROR(VLOOKUP(K954,'THÀNH PHẨM'!$B:$F,5,0),"")</f>
        <v/>
      </c>
      <c r="O954" s="289"/>
      <c r="P954" s="292">
        <f t="shared" si="2"/>
        <v>0</v>
      </c>
      <c r="Q954" s="289"/>
      <c r="R954" s="289"/>
      <c r="S954" s="293">
        <f t="shared" si="62"/>
        <v>0</v>
      </c>
      <c r="T954" s="294"/>
      <c r="U954" s="295" t="str">
        <f>IFERROR(VLOOKUP(G954,'KL NÒNG ỐNG'!$B$2:$E$16,4,0)*I954*V954,"")</f>
        <v/>
      </c>
      <c r="V954" s="296"/>
      <c r="W954" s="297"/>
      <c r="X954" s="298"/>
      <c r="Y954" s="292" t="str">
        <f t="shared" si="69"/>
        <v/>
      </c>
      <c r="Z954" s="366">
        <f t="shared" si="70"/>
        <v>0</v>
      </c>
      <c r="AA954" s="299" t="str">
        <f t="shared" si="71"/>
        <v/>
      </c>
      <c r="AB954" s="300"/>
      <c r="AC954" s="301"/>
      <c r="AD954" s="302"/>
      <c r="AE954" s="303"/>
      <c r="AF954" s="304"/>
      <c r="AG954" s="304"/>
      <c r="AH954" s="304"/>
      <c r="AI954" s="304"/>
      <c r="AJ954" s="304"/>
      <c r="AK954" s="305"/>
      <c r="AL954" s="283"/>
      <c r="AM954" s="284"/>
    </row>
    <row r="955" ht="15.75" customHeight="1">
      <c r="A955" s="282">
        <f t="shared" si="1"/>
        <v>951</v>
      </c>
      <c r="B955" s="283"/>
      <c r="C955" s="284"/>
      <c r="D955" s="338"/>
      <c r="E955" s="286"/>
      <c r="F955" s="287"/>
      <c r="G955" s="288" t="str">
        <f>+IFERROR(VLOOKUP(F955,NVL!$B:$C,2,0),"")</f>
        <v/>
      </c>
      <c r="H955" s="288" t="str">
        <f>+IFERROR(VLOOKUP(F955,NVL!$B:$D,3,0),"")</f>
        <v/>
      </c>
      <c r="I955" s="288" t="str">
        <f>+IFERROR(VLOOKUP(F955,NVL!$B:$F,4,0),"")</f>
        <v/>
      </c>
      <c r="J955" s="289"/>
      <c r="K955" s="290"/>
      <c r="L955" s="291" t="str">
        <f>+IFERROR(VLOOKUP(K955,'THÀNH PHẨM'!$B:$F,3,0),"")</f>
        <v/>
      </c>
      <c r="M955" s="291" t="str">
        <f>+IFERROR(VLOOKUP(K955,'THÀNH PHẨM'!$B:$F,4,0),"")</f>
        <v/>
      </c>
      <c r="N955" s="291" t="str">
        <f>+IFERROR(VLOOKUP(K955,'THÀNH PHẨM'!$B:$F,5,0),"")</f>
        <v/>
      </c>
      <c r="O955" s="289"/>
      <c r="P955" s="292">
        <f t="shared" si="2"/>
        <v>0</v>
      </c>
      <c r="Q955" s="289"/>
      <c r="R955" s="289"/>
      <c r="S955" s="293">
        <f t="shared" si="62"/>
        <v>0</v>
      </c>
      <c r="T955" s="294"/>
      <c r="U955" s="295" t="str">
        <f>IFERROR(VLOOKUP(G955,'KL NÒNG ỐNG'!$B$2:$E$16,4,0)*I955*V955,"")</f>
        <v/>
      </c>
      <c r="V955" s="296"/>
      <c r="W955" s="297"/>
      <c r="X955" s="298"/>
      <c r="Y955" s="292" t="str">
        <f t="shared" si="69"/>
        <v/>
      </c>
      <c r="Z955" s="366">
        <f t="shared" si="70"/>
        <v>0</v>
      </c>
      <c r="AA955" s="299" t="str">
        <f t="shared" si="71"/>
        <v/>
      </c>
      <c r="AB955" s="300"/>
      <c r="AC955" s="301"/>
      <c r="AD955" s="302"/>
      <c r="AE955" s="303"/>
      <c r="AF955" s="304"/>
      <c r="AG955" s="304"/>
      <c r="AH955" s="304"/>
      <c r="AI955" s="304"/>
      <c r="AJ955" s="304"/>
      <c r="AK955" s="305"/>
      <c r="AL955" s="283"/>
      <c r="AM955" s="284"/>
    </row>
    <row r="956" ht="15.75" customHeight="1">
      <c r="A956" s="282">
        <f t="shared" si="1"/>
        <v>952</v>
      </c>
      <c r="B956" s="283"/>
      <c r="C956" s="284"/>
      <c r="D956" s="338"/>
      <c r="E956" s="286"/>
      <c r="F956" s="287"/>
      <c r="G956" s="288" t="str">
        <f>+IFERROR(VLOOKUP(F956,NVL!$B:$C,2,0),"")</f>
        <v/>
      </c>
      <c r="H956" s="288" t="str">
        <f>+IFERROR(VLOOKUP(F956,NVL!$B:$D,3,0),"")</f>
        <v/>
      </c>
      <c r="I956" s="288" t="str">
        <f>+IFERROR(VLOOKUP(F956,NVL!$B:$F,4,0),"")</f>
        <v/>
      </c>
      <c r="J956" s="289"/>
      <c r="K956" s="290"/>
      <c r="L956" s="291" t="str">
        <f>+IFERROR(VLOOKUP(K956,'THÀNH PHẨM'!$B:$F,3,0),"")</f>
        <v/>
      </c>
      <c r="M956" s="291" t="str">
        <f>+IFERROR(VLOOKUP(K956,'THÀNH PHẨM'!$B:$F,4,0),"")</f>
        <v/>
      </c>
      <c r="N956" s="291" t="str">
        <f>+IFERROR(VLOOKUP(K956,'THÀNH PHẨM'!$B:$F,5,0),"")</f>
        <v/>
      </c>
      <c r="O956" s="289"/>
      <c r="P956" s="292">
        <f t="shared" si="2"/>
        <v>0</v>
      </c>
      <c r="Q956" s="289"/>
      <c r="R956" s="289"/>
      <c r="S956" s="293">
        <f t="shared" si="62"/>
        <v>0</v>
      </c>
      <c r="T956" s="294"/>
      <c r="U956" s="295" t="str">
        <f>IFERROR(VLOOKUP(G956,'KL NÒNG ỐNG'!$B$2:$E$16,4,0)*I956*V956,"")</f>
        <v/>
      </c>
      <c r="V956" s="296"/>
      <c r="W956" s="297"/>
      <c r="X956" s="298"/>
      <c r="Y956" s="292" t="str">
        <f t="shared" si="69"/>
        <v/>
      </c>
      <c r="Z956" s="366">
        <f t="shared" si="70"/>
        <v>0</v>
      </c>
      <c r="AA956" s="299" t="str">
        <f t="shared" si="71"/>
        <v/>
      </c>
      <c r="AB956" s="300"/>
      <c r="AC956" s="301"/>
      <c r="AD956" s="302"/>
      <c r="AE956" s="303"/>
      <c r="AF956" s="304"/>
      <c r="AG956" s="304"/>
      <c r="AH956" s="304"/>
      <c r="AI956" s="304"/>
      <c r="AJ956" s="304"/>
      <c r="AK956" s="305"/>
      <c r="AL956" s="283"/>
      <c r="AM956" s="284"/>
    </row>
    <row r="957" ht="15.75" customHeight="1">
      <c r="A957" s="282">
        <f t="shared" si="1"/>
        <v>953</v>
      </c>
      <c r="B957" s="283"/>
      <c r="C957" s="284"/>
      <c r="D957" s="338"/>
      <c r="E957" s="286"/>
      <c r="F957" s="287"/>
      <c r="G957" s="288" t="str">
        <f>+IFERROR(VLOOKUP(F957,NVL!$B:$C,2,0),"")</f>
        <v/>
      </c>
      <c r="H957" s="288" t="str">
        <f>+IFERROR(VLOOKUP(F957,NVL!$B:$D,3,0),"")</f>
        <v/>
      </c>
      <c r="I957" s="288" t="str">
        <f>+IFERROR(VLOOKUP(F957,NVL!$B:$F,4,0),"")</f>
        <v/>
      </c>
      <c r="J957" s="289"/>
      <c r="K957" s="290"/>
      <c r="L957" s="291" t="str">
        <f>+IFERROR(VLOOKUP(K957,'THÀNH PHẨM'!$B:$F,3,0),"")</f>
        <v/>
      </c>
      <c r="M957" s="291" t="str">
        <f>+IFERROR(VLOOKUP(K957,'THÀNH PHẨM'!$B:$F,4,0),"")</f>
        <v/>
      </c>
      <c r="N957" s="291" t="str">
        <f>+IFERROR(VLOOKUP(K957,'THÀNH PHẨM'!$B:$F,5,0),"")</f>
        <v/>
      </c>
      <c r="O957" s="289"/>
      <c r="P957" s="292">
        <f t="shared" si="2"/>
        <v>0</v>
      </c>
      <c r="Q957" s="289"/>
      <c r="R957" s="289"/>
      <c r="S957" s="293">
        <f t="shared" si="62"/>
        <v>0</v>
      </c>
      <c r="T957" s="294"/>
      <c r="U957" s="295" t="str">
        <f>IFERROR(VLOOKUP(G957,'KL NÒNG ỐNG'!$B$2:$E$16,4,0)*I957*V957,"")</f>
        <v/>
      </c>
      <c r="V957" s="296"/>
      <c r="W957" s="297"/>
      <c r="X957" s="298"/>
      <c r="Y957" s="292" t="str">
        <f t="shared" si="69"/>
        <v/>
      </c>
      <c r="Z957" s="366">
        <f t="shared" si="70"/>
        <v>0</v>
      </c>
      <c r="AA957" s="299" t="str">
        <f t="shared" si="71"/>
        <v/>
      </c>
      <c r="AB957" s="300"/>
      <c r="AC957" s="301"/>
      <c r="AD957" s="302"/>
      <c r="AE957" s="303"/>
      <c r="AF957" s="304"/>
      <c r="AG957" s="304"/>
      <c r="AH957" s="304"/>
      <c r="AI957" s="304"/>
      <c r="AJ957" s="304"/>
      <c r="AK957" s="305"/>
      <c r="AL957" s="283"/>
      <c r="AM957" s="284"/>
    </row>
    <row r="958" ht="15.75" customHeight="1">
      <c r="A958" s="282">
        <f t="shared" si="1"/>
        <v>954</v>
      </c>
      <c r="B958" s="283"/>
      <c r="C958" s="284"/>
      <c r="D958" s="338"/>
      <c r="E958" s="286"/>
      <c r="F958" s="287"/>
      <c r="G958" s="288" t="str">
        <f>+IFERROR(VLOOKUP(F958,NVL!$B:$C,2,0),"")</f>
        <v/>
      </c>
      <c r="H958" s="288" t="str">
        <f>+IFERROR(VLOOKUP(F958,NVL!$B:$D,3,0),"")</f>
        <v/>
      </c>
      <c r="I958" s="288" t="str">
        <f>+IFERROR(VLOOKUP(F958,NVL!$B:$F,4,0),"")</f>
        <v/>
      </c>
      <c r="J958" s="289"/>
      <c r="K958" s="290"/>
      <c r="L958" s="291" t="str">
        <f>+IFERROR(VLOOKUP(K958,'THÀNH PHẨM'!$B:$F,3,0),"")</f>
        <v/>
      </c>
      <c r="M958" s="291" t="str">
        <f>+IFERROR(VLOOKUP(K958,'THÀNH PHẨM'!$B:$F,4,0),"")</f>
        <v/>
      </c>
      <c r="N958" s="291" t="str">
        <f>+IFERROR(VLOOKUP(K958,'THÀNH PHẨM'!$B:$F,5,0),"")</f>
        <v/>
      </c>
      <c r="O958" s="289"/>
      <c r="P958" s="292">
        <f t="shared" si="2"/>
        <v>0</v>
      </c>
      <c r="Q958" s="289"/>
      <c r="R958" s="289"/>
      <c r="S958" s="293">
        <f t="shared" si="62"/>
        <v>0</v>
      </c>
      <c r="T958" s="294"/>
      <c r="U958" s="295" t="str">
        <f>IFERROR(VLOOKUP(G958,'KL NÒNG ỐNG'!$B$2:$E$16,4,0)*I958*V958,"")</f>
        <v/>
      </c>
      <c r="V958" s="296"/>
      <c r="W958" s="297"/>
      <c r="X958" s="298"/>
      <c r="Y958" s="292" t="str">
        <f t="shared" si="69"/>
        <v/>
      </c>
      <c r="Z958" s="366">
        <f t="shared" si="70"/>
        <v>0</v>
      </c>
      <c r="AA958" s="299" t="str">
        <f t="shared" si="71"/>
        <v/>
      </c>
      <c r="AB958" s="300"/>
      <c r="AC958" s="301"/>
      <c r="AD958" s="302"/>
      <c r="AE958" s="303"/>
      <c r="AF958" s="304"/>
      <c r="AG958" s="304"/>
      <c r="AH958" s="304"/>
      <c r="AI958" s="304"/>
      <c r="AJ958" s="304"/>
      <c r="AK958" s="305"/>
      <c r="AL958" s="283"/>
      <c r="AM958" s="284"/>
    </row>
    <row r="959" ht="15.75" customHeight="1">
      <c r="A959" s="282">
        <f t="shared" si="1"/>
        <v>955</v>
      </c>
      <c r="B959" s="283"/>
      <c r="C959" s="284"/>
      <c r="D959" s="338"/>
      <c r="E959" s="286"/>
      <c r="F959" s="287"/>
      <c r="G959" s="288" t="str">
        <f>+IFERROR(VLOOKUP(F959,NVL!$B:$C,2,0),"")</f>
        <v/>
      </c>
      <c r="H959" s="288" t="str">
        <f>+IFERROR(VLOOKUP(F959,NVL!$B:$D,3,0),"")</f>
        <v/>
      </c>
      <c r="I959" s="288" t="str">
        <f>+IFERROR(VLOOKUP(F959,NVL!$B:$F,4,0),"")</f>
        <v/>
      </c>
      <c r="J959" s="289"/>
      <c r="K959" s="290"/>
      <c r="L959" s="291" t="str">
        <f>+IFERROR(VLOOKUP(K959,'THÀNH PHẨM'!$B:$F,3,0),"")</f>
        <v/>
      </c>
      <c r="M959" s="291" t="str">
        <f>+IFERROR(VLOOKUP(K959,'THÀNH PHẨM'!$B:$F,4,0),"")</f>
        <v/>
      </c>
      <c r="N959" s="291" t="str">
        <f>+IFERROR(VLOOKUP(K959,'THÀNH PHẨM'!$B:$F,5,0),"")</f>
        <v/>
      </c>
      <c r="O959" s="289"/>
      <c r="P959" s="292">
        <f t="shared" si="2"/>
        <v>0</v>
      </c>
      <c r="Q959" s="289"/>
      <c r="R959" s="289"/>
      <c r="S959" s="293">
        <f t="shared" si="62"/>
        <v>0</v>
      </c>
      <c r="T959" s="294"/>
      <c r="U959" s="295" t="str">
        <f>IFERROR(VLOOKUP(G959,'KL NÒNG ỐNG'!$B$2:$E$16,4,0)*I959*V959,"")</f>
        <v/>
      </c>
      <c r="V959" s="296"/>
      <c r="W959" s="297"/>
      <c r="X959" s="298"/>
      <c r="Y959" s="292" t="str">
        <f t="shared" si="69"/>
        <v/>
      </c>
      <c r="Z959" s="366">
        <f t="shared" si="70"/>
        <v>0</v>
      </c>
      <c r="AA959" s="299" t="str">
        <f t="shared" si="71"/>
        <v/>
      </c>
      <c r="AB959" s="300"/>
      <c r="AC959" s="301"/>
      <c r="AD959" s="302"/>
      <c r="AE959" s="303"/>
      <c r="AF959" s="304"/>
      <c r="AG959" s="304"/>
      <c r="AH959" s="304"/>
      <c r="AI959" s="304"/>
      <c r="AJ959" s="304"/>
      <c r="AK959" s="305"/>
      <c r="AL959" s="283"/>
      <c r="AM959" s="284"/>
    </row>
    <row r="960" ht="15.75" customHeight="1">
      <c r="A960" s="282">
        <f t="shared" si="1"/>
        <v>956</v>
      </c>
      <c r="B960" s="283"/>
      <c r="C960" s="284"/>
      <c r="D960" s="338"/>
      <c r="E960" s="286"/>
      <c r="F960" s="287"/>
      <c r="G960" s="288" t="str">
        <f>+IFERROR(VLOOKUP(F960,NVL!$B:$C,2,0),"")</f>
        <v/>
      </c>
      <c r="H960" s="288" t="str">
        <f>+IFERROR(VLOOKUP(F960,NVL!$B:$D,3,0),"")</f>
        <v/>
      </c>
      <c r="I960" s="288" t="str">
        <f>+IFERROR(VLOOKUP(F960,NVL!$B:$F,4,0),"")</f>
        <v/>
      </c>
      <c r="J960" s="289"/>
      <c r="K960" s="290"/>
      <c r="L960" s="291" t="str">
        <f>+IFERROR(VLOOKUP(K960,'THÀNH PHẨM'!$B:$F,3,0),"")</f>
        <v/>
      </c>
      <c r="M960" s="291" t="str">
        <f>+IFERROR(VLOOKUP(K960,'THÀNH PHẨM'!$B:$F,4,0),"")</f>
        <v/>
      </c>
      <c r="N960" s="291" t="str">
        <f>+IFERROR(VLOOKUP(K960,'THÀNH PHẨM'!$B:$F,5,0),"")</f>
        <v/>
      </c>
      <c r="O960" s="289"/>
      <c r="P960" s="292">
        <f t="shared" si="2"/>
        <v>0</v>
      </c>
      <c r="Q960" s="289"/>
      <c r="R960" s="289"/>
      <c r="S960" s="293">
        <f t="shared" si="62"/>
        <v>0</v>
      </c>
      <c r="T960" s="294"/>
      <c r="U960" s="295" t="str">
        <f>IFERROR(VLOOKUP(G960,'KL NÒNG ỐNG'!$B$2:$E$16,4,0)*I960*V960,"")</f>
        <v/>
      </c>
      <c r="V960" s="296"/>
      <c r="W960" s="297"/>
      <c r="X960" s="298"/>
      <c r="Y960" s="292" t="str">
        <f t="shared" si="69"/>
        <v/>
      </c>
      <c r="Z960" s="366">
        <f t="shared" si="70"/>
        <v>0</v>
      </c>
      <c r="AA960" s="299" t="str">
        <f t="shared" si="71"/>
        <v/>
      </c>
      <c r="AB960" s="300"/>
      <c r="AC960" s="301"/>
      <c r="AD960" s="302"/>
      <c r="AE960" s="303"/>
      <c r="AF960" s="304"/>
      <c r="AG960" s="304"/>
      <c r="AH960" s="304"/>
      <c r="AI960" s="304"/>
      <c r="AJ960" s="304"/>
      <c r="AK960" s="305"/>
      <c r="AL960" s="283"/>
      <c r="AM960" s="284"/>
    </row>
    <row r="961" ht="15.75" customHeight="1">
      <c r="A961" s="282">
        <f t="shared" si="1"/>
        <v>957</v>
      </c>
      <c r="B961" s="283"/>
      <c r="C961" s="284"/>
      <c r="D961" s="338"/>
      <c r="E961" s="286"/>
      <c r="F961" s="287"/>
      <c r="G961" s="288" t="str">
        <f>+IFERROR(VLOOKUP(F961,NVL!$B:$C,2,0),"")</f>
        <v/>
      </c>
      <c r="H961" s="288" t="str">
        <f>+IFERROR(VLOOKUP(F961,NVL!$B:$D,3,0),"")</f>
        <v/>
      </c>
      <c r="I961" s="288" t="str">
        <f>+IFERROR(VLOOKUP(F961,NVL!$B:$F,4,0),"")</f>
        <v/>
      </c>
      <c r="J961" s="289"/>
      <c r="K961" s="290"/>
      <c r="L961" s="291" t="str">
        <f>+IFERROR(VLOOKUP(K961,'THÀNH PHẨM'!$B:$F,3,0),"")</f>
        <v/>
      </c>
      <c r="M961" s="291" t="str">
        <f>+IFERROR(VLOOKUP(K961,'THÀNH PHẨM'!$B:$F,4,0),"")</f>
        <v/>
      </c>
      <c r="N961" s="291" t="str">
        <f>+IFERROR(VLOOKUP(K961,'THÀNH PHẨM'!$B:$F,5,0),"")</f>
        <v/>
      </c>
      <c r="O961" s="289"/>
      <c r="P961" s="292">
        <f t="shared" si="2"/>
        <v>0</v>
      </c>
      <c r="Q961" s="289"/>
      <c r="R961" s="289"/>
      <c r="S961" s="293">
        <f t="shared" si="62"/>
        <v>0</v>
      </c>
      <c r="T961" s="294"/>
      <c r="U961" s="295" t="str">
        <f>IFERROR(VLOOKUP(G961,'KL NÒNG ỐNG'!$B$2:$E$16,4,0)*I961*V961,"")</f>
        <v/>
      </c>
      <c r="V961" s="296"/>
      <c r="W961" s="297"/>
      <c r="X961" s="298"/>
      <c r="Y961" s="292" t="str">
        <f t="shared" si="69"/>
        <v/>
      </c>
      <c r="Z961" s="366">
        <f t="shared" si="70"/>
        <v>0</v>
      </c>
      <c r="AA961" s="299" t="str">
        <f t="shared" si="71"/>
        <v/>
      </c>
      <c r="AB961" s="300"/>
      <c r="AC961" s="301"/>
      <c r="AD961" s="302"/>
      <c r="AE961" s="303"/>
      <c r="AF961" s="304"/>
      <c r="AG961" s="304"/>
      <c r="AH961" s="304"/>
      <c r="AI961" s="304"/>
      <c r="AJ961" s="304"/>
      <c r="AK961" s="305"/>
      <c r="AL961" s="283"/>
      <c r="AM961" s="284"/>
    </row>
    <row r="962" ht="15.75" customHeight="1">
      <c r="A962" s="282">
        <f t="shared" si="1"/>
        <v>958</v>
      </c>
      <c r="B962" s="283"/>
      <c r="C962" s="284"/>
      <c r="D962" s="338"/>
      <c r="E962" s="286"/>
      <c r="F962" s="287"/>
      <c r="G962" s="288" t="str">
        <f>+IFERROR(VLOOKUP(F962,NVL!$B:$C,2,0),"")</f>
        <v/>
      </c>
      <c r="H962" s="288" t="str">
        <f>+IFERROR(VLOOKUP(F962,NVL!$B:$D,3,0),"")</f>
        <v/>
      </c>
      <c r="I962" s="288" t="str">
        <f>+IFERROR(VLOOKUP(F962,NVL!$B:$F,4,0),"")</f>
        <v/>
      </c>
      <c r="J962" s="289"/>
      <c r="K962" s="290"/>
      <c r="L962" s="291" t="str">
        <f>+IFERROR(VLOOKUP(K962,'THÀNH PHẨM'!$B:$F,3,0),"")</f>
        <v/>
      </c>
      <c r="M962" s="291" t="str">
        <f>+IFERROR(VLOOKUP(K962,'THÀNH PHẨM'!$B:$F,4,0),"")</f>
        <v/>
      </c>
      <c r="N962" s="291" t="str">
        <f>+IFERROR(VLOOKUP(K962,'THÀNH PHẨM'!$B:$F,5,0),"")</f>
        <v/>
      </c>
      <c r="O962" s="289"/>
      <c r="P962" s="292">
        <f t="shared" si="2"/>
        <v>0</v>
      </c>
      <c r="Q962" s="289"/>
      <c r="R962" s="289"/>
      <c r="S962" s="293">
        <f t="shared" si="62"/>
        <v>0</v>
      </c>
      <c r="T962" s="294"/>
      <c r="U962" s="295" t="str">
        <f>IFERROR(VLOOKUP(G962,'KL NÒNG ỐNG'!$B$2:$E$16,4,0)*I962*V962,"")</f>
        <v/>
      </c>
      <c r="V962" s="296"/>
      <c r="W962" s="297"/>
      <c r="X962" s="298"/>
      <c r="Y962" s="292" t="str">
        <f t="shared" si="69"/>
        <v/>
      </c>
      <c r="Z962" s="366">
        <f t="shared" si="70"/>
        <v>0</v>
      </c>
      <c r="AA962" s="299" t="str">
        <f t="shared" si="71"/>
        <v/>
      </c>
      <c r="AB962" s="300"/>
      <c r="AC962" s="301"/>
      <c r="AD962" s="302"/>
      <c r="AE962" s="303"/>
      <c r="AF962" s="304"/>
      <c r="AG962" s="304"/>
      <c r="AH962" s="304"/>
      <c r="AI962" s="304"/>
      <c r="AJ962" s="304"/>
      <c r="AK962" s="305"/>
      <c r="AL962" s="283"/>
      <c r="AM962" s="446"/>
    </row>
    <row r="963" ht="15.75" customHeight="1">
      <c r="A963" s="282">
        <f t="shared" si="1"/>
        <v>959</v>
      </c>
      <c r="B963" s="283"/>
      <c r="C963" s="284"/>
      <c r="D963" s="338"/>
      <c r="E963" s="286"/>
      <c r="F963" s="287"/>
      <c r="G963" s="288" t="str">
        <f>+IFERROR(VLOOKUP(F963,NVL!$B:$C,2,0),"")</f>
        <v/>
      </c>
      <c r="H963" s="288" t="str">
        <f>+IFERROR(VLOOKUP(F963,NVL!$B:$D,3,0),"")</f>
        <v/>
      </c>
      <c r="I963" s="288" t="str">
        <f>+IFERROR(VLOOKUP(F963,NVL!$B:$F,4,0),"")</f>
        <v/>
      </c>
      <c r="J963" s="289"/>
      <c r="K963" s="290"/>
      <c r="L963" s="291" t="str">
        <f>+IFERROR(VLOOKUP(K963,'THÀNH PHẨM'!$B:$F,3,0),"")</f>
        <v/>
      </c>
      <c r="M963" s="291" t="str">
        <f>+IFERROR(VLOOKUP(K963,'THÀNH PHẨM'!$B:$F,4,0),"")</f>
        <v/>
      </c>
      <c r="N963" s="291" t="str">
        <f>+IFERROR(VLOOKUP(K963,'THÀNH PHẨM'!$B:$F,5,0),"")</f>
        <v/>
      </c>
      <c r="O963" s="289"/>
      <c r="P963" s="292">
        <f t="shared" si="2"/>
        <v>0</v>
      </c>
      <c r="Q963" s="289"/>
      <c r="R963" s="289"/>
      <c r="S963" s="293">
        <f t="shared" si="62"/>
        <v>0</v>
      </c>
      <c r="T963" s="294"/>
      <c r="U963" s="295" t="str">
        <f>IFERROR(VLOOKUP(G963,'KL NÒNG ỐNG'!$B$2:$E$16,4,0)*I963*V963,"")</f>
        <v/>
      </c>
      <c r="V963" s="296"/>
      <c r="W963" s="297"/>
      <c r="X963" s="298"/>
      <c r="Y963" s="292" t="str">
        <f t="shared" si="69"/>
        <v/>
      </c>
      <c r="Z963" s="366">
        <f t="shared" si="70"/>
        <v>0</v>
      </c>
      <c r="AA963" s="299" t="str">
        <f t="shared" si="71"/>
        <v/>
      </c>
      <c r="AB963" s="300"/>
      <c r="AC963" s="301"/>
      <c r="AD963" s="302"/>
      <c r="AE963" s="303"/>
      <c r="AF963" s="304"/>
      <c r="AG963" s="304"/>
      <c r="AH963" s="304"/>
      <c r="AI963" s="304"/>
      <c r="AJ963" s="304"/>
      <c r="AK963" s="298"/>
      <c r="AL963" s="283"/>
      <c r="AM963" s="284"/>
    </row>
    <row r="964" ht="15.75" customHeight="1">
      <c r="A964" s="282">
        <f t="shared" si="1"/>
        <v>960</v>
      </c>
      <c r="B964" s="283"/>
      <c r="C964" s="284"/>
      <c r="D964" s="338"/>
      <c r="E964" s="286"/>
      <c r="F964" s="287"/>
      <c r="G964" s="288" t="str">
        <f>+IFERROR(VLOOKUP(F964,NVL!$B:$C,2,0),"")</f>
        <v/>
      </c>
      <c r="H964" s="288" t="str">
        <f>+IFERROR(VLOOKUP(F964,NVL!$B:$D,3,0),"")</f>
        <v/>
      </c>
      <c r="I964" s="288" t="str">
        <f>+IFERROR(VLOOKUP(F964,NVL!$B:$F,4,0),"")</f>
        <v/>
      </c>
      <c r="J964" s="289"/>
      <c r="K964" s="290"/>
      <c r="L964" s="291" t="str">
        <f>+IFERROR(VLOOKUP(K964,'THÀNH PHẨM'!$B:$F,3,0),"")</f>
        <v/>
      </c>
      <c r="M964" s="291" t="str">
        <f>+IFERROR(VLOOKUP(K964,'THÀNH PHẨM'!$B:$F,4,0),"")</f>
        <v/>
      </c>
      <c r="N964" s="291" t="str">
        <f>+IFERROR(VLOOKUP(K964,'THÀNH PHẨM'!$B:$F,5,0),"")</f>
        <v/>
      </c>
      <c r="O964" s="289"/>
      <c r="P964" s="292">
        <f t="shared" si="2"/>
        <v>0</v>
      </c>
      <c r="Q964" s="289"/>
      <c r="R964" s="289"/>
      <c r="S964" s="293">
        <f t="shared" si="62"/>
        <v>0</v>
      </c>
      <c r="T964" s="294"/>
      <c r="U964" s="295" t="str">
        <f>IFERROR(VLOOKUP(G964,'KL NÒNG ỐNG'!$B$2:$E$16,4,0)*I964*V964,"")</f>
        <v/>
      </c>
      <c r="V964" s="296"/>
      <c r="W964" s="297"/>
      <c r="X964" s="298"/>
      <c r="Y964" s="292" t="str">
        <f t="shared" si="69"/>
        <v/>
      </c>
      <c r="Z964" s="366">
        <f t="shared" si="70"/>
        <v>0</v>
      </c>
      <c r="AA964" s="299" t="str">
        <f t="shared" si="71"/>
        <v/>
      </c>
      <c r="AB964" s="300"/>
      <c r="AC964" s="301"/>
      <c r="AD964" s="302"/>
      <c r="AE964" s="303"/>
      <c r="AF964" s="304"/>
      <c r="AG964" s="304"/>
      <c r="AH964" s="304"/>
      <c r="AI964" s="304"/>
      <c r="AJ964" s="304"/>
      <c r="AK964" s="305"/>
      <c r="AL964" s="283"/>
      <c r="AM964" s="284"/>
    </row>
    <row r="965" ht="15.75" customHeight="1">
      <c r="A965" s="282">
        <f t="shared" si="1"/>
        <v>961</v>
      </c>
      <c r="B965" s="283"/>
      <c r="C965" s="284"/>
      <c r="D965" s="338"/>
      <c r="E965" s="286"/>
      <c r="F965" s="287"/>
      <c r="G965" s="288" t="str">
        <f>+IFERROR(VLOOKUP(F965,NVL!$B:$C,2,0),"")</f>
        <v/>
      </c>
      <c r="H965" s="288" t="str">
        <f>+IFERROR(VLOOKUP(F965,NVL!$B:$D,3,0),"")</f>
        <v/>
      </c>
      <c r="I965" s="288" t="str">
        <f>+IFERROR(VLOOKUP(F965,NVL!$B:$F,4,0),"")</f>
        <v/>
      </c>
      <c r="J965" s="289"/>
      <c r="K965" s="290"/>
      <c r="L965" s="291" t="str">
        <f>+IFERROR(VLOOKUP(K965,'THÀNH PHẨM'!$B:$F,3,0),"")</f>
        <v/>
      </c>
      <c r="M965" s="291" t="str">
        <f>+IFERROR(VLOOKUP(K965,'THÀNH PHẨM'!$B:$F,4,0),"")</f>
        <v/>
      </c>
      <c r="N965" s="291" t="str">
        <f>+IFERROR(VLOOKUP(K965,'THÀNH PHẨM'!$B:$F,5,0),"")</f>
        <v/>
      </c>
      <c r="O965" s="289"/>
      <c r="P965" s="292">
        <f t="shared" si="2"/>
        <v>0</v>
      </c>
      <c r="Q965" s="289"/>
      <c r="R965" s="289"/>
      <c r="S965" s="293">
        <f t="shared" si="62"/>
        <v>0</v>
      </c>
      <c r="T965" s="294"/>
      <c r="U965" s="295" t="str">
        <f>IFERROR(VLOOKUP(G965,'KL NÒNG ỐNG'!$B$2:$E$16,4,0)*I965*V965,"")</f>
        <v/>
      </c>
      <c r="V965" s="296"/>
      <c r="W965" s="297"/>
      <c r="X965" s="298"/>
      <c r="Y965" s="292" t="str">
        <f t="shared" si="69"/>
        <v/>
      </c>
      <c r="Z965" s="366">
        <f t="shared" si="70"/>
        <v>0</v>
      </c>
      <c r="AA965" s="299" t="str">
        <f t="shared" si="71"/>
        <v/>
      </c>
      <c r="AB965" s="300"/>
      <c r="AC965" s="301"/>
      <c r="AD965" s="302"/>
      <c r="AE965" s="303"/>
      <c r="AF965" s="304"/>
      <c r="AG965" s="304"/>
      <c r="AH965" s="304"/>
      <c r="AI965" s="304"/>
      <c r="AJ965" s="304"/>
      <c r="AK965" s="305"/>
      <c r="AL965" s="283"/>
      <c r="AM965" s="284"/>
    </row>
    <row r="966" ht="15.75" customHeight="1">
      <c r="A966" s="282">
        <f t="shared" si="1"/>
        <v>962</v>
      </c>
      <c r="B966" s="283"/>
      <c r="C966" s="284"/>
      <c r="D966" s="338"/>
      <c r="E966" s="286"/>
      <c r="F966" s="287"/>
      <c r="G966" s="288" t="str">
        <f>+IFERROR(VLOOKUP(F966,NVL!$B:$C,2,0),"")</f>
        <v/>
      </c>
      <c r="H966" s="288" t="str">
        <f>+IFERROR(VLOOKUP(F966,NVL!$B:$D,3,0),"")</f>
        <v/>
      </c>
      <c r="I966" s="288" t="str">
        <f>+IFERROR(VLOOKUP(F966,NVL!$B:$F,4,0),"")</f>
        <v/>
      </c>
      <c r="J966" s="289"/>
      <c r="K966" s="290"/>
      <c r="L966" s="291" t="str">
        <f>+IFERROR(VLOOKUP(K966,'THÀNH PHẨM'!$B:$F,3,0),"")</f>
        <v/>
      </c>
      <c r="M966" s="291" t="str">
        <f>+IFERROR(VLOOKUP(K966,'THÀNH PHẨM'!$B:$F,4,0),"")</f>
        <v/>
      </c>
      <c r="N966" s="291" t="str">
        <f>+IFERROR(VLOOKUP(K966,'THÀNH PHẨM'!$B:$F,5,0),"")</f>
        <v/>
      </c>
      <c r="O966" s="289"/>
      <c r="P966" s="292">
        <f t="shared" si="2"/>
        <v>0</v>
      </c>
      <c r="Q966" s="289"/>
      <c r="R966" s="289"/>
      <c r="S966" s="293">
        <f t="shared" si="62"/>
        <v>0</v>
      </c>
      <c r="T966" s="294"/>
      <c r="U966" s="295" t="str">
        <f>IFERROR(VLOOKUP(G966,'KL NÒNG ỐNG'!$B$2:$E$16,4,0)*I966*V966,"")</f>
        <v/>
      </c>
      <c r="V966" s="296"/>
      <c r="W966" s="297"/>
      <c r="X966" s="298"/>
      <c r="Y966" s="292" t="str">
        <f t="shared" si="69"/>
        <v/>
      </c>
      <c r="Z966" s="366">
        <f t="shared" si="70"/>
        <v>0</v>
      </c>
      <c r="AA966" s="299" t="str">
        <f t="shared" si="71"/>
        <v/>
      </c>
      <c r="AB966" s="300"/>
      <c r="AC966" s="301"/>
      <c r="AD966" s="302"/>
      <c r="AE966" s="303"/>
      <c r="AF966" s="304"/>
      <c r="AG966" s="304"/>
      <c r="AH966" s="304"/>
      <c r="AI966" s="304"/>
      <c r="AJ966" s="304"/>
      <c r="AK966" s="305"/>
      <c r="AL966" s="283"/>
      <c r="AM966" s="284"/>
    </row>
    <row r="967" ht="15.75" customHeight="1">
      <c r="A967" s="282">
        <f t="shared" si="1"/>
        <v>963</v>
      </c>
      <c r="B967" s="283"/>
      <c r="C967" s="284"/>
      <c r="D967" s="338"/>
      <c r="E967" s="286"/>
      <c r="F967" s="287"/>
      <c r="G967" s="288" t="str">
        <f>+IFERROR(VLOOKUP(F967,NVL!$B:$C,2,0),"")</f>
        <v/>
      </c>
      <c r="H967" s="288" t="str">
        <f>+IFERROR(VLOOKUP(F967,NVL!$B:$D,3,0),"")</f>
        <v/>
      </c>
      <c r="I967" s="288" t="str">
        <f>+IFERROR(VLOOKUP(F967,NVL!$B:$F,4,0),"")</f>
        <v/>
      </c>
      <c r="J967" s="289"/>
      <c r="K967" s="290"/>
      <c r="L967" s="291" t="str">
        <f>+IFERROR(VLOOKUP(K967,'THÀNH PHẨM'!$B:$F,3,0),"")</f>
        <v/>
      </c>
      <c r="M967" s="291" t="str">
        <f>+IFERROR(VLOOKUP(K967,'THÀNH PHẨM'!$B:$F,4,0),"")</f>
        <v/>
      </c>
      <c r="N967" s="291" t="str">
        <f>+IFERROR(VLOOKUP(K967,'THÀNH PHẨM'!$B:$F,5,0),"")</f>
        <v/>
      </c>
      <c r="O967" s="289"/>
      <c r="P967" s="292">
        <f t="shared" si="2"/>
        <v>0</v>
      </c>
      <c r="Q967" s="289"/>
      <c r="R967" s="289"/>
      <c r="S967" s="293">
        <f t="shared" si="62"/>
        <v>0</v>
      </c>
      <c r="T967" s="294"/>
      <c r="U967" s="295" t="str">
        <f>IFERROR(VLOOKUP(G967,'KL NÒNG ỐNG'!$B$2:$E$16,4,0)*I967*V967,"")</f>
        <v/>
      </c>
      <c r="V967" s="296"/>
      <c r="W967" s="297"/>
      <c r="X967" s="298"/>
      <c r="Y967" s="292" t="str">
        <f t="shared" si="69"/>
        <v/>
      </c>
      <c r="Z967" s="366">
        <f t="shared" si="70"/>
        <v>0</v>
      </c>
      <c r="AA967" s="299" t="str">
        <f t="shared" si="71"/>
        <v/>
      </c>
      <c r="AB967" s="300"/>
      <c r="AC967" s="301"/>
      <c r="AD967" s="302"/>
      <c r="AE967" s="303"/>
      <c r="AF967" s="304"/>
      <c r="AG967" s="304"/>
      <c r="AH967" s="304"/>
      <c r="AI967" s="304"/>
      <c r="AJ967" s="304"/>
      <c r="AK967" s="305"/>
      <c r="AL967" s="283"/>
      <c r="AM967" s="284"/>
    </row>
    <row r="968" ht="15.75" customHeight="1">
      <c r="A968" s="282">
        <f t="shared" si="1"/>
        <v>964</v>
      </c>
      <c r="B968" s="283"/>
      <c r="C968" s="284"/>
      <c r="D968" s="338"/>
      <c r="E968" s="286"/>
      <c r="F968" s="287"/>
      <c r="G968" s="288" t="str">
        <f>+IFERROR(VLOOKUP(F968,NVL!$B:$C,2,0),"")</f>
        <v/>
      </c>
      <c r="H968" s="288" t="str">
        <f>+IFERROR(VLOOKUP(F968,NVL!$B:$D,3,0),"")</f>
        <v/>
      </c>
      <c r="I968" s="288" t="str">
        <f>+IFERROR(VLOOKUP(F968,NVL!$B:$F,4,0),"")</f>
        <v/>
      </c>
      <c r="J968" s="289"/>
      <c r="K968" s="290"/>
      <c r="L968" s="291" t="str">
        <f>+IFERROR(VLOOKUP(K968,'THÀNH PHẨM'!$B:$F,3,0),"")</f>
        <v/>
      </c>
      <c r="M968" s="291" t="str">
        <f>+IFERROR(VLOOKUP(K968,'THÀNH PHẨM'!$B:$F,4,0),"")</f>
        <v/>
      </c>
      <c r="N968" s="291" t="str">
        <f>+IFERROR(VLOOKUP(K968,'THÀNH PHẨM'!$B:$F,5,0),"")</f>
        <v/>
      </c>
      <c r="O968" s="289"/>
      <c r="P968" s="292">
        <f t="shared" si="2"/>
        <v>0</v>
      </c>
      <c r="Q968" s="289"/>
      <c r="R968" s="289"/>
      <c r="S968" s="293">
        <f t="shared" si="62"/>
        <v>0</v>
      </c>
      <c r="T968" s="294"/>
      <c r="U968" s="295" t="str">
        <f>IFERROR(VLOOKUP(G968,'KL NÒNG ỐNG'!$B$2:$E$16,4,0)*I968*V968,"")</f>
        <v/>
      </c>
      <c r="V968" s="296"/>
      <c r="W968" s="297"/>
      <c r="X968" s="298"/>
      <c r="Y968" s="292" t="str">
        <f t="shared" si="69"/>
        <v/>
      </c>
      <c r="Z968" s="366">
        <f t="shared" si="70"/>
        <v>0</v>
      </c>
      <c r="AA968" s="299" t="str">
        <f t="shared" si="71"/>
        <v/>
      </c>
      <c r="AB968" s="300"/>
      <c r="AC968" s="301"/>
      <c r="AD968" s="302"/>
      <c r="AE968" s="303"/>
      <c r="AF968" s="304"/>
      <c r="AG968" s="304"/>
      <c r="AH968" s="304"/>
      <c r="AI968" s="304"/>
      <c r="AJ968" s="304"/>
      <c r="AK968" s="305"/>
      <c r="AL968" s="283"/>
      <c r="AM968" s="284"/>
    </row>
    <row r="969" ht="15.75" customHeight="1">
      <c r="A969" s="282">
        <f t="shared" si="1"/>
        <v>965</v>
      </c>
      <c r="B969" s="283"/>
      <c r="C969" s="284"/>
      <c r="D969" s="338"/>
      <c r="E969" s="286"/>
      <c r="F969" s="287"/>
      <c r="G969" s="288" t="str">
        <f>+IFERROR(VLOOKUP(F969,NVL!$B:$C,2,0),"")</f>
        <v/>
      </c>
      <c r="H969" s="288" t="str">
        <f>+IFERROR(VLOOKUP(F969,NVL!$B:$D,3,0),"")</f>
        <v/>
      </c>
      <c r="I969" s="288" t="str">
        <f>+IFERROR(VLOOKUP(F969,NVL!$B:$F,4,0),"")</f>
        <v/>
      </c>
      <c r="J969" s="289"/>
      <c r="K969" s="290"/>
      <c r="L969" s="291" t="str">
        <f>+IFERROR(VLOOKUP(K969,'THÀNH PHẨM'!$B:$F,3,0),"")</f>
        <v/>
      </c>
      <c r="M969" s="291" t="str">
        <f>+IFERROR(VLOOKUP(K969,'THÀNH PHẨM'!$B:$F,4,0),"")</f>
        <v/>
      </c>
      <c r="N969" s="291" t="str">
        <f>+IFERROR(VLOOKUP(K969,'THÀNH PHẨM'!$B:$F,5,0),"")</f>
        <v/>
      </c>
      <c r="O969" s="289"/>
      <c r="P969" s="292">
        <f t="shared" si="2"/>
        <v>0</v>
      </c>
      <c r="Q969" s="289"/>
      <c r="R969" s="289"/>
      <c r="S969" s="293">
        <f t="shared" si="62"/>
        <v>0</v>
      </c>
      <c r="T969" s="294"/>
      <c r="U969" s="295" t="str">
        <f>IFERROR(VLOOKUP(G969,'KL NÒNG ỐNG'!$B$2:$E$16,4,0)*I969*V969,"")</f>
        <v/>
      </c>
      <c r="V969" s="296"/>
      <c r="W969" s="297"/>
      <c r="X969" s="298"/>
      <c r="Y969" s="292" t="str">
        <f t="shared" si="69"/>
        <v/>
      </c>
      <c r="Z969" s="366">
        <f t="shared" si="70"/>
        <v>0</v>
      </c>
      <c r="AA969" s="299" t="str">
        <f t="shared" si="71"/>
        <v/>
      </c>
      <c r="AB969" s="300"/>
      <c r="AC969" s="301"/>
      <c r="AD969" s="302"/>
      <c r="AE969" s="303"/>
      <c r="AF969" s="304"/>
      <c r="AG969" s="304"/>
      <c r="AH969" s="304"/>
      <c r="AI969" s="304"/>
      <c r="AJ969" s="304"/>
      <c r="AK969" s="305"/>
      <c r="AL969" s="283"/>
      <c r="AM969" s="284"/>
    </row>
    <row r="970" ht="15.75" customHeight="1">
      <c r="A970" s="282">
        <f t="shared" si="1"/>
        <v>966</v>
      </c>
      <c r="B970" s="283"/>
      <c r="C970" s="284"/>
      <c r="D970" s="338"/>
      <c r="E970" s="286"/>
      <c r="F970" s="287"/>
      <c r="G970" s="288" t="str">
        <f>+IFERROR(VLOOKUP(F970,NVL!$B:$C,2,0),"")</f>
        <v/>
      </c>
      <c r="H970" s="288" t="str">
        <f>+IFERROR(VLOOKUP(F970,NVL!$B:$D,3,0),"")</f>
        <v/>
      </c>
      <c r="I970" s="288" t="str">
        <f>+IFERROR(VLOOKUP(F970,NVL!$B:$F,4,0),"")</f>
        <v/>
      </c>
      <c r="J970" s="289"/>
      <c r="K970" s="290"/>
      <c r="L970" s="291" t="str">
        <f>+IFERROR(VLOOKUP(K970,'THÀNH PHẨM'!$B:$F,3,0),"")</f>
        <v/>
      </c>
      <c r="M970" s="291" t="str">
        <f>+IFERROR(VLOOKUP(K970,'THÀNH PHẨM'!$B:$F,4,0),"")</f>
        <v/>
      </c>
      <c r="N970" s="291" t="str">
        <f>+IFERROR(VLOOKUP(K970,'THÀNH PHẨM'!$B:$F,5,0),"")</f>
        <v/>
      </c>
      <c r="O970" s="289"/>
      <c r="P970" s="292">
        <f t="shared" si="2"/>
        <v>0</v>
      </c>
      <c r="Q970" s="289"/>
      <c r="R970" s="289"/>
      <c r="S970" s="293">
        <f t="shared" si="62"/>
        <v>0</v>
      </c>
      <c r="T970" s="294"/>
      <c r="U970" s="295" t="str">
        <f>IFERROR(VLOOKUP(G970,'KL NÒNG ỐNG'!$B$2:$E$16,4,0)*I970*V970,"")</f>
        <v/>
      </c>
      <c r="V970" s="296"/>
      <c r="W970" s="297"/>
      <c r="X970" s="298"/>
      <c r="Y970" s="292" t="str">
        <f t="shared" si="69"/>
        <v/>
      </c>
      <c r="Z970" s="366">
        <f t="shared" si="70"/>
        <v>0</v>
      </c>
      <c r="AA970" s="299" t="str">
        <f t="shared" si="71"/>
        <v/>
      </c>
      <c r="AB970" s="300"/>
      <c r="AC970" s="301"/>
      <c r="AD970" s="302"/>
      <c r="AE970" s="303"/>
      <c r="AF970" s="304"/>
      <c r="AG970" s="304"/>
      <c r="AH970" s="304"/>
      <c r="AI970" s="304"/>
      <c r="AJ970" s="304"/>
      <c r="AK970" s="305"/>
      <c r="AL970" s="283"/>
      <c r="AM970" s="284"/>
    </row>
    <row r="971" ht="15.75" customHeight="1">
      <c r="A971" s="282">
        <f t="shared" si="1"/>
        <v>967</v>
      </c>
      <c r="B971" s="283"/>
      <c r="C971" s="284"/>
      <c r="D971" s="338"/>
      <c r="E971" s="286"/>
      <c r="F971" s="287"/>
      <c r="G971" s="288" t="str">
        <f>+IFERROR(VLOOKUP(F971,NVL!$B:$C,2,0),"")</f>
        <v/>
      </c>
      <c r="H971" s="288" t="str">
        <f>+IFERROR(VLOOKUP(F971,NVL!$B:$D,3,0),"")</f>
        <v/>
      </c>
      <c r="I971" s="288" t="str">
        <f>+IFERROR(VLOOKUP(F971,NVL!$B:$F,4,0),"")</f>
        <v/>
      </c>
      <c r="J971" s="289"/>
      <c r="K971" s="290"/>
      <c r="L971" s="291" t="str">
        <f>+IFERROR(VLOOKUP(K971,'THÀNH PHẨM'!$B:$F,3,0),"")</f>
        <v/>
      </c>
      <c r="M971" s="291" t="str">
        <f>+IFERROR(VLOOKUP(K971,'THÀNH PHẨM'!$B:$F,4,0),"")</f>
        <v/>
      </c>
      <c r="N971" s="291" t="str">
        <f>+IFERROR(VLOOKUP(K971,'THÀNH PHẨM'!$B:$F,5,0),"")</f>
        <v/>
      </c>
      <c r="O971" s="289"/>
      <c r="P971" s="292">
        <f t="shared" si="2"/>
        <v>0</v>
      </c>
      <c r="Q971" s="289"/>
      <c r="R971" s="289"/>
      <c r="S971" s="293">
        <f t="shared" si="62"/>
        <v>0</v>
      </c>
      <c r="T971" s="294"/>
      <c r="U971" s="295" t="str">
        <f>IFERROR(VLOOKUP(G971,'KL NÒNG ỐNG'!$B$2:$E$16,4,0)*I971*V971,"")</f>
        <v/>
      </c>
      <c r="V971" s="296"/>
      <c r="W971" s="297"/>
      <c r="X971" s="298"/>
      <c r="Y971" s="292" t="str">
        <f t="shared" si="69"/>
        <v/>
      </c>
      <c r="Z971" s="366">
        <f t="shared" si="70"/>
        <v>0</v>
      </c>
      <c r="AA971" s="299" t="str">
        <f t="shared" si="71"/>
        <v/>
      </c>
      <c r="AB971" s="300"/>
      <c r="AC971" s="301"/>
      <c r="AD971" s="302"/>
      <c r="AE971" s="303"/>
      <c r="AF971" s="304"/>
      <c r="AG971" s="304"/>
      <c r="AH971" s="304"/>
      <c r="AI971" s="304"/>
      <c r="AJ971" s="304"/>
      <c r="AK971" s="305"/>
      <c r="AL971" s="283"/>
      <c r="AM971" s="284"/>
    </row>
    <row r="972" ht="15.75" customHeight="1">
      <c r="A972" s="282">
        <f t="shared" si="1"/>
        <v>968</v>
      </c>
      <c r="B972" s="283"/>
      <c r="C972" s="284"/>
      <c r="D972" s="338"/>
      <c r="E972" s="286"/>
      <c r="F972" s="287"/>
      <c r="G972" s="288" t="str">
        <f>+IFERROR(VLOOKUP(F972,NVL!$B:$C,2,0),"")</f>
        <v/>
      </c>
      <c r="H972" s="288" t="str">
        <f>+IFERROR(VLOOKUP(F972,NVL!$B:$D,3,0),"")</f>
        <v/>
      </c>
      <c r="I972" s="288" t="str">
        <f>+IFERROR(VLOOKUP(F972,NVL!$B:$F,4,0),"")</f>
        <v/>
      </c>
      <c r="J972" s="289"/>
      <c r="K972" s="290"/>
      <c r="L972" s="291" t="str">
        <f>+IFERROR(VLOOKUP(K972,'THÀNH PHẨM'!$B:$F,3,0),"")</f>
        <v/>
      </c>
      <c r="M972" s="291" t="str">
        <f>+IFERROR(VLOOKUP(K972,'THÀNH PHẨM'!$B:$F,4,0),"")</f>
        <v/>
      </c>
      <c r="N972" s="291" t="str">
        <f>+IFERROR(VLOOKUP(K972,'THÀNH PHẨM'!$B:$F,5,0),"")</f>
        <v/>
      </c>
      <c r="O972" s="289"/>
      <c r="P972" s="292">
        <f t="shared" si="2"/>
        <v>0</v>
      </c>
      <c r="Q972" s="289"/>
      <c r="R972" s="289"/>
      <c r="S972" s="293">
        <f t="shared" si="62"/>
        <v>0</v>
      </c>
      <c r="T972" s="294"/>
      <c r="U972" s="295" t="str">
        <f>IFERROR(VLOOKUP(G972,'KL NÒNG ỐNG'!$B$2:$E$16,4,0)*I972*V972,"")</f>
        <v/>
      </c>
      <c r="V972" s="296"/>
      <c r="W972" s="297"/>
      <c r="X972" s="298"/>
      <c r="Y972" s="292" t="str">
        <f t="shared" si="69"/>
        <v/>
      </c>
      <c r="Z972" s="366">
        <f t="shared" si="70"/>
        <v>0</v>
      </c>
      <c r="AA972" s="299" t="str">
        <f t="shared" si="71"/>
        <v/>
      </c>
      <c r="AB972" s="300"/>
      <c r="AC972" s="301"/>
      <c r="AD972" s="302"/>
      <c r="AE972" s="303"/>
      <c r="AF972" s="304"/>
      <c r="AG972" s="304"/>
      <c r="AH972" s="304"/>
      <c r="AI972" s="304"/>
      <c r="AJ972" s="304"/>
      <c r="AK972" s="305"/>
      <c r="AL972" s="283"/>
      <c r="AM972" s="284"/>
    </row>
    <row r="973" ht="15.75" customHeight="1">
      <c r="A973" s="282">
        <f t="shared" si="1"/>
        <v>969</v>
      </c>
      <c r="B973" s="283"/>
      <c r="C973" s="284"/>
      <c r="D973" s="338"/>
      <c r="E973" s="286"/>
      <c r="F973" s="287"/>
      <c r="G973" s="288" t="str">
        <f>+IFERROR(VLOOKUP(F973,NVL!$B:$C,2,0),"")</f>
        <v/>
      </c>
      <c r="H973" s="288" t="str">
        <f>+IFERROR(VLOOKUP(F973,NVL!$B:$D,3,0),"")</f>
        <v/>
      </c>
      <c r="I973" s="288" t="str">
        <f>+IFERROR(VLOOKUP(F973,NVL!$B:$F,4,0),"")</f>
        <v/>
      </c>
      <c r="J973" s="289"/>
      <c r="K973" s="290"/>
      <c r="L973" s="291" t="str">
        <f>+IFERROR(VLOOKUP(K973,'THÀNH PHẨM'!$B:$F,3,0),"")</f>
        <v/>
      </c>
      <c r="M973" s="291" t="str">
        <f>+IFERROR(VLOOKUP(K973,'THÀNH PHẨM'!$B:$F,4,0),"")</f>
        <v/>
      </c>
      <c r="N973" s="291" t="str">
        <f>+IFERROR(VLOOKUP(K973,'THÀNH PHẨM'!$B:$F,5,0),"")</f>
        <v/>
      </c>
      <c r="O973" s="289"/>
      <c r="P973" s="292">
        <f t="shared" si="2"/>
        <v>0</v>
      </c>
      <c r="Q973" s="289"/>
      <c r="R973" s="289"/>
      <c r="S973" s="293">
        <f t="shared" si="62"/>
        <v>0</v>
      </c>
      <c r="T973" s="294"/>
      <c r="U973" s="295" t="str">
        <f>IFERROR(VLOOKUP(G973,'KL NÒNG ỐNG'!$B$2:$E$16,4,0)*I973*V973,"")</f>
        <v/>
      </c>
      <c r="V973" s="296"/>
      <c r="W973" s="297"/>
      <c r="X973" s="298"/>
      <c r="Y973" s="292" t="str">
        <f t="shared" si="69"/>
        <v/>
      </c>
      <c r="Z973" s="366">
        <f t="shared" si="70"/>
        <v>0</v>
      </c>
      <c r="AA973" s="299" t="str">
        <f t="shared" si="71"/>
        <v/>
      </c>
      <c r="AB973" s="300"/>
      <c r="AC973" s="301"/>
      <c r="AD973" s="302"/>
      <c r="AE973" s="303"/>
      <c r="AF973" s="304"/>
      <c r="AG973" s="304"/>
      <c r="AH973" s="304"/>
      <c r="AI973" s="304"/>
      <c r="AJ973" s="304"/>
      <c r="AK973" s="305"/>
      <c r="AL973" s="283"/>
      <c r="AM973" s="284"/>
    </row>
    <row r="974" ht="15.75" customHeight="1">
      <c r="A974" s="282">
        <f t="shared" si="1"/>
        <v>970</v>
      </c>
      <c r="B974" s="283"/>
      <c r="C974" s="284"/>
      <c r="D974" s="338"/>
      <c r="E974" s="286"/>
      <c r="F974" s="287"/>
      <c r="G974" s="288" t="str">
        <f>+IFERROR(VLOOKUP(F974,NVL!$B:$C,2,0),"")</f>
        <v/>
      </c>
      <c r="H974" s="288" t="str">
        <f>+IFERROR(VLOOKUP(F974,NVL!$B:$D,3,0),"")</f>
        <v/>
      </c>
      <c r="I974" s="288" t="str">
        <f>+IFERROR(VLOOKUP(F974,NVL!$B:$F,4,0),"")</f>
        <v/>
      </c>
      <c r="J974" s="289"/>
      <c r="K974" s="290"/>
      <c r="L974" s="291" t="str">
        <f>+IFERROR(VLOOKUP(K974,'THÀNH PHẨM'!$B:$F,3,0),"")</f>
        <v/>
      </c>
      <c r="M974" s="291" t="str">
        <f>+IFERROR(VLOOKUP(K974,'THÀNH PHẨM'!$B:$F,4,0),"")</f>
        <v/>
      </c>
      <c r="N974" s="291" t="str">
        <f>+IFERROR(VLOOKUP(K974,'THÀNH PHẨM'!$B:$F,5,0),"")</f>
        <v/>
      </c>
      <c r="O974" s="289"/>
      <c r="P974" s="292">
        <f t="shared" si="2"/>
        <v>0</v>
      </c>
      <c r="Q974" s="289"/>
      <c r="R974" s="289"/>
      <c r="S974" s="293">
        <f t="shared" si="62"/>
        <v>0</v>
      </c>
      <c r="T974" s="294"/>
      <c r="U974" s="295" t="str">
        <f>IFERROR(VLOOKUP(G974,'KL NÒNG ỐNG'!$B$2:$E$16,4,0)*I974*V974,"")</f>
        <v/>
      </c>
      <c r="V974" s="296"/>
      <c r="W974" s="297"/>
      <c r="X974" s="298"/>
      <c r="Y974" s="292" t="str">
        <f t="shared" si="69"/>
        <v/>
      </c>
      <c r="Z974" s="366">
        <f t="shared" si="70"/>
        <v>0</v>
      </c>
      <c r="AA974" s="299" t="str">
        <f t="shared" si="71"/>
        <v/>
      </c>
      <c r="AB974" s="300"/>
      <c r="AC974" s="301"/>
      <c r="AD974" s="302"/>
      <c r="AE974" s="303"/>
      <c r="AF974" s="304"/>
      <c r="AG974" s="304"/>
      <c r="AH974" s="304"/>
      <c r="AI974" s="304"/>
      <c r="AJ974" s="304"/>
      <c r="AK974" s="305"/>
      <c r="AL974" s="283"/>
      <c r="AM974" s="284"/>
    </row>
    <row r="975" ht="15.75" customHeight="1">
      <c r="A975" s="282">
        <f t="shared" si="1"/>
        <v>971</v>
      </c>
      <c r="B975" s="283"/>
      <c r="C975" s="284"/>
      <c r="D975" s="338"/>
      <c r="E975" s="286"/>
      <c r="F975" s="287"/>
      <c r="G975" s="288" t="str">
        <f>+IFERROR(VLOOKUP(F975,NVL!$B:$C,2,0),"")</f>
        <v/>
      </c>
      <c r="H975" s="288" t="str">
        <f>+IFERROR(VLOOKUP(F975,NVL!$B:$D,3,0),"")</f>
        <v/>
      </c>
      <c r="I975" s="288" t="str">
        <f>+IFERROR(VLOOKUP(F975,NVL!$B:$F,4,0),"")</f>
        <v/>
      </c>
      <c r="J975" s="289"/>
      <c r="K975" s="290"/>
      <c r="L975" s="291" t="str">
        <f>+IFERROR(VLOOKUP(K975,'THÀNH PHẨM'!$B:$F,3,0),"")</f>
        <v/>
      </c>
      <c r="M975" s="291" t="str">
        <f>+IFERROR(VLOOKUP(K975,'THÀNH PHẨM'!$B:$F,4,0),"")</f>
        <v/>
      </c>
      <c r="N975" s="291" t="str">
        <f>+IFERROR(VLOOKUP(K975,'THÀNH PHẨM'!$B:$F,5,0),"")</f>
        <v/>
      </c>
      <c r="O975" s="289"/>
      <c r="P975" s="292">
        <f t="shared" si="2"/>
        <v>0</v>
      </c>
      <c r="Q975" s="289"/>
      <c r="R975" s="289"/>
      <c r="S975" s="293">
        <f t="shared" si="62"/>
        <v>0</v>
      </c>
      <c r="T975" s="294"/>
      <c r="U975" s="295" t="str">
        <f>IFERROR(VLOOKUP(G975,'KL NÒNG ỐNG'!$B$2:$E$16,4,0)*I975*V975,"")</f>
        <v/>
      </c>
      <c r="V975" s="296"/>
      <c r="W975" s="297"/>
      <c r="X975" s="298"/>
      <c r="Y975" s="292" t="str">
        <f t="shared" si="69"/>
        <v/>
      </c>
      <c r="Z975" s="366">
        <f t="shared" si="70"/>
        <v>0</v>
      </c>
      <c r="AA975" s="299" t="str">
        <f t="shared" si="71"/>
        <v/>
      </c>
      <c r="AB975" s="300"/>
      <c r="AC975" s="301"/>
      <c r="AD975" s="302"/>
      <c r="AE975" s="303"/>
      <c r="AF975" s="304"/>
      <c r="AG975" s="304"/>
      <c r="AH975" s="304"/>
      <c r="AI975" s="304"/>
      <c r="AJ975" s="304"/>
      <c r="AK975" s="305"/>
      <c r="AL975" s="283"/>
      <c r="AM975" s="284"/>
    </row>
    <row r="976" ht="15.75" customHeight="1">
      <c r="A976" s="282">
        <f t="shared" si="1"/>
        <v>972</v>
      </c>
      <c r="B976" s="283"/>
      <c r="C976" s="284"/>
      <c r="D976" s="338"/>
      <c r="E976" s="286"/>
      <c r="F976" s="287"/>
      <c r="G976" s="288" t="str">
        <f>+IFERROR(VLOOKUP(F976,NVL!$B:$C,2,0),"")</f>
        <v/>
      </c>
      <c r="H976" s="288" t="str">
        <f>+IFERROR(VLOOKUP(F976,NVL!$B:$D,3,0),"")</f>
        <v/>
      </c>
      <c r="I976" s="288" t="str">
        <f>+IFERROR(VLOOKUP(F976,NVL!$B:$F,4,0),"")</f>
        <v/>
      </c>
      <c r="J976" s="289"/>
      <c r="K976" s="290"/>
      <c r="L976" s="291" t="str">
        <f>+IFERROR(VLOOKUP(K976,'THÀNH PHẨM'!$B:$F,3,0),"")</f>
        <v/>
      </c>
      <c r="M976" s="291" t="str">
        <f>+IFERROR(VLOOKUP(K976,'THÀNH PHẨM'!$B:$F,4,0),"")</f>
        <v/>
      </c>
      <c r="N976" s="291" t="str">
        <f>+IFERROR(VLOOKUP(K976,'THÀNH PHẨM'!$B:$F,5,0),"")</f>
        <v/>
      </c>
      <c r="O976" s="289"/>
      <c r="P976" s="292">
        <f t="shared" si="2"/>
        <v>0</v>
      </c>
      <c r="Q976" s="289"/>
      <c r="R976" s="289"/>
      <c r="S976" s="293">
        <f t="shared" si="62"/>
        <v>0</v>
      </c>
      <c r="T976" s="294"/>
      <c r="U976" s="295" t="str">
        <f>IFERROR(VLOOKUP(G976,'KL NÒNG ỐNG'!$B$2:$E$16,4,0)*I976*V976,"")</f>
        <v/>
      </c>
      <c r="V976" s="296"/>
      <c r="W976" s="297"/>
      <c r="X976" s="298"/>
      <c r="Y976" s="292" t="str">
        <f t="shared" si="69"/>
        <v/>
      </c>
      <c r="Z976" s="366">
        <f t="shared" si="70"/>
        <v>0</v>
      </c>
      <c r="AA976" s="299" t="str">
        <f t="shared" si="71"/>
        <v/>
      </c>
      <c r="AB976" s="300"/>
      <c r="AC976" s="301"/>
      <c r="AD976" s="302"/>
      <c r="AE976" s="303"/>
      <c r="AF976" s="304"/>
      <c r="AG976" s="304"/>
      <c r="AH976" s="304"/>
      <c r="AI976" s="304"/>
      <c r="AJ976" s="304"/>
      <c r="AK976" s="305"/>
      <c r="AL976" s="283"/>
      <c r="AM976" s="284"/>
    </row>
    <row r="977" ht="15.75" customHeight="1">
      <c r="A977" s="282">
        <f t="shared" si="1"/>
        <v>973</v>
      </c>
      <c r="B977" s="283"/>
      <c r="C977" s="284"/>
      <c r="D977" s="338"/>
      <c r="E977" s="286"/>
      <c r="F977" s="287"/>
      <c r="G977" s="288" t="str">
        <f>+IFERROR(VLOOKUP(F977,NVL!$B:$C,2,0),"")</f>
        <v/>
      </c>
      <c r="H977" s="288" t="str">
        <f>+IFERROR(VLOOKUP(F977,NVL!$B:$D,3,0),"")</f>
        <v/>
      </c>
      <c r="I977" s="288" t="str">
        <f>+IFERROR(VLOOKUP(F977,NVL!$B:$F,4,0),"")</f>
        <v/>
      </c>
      <c r="J977" s="289"/>
      <c r="K977" s="290"/>
      <c r="L977" s="291" t="str">
        <f>+IFERROR(VLOOKUP(K977,'THÀNH PHẨM'!$B:$F,3,0),"")</f>
        <v/>
      </c>
      <c r="M977" s="291" t="str">
        <f>+IFERROR(VLOOKUP(K977,'THÀNH PHẨM'!$B:$F,4,0),"")</f>
        <v/>
      </c>
      <c r="N977" s="291" t="str">
        <f>+IFERROR(VLOOKUP(K977,'THÀNH PHẨM'!$B:$F,5,0),"")</f>
        <v/>
      </c>
      <c r="O977" s="289"/>
      <c r="P977" s="292">
        <f t="shared" si="2"/>
        <v>0</v>
      </c>
      <c r="Q977" s="289"/>
      <c r="R977" s="289"/>
      <c r="S977" s="293">
        <f t="shared" si="62"/>
        <v>0</v>
      </c>
      <c r="T977" s="294"/>
      <c r="U977" s="295" t="str">
        <f>IFERROR(VLOOKUP(G977,'KL NÒNG ỐNG'!$B$2:$E$16,4,0)*I977*V977,"")</f>
        <v/>
      </c>
      <c r="V977" s="296"/>
      <c r="W977" s="297"/>
      <c r="X977" s="298"/>
      <c r="Y977" s="292" t="str">
        <f t="shared" si="69"/>
        <v/>
      </c>
      <c r="Z977" s="366">
        <f t="shared" si="70"/>
        <v>0</v>
      </c>
      <c r="AA977" s="299" t="str">
        <f t="shared" si="71"/>
        <v/>
      </c>
      <c r="AB977" s="300"/>
      <c r="AC977" s="301"/>
      <c r="AD977" s="302"/>
      <c r="AE977" s="303"/>
      <c r="AF977" s="304"/>
      <c r="AG977" s="304"/>
      <c r="AH977" s="304"/>
      <c r="AI977" s="304"/>
      <c r="AJ977" s="304"/>
      <c r="AK977" s="305"/>
      <c r="AL977" s="283"/>
      <c r="AM977" s="284"/>
    </row>
    <row r="978" ht="15.75" customHeight="1">
      <c r="A978" s="282">
        <f t="shared" si="1"/>
        <v>974</v>
      </c>
      <c r="B978" s="283"/>
      <c r="C978" s="284"/>
      <c r="D978" s="338"/>
      <c r="E978" s="286"/>
      <c r="F978" s="287"/>
      <c r="G978" s="288" t="str">
        <f>+IFERROR(VLOOKUP(F978,NVL!$B:$C,2,0),"")</f>
        <v/>
      </c>
      <c r="H978" s="288" t="str">
        <f>+IFERROR(VLOOKUP(F978,NVL!$B:$D,3,0),"")</f>
        <v/>
      </c>
      <c r="I978" s="288" t="str">
        <f>+IFERROR(VLOOKUP(F978,NVL!$B:$F,4,0),"")</f>
        <v/>
      </c>
      <c r="J978" s="289"/>
      <c r="K978" s="290"/>
      <c r="L978" s="291" t="str">
        <f>+IFERROR(VLOOKUP(K978,'THÀNH PHẨM'!$B:$F,3,0),"")</f>
        <v/>
      </c>
      <c r="M978" s="291" t="str">
        <f>+IFERROR(VLOOKUP(K978,'THÀNH PHẨM'!$B:$F,4,0),"")</f>
        <v/>
      </c>
      <c r="N978" s="291" t="str">
        <f>+IFERROR(VLOOKUP(K978,'THÀNH PHẨM'!$B:$F,5,0),"")</f>
        <v/>
      </c>
      <c r="O978" s="289"/>
      <c r="P978" s="292">
        <f t="shared" si="2"/>
        <v>0</v>
      </c>
      <c r="Q978" s="289"/>
      <c r="R978" s="289"/>
      <c r="S978" s="293">
        <f t="shared" si="62"/>
        <v>0</v>
      </c>
      <c r="T978" s="294"/>
      <c r="U978" s="295" t="str">
        <f>IFERROR(VLOOKUP(G978,'KL NÒNG ỐNG'!$B$2:$E$16,4,0)*I978*V978,"")</f>
        <v/>
      </c>
      <c r="V978" s="296"/>
      <c r="W978" s="297"/>
      <c r="X978" s="298"/>
      <c r="Y978" s="292" t="str">
        <f t="shared" si="69"/>
        <v/>
      </c>
      <c r="Z978" s="366">
        <f t="shared" si="70"/>
        <v>0</v>
      </c>
      <c r="AA978" s="299" t="str">
        <f t="shared" si="71"/>
        <v/>
      </c>
      <c r="AB978" s="300"/>
      <c r="AC978" s="301"/>
      <c r="AD978" s="302"/>
      <c r="AE978" s="303"/>
      <c r="AF978" s="304"/>
      <c r="AG978" s="304"/>
      <c r="AH978" s="304"/>
      <c r="AI978" s="304"/>
      <c r="AJ978" s="304"/>
      <c r="AK978" s="305"/>
      <c r="AL978" s="283"/>
      <c r="AM978" s="284"/>
    </row>
    <row r="979" ht="15.75" customHeight="1">
      <c r="A979" s="282">
        <f t="shared" si="1"/>
        <v>975</v>
      </c>
      <c r="B979" s="283"/>
      <c r="C979" s="284"/>
      <c r="D979" s="338"/>
      <c r="E979" s="286"/>
      <c r="F979" s="287"/>
      <c r="G979" s="288" t="str">
        <f>+IFERROR(VLOOKUP(F979,NVL!$B:$C,2,0),"")</f>
        <v/>
      </c>
      <c r="H979" s="288" t="str">
        <f>+IFERROR(VLOOKUP(F979,NVL!$B:$D,3,0),"")</f>
        <v/>
      </c>
      <c r="I979" s="288" t="str">
        <f>+IFERROR(VLOOKUP(F979,NVL!$B:$F,4,0),"")</f>
        <v/>
      </c>
      <c r="J979" s="289"/>
      <c r="K979" s="290"/>
      <c r="L979" s="291" t="str">
        <f>+IFERROR(VLOOKUP(K979,'THÀNH PHẨM'!$B:$F,3,0),"")</f>
        <v/>
      </c>
      <c r="M979" s="291" t="str">
        <f>+IFERROR(VLOOKUP(K979,'THÀNH PHẨM'!$B:$F,4,0),"")</f>
        <v/>
      </c>
      <c r="N979" s="291" t="str">
        <f>+IFERROR(VLOOKUP(K979,'THÀNH PHẨM'!$B:$F,5,0),"")</f>
        <v/>
      </c>
      <c r="O979" s="289"/>
      <c r="P979" s="292">
        <f t="shared" si="2"/>
        <v>0</v>
      </c>
      <c r="Q979" s="289"/>
      <c r="R979" s="289"/>
      <c r="S979" s="293">
        <f t="shared" si="62"/>
        <v>0</v>
      </c>
      <c r="T979" s="294"/>
      <c r="U979" s="295" t="str">
        <f>IFERROR(VLOOKUP(G979,'KL NÒNG ỐNG'!$B$2:$E$16,4,0)*I979*V979,"")</f>
        <v/>
      </c>
      <c r="V979" s="296"/>
      <c r="W979" s="297"/>
      <c r="X979" s="298"/>
      <c r="Y979" s="292" t="str">
        <f t="shared" si="69"/>
        <v/>
      </c>
      <c r="Z979" s="366">
        <f t="shared" si="70"/>
        <v>0</v>
      </c>
      <c r="AA979" s="299" t="str">
        <f t="shared" si="71"/>
        <v/>
      </c>
      <c r="AB979" s="300"/>
      <c r="AC979" s="301"/>
      <c r="AD979" s="302"/>
      <c r="AE979" s="303"/>
      <c r="AF979" s="304"/>
      <c r="AG979" s="304"/>
      <c r="AH979" s="304"/>
      <c r="AI979" s="304"/>
      <c r="AJ979" s="304"/>
      <c r="AK979" s="305"/>
      <c r="AL979" s="283"/>
      <c r="AM979" s="284"/>
    </row>
    <row r="980" ht="15.75" customHeight="1">
      <c r="A980" s="282">
        <f t="shared" si="1"/>
        <v>976</v>
      </c>
      <c r="B980" s="283"/>
      <c r="C980" s="284"/>
      <c r="D980" s="338"/>
      <c r="E980" s="286"/>
      <c r="F980" s="287"/>
      <c r="G980" s="288" t="str">
        <f>+IFERROR(VLOOKUP(F980,NVL!$B:$C,2,0),"")</f>
        <v/>
      </c>
      <c r="H980" s="288" t="str">
        <f>+IFERROR(VLOOKUP(F980,NVL!$B:$D,3,0),"")</f>
        <v/>
      </c>
      <c r="I980" s="288" t="str">
        <f>+IFERROR(VLOOKUP(F980,NVL!$B:$F,4,0),"")</f>
        <v/>
      </c>
      <c r="J980" s="289"/>
      <c r="K980" s="290"/>
      <c r="L980" s="291" t="str">
        <f>+IFERROR(VLOOKUP(K980,'THÀNH PHẨM'!$B:$F,3,0),"")</f>
        <v/>
      </c>
      <c r="M980" s="291" t="str">
        <f>+IFERROR(VLOOKUP(K980,'THÀNH PHẨM'!$B:$F,4,0),"")</f>
        <v/>
      </c>
      <c r="N980" s="291" t="str">
        <f>+IFERROR(VLOOKUP(K980,'THÀNH PHẨM'!$B:$F,5,0),"")</f>
        <v/>
      </c>
      <c r="O980" s="289"/>
      <c r="P980" s="292">
        <f t="shared" si="2"/>
        <v>0</v>
      </c>
      <c r="Q980" s="289"/>
      <c r="R980" s="289"/>
      <c r="S980" s="293">
        <f t="shared" si="62"/>
        <v>0</v>
      </c>
      <c r="T980" s="294"/>
      <c r="U980" s="295" t="str">
        <f>IFERROR(VLOOKUP(G980,'KL NÒNG ỐNG'!$B$2:$E$16,4,0)*I980*V980,"")</f>
        <v/>
      </c>
      <c r="V980" s="296"/>
      <c r="W980" s="297"/>
      <c r="X980" s="298"/>
      <c r="Y980" s="292" t="str">
        <f t="shared" si="69"/>
        <v/>
      </c>
      <c r="Z980" s="366">
        <f t="shared" si="70"/>
        <v>0</v>
      </c>
      <c r="AA980" s="299" t="str">
        <f t="shared" si="71"/>
        <v/>
      </c>
      <c r="AB980" s="300"/>
      <c r="AC980" s="301"/>
      <c r="AD980" s="302"/>
      <c r="AE980" s="303"/>
      <c r="AF980" s="304"/>
      <c r="AG980" s="304"/>
      <c r="AH980" s="304"/>
      <c r="AI980" s="304"/>
      <c r="AJ980" s="304"/>
      <c r="AK980" s="305"/>
      <c r="AL980" s="283"/>
      <c r="AM980" s="284"/>
    </row>
    <row r="981" ht="15.75" customHeight="1">
      <c r="A981" s="282">
        <f t="shared" si="1"/>
        <v>977</v>
      </c>
      <c r="B981" s="283"/>
      <c r="C981" s="284"/>
      <c r="D981" s="338"/>
      <c r="E981" s="286"/>
      <c r="F981" s="287"/>
      <c r="G981" s="288" t="str">
        <f>+IFERROR(VLOOKUP(F981,NVL!$B:$C,2,0),"")</f>
        <v/>
      </c>
      <c r="H981" s="288" t="str">
        <f>+IFERROR(VLOOKUP(F981,NVL!$B:$D,3,0),"")</f>
        <v/>
      </c>
      <c r="I981" s="288" t="str">
        <f>+IFERROR(VLOOKUP(F981,NVL!$B:$F,4,0),"")</f>
        <v/>
      </c>
      <c r="J981" s="289"/>
      <c r="K981" s="290"/>
      <c r="L981" s="291" t="str">
        <f>+IFERROR(VLOOKUP(K981,'THÀNH PHẨM'!$B:$F,3,0),"")</f>
        <v/>
      </c>
      <c r="M981" s="291" t="str">
        <f>+IFERROR(VLOOKUP(K981,'THÀNH PHẨM'!$B:$F,4,0),"")</f>
        <v/>
      </c>
      <c r="N981" s="291" t="str">
        <f>+IFERROR(VLOOKUP(K981,'THÀNH PHẨM'!$B:$F,5,0),"")</f>
        <v/>
      </c>
      <c r="O981" s="289"/>
      <c r="P981" s="292">
        <f t="shared" si="2"/>
        <v>0</v>
      </c>
      <c r="Q981" s="289"/>
      <c r="R981" s="289"/>
      <c r="S981" s="293">
        <f t="shared" si="62"/>
        <v>0</v>
      </c>
      <c r="T981" s="294"/>
      <c r="U981" s="295" t="str">
        <f>IFERROR(VLOOKUP(G981,'KL NÒNG ỐNG'!$B$2:$E$16,4,0)*I981*V981,"")</f>
        <v/>
      </c>
      <c r="V981" s="296"/>
      <c r="W981" s="297"/>
      <c r="X981" s="298"/>
      <c r="Y981" s="292" t="str">
        <f t="shared" si="69"/>
        <v/>
      </c>
      <c r="Z981" s="366">
        <f t="shared" si="70"/>
        <v>0</v>
      </c>
      <c r="AA981" s="299" t="str">
        <f t="shared" si="71"/>
        <v/>
      </c>
      <c r="AB981" s="300"/>
      <c r="AC981" s="301"/>
      <c r="AD981" s="302"/>
      <c r="AE981" s="303"/>
      <c r="AF981" s="304"/>
      <c r="AG981" s="304"/>
      <c r="AH981" s="304"/>
      <c r="AI981" s="304"/>
      <c r="AJ981" s="304"/>
      <c r="AK981" s="305"/>
      <c r="AL981" s="283"/>
      <c r="AM981" s="284"/>
    </row>
    <row r="982" ht="15.75" customHeight="1">
      <c r="A982" s="282">
        <f t="shared" si="1"/>
        <v>978</v>
      </c>
      <c r="B982" s="283"/>
      <c r="C982" s="284"/>
      <c r="D982" s="338"/>
      <c r="E982" s="286"/>
      <c r="F982" s="287"/>
      <c r="G982" s="288" t="str">
        <f>+IFERROR(VLOOKUP(F982,NVL!$B:$C,2,0),"")</f>
        <v/>
      </c>
      <c r="H982" s="288" t="str">
        <f>+IFERROR(VLOOKUP(F982,NVL!$B:$D,3,0),"")</f>
        <v/>
      </c>
      <c r="I982" s="288" t="str">
        <f>+IFERROR(VLOOKUP(F982,NVL!$B:$F,4,0),"")</f>
        <v/>
      </c>
      <c r="J982" s="289"/>
      <c r="K982" s="290"/>
      <c r="L982" s="291" t="str">
        <f>+IFERROR(VLOOKUP(K982,'THÀNH PHẨM'!$B:$F,3,0),"")</f>
        <v/>
      </c>
      <c r="M982" s="291" t="str">
        <f>+IFERROR(VLOOKUP(K982,'THÀNH PHẨM'!$B:$F,4,0),"")</f>
        <v/>
      </c>
      <c r="N982" s="291" t="str">
        <f>+IFERROR(VLOOKUP(K982,'THÀNH PHẨM'!$B:$F,5,0),"")</f>
        <v/>
      </c>
      <c r="O982" s="289"/>
      <c r="P982" s="292">
        <f t="shared" si="2"/>
        <v>0</v>
      </c>
      <c r="Q982" s="289"/>
      <c r="R982" s="289"/>
      <c r="S982" s="293">
        <f t="shared" si="62"/>
        <v>0</v>
      </c>
      <c r="T982" s="294"/>
      <c r="U982" s="295" t="str">
        <f>IFERROR(VLOOKUP(G982,'KL NÒNG ỐNG'!$B$2:$E$16,4,0)*I982*V982,"")</f>
        <v/>
      </c>
      <c r="V982" s="296"/>
      <c r="W982" s="297"/>
      <c r="X982" s="298"/>
      <c r="Y982" s="292" t="str">
        <f t="shared" si="69"/>
        <v/>
      </c>
      <c r="Z982" s="366">
        <f t="shared" si="70"/>
        <v>0</v>
      </c>
      <c r="AA982" s="299" t="str">
        <f t="shared" si="71"/>
        <v/>
      </c>
      <c r="AB982" s="300"/>
      <c r="AC982" s="301"/>
      <c r="AD982" s="302"/>
      <c r="AE982" s="303"/>
      <c r="AF982" s="304"/>
      <c r="AG982" s="304"/>
      <c r="AH982" s="304"/>
      <c r="AI982" s="304"/>
      <c r="AJ982" s="304"/>
      <c r="AK982" s="305"/>
      <c r="AL982" s="283"/>
      <c r="AM982" s="446"/>
    </row>
    <row r="983" ht="15.75" customHeight="1">
      <c r="A983" s="282">
        <f t="shared" si="1"/>
        <v>979</v>
      </c>
      <c r="B983" s="283"/>
      <c r="C983" s="284"/>
      <c r="D983" s="338"/>
      <c r="E983" s="286"/>
      <c r="F983" s="287"/>
      <c r="G983" s="288" t="str">
        <f>+IFERROR(VLOOKUP(F983,NVL!$B:$C,2,0),"")</f>
        <v/>
      </c>
      <c r="H983" s="288" t="str">
        <f>+IFERROR(VLOOKUP(F983,NVL!$B:$D,3,0),"")</f>
        <v/>
      </c>
      <c r="I983" s="288" t="str">
        <f>+IFERROR(VLOOKUP(F983,NVL!$B:$F,4,0),"")</f>
        <v/>
      </c>
      <c r="J983" s="289"/>
      <c r="K983" s="290"/>
      <c r="L983" s="291" t="str">
        <f>+IFERROR(VLOOKUP(K983,'THÀNH PHẨM'!$B:$F,3,0),"")</f>
        <v/>
      </c>
      <c r="M983" s="291" t="str">
        <f>+IFERROR(VLOOKUP(K983,'THÀNH PHẨM'!$B:$F,4,0),"")</f>
        <v/>
      </c>
      <c r="N983" s="291" t="str">
        <f>+IFERROR(VLOOKUP(K983,'THÀNH PHẨM'!$B:$F,5,0),"")</f>
        <v/>
      </c>
      <c r="O983" s="289"/>
      <c r="P983" s="292">
        <f t="shared" si="2"/>
        <v>0</v>
      </c>
      <c r="Q983" s="289"/>
      <c r="R983" s="289"/>
      <c r="S983" s="293">
        <f t="shared" si="62"/>
        <v>0</v>
      </c>
      <c r="T983" s="294"/>
      <c r="U983" s="295" t="str">
        <f>IFERROR(VLOOKUP(G983,'KL NÒNG ỐNG'!$B$2:$E$16,4,0)*I983*V983,"")</f>
        <v/>
      </c>
      <c r="V983" s="296"/>
      <c r="W983" s="297"/>
      <c r="X983" s="298"/>
      <c r="Y983" s="292" t="str">
        <f t="shared" si="69"/>
        <v/>
      </c>
      <c r="Z983" s="366">
        <f t="shared" si="70"/>
        <v>0</v>
      </c>
      <c r="AA983" s="299" t="str">
        <f t="shared" si="71"/>
        <v/>
      </c>
      <c r="AB983" s="300"/>
      <c r="AC983" s="301"/>
      <c r="AD983" s="302"/>
      <c r="AE983" s="303"/>
      <c r="AF983" s="304"/>
      <c r="AG983" s="304"/>
      <c r="AH983" s="304"/>
      <c r="AI983" s="304"/>
      <c r="AJ983" s="304"/>
      <c r="AK983" s="305"/>
      <c r="AL983" s="283"/>
      <c r="AM983" s="284"/>
    </row>
    <row r="984" ht="15.75" customHeight="1">
      <c r="A984" s="282">
        <f t="shared" si="1"/>
        <v>980</v>
      </c>
      <c r="B984" s="283"/>
      <c r="C984" s="284"/>
      <c r="D984" s="338"/>
      <c r="E984" s="286"/>
      <c r="F984" s="287"/>
      <c r="G984" s="288" t="str">
        <f>+IFERROR(VLOOKUP(F984,NVL!$B:$C,2,0),"")</f>
        <v/>
      </c>
      <c r="H984" s="288" t="str">
        <f>+IFERROR(VLOOKUP(F984,NVL!$B:$D,3,0),"")</f>
        <v/>
      </c>
      <c r="I984" s="288" t="str">
        <f>+IFERROR(VLOOKUP(F984,NVL!$B:$F,4,0),"")</f>
        <v/>
      </c>
      <c r="J984" s="289"/>
      <c r="K984" s="290"/>
      <c r="L984" s="291" t="str">
        <f>+IFERROR(VLOOKUP(K984,'THÀNH PHẨM'!$B:$F,3,0),"")</f>
        <v/>
      </c>
      <c r="M984" s="291" t="str">
        <f>+IFERROR(VLOOKUP(K984,'THÀNH PHẨM'!$B:$F,4,0),"")</f>
        <v/>
      </c>
      <c r="N984" s="291" t="str">
        <f>+IFERROR(VLOOKUP(K984,'THÀNH PHẨM'!$B:$F,5,0),"")</f>
        <v/>
      </c>
      <c r="O984" s="289"/>
      <c r="P984" s="292">
        <f t="shared" si="2"/>
        <v>0</v>
      </c>
      <c r="Q984" s="289"/>
      <c r="R984" s="289"/>
      <c r="S984" s="293">
        <f t="shared" si="62"/>
        <v>0</v>
      </c>
      <c r="T984" s="294"/>
      <c r="U984" s="295" t="str">
        <f>IFERROR(VLOOKUP(G984,'KL NÒNG ỐNG'!$B$2:$E$16,4,0)*I984*V984,"")</f>
        <v/>
      </c>
      <c r="V984" s="296"/>
      <c r="W984" s="297"/>
      <c r="X984" s="298"/>
      <c r="Y984" s="292" t="str">
        <f t="shared" si="69"/>
        <v/>
      </c>
      <c r="Z984" s="366">
        <f t="shared" si="70"/>
        <v>0</v>
      </c>
      <c r="AA984" s="299" t="str">
        <f t="shared" si="71"/>
        <v/>
      </c>
      <c r="AB984" s="300"/>
      <c r="AC984" s="301"/>
      <c r="AD984" s="302"/>
      <c r="AE984" s="303"/>
      <c r="AF984" s="304"/>
      <c r="AG984" s="304"/>
      <c r="AH984" s="304"/>
      <c r="AI984" s="304"/>
      <c r="AJ984" s="304"/>
      <c r="AK984" s="305"/>
      <c r="AL984" s="283"/>
      <c r="AM984" s="284"/>
    </row>
    <row r="985" ht="15.75" customHeight="1">
      <c r="A985" s="282">
        <f t="shared" si="1"/>
        <v>981</v>
      </c>
      <c r="B985" s="283"/>
      <c r="C985" s="335"/>
      <c r="D985" s="338"/>
      <c r="E985" s="286"/>
      <c r="F985" s="287"/>
      <c r="G985" s="288" t="str">
        <f>+IFERROR(VLOOKUP(F985,NVL!$B:$C,2,0),"")</f>
        <v/>
      </c>
      <c r="H985" s="288" t="str">
        <f>+IFERROR(VLOOKUP(F985,NVL!$B:$D,3,0),"")</f>
        <v/>
      </c>
      <c r="I985" s="288" t="str">
        <f>+IFERROR(VLOOKUP(F985,NVL!$B:$F,4,0),"")</f>
        <v/>
      </c>
      <c r="J985" s="289"/>
      <c r="K985" s="290"/>
      <c r="L985" s="291" t="str">
        <f>+IFERROR(VLOOKUP(K985,'THÀNH PHẨM'!$B:$F,3,0),"")</f>
        <v/>
      </c>
      <c r="M985" s="291" t="str">
        <f>+IFERROR(VLOOKUP(K985,'THÀNH PHẨM'!$B:$F,4,0),"")</f>
        <v/>
      </c>
      <c r="N985" s="291" t="str">
        <f>+IFERROR(VLOOKUP(K985,'THÀNH PHẨM'!$B:$F,5,0),"")</f>
        <v/>
      </c>
      <c r="O985" s="289"/>
      <c r="P985" s="292">
        <f t="shared" si="2"/>
        <v>0</v>
      </c>
      <c r="Q985" s="289"/>
      <c r="R985" s="289"/>
      <c r="S985" s="293">
        <f t="shared" si="62"/>
        <v>0</v>
      </c>
      <c r="T985" s="294"/>
      <c r="U985" s="295" t="str">
        <f>IFERROR(VLOOKUP(G985,'KL NÒNG ỐNG'!$B$2:$E$16,4,0)*I985*V985,"")</f>
        <v/>
      </c>
      <c r="V985" s="296"/>
      <c r="W985" s="297"/>
      <c r="X985" s="298"/>
      <c r="Y985" s="292" t="str">
        <f t="shared" si="69"/>
        <v/>
      </c>
      <c r="Z985" s="366">
        <f t="shared" si="70"/>
        <v>0</v>
      </c>
      <c r="AA985" s="299" t="str">
        <f t="shared" si="71"/>
        <v/>
      </c>
      <c r="AB985" s="300"/>
      <c r="AC985" s="301"/>
      <c r="AD985" s="302"/>
      <c r="AE985" s="303"/>
      <c r="AF985" s="304"/>
      <c r="AG985" s="304"/>
      <c r="AH985" s="304"/>
      <c r="AI985" s="304"/>
      <c r="AJ985" s="304"/>
      <c r="AK985" s="305"/>
      <c r="AL985" s="283"/>
      <c r="AM985" s="284"/>
    </row>
    <row r="986" ht="15.75" customHeight="1">
      <c r="A986" s="282">
        <f t="shared" si="1"/>
        <v>982</v>
      </c>
      <c r="B986" s="283"/>
      <c r="C986" s="335"/>
      <c r="D986" s="338"/>
      <c r="E986" s="286"/>
      <c r="F986" s="287"/>
      <c r="G986" s="288" t="str">
        <f>+IFERROR(VLOOKUP(F986,NVL!$B:$C,2,0),"")</f>
        <v/>
      </c>
      <c r="H986" s="288" t="str">
        <f>+IFERROR(VLOOKUP(F986,NVL!$B:$D,3,0),"")</f>
        <v/>
      </c>
      <c r="I986" s="288" t="str">
        <f>+IFERROR(VLOOKUP(F986,NVL!$B:$F,4,0),"")</f>
        <v/>
      </c>
      <c r="J986" s="289"/>
      <c r="K986" s="290"/>
      <c r="L986" s="291" t="str">
        <f>+IFERROR(VLOOKUP(K986,'THÀNH PHẨM'!$B:$F,3,0),"")</f>
        <v/>
      </c>
      <c r="M986" s="291" t="str">
        <f>+IFERROR(VLOOKUP(K986,'THÀNH PHẨM'!$B:$F,4,0),"")</f>
        <v/>
      </c>
      <c r="N986" s="291" t="str">
        <f>+IFERROR(VLOOKUP(K986,'THÀNH PHẨM'!$B:$F,5,0),"")</f>
        <v/>
      </c>
      <c r="O986" s="289"/>
      <c r="P986" s="292">
        <f t="shared" si="2"/>
        <v>0</v>
      </c>
      <c r="Q986" s="289"/>
      <c r="R986" s="289"/>
      <c r="S986" s="293">
        <f t="shared" si="62"/>
        <v>0</v>
      </c>
      <c r="T986" s="294"/>
      <c r="U986" s="295" t="str">
        <f>IFERROR(VLOOKUP(G986,'KL NÒNG ỐNG'!$B$2:$E$16,4,0)*I986*V986,"")</f>
        <v/>
      </c>
      <c r="V986" s="296"/>
      <c r="W986" s="297"/>
      <c r="X986" s="298"/>
      <c r="Y986" s="292" t="str">
        <f t="shared" si="69"/>
        <v/>
      </c>
      <c r="Z986" s="366">
        <f t="shared" si="70"/>
        <v>0</v>
      </c>
      <c r="AA986" s="299" t="str">
        <f t="shared" si="71"/>
        <v/>
      </c>
      <c r="AB986" s="300"/>
      <c r="AC986" s="301"/>
      <c r="AD986" s="302"/>
      <c r="AE986" s="303"/>
      <c r="AF986" s="304"/>
      <c r="AG986" s="304"/>
      <c r="AH986" s="304"/>
      <c r="AI986" s="304"/>
      <c r="AJ986" s="304"/>
      <c r="AK986" s="305"/>
      <c r="AL986" s="283"/>
      <c r="AM986" s="284"/>
    </row>
    <row r="987" ht="15.75" customHeight="1">
      <c r="A987" s="282">
        <f t="shared" si="1"/>
        <v>983</v>
      </c>
      <c r="B987" s="283"/>
      <c r="C987" s="335"/>
      <c r="D987" s="338"/>
      <c r="E987" s="286"/>
      <c r="F987" s="287"/>
      <c r="G987" s="288" t="str">
        <f>+IFERROR(VLOOKUP(F987,NVL!$B:$C,2,0),"")</f>
        <v/>
      </c>
      <c r="H987" s="288" t="str">
        <f>+IFERROR(VLOOKUP(F987,NVL!$B:$D,3,0),"")</f>
        <v/>
      </c>
      <c r="I987" s="288" t="str">
        <f>+IFERROR(VLOOKUP(F987,NVL!$B:$F,4,0),"")</f>
        <v/>
      </c>
      <c r="J987" s="289"/>
      <c r="K987" s="290"/>
      <c r="L987" s="291" t="str">
        <f>+IFERROR(VLOOKUP(K987,'THÀNH PHẨM'!$B:$F,3,0),"")</f>
        <v/>
      </c>
      <c r="M987" s="291" t="str">
        <f>+IFERROR(VLOOKUP(K987,'THÀNH PHẨM'!$B:$F,4,0),"")</f>
        <v/>
      </c>
      <c r="N987" s="291" t="str">
        <f>+IFERROR(VLOOKUP(K987,'THÀNH PHẨM'!$B:$F,5,0),"")</f>
        <v/>
      </c>
      <c r="O987" s="289"/>
      <c r="P987" s="292">
        <f t="shared" si="2"/>
        <v>0</v>
      </c>
      <c r="Q987" s="289"/>
      <c r="R987" s="289"/>
      <c r="S987" s="293">
        <f t="shared" si="62"/>
        <v>0</v>
      </c>
      <c r="T987" s="294"/>
      <c r="U987" s="295" t="str">
        <f>IFERROR(VLOOKUP(G987,'KL NÒNG ỐNG'!$B$2:$E$16,4,0)*I987*V987,"")</f>
        <v/>
      </c>
      <c r="V987" s="296"/>
      <c r="W987" s="297"/>
      <c r="X987" s="298"/>
      <c r="Y987" s="292" t="str">
        <f t="shared" si="69"/>
        <v/>
      </c>
      <c r="Z987" s="366">
        <f t="shared" si="70"/>
        <v>0</v>
      </c>
      <c r="AA987" s="299" t="str">
        <f t="shared" si="71"/>
        <v/>
      </c>
      <c r="AB987" s="300"/>
      <c r="AC987" s="301"/>
      <c r="AD987" s="302"/>
      <c r="AE987" s="303"/>
      <c r="AF987" s="304"/>
      <c r="AG987" s="304"/>
      <c r="AH987" s="304"/>
      <c r="AI987" s="304"/>
      <c r="AJ987" s="304"/>
      <c r="AK987" s="305"/>
      <c r="AL987" s="283"/>
      <c r="AM987" s="284"/>
    </row>
    <row r="988" ht="15.75" customHeight="1">
      <c r="A988" s="282">
        <f t="shared" si="1"/>
        <v>984</v>
      </c>
      <c r="B988" s="283"/>
      <c r="C988" s="335"/>
      <c r="D988" s="338"/>
      <c r="E988" s="286"/>
      <c r="F988" s="287"/>
      <c r="G988" s="288" t="str">
        <f>+IFERROR(VLOOKUP(F988,NVL!$B:$C,2,0),"")</f>
        <v/>
      </c>
      <c r="H988" s="288" t="str">
        <f>+IFERROR(VLOOKUP(F988,NVL!$B:$D,3,0),"")</f>
        <v/>
      </c>
      <c r="I988" s="288" t="str">
        <f>+IFERROR(VLOOKUP(F988,NVL!$B:$F,4,0),"")</f>
        <v/>
      </c>
      <c r="J988" s="289"/>
      <c r="K988" s="290"/>
      <c r="L988" s="291" t="str">
        <f>+IFERROR(VLOOKUP(K988,'THÀNH PHẨM'!$B:$F,3,0),"")</f>
        <v/>
      </c>
      <c r="M988" s="291" t="str">
        <f>+IFERROR(VLOOKUP(K988,'THÀNH PHẨM'!$B:$F,4,0),"")</f>
        <v/>
      </c>
      <c r="N988" s="291" t="str">
        <f>+IFERROR(VLOOKUP(K988,'THÀNH PHẨM'!$B:$F,5,0),"")</f>
        <v/>
      </c>
      <c r="O988" s="289"/>
      <c r="P988" s="292">
        <f t="shared" si="2"/>
        <v>0</v>
      </c>
      <c r="Q988" s="289"/>
      <c r="R988" s="289"/>
      <c r="S988" s="293">
        <f t="shared" si="62"/>
        <v>0</v>
      </c>
      <c r="T988" s="294"/>
      <c r="U988" s="295"/>
      <c r="V988" s="296"/>
      <c r="W988" s="297"/>
      <c r="X988" s="298"/>
      <c r="Y988" s="292" t="str">
        <f t="shared" si="69"/>
        <v/>
      </c>
      <c r="Z988" s="366">
        <f t="shared" si="70"/>
        <v>0</v>
      </c>
      <c r="AA988" s="299" t="str">
        <f t="shared" si="71"/>
        <v/>
      </c>
      <c r="AB988" s="300"/>
      <c r="AC988" s="301"/>
      <c r="AD988" s="302"/>
      <c r="AE988" s="303"/>
      <c r="AF988" s="304"/>
      <c r="AG988" s="304"/>
      <c r="AH988" s="304"/>
      <c r="AI988" s="304"/>
      <c r="AJ988" s="304"/>
      <c r="AK988" s="305"/>
      <c r="AL988" s="283"/>
      <c r="AM988" s="284"/>
    </row>
    <row r="989" ht="15.75" customHeight="1">
      <c r="A989" s="282">
        <f t="shared" si="1"/>
        <v>985</v>
      </c>
      <c r="B989" s="283"/>
      <c r="C989" s="335"/>
      <c r="D989" s="338"/>
      <c r="E989" s="286"/>
      <c r="F989" s="287"/>
      <c r="G989" s="288" t="str">
        <f>+IFERROR(VLOOKUP(F989,NVL!$B:$C,2,0),"")</f>
        <v/>
      </c>
      <c r="H989" s="288" t="str">
        <f>+IFERROR(VLOOKUP(F989,NVL!$B:$D,3,0),"")</f>
        <v/>
      </c>
      <c r="I989" s="288" t="str">
        <f>+IFERROR(VLOOKUP(F989,NVL!$B:$F,4,0),"")</f>
        <v/>
      </c>
      <c r="J989" s="289"/>
      <c r="K989" s="290"/>
      <c r="L989" s="291" t="str">
        <f>+IFERROR(VLOOKUP(K989,'THÀNH PHẨM'!$B:$F,3,0),"")</f>
        <v/>
      </c>
      <c r="M989" s="291" t="str">
        <f>+IFERROR(VLOOKUP(K989,'THÀNH PHẨM'!$B:$F,4,0),"")</f>
        <v/>
      </c>
      <c r="N989" s="291" t="str">
        <f>+IFERROR(VLOOKUP(K989,'THÀNH PHẨM'!$B:$F,5,0),"")</f>
        <v/>
      </c>
      <c r="O989" s="289"/>
      <c r="P989" s="292">
        <f t="shared" si="2"/>
        <v>0</v>
      </c>
      <c r="Q989" s="289"/>
      <c r="R989" s="289"/>
      <c r="S989" s="293">
        <f t="shared" si="62"/>
        <v>0</v>
      </c>
      <c r="T989" s="294"/>
      <c r="U989" s="295" t="str">
        <f>IFERROR(VLOOKUP(G989,'KL NÒNG ỐNG'!$B$2:$E$16,4,0)*I989*V989,"")</f>
        <v/>
      </c>
      <c r="V989" s="296"/>
      <c r="W989" s="297"/>
      <c r="X989" s="298"/>
      <c r="Y989" s="292" t="str">
        <f t="shared" si="69"/>
        <v/>
      </c>
      <c r="Z989" s="366">
        <f t="shared" si="70"/>
        <v>0</v>
      </c>
      <c r="AA989" s="299" t="str">
        <f t="shared" si="71"/>
        <v/>
      </c>
      <c r="AB989" s="300"/>
      <c r="AC989" s="301"/>
      <c r="AD989" s="302"/>
      <c r="AE989" s="303"/>
      <c r="AF989" s="304"/>
      <c r="AG989" s="304"/>
      <c r="AH989" s="304"/>
      <c r="AI989" s="304"/>
      <c r="AJ989" s="304"/>
      <c r="AK989" s="305"/>
      <c r="AL989" s="283"/>
      <c r="AM989" s="284"/>
    </row>
    <row r="990" ht="15.75" customHeight="1">
      <c r="A990" s="282">
        <f t="shared" si="1"/>
        <v>986</v>
      </c>
      <c r="B990" s="283"/>
      <c r="C990" s="335"/>
      <c r="D990" s="338"/>
      <c r="E990" s="286"/>
      <c r="F990" s="287"/>
      <c r="G990" s="288" t="str">
        <f>+IFERROR(VLOOKUP(F990,NVL!$B:$C,2,0),"")</f>
        <v/>
      </c>
      <c r="H990" s="288" t="str">
        <f>+IFERROR(VLOOKUP(F990,NVL!$B:$D,3,0),"")</f>
        <v/>
      </c>
      <c r="I990" s="288" t="str">
        <f>+IFERROR(VLOOKUP(F990,NVL!$B:$F,4,0),"")</f>
        <v/>
      </c>
      <c r="J990" s="289"/>
      <c r="K990" s="290"/>
      <c r="L990" s="291" t="str">
        <f>+IFERROR(VLOOKUP(K990,'THÀNH PHẨM'!$B:$F,3,0),"")</f>
        <v/>
      </c>
      <c r="M990" s="291" t="str">
        <f>+IFERROR(VLOOKUP(K990,'THÀNH PHẨM'!$B:$F,4,0),"")</f>
        <v/>
      </c>
      <c r="N990" s="291" t="str">
        <f>+IFERROR(VLOOKUP(K990,'THÀNH PHẨM'!$B:$F,5,0),"")</f>
        <v/>
      </c>
      <c r="O990" s="289"/>
      <c r="P990" s="292">
        <f t="shared" si="2"/>
        <v>0</v>
      </c>
      <c r="Q990" s="289"/>
      <c r="R990" s="289"/>
      <c r="S990" s="293">
        <f t="shared" si="62"/>
        <v>0</v>
      </c>
      <c r="T990" s="294"/>
      <c r="U990" s="295" t="str">
        <f>IFERROR(VLOOKUP(G990,'KL NÒNG ỐNG'!$B$2:$E$16,4,0)*I990*V990,"")</f>
        <v/>
      </c>
      <c r="V990" s="296"/>
      <c r="W990" s="297"/>
      <c r="X990" s="298"/>
      <c r="Y990" s="292" t="str">
        <f t="shared" si="69"/>
        <v/>
      </c>
      <c r="Z990" s="366">
        <f t="shared" si="70"/>
        <v>0</v>
      </c>
      <c r="AA990" s="299" t="str">
        <f t="shared" si="71"/>
        <v/>
      </c>
      <c r="AB990" s="300"/>
      <c r="AC990" s="301"/>
      <c r="AD990" s="302"/>
      <c r="AE990" s="303"/>
      <c r="AF990" s="304"/>
      <c r="AG990" s="304"/>
      <c r="AH990" s="304"/>
      <c r="AI990" s="304"/>
      <c r="AJ990" s="304"/>
      <c r="AK990" s="305"/>
      <c r="AL990" s="283"/>
      <c r="AM990" s="284"/>
    </row>
    <row r="991" ht="15.75" customHeight="1">
      <c r="A991" s="282">
        <f t="shared" si="1"/>
        <v>987</v>
      </c>
      <c r="B991" s="283"/>
      <c r="C991" s="335"/>
      <c r="D991" s="338"/>
      <c r="E991" s="286"/>
      <c r="F991" s="287"/>
      <c r="G991" s="288" t="str">
        <f>+IFERROR(VLOOKUP(F991,NVL!$B:$C,2,0),"")</f>
        <v/>
      </c>
      <c r="H991" s="288" t="str">
        <f>+IFERROR(VLOOKUP(F991,NVL!$B:$D,3,0),"")</f>
        <v/>
      </c>
      <c r="I991" s="288" t="str">
        <f>+IFERROR(VLOOKUP(F991,NVL!$B:$F,4,0),"")</f>
        <v/>
      </c>
      <c r="J991" s="289"/>
      <c r="K991" s="290"/>
      <c r="L991" s="291" t="str">
        <f>+IFERROR(VLOOKUP(K991,'THÀNH PHẨM'!$B:$F,3,0),"")</f>
        <v/>
      </c>
      <c r="M991" s="291" t="str">
        <f>+IFERROR(VLOOKUP(K991,'THÀNH PHẨM'!$B:$F,4,0),"")</f>
        <v/>
      </c>
      <c r="N991" s="291" t="str">
        <f>+IFERROR(VLOOKUP(K991,'THÀNH PHẨM'!$B:$F,5,0),"")</f>
        <v/>
      </c>
      <c r="O991" s="289"/>
      <c r="P991" s="292">
        <f t="shared" si="2"/>
        <v>0</v>
      </c>
      <c r="Q991" s="289"/>
      <c r="R991" s="289"/>
      <c r="S991" s="293">
        <f t="shared" si="62"/>
        <v>0</v>
      </c>
      <c r="T991" s="294"/>
      <c r="U991" s="295" t="str">
        <f>IFERROR(VLOOKUP(G991,'KL NÒNG ỐNG'!$B$2:$E$16,4,0)*I991*V991,"")</f>
        <v/>
      </c>
      <c r="V991" s="296"/>
      <c r="W991" s="297"/>
      <c r="X991" s="298"/>
      <c r="Y991" s="292" t="str">
        <f t="shared" si="69"/>
        <v/>
      </c>
      <c r="Z991" s="366">
        <f t="shared" si="70"/>
        <v>0</v>
      </c>
      <c r="AA991" s="299" t="str">
        <f t="shared" si="71"/>
        <v/>
      </c>
      <c r="AB991" s="300"/>
      <c r="AC991" s="301"/>
      <c r="AD991" s="302"/>
      <c r="AE991" s="303"/>
      <c r="AF991" s="304"/>
      <c r="AG991" s="304"/>
      <c r="AH991" s="304"/>
      <c r="AI991" s="304"/>
      <c r="AJ991" s="304"/>
      <c r="AK991" s="305"/>
      <c r="AL991" s="283"/>
      <c r="AM991" s="284"/>
    </row>
    <row r="992" ht="15.75" customHeight="1">
      <c r="A992" s="282">
        <f t="shared" si="1"/>
        <v>988</v>
      </c>
      <c r="B992" s="283"/>
      <c r="C992" s="284"/>
      <c r="D992" s="338"/>
      <c r="E992" s="286"/>
      <c r="F992" s="287"/>
      <c r="G992" s="288" t="str">
        <f>+IFERROR(VLOOKUP(F992,NVL!$B:$C,2,0),"")</f>
        <v/>
      </c>
      <c r="H992" s="288" t="str">
        <f>+IFERROR(VLOOKUP(F992,NVL!$B:$D,3,0),"")</f>
        <v/>
      </c>
      <c r="I992" s="288" t="str">
        <f>+IFERROR(VLOOKUP(F992,NVL!$B:$F,4,0),"")</f>
        <v/>
      </c>
      <c r="J992" s="289"/>
      <c r="K992" s="290"/>
      <c r="L992" s="291" t="str">
        <f>+IFERROR(VLOOKUP(K992,'THÀNH PHẨM'!$B:$F,3,0),"")</f>
        <v/>
      </c>
      <c r="M992" s="291" t="str">
        <f>+IFERROR(VLOOKUP(K992,'THÀNH PHẨM'!$B:$F,4,0),"")</f>
        <v/>
      </c>
      <c r="N992" s="291" t="str">
        <f>+IFERROR(VLOOKUP(K992,'THÀNH PHẨM'!$B:$F,5,0),"")</f>
        <v/>
      </c>
      <c r="O992" s="289"/>
      <c r="P992" s="292">
        <f t="shared" si="2"/>
        <v>0</v>
      </c>
      <c r="Q992" s="289"/>
      <c r="R992" s="289"/>
      <c r="S992" s="293">
        <f t="shared" si="62"/>
        <v>0</v>
      </c>
      <c r="T992" s="294"/>
      <c r="U992" s="295" t="str">
        <f>IFERROR(VLOOKUP(G992,'KL NÒNG ỐNG'!$B$2:$E$16,4,0)*I992*V992,"")</f>
        <v/>
      </c>
      <c r="V992" s="296"/>
      <c r="W992" s="297"/>
      <c r="X992" s="298"/>
      <c r="Y992" s="292" t="str">
        <f t="shared" si="69"/>
        <v/>
      </c>
      <c r="Z992" s="366">
        <f t="shared" si="70"/>
        <v>0</v>
      </c>
      <c r="AA992" s="299" t="str">
        <f t="shared" si="71"/>
        <v/>
      </c>
      <c r="AB992" s="300"/>
      <c r="AC992" s="301"/>
      <c r="AD992" s="302"/>
      <c r="AE992" s="303"/>
      <c r="AF992" s="304"/>
      <c r="AG992" s="304"/>
      <c r="AH992" s="304"/>
      <c r="AI992" s="304"/>
      <c r="AJ992" s="304"/>
      <c r="AK992" s="305"/>
      <c r="AL992" s="283"/>
      <c r="AM992" s="284"/>
    </row>
    <row r="993" ht="15.75" customHeight="1">
      <c r="A993" s="282">
        <f t="shared" si="1"/>
        <v>989</v>
      </c>
      <c r="B993" s="283"/>
      <c r="C993" s="335"/>
      <c r="D993" s="338"/>
      <c r="E993" s="286"/>
      <c r="F993" s="287"/>
      <c r="G993" s="288" t="str">
        <f>+IFERROR(VLOOKUP(F993,NVL!$B:$C,2,0),"")</f>
        <v/>
      </c>
      <c r="H993" s="288" t="str">
        <f>+IFERROR(VLOOKUP(F993,NVL!$B:$D,3,0),"")</f>
        <v/>
      </c>
      <c r="I993" s="288" t="str">
        <f>+IFERROR(VLOOKUP(F993,NVL!$B:$F,4,0),"")</f>
        <v/>
      </c>
      <c r="J993" s="289"/>
      <c r="K993" s="290"/>
      <c r="L993" s="291" t="str">
        <f>+IFERROR(VLOOKUP(K993,'THÀNH PHẨM'!$B:$F,3,0),"")</f>
        <v/>
      </c>
      <c r="M993" s="291" t="str">
        <f>+IFERROR(VLOOKUP(K993,'THÀNH PHẨM'!$B:$F,4,0),"")</f>
        <v/>
      </c>
      <c r="N993" s="291" t="str">
        <f>+IFERROR(VLOOKUP(K993,'THÀNH PHẨM'!$B:$F,5,0),"")</f>
        <v/>
      </c>
      <c r="O993" s="289"/>
      <c r="P993" s="292">
        <f t="shared" si="2"/>
        <v>0</v>
      </c>
      <c r="Q993" s="289"/>
      <c r="R993" s="289"/>
      <c r="S993" s="293">
        <f t="shared" si="62"/>
        <v>0</v>
      </c>
      <c r="T993" s="294"/>
      <c r="U993" s="295" t="str">
        <f>IFERROR(VLOOKUP(G993,'KL NÒNG ỐNG'!$B$2:$E$16,4,0)*I993*V993,"")</f>
        <v/>
      </c>
      <c r="V993" s="296"/>
      <c r="W993" s="297"/>
      <c r="X993" s="298"/>
      <c r="Y993" s="292" t="str">
        <f t="shared" si="69"/>
        <v/>
      </c>
      <c r="Z993" s="366">
        <f t="shared" si="70"/>
        <v>0</v>
      </c>
      <c r="AA993" s="299" t="str">
        <f t="shared" si="71"/>
        <v/>
      </c>
      <c r="AB993" s="300"/>
      <c r="AC993" s="301"/>
      <c r="AD993" s="302"/>
      <c r="AE993" s="303"/>
      <c r="AF993" s="304"/>
      <c r="AG993" s="304"/>
      <c r="AH993" s="304"/>
      <c r="AI993" s="304"/>
      <c r="AJ993" s="304"/>
      <c r="AK993" s="305"/>
      <c r="AL993" s="283"/>
      <c r="AM993" s="446"/>
    </row>
    <row r="994" ht="15.75" customHeight="1">
      <c r="A994" s="282">
        <f t="shared" si="1"/>
        <v>990</v>
      </c>
      <c r="B994" s="283"/>
      <c r="C994" s="284"/>
      <c r="D994" s="338"/>
      <c r="E994" s="286"/>
      <c r="F994" s="287"/>
      <c r="G994" s="288" t="str">
        <f>+IFERROR(VLOOKUP(F994,NVL!$B:$C,2,0),"")</f>
        <v/>
      </c>
      <c r="H994" s="288" t="str">
        <f>+IFERROR(VLOOKUP(F994,NVL!$B:$D,3,0),"")</f>
        <v/>
      </c>
      <c r="I994" s="288" t="str">
        <f>+IFERROR(VLOOKUP(F994,NVL!$B:$F,4,0),"")</f>
        <v/>
      </c>
      <c r="J994" s="289"/>
      <c r="K994" s="290"/>
      <c r="L994" s="291" t="str">
        <f>+IFERROR(VLOOKUP(K994,'THÀNH PHẨM'!$B:$F,3,0),"")</f>
        <v/>
      </c>
      <c r="M994" s="291" t="str">
        <f>+IFERROR(VLOOKUP(K994,'THÀNH PHẨM'!$B:$F,4,0),"")</f>
        <v/>
      </c>
      <c r="N994" s="291" t="str">
        <f>+IFERROR(VLOOKUP(K994,'THÀNH PHẨM'!$B:$F,5,0),"")</f>
        <v/>
      </c>
      <c r="O994" s="289"/>
      <c r="P994" s="292">
        <f t="shared" si="2"/>
        <v>0</v>
      </c>
      <c r="Q994" s="289"/>
      <c r="R994" s="289"/>
      <c r="S994" s="293">
        <f t="shared" si="62"/>
        <v>0</v>
      </c>
      <c r="T994" s="294"/>
      <c r="U994" s="295" t="str">
        <f>IFERROR(VLOOKUP(G994,'KL NÒNG ỐNG'!$B$2:$E$16,4,0)*I994*V994,"")</f>
        <v/>
      </c>
      <c r="V994" s="296"/>
      <c r="W994" s="297"/>
      <c r="X994" s="298"/>
      <c r="Y994" s="292" t="str">
        <f t="shared" si="69"/>
        <v/>
      </c>
      <c r="Z994" s="366">
        <f t="shared" si="70"/>
        <v>0</v>
      </c>
      <c r="AA994" s="299" t="str">
        <f t="shared" si="71"/>
        <v/>
      </c>
      <c r="AB994" s="300"/>
      <c r="AC994" s="301"/>
      <c r="AD994" s="302"/>
      <c r="AE994" s="303"/>
      <c r="AF994" s="304"/>
      <c r="AG994" s="304"/>
      <c r="AH994" s="304"/>
      <c r="AI994" s="304"/>
      <c r="AJ994" s="304"/>
      <c r="AK994" s="305"/>
      <c r="AL994" s="283"/>
      <c r="AM994" s="284"/>
    </row>
    <row r="995" ht="15.75" customHeight="1">
      <c r="A995" s="282">
        <f t="shared" si="1"/>
        <v>991</v>
      </c>
      <c r="B995" s="283"/>
      <c r="C995" s="284"/>
      <c r="D995" s="338"/>
      <c r="E995" s="286"/>
      <c r="F995" s="287"/>
      <c r="G995" s="288" t="str">
        <f>+IFERROR(VLOOKUP(F995,NVL!$B:$C,2,0),"")</f>
        <v/>
      </c>
      <c r="H995" s="288" t="str">
        <f>+IFERROR(VLOOKUP(F995,NVL!$B:$D,3,0),"")</f>
        <v/>
      </c>
      <c r="I995" s="288" t="str">
        <f>+IFERROR(VLOOKUP(F995,NVL!$B:$F,4,0),"")</f>
        <v/>
      </c>
      <c r="J995" s="289"/>
      <c r="K995" s="290"/>
      <c r="L995" s="291" t="str">
        <f>+IFERROR(VLOOKUP(K995,'THÀNH PHẨM'!$B:$F,3,0),"")</f>
        <v/>
      </c>
      <c r="M995" s="291" t="str">
        <f>+IFERROR(VLOOKUP(K995,'THÀNH PHẨM'!$B:$F,4,0),"")</f>
        <v/>
      </c>
      <c r="N995" s="291" t="str">
        <f>+IFERROR(VLOOKUP(K995,'THÀNH PHẨM'!$B:$F,5,0),"")</f>
        <v/>
      </c>
      <c r="O995" s="289"/>
      <c r="P995" s="292">
        <f t="shared" si="2"/>
        <v>0</v>
      </c>
      <c r="Q995" s="289"/>
      <c r="R995" s="289"/>
      <c r="S995" s="293">
        <f t="shared" si="62"/>
        <v>0</v>
      </c>
      <c r="T995" s="294"/>
      <c r="U995" s="295" t="str">
        <f>IFERROR(VLOOKUP(G995,'KL NÒNG ỐNG'!$B$2:$E$16,4,0)*I995*V995,"")</f>
        <v/>
      </c>
      <c r="V995" s="296"/>
      <c r="W995" s="297"/>
      <c r="X995" s="298"/>
      <c r="Y995" s="292" t="str">
        <f t="shared" si="69"/>
        <v/>
      </c>
      <c r="Z995" s="366">
        <f t="shared" si="70"/>
        <v>0</v>
      </c>
      <c r="AA995" s="299" t="str">
        <f t="shared" si="71"/>
        <v/>
      </c>
      <c r="AB995" s="300"/>
      <c r="AC995" s="301"/>
      <c r="AD995" s="302"/>
      <c r="AE995" s="303"/>
      <c r="AF995" s="304"/>
      <c r="AG995" s="304"/>
      <c r="AH995" s="304"/>
      <c r="AI995" s="304"/>
      <c r="AJ995" s="304"/>
      <c r="AK995" s="305"/>
      <c r="AL995" s="283"/>
      <c r="AM995" s="446"/>
    </row>
    <row r="996" ht="15.75" customHeight="1">
      <c r="A996" s="282">
        <f t="shared" si="1"/>
        <v>992</v>
      </c>
      <c r="B996" s="283"/>
      <c r="C996" s="284"/>
      <c r="D996" s="338"/>
      <c r="E996" s="286"/>
      <c r="F996" s="287"/>
      <c r="G996" s="288" t="str">
        <f>+IFERROR(VLOOKUP(F996,NVL!$B:$C,2,0),"")</f>
        <v/>
      </c>
      <c r="H996" s="288" t="str">
        <f>+IFERROR(VLOOKUP(F996,NVL!$B:$D,3,0),"")</f>
        <v/>
      </c>
      <c r="I996" s="288" t="str">
        <f>+IFERROR(VLOOKUP(F996,NVL!$B:$F,4,0),"")</f>
        <v/>
      </c>
      <c r="J996" s="289"/>
      <c r="K996" s="290"/>
      <c r="L996" s="291" t="str">
        <f>+IFERROR(VLOOKUP(K996,'THÀNH PHẨM'!$B:$F,3,0),"")</f>
        <v/>
      </c>
      <c r="M996" s="291" t="str">
        <f>+IFERROR(VLOOKUP(K996,'THÀNH PHẨM'!$B:$F,4,0),"")</f>
        <v/>
      </c>
      <c r="N996" s="291" t="str">
        <f>+IFERROR(VLOOKUP(K996,'THÀNH PHẨM'!$B:$F,5,0),"")</f>
        <v/>
      </c>
      <c r="O996" s="289"/>
      <c r="P996" s="292">
        <f t="shared" si="2"/>
        <v>0</v>
      </c>
      <c r="Q996" s="289"/>
      <c r="R996" s="289"/>
      <c r="S996" s="293">
        <f t="shared" si="62"/>
        <v>0</v>
      </c>
      <c r="T996" s="294"/>
      <c r="U996" s="295" t="str">
        <f>IFERROR(VLOOKUP(G996,'KL NÒNG ỐNG'!$B$2:$E$16,4,0)*I996*V996,"")</f>
        <v/>
      </c>
      <c r="V996" s="296"/>
      <c r="W996" s="297"/>
      <c r="X996" s="298"/>
      <c r="Y996" s="292" t="str">
        <f t="shared" si="69"/>
        <v/>
      </c>
      <c r="Z996" s="366">
        <f t="shared" si="70"/>
        <v>0</v>
      </c>
      <c r="AA996" s="299" t="str">
        <f t="shared" si="71"/>
        <v/>
      </c>
      <c r="AB996" s="300"/>
      <c r="AC996" s="301"/>
      <c r="AD996" s="302"/>
      <c r="AE996" s="303"/>
      <c r="AF996" s="304"/>
      <c r="AG996" s="304"/>
      <c r="AH996" s="304"/>
      <c r="AI996" s="304"/>
      <c r="AJ996" s="304"/>
      <c r="AK996" s="305"/>
      <c r="AL996" s="283"/>
      <c r="AM996" s="284"/>
    </row>
    <row r="997" ht="15.75" customHeight="1">
      <c r="A997" s="282">
        <f t="shared" si="1"/>
        <v>993</v>
      </c>
      <c r="B997" s="283"/>
      <c r="C997" s="284"/>
      <c r="D997" s="338"/>
      <c r="E997" s="286"/>
      <c r="F997" s="287"/>
      <c r="G997" s="288" t="str">
        <f>+IFERROR(VLOOKUP(F997,NVL!$B:$C,2,0),"")</f>
        <v/>
      </c>
      <c r="H997" s="288" t="str">
        <f>+IFERROR(VLOOKUP(F997,NVL!$B:$D,3,0),"")</f>
        <v/>
      </c>
      <c r="I997" s="288" t="str">
        <f>+IFERROR(VLOOKUP(F997,NVL!$B:$F,4,0),"")</f>
        <v/>
      </c>
      <c r="J997" s="289"/>
      <c r="K997" s="290"/>
      <c r="L997" s="291" t="str">
        <f>+IFERROR(VLOOKUP(K997,'THÀNH PHẨM'!$B:$F,3,0),"")</f>
        <v/>
      </c>
      <c r="M997" s="291" t="str">
        <f>+IFERROR(VLOOKUP(K997,'THÀNH PHẨM'!$B:$F,4,0),"")</f>
        <v/>
      </c>
      <c r="N997" s="291" t="str">
        <f>+IFERROR(VLOOKUP(K997,'THÀNH PHẨM'!$B:$F,5,0),"")</f>
        <v/>
      </c>
      <c r="O997" s="289"/>
      <c r="P997" s="292">
        <f t="shared" si="2"/>
        <v>0</v>
      </c>
      <c r="Q997" s="289"/>
      <c r="R997" s="289"/>
      <c r="S997" s="293">
        <f t="shared" si="62"/>
        <v>0</v>
      </c>
      <c r="T997" s="294"/>
      <c r="U997" s="295" t="str">
        <f>IFERROR(VLOOKUP(G997,'KL NÒNG ỐNG'!$B$2:$E$16,4,0)*I997*V997,"")</f>
        <v/>
      </c>
      <c r="V997" s="296"/>
      <c r="W997" s="297"/>
      <c r="X997" s="298"/>
      <c r="Y997" s="292" t="str">
        <f t="shared" si="69"/>
        <v/>
      </c>
      <c r="Z997" s="366">
        <f t="shared" si="70"/>
        <v>0</v>
      </c>
      <c r="AA997" s="299" t="str">
        <f t="shared" si="71"/>
        <v/>
      </c>
      <c r="AB997" s="300"/>
      <c r="AC997" s="301"/>
      <c r="AD997" s="302"/>
      <c r="AE997" s="303"/>
      <c r="AF997" s="304"/>
      <c r="AG997" s="304"/>
      <c r="AH997" s="304"/>
      <c r="AI997" s="304"/>
      <c r="AJ997" s="304"/>
      <c r="AK997" s="305"/>
      <c r="AL997" s="283"/>
      <c r="AM997" s="284"/>
    </row>
    <row r="998" ht="15.75" customHeight="1">
      <c r="A998" s="282">
        <f t="shared" si="1"/>
        <v>994</v>
      </c>
      <c r="B998" s="283"/>
      <c r="C998" s="284"/>
      <c r="D998" s="338"/>
      <c r="E998" s="286"/>
      <c r="F998" s="287"/>
      <c r="G998" s="288" t="str">
        <f>+IFERROR(VLOOKUP(F998,NVL!$B:$C,2,0),"")</f>
        <v/>
      </c>
      <c r="H998" s="288" t="str">
        <f>+IFERROR(VLOOKUP(F998,NVL!$B:$D,3,0),"")</f>
        <v/>
      </c>
      <c r="I998" s="288" t="str">
        <f>+IFERROR(VLOOKUP(F998,NVL!$B:$F,4,0),"")</f>
        <v/>
      </c>
      <c r="J998" s="289"/>
      <c r="K998" s="290"/>
      <c r="L998" s="291" t="str">
        <f>+IFERROR(VLOOKUP(K998,'THÀNH PHẨM'!$B:$F,3,0),"")</f>
        <v/>
      </c>
      <c r="M998" s="291" t="str">
        <f>+IFERROR(VLOOKUP(K998,'THÀNH PHẨM'!$B:$F,4,0),"")</f>
        <v/>
      </c>
      <c r="N998" s="291" t="str">
        <f>+IFERROR(VLOOKUP(K998,'THÀNH PHẨM'!$B:$F,5,0),"")</f>
        <v/>
      </c>
      <c r="O998" s="289"/>
      <c r="P998" s="292">
        <f t="shared" si="2"/>
        <v>0</v>
      </c>
      <c r="Q998" s="289"/>
      <c r="R998" s="289"/>
      <c r="S998" s="293">
        <f t="shared" si="62"/>
        <v>0</v>
      </c>
      <c r="T998" s="294"/>
      <c r="U998" s="295" t="str">
        <f>IFERROR(VLOOKUP(G998,'KL NÒNG ỐNG'!$B$2:$E$16,4,0)*I998*V998,"")</f>
        <v/>
      </c>
      <c r="V998" s="296"/>
      <c r="W998" s="297"/>
      <c r="X998" s="298"/>
      <c r="Y998" s="292" t="str">
        <f t="shared" si="69"/>
        <v/>
      </c>
      <c r="Z998" s="366">
        <f t="shared" si="70"/>
        <v>0</v>
      </c>
      <c r="AA998" s="299" t="str">
        <f t="shared" si="71"/>
        <v/>
      </c>
      <c r="AB998" s="300"/>
      <c r="AC998" s="301"/>
      <c r="AD998" s="302"/>
      <c r="AE998" s="303"/>
      <c r="AF998" s="304"/>
      <c r="AG998" s="304"/>
      <c r="AH998" s="304"/>
      <c r="AI998" s="304"/>
      <c r="AJ998" s="304"/>
      <c r="AK998" s="305"/>
      <c r="AL998" s="283"/>
      <c r="AM998" s="284"/>
    </row>
    <row r="999" ht="15.75" customHeight="1">
      <c r="A999" s="282">
        <f t="shared" si="1"/>
        <v>995</v>
      </c>
      <c r="B999" s="283"/>
      <c r="C999" s="335"/>
      <c r="D999" s="338"/>
      <c r="E999" s="286"/>
      <c r="F999" s="287"/>
      <c r="G999" s="288" t="str">
        <f>+IFERROR(VLOOKUP(F999,NVL!$B:$C,2,0),"")</f>
        <v/>
      </c>
      <c r="H999" s="288" t="str">
        <f>+IFERROR(VLOOKUP(F999,NVL!$B:$D,3,0),"")</f>
        <v/>
      </c>
      <c r="I999" s="288" t="str">
        <f>+IFERROR(VLOOKUP(F999,NVL!$B:$F,4,0),"")</f>
        <v/>
      </c>
      <c r="J999" s="289"/>
      <c r="K999" s="290"/>
      <c r="L999" s="291" t="str">
        <f>+IFERROR(VLOOKUP(K999,'THÀNH PHẨM'!$B:$F,3,0),"")</f>
        <v/>
      </c>
      <c r="M999" s="291" t="str">
        <f>+IFERROR(VLOOKUP(K999,'THÀNH PHẨM'!$B:$F,4,0),"")</f>
        <v/>
      </c>
      <c r="N999" s="291" t="str">
        <f>+IFERROR(VLOOKUP(K999,'THÀNH PHẨM'!$B:$F,5,0),"")</f>
        <v/>
      </c>
      <c r="O999" s="289"/>
      <c r="P999" s="292">
        <f t="shared" si="2"/>
        <v>0</v>
      </c>
      <c r="Q999" s="289"/>
      <c r="R999" s="289"/>
      <c r="S999" s="293">
        <f t="shared" si="62"/>
        <v>0</v>
      </c>
      <c r="T999" s="294"/>
      <c r="U999" s="295" t="str">
        <f>IFERROR(VLOOKUP(G999,'KL NÒNG ỐNG'!$B$2:$E$16,4,0)*I999*V999,"")</f>
        <v/>
      </c>
      <c r="V999" s="296"/>
      <c r="W999" s="297"/>
      <c r="X999" s="298"/>
      <c r="Y999" s="292" t="str">
        <f t="shared" si="69"/>
        <v/>
      </c>
      <c r="Z999" s="366">
        <f t="shared" si="70"/>
        <v>0</v>
      </c>
      <c r="AA999" s="299" t="str">
        <f t="shared" si="71"/>
        <v/>
      </c>
      <c r="AB999" s="300"/>
      <c r="AC999" s="301"/>
      <c r="AD999" s="302"/>
      <c r="AE999" s="303"/>
      <c r="AF999" s="304"/>
      <c r="AG999" s="304"/>
      <c r="AH999" s="304"/>
      <c r="AI999" s="304"/>
      <c r="AJ999" s="304"/>
      <c r="AK999" s="305"/>
      <c r="AL999" s="283"/>
      <c r="AM999" s="446"/>
    </row>
    <row r="1000" ht="15.75" customHeight="1">
      <c r="A1000" s="282">
        <f t="shared" si="1"/>
        <v>996</v>
      </c>
      <c r="B1000" s="283"/>
      <c r="C1000" s="284"/>
      <c r="D1000" s="338"/>
      <c r="E1000" s="286"/>
      <c r="F1000" s="287"/>
      <c r="G1000" s="288" t="str">
        <f>+IFERROR(VLOOKUP(F1000,NVL!$B:$C,2,0),"")</f>
        <v/>
      </c>
      <c r="H1000" s="288" t="str">
        <f>+IFERROR(VLOOKUP(F1000,NVL!$B:$D,3,0),"")</f>
        <v/>
      </c>
      <c r="I1000" s="288" t="str">
        <f>+IFERROR(VLOOKUP(F1000,NVL!$B:$F,4,0),"")</f>
        <v/>
      </c>
      <c r="J1000" s="289"/>
      <c r="K1000" s="290"/>
      <c r="L1000" s="291" t="str">
        <f>+IFERROR(VLOOKUP(K1000,'THÀNH PHẨM'!$B:$F,3,0),"")</f>
        <v/>
      </c>
      <c r="M1000" s="291" t="str">
        <f>+IFERROR(VLOOKUP(K1000,'THÀNH PHẨM'!$B:$F,4,0),"")</f>
        <v/>
      </c>
      <c r="N1000" s="291" t="str">
        <f>+IFERROR(VLOOKUP(K1000,'THÀNH PHẨM'!$B:$F,5,0),"")</f>
        <v/>
      </c>
      <c r="O1000" s="289"/>
      <c r="P1000" s="292">
        <f t="shared" si="2"/>
        <v>0</v>
      </c>
      <c r="Q1000" s="289"/>
      <c r="R1000" s="289"/>
      <c r="S1000" s="293">
        <f t="shared" si="62"/>
        <v>0</v>
      </c>
      <c r="T1000" s="294"/>
      <c r="U1000" s="295" t="str">
        <f>IFERROR(VLOOKUP(G1000,'KL NÒNG ỐNG'!$B$2:$E$16,4,0)*I1000*V1000,"")</f>
        <v/>
      </c>
      <c r="V1000" s="296"/>
      <c r="W1000" s="297"/>
      <c r="X1000" s="298"/>
      <c r="Y1000" s="292" t="str">
        <f t="shared" si="69"/>
        <v/>
      </c>
      <c r="Z1000" s="366">
        <f t="shared" si="70"/>
        <v>0</v>
      </c>
      <c r="AA1000" s="299" t="str">
        <f t="shared" si="71"/>
        <v/>
      </c>
      <c r="AB1000" s="300"/>
      <c r="AC1000" s="301"/>
      <c r="AD1000" s="302"/>
      <c r="AE1000" s="303"/>
      <c r="AF1000" s="304"/>
      <c r="AG1000" s="304"/>
      <c r="AH1000" s="304"/>
      <c r="AI1000" s="304"/>
      <c r="AJ1000" s="304"/>
      <c r="AK1000" s="305"/>
      <c r="AL1000" s="283"/>
      <c r="AM1000" s="284"/>
    </row>
    <row r="1001" ht="15.75" customHeight="1">
      <c r="A1001" s="282">
        <f t="shared" si="1"/>
        <v>997</v>
      </c>
      <c r="B1001" s="283"/>
      <c r="C1001" s="284"/>
      <c r="D1001" s="338"/>
      <c r="E1001" s="286"/>
      <c r="F1001" s="287"/>
      <c r="G1001" s="288" t="str">
        <f>+IFERROR(VLOOKUP(F1001,NVL!$B:$C,2,0),"")</f>
        <v/>
      </c>
      <c r="H1001" s="288" t="str">
        <f>+IFERROR(VLOOKUP(F1001,NVL!$B:$D,3,0),"")</f>
        <v/>
      </c>
      <c r="I1001" s="288" t="str">
        <f>+IFERROR(VLOOKUP(F1001,NVL!$B:$F,4,0),"")</f>
        <v/>
      </c>
      <c r="J1001" s="289"/>
      <c r="K1001" s="290"/>
      <c r="L1001" s="291" t="str">
        <f>+IFERROR(VLOOKUP(K1001,'THÀNH PHẨM'!$B:$F,3,0),"")</f>
        <v/>
      </c>
      <c r="M1001" s="291" t="str">
        <f>+IFERROR(VLOOKUP(K1001,'THÀNH PHẨM'!$B:$F,4,0),"")</f>
        <v/>
      </c>
      <c r="N1001" s="291" t="str">
        <f>+IFERROR(VLOOKUP(K1001,'THÀNH PHẨM'!$B:$F,5,0),"")</f>
        <v/>
      </c>
      <c r="O1001" s="289"/>
      <c r="P1001" s="292">
        <f t="shared" si="2"/>
        <v>0</v>
      </c>
      <c r="Q1001" s="289"/>
      <c r="R1001" s="289"/>
      <c r="S1001" s="293">
        <f t="shared" si="62"/>
        <v>0</v>
      </c>
      <c r="T1001" s="294"/>
      <c r="U1001" s="295" t="str">
        <f>IFERROR(VLOOKUP(G1001,'KL NÒNG ỐNG'!$B$2:$E$16,4,0)*I1001*V1001,"")</f>
        <v/>
      </c>
      <c r="V1001" s="296"/>
      <c r="W1001" s="297"/>
      <c r="X1001" s="298"/>
      <c r="Y1001" s="292" t="str">
        <f t="shared" si="69"/>
        <v/>
      </c>
      <c r="Z1001" s="366">
        <f t="shared" si="70"/>
        <v>0</v>
      </c>
      <c r="AA1001" s="299" t="str">
        <f t="shared" si="71"/>
        <v/>
      </c>
      <c r="AB1001" s="300"/>
      <c r="AC1001" s="301"/>
      <c r="AD1001" s="302"/>
      <c r="AE1001" s="303"/>
      <c r="AF1001" s="304"/>
      <c r="AG1001" s="304"/>
      <c r="AH1001" s="304"/>
      <c r="AI1001" s="304"/>
      <c r="AJ1001" s="304"/>
      <c r="AK1001" s="305"/>
      <c r="AL1001" s="283"/>
      <c r="AM1001" s="284"/>
    </row>
    <row r="1002" ht="15.75" customHeight="1">
      <c r="A1002" s="282">
        <f t="shared" si="1"/>
        <v>998</v>
      </c>
      <c r="B1002" s="283"/>
      <c r="C1002" s="284"/>
      <c r="D1002" s="338"/>
      <c r="E1002" s="286"/>
      <c r="F1002" s="287"/>
      <c r="G1002" s="288" t="str">
        <f>+IFERROR(VLOOKUP(F1002,NVL!$B:$C,2,0),"")</f>
        <v/>
      </c>
      <c r="H1002" s="288" t="str">
        <f>+IFERROR(VLOOKUP(F1002,NVL!$B:$D,3,0),"")</f>
        <v/>
      </c>
      <c r="I1002" s="288" t="str">
        <f>+IFERROR(VLOOKUP(F1002,NVL!$B:$F,4,0),"")</f>
        <v/>
      </c>
      <c r="J1002" s="289"/>
      <c r="K1002" s="290"/>
      <c r="L1002" s="291" t="str">
        <f>+IFERROR(VLOOKUP(K1002,'THÀNH PHẨM'!$B:$F,3,0),"")</f>
        <v/>
      </c>
      <c r="M1002" s="291" t="str">
        <f>+IFERROR(VLOOKUP(K1002,'THÀNH PHẨM'!$B:$F,4,0),"")</f>
        <v/>
      </c>
      <c r="N1002" s="291" t="str">
        <f>+IFERROR(VLOOKUP(K1002,'THÀNH PHẨM'!$B:$F,5,0),"")</f>
        <v/>
      </c>
      <c r="O1002" s="289"/>
      <c r="P1002" s="292">
        <f t="shared" si="2"/>
        <v>0</v>
      </c>
      <c r="Q1002" s="289"/>
      <c r="R1002" s="289"/>
      <c r="S1002" s="293">
        <f t="shared" si="62"/>
        <v>0</v>
      </c>
      <c r="T1002" s="294"/>
      <c r="U1002" s="295" t="str">
        <f>IFERROR(VLOOKUP(G1002,'KL NÒNG ỐNG'!$B$2:$E$16,4,0)*I1002*V1002,"")</f>
        <v/>
      </c>
      <c r="V1002" s="296"/>
      <c r="W1002" s="297"/>
      <c r="X1002" s="298"/>
      <c r="Y1002" s="292" t="str">
        <f t="shared" si="69"/>
        <v/>
      </c>
      <c r="Z1002" s="366">
        <f t="shared" si="70"/>
        <v>0</v>
      </c>
      <c r="AA1002" s="299" t="str">
        <f t="shared" si="71"/>
        <v/>
      </c>
      <c r="AB1002" s="300"/>
      <c r="AC1002" s="301"/>
      <c r="AD1002" s="302"/>
      <c r="AE1002" s="303"/>
      <c r="AF1002" s="304"/>
      <c r="AG1002" s="304"/>
      <c r="AH1002" s="304"/>
      <c r="AI1002" s="304"/>
      <c r="AJ1002" s="304"/>
      <c r="AK1002" s="305"/>
      <c r="AL1002" s="283"/>
      <c r="AM1002" s="284"/>
    </row>
    <row r="1003" ht="15.75" customHeight="1">
      <c r="A1003" s="282">
        <f t="shared" si="1"/>
        <v>999</v>
      </c>
      <c r="B1003" s="283"/>
      <c r="C1003" s="284"/>
      <c r="D1003" s="338"/>
      <c r="E1003" s="286"/>
      <c r="F1003" s="287"/>
      <c r="G1003" s="288" t="str">
        <f>+IFERROR(VLOOKUP(F1003,NVL!$B:$C,2,0),"")</f>
        <v/>
      </c>
      <c r="H1003" s="288" t="str">
        <f>+IFERROR(VLOOKUP(F1003,NVL!$B:$D,3,0),"")</f>
        <v/>
      </c>
      <c r="I1003" s="288" t="str">
        <f>+IFERROR(VLOOKUP(F1003,NVL!$B:$F,4,0),"")</f>
        <v/>
      </c>
      <c r="J1003" s="289"/>
      <c r="K1003" s="290"/>
      <c r="L1003" s="291" t="str">
        <f>+IFERROR(VLOOKUP(K1003,'THÀNH PHẨM'!$B:$F,3,0),"")</f>
        <v/>
      </c>
      <c r="M1003" s="291" t="str">
        <f>+IFERROR(VLOOKUP(K1003,'THÀNH PHẨM'!$B:$F,4,0),"")</f>
        <v/>
      </c>
      <c r="N1003" s="291" t="str">
        <f>+IFERROR(VLOOKUP(K1003,'THÀNH PHẨM'!$B:$F,5,0),"")</f>
        <v/>
      </c>
      <c r="O1003" s="289"/>
      <c r="P1003" s="292">
        <f t="shared" si="2"/>
        <v>0</v>
      </c>
      <c r="Q1003" s="289"/>
      <c r="R1003" s="289"/>
      <c r="S1003" s="293">
        <f t="shared" si="62"/>
        <v>0</v>
      </c>
      <c r="T1003" s="294"/>
      <c r="U1003" s="295" t="str">
        <f>IFERROR(VLOOKUP(G1003,'KL NÒNG ỐNG'!$B$2:$E$16,4,0)*I1003*V1003,"")</f>
        <v/>
      </c>
      <c r="V1003" s="296"/>
      <c r="W1003" s="297"/>
      <c r="X1003" s="298"/>
      <c r="Y1003" s="292" t="str">
        <f t="shared" si="69"/>
        <v/>
      </c>
      <c r="Z1003" s="366">
        <f t="shared" si="70"/>
        <v>0</v>
      </c>
      <c r="AA1003" s="299" t="str">
        <f t="shared" si="71"/>
        <v/>
      </c>
      <c r="AB1003" s="300"/>
      <c r="AC1003" s="301"/>
      <c r="AD1003" s="302"/>
      <c r="AE1003" s="303"/>
      <c r="AF1003" s="304"/>
      <c r="AG1003" s="304"/>
      <c r="AH1003" s="304"/>
      <c r="AI1003" s="304"/>
      <c r="AJ1003" s="304"/>
      <c r="AK1003" s="305"/>
      <c r="AL1003" s="283"/>
      <c r="AM1003" s="284"/>
    </row>
    <row r="1004" ht="15.75" customHeight="1">
      <c r="A1004" s="282">
        <f t="shared" si="1"/>
        <v>1000</v>
      </c>
      <c r="B1004" s="283"/>
      <c r="C1004" s="284"/>
      <c r="D1004" s="338"/>
      <c r="E1004" s="286"/>
      <c r="F1004" s="287"/>
      <c r="G1004" s="288" t="str">
        <f>+IFERROR(VLOOKUP(F1004,NVL!$B:$C,2,0),"")</f>
        <v/>
      </c>
      <c r="H1004" s="288" t="str">
        <f>+IFERROR(VLOOKUP(F1004,NVL!$B:$D,3,0),"")</f>
        <v/>
      </c>
      <c r="I1004" s="288" t="str">
        <f>+IFERROR(VLOOKUP(F1004,NVL!$B:$F,4,0),"")</f>
        <v/>
      </c>
      <c r="J1004" s="289"/>
      <c r="K1004" s="290"/>
      <c r="L1004" s="291" t="str">
        <f>+IFERROR(VLOOKUP(K1004,'THÀNH PHẨM'!$B:$F,3,0),"")</f>
        <v/>
      </c>
      <c r="M1004" s="291" t="str">
        <f>+IFERROR(VLOOKUP(K1004,'THÀNH PHẨM'!$B:$F,4,0),"")</f>
        <v/>
      </c>
      <c r="N1004" s="291" t="str">
        <f>+IFERROR(VLOOKUP(K1004,'THÀNH PHẨM'!$B:$F,5,0),"")</f>
        <v/>
      </c>
      <c r="O1004" s="289"/>
      <c r="P1004" s="292">
        <f t="shared" si="2"/>
        <v>0</v>
      </c>
      <c r="Q1004" s="289"/>
      <c r="R1004" s="289"/>
      <c r="S1004" s="293">
        <f t="shared" si="62"/>
        <v>0</v>
      </c>
      <c r="T1004" s="294"/>
      <c r="U1004" s="295" t="str">
        <f>IFERROR(VLOOKUP(G1004,'KL NÒNG ỐNG'!$B$2:$E$16,4,0)*I1004*V1004,"")</f>
        <v/>
      </c>
      <c r="V1004" s="296"/>
      <c r="W1004" s="297"/>
      <c r="X1004" s="298"/>
      <c r="Y1004" s="292" t="str">
        <f t="shared" si="69"/>
        <v/>
      </c>
      <c r="Z1004" s="366">
        <f t="shared" si="70"/>
        <v>0</v>
      </c>
      <c r="AA1004" s="299" t="str">
        <f t="shared" si="71"/>
        <v/>
      </c>
      <c r="AB1004" s="300"/>
      <c r="AC1004" s="301"/>
      <c r="AD1004" s="302"/>
      <c r="AE1004" s="303"/>
      <c r="AF1004" s="304"/>
      <c r="AG1004" s="304"/>
      <c r="AH1004" s="304"/>
      <c r="AI1004" s="304"/>
      <c r="AJ1004" s="304"/>
      <c r="AK1004" s="305"/>
      <c r="AL1004" s="283"/>
      <c r="AM1004" s="284"/>
    </row>
    <row r="1005" ht="15.75" customHeight="1">
      <c r="A1005" s="282">
        <f t="shared" si="1"/>
        <v>1001</v>
      </c>
      <c r="B1005" s="283"/>
      <c r="C1005" s="284"/>
      <c r="D1005" s="338"/>
      <c r="E1005" s="286"/>
      <c r="F1005" s="287"/>
      <c r="G1005" s="288" t="str">
        <f>+IFERROR(VLOOKUP(F1005,NVL!$B:$C,2,0),"")</f>
        <v/>
      </c>
      <c r="H1005" s="288" t="str">
        <f>+IFERROR(VLOOKUP(F1005,NVL!$B:$D,3,0),"")</f>
        <v/>
      </c>
      <c r="I1005" s="288" t="str">
        <f>+IFERROR(VLOOKUP(F1005,NVL!$B:$F,4,0),"")</f>
        <v/>
      </c>
      <c r="J1005" s="289"/>
      <c r="K1005" s="290"/>
      <c r="L1005" s="291" t="str">
        <f>+IFERROR(VLOOKUP(K1005,'THÀNH PHẨM'!$B:$F,3,0),"")</f>
        <v/>
      </c>
      <c r="M1005" s="291" t="str">
        <f>+IFERROR(VLOOKUP(K1005,'THÀNH PHẨM'!$B:$F,4,0),"")</f>
        <v/>
      </c>
      <c r="N1005" s="291" t="str">
        <f>+IFERROR(VLOOKUP(K1005,'THÀNH PHẨM'!$B:$F,5,0),"")</f>
        <v/>
      </c>
      <c r="O1005" s="289"/>
      <c r="P1005" s="292">
        <f t="shared" si="2"/>
        <v>0</v>
      </c>
      <c r="Q1005" s="289"/>
      <c r="R1005" s="289"/>
      <c r="S1005" s="293">
        <f t="shared" si="62"/>
        <v>0</v>
      </c>
      <c r="T1005" s="294"/>
      <c r="U1005" s="295" t="str">
        <f>IFERROR(VLOOKUP(G1005,'KL NÒNG ỐNG'!$B$2:$E$16,4,0)*I1005*V1005,"")</f>
        <v/>
      </c>
      <c r="V1005" s="296"/>
      <c r="W1005" s="297"/>
      <c r="X1005" s="298"/>
      <c r="Y1005" s="292" t="str">
        <f t="shared" si="69"/>
        <v/>
      </c>
      <c r="Z1005" s="366">
        <f t="shared" si="70"/>
        <v>0</v>
      </c>
      <c r="AA1005" s="299" t="str">
        <f t="shared" si="71"/>
        <v/>
      </c>
      <c r="AB1005" s="300"/>
      <c r="AC1005" s="301"/>
      <c r="AD1005" s="302"/>
      <c r="AE1005" s="303"/>
      <c r="AF1005" s="304"/>
      <c r="AG1005" s="304"/>
      <c r="AH1005" s="304"/>
      <c r="AI1005" s="304"/>
      <c r="AJ1005" s="304"/>
      <c r="AK1005" s="305"/>
      <c r="AL1005" s="283"/>
      <c r="AM1005" s="284"/>
    </row>
    <row r="1006" ht="15.75" customHeight="1">
      <c r="A1006" s="282">
        <f t="shared" si="1"/>
        <v>1002</v>
      </c>
      <c r="B1006" s="283"/>
      <c r="C1006" s="284"/>
      <c r="D1006" s="338"/>
      <c r="E1006" s="286"/>
      <c r="F1006" s="287"/>
      <c r="G1006" s="288" t="str">
        <f>+IFERROR(VLOOKUP(F1006,NVL!$B:$C,2,0),"")</f>
        <v/>
      </c>
      <c r="H1006" s="288" t="str">
        <f>+IFERROR(VLOOKUP(F1006,NVL!$B:$D,3,0),"")</f>
        <v/>
      </c>
      <c r="I1006" s="288" t="str">
        <f>+IFERROR(VLOOKUP(F1006,NVL!$B:$F,4,0),"")</f>
        <v/>
      </c>
      <c r="J1006" s="289"/>
      <c r="K1006" s="290"/>
      <c r="L1006" s="291" t="str">
        <f>+IFERROR(VLOOKUP(K1006,'THÀNH PHẨM'!$B:$F,3,0),"")</f>
        <v/>
      </c>
      <c r="M1006" s="291" t="str">
        <f>+IFERROR(VLOOKUP(K1006,'THÀNH PHẨM'!$B:$F,4,0),"")</f>
        <v/>
      </c>
      <c r="N1006" s="291" t="str">
        <f>+IFERROR(VLOOKUP(K1006,'THÀNH PHẨM'!$B:$F,5,0),"")</f>
        <v/>
      </c>
      <c r="O1006" s="289"/>
      <c r="P1006" s="292">
        <f t="shared" si="2"/>
        <v>0</v>
      </c>
      <c r="Q1006" s="289"/>
      <c r="R1006" s="289"/>
      <c r="S1006" s="293">
        <f t="shared" si="62"/>
        <v>0</v>
      </c>
      <c r="T1006" s="294"/>
      <c r="U1006" s="295" t="str">
        <f>IFERROR(VLOOKUP(G1006,'KL NÒNG ỐNG'!$B$2:$E$16,4,0)*I1006*V1006,"")</f>
        <v/>
      </c>
      <c r="V1006" s="296"/>
      <c r="W1006" s="297"/>
      <c r="X1006" s="298"/>
      <c r="Y1006" s="292" t="str">
        <f t="shared" si="69"/>
        <v/>
      </c>
      <c r="Z1006" s="366">
        <f t="shared" si="70"/>
        <v>0</v>
      </c>
      <c r="AA1006" s="299" t="str">
        <f t="shared" si="71"/>
        <v/>
      </c>
      <c r="AB1006" s="300"/>
      <c r="AC1006" s="301"/>
      <c r="AD1006" s="302"/>
      <c r="AE1006" s="303"/>
      <c r="AF1006" s="304"/>
      <c r="AG1006" s="304"/>
      <c r="AH1006" s="304"/>
      <c r="AI1006" s="304"/>
      <c r="AJ1006" s="304"/>
      <c r="AK1006" s="305"/>
      <c r="AL1006" s="283"/>
      <c r="AM1006" s="284"/>
    </row>
    <row r="1007" ht="15.75" customHeight="1">
      <c r="A1007" s="282">
        <f t="shared" si="1"/>
        <v>1003</v>
      </c>
      <c r="B1007" s="283"/>
      <c r="C1007" s="284"/>
      <c r="D1007" s="338"/>
      <c r="E1007" s="286"/>
      <c r="F1007" s="287"/>
      <c r="G1007" s="288" t="str">
        <f>+IFERROR(VLOOKUP(F1007,NVL!$B:$C,2,0),"")</f>
        <v/>
      </c>
      <c r="H1007" s="288" t="str">
        <f>+IFERROR(VLOOKUP(F1007,NVL!$B:$D,3,0),"")</f>
        <v/>
      </c>
      <c r="I1007" s="288" t="str">
        <f>+IFERROR(VLOOKUP(F1007,NVL!$B:$F,4,0),"")</f>
        <v/>
      </c>
      <c r="J1007" s="289"/>
      <c r="K1007" s="290"/>
      <c r="L1007" s="291" t="str">
        <f>+IFERROR(VLOOKUP(K1007,'THÀNH PHẨM'!$B:$F,3,0),"")</f>
        <v/>
      </c>
      <c r="M1007" s="291" t="str">
        <f>+IFERROR(VLOOKUP(K1007,'THÀNH PHẨM'!$B:$F,4,0),"")</f>
        <v/>
      </c>
      <c r="N1007" s="291" t="str">
        <f>+IFERROR(VLOOKUP(K1007,'THÀNH PHẨM'!$B:$F,5,0),"")</f>
        <v/>
      </c>
      <c r="O1007" s="289"/>
      <c r="P1007" s="292">
        <f t="shared" si="2"/>
        <v>0</v>
      </c>
      <c r="Q1007" s="289"/>
      <c r="R1007" s="289"/>
      <c r="S1007" s="293">
        <f t="shared" si="62"/>
        <v>0</v>
      </c>
      <c r="T1007" s="294"/>
      <c r="U1007" s="295" t="str">
        <f>IFERROR(VLOOKUP(G1007,'KL NÒNG ỐNG'!$B$2:$E$16,4,0)*I1007*V1007,"")</f>
        <v/>
      </c>
      <c r="V1007" s="296"/>
      <c r="W1007" s="297"/>
      <c r="X1007" s="298"/>
      <c r="Y1007" s="292" t="str">
        <f t="shared" si="69"/>
        <v/>
      </c>
      <c r="Z1007" s="366">
        <f t="shared" si="70"/>
        <v>0</v>
      </c>
      <c r="AA1007" s="299" t="str">
        <f t="shared" si="71"/>
        <v/>
      </c>
      <c r="AB1007" s="300"/>
      <c r="AC1007" s="301"/>
      <c r="AD1007" s="302"/>
      <c r="AE1007" s="303"/>
      <c r="AF1007" s="304"/>
      <c r="AG1007" s="304"/>
      <c r="AH1007" s="304"/>
      <c r="AI1007" s="304"/>
      <c r="AJ1007" s="304"/>
      <c r="AK1007" s="305"/>
      <c r="AL1007" s="283"/>
      <c r="AM1007" s="446"/>
    </row>
    <row r="1008" ht="15.75" customHeight="1">
      <c r="A1008" s="282">
        <f t="shared" si="1"/>
        <v>1004</v>
      </c>
      <c r="B1008" s="283"/>
      <c r="C1008" s="284"/>
      <c r="D1008" s="338"/>
      <c r="E1008" s="286"/>
      <c r="F1008" s="287"/>
      <c r="G1008" s="288" t="str">
        <f>+IFERROR(VLOOKUP(F1008,NVL!$B:$C,2,0),"")</f>
        <v/>
      </c>
      <c r="H1008" s="288" t="str">
        <f>+IFERROR(VLOOKUP(F1008,NVL!$B:$D,3,0),"")</f>
        <v/>
      </c>
      <c r="I1008" s="288" t="str">
        <f>+IFERROR(VLOOKUP(F1008,NVL!$B:$F,4,0),"")</f>
        <v/>
      </c>
      <c r="J1008" s="289"/>
      <c r="K1008" s="290"/>
      <c r="L1008" s="291" t="str">
        <f>+IFERROR(VLOOKUP(K1008,'THÀNH PHẨM'!$B:$F,3,0),"")</f>
        <v/>
      </c>
      <c r="M1008" s="291" t="str">
        <f>+IFERROR(VLOOKUP(K1008,'THÀNH PHẨM'!$B:$F,4,0),"")</f>
        <v/>
      </c>
      <c r="N1008" s="291" t="str">
        <f>+IFERROR(VLOOKUP(K1008,'THÀNH PHẨM'!$B:$F,5,0),"")</f>
        <v/>
      </c>
      <c r="O1008" s="289"/>
      <c r="P1008" s="292">
        <f t="shared" si="2"/>
        <v>0</v>
      </c>
      <c r="Q1008" s="289"/>
      <c r="R1008" s="289"/>
      <c r="S1008" s="293">
        <f t="shared" si="62"/>
        <v>0</v>
      </c>
      <c r="T1008" s="294"/>
      <c r="U1008" s="295" t="str">
        <f>IFERROR(VLOOKUP(G1008,'KL NÒNG ỐNG'!$B$2:$E$16,4,0)*I1008*V1008,"")</f>
        <v/>
      </c>
      <c r="V1008" s="296"/>
      <c r="W1008" s="297"/>
      <c r="X1008" s="298"/>
      <c r="Y1008" s="292" t="str">
        <f t="shared" si="69"/>
        <v/>
      </c>
      <c r="Z1008" s="366">
        <f t="shared" si="70"/>
        <v>0</v>
      </c>
      <c r="AA1008" s="299" t="str">
        <f t="shared" si="71"/>
        <v/>
      </c>
      <c r="AB1008" s="300"/>
      <c r="AC1008" s="301"/>
      <c r="AD1008" s="302"/>
      <c r="AE1008" s="303"/>
      <c r="AF1008" s="304"/>
      <c r="AG1008" s="304"/>
      <c r="AH1008" s="304"/>
      <c r="AI1008" s="304"/>
      <c r="AJ1008" s="304"/>
      <c r="AK1008" s="305"/>
      <c r="AL1008" s="283"/>
      <c r="AM1008" s="284"/>
    </row>
    <row r="1009" ht="15.75" customHeight="1">
      <c r="A1009" s="282">
        <f t="shared" si="1"/>
        <v>1005</v>
      </c>
      <c r="B1009" s="283"/>
      <c r="C1009" s="284"/>
      <c r="D1009" s="338"/>
      <c r="E1009" s="286"/>
      <c r="F1009" s="287"/>
      <c r="G1009" s="288" t="str">
        <f>+IFERROR(VLOOKUP(F1009,NVL!$B:$C,2,0),"")</f>
        <v/>
      </c>
      <c r="H1009" s="288" t="str">
        <f>+IFERROR(VLOOKUP(F1009,NVL!$B:$D,3,0),"")</f>
        <v/>
      </c>
      <c r="I1009" s="288" t="str">
        <f>+IFERROR(VLOOKUP(F1009,NVL!$B:$F,4,0),"")</f>
        <v/>
      </c>
      <c r="J1009" s="289"/>
      <c r="K1009" s="290"/>
      <c r="L1009" s="291" t="str">
        <f>+IFERROR(VLOOKUP(K1009,'THÀNH PHẨM'!$B:$F,3,0),"")</f>
        <v/>
      </c>
      <c r="M1009" s="291" t="str">
        <f>+IFERROR(VLOOKUP(K1009,'THÀNH PHẨM'!$B:$F,4,0),"")</f>
        <v/>
      </c>
      <c r="N1009" s="291" t="str">
        <f>+IFERROR(VLOOKUP(K1009,'THÀNH PHẨM'!$B:$F,5,0),"")</f>
        <v/>
      </c>
      <c r="O1009" s="289"/>
      <c r="P1009" s="292">
        <f t="shared" si="2"/>
        <v>0</v>
      </c>
      <c r="Q1009" s="289"/>
      <c r="R1009" s="289"/>
      <c r="S1009" s="293">
        <f t="shared" si="62"/>
        <v>0</v>
      </c>
      <c r="T1009" s="294"/>
      <c r="U1009" s="295" t="str">
        <f>IFERROR(VLOOKUP(G1009,'KL NÒNG ỐNG'!$B$2:$E$16,4,0)*I1009*V1009,"")</f>
        <v/>
      </c>
      <c r="V1009" s="296"/>
      <c r="W1009" s="297"/>
      <c r="X1009" s="298"/>
      <c r="Y1009" s="292" t="str">
        <f t="shared" si="69"/>
        <v/>
      </c>
      <c r="Z1009" s="366">
        <f t="shared" si="70"/>
        <v>0</v>
      </c>
      <c r="AA1009" s="299" t="str">
        <f t="shared" si="71"/>
        <v/>
      </c>
      <c r="AB1009" s="300"/>
      <c r="AC1009" s="301"/>
      <c r="AD1009" s="302"/>
      <c r="AE1009" s="303"/>
      <c r="AF1009" s="304"/>
      <c r="AG1009" s="304"/>
      <c r="AH1009" s="304"/>
      <c r="AI1009" s="304"/>
      <c r="AJ1009" s="304"/>
      <c r="AK1009" s="305"/>
      <c r="AL1009" s="283"/>
      <c r="AM1009" s="284"/>
    </row>
    <row r="1010" ht="15.75" customHeight="1">
      <c r="A1010" s="282">
        <f t="shared" si="1"/>
        <v>1006</v>
      </c>
      <c r="B1010" s="283"/>
      <c r="C1010" s="284"/>
      <c r="D1010" s="338"/>
      <c r="E1010" s="286"/>
      <c r="F1010" s="287"/>
      <c r="G1010" s="288" t="str">
        <f>+IFERROR(VLOOKUP(F1010,NVL!$B:$C,2,0),"")</f>
        <v/>
      </c>
      <c r="H1010" s="288" t="str">
        <f>+IFERROR(VLOOKUP(F1010,NVL!$B:$D,3,0),"")</f>
        <v/>
      </c>
      <c r="I1010" s="288" t="str">
        <f>+IFERROR(VLOOKUP(F1010,NVL!$B:$F,4,0),"")</f>
        <v/>
      </c>
      <c r="J1010" s="289"/>
      <c r="K1010" s="290"/>
      <c r="L1010" s="291" t="str">
        <f>+IFERROR(VLOOKUP(K1010,'THÀNH PHẨM'!$B:$F,3,0),"")</f>
        <v/>
      </c>
      <c r="M1010" s="291" t="str">
        <f>+IFERROR(VLOOKUP(K1010,'THÀNH PHẨM'!$B:$F,4,0),"")</f>
        <v/>
      </c>
      <c r="N1010" s="291" t="str">
        <f>+IFERROR(VLOOKUP(K1010,'THÀNH PHẨM'!$B:$F,5,0),"")</f>
        <v/>
      </c>
      <c r="O1010" s="289"/>
      <c r="P1010" s="292">
        <f t="shared" si="2"/>
        <v>0</v>
      </c>
      <c r="Q1010" s="289"/>
      <c r="R1010" s="289"/>
      <c r="S1010" s="293">
        <f t="shared" si="62"/>
        <v>0</v>
      </c>
      <c r="T1010" s="294"/>
      <c r="U1010" s="295" t="str">
        <f>IFERROR(VLOOKUP(G1010,'KL NÒNG ỐNG'!$B$2:$E$16,4,0)*I1010*V1010,"")</f>
        <v/>
      </c>
      <c r="V1010" s="296"/>
      <c r="W1010" s="297"/>
      <c r="X1010" s="298"/>
      <c r="Y1010" s="292" t="str">
        <f t="shared" si="69"/>
        <v/>
      </c>
      <c r="Z1010" s="366">
        <f t="shared" si="70"/>
        <v>0</v>
      </c>
      <c r="AA1010" s="299" t="str">
        <f t="shared" si="71"/>
        <v/>
      </c>
      <c r="AB1010" s="300"/>
      <c r="AC1010" s="301"/>
      <c r="AD1010" s="302"/>
      <c r="AE1010" s="303"/>
      <c r="AF1010" s="304"/>
      <c r="AG1010" s="304"/>
      <c r="AH1010" s="304"/>
      <c r="AI1010" s="304"/>
      <c r="AJ1010" s="304"/>
      <c r="AK1010" s="305"/>
      <c r="AL1010" s="283"/>
      <c r="AM1010" s="284"/>
    </row>
    <row r="1011" ht="15.75" customHeight="1">
      <c r="A1011" s="282">
        <f t="shared" si="1"/>
        <v>1007</v>
      </c>
      <c r="B1011" s="283"/>
      <c r="C1011" s="284"/>
      <c r="D1011" s="338"/>
      <c r="E1011" s="286"/>
      <c r="F1011" s="287"/>
      <c r="G1011" s="288" t="str">
        <f>+IFERROR(VLOOKUP(F1011,NVL!$B:$C,2,0),"")</f>
        <v/>
      </c>
      <c r="H1011" s="288" t="str">
        <f>+IFERROR(VLOOKUP(F1011,NVL!$B:$D,3,0),"")</f>
        <v/>
      </c>
      <c r="I1011" s="288" t="str">
        <f>+IFERROR(VLOOKUP(F1011,NVL!$B:$F,4,0),"")</f>
        <v/>
      </c>
      <c r="J1011" s="289"/>
      <c r="K1011" s="290"/>
      <c r="L1011" s="291" t="str">
        <f>+IFERROR(VLOOKUP(K1011,'THÀNH PHẨM'!$B:$F,3,0),"")</f>
        <v/>
      </c>
      <c r="M1011" s="291" t="str">
        <f>+IFERROR(VLOOKUP(K1011,'THÀNH PHẨM'!$B:$F,4,0),"")</f>
        <v/>
      </c>
      <c r="N1011" s="291" t="str">
        <f>+IFERROR(VLOOKUP(K1011,'THÀNH PHẨM'!$B:$F,5,0),"")</f>
        <v/>
      </c>
      <c r="O1011" s="289"/>
      <c r="P1011" s="292">
        <f t="shared" si="2"/>
        <v>0</v>
      </c>
      <c r="Q1011" s="289"/>
      <c r="R1011" s="289"/>
      <c r="S1011" s="293">
        <f t="shared" si="62"/>
        <v>0</v>
      </c>
      <c r="T1011" s="294"/>
      <c r="U1011" s="295" t="str">
        <f>IFERROR(VLOOKUP(G1011,'KL NÒNG ỐNG'!$B$2:$E$16,4,0)*I1011*V1011,"")</f>
        <v/>
      </c>
      <c r="V1011" s="296"/>
      <c r="W1011" s="297"/>
      <c r="X1011" s="298"/>
      <c r="Y1011" s="292" t="str">
        <f t="shared" si="69"/>
        <v/>
      </c>
      <c r="Z1011" s="366">
        <f t="shared" si="70"/>
        <v>0</v>
      </c>
      <c r="AA1011" s="299" t="str">
        <f t="shared" si="71"/>
        <v/>
      </c>
      <c r="AB1011" s="300"/>
      <c r="AC1011" s="301"/>
      <c r="AD1011" s="302"/>
      <c r="AE1011" s="303"/>
      <c r="AF1011" s="304"/>
      <c r="AG1011" s="304"/>
      <c r="AH1011" s="304"/>
      <c r="AI1011" s="304"/>
      <c r="AJ1011" s="304"/>
      <c r="AK1011" s="305"/>
      <c r="AL1011" s="283"/>
      <c r="AM1011" s="284"/>
    </row>
    <row r="1012" ht="15.75" customHeight="1">
      <c r="A1012" s="282">
        <f t="shared" si="1"/>
        <v>1008</v>
      </c>
      <c r="B1012" s="283"/>
      <c r="C1012" s="284"/>
      <c r="D1012" s="338"/>
      <c r="E1012" s="286"/>
      <c r="F1012" s="287"/>
      <c r="G1012" s="288" t="str">
        <f>+IFERROR(VLOOKUP(F1012,NVL!$B:$C,2,0),"")</f>
        <v/>
      </c>
      <c r="H1012" s="288" t="str">
        <f>+IFERROR(VLOOKUP(F1012,NVL!$B:$D,3,0),"")</f>
        <v/>
      </c>
      <c r="I1012" s="288" t="str">
        <f>+IFERROR(VLOOKUP(F1012,NVL!$B:$F,4,0),"")</f>
        <v/>
      </c>
      <c r="J1012" s="289"/>
      <c r="K1012" s="290"/>
      <c r="L1012" s="291" t="str">
        <f>+IFERROR(VLOOKUP(K1012,'THÀNH PHẨM'!$B:$F,3,0),"")</f>
        <v/>
      </c>
      <c r="M1012" s="291" t="str">
        <f>+IFERROR(VLOOKUP(K1012,'THÀNH PHẨM'!$B:$F,4,0),"")</f>
        <v/>
      </c>
      <c r="N1012" s="291" t="str">
        <f>+IFERROR(VLOOKUP(K1012,'THÀNH PHẨM'!$B:$F,5,0),"")</f>
        <v/>
      </c>
      <c r="O1012" s="289"/>
      <c r="P1012" s="292">
        <f t="shared" si="2"/>
        <v>0</v>
      </c>
      <c r="Q1012" s="289"/>
      <c r="R1012" s="289"/>
      <c r="S1012" s="293">
        <f t="shared" si="62"/>
        <v>0</v>
      </c>
      <c r="T1012" s="294"/>
      <c r="U1012" s="295" t="str">
        <f>IFERROR(VLOOKUP(G1012,'KL NÒNG ỐNG'!$B$2:$E$16,4,0)*I1012*V1012,"")</f>
        <v/>
      </c>
      <c r="V1012" s="296"/>
      <c r="W1012" s="297"/>
      <c r="X1012" s="298"/>
      <c r="Y1012" s="292" t="str">
        <f t="shared" si="69"/>
        <v/>
      </c>
      <c r="Z1012" s="366">
        <f t="shared" si="70"/>
        <v>0</v>
      </c>
      <c r="AA1012" s="299" t="str">
        <f t="shared" si="71"/>
        <v/>
      </c>
      <c r="AB1012" s="300"/>
      <c r="AC1012" s="301"/>
      <c r="AD1012" s="302"/>
      <c r="AE1012" s="303"/>
      <c r="AF1012" s="304"/>
      <c r="AG1012" s="304"/>
      <c r="AH1012" s="304"/>
      <c r="AI1012" s="304"/>
      <c r="AJ1012" s="304"/>
      <c r="AK1012" s="305"/>
      <c r="AL1012" s="283"/>
      <c r="AM1012" s="284"/>
    </row>
    <row r="1013" ht="15.75" customHeight="1">
      <c r="A1013" s="282">
        <f t="shared" si="1"/>
        <v>1009</v>
      </c>
      <c r="B1013" s="283"/>
      <c r="C1013" s="284"/>
      <c r="D1013" s="338"/>
      <c r="E1013" s="286"/>
      <c r="F1013" s="287"/>
      <c r="G1013" s="288" t="str">
        <f>+IFERROR(VLOOKUP(F1013,NVL!$B:$C,2,0),"")</f>
        <v/>
      </c>
      <c r="H1013" s="288" t="str">
        <f>+IFERROR(VLOOKUP(F1013,NVL!$B:$D,3,0),"")</f>
        <v/>
      </c>
      <c r="I1013" s="288" t="str">
        <f>+IFERROR(VLOOKUP(F1013,NVL!$B:$F,4,0),"")</f>
        <v/>
      </c>
      <c r="J1013" s="289"/>
      <c r="K1013" s="290"/>
      <c r="L1013" s="291" t="str">
        <f>+IFERROR(VLOOKUP(K1013,'THÀNH PHẨM'!$B:$F,3,0),"")</f>
        <v/>
      </c>
      <c r="M1013" s="291" t="str">
        <f>+IFERROR(VLOOKUP(K1013,'THÀNH PHẨM'!$B:$F,4,0),"")</f>
        <v/>
      </c>
      <c r="N1013" s="291" t="str">
        <f>+IFERROR(VLOOKUP(K1013,'THÀNH PHẨM'!$B:$F,5,0),"")</f>
        <v/>
      </c>
      <c r="O1013" s="289"/>
      <c r="P1013" s="292">
        <f t="shared" si="2"/>
        <v>0</v>
      </c>
      <c r="Q1013" s="289"/>
      <c r="R1013" s="289"/>
      <c r="S1013" s="293">
        <f t="shared" si="62"/>
        <v>0</v>
      </c>
      <c r="T1013" s="294"/>
      <c r="U1013" s="295" t="str">
        <f>IFERROR(VLOOKUP(G1013,'KL NÒNG ỐNG'!$B$2:$E$16,4,0)*I1013*V1013,"")</f>
        <v/>
      </c>
      <c r="V1013" s="296"/>
      <c r="W1013" s="297"/>
      <c r="X1013" s="298"/>
      <c r="Y1013" s="292" t="str">
        <f t="shared" si="69"/>
        <v/>
      </c>
      <c r="Z1013" s="366">
        <f t="shared" si="70"/>
        <v>0</v>
      </c>
      <c r="AA1013" s="299" t="str">
        <f t="shared" si="71"/>
        <v/>
      </c>
      <c r="AB1013" s="300"/>
      <c r="AC1013" s="301"/>
      <c r="AD1013" s="302"/>
      <c r="AE1013" s="303"/>
      <c r="AF1013" s="304"/>
      <c r="AG1013" s="304"/>
      <c r="AH1013" s="304"/>
      <c r="AI1013" s="304"/>
      <c r="AJ1013" s="304"/>
      <c r="AK1013" s="305"/>
      <c r="AL1013" s="283"/>
      <c r="AM1013" s="284"/>
    </row>
    <row r="1014" ht="15.75" customHeight="1">
      <c r="A1014" s="282">
        <f t="shared" si="1"/>
        <v>1010</v>
      </c>
      <c r="B1014" s="283"/>
      <c r="C1014" s="284"/>
      <c r="D1014" s="338"/>
      <c r="E1014" s="286"/>
      <c r="F1014" s="287"/>
      <c r="G1014" s="288" t="str">
        <f>+IFERROR(VLOOKUP(F1014,NVL!$B:$C,2,0),"")</f>
        <v/>
      </c>
      <c r="H1014" s="288" t="str">
        <f>+IFERROR(VLOOKUP(F1014,NVL!$B:$D,3,0),"")</f>
        <v/>
      </c>
      <c r="I1014" s="288" t="str">
        <f>+IFERROR(VLOOKUP(F1014,NVL!$B:$F,4,0),"")</f>
        <v/>
      </c>
      <c r="J1014" s="289"/>
      <c r="K1014" s="290"/>
      <c r="L1014" s="291" t="str">
        <f>+IFERROR(VLOOKUP(K1014,'THÀNH PHẨM'!$B:$F,3,0),"")</f>
        <v/>
      </c>
      <c r="M1014" s="291" t="str">
        <f>+IFERROR(VLOOKUP(K1014,'THÀNH PHẨM'!$B:$F,4,0),"")</f>
        <v/>
      </c>
      <c r="N1014" s="291" t="str">
        <f>+IFERROR(VLOOKUP(K1014,'THÀNH PHẨM'!$B:$F,5,0),"")</f>
        <v/>
      </c>
      <c r="O1014" s="289"/>
      <c r="P1014" s="292">
        <f t="shared" si="2"/>
        <v>0</v>
      </c>
      <c r="Q1014" s="289"/>
      <c r="R1014" s="289"/>
      <c r="S1014" s="293">
        <f t="shared" si="62"/>
        <v>0</v>
      </c>
      <c r="T1014" s="294"/>
      <c r="U1014" s="295" t="str">
        <f>IFERROR(VLOOKUP(G1014,'KL NÒNG ỐNG'!$B$2:$E$16,4,0)*I1014*V1014,"")</f>
        <v/>
      </c>
      <c r="V1014" s="296"/>
      <c r="W1014" s="297"/>
      <c r="X1014" s="298"/>
      <c r="Y1014" s="292" t="str">
        <f t="shared" si="69"/>
        <v/>
      </c>
      <c r="Z1014" s="366">
        <f t="shared" si="70"/>
        <v>0</v>
      </c>
      <c r="AA1014" s="299" t="str">
        <f t="shared" si="71"/>
        <v/>
      </c>
      <c r="AB1014" s="300"/>
      <c r="AC1014" s="301"/>
      <c r="AD1014" s="302"/>
      <c r="AE1014" s="303"/>
      <c r="AF1014" s="304"/>
      <c r="AG1014" s="304"/>
      <c r="AH1014" s="304"/>
      <c r="AI1014" s="304"/>
      <c r="AJ1014" s="304"/>
      <c r="AK1014" s="305"/>
      <c r="AL1014" s="283"/>
      <c r="AM1014" s="284"/>
    </row>
    <row r="1015" ht="15.75" customHeight="1">
      <c r="A1015" s="282">
        <f t="shared" si="1"/>
        <v>1011</v>
      </c>
      <c r="B1015" s="283"/>
      <c r="C1015" s="284"/>
      <c r="D1015" s="338"/>
      <c r="E1015" s="286"/>
      <c r="F1015" s="287"/>
      <c r="G1015" s="288" t="str">
        <f>+IFERROR(VLOOKUP(F1015,NVL!$B:$C,2,0),"")</f>
        <v/>
      </c>
      <c r="H1015" s="288" t="str">
        <f>+IFERROR(VLOOKUP(F1015,NVL!$B:$D,3,0),"")</f>
        <v/>
      </c>
      <c r="I1015" s="288" t="str">
        <f>+IFERROR(VLOOKUP(F1015,NVL!$B:$F,4,0),"")</f>
        <v/>
      </c>
      <c r="J1015" s="289"/>
      <c r="K1015" s="290"/>
      <c r="L1015" s="291" t="str">
        <f>+IFERROR(VLOOKUP(K1015,'THÀNH PHẨM'!$B:$F,3,0),"")</f>
        <v/>
      </c>
      <c r="M1015" s="291" t="str">
        <f>+IFERROR(VLOOKUP(K1015,'THÀNH PHẨM'!$B:$F,4,0),"")</f>
        <v/>
      </c>
      <c r="N1015" s="291" t="str">
        <f>+IFERROR(VLOOKUP(K1015,'THÀNH PHẨM'!$B:$F,5,0),"")</f>
        <v/>
      </c>
      <c r="O1015" s="289"/>
      <c r="P1015" s="292">
        <f t="shared" si="2"/>
        <v>0</v>
      </c>
      <c r="Q1015" s="289"/>
      <c r="R1015" s="289"/>
      <c r="S1015" s="293">
        <f t="shared" si="62"/>
        <v>0</v>
      </c>
      <c r="T1015" s="294"/>
      <c r="U1015" s="295" t="str">
        <f>IFERROR(VLOOKUP(G1015,'KL NÒNG ỐNG'!$B$2:$E$16,4,0)*I1015*V1015,"")</f>
        <v/>
      </c>
      <c r="V1015" s="296"/>
      <c r="W1015" s="297"/>
      <c r="X1015" s="298"/>
      <c r="Y1015" s="292" t="str">
        <f t="shared" si="69"/>
        <v/>
      </c>
      <c r="Z1015" s="366">
        <f t="shared" si="70"/>
        <v>0</v>
      </c>
      <c r="AA1015" s="299" t="str">
        <f t="shared" si="71"/>
        <v/>
      </c>
      <c r="AB1015" s="300"/>
      <c r="AC1015" s="301"/>
      <c r="AD1015" s="302"/>
      <c r="AE1015" s="303"/>
      <c r="AF1015" s="304"/>
      <c r="AG1015" s="304"/>
      <c r="AH1015" s="304"/>
      <c r="AI1015" s="304"/>
      <c r="AJ1015" s="304"/>
      <c r="AK1015" s="305"/>
      <c r="AL1015" s="283"/>
      <c r="AM1015" s="284"/>
    </row>
    <row r="1016" ht="15.75" customHeight="1">
      <c r="A1016" s="282">
        <f t="shared" si="1"/>
        <v>1012</v>
      </c>
      <c r="B1016" s="283"/>
      <c r="C1016" s="284"/>
      <c r="D1016" s="338"/>
      <c r="E1016" s="286"/>
      <c r="F1016" s="287"/>
      <c r="G1016" s="288" t="str">
        <f>+IFERROR(VLOOKUP(F1016,NVL!$B:$C,2,0),"")</f>
        <v/>
      </c>
      <c r="H1016" s="288" t="str">
        <f>+IFERROR(VLOOKUP(F1016,NVL!$B:$D,3,0),"")</f>
        <v/>
      </c>
      <c r="I1016" s="288" t="str">
        <f>+IFERROR(VLOOKUP(F1016,NVL!$B:$F,4,0),"")</f>
        <v/>
      </c>
      <c r="J1016" s="289"/>
      <c r="K1016" s="290"/>
      <c r="L1016" s="291" t="str">
        <f>+IFERROR(VLOOKUP(K1016,'THÀNH PHẨM'!$B:$F,3,0),"")</f>
        <v/>
      </c>
      <c r="M1016" s="291" t="str">
        <f>+IFERROR(VLOOKUP(K1016,'THÀNH PHẨM'!$B:$F,4,0),"")</f>
        <v/>
      </c>
      <c r="N1016" s="291" t="str">
        <f>+IFERROR(VLOOKUP(K1016,'THÀNH PHẨM'!$B:$F,5,0),"")</f>
        <v/>
      </c>
      <c r="O1016" s="289"/>
      <c r="P1016" s="292">
        <f t="shared" si="2"/>
        <v>0</v>
      </c>
      <c r="Q1016" s="289"/>
      <c r="R1016" s="289"/>
      <c r="S1016" s="293">
        <f t="shared" si="62"/>
        <v>0</v>
      </c>
      <c r="T1016" s="294"/>
      <c r="U1016" s="295" t="str">
        <f>IFERROR(VLOOKUP(G1016,'KL NÒNG ỐNG'!$B$2:$E$16,4,0)*I1016*V1016,"")</f>
        <v/>
      </c>
      <c r="V1016" s="296"/>
      <c r="W1016" s="297"/>
      <c r="X1016" s="298"/>
      <c r="Y1016" s="292" t="str">
        <f t="shared" si="69"/>
        <v/>
      </c>
      <c r="Z1016" s="366">
        <f t="shared" si="70"/>
        <v>0</v>
      </c>
      <c r="AA1016" s="299" t="str">
        <f t="shared" si="71"/>
        <v/>
      </c>
      <c r="AB1016" s="300"/>
      <c r="AC1016" s="301"/>
      <c r="AD1016" s="302"/>
      <c r="AE1016" s="303"/>
      <c r="AF1016" s="304"/>
      <c r="AG1016" s="304"/>
      <c r="AH1016" s="304"/>
      <c r="AI1016" s="304"/>
      <c r="AJ1016" s="304"/>
      <c r="AK1016" s="305"/>
      <c r="AL1016" s="283"/>
      <c r="AM1016" s="284"/>
    </row>
    <row r="1017" ht="15.75" customHeight="1">
      <c r="A1017" s="282">
        <f t="shared" si="1"/>
        <v>1013</v>
      </c>
      <c r="B1017" s="283"/>
      <c r="C1017" s="284"/>
      <c r="D1017" s="338"/>
      <c r="E1017" s="286"/>
      <c r="F1017" s="287"/>
      <c r="G1017" s="288" t="str">
        <f>+IFERROR(VLOOKUP(F1017,NVL!$B:$C,2,0),"")</f>
        <v/>
      </c>
      <c r="H1017" s="288" t="str">
        <f>+IFERROR(VLOOKUP(F1017,NVL!$B:$D,3,0),"")</f>
        <v/>
      </c>
      <c r="I1017" s="288" t="str">
        <f>+IFERROR(VLOOKUP(F1017,NVL!$B:$F,4,0),"")</f>
        <v/>
      </c>
      <c r="J1017" s="289"/>
      <c r="K1017" s="290"/>
      <c r="L1017" s="291" t="str">
        <f>+IFERROR(VLOOKUP(K1017,'THÀNH PHẨM'!$B:$F,3,0),"")</f>
        <v/>
      </c>
      <c r="M1017" s="291" t="str">
        <f>+IFERROR(VLOOKUP(K1017,'THÀNH PHẨM'!$B:$F,4,0),"")</f>
        <v/>
      </c>
      <c r="N1017" s="291" t="str">
        <f>+IFERROR(VLOOKUP(K1017,'THÀNH PHẨM'!$B:$F,5,0),"")</f>
        <v/>
      </c>
      <c r="O1017" s="289"/>
      <c r="P1017" s="292">
        <f t="shared" si="2"/>
        <v>0</v>
      </c>
      <c r="Q1017" s="289"/>
      <c r="R1017" s="289"/>
      <c r="S1017" s="293">
        <f t="shared" si="62"/>
        <v>0</v>
      </c>
      <c r="T1017" s="294"/>
      <c r="U1017" s="295" t="str">
        <f>IFERROR(VLOOKUP(G1017,'KL NÒNG ỐNG'!$B$2:$E$16,4,0)*I1017*V1017,"")</f>
        <v/>
      </c>
      <c r="V1017" s="296"/>
      <c r="W1017" s="297"/>
      <c r="X1017" s="298"/>
      <c r="Y1017" s="292" t="str">
        <f t="shared" si="69"/>
        <v/>
      </c>
      <c r="Z1017" s="366">
        <f t="shared" si="70"/>
        <v>0</v>
      </c>
      <c r="AA1017" s="299" t="str">
        <f t="shared" si="71"/>
        <v/>
      </c>
      <c r="AB1017" s="300"/>
      <c r="AC1017" s="301"/>
      <c r="AD1017" s="302"/>
      <c r="AE1017" s="303"/>
      <c r="AF1017" s="304"/>
      <c r="AG1017" s="304"/>
      <c r="AH1017" s="304"/>
      <c r="AI1017" s="304"/>
      <c r="AJ1017" s="304"/>
      <c r="AK1017" s="305"/>
      <c r="AL1017" s="283"/>
      <c r="AM1017" s="284"/>
    </row>
    <row r="1018" ht="15.75" customHeight="1">
      <c r="A1018" s="282">
        <f t="shared" si="1"/>
        <v>1014</v>
      </c>
      <c r="B1018" s="283"/>
      <c r="C1018" s="284"/>
      <c r="D1018" s="338"/>
      <c r="E1018" s="286"/>
      <c r="F1018" s="287"/>
      <c r="G1018" s="288" t="str">
        <f>+IFERROR(VLOOKUP(F1018,NVL!$B:$C,2,0),"")</f>
        <v/>
      </c>
      <c r="H1018" s="288" t="str">
        <f>+IFERROR(VLOOKUP(F1018,NVL!$B:$D,3,0),"")</f>
        <v/>
      </c>
      <c r="I1018" s="288" t="str">
        <f>+IFERROR(VLOOKUP(F1018,NVL!$B:$F,4,0),"")</f>
        <v/>
      </c>
      <c r="J1018" s="289"/>
      <c r="K1018" s="290"/>
      <c r="L1018" s="291" t="str">
        <f>+IFERROR(VLOOKUP(K1018,'THÀNH PHẨM'!$B:$F,3,0),"")</f>
        <v/>
      </c>
      <c r="M1018" s="291" t="str">
        <f>+IFERROR(VLOOKUP(K1018,'THÀNH PHẨM'!$B:$F,4,0),"")</f>
        <v/>
      </c>
      <c r="N1018" s="291" t="str">
        <f>+IFERROR(VLOOKUP(K1018,'THÀNH PHẨM'!$B:$F,5,0),"")</f>
        <v/>
      </c>
      <c r="O1018" s="289"/>
      <c r="P1018" s="292">
        <f t="shared" si="2"/>
        <v>0</v>
      </c>
      <c r="Q1018" s="289"/>
      <c r="R1018" s="289"/>
      <c r="S1018" s="293">
        <f t="shared" si="62"/>
        <v>0</v>
      </c>
      <c r="T1018" s="294"/>
      <c r="U1018" s="295" t="str">
        <f>IFERROR(VLOOKUP(G1018,'KL NÒNG ỐNG'!$B$2:$E$16,4,0)*I1018*V1018,"")</f>
        <v/>
      </c>
      <c r="V1018" s="296"/>
      <c r="W1018" s="297"/>
      <c r="X1018" s="298"/>
      <c r="Y1018" s="292" t="str">
        <f t="shared" si="69"/>
        <v/>
      </c>
      <c r="Z1018" s="366">
        <f t="shared" si="70"/>
        <v>0</v>
      </c>
      <c r="AA1018" s="299" t="str">
        <f t="shared" si="71"/>
        <v/>
      </c>
      <c r="AB1018" s="300"/>
      <c r="AC1018" s="301"/>
      <c r="AD1018" s="302"/>
      <c r="AE1018" s="303"/>
      <c r="AF1018" s="304"/>
      <c r="AG1018" s="304"/>
      <c r="AH1018" s="304"/>
      <c r="AI1018" s="304"/>
      <c r="AJ1018" s="304"/>
      <c r="AK1018" s="305"/>
      <c r="AL1018" s="283"/>
      <c r="AM1018" s="284"/>
    </row>
    <row r="1019" ht="15.75" customHeight="1">
      <c r="A1019" s="282">
        <f t="shared" si="1"/>
        <v>1015</v>
      </c>
      <c r="B1019" s="283"/>
      <c r="C1019" s="284"/>
      <c r="D1019" s="338"/>
      <c r="E1019" s="286"/>
      <c r="F1019" s="287"/>
      <c r="G1019" s="288" t="str">
        <f>+IFERROR(VLOOKUP(F1019,NVL!$B:$C,2,0),"")</f>
        <v/>
      </c>
      <c r="H1019" s="288" t="str">
        <f>+IFERROR(VLOOKUP(F1019,NVL!$B:$D,3,0),"")</f>
        <v/>
      </c>
      <c r="I1019" s="288" t="str">
        <f>+IFERROR(VLOOKUP(F1019,NVL!$B:$F,4,0),"")</f>
        <v/>
      </c>
      <c r="J1019" s="289"/>
      <c r="K1019" s="290"/>
      <c r="L1019" s="291" t="str">
        <f>+IFERROR(VLOOKUP(K1019,'THÀNH PHẨM'!$B:$F,3,0),"")</f>
        <v/>
      </c>
      <c r="M1019" s="291" t="str">
        <f>+IFERROR(VLOOKUP(K1019,'THÀNH PHẨM'!$B:$F,4,0),"")</f>
        <v/>
      </c>
      <c r="N1019" s="291" t="str">
        <f>+IFERROR(VLOOKUP(K1019,'THÀNH PHẨM'!$B:$F,5,0),"")</f>
        <v/>
      </c>
      <c r="O1019" s="289"/>
      <c r="P1019" s="292">
        <f t="shared" si="2"/>
        <v>0</v>
      </c>
      <c r="Q1019" s="289"/>
      <c r="R1019" s="289"/>
      <c r="S1019" s="293">
        <f t="shared" si="62"/>
        <v>0</v>
      </c>
      <c r="T1019" s="294"/>
      <c r="U1019" s="295" t="str">
        <f>IFERROR(VLOOKUP(G1019,'KL NÒNG ỐNG'!$B$2:$E$16,4,0)*I1019*V1019,"")</f>
        <v/>
      </c>
      <c r="V1019" s="296"/>
      <c r="W1019" s="297"/>
      <c r="X1019" s="298"/>
      <c r="Y1019" s="292" t="str">
        <f t="shared" si="69"/>
        <v/>
      </c>
      <c r="Z1019" s="366">
        <f t="shared" si="70"/>
        <v>0</v>
      </c>
      <c r="AA1019" s="299" t="str">
        <f t="shared" si="71"/>
        <v/>
      </c>
      <c r="AB1019" s="300"/>
      <c r="AC1019" s="301"/>
      <c r="AD1019" s="302"/>
      <c r="AE1019" s="303"/>
      <c r="AF1019" s="304"/>
      <c r="AG1019" s="304"/>
      <c r="AH1019" s="304"/>
      <c r="AI1019" s="304"/>
      <c r="AJ1019" s="304"/>
      <c r="AK1019" s="305"/>
      <c r="AL1019" s="283"/>
      <c r="AM1019" s="284"/>
    </row>
    <row r="1020" ht="15.75" customHeight="1">
      <c r="A1020" s="282">
        <f t="shared" si="1"/>
        <v>1016</v>
      </c>
      <c r="B1020" s="283"/>
      <c r="C1020" s="284"/>
      <c r="D1020" s="338"/>
      <c r="E1020" s="286"/>
      <c r="F1020" s="287"/>
      <c r="G1020" s="288" t="str">
        <f>+IFERROR(VLOOKUP(F1020,NVL!$B:$C,2,0),"")</f>
        <v/>
      </c>
      <c r="H1020" s="288" t="str">
        <f>+IFERROR(VLOOKUP(F1020,NVL!$B:$D,3,0),"")</f>
        <v/>
      </c>
      <c r="I1020" s="288" t="str">
        <f>+IFERROR(VLOOKUP(F1020,NVL!$B:$F,4,0),"")</f>
        <v/>
      </c>
      <c r="J1020" s="289"/>
      <c r="K1020" s="290"/>
      <c r="L1020" s="291" t="str">
        <f>+IFERROR(VLOOKUP(K1020,'THÀNH PHẨM'!$B:$F,3,0),"")</f>
        <v/>
      </c>
      <c r="M1020" s="291" t="str">
        <f>+IFERROR(VLOOKUP(K1020,'THÀNH PHẨM'!$B:$F,4,0),"")</f>
        <v/>
      </c>
      <c r="N1020" s="291" t="str">
        <f>+IFERROR(VLOOKUP(K1020,'THÀNH PHẨM'!$B:$F,5,0),"")</f>
        <v/>
      </c>
      <c r="O1020" s="289"/>
      <c r="P1020" s="292">
        <f t="shared" si="2"/>
        <v>0</v>
      </c>
      <c r="Q1020" s="289"/>
      <c r="R1020" s="289"/>
      <c r="S1020" s="293">
        <f t="shared" si="62"/>
        <v>0</v>
      </c>
      <c r="T1020" s="294"/>
      <c r="U1020" s="295" t="str">
        <f>IFERROR(VLOOKUP(G1020,'KL NÒNG ỐNG'!$B$2:$E$16,4,0)*I1020*V1020,"")</f>
        <v/>
      </c>
      <c r="V1020" s="296"/>
      <c r="W1020" s="297"/>
      <c r="X1020" s="298"/>
      <c r="Y1020" s="292" t="str">
        <f t="shared" si="69"/>
        <v/>
      </c>
      <c r="Z1020" s="366">
        <f t="shared" si="70"/>
        <v>0</v>
      </c>
      <c r="AA1020" s="299" t="str">
        <f t="shared" si="71"/>
        <v/>
      </c>
      <c r="AB1020" s="300"/>
      <c r="AC1020" s="301"/>
      <c r="AD1020" s="302"/>
      <c r="AE1020" s="303"/>
      <c r="AF1020" s="304"/>
      <c r="AG1020" s="304"/>
      <c r="AH1020" s="304"/>
      <c r="AI1020" s="304"/>
      <c r="AJ1020" s="304"/>
      <c r="AK1020" s="305"/>
      <c r="AL1020" s="283"/>
      <c r="AM1020" s="284"/>
    </row>
    <row r="1021" ht="15.75" customHeight="1">
      <c r="A1021" s="282">
        <f t="shared" si="1"/>
        <v>1017</v>
      </c>
      <c r="B1021" s="283"/>
      <c r="C1021" s="284"/>
      <c r="D1021" s="338"/>
      <c r="E1021" s="286"/>
      <c r="F1021" s="287"/>
      <c r="G1021" s="288" t="str">
        <f>+IFERROR(VLOOKUP(F1021,NVL!$B:$C,2,0),"")</f>
        <v/>
      </c>
      <c r="H1021" s="288" t="str">
        <f>+IFERROR(VLOOKUP(F1021,NVL!$B:$D,3,0),"")</f>
        <v/>
      </c>
      <c r="I1021" s="288" t="str">
        <f>+IFERROR(VLOOKUP(F1021,NVL!$B:$F,4,0),"")</f>
        <v/>
      </c>
      <c r="J1021" s="289"/>
      <c r="K1021" s="290"/>
      <c r="L1021" s="291" t="str">
        <f>+IFERROR(VLOOKUP(K1021,'THÀNH PHẨM'!$B:$F,3,0),"")</f>
        <v/>
      </c>
      <c r="M1021" s="291" t="str">
        <f>+IFERROR(VLOOKUP(K1021,'THÀNH PHẨM'!$B:$F,4,0),"")</f>
        <v/>
      </c>
      <c r="N1021" s="291" t="str">
        <f>+IFERROR(VLOOKUP(K1021,'THÀNH PHẨM'!$B:$F,5,0),"")</f>
        <v/>
      </c>
      <c r="O1021" s="289"/>
      <c r="P1021" s="292">
        <f t="shared" si="2"/>
        <v>0</v>
      </c>
      <c r="Q1021" s="289"/>
      <c r="R1021" s="289"/>
      <c r="S1021" s="293">
        <f t="shared" si="62"/>
        <v>0</v>
      </c>
      <c r="T1021" s="294"/>
      <c r="U1021" s="295" t="str">
        <f>IFERROR(VLOOKUP(G1021,'KL NÒNG ỐNG'!$B$2:$E$16,4,0)*I1021*V1021,"")</f>
        <v/>
      </c>
      <c r="V1021" s="296"/>
      <c r="W1021" s="297"/>
      <c r="X1021" s="298"/>
      <c r="Y1021" s="292" t="str">
        <f t="shared" si="69"/>
        <v/>
      </c>
      <c r="Z1021" s="366">
        <f t="shared" si="70"/>
        <v>0</v>
      </c>
      <c r="AA1021" s="299" t="str">
        <f t="shared" si="71"/>
        <v/>
      </c>
      <c r="AB1021" s="300"/>
      <c r="AC1021" s="301"/>
      <c r="AD1021" s="302"/>
      <c r="AE1021" s="303"/>
      <c r="AF1021" s="304"/>
      <c r="AG1021" s="304"/>
      <c r="AH1021" s="304"/>
      <c r="AI1021" s="304"/>
      <c r="AJ1021" s="304"/>
      <c r="AK1021" s="305"/>
      <c r="AL1021" s="283"/>
      <c r="AM1021" s="446"/>
    </row>
    <row r="1022" ht="15.75" customHeight="1">
      <c r="A1022" s="282">
        <f t="shared" si="1"/>
        <v>1018</v>
      </c>
      <c r="B1022" s="283"/>
      <c r="C1022" s="284"/>
      <c r="D1022" s="338"/>
      <c r="E1022" s="286"/>
      <c r="F1022" s="287"/>
      <c r="G1022" s="288" t="str">
        <f>+IFERROR(VLOOKUP(F1022,NVL!$B:$C,2,0),"")</f>
        <v/>
      </c>
      <c r="H1022" s="288" t="str">
        <f>+IFERROR(VLOOKUP(F1022,NVL!$B:$D,3,0),"")</f>
        <v/>
      </c>
      <c r="I1022" s="288" t="str">
        <f>+IFERROR(VLOOKUP(F1022,NVL!$B:$F,4,0),"")</f>
        <v/>
      </c>
      <c r="J1022" s="289"/>
      <c r="K1022" s="290"/>
      <c r="L1022" s="291" t="str">
        <f>+IFERROR(VLOOKUP(K1022,'THÀNH PHẨM'!$B:$F,3,0),"")</f>
        <v/>
      </c>
      <c r="M1022" s="291" t="str">
        <f>+IFERROR(VLOOKUP(K1022,'THÀNH PHẨM'!$B:$F,4,0),"")</f>
        <v/>
      </c>
      <c r="N1022" s="291" t="str">
        <f>+IFERROR(VLOOKUP(K1022,'THÀNH PHẨM'!$B:$F,5,0),"")</f>
        <v/>
      </c>
      <c r="O1022" s="289"/>
      <c r="P1022" s="292">
        <f t="shared" si="2"/>
        <v>0</v>
      </c>
      <c r="Q1022" s="289"/>
      <c r="R1022" s="289"/>
      <c r="S1022" s="293">
        <f t="shared" si="62"/>
        <v>0</v>
      </c>
      <c r="T1022" s="294"/>
      <c r="U1022" s="295" t="str">
        <f>IFERROR(VLOOKUP(G1022,'KL NÒNG ỐNG'!$B$2:$E$16,4,0)*I1022*V1022,"")</f>
        <v/>
      </c>
      <c r="V1022" s="296"/>
      <c r="W1022" s="297"/>
      <c r="X1022" s="298"/>
      <c r="Y1022" s="292" t="str">
        <f t="shared" si="69"/>
        <v/>
      </c>
      <c r="Z1022" s="366">
        <f t="shared" si="70"/>
        <v>0</v>
      </c>
      <c r="AA1022" s="299" t="str">
        <f t="shared" si="71"/>
        <v/>
      </c>
      <c r="AB1022" s="300"/>
      <c r="AC1022" s="301"/>
      <c r="AD1022" s="302"/>
      <c r="AE1022" s="303"/>
      <c r="AF1022" s="304"/>
      <c r="AG1022" s="304"/>
      <c r="AH1022" s="304"/>
      <c r="AI1022" s="304"/>
      <c r="AJ1022" s="304"/>
      <c r="AK1022" s="305"/>
      <c r="AL1022" s="283"/>
      <c r="AM1022" s="284"/>
    </row>
    <row r="1023" ht="15.75" customHeight="1">
      <c r="A1023" s="282">
        <f t="shared" si="1"/>
        <v>1019</v>
      </c>
      <c r="B1023" s="283"/>
      <c r="C1023" s="284"/>
      <c r="D1023" s="338"/>
      <c r="E1023" s="286"/>
      <c r="F1023" s="287"/>
      <c r="G1023" s="288" t="str">
        <f>+IFERROR(VLOOKUP(F1023,NVL!$B:$C,2,0),"")</f>
        <v/>
      </c>
      <c r="H1023" s="288" t="str">
        <f>+IFERROR(VLOOKUP(F1023,NVL!$B:$D,3,0),"")</f>
        <v/>
      </c>
      <c r="I1023" s="288" t="str">
        <f>+IFERROR(VLOOKUP(F1023,NVL!$B:$F,4,0),"")</f>
        <v/>
      </c>
      <c r="J1023" s="289"/>
      <c r="K1023" s="290"/>
      <c r="L1023" s="291" t="str">
        <f>+IFERROR(VLOOKUP(K1023,'THÀNH PHẨM'!$B:$F,3,0),"")</f>
        <v/>
      </c>
      <c r="M1023" s="291" t="str">
        <f>+IFERROR(VLOOKUP(K1023,'THÀNH PHẨM'!$B:$F,4,0),"")</f>
        <v/>
      </c>
      <c r="N1023" s="291" t="str">
        <f>+IFERROR(VLOOKUP(K1023,'THÀNH PHẨM'!$B:$F,5,0),"")</f>
        <v/>
      </c>
      <c r="O1023" s="289"/>
      <c r="P1023" s="292">
        <f t="shared" si="2"/>
        <v>0</v>
      </c>
      <c r="Q1023" s="289"/>
      <c r="R1023" s="289"/>
      <c r="S1023" s="293">
        <f t="shared" si="62"/>
        <v>0</v>
      </c>
      <c r="T1023" s="294"/>
      <c r="U1023" s="295" t="str">
        <f>IFERROR(VLOOKUP(G1023,'KL NÒNG ỐNG'!$B$2:$E$16,4,0)*I1023*V1023,"")</f>
        <v/>
      </c>
      <c r="V1023" s="296"/>
      <c r="W1023" s="297"/>
      <c r="X1023" s="298"/>
      <c r="Y1023" s="292" t="str">
        <f t="shared" si="69"/>
        <v/>
      </c>
      <c r="Z1023" s="366">
        <f t="shared" si="70"/>
        <v>0</v>
      </c>
      <c r="AA1023" s="299" t="str">
        <f t="shared" si="71"/>
        <v/>
      </c>
      <c r="AB1023" s="300"/>
      <c r="AC1023" s="301"/>
      <c r="AD1023" s="302"/>
      <c r="AE1023" s="303"/>
      <c r="AF1023" s="304"/>
      <c r="AG1023" s="304"/>
      <c r="AH1023" s="304"/>
      <c r="AI1023" s="304"/>
      <c r="AJ1023" s="304"/>
      <c r="AK1023" s="305"/>
      <c r="AL1023" s="283"/>
      <c r="AM1023" s="284"/>
    </row>
    <row r="1024" ht="15.75" customHeight="1">
      <c r="A1024" s="282">
        <f t="shared" si="1"/>
        <v>1020</v>
      </c>
      <c r="B1024" s="283"/>
      <c r="C1024" s="284"/>
      <c r="D1024" s="338"/>
      <c r="E1024" s="286"/>
      <c r="F1024" s="287"/>
      <c r="G1024" s="288" t="str">
        <f>+IFERROR(VLOOKUP(F1024,NVL!$B:$C,2,0),"")</f>
        <v/>
      </c>
      <c r="H1024" s="288" t="str">
        <f>+IFERROR(VLOOKUP(F1024,NVL!$B:$D,3,0),"")</f>
        <v/>
      </c>
      <c r="I1024" s="288" t="str">
        <f>+IFERROR(VLOOKUP(F1024,NVL!$B:$F,4,0),"")</f>
        <v/>
      </c>
      <c r="J1024" s="289"/>
      <c r="K1024" s="290"/>
      <c r="L1024" s="291" t="str">
        <f>+IFERROR(VLOOKUP(K1024,'THÀNH PHẨM'!$B:$F,3,0),"")</f>
        <v/>
      </c>
      <c r="M1024" s="291" t="str">
        <f>+IFERROR(VLOOKUP(K1024,'THÀNH PHẨM'!$B:$F,4,0),"")</f>
        <v/>
      </c>
      <c r="N1024" s="291" t="str">
        <f>+IFERROR(VLOOKUP(K1024,'THÀNH PHẨM'!$B:$F,5,0),"")</f>
        <v/>
      </c>
      <c r="O1024" s="289"/>
      <c r="P1024" s="292">
        <f t="shared" si="2"/>
        <v>0</v>
      </c>
      <c r="Q1024" s="289"/>
      <c r="R1024" s="289"/>
      <c r="S1024" s="293">
        <f t="shared" si="62"/>
        <v>0</v>
      </c>
      <c r="T1024" s="294"/>
      <c r="U1024" s="295" t="str">
        <f>IFERROR(VLOOKUP(G1024,'KL NÒNG ỐNG'!$B$2:$E$16,4,0)*I1024*V1024,"")</f>
        <v/>
      </c>
      <c r="V1024" s="296"/>
      <c r="W1024" s="297"/>
      <c r="X1024" s="298"/>
      <c r="Y1024" s="292" t="str">
        <f t="shared" si="69"/>
        <v/>
      </c>
      <c r="Z1024" s="366">
        <f t="shared" si="70"/>
        <v>0</v>
      </c>
      <c r="AA1024" s="299" t="str">
        <f t="shared" si="71"/>
        <v/>
      </c>
      <c r="AB1024" s="300"/>
      <c r="AC1024" s="301"/>
      <c r="AD1024" s="302"/>
      <c r="AE1024" s="303"/>
      <c r="AF1024" s="304"/>
      <c r="AG1024" s="304"/>
      <c r="AH1024" s="304"/>
      <c r="AI1024" s="304"/>
      <c r="AJ1024" s="304"/>
      <c r="AK1024" s="298"/>
      <c r="AL1024" s="283"/>
      <c r="AM1024" s="284"/>
    </row>
    <row r="1025" ht="15.75" customHeight="1">
      <c r="A1025" s="282">
        <f t="shared" si="1"/>
        <v>1021</v>
      </c>
      <c r="B1025" s="283"/>
      <c r="C1025" s="284"/>
      <c r="D1025" s="338"/>
      <c r="E1025" s="286"/>
      <c r="F1025" s="287"/>
      <c r="G1025" s="288" t="str">
        <f>+IFERROR(VLOOKUP(F1025,NVL!$B:$C,2,0),"")</f>
        <v/>
      </c>
      <c r="H1025" s="288" t="str">
        <f>+IFERROR(VLOOKUP(F1025,NVL!$B:$D,3,0),"")</f>
        <v/>
      </c>
      <c r="I1025" s="288" t="str">
        <f>+IFERROR(VLOOKUP(F1025,NVL!$B:$F,4,0),"")</f>
        <v/>
      </c>
      <c r="J1025" s="289"/>
      <c r="K1025" s="290"/>
      <c r="L1025" s="291" t="str">
        <f>+IFERROR(VLOOKUP(K1025,'THÀNH PHẨM'!$B:$F,3,0),"")</f>
        <v/>
      </c>
      <c r="M1025" s="291" t="str">
        <f>+IFERROR(VLOOKUP(K1025,'THÀNH PHẨM'!$B:$F,4,0),"")</f>
        <v/>
      </c>
      <c r="N1025" s="291" t="str">
        <f>+IFERROR(VLOOKUP(K1025,'THÀNH PHẨM'!$B:$F,5,0),"")</f>
        <v/>
      </c>
      <c r="O1025" s="289"/>
      <c r="P1025" s="292">
        <f t="shared" si="2"/>
        <v>0</v>
      </c>
      <c r="Q1025" s="289"/>
      <c r="R1025" s="289"/>
      <c r="S1025" s="293">
        <f t="shared" si="62"/>
        <v>0</v>
      </c>
      <c r="T1025" s="294"/>
      <c r="U1025" s="295" t="str">
        <f>IFERROR(VLOOKUP(G1025,'KL NÒNG ỐNG'!$B$2:$E$16,4,0)*I1025*V1025,"")</f>
        <v/>
      </c>
      <c r="V1025" s="296"/>
      <c r="W1025" s="297"/>
      <c r="X1025" s="298"/>
      <c r="Y1025" s="292" t="str">
        <f t="shared" si="69"/>
        <v/>
      </c>
      <c r="Z1025" s="366">
        <f t="shared" si="70"/>
        <v>0</v>
      </c>
      <c r="AA1025" s="299" t="str">
        <f t="shared" si="71"/>
        <v/>
      </c>
      <c r="AB1025" s="300"/>
      <c r="AC1025" s="301"/>
      <c r="AD1025" s="302"/>
      <c r="AE1025" s="303"/>
      <c r="AF1025" s="304"/>
      <c r="AG1025" s="304"/>
      <c r="AH1025" s="304"/>
      <c r="AI1025" s="304"/>
      <c r="AJ1025" s="304"/>
      <c r="AK1025" s="305"/>
      <c r="AL1025" s="283"/>
      <c r="AM1025" s="284"/>
    </row>
    <row r="1026" ht="15.75" customHeight="1">
      <c r="A1026" s="282">
        <f t="shared" si="1"/>
        <v>1022</v>
      </c>
      <c r="B1026" s="283"/>
      <c r="C1026" s="284"/>
      <c r="D1026" s="338"/>
      <c r="E1026" s="286"/>
      <c r="F1026" s="287"/>
      <c r="G1026" s="288" t="str">
        <f>+IFERROR(VLOOKUP(F1026,NVL!$B:$C,2,0),"")</f>
        <v/>
      </c>
      <c r="H1026" s="288" t="str">
        <f>+IFERROR(VLOOKUP(F1026,NVL!$B:$D,3,0),"")</f>
        <v/>
      </c>
      <c r="I1026" s="288" t="str">
        <f>+IFERROR(VLOOKUP(F1026,NVL!$B:$F,4,0),"")</f>
        <v/>
      </c>
      <c r="J1026" s="289"/>
      <c r="K1026" s="290"/>
      <c r="L1026" s="291" t="str">
        <f>+IFERROR(VLOOKUP(K1026,'THÀNH PHẨM'!$B:$F,3,0),"")</f>
        <v/>
      </c>
      <c r="M1026" s="291" t="str">
        <f>+IFERROR(VLOOKUP(K1026,'THÀNH PHẨM'!$B:$F,4,0),"")</f>
        <v/>
      </c>
      <c r="N1026" s="291" t="str">
        <f>+IFERROR(VLOOKUP(K1026,'THÀNH PHẨM'!$B:$F,5,0),"")</f>
        <v/>
      </c>
      <c r="O1026" s="289"/>
      <c r="P1026" s="292">
        <f t="shared" si="2"/>
        <v>0</v>
      </c>
      <c r="Q1026" s="289"/>
      <c r="R1026" s="289"/>
      <c r="S1026" s="293">
        <f t="shared" si="62"/>
        <v>0</v>
      </c>
      <c r="T1026" s="294"/>
      <c r="U1026" s="295" t="str">
        <f>IFERROR(VLOOKUP(G1026,'KL NÒNG ỐNG'!$B$2:$E$16,4,0)*I1026*V1026,"")</f>
        <v/>
      </c>
      <c r="V1026" s="296"/>
      <c r="W1026" s="297"/>
      <c r="X1026" s="298"/>
      <c r="Y1026" s="292" t="str">
        <f t="shared" si="69"/>
        <v/>
      </c>
      <c r="Z1026" s="366">
        <f t="shared" si="70"/>
        <v>0</v>
      </c>
      <c r="AA1026" s="299" t="str">
        <f t="shared" si="71"/>
        <v/>
      </c>
      <c r="AB1026" s="300"/>
      <c r="AC1026" s="301"/>
      <c r="AD1026" s="302"/>
      <c r="AE1026" s="303"/>
      <c r="AF1026" s="304"/>
      <c r="AG1026" s="304"/>
      <c r="AH1026" s="304"/>
      <c r="AI1026" s="304"/>
      <c r="AJ1026" s="304"/>
      <c r="AK1026" s="305"/>
      <c r="AL1026" s="283"/>
      <c r="AM1026" s="284"/>
    </row>
    <row r="1027" ht="15.75" customHeight="1">
      <c r="A1027" s="282">
        <f t="shared" si="1"/>
        <v>1023</v>
      </c>
      <c r="B1027" s="283"/>
      <c r="C1027" s="335"/>
      <c r="D1027" s="338"/>
      <c r="E1027" s="286"/>
      <c r="F1027" s="287"/>
      <c r="G1027" s="288" t="str">
        <f>+IFERROR(VLOOKUP(F1027,NVL!$B:$C,2,0),"")</f>
        <v/>
      </c>
      <c r="H1027" s="288" t="str">
        <f>+IFERROR(VLOOKUP(F1027,NVL!$B:$D,3,0),"")</f>
        <v/>
      </c>
      <c r="I1027" s="288" t="str">
        <f>+IFERROR(VLOOKUP(F1027,NVL!$B:$F,4,0),"")</f>
        <v/>
      </c>
      <c r="J1027" s="289"/>
      <c r="K1027" s="290"/>
      <c r="L1027" s="291" t="str">
        <f>+IFERROR(VLOOKUP(K1027,'THÀNH PHẨM'!$B:$F,3,0),"")</f>
        <v/>
      </c>
      <c r="M1027" s="291" t="str">
        <f>+IFERROR(VLOOKUP(K1027,'THÀNH PHẨM'!$B:$F,4,0),"")</f>
        <v/>
      </c>
      <c r="N1027" s="291" t="str">
        <f>+IFERROR(VLOOKUP(K1027,'THÀNH PHẨM'!$B:$F,5,0),"")</f>
        <v/>
      </c>
      <c r="O1027" s="289"/>
      <c r="P1027" s="292">
        <f t="shared" si="2"/>
        <v>0</v>
      </c>
      <c r="Q1027" s="289"/>
      <c r="R1027" s="289"/>
      <c r="S1027" s="293">
        <f t="shared" si="62"/>
        <v>0</v>
      </c>
      <c r="T1027" s="294"/>
      <c r="U1027" s="295" t="str">
        <f>IFERROR(VLOOKUP(G1027,'KL NÒNG ỐNG'!$B$2:$E$16,4,0)*I1027*V1027,"")</f>
        <v/>
      </c>
      <c r="V1027" s="296"/>
      <c r="W1027" s="297"/>
      <c r="X1027" s="298"/>
      <c r="Y1027" s="292" t="str">
        <f t="shared" si="69"/>
        <v/>
      </c>
      <c r="Z1027" s="366">
        <f t="shared" si="70"/>
        <v>0</v>
      </c>
      <c r="AA1027" s="299" t="str">
        <f t="shared" si="71"/>
        <v/>
      </c>
      <c r="AB1027" s="300"/>
      <c r="AC1027" s="301"/>
      <c r="AD1027" s="302"/>
      <c r="AE1027" s="303"/>
      <c r="AF1027" s="304"/>
      <c r="AG1027" s="304"/>
      <c r="AH1027" s="304"/>
      <c r="AI1027" s="304"/>
      <c r="AJ1027" s="304"/>
      <c r="AK1027" s="305"/>
      <c r="AL1027" s="283"/>
      <c r="AM1027" s="284"/>
    </row>
    <row r="1028" ht="15.75" customHeight="1">
      <c r="A1028" s="282">
        <f t="shared" si="1"/>
        <v>1024</v>
      </c>
      <c r="B1028" s="283"/>
      <c r="C1028" s="335"/>
      <c r="D1028" s="338"/>
      <c r="E1028" s="286"/>
      <c r="F1028" s="287"/>
      <c r="G1028" s="288" t="str">
        <f>+IFERROR(VLOOKUP(F1028,NVL!$B:$C,2,0),"")</f>
        <v/>
      </c>
      <c r="H1028" s="288" t="str">
        <f>+IFERROR(VLOOKUP(F1028,NVL!$B:$D,3,0),"")</f>
        <v/>
      </c>
      <c r="I1028" s="288" t="str">
        <f>+IFERROR(VLOOKUP(F1028,NVL!$B:$F,4,0),"")</f>
        <v/>
      </c>
      <c r="J1028" s="289"/>
      <c r="K1028" s="290"/>
      <c r="L1028" s="291" t="str">
        <f>+IFERROR(VLOOKUP(K1028,'THÀNH PHẨM'!$B:$F,3,0),"")</f>
        <v/>
      </c>
      <c r="M1028" s="291" t="str">
        <f>+IFERROR(VLOOKUP(K1028,'THÀNH PHẨM'!$B:$F,4,0),"")</f>
        <v/>
      </c>
      <c r="N1028" s="291" t="str">
        <f>+IFERROR(VLOOKUP(K1028,'THÀNH PHẨM'!$B:$F,5,0),"")</f>
        <v/>
      </c>
      <c r="O1028" s="289"/>
      <c r="P1028" s="292">
        <f t="shared" si="2"/>
        <v>0</v>
      </c>
      <c r="Q1028" s="289"/>
      <c r="R1028" s="289"/>
      <c r="S1028" s="293">
        <f t="shared" si="62"/>
        <v>0</v>
      </c>
      <c r="T1028" s="294"/>
      <c r="U1028" s="295" t="str">
        <f>IFERROR(VLOOKUP(G1028,'KL NÒNG ỐNG'!$B$2:$E$16,4,0)*I1028*V1028,"")</f>
        <v/>
      </c>
      <c r="V1028" s="296"/>
      <c r="W1028" s="297"/>
      <c r="X1028" s="298"/>
      <c r="Y1028" s="292" t="str">
        <f t="shared" si="69"/>
        <v/>
      </c>
      <c r="Z1028" s="366">
        <f t="shared" si="70"/>
        <v>0</v>
      </c>
      <c r="AA1028" s="299" t="str">
        <f t="shared" si="71"/>
        <v/>
      </c>
      <c r="AB1028" s="300"/>
      <c r="AC1028" s="301"/>
      <c r="AD1028" s="302"/>
      <c r="AE1028" s="303"/>
      <c r="AF1028" s="304"/>
      <c r="AG1028" s="304"/>
      <c r="AH1028" s="304"/>
      <c r="AI1028" s="304"/>
      <c r="AJ1028" s="304"/>
      <c r="AK1028" s="305"/>
      <c r="AL1028" s="283"/>
      <c r="AM1028" s="284"/>
    </row>
    <row r="1029" ht="15.75" customHeight="1">
      <c r="A1029" s="282">
        <f t="shared" si="1"/>
        <v>1025</v>
      </c>
      <c r="B1029" s="283"/>
      <c r="C1029" s="284"/>
      <c r="D1029" s="338"/>
      <c r="E1029" s="286"/>
      <c r="F1029" s="287"/>
      <c r="G1029" s="288" t="str">
        <f>+IFERROR(VLOOKUP(F1029,NVL!$B:$C,2,0),"")</f>
        <v/>
      </c>
      <c r="H1029" s="288" t="str">
        <f>+IFERROR(VLOOKUP(F1029,NVL!$B:$D,3,0),"")</f>
        <v/>
      </c>
      <c r="I1029" s="288" t="str">
        <f>+IFERROR(VLOOKUP(F1029,NVL!$B:$F,4,0),"")</f>
        <v/>
      </c>
      <c r="J1029" s="289"/>
      <c r="K1029" s="290"/>
      <c r="L1029" s="291" t="str">
        <f>+IFERROR(VLOOKUP(K1029,'THÀNH PHẨM'!$B:$F,3,0),"")</f>
        <v/>
      </c>
      <c r="M1029" s="291" t="str">
        <f>+IFERROR(VLOOKUP(K1029,'THÀNH PHẨM'!$B:$F,4,0),"")</f>
        <v/>
      </c>
      <c r="N1029" s="291" t="str">
        <f>+IFERROR(VLOOKUP(K1029,'THÀNH PHẨM'!$B:$F,5,0),"")</f>
        <v/>
      </c>
      <c r="O1029" s="289"/>
      <c r="P1029" s="292">
        <f t="shared" si="2"/>
        <v>0</v>
      </c>
      <c r="Q1029" s="289"/>
      <c r="R1029" s="289"/>
      <c r="S1029" s="293">
        <f t="shared" si="62"/>
        <v>0</v>
      </c>
      <c r="T1029" s="294"/>
      <c r="U1029" s="295" t="str">
        <f>IFERROR(VLOOKUP(G1029,'KL NÒNG ỐNG'!$B$2:$E$16,4,0)*I1029*V1029,"")</f>
        <v/>
      </c>
      <c r="V1029" s="296"/>
      <c r="W1029" s="297"/>
      <c r="X1029" s="298"/>
      <c r="Y1029" s="292" t="str">
        <f t="shared" si="69"/>
        <v/>
      </c>
      <c r="Z1029" s="366">
        <f t="shared" si="70"/>
        <v>0</v>
      </c>
      <c r="AA1029" s="299" t="str">
        <f t="shared" si="71"/>
        <v/>
      </c>
      <c r="AB1029" s="300"/>
      <c r="AC1029" s="301"/>
      <c r="AD1029" s="302"/>
      <c r="AE1029" s="303"/>
      <c r="AF1029" s="304"/>
      <c r="AG1029" s="304"/>
      <c r="AH1029" s="304"/>
      <c r="AI1029" s="304"/>
      <c r="AJ1029" s="304"/>
      <c r="AK1029" s="305"/>
      <c r="AL1029" s="283"/>
      <c r="AM1029" s="284"/>
    </row>
    <row r="1030" ht="15.75" customHeight="1">
      <c r="A1030" s="282">
        <f t="shared" si="1"/>
        <v>1026</v>
      </c>
      <c r="B1030" s="283"/>
      <c r="C1030" s="335"/>
      <c r="D1030" s="338"/>
      <c r="E1030" s="286"/>
      <c r="F1030" s="287"/>
      <c r="G1030" s="288" t="str">
        <f>+IFERROR(VLOOKUP(F1030,NVL!$B:$C,2,0),"")</f>
        <v/>
      </c>
      <c r="H1030" s="288" t="str">
        <f>+IFERROR(VLOOKUP(F1030,NVL!$B:$D,3,0),"")</f>
        <v/>
      </c>
      <c r="I1030" s="288" t="str">
        <f>+IFERROR(VLOOKUP(F1030,NVL!$B:$F,4,0),"")</f>
        <v/>
      </c>
      <c r="J1030" s="289"/>
      <c r="K1030" s="290"/>
      <c r="L1030" s="291" t="str">
        <f>+IFERROR(VLOOKUP(K1030,'THÀNH PHẨM'!$B:$F,3,0),"")</f>
        <v/>
      </c>
      <c r="M1030" s="291" t="str">
        <f>+IFERROR(VLOOKUP(K1030,'THÀNH PHẨM'!$B:$F,4,0),"")</f>
        <v/>
      </c>
      <c r="N1030" s="291" t="str">
        <f>+IFERROR(VLOOKUP(K1030,'THÀNH PHẨM'!$B:$F,5,0),"")</f>
        <v/>
      </c>
      <c r="O1030" s="289"/>
      <c r="P1030" s="292">
        <f t="shared" si="2"/>
        <v>0</v>
      </c>
      <c r="Q1030" s="289"/>
      <c r="R1030" s="289"/>
      <c r="S1030" s="293">
        <f t="shared" si="62"/>
        <v>0</v>
      </c>
      <c r="T1030" s="294"/>
      <c r="U1030" s="295" t="str">
        <f>IFERROR(VLOOKUP(G1030,'KL NÒNG ỐNG'!$B$2:$E$16,4,0)*I1030*V1030,"")</f>
        <v/>
      </c>
      <c r="V1030" s="296"/>
      <c r="W1030" s="297"/>
      <c r="X1030" s="298"/>
      <c r="Y1030" s="292" t="str">
        <f t="shared" si="69"/>
        <v/>
      </c>
      <c r="Z1030" s="366">
        <f t="shared" si="70"/>
        <v>0</v>
      </c>
      <c r="AA1030" s="299" t="str">
        <f t="shared" si="71"/>
        <v/>
      </c>
      <c r="AB1030" s="300"/>
      <c r="AC1030" s="301"/>
      <c r="AD1030" s="302"/>
      <c r="AE1030" s="303"/>
      <c r="AF1030" s="304"/>
      <c r="AG1030" s="304"/>
      <c r="AH1030" s="304"/>
      <c r="AI1030" s="304"/>
      <c r="AJ1030" s="304"/>
      <c r="AK1030" s="305"/>
      <c r="AL1030" s="283"/>
      <c r="AM1030" s="284"/>
    </row>
    <row r="1031" ht="15.75" customHeight="1">
      <c r="A1031" s="282">
        <f t="shared" si="1"/>
        <v>1027</v>
      </c>
      <c r="B1031" s="283"/>
      <c r="C1031" s="335"/>
      <c r="D1031" s="338"/>
      <c r="E1031" s="286"/>
      <c r="F1031" s="287"/>
      <c r="G1031" s="288" t="str">
        <f>+IFERROR(VLOOKUP(F1031,NVL!$B:$C,2,0),"")</f>
        <v/>
      </c>
      <c r="H1031" s="288" t="str">
        <f>+IFERROR(VLOOKUP(F1031,NVL!$B:$D,3,0),"")</f>
        <v/>
      </c>
      <c r="I1031" s="288" t="str">
        <f>+IFERROR(VLOOKUP(F1031,NVL!$B:$F,4,0),"")</f>
        <v/>
      </c>
      <c r="J1031" s="289"/>
      <c r="K1031" s="290"/>
      <c r="L1031" s="291" t="str">
        <f>+IFERROR(VLOOKUP(K1031,'THÀNH PHẨM'!$B:$F,3,0),"")</f>
        <v/>
      </c>
      <c r="M1031" s="291" t="str">
        <f>+IFERROR(VLOOKUP(K1031,'THÀNH PHẨM'!$B:$F,4,0),"")</f>
        <v/>
      </c>
      <c r="N1031" s="291" t="str">
        <f>+IFERROR(VLOOKUP(K1031,'THÀNH PHẨM'!$B:$F,5,0),"")</f>
        <v/>
      </c>
      <c r="O1031" s="289"/>
      <c r="P1031" s="292">
        <f t="shared" si="2"/>
        <v>0</v>
      </c>
      <c r="Q1031" s="289"/>
      <c r="R1031" s="289"/>
      <c r="S1031" s="293">
        <f t="shared" si="62"/>
        <v>0</v>
      </c>
      <c r="T1031" s="294"/>
      <c r="U1031" s="295" t="str">
        <f>IFERROR(VLOOKUP(G1031,'KL NÒNG ỐNG'!$B$2:$E$16,4,0)*I1031*V1031,"")</f>
        <v/>
      </c>
      <c r="V1031" s="296"/>
      <c r="W1031" s="297"/>
      <c r="X1031" s="298"/>
      <c r="Y1031" s="292" t="str">
        <f t="shared" si="69"/>
        <v/>
      </c>
      <c r="Z1031" s="366">
        <f t="shared" si="70"/>
        <v>0</v>
      </c>
      <c r="AA1031" s="299" t="str">
        <f t="shared" si="71"/>
        <v/>
      </c>
      <c r="AB1031" s="300"/>
      <c r="AC1031" s="301"/>
      <c r="AD1031" s="302"/>
      <c r="AE1031" s="303"/>
      <c r="AF1031" s="304"/>
      <c r="AG1031" s="304"/>
      <c r="AH1031" s="304"/>
      <c r="AI1031" s="304"/>
      <c r="AJ1031" s="304"/>
      <c r="AK1031" s="305"/>
      <c r="AL1031" s="283"/>
      <c r="AM1031" s="284"/>
    </row>
    <row r="1032" ht="15.75" customHeight="1">
      <c r="A1032" s="282">
        <f t="shared" si="1"/>
        <v>1028</v>
      </c>
      <c r="B1032" s="283"/>
      <c r="C1032" s="335"/>
      <c r="D1032" s="338"/>
      <c r="E1032" s="286"/>
      <c r="F1032" s="287"/>
      <c r="G1032" s="288" t="str">
        <f>+IFERROR(VLOOKUP(F1032,NVL!$B:$C,2,0),"")</f>
        <v/>
      </c>
      <c r="H1032" s="288" t="str">
        <f>+IFERROR(VLOOKUP(F1032,NVL!$B:$D,3,0),"")</f>
        <v/>
      </c>
      <c r="I1032" s="288" t="str">
        <f>+IFERROR(VLOOKUP(F1032,NVL!$B:$F,4,0),"")</f>
        <v/>
      </c>
      <c r="J1032" s="289"/>
      <c r="K1032" s="290"/>
      <c r="L1032" s="291" t="str">
        <f>+IFERROR(VLOOKUP(K1032,'THÀNH PHẨM'!$B:$F,3,0),"")</f>
        <v/>
      </c>
      <c r="M1032" s="291" t="str">
        <f>+IFERROR(VLOOKUP(K1032,'THÀNH PHẨM'!$B:$F,4,0),"")</f>
        <v/>
      </c>
      <c r="N1032" s="291" t="str">
        <f>+IFERROR(VLOOKUP(K1032,'THÀNH PHẨM'!$B:$F,5,0),"")</f>
        <v/>
      </c>
      <c r="O1032" s="289"/>
      <c r="P1032" s="292">
        <f t="shared" si="2"/>
        <v>0</v>
      </c>
      <c r="Q1032" s="289"/>
      <c r="R1032" s="289"/>
      <c r="S1032" s="293">
        <f t="shared" si="62"/>
        <v>0</v>
      </c>
      <c r="T1032" s="294"/>
      <c r="U1032" s="295" t="str">
        <f>IFERROR(VLOOKUP(G1032,'KL NÒNG ỐNG'!$B$2:$E$16,4,0)*I1032*V1032,"")</f>
        <v/>
      </c>
      <c r="V1032" s="296"/>
      <c r="W1032" s="297"/>
      <c r="X1032" s="298"/>
      <c r="Y1032" s="292" t="str">
        <f t="shared" si="69"/>
        <v/>
      </c>
      <c r="Z1032" s="366">
        <f t="shared" si="70"/>
        <v>0</v>
      </c>
      <c r="AA1032" s="299" t="str">
        <f t="shared" si="71"/>
        <v/>
      </c>
      <c r="AB1032" s="300"/>
      <c r="AC1032" s="301"/>
      <c r="AD1032" s="302"/>
      <c r="AE1032" s="303"/>
      <c r="AF1032" s="304"/>
      <c r="AG1032" s="304"/>
      <c r="AH1032" s="304"/>
      <c r="AI1032" s="304"/>
      <c r="AJ1032" s="304"/>
      <c r="AK1032" s="305"/>
      <c r="AL1032" s="283"/>
      <c r="AM1032" s="284"/>
    </row>
    <row r="1033" ht="15.75" customHeight="1">
      <c r="A1033" s="282">
        <f t="shared" si="1"/>
        <v>1029</v>
      </c>
      <c r="B1033" s="283"/>
      <c r="C1033" s="335"/>
      <c r="D1033" s="338"/>
      <c r="E1033" s="286"/>
      <c r="F1033" s="287"/>
      <c r="G1033" s="288" t="str">
        <f>+IFERROR(VLOOKUP(F1033,NVL!$B:$C,2,0),"")</f>
        <v/>
      </c>
      <c r="H1033" s="288" t="str">
        <f>+IFERROR(VLOOKUP(F1033,NVL!$B:$D,3,0),"")</f>
        <v/>
      </c>
      <c r="I1033" s="288" t="str">
        <f>+IFERROR(VLOOKUP(F1033,NVL!$B:$F,4,0),"")</f>
        <v/>
      </c>
      <c r="J1033" s="289"/>
      <c r="K1033" s="290"/>
      <c r="L1033" s="291" t="str">
        <f>+IFERROR(VLOOKUP(K1033,'THÀNH PHẨM'!$B:$F,3,0),"")</f>
        <v/>
      </c>
      <c r="M1033" s="291" t="str">
        <f>+IFERROR(VLOOKUP(K1033,'THÀNH PHẨM'!$B:$F,4,0),"")</f>
        <v/>
      </c>
      <c r="N1033" s="291" t="str">
        <f>+IFERROR(VLOOKUP(K1033,'THÀNH PHẨM'!$B:$F,5,0),"")</f>
        <v/>
      </c>
      <c r="O1033" s="289"/>
      <c r="P1033" s="292">
        <f t="shared" si="2"/>
        <v>0</v>
      </c>
      <c r="Q1033" s="289"/>
      <c r="R1033" s="289"/>
      <c r="S1033" s="293">
        <f t="shared" si="62"/>
        <v>0</v>
      </c>
      <c r="T1033" s="294"/>
      <c r="U1033" s="295" t="str">
        <f>IFERROR(VLOOKUP(G1033,'KL NÒNG ỐNG'!$B$2:$E$16,4,0)*I1033*V1033,"")</f>
        <v/>
      </c>
      <c r="V1033" s="296"/>
      <c r="W1033" s="297"/>
      <c r="X1033" s="298"/>
      <c r="Y1033" s="292" t="str">
        <f t="shared" si="69"/>
        <v/>
      </c>
      <c r="Z1033" s="366">
        <f t="shared" si="70"/>
        <v>0</v>
      </c>
      <c r="AA1033" s="299" t="str">
        <f t="shared" si="71"/>
        <v/>
      </c>
      <c r="AB1033" s="300"/>
      <c r="AC1033" s="301"/>
      <c r="AD1033" s="302"/>
      <c r="AE1033" s="303"/>
      <c r="AF1033" s="304"/>
      <c r="AG1033" s="304"/>
      <c r="AH1033" s="304"/>
      <c r="AI1033" s="304"/>
      <c r="AJ1033" s="304"/>
      <c r="AK1033" s="305"/>
      <c r="AL1033" s="283"/>
      <c r="AM1033" s="284"/>
    </row>
    <row r="1034" ht="15.75" customHeight="1">
      <c r="A1034" s="282">
        <f t="shared" si="1"/>
        <v>1030</v>
      </c>
      <c r="B1034" s="283"/>
      <c r="C1034" s="335"/>
      <c r="D1034" s="338"/>
      <c r="E1034" s="286"/>
      <c r="F1034" s="287"/>
      <c r="G1034" s="288" t="str">
        <f>+IFERROR(VLOOKUP(F1034,NVL!$B:$C,2,0),"")</f>
        <v/>
      </c>
      <c r="H1034" s="288" t="str">
        <f>+IFERROR(VLOOKUP(F1034,NVL!$B:$D,3,0),"")</f>
        <v/>
      </c>
      <c r="I1034" s="288" t="str">
        <f>+IFERROR(VLOOKUP(F1034,NVL!$B:$F,4,0),"")</f>
        <v/>
      </c>
      <c r="J1034" s="289"/>
      <c r="K1034" s="290"/>
      <c r="L1034" s="291" t="str">
        <f>+IFERROR(VLOOKUP(K1034,'THÀNH PHẨM'!$B:$F,3,0),"")</f>
        <v/>
      </c>
      <c r="M1034" s="289"/>
      <c r="N1034" s="291" t="str">
        <f>+IFERROR(VLOOKUP(K1034,'THÀNH PHẨM'!$B:$F,5,0),"")</f>
        <v/>
      </c>
      <c r="O1034" s="289"/>
      <c r="P1034" s="292">
        <f t="shared" si="2"/>
        <v>0</v>
      </c>
      <c r="Q1034" s="289"/>
      <c r="R1034" s="289"/>
      <c r="S1034" s="293">
        <f t="shared" si="62"/>
        <v>0</v>
      </c>
      <c r="T1034" s="294"/>
      <c r="U1034" s="295" t="str">
        <f>IFERROR(VLOOKUP(G1034,'KL NÒNG ỐNG'!$B$2:$E$16,4,0)*I1034*V1034,"")</f>
        <v/>
      </c>
      <c r="V1034" s="296"/>
      <c r="W1034" s="297"/>
      <c r="X1034" s="298"/>
      <c r="Y1034" s="292" t="str">
        <f t="shared" si="69"/>
        <v/>
      </c>
      <c r="Z1034" s="366">
        <f t="shared" si="70"/>
        <v>0</v>
      </c>
      <c r="AA1034" s="299" t="str">
        <f t="shared" si="71"/>
        <v/>
      </c>
      <c r="AB1034" s="300"/>
      <c r="AC1034" s="301"/>
      <c r="AD1034" s="302"/>
      <c r="AE1034" s="303"/>
      <c r="AF1034" s="304"/>
      <c r="AG1034" s="304"/>
      <c r="AH1034" s="304"/>
      <c r="AI1034" s="304"/>
      <c r="AJ1034" s="304"/>
      <c r="AK1034" s="305"/>
      <c r="AL1034" s="283"/>
      <c r="AM1034" s="284"/>
    </row>
    <row r="1035" ht="15.75" customHeight="1">
      <c r="A1035" s="282">
        <f t="shared" si="1"/>
        <v>1031</v>
      </c>
      <c r="B1035" s="283"/>
      <c r="C1035" s="335"/>
      <c r="D1035" s="338"/>
      <c r="E1035" s="286"/>
      <c r="F1035" s="287"/>
      <c r="G1035" s="288" t="str">
        <f>+IFERROR(VLOOKUP(F1035,NVL!$B:$C,2,0),"")</f>
        <v/>
      </c>
      <c r="H1035" s="288" t="str">
        <f>+IFERROR(VLOOKUP(F1035,NVL!$B:$D,3,0),"")</f>
        <v/>
      </c>
      <c r="I1035" s="288" t="str">
        <f>+IFERROR(VLOOKUP(F1035,NVL!$B:$F,4,0),"")</f>
        <v/>
      </c>
      <c r="J1035" s="289"/>
      <c r="K1035" s="290"/>
      <c r="L1035" s="291" t="str">
        <f>+IFERROR(VLOOKUP(K1035,'THÀNH PHẨM'!$B:$F,3,0),"")</f>
        <v/>
      </c>
      <c r="M1035" s="289"/>
      <c r="N1035" s="291" t="str">
        <f>+IFERROR(VLOOKUP(K1035,'THÀNH PHẨM'!$B:$F,5,0),"")</f>
        <v/>
      </c>
      <c r="O1035" s="289"/>
      <c r="P1035" s="292">
        <f t="shared" si="2"/>
        <v>0</v>
      </c>
      <c r="Q1035" s="289"/>
      <c r="R1035" s="289"/>
      <c r="S1035" s="293">
        <f t="shared" si="62"/>
        <v>0</v>
      </c>
      <c r="T1035" s="294"/>
      <c r="U1035" s="295" t="str">
        <f>IFERROR(VLOOKUP(G1035,'KL NÒNG ỐNG'!$B$2:$E$16,4,0)*I1035*V1035,"")</f>
        <v/>
      </c>
      <c r="V1035" s="296"/>
      <c r="W1035" s="297"/>
      <c r="X1035" s="298"/>
      <c r="Y1035" s="292" t="str">
        <f t="shared" si="69"/>
        <v/>
      </c>
      <c r="Z1035" s="366">
        <f t="shared" si="70"/>
        <v>0</v>
      </c>
      <c r="AA1035" s="299" t="str">
        <f t="shared" si="71"/>
        <v/>
      </c>
      <c r="AB1035" s="300"/>
      <c r="AC1035" s="301"/>
      <c r="AD1035" s="302"/>
      <c r="AE1035" s="303"/>
      <c r="AF1035" s="304"/>
      <c r="AG1035" s="304"/>
      <c r="AH1035" s="304"/>
      <c r="AI1035" s="304"/>
      <c r="AJ1035" s="304"/>
      <c r="AK1035" s="305"/>
      <c r="AL1035" s="283"/>
      <c r="AM1035" s="284"/>
    </row>
    <row r="1036" ht="15.75" customHeight="1">
      <c r="A1036" s="282">
        <f t="shared" si="1"/>
        <v>1032</v>
      </c>
      <c r="B1036" s="283"/>
      <c r="C1036" s="335"/>
      <c r="D1036" s="338"/>
      <c r="E1036" s="286"/>
      <c r="F1036" s="287"/>
      <c r="G1036" s="288" t="str">
        <f>+IFERROR(VLOOKUP(F1036,NVL!$B:$C,2,0),"")</f>
        <v/>
      </c>
      <c r="H1036" s="288" t="str">
        <f>+IFERROR(VLOOKUP(F1036,NVL!$B:$D,3,0),"")</f>
        <v/>
      </c>
      <c r="I1036" s="288" t="str">
        <f>+IFERROR(VLOOKUP(F1036,NVL!$B:$F,4,0),"")</f>
        <v/>
      </c>
      <c r="J1036" s="289"/>
      <c r="K1036" s="290"/>
      <c r="L1036" s="291" t="str">
        <f>+IFERROR(VLOOKUP(K1036,'THÀNH PHẨM'!$B:$F,3,0),"")</f>
        <v/>
      </c>
      <c r="M1036" s="289"/>
      <c r="N1036" s="291" t="str">
        <f>+IFERROR(VLOOKUP(K1036,'THÀNH PHẨM'!$B:$F,5,0),"")</f>
        <v/>
      </c>
      <c r="O1036" s="289"/>
      <c r="P1036" s="292">
        <f t="shared" si="2"/>
        <v>0</v>
      </c>
      <c r="Q1036" s="289"/>
      <c r="R1036" s="289"/>
      <c r="S1036" s="293">
        <f t="shared" si="62"/>
        <v>0</v>
      </c>
      <c r="T1036" s="294"/>
      <c r="U1036" s="295" t="str">
        <f>IFERROR(VLOOKUP(G1036,'KL NÒNG ỐNG'!$B$2:$E$16,4,0)*I1036*V1036,"")</f>
        <v/>
      </c>
      <c r="V1036" s="296"/>
      <c r="W1036" s="297"/>
      <c r="X1036" s="298"/>
      <c r="Y1036" s="292" t="str">
        <f t="shared" si="69"/>
        <v/>
      </c>
      <c r="Z1036" s="366">
        <f t="shared" si="70"/>
        <v>0</v>
      </c>
      <c r="AA1036" s="299" t="str">
        <f t="shared" si="71"/>
        <v/>
      </c>
      <c r="AB1036" s="300"/>
      <c r="AC1036" s="301"/>
      <c r="AD1036" s="302"/>
      <c r="AE1036" s="303"/>
      <c r="AF1036" s="304"/>
      <c r="AG1036" s="304"/>
      <c r="AH1036" s="304"/>
      <c r="AI1036" s="304"/>
      <c r="AJ1036" s="304"/>
      <c r="AK1036" s="305"/>
      <c r="AL1036" s="283"/>
      <c r="AM1036" s="284"/>
    </row>
    <row r="1037" ht="15.75" customHeight="1">
      <c r="A1037" s="282">
        <f t="shared" si="1"/>
        <v>1033</v>
      </c>
      <c r="B1037" s="283"/>
      <c r="C1037" s="335"/>
      <c r="D1037" s="338"/>
      <c r="E1037" s="286"/>
      <c r="F1037" s="287"/>
      <c r="G1037" s="288" t="str">
        <f>+IFERROR(VLOOKUP(F1037,NVL!$B:$C,2,0),"")</f>
        <v/>
      </c>
      <c r="H1037" s="288" t="str">
        <f>+IFERROR(VLOOKUP(F1037,NVL!$B:$D,3,0),"")</f>
        <v/>
      </c>
      <c r="I1037" s="288" t="str">
        <f>+IFERROR(VLOOKUP(F1037,NVL!$B:$F,4,0),"")</f>
        <v/>
      </c>
      <c r="J1037" s="289"/>
      <c r="K1037" s="290"/>
      <c r="L1037" s="291" t="str">
        <f>+IFERROR(VLOOKUP(K1037,'THÀNH PHẨM'!$B:$F,3,0),"")</f>
        <v/>
      </c>
      <c r="M1037" s="289" t="str">
        <f t="shared" ref="M1037:M1053" si="72">IFERROR((H1037*I1037*#REF!*500)/10000000*L1037,"")</f>
        <v/>
      </c>
      <c r="N1037" s="291" t="str">
        <f>+IFERROR(VLOOKUP(K1037,'THÀNH PHẨM'!$B:$F,5,0),"")</f>
        <v/>
      </c>
      <c r="O1037" s="289"/>
      <c r="P1037" s="292">
        <f t="shared" si="2"/>
        <v>0</v>
      </c>
      <c r="Q1037" s="289"/>
      <c r="R1037" s="289"/>
      <c r="S1037" s="293">
        <f t="shared" si="62"/>
        <v>0</v>
      </c>
      <c r="T1037" s="294"/>
      <c r="U1037" s="295" t="str">
        <f>IFERROR(VLOOKUP(G1037,'KL NÒNG ỐNG'!$B$2:$E$16,4,0)*I1037*V1037,"")</f>
        <v/>
      </c>
      <c r="V1037" s="296"/>
      <c r="W1037" s="297"/>
      <c r="X1037" s="298"/>
      <c r="Y1037" s="292" t="str">
        <f t="shared" si="69"/>
        <v/>
      </c>
      <c r="Z1037" s="366">
        <f t="shared" si="70"/>
        <v>0</v>
      </c>
      <c r="AA1037" s="299" t="str">
        <f t="shared" si="71"/>
        <v/>
      </c>
      <c r="AB1037" s="300"/>
      <c r="AC1037" s="301"/>
      <c r="AD1037" s="302"/>
      <c r="AE1037" s="303"/>
      <c r="AF1037" s="304"/>
      <c r="AG1037" s="304"/>
      <c r="AH1037" s="304"/>
      <c r="AI1037" s="304"/>
      <c r="AJ1037" s="304"/>
      <c r="AK1037" s="305"/>
      <c r="AL1037" s="283"/>
      <c r="AM1037" s="284"/>
    </row>
    <row r="1038" ht="15.75" customHeight="1">
      <c r="A1038" s="282">
        <f t="shared" si="1"/>
        <v>1034</v>
      </c>
      <c r="B1038" s="283"/>
      <c r="C1038" s="335"/>
      <c r="D1038" s="338"/>
      <c r="E1038" s="286"/>
      <c r="F1038" s="287"/>
      <c r="G1038" s="288" t="str">
        <f>+IFERROR(VLOOKUP(F1038,NVL!$B:$C,2,0),"")</f>
        <v/>
      </c>
      <c r="H1038" s="288" t="str">
        <f>+IFERROR(VLOOKUP(F1038,NVL!$B:$D,3,0),"")</f>
        <v/>
      </c>
      <c r="I1038" s="288" t="str">
        <f>+IFERROR(VLOOKUP(F1038,NVL!$B:$F,4,0),"")</f>
        <v/>
      </c>
      <c r="J1038" s="289"/>
      <c r="K1038" s="290"/>
      <c r="L1038" s="291" t="str">
        <f>+IFERROR(VLOOKUP(K1038,'THÀNH PHẨM'!$B:$F,3,0),"")</f>
        <v/>
      </c>
      <c r="M1038" s="289" t="str">
        <f t="shared" si="72"/>
        <v/>
      </c>
      <c r="N1038" s="291" t="str">
        <f>+IFERROR(VLOOKUP(K1038,'THÀNH PHẨM'!$B:$F,5,0),"")</f>
        <v/>
      </c>
      <c r="O1038" s="289"/>
      <c r="P1038" s="292">
        <f t="shared" si="2"/>
        <v>0</v>
      </c>
      <c r="Q1038" s="289"/>
      <c r="R1038" s="289"/>
      <c r="S1038" s="293">
        <f t="shared" si="62"/>
        <v>0</v>
      </c>
      <c r="T1038" s="294"/>
      <c r="U1038" s="295" t="str">
        <f>IFERROR(VLOOKUP(G1038,'KL NÒNG ỐNG'!$B$2:$E$16,4,0)*I1038*V1038,"")</f>
        <v/>
      </c>
      <c r="V1038" s="296"/>
      <c r="W1038" s="297"/>
      <c r="X1038" s="298"/>
      <c r="Y1038" s="292" t="str">
        <f t="shared" si="69"/>
        <v/>
      </c>
      <c r="Z1038" s="366">
        <f t="shared" si="70"/>
        <v>0</v>
      </c>
      <c r="AA1038" s="299" t="str">
        <f t="shared" si="71"/>
        <v/>
      </c>
      <c r="AB1038" s="300"/>
      <c r="AC1038" s="301"/>
      <c r="AD1038" s="302"/>
      <c r="AE1038" s="303"/>
      <c r="AF1038" s="304"/>
      <c r="AG1038" s="304"/>
      <c r="AH1038" s="304"/>
      <c r="AI1038" s="304"/>
      <c r="AJ1038" s="304"/>
      <c r="AK1038" s="305"/>
      <c r="AL1038" s="283"/>
      <c r="AM1038" s="284"/>
    </row>
    <row r="1039" ht="15.75" customHeight="1">
      <c r="A1039" s="282">
        <f t="shared" si="1"/>
        <v>1035</v>
      </c>
      <c r="B1039" s="283"/>
      <c r="C1039" s="335"/>
      <c r="D1039" s="338"/>
      <c r="E1039" s="286"/>
      <c r="F1039" s="287"/>
      <c r="G1039" s="288" t="str">
        <f>+IFERROR(VLOOKUP(F1039,NVL!$B:$C,2,0),"")</f>
        <v/>
      </c>
      <c r="H1039" s="288" t="str">
        <f>+IFERROR(VLOOKUP(F1039,NVL!$B:$D,3,0),"")</f>
        <v/>
      </c>
      <c r="I1039" s="288" t="str">
        <f>+IFERROR(VLOOKUP(F1039,NVL!$B:$F,4,0),"")</f>
        <v/>
      </c>
      <c r="J1039" s="289"/>
      <c r="K1039" s="290"/>
      <c r="L1039" s="291" t="str">
        <f>+IFERROR(VLOOKUP(K1039,'THÀNH PHẨM'!$B:$F,3,0),"")</f>
        <v/>
      </c>
      <c r="M1039" s="289" t="str">
        <f t="shared" si="72"/>
        <v/>
      </c>
      <c r="N1039" s="291" t="str">
        <f>+IFERROR(VLOOKUP(K1039,'THÀNH PHẨM'!$B:$F,5,0),"")</f>
        <v/>
      </c>
      <c r="O1039" s="289"/>
      <c r="P1039" s="292">
        <f t="shared" si="2"/>
        <v>0</v>
      </c>
      <c r="Q1039" s="289"/>
      <c r="R1039" s="289"/>
      <c r="S1039" s="293">
        <f t="shared" si="62"/>
        <v>0</v>
      </c>
      <c r="T1039" s="294"/>
      <c r="U1039" s="295" t="str">
        <f>IFERROR(VLOOKUP(G1039,'KL NÒNG ỐNG'!$B$2:$E$16,4,0)*I1039*V1039,"")</f>
        <v/>
      </c>
      <c r="V1039" s="296"/>
      <c r="W1039" s="297"/>
      <c r="X1039" s="298"/>
      <c r="Y1039" s="292" t="str">
        <f t="shared" si="69"/>
        <v/>
      </c>
      <c r="Z1039" s="366">
        <f t="shared" si="70"/>
        <v>0</v>
      </c>
      <c r="AA1039" s="299" t="str">
        <f t="shared" si="71"/>
        <v/>
      </c>
      <c r="AB1039" s="300"/>
      <c r="AC1039" s="301"/>
      <c r="AD1039" s="302"/>
      <c r="AE1039" s="303"/>
      <c r="AF1039" s="304"/>
      <c r="AG1039" s="304"/>
      <c r="AH1039" s="304"/>
      <c r="AI1039" s="304"/>
      <c r="AJ1039" s="304"/>
      <c r="AK1039" s="305"/>
      <c r="AL1039" s="283"/>
      <c r="AM1039" s="284"/>
    </row>
    <row r="1040" ht="15.75" customHeight="1">
      <c r="A1040" s="282">
        <f t="shared" si="1"/>
        <v>1036</v>
      </c>
      <c r="B1040" s="283"/>
      <c r="C1040" s="335"/>
      <c r="D1040" s="338"/>
      <c r="E1040" s="286"/>
      <c r="F1040" s="287"/>
      <c r="G1040" s="288" t="str">
        <f>+IFERROR(VLOOKUP(F1040,NVL!$B:$C,2,0),"")</f>
        <v/>
      </c>
      <c r="H1040" s="288" t="str">
        <f>+IFERROR(VLOOKUP(F1040,NVL!$B:$D,3,0),"")</f>
        <v/>
      </c>
      <c r="I1040" s="288" t="str">
        <f>+IFERROR(VLOOKUP(F1040,NVL!$B:$F,4,0),"")</f>
        <v/>
      </c>
      <c r="J1040" s="289"/>
      <c r="K1040" s="290"/>
      <c r="L1040" s="291" t="str">
        <f>+IFERROR(VLOOKUP(K1040,'THÀNH PHẨM'!$B:$F,3,0),"")</f>
        <v/>
      </c>
      <c r="M1040" s="289" t="str">
        <f t="shared" si="72"/>
        <v/>
      </c>
      <c r="N1040" s="291" t="str">
        <f>+IFERROR(VLOOKUP(K1040,'THÀNH PHẨM'!$B:$F,5,0),"")</f>
        <v/>
      </c>
      <c r="O1040" s="289"/>
      <c r="P1040" s="292">
        <f t="shared" si="2"/>
        <v>0</v>
      </c>
      <c r="Q1040" s="289"/>
      <c r="R1040" s="289"/>
      <c r="S1040" s="293">
        <f t="shared" si="62"/>
        <v>0</v>
      </c>
      <c r="T1040" s="294"/>
      <c r="U1040" s="295" t="str">
        <f>IFERROR(VLOOKUP(G1040,'KL NÒNG ỐNG'!$B$2:$E$16,4,0)*I1040*V1040,"")</f>
        <v/>
      </c>
      <c r="V1040" s="296"/>
      <c r="W1040" s="297"/>
      <c r="X1040" s="298"/>
      <c r="Y1040" s="292" t="str">
        <f t="shared" si="69"/>
        <v/>
      </c>
      <c r="Z1040" s="366">
        <f t="shared" si="70"/>
        <v>0</v>
      </c>
      <c r="AA1040" s="299" t="str">
        <f t="shared" si="71"/>
        <v/>
      </c>
      <c r="AB1040" s="300"/>
      <c r="AC1040" s="301"/>
      <c r="AD1040" s="302"/>
      <c r="AE1040" s="303"/>
      <c r="AF1040" s="304"/>
      <c r="AG1040" s="304"/>
      <c r="AH1040" s="304"/>
      <c r="AI1040" s="304"/>
      <c r="AJ1040" s="304"/>
      <c r="AK1040" s="305"/>
      <c r="AL1040" s="283"/>
      <c r="AM1040" s="284"/>
    </row>
    <row r="1041" ht="15.75" customHeight="1">
      <c r="A1041" s="282">
        <f t="shared" si="1"/>
        <v>1037</v>
      </c>
      <c r="B1041" s="283"/>
      <c r="C1041" s="335"/>
      <c r="D1041" s="338"/>
      <c r="E1041" s="286"/>
      <c r="F1041" s="287"/>
      <c r="G1041" s="288" t="str">
        <f>+IFERROR(VLOOKUP(F1041,NVL!$B:$C,2,0),"")</f>
        <v/>
      </c>
      <c r="H1041" s="288" t="str">
        <f>+IFERROR(VLOOKUP(F1041,NVL!$B:$D,3,0),"")</f>
        <v/>
      </c>
      <c r="I1041" s="288" t="str">
        <f>+IFERROR(VLOOKUP(F1041,NVL!$B:$F,4,0),"")</f>
        <v/>
      </c>
      <c r="J1041" s="289"/>
      <c r="K1041" s="290"/>
      <c r="L1041" s="291" t="str">
        <f>+IFERROR(VLOOKUP(K1041,'THÀNH PHẨM'!$B:$F,3,0),"")</f>
        <v/>
      </c>
      <c r="M1041" s="289" t="str">
        <f t="shared" si="72"/>
        <v/>
      </c>
      <c r="N1041" s="291" t="str">
        <f>+IFERROR(VLOOKUP(K1041,'THÀNH PHẨM'!$B:$F,5,0),"")</f>
        <v/>
      </c>
      <c r="O1041" s="289"/>
      <c r="P1041" s="292">
        <f t="shared" si="2"/>
        <v>0</v>
      </c>
      <c r="Q1041" s="289"/>
      <c r="R1041" s="289"/>
      <c r="S1041" s="293">
        <f t="shared" si="62"/>
        <v>0</v>
      </c>
      <c r="T1041" s="294"/>
      <c r="U1041" s="295" t="str">
        <f>IFERROR(VLOOKUP(G1041,'KL NÒNG ỐNG'!$B$2:$E$16,4,0)*I1041*V1041,"")</f>
        <v/>
      </c>
      <c r="V1041" s="296"/>
      <c r="W1041" s="297"/>
      <c r="X1041" s="298"/>
      <c r="Y1041" s="292" t="str">
        <f t="shared" si="69"/>
        <v/>
      </c>
      <c r="Z1041" s="366">
        <f t="shared" si="70"/>
        <v>0</v>
      </c>
      <c r="AA1041" s="299" t="str">
        <f t="shared" si="71"/>
        <v/>
      </c>
      <c r="AB1041" s="300"/>
      <c r="AC1041" s="301"/>
      <c r="AD1041" s="302"/>
      <c r="AE1041" s="303"/>
      <c r="AF1041" s="304"/>
      <c r="AG1041" s="304"/>
      <c r="AH1041" s="304"/>
      <c r="AI1041" s="304"/>
      <c r="AJ1041" s="304"/>
      <c r="AK1041" s="305"/>
      <c r="AL1041" s="283"/>
      <c r="AM1041" s="284"/>
    </row>
    <row r="1042" ht="15.75" customHeight="1">
      <c r="A1042" s="282">
        <f t="shared" si="1"/>
        <v>1038</v>
      </c>
      <c r="B1042" s="283"/>
      <c r="C1042" s="335"/>
      <c r="D1042" s="338"/>
      <c r="E1042" s="286"/>
      <c r="F1042" s="287"/>
      <c r="G1042" s="288" t="str">
        <f>+IFERROR(VLOOKUP(F1042,NVL!$B:$C,2,0),"")</f>
        <v/>
      </c>
      <c r="H1042" s="288" t="str">
        <f>+IFERROR(VLOOKUP(F1042,NVL!$B:$D,3,0),"")</f>
        <v/>
      </c>
      <c r="I1042" s="288" t="str">
        <f>+IFERROR(VLOOKUP(F1042,NVL!$B:$F,4,0),"")</f>
        <v/>
      </c>
      <c r="J1042" s="289"/>
      <c r="K1042" s="290"/>
      <c r="L1042" s="291" t="str">
        <f>+IFERROR(VLOOKUP(K1042,'THÀNH PHẨM'!$B:$F,3,0),"")</f>
        <v/>
      </c>
      <c r="M1042" s="289" t="str">
        <f t="shared" si="72"/>
        <v/>
      </c>
      <c r="N1042" s="291" t="str">
        <f>+IFERROR(VLOOKUP(K1042,'THÀNH PHẨM'!$B:$F,5,0),"")</f>
        <v/>
      </c>
      <c r="O1042" s="289"/>
      <c r="P1042" s="292">
        <f t="shared" si="2"/>
        <v>0</v>
      </c>
      <c r="Q1042" s="289"/>
      <c r="R1042" s="289"/>
      <c r="S1042" s="293">
        <f t="shared" si="62"/>
        <v>0</v>
      </c>
      <c r="T1042" s="294"/>
      <c r="U1042" s="295" t="str">
        <f>IFERROR(VLOOKUP(G1042,'KL NÒNG ỐNG'!$B$2:$E$16,4,0)*I1042*V1042,"")</f>
        <v/>
      </c>
      <c r="V1042" s="296"/>
      <c r="W1042" s="297"/>
      <c r="X1042" s="298"/>
      <c r="Y1042" s="292" t="str">
        <f t="shared" si="69"/>
        <v/>
      </c>
      <c r="Z1042" s="366">
        <f t="shared" si="70"/>
        <v>0</v>
      </c>
      <c r="AA1042" s="299" t="str">
        <f t="shared" si="71"/>
        <v/>
      </c>
      <c r="AB1042" s="300"/>
      <c r="AC1042" s="301"/>
      <c r="AD1042" s="302"/>
      <c r="AE1042" s="303"/>
      <c r="AF1042" s="304"/>
      <c r="AG1042" s="304"/>
      <c r="AH1042" s="304"/>
      <c r="AI1042" s="304"/>
      <c r="AJ1042" s="304"/>
      <c r="AK1042" s="305"/>
      <c r="AL1042" s="283"/>
      <c r="AM1042" s="284"/>
    </row>
    <row r="1043" ht="15.75" customHeight="1">
      <c r="A1043" s="282">
        <f t="shared" si="1"/>
        <v>1039</v>
      </c>
      <c r="B1043" s="283"/>
      <c r="C1043" s="335"/>
      <c r="D1043" s="338"/>
      <c r="E1043" s="286"/>
      <c r="F1043" s="287"/>
      <c r="G1043" s="288" t="str">
        <f>+IFERROR(VLOOKUP(F1043,NVL!$B:$C,2,0),"")</f>
        <v/>
      </c>
      <c r="H1043" s="288" t="str">
        <f>+IFERROR(VLOOKUP(F1043,NVL!$B:$D,3,0),"")</f>
        <v/>
      </c>
      <c r="I1043" s="288" t="str">
        <f>+IFERROR(VLOOKUP(F1043,NVL!$B:$F,4,0),"")</f>
        <v/>
      </c>
      <c r="J1043" s="289"/>
      <c r="K1043" s="290"/>
      <c r="L1043" s="291" t="str">
        <f>+IFERROR(VLOOKUP(K1043,'THÀNH PHẨM'!$B:$F,3,0),"")</f>
        <v/>
      </c>
      <c r="M1043" s="289" t="str">
        <f t="shared" si="72"/>
        <v/>
      </c>
      <c r="N1043" s="291" t="str">
        <f>+IFERROR(VLOOKUP(K1043,'THÀNH PHẨM'!$B:$F,5,0),"")</f>
        <v/>
      </c>
      <c r="O1043" s="289"/>
      <c r="P1043" s="292">
        <f t="shared" si="2"/>
        <v>0</v>
      </c>
      <c r="Q1043" s="289"/>
      <c r="R1043" s="289"/>
      <c r="S1043" s="293">
        <f t="shared" si="62"/>
        <v>0</v>
      </c>
      <c r="T1043" s="294"/>
      <c r="U1043" s="295" t="str">
        <f>IFERROR(VLOOKUP(G1043,'KL NÒNG ỐNG'!$B$2:$E$16,4,0)*I1043*V1043,"")</f>
        <v/>
      </c>
      <c r="V1043" s="296"/>
      <c r="W1043" s="297"/>
      <c r="X1043" s="298"/>
      <c r="Y1043" s="292" t="str">
        <f t="shared" si="69"/>
        <v/>
      </c>
      <c r="Z1043" s="366">
        <f t="shared" si="70"/>
        <v>0</v>
      </c>
      <c r="AA1043" s="299" t="str">
        <f t="shared" si="71"/>
        <v/>
      </c>
      <c r="AB1043" s="300"/>
      <c r="AC1043" s="301"/>
      <c r="AD1043" s="302"/>
      <c r="AE1043" s="303"/>
      <c r="AF1043" s="304"/>
      <c r="AG1043" s="304"/>
      <c r="AH1043" s="304"/>
      <c r="AI1043" s="304"/>
      <c r="AJ1043" s="304"/>
      <c r="AK1043" s="305"/>
      <c r="AL1043" s="283"/>
      <c r="AM1043" s="284"/>
    </row>
    <row r="1044" ht="15.75" customHeight="1">
      <c r="A1044" s="282">
        <f t="shared" si="1"/>
        <v>1040</v>
      </c>
      <c r="B1044" s="283"/>
      <c r="C1044" s="335"/>
      <c r="D1044" s="338"/>
      <c r="E1044" s="286"/>
      <c r="F1044" s="287"/>
      <c r="G1044" s="288" t="str">
        <f>+IFERROR(VLOOKUP(F1044,NVL!$B:$C,2,0),"")</f>
        <v/>
      </c>
      <c r="H1044" s="288" t="str">
        <f>+IFERROR(VLOOKUP(F1044,NVL!$B:$D,3,0),"")</f>
        <v/>
      </c>
      <c r="I1044" s="288" t="str">
        <f>+IFERROR(VLOOKUP(F1044,NVL!$B:$F,4,0),"")</f>
        <v/>
      </c>
      <c r="J1044" s="289"/>
      <c r="K1044" s="290"/>
      <c r="L1044" s="291" t="str">
        <f>+IFERROR(VLOOKUP(K1044,'THÀNH PHẨM'!$B:$F,3,0),"")</f>
        <v/>
      </c>
      <c r="M1044" s="289" t="str">
        <f t="shared" si="72"/>
        <v/>
      </c>
      <c r="N1044" s="291" t="str">
        <f>+IFERROR(VLOOKUP(K1044,'THÀNH PHẨM'!$B:$F,5,0),"")</f>
        <v/>
      </c>
      <c r="O1044" s="289"/>
      <c r="P1044" s="292">
        <f t="shared" si="2"/>
        <v>0</v>
      </c>
      <c r="Q1044" s="289"/>
      <c r="R1044" s="289"/>
      <c r="S1044" s="293">
        <f t="shared" si="62"/>
        <v>0</v>
      </c>
      <c r="T1044" s="294"/>
      <c r="U1044" s="295" t="str">
        <f>IFERROR(VLOOKUP(G1044,'KL NÒNG ỐNG'!$B$2:$E$16,4,0)*I1044*V1044,"")</f>
        <v/>
      </c>
      <c r="V1044" s="296"/>
      <c r="W1044" s="297"/>
      <c r="X1044" s="298"/>
      <c r="Y1044" s="292" t="str">
        <f t="shared" si="69"/>
        <v/>
      </c>
      <c r="Z1044" s="366">
        <f t="shared" si="70"/>
        <v>0</v>
      </c>
      <c r="AA1044" s="299" t="str">
        <f t="shared" si="71"/>
        <v/>
      </c>
      <c r="AB1044" s="300"/>
      <c r="AC1044" s="301"/>
      <c r="AD1044" s="302"/>
      <c r="AE1044" s="303"/>
      <c r="AF1044" s="304"/>
      <c r="AG1044" s="304"/>
      <c r="AH1044" s="304"/>
      <c r="AI1044" s="304"/>
      <c r="AJ1044" s="304"/>
      <c r="AK1044" s="305"/>
      <c r="AL1044" s="283"/>
      <c r="AM1044" s="284"/>
    </row>
    <row r="1045" ht="15.75" customHeight="1">
      <c r="A1045" s="282">
        <f t="shared" si="1"/>
        <v>1041</v>
      </c>
      <c r="B1045" s="283"/>
      <c r="C1045" s="335"/>
      <c r="D1045" s="338"/>
      <c r="E1045" s="286"/>
      <c r="F1045" s="287"/>
      <c r="G1045" s="288" t="str">
        <f>+IFERROR(VLOOKUP(F1045,NVL!$B:$C,2,0),"")</f>
        <v/>
      </c>
      <c r="H1045" s="288" t="str">
        <f>+IFERROR(VLOOKUP(F1045,NVL!$B:$D,3,0),"")</f>
        <v/>
      </c>
      <c r="I1045" s="288" t="str">
        <f>+IFERROR(VLOOKUP(F1045,NVL!$B:$F,4,0),"")</f>
        <v/>
      </c>
      <c r="J1045" s="289"/>
      <c r="K1045" s="290"/>
      <c r="L1045" s="291" t="str">
        <f>+IFERROR(VLOOKUP(K1045,'THÀNH PHẨM'!$B:$F,3,0),"")</f>
        <v/>
      </c>
      <c r="M1045" s="289" t="str">
        <f t="shared" si="72"/>
        <v/>
      </c>
      <c r="N1045" s="291" t="str">
        <f>+IFERROR(VLOOKUP(K1045,'THÀNH PHẨM'!$B:$F,5,0),"")</f>
        <v/>
      </c>
      <c r="O1045" s="289"/>
      <c r="P1045" s="292">
        <f t="shared" si="2"/>
        <v>0</v>
      </c>
      <c r="Q1045" s="289"/>
      <c r="R1045" s="289"/>
      <c r="S1045" s="293">
        <f t="shared" si="62"/>
        <v>0</v>
      </c>
      <c r="T1045" s="294"/>
      <c r="U1045" s="295" t="str">
        <f>IFERROR(VLOOKUP(G1045,'KL NÒNG ỐNG'!$B$2:$E$16,4,0)*I1045*V1045,"")</f>
        <v/>
      </c>
      <c r="V1045" s="296"/>
      <c r="W1045" s="297"/>
      <c r="X1045" s="298"/>
      <c r="Y1045" s="292" t="str">
        <f t="shared" si="69"/>
        <v/>
      </c>
      <c r="Z1045" s="366">
        <f t="shared" si="70"/>
        <v>0</v>
      </c>
      <c r="AA1045" s="299" t="str">
        <f t="shared" si="71"/>
        <v/>
      </c>
      <c r="AB1045" s="300"/>
      <c r="AC1045" s="301"/>
      <c r="AD1045" s="302"/>
      <c r="AE1045" s="303"/>
      <c r="AF1045" s="304"/>
      <c r="AG1045" s="304"/>
      <c r="AH1045" s="304"/>
      <c r="AI1045" s="304"/>
      <c r="AJ1045" s="304"/>
      <c r="AK1045" s="305"/>
      <c r="AL1045" s="283"/>
      <c r="AM1045" s="284"/>
    </row>
    <row r="1046" ht="15.75" customHeight="1">
      <c r="A1046" s="282">
        <f t="shared" si="1"/>
        <v>1042</v>
      </c>
      <c r="B1046" s="283"/>
      <c r="C1046" s="335"/>
      <c r="D1046" s="338"/>
      <c r="E1046" s="286"/>
      <c r="F1046" s="287"/>
      <c r="G1046" s="288" t="str">
        <f>+IFERROR(VLOOKUP(F1046,NVL!$B:$C,2,0),"")</f>
        <v/>
      </c>
      <c r="H1046" s="288" t="str">
        <f>+IFERROR(VLOOKUP(F1046,NVL!$B:$D,3,0),"")</f>
        <v/>
      </c>
      <c r="I1046" s="288" t="str">
        <f>+IFERROR(VLOOKUP(F1046,NVL!$B:$F,4,0),"")</f>
        <v/>
      </c>
      <c r="J1046" s="289"/>
      <c r="K1046" s="290"/>
      <c r="L1046" s="291" t="str">
        <f>+IFERROR(VLOOKUP(K1046,'THÀNH PHẨM'!$B:$F,3,0),"")</f>
        <v/>
      </c>
      <c r="M1046" s="289" t="str">
        <f t="shared" si="72"/>
        <v/>
      </c>
      <c r="N1046" s="291" t="str">
        <f>+IFERROR(VLOOKUP(K1046,'THÀNH PHẨM'!$B:$F,5,0),"")</f>
        <v/>
      </c>
      <c r="O1046" s="289"/>
      <c r="P1046" s="292">
        <f t="shared" si="2"/>
        <v>0</v>
      </c>
      <c r="Q1046" s="289"/>
      <c r="R1046" s="289"/>
      <c r="S1046" s="293">
        <f t="shared" si="62"/>
        <v>0</v>
      </c>
      <c r="T1046" s="294"/>
      <c r="U1046" s="295" t="str">
        <f>IFERROR(VLOOKUP(G1046,'KL NÒNG ỐNG'!$B$2:$E$16,4,0)*I1046*V1046,"")</f>
        <v/>
      </c>
      <c r="V1046" s="296"/>
      <c r="W1046" s="297"/>
      <c r="X1046" s="298"/>
      <c r="Y1046" s="292" t="str">
        <f t="shared" si="69"/>
        <v/>
      </c>
      <c r="Z1046" s="366">
        <f t="shared" si="70"/>
        <v>0</v>
      </c>
      <c r="AA1046" s="299" t="str">
        <f t="shared" si="71"/>
        <v/>
      </c>
      <c r="AB1046" s="300"/>
      <c r="AC1046" s="301"/>
      <c r="AD1046" s="302"/>
      <c r="AE1046" s="303"/>
      <c r="AF1046" s="304"/>
      <c r="AG1046" s="304"/>
      <c r="AH1046" s="304"/>
      <c r="AI1046" s="304"/>
      <c r="AJ1046" s="304"/>
      <c r="AK1046" s="305"/>
      <c r="AL1046" s="283"/>
      <c r="AM1046" s="284"/>
    </row>
    <row r="1047" ht="15.75" customHeight="1">
      <c r="A1047" s="282">
        <f t="shared" si="1"/>
        <v>1043</v>
      </c>
      <c r="B1047" s="283"/>
      <c r="C1047" s="335"/>
      <c r="D1047" s="338"/>
      <c r="E1047" s="286"/>
      <c r="F1047" s="287"/>
      <c r="G1047" s="288" t="str">
        <f>+IFERROR(VLOOKUP(F1047,NVL!$B:$C,2,0),"")</f>
        <v/>
      </c>
      <c r="H1047" s="288" t="str">
        <f>+IFERROR(VLOOKUP(F1047,NVL!$B:$D,3,0),"")</f>
        <v/>
      </c>
      <c r="I1047" s="288" t="str">
        <f>+IFERROR(VLOOKUP(F1047,NVL!$B:$F,4,0),"")</f>
        <v/>
      </c>
      <c r="J1047" s="289"/>
      <c r="K1047" s="290"/>
      <c r="L1047" s="291" t="str">
        <f>+IFERROR(VLOOKUP(K1047,'THÀNH PHẨM'!$B:$F,3,0),"")</f>
        <v/>
      </c>
      <c r="M1047" s="289" t="str">
        <f t="shared" si="72"/>
        <v/>
      </c>
      <c r="N1047" s="291" t="str">
        <f>+IFERROR(VLOOKUP(K1047,'THÀNH PHẨM'!$B:$F,5,0),"")</f>
        <v/>
      </c>
      <c r="O1047" s="289"/>
      <c r="P1047" s="292">
        <f t="shared" si="2"/>
        <v>0</v>
      </c>
      <c r="Q1047" s="289"/>
      <c r="R1047" s="289"/>
      <c r="S1047" s="293">
        <f t="shared" si="62"/>
        <v>0</v>
      </c>
      <c r="T1047" s="294"/>
      <c r="U1047" s="295" t="str">
        <f>IFERROR(VLOOKUP(G1047,'KL NÒNG ỐNG'!$B$2:$E$16,4,0)*I1047*V1047,"")</f>
        <v/>
      </c>
      <c r="V1047" s="296"/>
      <c r="W1047" s="297"/>
      <c r="X1047" s="298"/>
      <c r="Y1047" s="292" t="str">
        <f t="shared" si="69"/>
        <v/>
      </c>
      <c r="Z1047" s="366">
        <f t="shared" si="70"/>
        <v>0</v>
      </c>
      <c r="AA1047" s="299" t="str">
        <f t="shared" si="71"/>
        <v/>
      </c>
      <c r="AB1047" s="300"/>
      <c r="AC1047" s="301"/>
      <c r="AD1047" s="302"/>
      <c r="AE1047" s="303"/>
      <c r="AF1047" s="304"/>
      <c r="AG1047" s="304"/>
      <c r="AH1047" s="304"/>
      <c r="AI1047" s="304"/>
      <c r="AJ1047" s="304"/>
      <c r="AK1047" s="305"/>
      <c r="AL1047" s="283"/>
      <c r="AM1047" s="284"/>
    </row>
    <row r="1048" ht="15.75" customHeight="1">
      <c r="A1048" s="282">
        <f t="shared" si="1"/>
        <v>1044</v>
      </c>
      <c r="B1048" s="283"/>
      <c r="C1048" s="335"/>
      <c r="D1048" s="338"/>
      <c r="E1048" s="286"/>
      <c r="F1048" s="287"/>
      <c r="G1048" s="288" t="str">
        <f>+IFERROR(VLOOKUP(F1048,NVL!$B:$C,2,0),"")</f>
        <v/>
      </c>
      <c r="H1048" s="288" t="str">
        <f>+IFERROR(VLOOKUP(F1048,NVL!$B:$D,3,0),"")</f>
        <v/>
      </c>
      <c r="I1048" s="288" t="str">
        <f>+IFERROR(VLOOKUP(F1048,NVL!$B:$F,4,0),"")</f>
        <v/>
      </c>
      <c r="J1048" s="289"/>
      <c r="K1048" s="290"/>
      <c r="L1048" s="291" t="str">
        <f>+IFERROR(VLOOKUP(K1048,'THÀNH PHẨM'!$B:$F,3,0),"")</f>
        <v/>
      </c>
      <c r="M1048" s="289" t="str">
        <f t="shared" si="72"/>
        <v/>
      </c>
      <c r="N1048" s="291" t="str">
        <f>+IFERROR(VLOOKUP(K1048,'THÀNH PHẨM'!$B:$F,5,0),"")</f>
        <v/>
      </c>
      <c r="O1048" s="289"/>
      <c r="P1048" s="292">
        <f t="shared" si="2"/>
        <v>0</v>
      </c>
      <c r="Q1048" s="289"/>
      <c r="R1048" s="289"/>
      <c r="S1048" s="293">
        <f t="shared" si="62"/>
        <v>0</v>
      </c>
      <c r="T1048" s="294"/>
      <c r="U1048" s="295" t="str">
        <f>IFERROR(VLOOKUP(G1048,'KL NÒNG ỐNG'!$B$2:$E$16,4,0)*I1048*V1048,"")</f>
        <v/>
      </c>
      <c r="V1048" s="296"/>
      <c r="W1048" s="297"/>
      <c r="X1048" s="298"/>
      <c r="Y1048" s="292" t="str">
        <f t="shared" si="69"/>
        <v/>
      </c>
      <c r="Z1048" s="366">
        <f t="shared" si="70"/>
        <v>0</v>
      </c>
      <c r="AA1048" s="299" t="str">
        <f t="shared" si="71"/>
        <v/>
      </c>
      <c r="AB1048" s="300"/>
      <c r="AC1048" s="301"/>
      <c r="AD1048" s="302"/>
      <c r="AE1048" s="303"/>
      <c r="AF1048" s="304"/>
      <c r="AG1048" s="304"/>
      <c r="AH1048" s="304"/>
      <c r="AI1048" s="304"/>
      <c r="AJ1048" s="304"/>
      <c r="AK1048" s="305"/>
      <c r="AL1048" s="283"/>
      <c r="AM1048" s="284"/>
    </row>
    <row r="1049" ht="15.75" customHeight="1">
      <c r="A1049" s="282">
        <f t="shared" si="1"/>
        <v>1045</v>
      </c>
      <c r="B1049" s="283"/>
      <c r="C1049" s="335"/>
      <c r="D1049" s="338"/>
      <c r="E1049" s="286"/>
      <c r="F1049" s="287"/>
      <c r="G1049" s="288" t="str">
        <f>+IFERROR(VLOOKUP(F1049,NVL!$B:$C,2,0),"")</f>
        <v/>
      </c>
      <c r="H1049" s="288" t="str">
        <f>+IFERROR(VLOOKUP(F1049,NVL!$B:$D,3,0),"")</f>
        <v/>
      </c>
      <c r="I1049" s="288" t="str">
        <f>+IFERROR(VLOOKUP(F1049,NVL!$B:$F,4,0),"")</f>
        <v/>
      </c>
      <c r="J1049" s="289"/>
      <c r="K1049" s="290"/>
      <c r="L1049" s="291" t="str">
        <f>+IFERROR(VLOOKUP(K1049,'THÀNH PHẨM'!$B:$F,3,0),"")</f>
        <v/>
      </c>
      <c r="M1049" s="289" t="str">
        <f t="shared" si="72"/>
        <v/>
      </c>
      <c r="N1049" s="291" t="str">
        <f>+IFERROR(VLOOKUP(K1049,'THÀNH PHẨM'!$B:$F,5,0),"")</f>
        <v/>
      </c>
      <c r="O1049" s="289"/>
      <c r="P1049" s="292">
        <f t="shared" si="2"/>
        <v>0</v>
      </c>
      <c r="Q1049" s="289"/>
      <c r="R1049" s="289"/>
      <c r="S1049" s="293">
        <f t="shared" si="62"/>
        <v>0</v>
      </c>
      <c r="T1049" s="294"/>
      <c r="U1049" s="295" t="str">
        <f>IFERROR(VLOOKUP(G1049,'KL NÒNG ỐNG'!$B$2:$E$16,4,0)*I1049*V1049,"")</f>
        <v/>
      </c>
      <c r="V1049" s="296"/>
      <c r="W1049" s="297"/>
      <c r="X1049" s="298"/>
      <c r="Y1049" s="292" t="str">
        <f t="shared" si="69"/>
        <v/>
      </c>
      <c r="Z1049" s="366">
        <f t="shared" si="70"/>
        <v>0</v>
      </c>
      <c r="AA1049" s="299" t="str">
        <f t="shared" si="71"/>
        <v/>
      </c>
      <c r="AB1049" s="300"/>
      <c r="AC1049" s="301"/>
      <c r="AD1049" s="302"/>
      <c r="AE1049" s="303"/>
      <c r="AF1049" s="304"/>
      <c r="AG1049" s="304"/>
      <c r="AH1049" s="304"/>
      <c r="AI1049" s="304"/>
      <c r="AJ1049" s="304"/>
      <c r="AK1049" s="305"/>
      <c r="AL1049" s="283"/>
      <c r="AM1049" s="284"/>
    </row>
    <row r="1050" ht="15.75" customHeight="1">
      <c r="A1050" s="282">
        <f t="shared" si="1"/>
        <v>1046</v>
      </c>
      <c r="B1050" s="283"/>
      <c r="C1050" s="335"/>
      <c r="D1050" s="338"/>
      <c r="E1050" s="286"/>
      <c r="F1050" s="287"/>
      <c r="G1050" s="288" t="str">
        <f>+IFERROR(VLOOKUP(F1050,NVL!$B:$C,2,0),"")</f>
        <v/>
      </c>
      <c r="H1050" s="288" t="str">
        <f>+IFERROR(VLOOKUP(F1050,NVL!$B:$D,3,0),"")</f>
        <v/>
      </c>
      <c r="I1050" s="288" t="str">
        <f>+IFERROR(VLOOKUP(F1050,NVL!$B:$F,4,0),"")</f>
        <v/>
      </c>
      <c r="J1050" s="289"/>
      <c r="K1050" s="290"/>
      <c r="L1050" s="291" t="str">
        <f>+IFERROR(VLOOKUP(K1050,'THÀNH PHẨM'!$B:$F,3,0),"")</f>
        <v/>
      </c>
      <c r="M1050" s="289" t="str">
        <f t="shared" si="72"/>
        <v/>
      </c>
      <c r="N1050" s="291" t="str">
        <f>+IFERROR(VLOOKUP(K1050,'THÀNH PHẨM'!$B:$F,5,0),"")</f>
        <v/>
      </c>
      <c r="O1050" s="289"/>
      <c r="P1050" s="292">
        <f t="shared" si="2"/>
        <v>0</v>
      </c>
      <c r="Q1050" s="289"/>
      <c r="R1050" s="289"/>
      <c r="S1050" s="293">
        <f t="shared" si="62"/>
        <v>0</v>
      </c>
      <c r="T1050" s="294"/>
      <c r="U1050" s="295" t="str">
        <f>IFERROR(VLOOKUP(G1050,'KL NÒNG ỐNG'!$B$2:$E$16,4,0)*I1050*V1050,"")</f>
        <v/>
      </c>
      <c r="V1050" s="296"/>
      <c r="W1050" s="297"/>
      <c r="X1050" s="298"/>
      <c r="Y1050" s="292" t="str">
        <f t="shared" si="69"/>
        <v/>
      </c>
      <c r="Z1050" s="366">
        <f t="shared" si="70"/>
        <v>0</v>
      </c>
      <c r="AA1050" s="299" t="str">
        <f t="shared" si="71"/>
        <v/>
      </c>
      <c r="AB1050" s="300"/>
      <c r="AC1050" s="301"/>
      <c r="AD1050" s="302"/>
      <c r="AE1050" s="303"/>
      <c r="AF1050" s="304"/>
      <c r="AG1050" s="304"/>
      <c r="AH1050" s="304"/>
      <c r="AI1050" s="304"/>
      <c r="AJ1050" s="304"/>
      <c r="AK1050" s="305"/>
      <c r="AL1050" s="283"/>
      <c r="AM1050" s="284"/>
    </row>
    <row r="1051" ht="15.75" customHeight="1">
      <c r="A1051" s="282">
        <f t="shared" si="1"/>
        <v>1047</v>
      </c>
      <c r="B1051" s="283"/>
      <c r="C1051" s="335"/>
      <c r="D1051" s="338"/>
      <c r="E1051" s="286"/>
      <c r="F1051" s="287"/>
      <c r="G1051" s="288" t="str">
        <f>+IFERROR(VLOOKUP(F1051,NVL!$B:$C,2,0),"")</f>
        <v/>
      </c>
      <c r="H1051" s="288" t="str">
        <f>+IFERROR(VLOOKUP(F1051,NVL!$B:$D,3,0),"")</f>
        <v/>
      </c>
      <c r="I1051" s="288" t="str">
        <f>+IFERROR(VLOOKUP(F1051,NVL!$B:$F,4,0),"")</f>
        <v/>
      </c>
      <c r="J1051" s="289"/>
      <c r="K1051" s="290"/>
      <c r="L1051" s="291" t="str">
        <f>+IFERROR(VLOOKUP(K1051,'THÀNH PHẨM'!$B:$F,3,0),"")</f>
        <v/>
      </c>
      <c r="M1051" s="289" t="str">
        <f t="shared" si="72"/>
        <v/>
      </c>
      <c r="N1051" s="291" t="str">
        <f>+IFERROR(VLOOKUP(K1051,'THÀNH PHẨM'!$B:$F,5,0),"")</f>
        <v/>
      </c>
      <c r="O1051" s="289"/>
      <c r="P1051" s="292">
        <f t="shared" si="2"/>
        <v>0</v>
      </c>
      <c r="Q1051" s="289"/>
      <c r="R1051" s="289"/>
      <c r="S1051" s="293">
        <f t="shared" si="62"/>
        <v>0</v>
      </c>
      <c r="T1051" s="294"/>
      <c r="U1051" s="295" t="str">
        <f>IFERROR(VLOOKUP(G1051,'KL NÒNG ỐNG'!$B$2:$E$16,4,0)*I1051*V1051,"")</f>
        <v/>
      </c>
      <c r="V1051" s="296"/>
      <c r="W1051" s="297"/>
      <c r="X1051" s="298"/>
      <c r="Y1051" s="292" t="str">
        <f t="shared" si="69"/>
        <v/>
      </c>
      <c r="Z1051" s="366">
        <f t="shared" si="70"/>
        <v>0</v>
      </c>
      <c r="AA1051" s="299" t="str">
        <f t="shared" si="71"/>
        <v/>
      </c>
      <c r="AB1051" s="300"/>
      <c r="AC1051" s="301"/>
      <c r="AD1051" s="302"/>
      <c r="AE1051" s="303"/>
      <c r="AF1051" s="304"/>
      <c r="AG1051" s="304"/>
      <c r="AH1051" s="304"/>
      <c r="AI1051" s="304"/>
      <c r="AJ1051" s="304"/>
      <c r="AK1051" s="305"/>
      <c r="AL1051" s="283"/>
      <c r="AM1051" s="284"/>
    </row>
    <row r="1052" ht="15.75" customHeight="1">
      <c r="A1052" s="282">
        <f t="shared" si="1"/>
        <v>1048</v>
      </c>
      <c r="B1052" s="283"/>
      <c r="C1052" s="335"/>
      <c r="D1052" s="338"/>
      <c r="E1052" s="286"/>
      <c r="F1052" s="287"/>
      <c r="G1052" s="288" t="str">
        <f>+IFERROR(VLOOKUP(F1052,NVL!$B:$C,2,0),"")</f>
        <v/>
      </c>
      <c r="H1052" s="288" t="str">
        <f>+IFERROR(VLOOKUP(F1052,NVL!$B:$D,3,0),"")</f>
        <v/>
      </c>
      <c r="I1052" s="288" t="str">
        <f>+IFERROR(VLOOKUP(F1052,NVL!$B:$F,4,0),"")</f>
        <v/>
      </c>
      <c r="J1052" s="289"/>
      <c r="K1052" s="290"/>
      <c r="L1052" s="291" t="str">
        <f>+IFERROR(VLOOKUP(K1052,'THÀNH PHẨM'!$B:$F,3,0),"")</f>
        <v/>
      </c>
      <c r="M1052" s="289" t="str">
        <f t="shared" si="72"/>
        <v/>
      </c>
      <c r="N1052" s="291" t="str">
        <f>+IFERROR(VLOOKUP(K1052,'THÀNH PHẨM'!$B:$F,5,0),"")</f>
        <v/>
      </c>
      <c r="O1052" s="289"/>
      <c r="P1052" s="292">
        <f t="shared" si="2"/>
        <v>0</v>
      </c>
      <c r="Q1052" s="289"/>
      <c r="R1052" s="289"/>
      <c r="S1052" s="293">
        <f t="shared" si="62"/>
        <v>0</v>
      </c>
      <c r="T1052" s="294"/>
      <c r="U1052" s="482" t="str">
        <f>IFERROR(VLOOKUP(G1052,'KL NÒNG ỐNG'!$B$2:$E$16,4,0)*I1052*V1052,"")</f>
        <v/>
      </c>
      <c r="V1052" s="296"/>
      <c r="W1052" s="297"/>
      <c r="X1052" s="483"/>
      <c r="Y1052" s="292" t="str">
        <f t="shared" si="69"/>
        <v/>
      </c>
      <c r="Z1052" s="366">
        <f t="shared" si="70"/>
        <v>0</v>
      </c>
      <c r="AA1052" s="299" t="str">
        <f t="shared" si="71"/>
        <v/>
      </c>
      <c r="AB1052" s="300"/>
      <c r="AC1052" s="301"/>
      <c r="AD1052" s="302"/>
      <c r="AE1052" s="303"/>
      <c r="AF1052" s="304"/>
      <c r="AG1052" s="304"/>
      <c r="AH1052" s="304"/>
      <c r="AI1052" s="304"/>
      <c r="AJ1052" s="304"/>
      <c r="AK1052" s="305"/>
      <c r="AL1052" s="283"/>
      <c r="AM1052" s="284"/>
    </row>
    <row r="1053" ht="15.75" customHeight="1">
      <c r="A1053" s="282">
        <f t="shared" si="1"/>
        <v>1049</v>
      </c>
      <c r="B1053" s="283"/>
      <c r="C1053" s="335"/>
      <c r="D1053" s="338"/>
      <c r="E1053" s="286"/>
      <c r="F1053" s="287"/>
      <c r="G1053" s="288" t="str">
        <f>+IFERROR(VLOOKUP(F1053,NVL!$B:$C,2,0),"")</f>
        <v/>
      </c>
      <c r="H1053" s="288" t="str">
        <f>+IFERROR(VLOOKUP(F1053,NVL!$B:$D,3,0),"")</f>
        <v/>
      </c>
      <c r="I1053" s="288" t="str">
        <f>+IFERROR(VLOOKUP(F1053,NVL!$B:$F,4,0),"")</f>
        <v/>
      </c>
      <c r="J1053" s="289"/>
      <c r="K1053" s="290"/>
      <c r="L1053" s="291" t="str">
        <f>+IFERROR(VLOOKUP(K1053,'THÀNH PHẨM'!$B:$F,3,0),"")</f>
        <v/>
      </c>
      <c r="M1053" s="289" t="str">
        <f t="shared" si="72"/>
        <v/>
      </c>
      <c r="N1053" s="291" t="str">
        <f>+IFERROR(VLOOKUP(K1053,'THÀNH PHẨM'!$B:$F,5,0),"")</f>
        <v/>
      </c>
      <c r="O1053" s="289"/>
      <c r="P1053" s="292">
        <f t="shared" si="2"/>
        <v>0</v>
      </c>
      <c r="Q1053" s="289"/>
      <c r="R1053" s="289"/>
      <c r="S1053" s="293">
        <f t="shared" si="62"/>
        <v>0</v>
      </c>
      <c r="T1053" s="294"/>
      <c r="U1053" s="482" t="str">
        <f>IFERROR(VLOOKUP(G1053,'KL NÒNG ỐNG'!$B$2:$E$16,4,0)*I1053*V1053,"")</f>
        <v/>
      </c>
      <c r="V1053" s="296"/>
      <c r="W1053" s="297"/>
      <c r="X1053" s="483"/>
      <c r="Y1053" s="292" t="str">
        <f t="shared" si="69"/>
        <v/>
      </c>
      <c r="Z1053" s="366">
        <f t="shared" si="70"/>
        <v>0</v>
      </c>
      <c r="AA1053" s="299" t="str">
        <f t="shared" si="71"/>
        <v/>
      </c>
      <c r="AB1053" s="300"/>
      <c r="AC1053" s="301"/>
      <c r="AD1053" s="302"/>
      <c r="AE1053" s="303"/>
      <c r="AF1053" s="304"/>
      <c r="AG1053" s="304"/>
      <c r="AH1053" s="304"/>
      <c r="AI1053" s="304"/>
      <c r="AJ1053" s="304"/>
      <c r="AK1053" s="305"/>
      <c r="AL1053" s="283"/>
      <c r="AM1053" s="284"/>
    </row>
  </sheetData>
  <autoFilter ref="$A$4:$AM$1053"/>
  <mergeCells count="353">
    <mergeCell ref="AA70:AA71"/>
    <mergeCell ref="AK70:AK71"/>
    <mergeCell ref="AL70:AL71"/>
    <mergeCell ref="T70:T71"/>
    <mergeCell ref="U70:U71"/>
    <mergeCell ref="V70:V71"/>
    <mergeCell ref="W70:W71"/>
    <mergeCell ref="X70:X71"/>
    <mergeCell ref="Y70:Y71"/>
    <mergeCell ref="Z70:Z71"/>
    <mergeCell ref="W45:W47"/>
    <mergeCell ref="X45:X47"/>
    <mergeCell ref="Y45:Y47"/>
    <mergeCell ref="Z45:Z47"/>
    <mergeCell ref="AA45:AA47"/>
    <mergeCell ref="AC49:AC50"/>
    <mergeCell ref="AD49:AD50"/>
    <mergeCell ref="T37:T40"/>
    <mergeCell ref="T42:T43"/>
    <mergeCell ref="U42:U43"/>
    <mergeCell ref="V42:V43"/>
    <mergeCell ref="W42:W43"/>
    <mergeCell ref="X42:X43"/>
    <mergeCell ref="T45:T47"/>
    <mergeCell ref="Y52:Y54"/>
    <mergeCell ref="Z52:Z54"/>
    <mergeCell ref="AA52:AA54"/>
    <mergeCell ref="AC52:AC54"/>
    <mergeCell ref="AD52:AD54"/>
    <mergeCell ref="AK52:AK54"/>
    <mergeCell ref="AL52:AL54"/>
    <mergeCell ref="U45:U47"/>
    <mergeCell ref="V45:V47"/>
    <mergeCell ref="T52:T54"/>
    <mergeCell ref="U52:U54"/>
    <mergeCell ref="V52:V54"/>
    <mergeCell ref="W52:W54"/>
    <mergeCell ref="X52:X54"/>
    <mergeCell ref="AA56:AA57"/>
    <mergeCell ref="AC56:AC57"/>
    <mergeCell ref="AD56:AD57"/>
    <mergeCell ref="AK56:AK57"/>
    <mergeCell ref="AL56:AL57"/>
    <mergeCell ref="T56:T57"/>
    <mergeCell ref="U56:U57"/>
    <mergeCell ref="V56:V57"/>
    <mergeCell ref="W56:W57"/>
    <mergeCell ref="X56:X57"/>
    <mergeCell ref="Y56:Y57"/>
    <mergeCell ref="Z56:Z57"/>
    <mergeCell ref="AA72:AA73"/>
    <mergeCell ref="AB72:AB73"/>
    <mergeCell ref="AK72:AK73"/>
    <mergeCell ref="AL72:AL73"/>
    <mergeCell ref="T72:T73"/>
    <mergeCell ref="U72:U73"/>
    <mergeCell ref="V72:V73"/>
    <mergeCell ref="W72:W73"/>
    <mergeCell ref="X72:X73"/>
    <mergeCell ref="Y72:Y73"/>
    <mergeCell ref="Z72:Z73"/>
    <mergeCell ref="AA68:AA69"/>
    <mergeCell ref="AB68:AB69"/>
    <mergeCell ref="AK68:AK69"/>
    <mergeCell ref="AL68:AL69"/>
    <mergeCell ref="AM72:AM73"/>
    <mergeCell ref="T68:T69"/>
    <mergeCell ref="U68:U69"/>
    <mergeCell ref="V68:V69"/>
    <mergeCell ref="W68:W69"/>
    <mergeCell ref="X68:X69"/>
    <mergeCell ref="Y68:Y69"/>
    <mergeCell ref="Z68:Z69"/>
    <mergeCell ref="AA74:AA75"/>
    <mergeCell ref="AB74:AB75"/>
    <mergeCell ref="AK74:AK75"/>
    <mergeCell ref="AL74:AL75"/>
    <mergeCell ref="AM74:AM75"/>
    <mergeCell ref="T74:T75"/>
    <mergeCell ref="U74:U75"/>
    <mergeCell ref="V74:V75"/>
    <mergeCell ref="W74:W75"/>
    <mergeCell ref="X74:X75"/>
    <mergeCell ref="Y74:Y75"/>
    <mergeCell ref="Z74:Z75"/>
    <mergeCell ref="AA77:AA78"/>
    <mergeCell ref="AK77:AK78"/>
    <mergeCell ref="AL77:AL78"/>
    <mergeCell ref="AM77:AM78"/>
    <mergeCell ref="T77:T78"/>
    <mergeCell ref="U77:U78"/>
    <mergeCell ref="V77:V78"/>
    <mergeCell ref="W77:W78"/>
    <mergeCell ref="X77:X78"/>
    <mergeCell ref="Y77:Y78"/>
    <mergeCell ref="Z77:Z78"/>
    <mergeCell ref="W88:W89"/>
    <mergeCell ref="Y88:Y89"/>
    <mergeCell ref="Z88:Z89"/>
    <mergeCell ref="AA88:AA89"/>
    <mergeCell ref="AA83:AA84"/>
    <mergeCell ref="AK83:AK84"/>
    <mergeCell ref="AL83:AL84"/>
    <mergeCell ref="AM83:AM84"/>
    <mergeCell ref="T83:T84"/>
    <mergeCell ref="T95:T96"/>
    <mergeCell ref="W95:W96"/>
    <mergeCell ref="X95:X96"/>
    <mergeCell ref="Y95:Y96"/>
    <mergeCell ref="Z95:Z96"/>
    <mergeCell ref="AA95:AA96"/>
    <mergeCell ref="U83:U84"/>
    <mergeCell ref="V83:V84"/>
    <mergeCell ref="W83:W84"/>
    <mergeCell ref="X83:X84"/>
    <mergeCell ref="Y83:Y84"/>
    <mergeCell ref="Z83:Z84"/>
    <mergeCell ref="J95:J96"/>
    <mergeCell ref="X102:X103"/>
    <mergeCell ref="Y102:Y103"/>
    <mergeCell ref="Z102:Z103"/>
    <mergeCell ref="AA102:AA103"/>
    <mergeCell ref="X104:X106"/>
    <mergeCell ref="Y104:Y106"/>
    <mergeCell ref="Z104:Z106"/>
    <mergeCell ref="AA104:AA106"/>
    <mergeCell ref="T102:T103"/>
    <mergeCell ref="T104:T106"/>
    <mergeCell ref="AA114:AA115"/>
    <mergeCell ref="AE114:AE115"/>
    <mergeCell ref="T114:T115"/>
    <mergeCell ref="U114:U115"/>
    <mergeCell ref="V114:V115"/>
    <mergeCell ref="W114:W115"/>
    <mergeCell ref="X114:X115"/>
    <mergeCell ref="Y114:Y115"/>
    <mergeCell ref="Z114:Z115"/>
    <mergeCell ref="J104:J106"/>
    <mergeCell ref="J110:J111"/>
    <mergeCell ref="J112:J113"/>
    <mergeCell ref="J114:J115"/>
    <mergeCell ref="J116:J117"/>
    <mergeCell ref="U95:U96"/>
    <mergeCell ref="V95:V96"/>
    <mergeCell ref="J102:J103"/>
    <mergeCell ref="U102:U103"/>
    <mergeCell ref="V102:V103"/>
    <mergeCell ref="W102:W103"/>
    <mergeCell ref="W104:W106"/>
    <mergeCell ref="Y110:Y111"/>
    <mergeCell ref="Z110:Z111"/>
    <mergeCell ref="AA110:AA111"/>
    <mergeCell ref="U104:U106"/>
    <mergeCell ref="V104:V106"/>
    <mergeCell ref="T110:T111"/>
    <mergeCell ref="U110:U111"/>
    <mergeCell ref="V110:V111"/>
    <mergeCell ref="W110:W111"/>
    <mergeCell ref="X110:X111"/>
    <mergeCell ref="AA112:AA113"/>
    <mergeCell ref="AE112:AE113"/>
    <mergeCell ref="T112:T113"/>
    <mergeCell ref="U112:U113"/>
    <mergeCell ref="V112:V113"/>
    <mergeCell ref="W112:W113"/>
    <mergeCell ref="X112:X113"/>
    <mergeCell ref="Y112:Y113"/>
    <mergeCell ref="Z112:Z113"/>
    <mergeCell ref="AA116:AA117"/>
    <mergeCell ref="AE116:AE117"/>
    <mergeCell ref="T116:T117"/>
    <mergeCell ref="U116:U117"/>
    <mergeCell ref="V116:V117"/>
    <mergeCell ref="W116:W117"/>
    <mergeCell ref="X116:X117"/>
    <mergeCell ref="Y116:Y117"/>
    <mergeCell ref="Z116:Z117"/>
    <mergeCell ref="V6:V7"/>
    <mergeCell ref="W6:W7"/>
    <mergeCell ref="W11:W13"/>
    <mergeCell ref="X11:X13"/>
    <mergeCell ref="Y11:Y13"/>
    <mergeCell ref="Z11:Z13"/>
    <mergeCell ref="AA11:AA13"/>
    <mergeCell ref="X6:X7"/>
    <mergeCell ref="Y6:Y7"/>
    <mergeCell ref="AA6:AA7"/>
    <mergeCell ref="A2:E2"/>
    <mergeCell ref="H3:J3"/>
    <mergeCell ref="L3:P3"/>
    <mergeCell ref="Q3:S3"/>
    <mergeCell ref="U3:V3"/>
    <mergeCell ref="Y3:Z3"/>
    <mergeCell ref="J6:J7"/>
    <mergeCell ref="Z6:Z7"/>
    <mergeCell ref="T6:T7"/>
    <mergeCell ref="U6:U7"/>
    <mergeCell ref="F11:F13"/>
    <mergeCell ref="G11:G13"/>
    <mergeCell ref="H11:H13"/>
    <mergeCell ref="I11:I13"/>
    <mergeCell ref="J11:J13"/>
    <mergeCell ref="V14:V16"/>
    <mergeCell ref="W14:W16"/>
    <mergeCell ref="X14:X16"/>
    <mergeCell ref="Y14:Y16"/>
    <mergeCell ref="Z14:Z16"/>
    <mergeCell ref="AA14:AA16"/>
    <mergeCell ref="F14:F16"/>
    <mergeCell ref="G14:G16"/>
    <mergeCell ref="H14:H16"/>
    <mergeCell ref="I14:I16"/>
    <mergeCell ref="J14:J16"/>
    <mergeCell ref="T14:T16"/>
    <mergeCell ref="U14:U16"/>
    <mergeCell ref="T22:T25"/>
    <mergeCell ref="U22:U25"/>
    <mergeCell ref="V22:V25"/>
    <mergeCell ref="W22:W25"/>
    <mergeCell ref="X22:X25"/>
    <mergeCell ref="Y22:Y25"/>
    <mergeCell ref="Z22:Z25"/>
    <mergeCell ref="AA22:AA25"/>
    <mergeCell ref="G42:G43"/>
    <mergeCell ref="H42:H43"/>
    <mergeCell ref="F45:F47"/>
    <mergeCell ref="G45:G47"/>
    <mergeCell ref="H45:H47"/>
    <mergeCell ref="I45:I47"/>
    <mergeCell ref="J45:J47"/>
    <mergeCell ref="F32:F34"/>
    <mergeCell ref="F38:F40"/>
    <mergeCell ref="G38:G40"/>
    <mergeCell ref="H38:H40"/>
    <mergeCell ref="I38:I40"/>
    <mergeCell ref="J38:J40"/>
    <mergeCell ref="F42:F43"/>
    <mergeCell ref="I42:I43"/>
    <mergeCell ref="J42:J43"/>
    <mergeCell ref="J49:J50"/>
    <mergeCell ref="J52:J54"/>
    <mergeCell ref="J56:J57"/>
    <mergeCell ref="J61:J62"/>
    <mergeCell ref="J63:J64"/>
    <mergeCell ref="G70:G71"/>
    <mergeCell ref="H70:H71"/>
    <mergeCell ref="I70:I71"/>
    <mergeCell ref="J70:J71"/>
    <mergeCell ref="J72:J73"/>
    <mergeCell ref="J74:J75"/>
    <mergeCell ref="J77:J78"/>
    <mergeCell ref="J81:J82"/>
    <mergeCell ref="J83:J84"/>
    <mergeCell ref="J66:J67"/>
    <mergeCell ref="F68:F69"/>
    <mergeCell ref="G68:G69"/>
    <mergeCell ref="H68:H69"/>
    <mergeCell ref="I68:I69"/>
    <mergeCell ref="J68:J69"/>
    <mergeCell ref="F70:F71"/>
    <mergeCell ref="V27:V28"/>
    <mergeCell ref="W27:W28"/>
    <mergeCell ref="X27:X28"/>
    <mergeCell ref="Y27:Y28"/>
    <mergeCell ref="Z27:Z28"/>
    <mergeCell ref="AA27:AA28"/>
    <mergeCell ref="F27:F28"/>
    <mergeCell ref="G27:G28"/>
    <mergeCell ref="H27:H28"/>
    <mergeCell ref="I27:I28"/>
    <mergeCell ref="J27:J28"/>
    <mergeCell ref="T27:T28"/>
    <mergeCell ref="U27:U28"/>
    <mergeCell ref="B22:B25"/>
    <mergeCell ref="C22:C25"/>
    <mergeCell ref="F22:F25"/>
    <mergeCell ref="G22:G25"/>
    <mergeCell ref="H22:H25"/>
    <mergeCell ref="I22:I25"/>
    <mergeCell ref="J22:J25"/>
    <mergeCell ref="J32:J34"/>
    <mergeCell ref="T32:T34"/>
    <mergeCell ref="U32:U34"/>
    <mergeCell ref="V32:V34"/>
    <mergeCell ref="W32:W34"/>
    <mergeCell ref="X32:X34"/>
    <mergeCell ref="Y32:Y34"/>
    <mergeCell ref="Y37:Y40"/>
    <mergeCell ref="Z37:Z40"/>
    <mergeCell ref="Y42:Y43"/>
    <mergeCell ref="Z42:Z43"/>
    <mergeCell ref="AA42:AA43"/>
    <mergeCell ref="B29:B30"/>
    <mergeCell ref="C29:C30"/>
    <mergeCell ref="O29:O30"/>
    <mergeCell ref="G32:G34"/>
    <mergeCell ref="H32:H34"/>
    <mergeCell ref="I32:I34"/>
    <mergeCell ref="O35:O36"/>
    <mergeCell ref="Z32:Z34"/>
    <mergeCell ref="AA32:AA34"/>
    <mergeCell ref="U37:U40"/>
    <mergeCell ref="V37:V40"/>
    <mergeCell ref="W37:W40"/>
    <mergeCell ref="X37:X40"/>
    <mergeCell ref="AA37:AA40"/>
    <mergeCell ref="AA61:AA62"/>
    <mergeCell ref="AK61:AK62"/>
    <mergeCell ref="AL61:AL62"/>
    <mergeCell ref="T61:T62"/>
    <mergeCell ref="U61:U62"/>
    <mergeCell ref="V61:V62"/>
    <mergeCell ref="W61:W62"/>
    <mergeCell ref="X61:X62"/>
    <mergeCell ref="Y61:Y62"/>
    <mergeCell ref="Z61:Z62"/>
    <mergeCell ref="AA63:AA64"/>
    <mergeCell ref="AK63:AK64"/>
    <mergeCell ref="AL63:AL64"/>
    <mergeCell ref="T63:T64"/>
    <mergeCell ref="U63:U64"/>
    <mergeCell ref="V63:V64"/>
    <mergeCell ref="W63:W64"/>
    <mergeCell ref="X63:X64"/>
    <mergeCell ref="Y63:Y64"/>
    <mergeCell ref="Z63:Z64"/>
    <mergeCell ref="AA66:AA67"/>
    <mergeCell ref="AB66:AB67"/>
    <mergeCell ref="AC66:AC67"/>
    <mergeCell ref="AD66:AD67"/>
    <mergeCell ref="AE66:AE67"/>
    <mergeCell ref="AK66:AK67"/>
    <mergeCell ref="AL66:AL67"/>
    <mergeCell ref="AM66:AM67"/>
    <mergeCell ref="T66:T67"/>
    <mergeCell ref="U66:U67"/>
    <mergeCell ref="V66:V67"/>
    <mergeCell ref="W66:W67"/>
    <mergeCell ref="X66:X67"/>
    <mergeCell ref="Y66:Y67"/>
    <mergeCell ref="Z66:Z67"/>
    <mergeCell ref="AA81:AA82"/>
    <mergeCell ref="AB81:AB82"/>
    <mergeCell ref="AK81:AK82"/>
    <mergeCell ref="AL81:AL82"/>
    <mergeCell ref="AM81:AM82"/>
    <mergeCell ref="T81:T82"/>
    <mergeCell ref="U81:U82"/>
    <mergeCell ref="V81:V82"/>
    <mergeCell ref="W81:W82"/>
    <mergeCell ref="X81:X82"/>
    <mergeCell ref="Y81:Y82"/>
    <mergeCell ref="Z81:Z82"/>
  </mergeCells>
  <conditionalFormatting sqref="A5:A1053">
    <cfRule type="expression" dxfId="10" priority="1">
      <formula>AB$5</formula>
    </cfRule>
  </conditionalFormatting>
  <conditionalFormatting sqref="B5:B22">
    <cfRule type="expression" dxfId="10" priority="2">
      <formula>AK$5</formula>
    </cfRule>
  </conditionalFormatting>
  <conditionalFormatting sqref="B31:B1053">
    <cfRule type="expression" dxfId="10" priority="3">
      <formula>AK$5</formula>
    </cfRule>
  </conditionalFormatting>
  <conditionalFormatting sqref="C5:C22 C26:C29">
    <cfRule type="expression" dxfId="10" priority="4">
      <formula>#REF!</formula>
    </cfRule>
  </conditionalFormatting>
  <conditionalFormatting sqref="C31:C43">
    <cfRule type="expression" dxfId="10" priority="5">
      <formula>#REF!</formula>
    </cfRule>
  </conditionalFormatting>
  <conditionalFormatting sqref="C48:C1053">
    <cfRule type="expression" dxfId="10" priority="6">
      <formula>#REF!</formula>
    </cfRule>
  </conditionalFormatting>
  <conditionalFormatting sqref="D21:D44">
    <cfRule type="expression" dxfId="10" priority="7">
      <formula>AM$5</formula>
    </cfRule>
  </conditionalFormatting>
  <conditionalFormatting sqref="D87:D127">
    <cfRule type="expression" dxfId="10" priority="8">
      <formula>AM$5</formula>
    </cfRule>
  </conditionalFormatting>
  <conditionalFormatting sqref="B26:B29 D5:E20 D22:E25 D119:E119 D128:E1053 E42:E43 AC55:AC56 AC58:AC59">
    <cfRule type="expression" dxfId="10" priority="9">
      <formula>AK$5</formula>
    </cfRule>
  </conditionalFormatting>
  <conditionalFormatting sqref="D48:E86">
    <cfRule type="expression" dxfId="10" priority="10">
      <formula>AM$5</formula>
    </cfRule>
  </conditionalFormatting>
  <conditionalFormatting sqref="E87:E109">
    <cfRule type="expression" dxfId="10" priority="11">
      <formula>AN$5</formula>
    </cfRule>
  </conditionalFormatting>
  <conditionalFormatting sqref="E110:E117">
    <cfRule type="expression" dxfId="10" priority="12">
      <formula>#REF!</formula>
    </cfRule>
  </conditionalFormatting>
  <conditionalFormatting sqref="E118">
    <cfRule type="expression" dxfId="10" priority="13">
      <formula>AN$5</formula>
    </cfRule>
  </conditionalFormatting>
  <conditionalFormatting sqref="E120:E127">
    <cfRule type="expression" dxfId="10" priority="14">
      <formula>#REF!</formula>
    </cfRule>
  </conditionalFormatting>
  <conditionalFormatting sqref="F5:G11">
    <cfRule type="expression" dxfId="10" priority="15">
      <formula>AN$5</formula>
    </cfRule>
  </conditionalFormatting>
  <conditionalFormatting sqref="F14:G14 F17:G22 F26:G27 F29:G32 F35:G38 F41:G42 F44:G45 F70:G70 AD55:AD56">
    <cfRule type="expression" dxfId="10" priority="16">
      <formula>AN$5</formula>
    </cfRule>
  </conditionalFormatting>
  <conditionalFormatting sqref="F48:G68">
    <cfRule type="expression" dxfId="10" priority="17">
      <formula>AN$5</formula>
    </cfRule>
  </conditionalFormatting>
  <conditionalFormatting sqref="F72:G1053">
    <cfRule type="expression" dxfId="10" priority="18">
      <formula>AN$5</formula>
    </cfRule>
  </conditionalFormatting>
  <conditionalFormatting sqref="H48:J48">
    <cfRule type="expression" dxfId="10" priority="19">
      <formula>AR$5</formula>
    </cfRule>
  </conditionalFormatting>
  <conditionalFormatting sqref="H112:J112 H113:I113">
    <cfRule type="expression" dxfId="10" priority="20">
      <formula>AR$5</formula>
    </cfRule>
  </conditionalFormatting>
  <conditionalFormatting sqref="H114:J114 H115:I115">
    <cfRule type="expression" dxfId="10" priority="21">
      <formula>AR$5</formula>
    </cfRule>
  </conditionalFormatting>
  <conditionalFormatting sqref="H116:J116 H117:I117">
    <cfRule type="expression" dxfId="10" priority="22">
      <formula>AR$5</formula>
    </cfRule>
  </conditionalFormatting>
  <conditionalFormatting sqref="H5:P6 H7:I7 H8:P9 H10:I10 H11:P11 H14:I14 H17:I17 H18:P18 H19:I22 H26:I27 H29:I32 H35:I38 H41:I42 H44:I45 H49:P49 H50:I59 H60:P61 H62:I62 H63:P63 H64:I64 H67:I67 H68:P68 H70:J70 H73:I73 H74:P74 H75:I75 H76:P76 H77:J77 H78:I80 H82:I82 H83:J83 H84:I85 H86:P86 H87:I87 H88:J91 H92:I92 H93:J95 H96:I96 H97:J98 H99:I99 H100:J102 H103:I103 H104:J104 H105:I106 H107:J110 H111:I111 J55:J56 J58:J59 K7:P7 K10:P10 K12:P17 K19:P26 K27:N28 K29:P29 K30:N30 K31:P35 K36:N36 K37:P48 K50:P59 K62:P62 K64:P64 K67:P67 K69:P71 K73:P73 K75:P75 K80:P80 L77:P78 P27:P28 P30 P36 P79:P80 T55:X56 T58:X59 Z8:Z11 Z14 Z17:Z22 Z26:Z27 Z29:Z32 Z35:Z37 Z41:Z42 Z44:Z45 Z48:Z51 Z63 Z65">
    <cfRule type="expression" dxfId="10" priority="23">
      <formula>AR$5</formula>
    </cfRule>
  </conditionalFormatting>
  <conditionalFormatting sqref="H65:P66">
    <cfRule type="expression" dxfId="10" priority="24">
      <formula>AR$5</formula>
    </cfRule>
  </conditionalFormatting>
  <conditionalFormatting sqref="H72:P72">
    <cfRule type="expression" dxfId="10" priority="25">
      <formula>AR$5</formula>
    </cfRule>
  </conditionalFormatting>
  <conditionalFormatting sqref="H81:P81">
    <cfRule type="expression" dxfId="10" priority="26">
      <formula>AR$5</formula>
    </cfRule>
  </conditionalFormatting>
  <conditionalFormatting sqref="H118:P1053">
    <cfRule type="expression" dxfId="10" priority="27">
      <formula>AR$5</formula>
    </cfRule>
  </conditionalFormatting>
  <conditionalFormatting sqref="J51:J52">
    <cfRule type="expression" dxfId="10" priority="28">
      <formula>AT$5</formula>
    </cfRule>
  </conditionalFormatting>
  <conditionalFormatting sqref="K77:K79">
    <cfRule type="expression" dxfId="10" priority="29">
      <formula>AU$5</formula>
    </cfRule>
  </conditionalFormatting>
  <conditionalFormatting sqref="K82:P85">
    <cfRule type="expression" dxfId="10" priority="30">
      <formula>AU$5</formula>
    </cfRule>
  </conditionalFormatting>
  <conditionalFormatting sqref="K87:P117">
    <cfRule type="expression" dxfId="10" priority="31">
      <formula>AU$5</formula>
    </cfRule>
  </conditionalFormatting>
  <conditionalFormatting sqref="L79:O79">
    <cfRule type="expression" dxfId="10" priority="32">
      <formula>AV$5</formula>
    </cfRule>
  </conditionalFormatting>
  <conditionalFormatting sqref="Q77:S80">
    <cfRule type="expression" dxfId="10" priority="33">
      <formula>BC$5</formula>
    </cfRule>
  </conditionalFormatting>
  <conditionalFormatting sqref="Q82:S85">
    <cfRule type="expression" dxfId="10" priority="34">
      <formula>BC$5</formula>
    </cfRule>
  </conditionalFormatting>
  <conditionalFormatting sqref="Q87:S87">
    <cfRule type="expression" dxfId="10" priority="35">
      <formula>BC$5</formula>
    </cfRule>
  </conditionalFormatting>
  <conditionalFormatting sqref="Q92:S92">
    <cfRule type="expression" dxfId="10" priority="36">
      <formula>BC$5</formula>
    </cfRule>
  </conditionalFormatting>
  <conditionalFormatting sqref="Q99:S99">
    <cfRule type="expression" dxfId="10" priority="37">
      <formula>BC$5</formula>
    </cfRule>
  </conditionalFormatting>
  <conditionalFormatting sqref="Q113:S113">
    <cfRule type="expression" dxfId="10" priority="38">
      <formula>BC$5</formula>
    </cfRule>
  </conditionalFormatting>
  <conditionalFormatting sqref="Q115:S115">
    <cfRule type="expression" dxfId="10" priority="39">
      <formula>BC$5</formula>
    </cfRule>
  </conditionalFormatting>
  <conditionalFormatting sqref="Q117:S117">
    <cfRule type="expression" dxfId="10" priority="40">
      <formula>BC$5</formula>
    </cfRule>
  </conditionalFormatting>
  <conditionalFormatting sqref="Q5:X6 Q7:S7 Q8:X11 Q12:V13 Q14:X14 Q15:S16 Q17:X18 Q19:S19 Q22:X22 Q23:S29 Q30:X30 Q31:S33 Q35:X37 Q38:S40 Q41:X42 Q43:S43 Q44:X44 Q47:S47 Q48:X50 Q51:S65 Q67:S67 Q68:X68 Q69:S69 Q70:X70 Q71:S71 Q73:S73 Q74:X74 Q75:S75 Q76:X76 Q86:X86 Q88:X88 Q89:V89 Q90:X90 Q91:V91 Q93:X94 Q95:S96 Q97:X97 Q98:V98 Q101:V101 Q102:S106 Q107:V107 Q111:S111 Q118:X126 Q127:V127 Q128:X1053 S34 S45:X45 S46 T63:X63 T65:X65 W19:X21 W26:X27 W29:X29 W31:X32 X89 X91 X98 X101 X107 X127">
    <cfRule type="expression" dxfId="10" priority="41">
      <formula>BC$5</formula>
    </cfRule>
  </conditionalFormatting>
  <conditionalFormatting sqref="Q66:X66">
    <cfRule type="expression" dxfId="10" priority="42">
      <formula>BC$5</formula>
    </cfRule>
  </conditionalFormatting>
  <conditionalFormatting sqref="Q72:X72">
    <cfRule type="expression" dxfId="10" priority="43">
      <formula>BC$5</formula>
    </cfRule>
  </conditionalFormatting>
  <conditionalFormatting sqref="Q81:X81">
    <cfRule type="expression" dxfId="10" priority="44">
      <formula>BC$5</formula>
    </cfRule>
  </conditionalFormatting>
  <conditionalFormatting sqref="Q100:X100">
    <cfRule type="expression" dxfId="10" priority="45">
      <formula>BC$5</formula>
    </cfRule>
  </conditionalFormatting>
  <conditionalFormatting sqref="Q108:X110">
    <cfRule type="expression" dxfId="10" priority="46">
      <formula>BC$5</formula>
    </cfRule>
  </conditionalFormatting>
  <conditionalFormatting sqref="Q112:X112">
    <cfRule type="expression" dxfId="10" priority="47">
      <formula>BC$5</formula>
    </cfRule>
  </conditionalFormatting>
  <conditionalFormatting sqref="Q114:X114">
    <cfRule type="expression" dxfId="10" priority="48">
      <formula>BC$5</formula>
    </cfRule>
  </conditionalFormatting>
  <conditionalFormatting sqref="Q116:X116">
    <cfRule type="expression" dxfId="10" priority="49">
      <formula>BC$5</formula>
    </cfRule>
  </conditionalFormatting>
  <conditionalFormatting sqref="T51:X52">
    <cfRule type="expression" dxfId="10" priority="50">
      <formula>BD$5</formula>
    </cfRule>
  </conditionalFormatting>
  <conditionalFormatting sqref="T60:X61">
    <cfRule type="expression" dxfId="10" priority="51">
      <formula>BF$5</formula>
    </cfRule>
  </conditionalFormatting>
  <conditionalFormatting sqref="T77:X77">
    <cfRule type="expression" dxfId="10" priority="52">
      <formula>BF$5</formula>
    </cfRule>
  </conditionalFormatting>
  <conditionalFormatting sqref="T83:X83">
    <cfRule type="expression" dxfId="10" priority="53">
      <formula>BF$5</formula>
    </cfRule>
  </conditionalFormatting>
  <conditionalFormatting sqref="T95:X95">
    <cfRule type="expression" dxfId="10" priority="54">
      <formula>BF$5</formula>
    </cfRule>
  </conditionalFormatting>
  <conditionalFormatting sqref="T102:X102">
    <cfRule type="expression" dxfId="10" priority="55">
      <formula>BF$5</formula>
    </cfRule>
  </conditionalFormatting>
  <conditionalFormatting sqref="T104:X104">
    <cfRule type="expression" dxfId="10" priority="56">
      <formula>BF$5</formula>
    </cfRule>
  </conditionalFormatting>
  <conditionalFormatting sqref="Y5:Y6">
    <cfRule type="expression" dxfId="10" priority="57">
      <formula>BN$5</formula>
    </cfRule>
  </conditionalFormatting>
  <conditionalFormatting sqref="Y118:Z1053">
    <cfRule type="expression" dxfId="10" priority="58">
      <formula>BN$5</formula>
    </cfRule>
  </conditionalFormatting>
  <conditionalFormatting sqref="Y77:AA77">
    <cfRule type="expression" dxfId="10" priority="59">
      <formula>BN$5</formula>
    </cfRule>
  </conditionalFormatting>
  <conditionalFormatting sqref="Y79:AA80">
    <cfRule type="expression" dxfId="10" priority="60">
      <formula>BN$5</formula>
    </cfRule>
  </conditionalFormatting>
  <conditionalFormatting sqref="Y83:AA83">
    <cfRule type="expression" dxfId="10" priority="61">
      <formula>BN$5</formula>
    </cfRule>
  </conditionalFormatting>
  <conditionalFormatting sqref="Y85:AA85">
    <cfRule type="expression" dxfId="10" priority="62">
      <formula>BN$5</formula>
    </cfRule>
  </conditionalFormatting>
  <conditionalFormatting sqref="Y92:AA92">
    <cfRule type="expression" dxfId="10" priority="63">
      <formula>BN$5</formula>
    </cfRule>
  </conditionalFormatting>
  <conditionalFormatting sqref="Y95:AA95">
    <cfRule type="expression" dxfId="10" priority="64">
      <formula>BN$5</formula>
    </cfRule>
  </conditionalFormatting>
  <conditionalFormatting sqref="Y99:AA99">
    <cfRule type="expression" dxfId="10" priority="65">
      <formula>BN$5</formula>
    </cfRule>
  </conditionalFormatting>
  <conditionalFormatting sqref="Y102:AA102">
    <cfRule type="expression" dxfId="10" priority="66">
      <formula>BN$5</formula>
    </cfRule>
  </conditionalFormatting>
  <conditionalFormatting sqref="Y104:AA104">
    <cfRule type="expression" dxfId="10" priority="67">
      <formula>BN$5</formula>
    </cfRule>
  </conditionalFormatting>
  <conditionalFormatting sqref="Y72:AB72">
    <cfRule type="expression" dxfId="10" priority="68">
      <formula>BN$5</formula>
    </cfRule>
  </conditionalFormatting>
  <conditionalFormatting sqref="Y81:AB81">
    <cfRule type="expression" dxfId="10" priority="69">
      <formula>BN$5</formula>
    </cfRule>
  </conditionalFormatting>
  <conditionalFormatting sqref="Y86:AB88">
    <cfRule type="expression" dxfId="10" priority="70">
      <formula>BN$5</formula>
    </cfRule>
  </conditionalFormatting>
  <conditionalFormatting sqref="Y93:AB94">
    <cfRule type="expression" dxfId="10" priority="71">
      <formula>BN$5</formula>
    </cfRule>
  </conditionalFormatting>
  <conditionalFormatting sqref="Y97:AB97">
    <cfRule type="expression" dxfId="10" priority="72">
      <formula>BN$5</formula>
    </cfRule>
  </conditionalFormatting>
  <conditionalFormatting sqref="Y100:AB100">
    <cfRule type="expression" dxfId="10" priority="73">
      <formula>BN$5</formula>
    </cfRule>
  </conditionalFormatting>
  <conditionalFormatting sqref="Y108:AB110">
    <cfRule type="expression" dxfId="10" priority="74">
      <formula>BN$5</formula>
    </cfRule>
  </conditionalFormatting>
  <conditionalFormatting sqref="Y112:AB112">
    <cfRule type="expression" dxfId="10" priority="75">
      <formula>BN$5</formula>
    </cfRule>
  </conditionalFormatting>
  <conditionalFormatting sqref="Y114:AB114">
    <cfRule type="expression" dxfId="10" priority="76">
      <formula>BN$5</formula>
    </cfRule>
  </conditionalFormatting>
  <conditionalFormatting sqref="Y116:AB116">
    <cfRule type="expression" dxfId="10" priority="77">
      <formula>BN$5</formula>
    </cfRule>
  </conditionalFormatting>
  <conditionalFormatting sqref="Y66:AC66">
    <cfRule type="expression" dxfId="10" priority="78">
      <formula>BN$5</formula>
    </cfRule>
  </conditionalFormatting>
  <conditionalFormatting sqref="Z5:Z6">
    <cfRule type="expression" dxfId="10" priority="79">
      <formula>BJ$5</formula>
    </cfRule>
  </conditionalFormatting>
  <conditionalFormatting sqref="Z55">
    <cfRule type="expression" dxfId="10" priority="80">
      <formula>BJ$5</formula>
    </cfRule>
  </conditionalFormatting>
  <conditionalFormatting sqref="Z58:Z61">
    <cfRule type="expression" dxfId="10" priority="81">
      <formula>BJ$5</formula>
    </cfRule>
  </conditionalFormatting>
  <conditionalFormatting sqref="Y8:Y11 Y14 Y17:Y22 Y26:Y27 Y29:Y32 Y35:Y37 Y41:Y42 Y44:Y45 Y48:Y51 Y52:AB52 Y55 Y56:AB56 Y58:Y61 Y63 Y65 Y68:AC68 Y70:AA70 Y74:AB74 Y76:AB76 Y90:AB90 AA5:AC6 AA8:AC11 AA14:AC14 AA17:AC22 AA26:AC27 AA29:AC32 AA35:AC37 AA41:AC42 AA44:AC45 AA48:AC48 AA49:AB51 AA55:AB55 AA58:AB61 AA63:AB63 AA65:AB65 AA118:AB120 AA121:AC1053 AB7:AC7 AB12:AC13 AB15:AC16 AB23:AC25 AB28:AC28 AB33:AC34 AB38:AC40 AB43:AC43 AB46:AC47 AB53:AB54 AB57 AB62 AB64 AB70:AC71 AB89 AB111 AC69">
    <cfRule type="expression" dxfId="10" priority="82">
      <formula>BN$5</formula>
    </cfRule>
  </conditionalFormatting>
  <conditionalFormatting sqref="AB77:AB80">
    <cfRule type="expression" dxfId="10" priority="83">
      <formula>BQ$5</formula>
    </cfRule>
  </conditionalFormatting>
  <conditionalFormatting sqref="AB83:AB85">
    <cfRule type="expression" dxfId="10" priority="84">
      <formula>BQ$5</formula>
    </cfRule>
  </conditionalFormatting>
  <conditionalFormatting sqref="AB91:AB92">
    <cfRule type="expression" dxfId="10" priority="85">
      <formula>BQ$5</formula>
    </cfRule>
  </conditionalFormatting>
  <conditionalFormatting sqref="AB95:AB96">
    <cfRule type="expression" dxfId="10" priority="86">
      <formula>BQ$5</formula>
    </cfRule>
  </conditionalFormatting>
  <conditionalFormatting sqref="AB98:AB99">
    <cfRule type="expression" dxfId="10" priority="87">
      <formula>BQ$5</formula>
    </cfRule>
  </conditionalFormatting>
  <conditionalFormatting sqref="AB101:AB107">
    <cfRule type="expression" dxfId="10" priority="88">
      <formula>BQ$5</formula>
    </cfRule>
  </conditionalFormatting>
  <conditionalFormatting sqref="AB113">
    <cfRule type="expression" dxfId="10" priority="89">
      <formula>BQ$5</formula>
    </cfRule>
  </conditionalFormatting>
  <conditionalFormatting sqref="AB115">
    <cfRule type="expression" dxfId="10" priority="90">
      <formula>BQ$5</formula>
    </cfRule>
  </conditionalFormatting>
  <conditionalFormatting sqref="AB117">
    <cfRule type="expression" dxfId="10" priority="91">
      <formula>BQ$5</formula>
    </cfRule>
  </conditionalFormatting>
  <conditionalFormatting sqref="AC49">
    <cfRule type="expression" dxfId="10" priority="92">
      <formula>BL$5</formula>
    </cfRule>
  </conditionalFormatting>
  <conditionalFormatting sqref="AC51:AC52">
    <cfRule type="expression" dxfId="10" priority="93">
      <formula>BL$5</formula>
    </cfRule>
  </conditionalFormatting>
  <conditionalFormatting sqref="AC60:AC65">
    <cfRule type="expression" dxfId="10" priority="94">
      <formula>BR$5</formula>
    </cfRule>
  </conditionalFormatting>
  <conditionalFormatting sqref="AD49">
    <cfRule type="expression" dxfId="10" priority="95">
      <formula>BL$5</formula>
    </cfRule>
  </conditionalFormatting>
  <conditionalFormatting sqref="AD51:AD52">
    <cfRule type="expression" dxfId="10" priority="96">
      <formula>BL$5</formula>
    </cfRule>
  </conditionalFormatting>
  <conditionalFormatting sqref="AD58:AD59">
    <cfRule type="expression" dxfId="10" priority="97">
      <formula>BL$5</formula>
    </cfRule>
  </conditionalFormatting>
  <conditionalFormatting sqref="AD113">
    <cfRule type="expression" dxfId="10" priority="98">
      <formula>BR$5</formula>
    </cfRule>
  </conditionalFormatting>
  <conditionalFormatting sqref="AD115">
    <cfRule type="expression" dxfId="10" priority="99">
      <formula>BR$5</formula>
    </cfRule>
  </conditionalFormatting>
  <conditionalFormatting sqref="AD117">
    <cfRule type="expression" dxfId="10" priority="100">
      <formula>BR$5</formula>
    </cfRule>
  </conditionalFormatting>
  <conditionalFormatting sqref="AD5:AE48">
    <cfRule type="expression" dxfId="10" priority="101">
      <formula>BR$5</formula>
    </cfRule>
  </conditionalFormatting>
  <conditionalFormatting sqref="AD60:AE66">
    <cfRule type="expression" dxfId="10" priority="102">
      <formula>BR$5</formula>
    </cfRule>
  </conditionalFormatting>
  <conditionalFormatting sqref="AD68:AE72">
    <cfRule type="expression" dxfId="10" priority="103">
      <formula>BR$5</formula>
    </cfRule>
  </conditionalFormatting>
  <conditionalFormatting sqref="AD76:AE81">
    <cfRule type="expression" dxfId="10" priority="104">
      <formula>BR$5</formula>
    </cfRule>
  </conditionalFormatting>
  <conditionalFormatting sqref="AD83:AE112">
    <cfRule type="expression" dxfId="10" priority="105">
      <formula>BR$5</formula>
    </cfRule>
  </conditionalFormatting>
  <conditionalFormatting sqref="AD114:AE114">
    <cfRule type="expression" dxfId="10" priority="106">
      <formula>BR$5</formula>
    </cfRule>
  </conditionalFormatting>
  <conditionalFormatting sqref="AD116:AE116">
    <cfRule type="expression" dxfId="10" priority="107">
      <formula>BR$5</formula>
    </cfRule>
  </conditionalFormatting>
  <conditionalFormatting sqref="AD74:AE74 AD118:AE1053 AE49:AE59">
    <cfRule type="expression" dxfId="10" priority="108">
      <formula>BR$5</formula>
    </cfRule>
  </conditionalFormatting>
  <conditionalFormatting sqref="AF5:AF1053">
    <cfRule type="expression" dxfId="10" priority="109">
      <formula>BS$5</formula>
    </cfRule>
  </conditionalFormatting>
  <conditionalFormatting sqref="AG5:AG1053">
    <cfRule type="expression" dxfId="10" priority="110">
      <formula>BS$5</formula>
    </cfRule>
  </conditionalFormatting>
  <conditionalFormatting sqref="AH5:AJ1053">
    <cfRule type="expression" dxfId="10" priority="111">
      <formula>BR$5</formula>
    </cfRule>
  </conditionalFormatting>
  <conditionalFormatting sqref="AK60:AL61">
    <cfRule type="expression" dxfId="10" priority="112">
      <formula>BR$5</formula>
    </cfRule>
  </conditionalFormatting>
  <conditionalFormatting sqref="AK63:AL63">
    <cfRule type="expression" dxfId="10" priority="113">
      <formula>BR$5</formula>
    </cfRule>
  </conditionalFormatting>
  <conditionalFormatting sqref="AK65:AL65">
    <cfRule type="expression" dxfId="10" priority="114">
      <formula>BR$5</formula>
    </cfRule>
  </conditionalFormatting>
  <conditionalFormatting sqref="AK5:AM50">
    <cfRule type="expression" dxfId="10" priority="115">
      <formula>BR$5</formula>
    </cfRule>
  </conditionalFormatting>
  <conditionalFormatting sqref="AK66:AM66 AK68:AM68 AK70:AM70 AM69 AM71">
    <cfRule type="expression" dxfId="10" priority="116">
      <formula>BR$5</formula>
    </cfRule>
  </conditionalFormatting>
  <conditionalFormatting sqref="AK72:AM72 AK74:AM74">
    <cfRule type="expression" dxfId="10" priority="117">
      <formula>BR$5</formula>
    </cfRule>
  </conditionalFormatting>
  <conditionalFormatting sqref="AK76:AM77">
    <cfRule type="expression" dxfId="10" priority="118">
      <formula>BR$5</formula>
    </cfRule>
  </conditionalFormatting>
  <conditionalFormatting sqref="AK81:AM81">
    <cfRule type="expression" dxfId="10" priority="119">
      <formula>BR$5</formula>
    </cfRule>
  </conditionalFormatting>
  <conditionalFormatting sqref="AK83:AM83">
    <cfRule type="expression" dxfId="10" priority="120">
      <formula>BR$5</formula>
    </cfRule>
  </conditionalFormatting>
  <conditionalFormatting sqref="AK86:AM86">
    <cfRule type="expression" dxfId="10" priority="121">
      <formula>BR$5</formula>
    </cfRule>
  </conditionalFormatting>
  <conditionalFormatting sqref="AK88:AM91">
    <cfRule type="expression" dxfId="10" priority="122">
      <formula>BR$5</formula>
    </cfRule>
  </conditionalFormatting>
  <conditionalFormatting sqref="AK93:AM98">
    <cfRule type="expression" dxfId="10" priority="123">
      <formula>BR$5</formula>
    </cfRule>
  </conditionalFormatting>
  <conditionalFormatting sqref="AK100:AM1053">
    <cfRule type="expression" dxfId="10" priority="124">
      <formula>BR$5</formula>
    </cfRule>
  </conditionalFormatting>
  <conditionalFormatting sqref="AK55:AL56 AK58:AL59 AL52">
    <cfRule type="expression" dxfId="10" priority="125">
      <formula>BT$5</formula>
    </cfRule>
  </conditionalFormatting>
  <conditionalFormatting sqref="AM51:AM65">
    <cfRule type="expression" dxfId="10" priority="126">
      <formula>BT$5</formula>
    </cfRule>
  </conditionalFormatting>
  <conditionalFormatting sqref="W127">
    <cfRule type="expression" dxfId="10" priority="127">
      <formula>BL$5</formula>
    </cfRule>
  </conditionalFormatting>
  <printOptions/>
  <pageMargins bottom="0.748031496062992" footer="0.0" header="0.0" left="0.24" right="0.16" top="0.748031496062992"/>
  <pageSetup paperSize="9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8953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86"/>
    <col customWidth="1" min="4" max="4" width="35.57"/>
    <col customWidth="1" min="5" max="7" width="9.57"/>
    <col customWidth="1" min="8" max="8" width="9.14"/>
    <col customWidth="1" min="9" max="26" width="8.71"/>
  </cols>
  <sheetData>
    <row r="1">
      <c r="C1" s="370"/>
      <c r="D1" s="370"/>
      <c r="E1" s="371"/>
      <c r="F1" s="371"/>
      <c r="G1" s="371"/>
      <c r="H1" s="370"/>
    </row>
    <row r="2">
      <c r="C2" s="370"/>
      <c r="D2" s="370"/>
      <c r="E2" s="371"/>
      <c r="F2" s="371"/>
      <c r="G2" s="371"/>
      <c r="H2" s="370"/>
    </row>
    <row r="3">
      <c r="C3" s="370"/>
      <c r="D3" s="370"/>
      <c r="E3" s="371"/>
      <c r="F3" s="371"/>
      <c r="G3" s="371"/>
      <c r="H3" s="370"/>
    </row>
    <row r="4">
      <c r="C4" s="370"/>
      <c r="D4" s="370"/>
      <c r="E4" s="371"/>
      <c r="F4" s="371"/>
      <c r="G4" s="371"/>
      <c r="H4" s="370"/>
    </row>
    <row r="5" ht="27.0" customHeight="1">
      <c r="C5" s="372" t="s">
        <v>416</v>
      </c>
      <c r="D5" s="372" t="s">
        <v>48</v>
      </c>
      <c r="E5" s="373" t="s">
        <v>417</v>
      </c>
      <c r="H5" s="372" t="s">
        <v>32</v>
      </c>
    </row>
    <row r="6">
      <c r="C6" s="370" t="s">
        <v>81</v>
      </c>
      <c r="D6" s="370" t="s">
        <v>82</v>
      </c>
      <c r="E6" s="371">
        <v>210.0</v>
      </c>
      <c r="F6" s="371">
        <v>71.0</v>
      </c>
      <c r="G6" s="371">
        <v>800.0</v>
      </c>
      <c r="H6" s="370" t="s">
        <v>85</v>
      </c>
    </row>
    <row r="7">
      <c r="C7" s="370" t="s">
        <v>89</v>
      </c>
      <c r="D7" s="370" t="s">
        <v>90</v>
      </c>
      <c r="E7" s="371">
        <v>210.0</v>
      </c>
      <c r="F7" s="371">
        <v>83.0</v>
      </c>
      <c r="G7" s="371">
        <v>800.0</v>
      </c>
      <c r="H7" s="370" t="s">
        <v>85</v>
      </c>
    </row>
    <row r="8">
      <c r="C8" s="370" t="s">
        <v>98</v>
      </c>
      <c r="D8" s="370" t="s">
        <v>99</v>
      </c>
      <c r="E8" s="371">
        <v>210.0</v>
      </c>
      <c r="F8" s="371">
        <v>91.0</v>
      </c>
      <c r="G8" s="371">
        <v>800.0</v>
      </c>
      <c r="H8" s="370" t="s">
        <v>85</v>
      </c>
    </row>
    <row r="9">
      <c r="C9" s="370" t="s">
        <v>104</v>
      </c>
      <c r="D9" s="370" t="s">
        <v>105</v>
      </c>
      <c r="E9" s="371">
        <v>210.0</v>
      </c>
      <c r="F9" s="371">
        <v>95.0</v>
      </c>
      <c r="G9" s="371">
        <v>800.0</v>
      </c>
      <c r="H9" s="370" t="s">
        <v>85</v>
      </c>
    </row>
    <row r="10">
      <c r="C10" s="370" t="s">
        <v>108</v>
      </c>
      <c r="D10" s="370" t="s">
        <v>109</v>
      </c>
      <c r="E10" s="371">
        <v>230.0</v>
      </c>
      <c r="F10" s="371">
        <v>75.0</v>
      </c>
      <c r="G10" s="371">
        <v>800.0</v>
      </c>
      <c r="H10" s="370" t="s">
        <v>85</v>
      </c>
    </row>
    <row r="11">
      <c r="C11" s="370" t="s">
        <v>113</v>
      </c>
      <c r="D11" s="370" t="s">
        <v>114</v>
      </c>
      <c r="E11" s="371">
        <v>230.0</v>
      </c>
      <c r="F11" s="371">
        <v>95.0</v>
      </c>
      <c r="G11" s="371">
        <v>800.0</v>
      </c>
      <c r="H11" s="370" t="s">
        <v>85</v>
      </c>
    </row>
    <row r="12">
      <c r="C12" s="370" t="s">
        <v>101</v>
      </c>
      <c r="D12" s="370" t="s">
        <v>102</v>
      </c>
      <c r="E12" s="371">
        <v>210.0</v>
      </c>
      <c r="F12" s="374">
        <v>96.5</v>
      </c>
      <c r="G12" s="371">
        <v>800.0</v>
      </c>
      <c r="H12" s="370" t="s">
        <v>85</v>
      </c>
    </row>
    <row r="13">
      <c r="C13" s="370" t="s">
        <v>117</v>
      </c>
      <c r="D13" s="370" t="s">
        <v>118</v>
      </c>
      <c r="E13" s="371">
        <v>230.0</v>
      </c>
      <c r="F13" s="371">
        <v>97.0</v>
      </c>
      <c r="G13" s="371">
        <v>800.0</v>
      </c>
      <c r="H13" s="370" t="s">
        <v>85</v>
      </c>
    </row>
    <row r="14">
      <c r="C14" s="370" t="s">
        <v>120</v>
      </c>
      <c r="D14" s="370" t="s">
        <v>122</v>
      </c>
      <c r="E14" s="371">
        <v>230.0</v>
      </c>
      <c r="F14" s="371">
        <v>98.0</v>
      </c>
      <c r="G14" s="371">
        <v>800.0</v>
      </c>
      <c r="H14" s="370" t="s">
        <v>85</v>
      </c>
    </row>
    <row r="15">
      <c r="C15" s="370" t="s">
        <v>123</v>
      </c>
      <c r="D15" s="370" t="s">
        <v>124</v>
      </c>
      <c r="E15" s="371">
        <v>250.0</v>
      </c>
      <c r="F15" s="371">
        <v>90.0</v>
      </c>
      <c r="G15" s="371">
        <v>800.0</v>
      </c>
      <c r="H15" s="370" t="s">
        <v>85</v>
      </c>
    </row>
    <row r="16">
      <c r="C16" s="370" t="s">
        <v>93</v>
      </c>
      <c r="D16" s="370" t="s">
        <v>94</v>
      </c>
      <c r="E16" s="371">
        <v>210.0</v>
      </c>
      <c r="F16" s="371">
        <v>88.0</v>
      </c>
      <c r="G16" s="371">
        <v>800.0</v>
      </c>
      <c r="H16" s="370" t="s">
        <v>85</v>
      </c>
    </row>
    <row r="17">
      <c r="C17" s="370" t="s">
        <v>419</v>
      </c>
      <c r="D17" s="370" t="s">
        <v>420</v>
      </c>
      <c r="E17" s="371">
        <v>210.0</v>
      </c>
      <c r="F17" s="371">
        <v>71.0</v>
      </c>
      <c r="G17" s="371">
        <v>150.0</v>
      </c>
      <c r="H17" s="370" t="s">
        <v>85</v>
      </c>
    </row>
    <row r="18">
      <c r="C18" s="370" t="s">
        <v>421</v>
      </c>
      <c r="D18" s="370" t="s">
        <v>422</v>
      </c>
      <c r="E18" s="371">
        <v>210.0</v>
      </c>
      <c r="F18" s="371">
        <v>71.0</v>
      </c>
      <c r="G18" s="371">
        <v>170.0</v>
      </c>
      <c r="H18" s="370" t="s">
        <v>85</v>
      </c>
    </row>
    <row r="19">
      <c r="C19" s="370" t="s">
        <v>423</v>
      </c>
      <c r="D19" s="370" t="s">
        <v>424</v>
      </c>
      <c r="E19" s="371">
        <v>210.0</v>
      </c>
      <c r="F19" s="371">
        <v>71.0</v>
      </c>
      <c r="G19" s="371">
        <v>720.0</v>
      </c>
      <c r="H19" s="370" t="s">
        <v>85</v>
      </c>
    </row>
    <row r="20">
      <c r="C20" s="370" t="s">
        <v>425</v>
      </c>
      <c r="D20" s="370" t="s">
        <v>426</v>
      </c>
      <c r="E20" s="371">
        <v>210.0</v>
      </c>
      <c r="F20" s="371">
        <v>71.0</v>
      </c>
      <c r="G20" s="371">
        <v>620.0</v>
      </c>
      <c r="H20" s="370" t="s">
        <v>85</v>
      </c>
    </row>
    <row r="21" ht="15.75" customHeight="1">
      <c r="C21" s="370" t="s">
        <v>427</v>
      </c>
      <c r="D21" s="370" t="s">
        <v>428</v>
      </c>
      <c r="E21" s="371">
        <v>210.0</v>
      </c>
      <c r="F21" s="371">
        <v>71.0</v>
      </c>
      <c r="G21" s="371">
        <v>478.0</v>
      </c>
      <c r="H21" s="370" t="s">
        <v>85</v>
      </c>
    </row>
    <row r="22" ht="15.75" customHeight="1">
      <c r="C22" s="370" t="s">
        <v>429</v>
      </c>
      <c r="D22" s="370" t="s">
        <v>430</v>
      </c>
      <c r="E22" s="371">
        <v>210.0</v>
      </c>
      <c r="F22" s="371">
        <v>71.0</v>
      </c>
      <c r="G22" s="371">
        <v>500.0</v>
      </c>
      <c r="H22" s="370" t="s">
        <v>85</v>
      </c>
    </row>
    <row r="23" ht="15.75" customHeight="1">
      <c r="C23" s="370" t="s">
        <v>431</v>
      </c>
      <c r="D23" s="370" t="s">
        <v>432</v>
      </c>
      <c r="E23" s="371">
        <v>210.0</v>
      </c>
      <c r="F23" s="371">
        <v>83.0</v>
      </c>
      <c r="G23" s="371">
        <v>720.0</v>
      </c>
      <c r="H23" s="370" t="s">
        <v>85</v>
      </c>
    </row>
    <row r="24" ht="15.75" customHeight="1">
      <c r="C24" s="370" t="s">
        <v>433</v>
      </c>
      <c r="D24" s="370" t="s">
        <v>434</v>
      </c>
      <c r="E24" s="371">
        <v>210.0</v>
      </c>
      <c r="F24" s="371">
        <v>83.0</v>
      </c>
      <c r="G24" s="371">
        <v>300.0</v>
      </c>
      <c r="H24" s="370" t="s">
        <v>85</v>
      </c>
    </row>
    <row r="25" ht="15.75" customHeight="1">
      <c r="C25" s="370" t="s">
        <v>435</v>
      </c>
      <c r="D25" s="370" t="s">
        <v>436</v>
      </c>
      <c r="E25" s="371">
        <v>210.0</v>
      </c>
      <c r="F25" s="371">
        <v>83.0</v>
      </c>
      <c r="G25" s="371">
        <v>200.0</v>
      </c>
      <c r="H25" s="370" t="s">
        <v>85</v>
      </c>
    </row>
    <row r="26" ht="15.75" customHeight="1">
      <c r="C26" s="370" t="s">
        <v>437</v>
      </c>
      <c r="D26" s="370" t="s">
        <v>438</v>
      </c>
      <c r="E26" s="371">
        <v>210.0</v>
      </c>
      <c r="F26" s="371">
        <v>95.0</v>
      </c>
      <c r="G26" s="371">
        <v>620.0</v>
      </c>
      <c r="H26" s="370" t="s">
        <v>85</v>
      </c>
    </row>
    <row r="27" ht="15.75" customHeight="1">
      <c r="C27" s="370" t="s">
        <v>439</v>
      </c>
      <c r="D27" s="370" t="s">
        <v>440</v>
      </c>
      <c r="E27" s="371">
        <v>210.0</v>
      </c>
      <c r="F27" s="371">
        <v>95.0</v>
      </c>
      <c r="G27" s="371">
        <v>478.0</v>
      </c>
      <c r="H27" s="370" t="s">
        <v>85</v>
      </c>
    </row>
    <row r="28" ht="15.75" customHeight="1">
      <c r="C28" s="370" t="s">
        <v>441</v>
      </c>
      <c r="D28" s="370" t="s">
        <v>442</v>
      </c>
      <c r="E28" s="371">
        <v>250.0</v>
      </c>
      <c r="F28" s="371">
        <v>90.0</v>
      </c>
      <c r="G28" s="371">
        <v>300.0</v>
      </c>
      <c r="H28" s="370" t="s">
        <v>85</v>
      </c>
    </row>
    <row r="29" ht="15.75" customHeight="1">
      <c r="C29" s="370" t="s">
        <v>443</v>
      </c>
      <c r="D29" s="370" t="s">
        <v>444</v>
      </c>
      <c r="E29" s="371">
        <v>250.0</v>
      </c>
      <c r="F29" s="371">
        <v>90.0</v>
      </c>
      <c r="G29" s="371">
        <v>200.0</v>
      </c>
      <c r="H29" s="370" t="s">
        <v>85</v>
      </c>
    </row>
    <row r="30" ht="15.75" customHeight="1">
      <c r="C30" s="370" t="s">
        <v>445</v>
      </c>
      <c r="D30" s="370" t="s">
        <v>447</v>
      </c>
      <c r="E30" s="371">
        <v>250.0</v>
      </c>
      <c r="F30" s="371">
        <v>90.0</v>
      </c>
      <c r="G30" s="371">
        <v>400.0</v>
      </c>
      <c r="H30" s="370" t="s">
        <v>85</v>
      </c>
    </row>
    <row r="31" ht="15.75" customHeight="1">
      <c r="C31" s="370" t="s">
        <v>36</v>
      </c>
      <c r="D31" s="370" t="s">
        <v>205</v>
      </c>
      <c r="E31" s="371">
        <v>210.0</v>
      </c>
      <c r="F31" s="371">
        <v>65.0</v>
      </c>
      <c r="G31" s="371"/>
      <c r="H31" s="370" t="s">
        <v>206</v>
      </c>
    </row>
    <row r="32" ht="15.75" customHeight="1">
      <c r="C32" s="370" t="s">
        <v>154</v>
      </c>
      <c r="D32" s="370" t="s">
        <v>205</v>
      </c>
      <c r="E32" s="371">
        <v>210.0</v>
      </c>
      <c r="F32" s="371">
        <v>79.0</v>
      </c>
      <c r="G32" s="371"/>
      <c r="H32" s="370" t="s">
        <v>206</v>
      </c>
    </row>
    <row r="33" ht="15.75" customHeight="1">
      <c r="C33" s="370" t="s">
        <v>60</v>
      </c>
      <c r="D33" s="370" t="s">
        <v>205</v>
      </c>
      <c r="E33" s="371">
        <v>210.0</v>
      </c>
      <c r="F33" s="371">
        <v>86.0</v>
      </c>
      <c r="G33" s="371"/>
      <c r="H33" s="370" t="s">
        <v>206</v>
      </c>
    </row>
    <row r="34" ht="15.75" customHeight="1">
      <c r="C34" s="370" t="s">
        <v>209</v>
      </c>
      <c r="D34" s="370" t="s">
        <v>205</v>
      </c>
      <c r="E34" s="371">
        <v>210.0</v>
      </c>
      <c r="F34" s="371">
        <v>106.0</v>
      </c>
      <c r="G34" s="371"/>
      <c r="H34" s="370" t="s">
        <v>206</v>
      </c>
    </row>
    <row r="35" ht="15.75" customHeight="1">
      <c r="C35" s="370" t="s">
        <v>213</v>
      </c>
      <c r="D35" s="370" t="s">
        <v>205</v>
      </c>
      <c r="E35" s="371">
        <v>210.0</v>
      </c>
      <c r="F35" s="371">
        <v>108.0</v>
      </c>
      <c r="G35" s="371"/>
      <c r="H35" s="370" t="s">
        <v>206</v>
      </c>
    </row>
    <row r="36" ht="15.75" customHeight="1">
      <c r="C36" s="370" t="s">
        <v>47</v>
      </c>
      <c r="D36" s="370" t="s">
        <v>205</v>
      </c>
      <c r="E36" s="371">
        <v>210.0</v>
      </c>
      <c r="F36" s="371">
        <v>109.0</v>
      </c>
      <c r="G36" s="371"/>
      <c r="H36" s="370" t="s">
        <v>206</v>
      </c>
    </row>
    <row r="37" ht="15.75" customHeight="1">
      <c r="C37" s="370" t="s">
        <v>134</v>
      </c>
      <c r="D37" s="370" t="s">
        <v>205</v>
      </c>
      <c r="E37" s="371">
        <v>230.0</v>
      </c>
      <c r="F37" s="371">
        <v>65.0</v>
      </c>
      <c r="G37" s="371"/>
      <c r="H37" s="370" t="s">
        <v>206</v>
      </c>
    </row>
    <row r="38" ht="15.75" customHeight="1">
      <c r="C38" s="370" t="s">
        <v>67</v>
      </c>
      <c r="D38" s="370" t="s">
        <v>205</v>
      </c>
      <c r="E38" s="371">
        <v>230.0</v>
      </c>
      <c r="F38" s="371">
        <v>79.0</v>
      </c>
      <c r="G38" s="371"/>
      <c r="H38" s="370" t="s">
        <v>206</v>
      </c>
    </row>
    <row r="39" ht="15.75" customHeight="1">
      <c r="C39" s="370" t="s">
        <v>219</v>
      </c>
      <c r="D39" s="370" t="s">
        <v>205</v>
      </c>
      <c r="E39" s="371">
        <v>230.0</v>
      </c>
      <c r="F39" s="371">
        <v>106.0</v>
      </c>
      <c r="G39" s="371"/>
      <c r="H39" s="370" t="s">
        <v>206</v>
      </c>
    </row>
    <row r="40" ht="15.75" customHeight="1">
      <c r="C40" s="370" t="s">
        <v>223</v>
      </c>
      <c r="D40" s="370" t="s">
        <v>205</v>
      </c>
      <c r="E40" s="371">
        <v>230.0</v>
      </c>
      <c r="F40" s="371">
        <v>108.0</v>
      </c>
      <c r="G40" s="371"/>
      <c r="H40" s="370" t="s">
        <v>206</v>
      </c>
    </row>
    <row r="41" ht="15.75" customHeight="1">
      <c r="C41" s="370" t="s">
        <v>189</v>
      </c>
      <c r="D41" s="370" t="s">
        <v>205</v>
      </c>
      <c r="E41" s="371">
        <v>230.0</v>
      </c>
      <c r="F41" s="371">
        <v>109.0</v>
      </c>
      <c r="G41" s="371"/>
      <c r="H41" s="370" t="s">
        <v>206</v>
      </c>
    </row>
    <row r="42" ht="15.75" customHeight="1">
      <c r="C42" s="370" t="s">
        <v>92</v>
      </c>
      <c r="D42" s="370" t="s">
        <v>205</v>
      </c>
      <c r="E42" s="371">
        <v>250.0</v>
      </c>
      <c r="F42" s="371">
        <v>65.0</v>
      </c>
      <c r="G42" s="371"/>
      <c r="H42" s="370" t="s">
        <v>206</v>
      </c>
    </row>
    <row r="43" ht="15.75" customHeight="1">
      <c r="C43" s="370" t="s">
        <v>121</v>
      </c>
      <c r="D43" s="370" t="s">
        <v>205</v>
      </c>
      <c r="E43" s="371">
        <v>250.0</v>
      </c>
      <c r="F43" s="371">
        <v>75.0</v>
      </c>
      <c r="G43" s="371"/>
      <c r="H43" s="370" t="s">
        <v>206</v>
      </c>
    </row>
    <row r="44" ht="15.75" customHeight="1">
      <c r="C44" s="370" t="s">
        <v>148</v>
      </c>
      <c r="D44" s="370" t="s">
        <v>205</v>
      </c>
      <c r="E44" s="371">
        <v>250.0</v>
      </c>
      <c r="F44" s="371">
        <v>100.0</v>
      </c>
      <c r="G44" s="371"/>
      <c r="H44" s="370" t="s">
        <v>206</v>
      </c>
    </row>
    <row r="45" ht="15.75" customHeight="1">
      <c r="C45" s="370" t="s">
        <v>143</v>
      </c>
      <c r="D45" s="370" t="s">
        <v>205</v>
      </c>
      <c r="E45" s="371">
        <v>250.0</v>
      </c>
      <c r="F45" s="371">
        <v>102.0</v>
      </c>
      <c r="G45" s="371"/>
      <c r="H45" s="370" t="s">
        <v>206</v>
      </c>
    </row>
    <row r="46" ht="15.75" customHeight="1">
      <c r="C46" s="370" t="s">
        <v>88</v>
      </c>
      <c r="D46" s="370" t="s">
        <v>205</v>
      </c>
      <c r="E46" s="371">
        <v>250.0</v>
      </c>
      <c r="F46" s="371">
        <v>109.0</v>
      </c>
      <c r="G46" s="371"/>
      <c r="H46" s="370" t="s">
        <v>206</v>
      </c>
    </row>
    <row r="47" ht="15.75" customHeight="1">
      <c r="C47" s="370" t="s">
        <v>79</v>
      </c>
      <c r="D47" s="370" t="s">
        <v>229</v>
      </c>
      <c r="E47" s="371">
        <v>210.0</v>
      </c>
      <c r="F47" s="371">
        <v>109.0</v>
      </c>
      <c r="G47" s="371"/>
      <c r="H47" s="370" t="s">
        <v>206</v>
      </c>
    </row>
    <row r="48" ht="15.75" customHeight="1">
      <c r="C48" s="370" t="s">
        <v>86</v>
      </c>
      <c r="D48" s="370" t="s">
        <v>229</v>
      </c>
      <c r="E48" s="371">
        <v>230.0</v>
      </c>
      <c r="F48" s="371">
        <v>109.0</v>
      </c>
      <c r="G48" s="371"/>
      <c r="H48" s="370" t="s">
        <v>206</v>
      </c>
    </row>
    <row r="49" ht="15.75" customHeight="1">
      <c r="C49" s="370" t="s">
        <v>87</v>
      </c>
      <c r="D49" s="370" t="s">
        <v>229</v>
      </c>
      <c r="E49" s="371">
        <v>250.0</v>
      </c>
      <c r="F49" s="371">
        <v>84.0</v>
      </c>
      <c r="G49" s="371"/>
      <c r="H49" s="370" t="s">
        <v>206</v>
      </c>
    </row>
    <row r="50" ht="15.75" customHeight="1">
      <c r="C50" s="370" t="s">
        <v>91</v>
      </c>
      <c r="D50" s="370" t="s">
        <v>229</v>
      </c>
      <c r="E50" s="371">
        <v>250.0</v>
      </c>
      <c r="F50" s="371">
        <v>109.0</v>
      </c>
      <c r="G50" s="371"/>
      <c r="H50" s="370" t="s">
        <v>206</v>
      </c>
    </row>
    <row r="51" ht="15.75" customHeight="1">
      <c r="C51" s="370" t="s">
        <v>207</v>
      </c>
      <c r="D51" s="370" t="s">
        <v>205</v>
      </c>
      <c r="E51" s="371">
        <v>210.0</v>
      </c>
      <c r="F51" s="371">
        <v>70.0</v>
      </c>
      <c r="G51" s="371"/>
      <c r="H51" s="370" t="s">
        <v>206</v>
      </c>
    </row>
    <row r="52" ht="15.75" customHeight="1">
      <c r="C52" s="370" t="s">
        <v>107</v>
      </c>
      <c r="D52" s="370" t="s">
        <v>235</v>
      </c>
      <c r="E52" s="371">
        <v>1200.0</v>
      </c>
      <c r="F52" s="371">
        <v>1200.0</v>
      </c>
      <c r="G52" s="371">
        <v>130.0</v>
      </c>
      <c r="H52" s="370" t="s">
        <v>236</v>
      </c>
    </row>
    <row r="53" ht="15.75" customHeight="1">
      <c r="C53" s="370" t="s">
        <v>127</v>
      </c>
      <c r="D53" s="370" t="s">
        <v>238</v>
      </c>
      <c r="E53" s="371">
        <v>1100.0</v>
      </c>
      <c r="F53" s="371">
        <v>1100.0</v>
      </c>
      <c r="G53" s="371">
        <v>130.0</v>
      </c>
      <c r="H53" s="370" t="s">
        <v>236</v>
      </c>
    </row>
    <row r="54" ht="15.75" customHeight="1">
      <c r="C54" s="370" t="s">
        <v>156</v>
      </c>
      <c r="D54" s="370" t="s">
        <v>240</v>
      </c>
      <c r="E54" s="371"/>
      <c r="F54" s="371"/>
      <c r="G54" s="371">
        <v>1150.0</v>
      </c>
      <c r="H54" s="370" t="s">
        <v>241</v>
      </c>
    </row>
    <row r="55" ht="15.75" customHeight="1">
      <c r="C55" s="370" t="s">
        <v>182</v>
      </c>
      <c r="D55" s="370" t="s">
        <v>244</v>
      </c>
      <c r="E55" s="371">
        <v>120.0</v>
      </c>
      <c r="F55" s="371">
        <v>70.0</v>
      </c>
      <c r="G55" s="371">
        <v>71.0</v>
      </c>
      <c r="H55" s="370" t="s">
        <v>241</v>
      </c>
    </row>
    <row r="56" ht="15.75" customHeight="1">
      <c r="C56" s="370" t="s">
        <v>245</v>
      </c>
      <c r="D56" s="370" t="s">
        <v>246</v>
      </c>
      <c r="E56" s="371">
        <v>120.0</v>
      </c>
      <c r="F56" s="371">
        <v>70.0</v>
      </c>
      <c r="G56" s="371">
        <v>88.0</v>
      </c>
      <c r="H56" s="370" t="s">
        <v>241</v>
      </c>
    </row>
    <row r="57" ht="15.75" customHeight="1">
      <c r="C57" s="370" t="s">
        <v>183</v>
      </c>
      <c r="D57" s="370" t="s">
        <v>247</v>
      </c>
      <c r="E57" s="371">
        <v>120.0</v>
      </c>
      <c r="F57" s="371">
        <v>70.0</v>
      </c>
      <c r="G57" s="371">
        <v>90.0</v>
      </c>
      <c r="H57" s="370" t="s">
        <v>241</v>
      </c>
    </row>
    <row r="58" ht="15.75" customHeight="1">
      <c r="C58" s="370" t="s">
        <v>184</v>
      </c>
      <c r="D58" s="370" t="s">
        <v>248</v>
      </c>
      <c r="E58" s="371">
        <v>120.0</v>
      </c>
      <c r="F58" s="371">
        <v>70.0</v>
      </c>
      <c r="G58" s="371">
        <v>95.0</v>
      </c>
      <c r="H58" s="370" t="s">
        <v>241</v>
      </c>
    </row>
    <row r="59" ht="15.75" customHeight="1">
      <c r="C59" s="370" t="s">
        <v>204</v>
      </c>
      <c r="D59" s="370" t="s">
        <v>250</v>
      </c>
      <c r="E59" s="371">
        <v>120.0</v>
      </c>
      <c r="F59" s="371">
        <v>70.0</v>
      </c>
      <c r="G59" s="371">
        <v>98.0</v>
      </c>
      <c r="H59" s="370" t="s">
        <v>241</v>
      </c>
    </row>
    <row r="60" ht="15.75" customHeight="1">
      <c r="C60" s="370" t="s">
        <v>97</v>
      </c>
      <c r="D60" s="370" t="s">
        <v>252</v>
      </c>
      <c r="E60" s="371">
        <v>120.0</v>
      </c>
      <c r="F60" s="371">
        <v>70.0</v>
      </c>
      <c r="G60" s="371">
        <v>1000.0</v>
      </c>
      <c r="H60" s="370" t="s">
        <v>241</v>
      </c>
    </row>
    <row r="61" ht="15.75" customHeight="1">
      <c r="C61" s="370" t="s">
        <v>115</v>
      </c>
      <c r="D61" s="370" t="s">
        <v>253</v>
      </c>
      <c r="E61" s="371"/>
      <c r="F61" s="371"/>
      <c r="G61" s="371"/>
      <c r="H61" s="370" t="s">
        <v>206</v>
      </c>
    </row>
    <row r="62" ht="15.75" customHeight="1">
      <c r="C62" s="370" t="s">
        <v>110</v>
      </c>
      <c r="D62" s="370" t="s">
        <v>255</v>
      </c>
      <c r="E62" s="371"/>
      <c r="F62" s="371"/>
      <c r="G62" s="371"/>
      <c r="H62" s="370" t="s">
        <v>206</v>
      </c>
    </row>
    <row r="63" ht="15.75" customHeight="1">
      <c r="C63" s="370" t="s">
        <v>96</v>
      </c>
      <c r="D63" s="370" t="s">
        <v>257</v>
      </c>
      <c r="E63" s="371"/>
      <c r="F63" s="371"/>
      <c r="G63" s="371"/>
      <c r="H63" s="370" t="s">
        <v>206</v>
      </c>
    </row>
    <row r="64" ht="15.75" customHeight="1">
      <c r="C64" s="370" t="s">
        <v>112</v>
      </c>
      <c r="D64" s="370" t="s">
        <v>258</v>
      </c>
      <c r="E64" s="371"/>
      <c r="F64" s="371"/>
      <c r="G64" s="371"/>
      <c r="H64" s="370" t="s">
        <v>206</v>
      </c>
    </row>
    <row r="65" ht="15.75" customHeight="1">
      <c r="C65" s="370" t="s">
        <v>260</v>
      </c>
      <c r="D65" s="370" t="s">
        <v>261</v>
      </c>
      <c r="E65" s="371"/>
      <c r="F65" s="371"/>
      <c r="G65" s="371"/>
      <c r="H65" s="370" t="s">
        <v>206</v>
      </c>
    </row>
    <row r="66" ht="15.75" customHeight="1">
      <c r="C66" s="370"/>
      <c r="D66" s="370"/>
      <c r="E66" s="371"/>
      <c r="F66" s="371"/>
      <c r="G66" s="371"/>
      <c r="H66" s="370"/>
    </row>
    <row r="67" ht="15.75" customHeight="1">
      <c r="C67" s="370"/>
      <c r="D67" s="370"/>
      <c r="E67" s="371"/>
      <c r="F67" s="371"/>
      <c r="G67" s="371"/>
      <c r="H67" s="370"/>
    </row>
    <row r="68" ht="15.75" customHeight="1">
      <c r="C68" s="370"/>
      <c r="D68" s="370"/>
      <c r="E68" s="371"/>
      <c r="F68" s="371"/>
      <c r="G68" s="371"/>
      <c r="H68" s="370"/>
    </row>
    <row r="69" ht="15.75" customHeight="1">
      <c r="C69" s="370"/>
      <c r="D69" s="370"/>
      <c r="E69" s="371"/>
      <c r="F69" s="371"/>
      <c r="G69" s="371"/>
      <c r="H69" s="370"/>
    </row>
    <row r="70" ht="15.75" customHeight="1">
      <c r="C70" s="370"/>
      <c r="D70" s="370"/>
      <c r="E70" s="371"/>
      <c r="F70" s="371"/>
      <c r="G70" s="371"/>
      <c r="H70" s="370"/>
    </row>
    <row r="71" ht="15.75" customHeight="1">
      <c r="C71" s="370"/>
      <c r="D71" s="370"/>
      <c r="E71" s="371"/>
      <c r="F71" s="371"/>
      <c r="G71" s="371"/>
      <c r="H71" s="370"/>
    </row>
    <row r="72" ht="15.75" customHeight="1">
      <c r="C72" s="370"/>
      <c r="D72" s="370"/>
      <c r="E72" s="371"/>
      <c r="F72" s="371"/>
      <c r="G72" s="371"/>
      <c r="H72" s="370"/>
    </row>
    <row r="73" ht="15.75" customHeight="1">
      <c r="C73" s="370"/>
      <c r="D73" s="370"/>
      <c r="E73" s="371"/>
      <c r="F73" s="371"/>
      <c r="G73" s="371"/>
      <c r="H73" s="370"/>
    </row>
    <row r="74" ht="15.75" customHeight="1">
      <c r="C74" s="370"/>
      <c r="D74" s="370"/>
      <c r="E74" s="371"/>
      <c r="F74" s="371"/>
      <c r="G74" s="371"/>
      <c r="H74" s="370"/>
    </row>
    <row r="75" ht="15.75" customHeight="1">
      <c r="C75" s="370"/>
      <c r="D75" s="370"/>
      <c r="E75" s="371"/>
      <c r="F75" s="371"/>
      <c r="G75" s="371"/>
      <c r="H75" s="370"/>
    </row>
    <row r="76" ht="15.75" customHeight="1">
      <c r="C76" s="370"/>
      <c r="D76" s="370"/>
      <c r="E76" s="371"/>
      <c r="F76" s="371"/>
      <c r="G76" s="371"/>
      <c r="H76" s="370"/>
    </row>
    <row r="77" ht="15.75" customHeight="1">
      <c r="C77" s="370"/>
      <c r="D77" s="370"/>
      <c r="E77" s="371"/>
      <c r="F77" s="371"/>
      <c r="G77" s="371"/>
      <c r="H77" s="370"/>
    </row>
    <row r="78" ht="15.75" customHeight="1">
      <c r="C78" s="370"/>
      <c r="D78" s="370"/>
      <c r="E78" s="371"/>
      <c r="F78" s="371"/>
      <c r="G78" s="371"/>
      <c r="H78" s="370"/>
    </row>
    <row r="79" ht="15.75" customHeight="1">
      <c r="C79" s="370"/>
      <c r="D79" s="370"/>
      <c r="E79" s="371"/>
      <c r="F79" s="371"/>
      <c r="G79" s="371"/>
      <c r="H79" s="370"/>
    </row>
    <row r="80" ht="15.75" customHeight="1">
      <c r="C80" s="370"/>
      <c r="D80" s="370"/>
      <c r="E80" s="371"/>
      <c r="F80" s="371"/>
      <c r="G80" s="371"/>
      <c r="H80" s="370"/>
    </row>
    <row r="81" ht="15.75" customHeight="1">
      <c r="C81" s="370"/>
      <c r="D81" s="370"/>
      <c r="E81" s="371"/>
      <c r="F81" s="371"/>
      <c r="G81" s="371"/>
      <c r="H81" s="370"/>
    </row>
    <row r="82" ht="15.75" customHeight="1">
      <c r="C82" s="370"/>
      <c r="D82" s="370"/>
      <c r="E82" s="371"/>
      <c r="F82" s="371"/>
      <c r="G82" s="371"/>
      <c r="H82" s="370"/>
    </row>
    <row r="83" ht="15.75" customHeight="1">
      <c r="C83" s="370"/>
      <c r="D83" s="370"/>
      <c r="E83" s="371"/>
      <c r="F83" s="371"/>
      <c r="G83" s="371"/>
      <c r="H83" s="370"/>
    </row>
    <row r="84" ht="15.75" customHeight="1">
      <c r="C84" s="370"/>
      <c r="D84" s="370"/>
      <c r="E84" s="371"/>
      <c r="F84" s="371"/>
      <c r="G84" s="371"/>
      <c r="H84" s="370"/>
    </row>
    <row r="85" ht="15.75" customHeight="1">
      <c r="C85" s="370"/>
      <c r="D85" s="370"/>
      <c r="E85" s="371"/>
      <c r="F85" s="371"/>
      <c r="G85" s="371"/>
      <c r="H85" s="370"/>
    </row>
    <row r="86" ht="15.75" customHeight="1">
      <c r="C86" s="370"/>
      <c r="D86" s="370"/>
      <c r="E86" s="371"/>
      <c r="F86" s="371"/>
      <c r="G86" s="371"/>
      <c r="H86" s="370"/>
    </row>
    <row r="87" ht="15.75" customHeight="1">
      <c r="C87" s="370"/>
      <c r="D87" s="370"/>
      <c r="E87" s="371"/>
      <c r="F87" s="371"/>
      <c r="G87" s="371"/>
      <c r="H87" s="370"/>
    </row>
    <row r="88" ht="15.75" customHeight="1">
      <c r="C88" s="370"/>
      <c r="D88" s="370"/>
      <c r="E88" s="371"/>
      <c r="F88" s="371"/>
      <c r="G88" s="371"/>
      <c r="H88" s="370"/>
    </row>
    <row r="89" ht="15.75" customHeight="1">
      <c r="C89" s="370"/>
      <c r="D89" s="370"/>
      <c r="E89" s="371"/>
      <c r="F89" s="371"/>
      <c r="G89" s="371"/>
      <c r="H89" s="370"/>
    </row>
    <row r="90" ht="15.75" customHeight="1">
      <c r="C90" s="370"/>
      <c r="D90" s="370"/>
      <c r="E90" s="371"/>
      <c r="F90" s="371"/>
      <c r="G90" s="371"/>
      <c r="H90" s="370"/>
    </row>
    <row r="91" ht="15.75" customHeight="1">
      <c r="C91" s="370"/>
      <c r="D91" s="370"/>
      <c r="E91" s="371"/>
      <c r="F91" s="371"/>
      <c r="G91" s="371"/>
      <c r="H91" s="370"/>
    </row>
    <row r="92" ht="15.75" customHeight="1">
      <c r="C92" s="370"/>
      <c r="D92" s="370"/>
      <c r="E92" s="371"/>
      <c r="F92" s="371"/>
      <c r="G92" s="371"/>
      <c r="H92" s="370"/>
    </row>
    <row r="93" ht="15.75" customHeight="1">
      <c r="C93" s="370"/>
      <c r="D93" s="370"/>
      <c r="E93" s="371"/>
      <c r="F93" s="371"/>
      <c r="G93" s="371"/>
      <c r="H93" s="370"/>
    </row>
    <row r="94" ht="15.75" customHeight="1">
      <c r="C94" s="370"/>
      <c r="D94" s="370"/>
      <c r="E94" s="371"/>
      <c r="F94" s="371"/>
      <c r="G94" s="371"/>
      <c r="H94" s="370"/>
    </row>
    <row r="95" ht="15.75" customHeight="1">
      <c r="C95" s="370"/>
      <c r="D95" s="370"/>
      <c r="E95" s="371"/>
      <c r="F95" s="371"/>
      <c r="G95" s="371"/>
      <c r="H95" s="370"/>
    </row>
    <row r="96" ht="15.75" customHeight="1">
      <c r="C96" s="370"/>
      <c r="D96" s="370"/>
      <c r="E96" s="371"/>
      <c r="F96" s="371"/>
      <c r="G96" s="371"/>
      <c r="H96" s="370"/>
    </row>
    <row r="97" ht="15.75" customHeight="1">
      <c r="C97" s="370"/>
      <c r="D97" s="370"/>
      <c r="E97" s="371"/>
      <c r="F97" s="371"/>
      <c r="G97" s="371"/>
      <c r="H97" s="370"/>
    </row>
    <row r="98" ht="15.75" customHeight="1">
      <c r="C98" s="370"/>
      <c r="D98" s="370"/>
      <c r="E98" s="371"/>
      <c r="F98" s="371"/>
      <c r="G98" s="371"/>
      <c r="H98" s="370"/>
    </row>
    <row r="99" ht="15.75" customHeight="1">
      <c r="C99" s="370"/>
      <c r="D99" s="370"/>
      <c r="E99" s="371"/>
      <c r="F99" s="371"/>
      <c r="G99" s="371"/>
      <c r="H99" s="370"/>
    </row>
    <row r="100" ht="15.75" customHeight="1">
      <c r="C100" s="370"/>
      <c r="D100" s="370"/>
      <c r="E100" s="371"/>
      <c r="F100" s="371"/>
      <c r="G100" s="371"/>
      <c r="H100" s="370"/>
    </row>
    <row r="101" ht="15.75" customHeight="1">
      <c r="C101" s="370"/>
      <c r="D101" s="370"/>
      <c r="E101" s="371"/>
      <c r="F101" s="371"/>
      <c r="G101" s="371"/>
      <c r="H101" s="370"/>
    </row>
    <row r="102" ht="15.75" customHeight="1">
      <c r="C102" s="370"/>
      <c r="D102" s="370"/>
      <c r="E102" s="371"/>
      <c r="F102" s="371"/>
      <c r="G102" s="371"/>
      <c r="H102" s="370"/>
    </row>
    <row r="103" ht="15.75" customHeight="1">
      <c r="C103" s="370"/>
      <c r="D103" s="370"/>
      <c r="E103" s="371"/>
      <c r="F103" s="371"/>
      <c r="G103" s="371"/>
      <c r="H103" s="370"/>
    </row>
    <row r="104" ht="15.75" customHeight="1">
      <c r="C104" s="370"/>
      <c r="D104" s="370"/>
      <c r="E104" s="371"/>
      <c r="F104" s="371"/>
      <c r="G104" s="371"/>
      <c r="H104" s="370"/>
    </row>
    <row r="105" ht="15.75" customHeight="1">
      <c r="C105" s="370"/>
      <c r="D105" s="370"/>
      <c r="E105" s="371"/>
      <c r="F105" s="371"/>
      <c r="G105" s="371"/>
      <c r="H105" s="370"/>
    </row>
    <row r="106" ht="15.75" customHeight="1">
      <c r="C106" s="370"/>
      <c r="D106" s="370"/>
      <c r="E106" s="371"/>
      <c r="F106" s="371"/>
      <c r="G106" s="371"/>
      <c r="H106" s="370"/>
    </row>
    <row r="107" ht="15.75" customHeight="1">
      <c r="C107" s="370"/>
      <c r="D107" s="370"/>
      <c r="E107" s="371"/>
      <c r="F107" s="371"/>
      <c r="G107" s="371"/>
      <c r="H107" s="370"/>
    </row>
    <row r="108" ht="15.75" customHeight="1">
      <c r="C108" s="370"/>
      <c r="D108" s="370"/>
      <c r="E108" s="371"/>
      <c r="F108" s="371"/>
      <c r="G108" s="371"/>
      <c r="H108" s="370"/>
    </row>
    <row r="109" ht="15.75" customHeight="1">
      <c r="C109" s="370"/>
      <c r="D109" s="370"/>
      <c r="E109" s="371"/>
      <c r="F109" s="371"/>
      <c r="G109" s="371"/>
      <c r="H109" s="370"/>
    </row>
    <row r="110" ht="15.75" customHeight="1">
      <c r="C110" s="370"/>
      <c r="D110" s="370"/>
      <c r="E110" s="371"/>
      <c r="F110" s="371"/>
      <c r="G110" s="371"/>
      <c r="H110" s="370"/>
    </row>
    <row r="111" ht="15.75" customHeight="1">
      <c r="C111" s="370"/>
      <c r="D111" s="370"/>
      <c r="E111" s="371"/>
      <c r="F111" s="371"/>
      <c r="G111" s="371"/>
      <c r="H111" s="370"/>
    </row>
    <row r="112" ht="15.75" customHeight="1">
      <c r="C112" s="370"/>
      <c r="D112" s="370"/>
      <c r="E112" s="371"/>
      <c r="F112" s="371"/>
      <c r="G112" s="371"/>
      <c r="H112" s="370"/>
    </row>
    <row r="113" ht="15.75" customHeight="1">
      <c r="C113" s="370"/>
      <c r="D113" s="370"/>
      <c r="E113" s="371"/>
      <c r="F113" s="371"/>
      <c r="G113" s="371"/>
      <c r="H113" s="370"/>
    </row>
    <row r="114" ht="15.75" customHeight="1">
      <c r="C114" s="370"/>
      <c r="D114" s="370"/>
      <c r="E114" s="371"/>
      <c r="F114" s="371"/>
      <c r="G114" s="371"/>
      <c r="H114" s="370"/>
    </row>
    <row r="115" ht="15.75" customHeight="1">
      <c r="C115" s="370"/>
      <c r="D115" s="370"/>
      <c r="E115" s="371"/>
      <c r="F115" s="371"/>
      <c r="G115" s="371"/>
      <c r="H115" s="370"/>
    </row>
    <row r="116" ht="15.75" customHeight="1">
      <c r="C116" s="370"/>
      <c r="D116" s="370"/>
      <c r="E116" s="371"/>
      <c r="F116" s="371"/>
      <c r="G116" s="371"/>
      <c r="H116" s="370"/>
    </row>
    <row r="117" ht="15.75" customHeight="1">
      <c r="C117" s="370"/>
      <c r="D117" s="370"/>
      <c r="E117" s="371"/>
      <c r="F117" s="371"/>
      <c r="G117" s="371"/>
      <c r="H117" s="370"/>
    </row>
    <row r="118" ht="15.75" customHeight="1">
      <c r="C118" s="370"/>
      <c r="D118" s="370"/>
      <c r="E118" s="371"/>
      <c r="F118" s="371"/>
      <c r="G118" s="371"/>
      <c r="H118" s="370"/>
    </row>
    <row r="119" ht="15.75" customHeight="1">
      <c r="C119" s="370"/>
      <c r="D119" s="370"/>
      <c r="E119" s="371"/>
      <c r="F119" s="371"/>
      <c r="G119" s="371"/>
      <c r="H119" s="370"/>
    </row>
    <row r="120" ht="15.75" customHeight="1">
      <c r="C120" s="370"/>
      <c r="D120" s="370"/>
      <c r="E120" s="371"/>
      <c r="F120" s="371"/>
      <c r="G120" s="371"/>
      <c r="H120" s="370"/>
    </row>
    <row r="121" ht="15.75" customHeight="1">
      <c r="C121" s="370"/>
      <c r="D121" s="370"/>
      <c r="E121" s="371"/>
      <c r="F121" s="371"/>
      <c r="G121" s="371"/>
      <c r="H121" s="370"/>
    </row>
    <row r="122" ht="15.75" customHeight="1">
      <c r="C122" s="370"/>
      <c r="D122" s="370"/>
      <c r="E122" s="371"/>
      <c r="F122" s="371"/>
      <c r="G122" s="371"/>
      <c r="H122" s="370"/>
    </row>
    <row r="123" ht="15.75" customHeight="1">
      <c r="C123" s="370"/>
      <c r="D123" s="370"/>
      <c r="E123" s="371"/>
      <c r="F123" s="371"/>
      <c r="G123" s="371"/>
      <c r="H123" s="370"/>
    </row>
    <row r="124" ht="15.75" customHeight="1">
      <c r="C124" s="370"/>
      <c r="D124" s="370"/>
      <c r="E124" s="371"/>
      <c r="F124" s="371"/>
      <c r="G124" s="371"/>
      <c r="H124" s="370"/>
    </row>
    <row r="125" ht="15.75" customHeight="1">
      <c r="C125" s="370"/>
      <c r="D125" s="370"/>
      <c r="E125" s="371"/>
      <c r="F125" s="371"/>
      <c r="G125" s="371"/>
      <c r="H125" s="370"/>
    </row>
    <row r="126" ht="15.75" customHeight="1">
      <c r="C126" s="370"/>
      <c r="D126" s="370"/>
      <c r="E126" s="371"/>
      <c r="F126" s="371"/>
      <c r="G126" s="371"/>
      <c r="H126" s="370"/>
    </row>
    <row r="127" ht="15.75" customHeight="1">
      <c r="C127" s="370"/>
      <c r="D127" s="370"/>
      <c r="E127" s="371"/>
      <c r="F127" s="371"/>
      <c r="G127" s="371"/>
      <c r="H127" s="370"/>
    </row>
    <row r="128" ht="15.75" customHeight="1">
      <c r="C128" s="370"/>
      <c r="D128" s="370"/>
      <c r="E128" s="371"/>
      <c r="F128" s="371"/>
      <c r="G128" s="371"/>
      <c r="H128" s="370"/>
    </row>
    <row r="129" ht="15.75" customHeight="1">
      <c r="C129" s="370"/>
      <c r="D129" s="370"/>
      <c r="E129" s="371"/>
      <c r="F129" s="371"/>
      <c r="G129" s="371"/>
      <c r="H129" s="370"/>
    </row>
    <row r="130" ht="15.75" customHeight="1">
      <c r="C130" s="370"/>
      <c r="D130" s="370"/>
      <c r="E130" s="371"/>
      <c r="F130" s="371"/>
      <c r="G130" s="371"/>
      <c r="H130" s="370"/>
    </row>
    <row r="131" ht="15.75" customHeight="1">
      <c r="C131" s="370"/>
      <c r="D131" s="370"/>
      <c r="E131" s="371"/>
      <c r="F131" s="371"/>
      <c r="G131" s="371"/>
      <c r="H131" s="370"/>
    </row>
    <row r="132" ht="15.75" customHeight="1">
      <c r="C132" s="370"/>
      <c r="D132" s="370"/>
      <c r="E132" s="371"/>
      <c r="F132" s="371"/>
      <c r="G132" s="371"/>
      <c r="H132" s="370"/>
    </row>
    <row r="133" ht="15.75" customHeight="1">
      <c r="C133" s="370"/>
      <c r="D133" s="370"/>
      <c r="E133" s="371"/>
      <c r="F133" s="371"/>
      <c r="G133" s="371"/>
      <c r="H133" s="370"/>
    </row>
    <row r="134" ht="15.75" customHeight="1">
      <c r="C134" s="370"/>
      <c r="D134" s="370"/>
      <c r="E134" s="371"/>
      <c r="F134" s="371"/>
      <c r="G134" s="371"/>
      <c r="H134" s="370"/>
    </row>
    <row r="135" ht="15.75" customHeight="1">
      <c r="C135" s="370"/>
      <c r="D135" s="370"/>
      <c r="E135" s="371"/>
      <c r="F135" s="371"/>
      <c r="G135" s="371"/>
      <c r="H135" s="370"/>
    </row>
    <row r="136" ht="15.75" customHeight="1">
      <c r="C136" s="370"/>
      <c r="D136" s="370"/>
      <c r="E136" s="371"/>
      <c r="F136" s="371"/>
      <c r="G136" s="371"/>
      <c r="H136" s="370"/>
    </row>
    <row r="137" ht="15.75" customHeight="1">
      <c r="C137" s="370"/>
      <c r="D137" s="370"/>
      <c r="E137" s="371"/>
      <c r="F137" s="371"/>
      <c r="G137" s="371"/>
      <c r="H137" s="370"/>
    </row>
    <row r="138" ht="15.75" customHeight="1">
      <c r="C138" s="370"/>
      <c r="D138" s="370"/>
      <c r="E138" s="371"/>
      <c r="F138" s="371"/>
      <c r="G138" s="371"/>
      <c r="H138" s="370"/>
    </row>
    <row r="139" ht="15.75" customHeight="1">
      <c r="C139" s="370"/>
      <c r="D139" s="370"/>
      <c r="E139" s="371"/>
      <c r="F139" s="371"/>
      <c r="G139" s="371"/>
      <c r="H139" s="370"/>
    </row>
    <row r="140" ht="15.75" customHeight="1">
      <c r="C140" s="370"/>
      <c r="D140" s="370"/>
      <c r="E140" s="371"/>
      <c r="F140" s="371"/>
      <c r="G140" s="371"/>
      <c r="H140" s="370"/>
    </row>
    <row r="141" ht="15.75" customHeight="1">
      <c r="C141" s="370"/>
      <c r="D141" s="370"/>
      <c r="E141" s="371"/>
      <c r="F141" s="371"/>
      <c r="G141" s="371"/>
      <c r="H141" s="370"/>
    </row>
    <row r="142" ht="15.75" customHeight="1">
      <c r="C142" s="370"/>
      <c r="D142" s="370"/>
      <c r="E142" s="371"/>
      <c r="F142" s="371"/>
      <c r="G142" s="371"/>
      <c r="H142" s="370"/>
    </row>
    <row r="143" ht="15.75" customHeight="1">
      <c r="C143" s="370"/>
      <c r="D143" s="370"/>
      <c r="E143" s="371"/>
      <c r="F143" s="371"/>
      <c r="G143" s="371"/>
      <c r="H143" s="370"/>
    </row>
    <row r="144" ht="15.75" customHeight="1">
      <c r="C144" s="370"/>
      <c r="D144" s="370"/>
      <c r="E144" s="371"/>
      <c r="F144" s="371"/>
      <c r="G144" s="371"/>
      <c r="H144" s="370"/>
    </row>
    <row r="145" ht="15.75" customHeight="1">
      <c r="C145" s="370"/>
      <c r="D145" s="370"/>
      <c r="E145" s="371"/>
      <c r="F145" s="371"/>
      <c r="G145" s="371"/>
      <c r="H145" s="370"/>
    </row>
    <row r="146" ht="15.75" customHeight="1">
      <c r="C146" s="370"/>
      <c r="D146" s="370"/>
      <c r="E146" s="371"/>
      <c r="F146" s="371"/>
      <c r="G146" s="371"/>
      <c r="H146" s="370"/>
    </row>
    <row r="147" ht="15.75" customHeight="1">
      <c r="C147" s="370"/>
      <c r="D147" s="370"/>
      <c r="E147" s="371"/>
      <c r="F147" s="371"/>
      <c r="G147" s="371"/>
      <c r="H147" s="370"/>
    </row>
    <row r="148" ht="15.75" customHeight="1">
      <c r="C148" s="370"/>
      <c r="D148" s="370"/>
      <c r="E148" s="371"/>
      <c r="F148" s="371"/>
      <c r="G148" s="371"/>
      <c r="H148" s="370"/>
    </row>
    <row r="149" ht="15.75" customHeight="1">
      <c r="C149" s="370"/>
      <c r="D149" s="370"/>
      <c r="E149" s="371"/>
      <c r="F149" s="371"/>
      <c r="G149" s="371"/>
      <c r="H149" s="370"/>
    </row>
    <row r="150" ht="15.75" customHeight="1">
      <c r="C150" s="370"/>
      <c r="D150" s="370"/>
      <c r="E150" s="371"/>
      <c r="F150" s="371"/>
      <c r="G150" s="371"/>
      <c r="H150" s="370"/>
    </row>
    <row r="151" ht="15.75" customHeight="1">
      <c r="C151" s="370"/>
      <c r="D151" s="370"/>
      <c r="E151" s="371"/>
      <c r="F151" s="371"/>
      <c r="G151" s="371"/>
      <c r="H151" s="370"/>
    </row>
    <row r="152" ht="15.75" customHeight="1">
      <c r="C152" s="370"/>
      <c r="D152" s="370"/>
      <c r="E152" s="371"/>
      <c r="F152" s="371"/>
      <c r="G152" s="371"/>
      <c r="H152" s="370"/>
    </row>
    <row r="153" ht="15.75" customHeight="1">
      <c r="C153" s="370"/>
      <c r="D153" s="370"/>
      <c r="E153" s="371"/>
      <c r="F153" s="371"/>
      <c r="G153" s="371"/>
      <c r="H153" s="370"/>
    </row>
    <row r="154" ht="15.75" customHeight="1">
      <c r="C154" s="370"/>
      <c r="D154" s="370"/>
      <c r="E154" s="371"/>
      <c r="F154" s="371"/>
      <c r="G154" s="371"/>
      <c r="H154" s="370"/>
    </row>
    <row r="155" ht="15.75" customHeight="1">
      <c r="C155" s="370"/>
      <c r="D155" s="370"/>
      <c r="E155" s="371"/>
      <c r="F155" s="371"/>
      <c r="G155" s="371"/>
      <c r="H155" s="370"/>
    </row>
    <row r="156" ht="15.75" customHeight="1">
      <c r="C156" s="370"/>
      <c r="D156" s="370"/>
      <c r="E156" s="371"/>
      <c r="F156" s="371"/>
      <c r="G156" s="371"/>
      <c r="H156" s="370"/>
    </row>
    <row r="157" ht="15.75" customHeight="1">
      <c r="C157" s="370"/>
      <c r="D157" s="370"/>
      <c r="E157" s="371"/>
      <c r="F157" s="371"/>
      <c r="G157" s="371"/>
      <c r="H157" s="370"/>
    </row>
    <row r="158" ht="15.75" customHeight="1">
      <c r="C158" s="370"/>
      <c r="D158" s="370"/>
      <c r="E158" s="371"/>
      <c r="F158" s="371"/>
      <c r="G158" s="371"/>
      <c r="H158" s="370"/>
    </row>
    <row r="159" ht="15.75" customHeight="1">
      <c r="C159" s="370"/>
      <c r="D159" s="370"/>
      <c r="E159" s="371"/>
      <c r="F159" s="371"/>
      <c r="G159" s="371"/>
      <c r="H159" s="370"/>
    </row>
    <row r="160" ht="15.75" customHeight="1">
      <c r="C160" s="370"/>
      <c r="D160" s="370"/>
      <c r="E160" s="371"/>
      <c r="F160" s="371"/>
      <c r="G160" s="371"/>
      <c r="H160" s="370"/>
    </row>
    <row r="161" ht="15.75" customHeight="1">
      <c r="C161" s="370"/>
      <c r="D161" s="370"/>
      <c r="E161" s="371"/>
      <c r="F161" s="371"/>
      <c r="G161" s="371"/>
      <c r="H161" s="370"/>
    </row>
    <row r="162" ht="15.75" customHeight="1">
      <c r="C162" s="370"/>
      <c r="D162" s="370"/>
      <c r="E162" s="371"/>
      <c r="F162" s="371"/>
      <c r="G162" s="371"/>
      <c r="H162" s="370"/>
    </row>
    <row r="163" ht="15.75" customHeight="1">
      <c r="C163" s="370"/>
      <c r="D163" s="370"/>
      <c r="E163" s="371"/>
      <c r="F163" s="371"/>
      <c r="G163" s="371"/>
      <c r="H163" s="370"/>
    </row>
    <row r="164" ht="15.75" customHeight="1">
      <c r="C164" s="370"/>
      <c r="D164" s="370"/>
      <c r="E164" s="371"/>
      <c r="F164" s="371"/>
      <c r="G164" s="371"/>
      <c r="H164" s="370"/>
    </row>
    <row r="165" ht="15.75" customHeight="1">
      <c r="C165" s="370"/>
      <c r="D165" s="370"/>
      <c r="E165" s="371"/>
      <c r="F165" s="371"/>
      <c r="G165" s="371"/>
      <c r="H165" s="370"/>
    </row>
    <row r="166" ht="15.75" customHeight="1">
      <c r="C166" s="370"/>
      <c r="D166" s="370"/>
      <c r="E166" s="371"/>
      <c r="F166" s="371"/>
      <c r="G166" s="371"/>
      <c r="H166" s="370"/>
    </row>
    <row r="167" ht="15.75" customHeight="1">
      <c r="C167" s="370"/>
      <c r="D167" s="370"/>
      <c r="E167" s="371"/>
      <c r="F167" s="371"/>
      <c r="G167" s="371"/>
      <c r="H167" s="370"/>
    </row>
    <row r="168" ht="15.75" customHeight="1">
      <c r="C168" s="370"/>
      <c r="D168" s="370"/>
      <c r="E168" s="371"/>
      <c r="F168" s="371"/>
      <c r="G168" s="371"/>
      <c r="H168" s="370"/>
    </row>
    <row r="169" ht="15.75" customHeight="1">
      <c r="C169" s="370"/>
      <c r="D169" s="370"/>
      <c r="E169" s="371"/>
      <c r="F169" s="371"/>
      <c r="G169" s="371"/>
      <c r="H169" s="370"/>
    </row>
    <row r="170" ht="15.75" customHeight="1">
      <c r="C170" s="370"/>
      <c r="D170" s="370"/>
      <c r="E170" s="371"/>
      <c r="F170" s="371"/>
      <c r="G170" s="371"/>
      <c r="H170" s="370"/>
    </row>
    <row r="171" ht="15.75" customHeight="1">
      <c r="C171" s="370"/>
      <c r="D171" s="370"/>
      <c r="E171" s="371"/>
      <c r="F171" s="371"/>
      <c r="G171" s="371"/>
      <c r="H171" s="370"/>
    </row>
    <row r="172" ht="15.75" customHeight="1">
      <c r="C172" s="370"/>
      <c r="D172" s="370"/>
      <c r="E172" s="371"/>
      <c r="F172" s="371"/>
      <c r="G172" s="371"/>
      <c r="H172" s="370"/>
    </row>
    <row r="173" ht="15.75" customHeight="1">
      <c r="C173" s="370"/>
      <c r="D173" s="370"/>
      <c r="E173" s="371"/>
      <c r="F173" s="371"/>
      <c r="G173" s="371"/>
      <c r="H173" s="370"/>
    </row>
    <row r="174" ht="15.75" customHeight="1">
      <c r="C174" s="370"/>
      <c r="D174" s="370"/>
      <c r="E174" s="371"/>
      <c r="F174" s="371"/>
      <c r="G174" s="371"/>
      <c r="H174" s="370"/>
    </row>
    <row r="175" ht="15.75" customHeight="1">
      <c r="C175" s="370"/>
      <c r="D175" s="370"/>
      <c r="E175" s="371"/>
      <c r="F175" s="371"/>
      <c r="G175" s="371"/>
      <c r="H175" s="370"/>
    </row>
    <row r="176" ht="15.75" customHeight="1">
      <c r="C176" s="370"/>
      <c r="D176" s="370"/>
      <c r="E176" s="371"/>
      <c r="F176" s="371"/>
      <c r="G176" s="371"/>
      <c r="H176" s="370"/>
    </row>
    <row r="177" ht="15.75" customHeight="1">
      <c r="C177" s="370"/>
      <c r="D177" s="370"/>
      <c r="E177" s="371"/>
      <c r="F177" s="371"/>
      <c r="G177" s="371"/>
      <c r="H177" s="370"/>
    </row>
    <row r="178" ht="15.75" customHeight="1">
      <c r="C178" s="370"/>
      <c r="D178" s="370"/>
      <c r="E178" s="371"/>
      <c r="F178" s="371"/>
      <c r="G178" s="371"/>
      <c r="H178" s="370"/>
    </row>
    <row r="179" ht="15.75" customHeight="1">
      <c r="C179" s="370"/>
      <c r="D179" s="370"/>
      <c r="E179" s="371"/>
      <c r="F179" s="371"/>
      <c r="G179" s="371"/>
      <c r="H179" s="370"/>
    </row>
    <row r="180" ht="15.75" customHeight="1">
      <c r="C180" s="370"/>
      <c r="D180" s="370"/>
      <c r="E180" s="371"/>
      <c r="F180" s="371"/>
      <c r="G180" s="371"/>
      <c r="H180" s="370"/>
    </row>
    <row r="181" ht="15.75" customHeight="1">
      <c r="C181" s="370"/>
      <c r="D181" s="370"/>
      <c r="E181" s="371"/>
      <c r="F181" s="371"/>
      <c r="G181" s="371"/>
      <c r="H181" s="370"/>
    </row>
    <row r="182" ht="15.75" customHeight="1">
      <c r="C182" s="370"/>
      <c r="D182" s="370"/>
      <c r="E182" s="371"/>
      <c r="F182" s="371"/>
      <c r="G182" s="371"/>
      <c r="H182" s="370"/>
    </row>
    <row r="183" ht="15.75" customHeight="1">
      <c r="C183" s="370"/>
      <c r="D183" s="370"/>
      <c r="E183" s="371"/>
      <c r="F183" s="371"/>
      <c r="G183" s="371"/>
      <c r="H183" s="370"/>
    </row>
    <row r="184" ht="15.75" customHeight="1">
      <c r="C184" s="370"/>
      <c r="D184" s="370"/>
      <c r="E184" s="371"/>
      <c r="F184" s="371"/>
      <c r="G184" s="371"/>
      <c r="H184" s="370"/>
    </row>
    <row r="185" ht="15.75" customHeight="1">
      <c r="C185" s="370"/>
      <c r="D185" s="370"/>
      <c r="E185" s="371"/>
      <c r="F185" s="371"/>
      <c r="G185" s="371"/>
      <c r="H185" s="370"/>
    </row>
    <row r="186" ht="15.75" customHeight="1">
      <c r="C186" s="370"/>
      <c r="D186" s="370"/>
      <c r="E186" s="371"/>
      <c r="F186" s="371"/>
      <c r="G186" s="371"/>
      <c r="H186" s="370"/>
    </row>
    <row r="187" ht="15.75" customHeight="1">
      <c r="C187" s="370"/>
      <c r="D187" s="370"/>
      <c r="E187" s="371"/>
      <c r="F187" s="371"/>
      <c r="G187" s="371"/>
      <c r="H187" s="370"/>
    </row>
    <row r="188" ht="15.75" customHeight="1">
      <c r="C188" s="370"/>
      <c r="D188" s="370"/>
      <c r="E188" s="371"/>
      <c r="F188" s="371"/>
      <c r="G188" s="371"/>
      <c r="H188" s="370"/>
    </row>
    <row r="189" ht="15.75" customHeight="1">
      <c r="C189" s="370"/>
      <c r="D189" s="370"/>
      <c r="E189" s="371"/>
      <c r="F189" s="371"/>
      <c r="G189" s="371"/>
      <c r="H189" s="370"/>
    </row>
    <row r="190" ht="15.75" customHeight="1">
      <c r="C190" s="370"/>
      <c r="D190" s="370"/>
      <c r="E190" s="371"/>
      <c r="F190" s="371"/>
      <c r="G190" s="371"/>
      <c r="H190" s="370"/>
    </row>
    <row r="191" ht="15.75" customHeight="1">
      <c r="C191" s="370"/>
      <c r="D191" s="370"/>
      <c r="E191" s="371"/>
      <c r="F191" s="371"/>
      <c r="G191" s="371"/>
      <c r="H191" s="370"/>
    </row>
    <row r="192" ht="15.75" customHeight="1">
      <c r="C192" s="370"/>
      <c r="D192" s="370"/>
      <c r="E192" s="371"/>
      <c r="F192" s="371"/>
      <c r="G192" s="371"/>
      <c r="H192" s="370"/>
    </row>
    <row r="193" ht="15.75" customHeight="1">
      <c r="C193" s="370"/>
      <c r="D193" s="370"/>
      <c r="E193" s="371"/>
      <c r="F193" s="371"/>
      <c r="G193" s="371"/>
      <c r="H193" s="370"/>
    </row>
    <row r="194" ht="15.75" customHeight="1">
      <c r="C194" s="370"/>
      <c r="D194" s="370"/>
      <c r="E194" s="371"/>
      <c r="F194" s="371"/>
      <c r="G194" s="371"/>
      <c r="H194" s="370"/>
    </row>
    <row r="195" ht="15.75" customHeight="1">
      <c r="C195" s="370"/>
      <c r="D195" s="370"/>
      <c r="E195" s="371"/>
      <c r="F195" s="371"/>
      <c r="G195" s="371"/>
      <c r="H195" s="370"/>
    </row>
    <row r="196" ht="15.75" customHeight="1">
      <c r="C196" s="370"/>
      <c r="D196" s="370"/>
      <c r="E196" s="371"/>
      <c r="F196" s="371"/>
      <c r="G196" s="371"/>
      <c r="H196" s="370"/>
    </row>
    <row r="197" ht="15.75" customHeight="1">
      <c r="C197" s="370"/>
      <c r="D197" s="370"/>
      <c r="E197" s="371"/>
      <c r="F197" s="371"/>
      <c r="G197" s="371"/>
      <c r="H197" s="370"/>
    </row>
    <row r="198" ht="15.75" customHeight="1">
      <c r="C198" s="370"/>
      <c r="D198" s="370"/>
      <c r="E198" s="371"/>
      <c r="F198" s="371"/>
      <c r="G198" s="371"/>
      <c r="H198" s="370"/>
    </row>
    <row r="199" ht="15.75" customHeight="1">
      <c r="C199" s="370"/>
      <c r="D199" s="370"/>
      <c r="E199" s="371"/>
      <c r="F199" s="371"/>
      <c r="G199" s="371"/>
      <c r="H199" s="370"/>
    </row>
    <row r="200" ht="15.75" customHeight="1">
      <c r="C200" s="370"/>
      <c r="D200" s="370"/>
      <c r="E200" s="371"/>
      <c r="F200" s="371"/>
      <c r="G200" s="371"/>
      <c r="H200" s="370"/>
    </row>
    <row r="201" ht="15.75" customHeight="1">
      <c r="C201" s="370"/>
      <c r="D201" s="370"/>
      <c r="E201" s="371"/>
      <c r="F201" s="371"/>
      <c r="G201" s="371"/>
      <c r="H201" s="370"/>
    </row>
    <row r="202" ht="15.75" customHeight="1">
      <c r="C202" s="370"/>
      <c r="D202" s="370"/>
      <c r="E202" s="371"/>
      <c r="F202" s="371"/>
      <c r="G202" s="371"/>
      <c r="H202" s="370"/>
    </row>
    <row r="203" ht="15.75" customHeight="1">
      <c r="C203" s="370"/>
      <c r="D203" s="370"/>
      <c r="E203" s="371"/>
      <c r="F203" s="371"/>
      <c r="G203" s="371"/>
      <c r="H203" s="370"/>
    </row>
    <row r="204" ht="15.75" customHeight="1">
      <c r="C204" s="370"/>
      <c r="D204" s="370"/>
      <c r="E204" s="371"/>
      <c r="F204" s="371"/>
      <c r="G204" s="371"/>
      <c r="H204" s="370"/>
    </row>
    <row r="205" ht="15.75" customHeight="1">
      <c r="C205" s="370"/>
      <c r="D205" s="370"/>
      <c r="E205" s="371"/>
      <c r="F205" s="371"/>
      <c r="G205" s="371"/>
      <c r="H205" s="370"/>
    </row>
    <row r="206" ht="15.75" customHeight="1">
      <c r="C206" s="370"/>
      <c r="D206" s="370"/>
      <c r="E206" s="371"/>
      <c r="F206" s="371"/>
      <c r="G206" s="371"/>
      <c r="H206" s="370"/>
    </row>
    <row r="207" ht="15.75" customHeight="1">
      <c r="C207" s="370"/>
      <c r="D207" s="370"/>
      <c r="E207" s="371"/>
      <c r="F207" s="371"/>
      <c r="G207" s="371"/>
      <c r="H207" s="370"/>
    </row>
    <row r="208" ht="15.75" customHeight="1">
      <c r="C208" s="370"/>
      <c r="D208" s="370"/>
      <c r="E208" s="371"/>
      <c r="F208" s="371"/>
      <c r="G208" s="371"/>
      <c r="H208" s="370"/>
    </row>
    <row r="209" ht="15.75" customHeight="1">
      <c r="C209" s="370"/>
      <c r="D209" s="370"/>
      <c r="E209" s="371"/>
      <c r="F209" s="371"/>
      <c r="G209" s="371"/>
      <c r="H209" s="370"/>
    </row>
    <row r="210" ht="15.75" customHeight="1">
      <c r="C210" s="370"/>
      <c r="D210" s="370"/>
      <c r="E210" s="371"/>
      <c r="F210" s="371"/>
      <c r="G210" s="371"/>
      <c r="H210" s="370"/>
    </row>
    <row r="211" ht="15.75" customHeight="1">
      <c r="C211" s="370"/>
      <c r="D211" s="370"/>
      <c r="E211" s="371"/>
      <c r="F211" s="371"/>
      <c r="G211" s="371"/>
      <c r="H211" s="370"/>
    </row>
    <row r="212" ht="15.75" customHeight="1">
      <c r="C212" s="370"/>
      <c r="D212" s="370"/>
      <c r="E212" s="371"/>
      <c r="F212" s="371"/>
      <c r="G212" s="371"/>
      <c r="H212" s="370"/>
    </row>
    <row r="213" ht="15.75" customHeight="1">
      <c r="C213" s="370"/>
      <c r="D213" s="370"/>
      <c r="E213" s="371"/>
      <c r="F213" s="371"/>
      <c r="G213" s="371"/>
      <c r="H213" s="370"/>
    </row>
    <row r="214" ht="15.75" customHeight="1">
      <c r="C214" s="370"/>
      <c r="D214" s="370"/>
      <c r="E214" s="371"/>
      <c r="F214" s="371"/>
      <c r="G214" s="371"/>
      <c r="H214" s="370"/>
    </row>
    <row r="215" ht="15.75" customHeight="1">
      <c r="C215" s="370"/>
      <c r="D215" s="370"/>
      <c r="E215" s="371"/>
      <c r="F215" s="371"/>
      <c r="G215" s="371"/>
      <c r="H215" s="370"/>
    </row>
    <row r="216" ht="15.75" customHeight="1">
      <c r="C216" s="370"/>
      <c r="D216" s="370"/>
      <c r="E216" s="371"/>
      <c r="F216" s="371"/>
      <c r="G216" s="371"/>
      <c r="H216" s="370"/>
    </row>
    <row r="217" ht="15.75" customHeight="1">
      <c r="C217" s="370"/>
      <c r="D217" s="370"/>
      <c r="E217" s="371"/>
      <c r="F217" s="371"/>
      <c r="G217" s="371"/>
      <c r="H217" s="370"/>
    </row>
    <row r="218" ht="15.75" customHeight="1">
      <c r="C218" s="370"/>
      <c r="D218" s="370"/>
      <c r="E218" s="371"/>
      <c r="F218" s="371"/>
      <c r="G218" s="371"/>
      <c r="H218" s="370"/>
    </row>
    <row r="219" ht="15.75" customHeight="1">
      <c r="C219" s="370"/>
      <c r="D219" s="370"/>
      <c r="E219" s="371"/>
      <c r="F219" s="371"/>
      <c r="G219" s="371"/>
      <c r="H219" s="370"/>
    </row>
    <row r="220" ht="15.75" customHeight="1">
      <c r="C220" s="370"/>
      <c r="D220" s="370"/>
      <c r="E220" s="371"/>
      <c r="F220" s="371"/>
      <c r="G220" s="371"/>
      <c r="H220" s="370"/>
    </row>
    <row r="221" ht="15.75" customHeight="1">
      <c r="C221" s="370"/>
      <c r="D221" s="370"/>
      <c r="E221" s="371"/>
      <c r="F221" s="371"/>
      <c r="G221" s="371"/>
      <c r="H221" s="370"/>
    </row>
    <row r="222" ht="15.75" customHeight="1">
      <c r="C222" s="370"/>
      <c r="D222" s="370"/>
      <c r="E222" s="371"/>
      <c r="F222" s="371"/>
      <c r="G222" s="371"/>
      <c r="H222" s="370"/>
    </row>
    <row r="223" ht="15.75" customHeight="1">
      <c r="C223" s="370"/>
      <c r="D223" s="370"/>
      <c r="E223" s="371"/>
      <c r="F223" s="371"/>
      <c r="G223" s="371"/>
      <c r="H223" s="370"/>
    </row>
    <row r="224" ht="15.75" customHeight="1">
      <c r="C224" s="370"/>
      <c r="D224" s="370"/>
      <c r="E224" s="371"/>
      <c r="F224" s="371"/>
      <c r="G224" s="371"/>
      <c r="H224" s="370"/>
    </row>
    <row r="225" ht="15.75" customHeight="1">
      <c r="C225" s="370"/>
      <c r="D225" s="370"/>
      <c r="E225" s="371"/>
      <c r="F225" s="371"/>
      <c r="G225" s="371"/>
      <c r="H225" s="370"/>
    </row>
    <row r="226" ht="15.75" customHeight="1">
      <c r="C226" s="370"/>
      <c r="D226" s="370"/>
      <c r="E226" s="371"/>
      <c r="F226" s="371"/>
      <c r="G226" s="371"/>
      <c r="H226" s="370"/>
    </row>
    <row r="227" ht="15.75" customHeight="1">
      <c r="C227" s="370"/>
      <c r="D227" s="370"/>
      <c r="E227" s="371"/>
      <c r="F227" s="371"/>
      <c r="G227" s="371"/>
      <c r="H227" s="370"/>
    </row>
    <row r="228" ht="15.75" customHeight="1">
      <c r="C228" s="370"/>
      <c r="D228" s="370"/>
      <c r="E228" s="371"/>
      <c r="F228" s="371"/>
      <c r="G228" s="371"/>
      <c r="H228" s="370"/>
    </row>
    <row r="229" ht="15.75" customHeight="1">
      <c r="C229" s="370"/>
      <c r="D229" s="370"/>
      <c r="E229" s="371"/>
      <c r="F229" s="371"/>
      <c r="G229" s="371"/>
      <c r="H229" s="370"/>
    </row>
    <row r="230" ht="15.75" customHeight="1">
      <c r="C230" s="370"/>
      <c r="D230" s="370"/>
      <c r="E230" s="371"/>
      <c r="F230" s="371"/>
      <c r="G230" s="371"/>
      <c r="H230" s="370"/>
    </row>
    <row r="231" ht="15.75" customHeight="1">
      <c r="C231" s="370"/>
      <c r="D231" s="370"/>
      <c r="E231" s="371"/>
      <c r="F231" s="371"/>
      <c r="G231" s="371"/>
      <c r="H231" s="370"/>
    </row>
    <row r="232" ht="15.75" customHeight="1">
      <c r="C232" s="370"/>
      <c r="D232" s="370"/>
      <c r="E232" s="371"/>
      <c r="F232" s="371"/>
      <c r="G232" s="371"/>
      <c r="H232" s="370"/>
    </row>
    <row r="233" ht="15.75" customHeight="1">
      <c r="C233" s="370"/>
      <c r="D233" s="370"/>
      <c r="E233" s="371"/>
      <c r="F233" s="371"/>
      <c r="G233" s="371"/>
      <c r="H233" s="370"/>
    </row>
    <row r="234" ht="15.75" customHeight="1">
      <c r="C234" s="370"/>
      <c r="D234" s="370"/>
      <c r="E234" s="371"/>
      <c r="F234" s="371"/>
      <c r="G234" s="371"/>
      <c r="H234" s="370"/>
    </row>
    <row r="235" ht="15.75" customHeight="1">
      <c r="C235" s="370"/>
      <c r="D235" s="370"/>
      <c r="E235" s="371"/>
      <c r="F235" s="371"/>
      <c r="G235" s="371"/>
      <c r="H235" s="370"/>
    </row>
    <row r="236" ht="15.75" customHeight="1">
      <c r="C236" s="370"/>
      <c r="D236" s="370"/>
      <c r="E236" s="371"/>
      <c r="F236" s="371"/>
      <c r="G236" s="371"/>
      <c r="H236" s="370"/>
    </row>
    <row r="237" ht="15.75" customHeight="1">
      <c r="C237" s="370"/>
      <c r="D237" s="370"/>
      <c r="E237" s="371"/>
      <c r="F237" s="371"/>
      <c r="G237" s="371"/>
      <c r="H237" s="370"/>
    </row>
    <row r="238" ht="15.75" customHeight="1">
      <c r="C238" s="370"/>
      <c r="D238" s="370"/>
      <c r="E238" s="371"/>
      <c r="F238" s="371"/>
      <c r="G238" s="371"/>
      <c r="H238" s="370"/>
    </row>
    <row r="239" ht="15.75" customHeight="1">
      <c r="C239" s="370"/>
      <c r="D239" s="370"/>
      <c r="E239" s="371"/>
      <c r="F239" s="371"/>
      <c r="G239" s="371"/>
      <c r="H239" s="370"/>
    </row>
    <row r="240" ht="15.75" customHeight="1">
      <c r="C240" s="370"/>
      <c r="D240" s="370"/>
      <c r="E240" s="371"/>
      <c r="F240" s="371"/>
      <c r="G240" s="371"/>
      <c r="H240" s="370"/>
    </row>
    <row r="241" ht="15.75" customHeight="1">
      <c r="C241" s="370"/>
      <c r="D241" s="370"/>
      <c r="E241" s="371"/>
      <c r="F241" s="371"/>
      <c r="G241" s="371"/>
      <c r="H241" s="370"/>
    </row>
    <row r="242" ht="15.75" customHeight="1">
      <c r="C242" s="370"/>
      <c r="D242" s="370"/>
      <c r="E242" s="371"/>
      <c r="F242" s="371"/>
      <c r="G242" s="371"/>
      <c r="H242" s="370"/>
    </row>
    <row r="243" ht="15.75" customHeight="1">
      <c r="C243" s="370"/>
      <c r="D243" s="370"/>
      <c r="E243" s="371"/>
      <c r="F243" s="371"/>
      <c r="G243" s="371"/>
      <c r="H243" s="370"/>
    </row>
    <row r="244" ht="15.75" customHeight="1">
      <c r="C244" s="370"/>
      <c r="D244" s="370"/>
      <c r="E244" s="371"/>
      <c r="F244" s="371"/>
      <c r="G244" s="371"/>
      <c r="H244" s="370"/>
    </row>
    <row r="245" ht="15.75" customHeight="1">
      <c r="C245" s="370"/>
      <c r="D245" s="370"/>
      <c r="E245" s="371"/>
      <c r="F245" s="371"/>
      <c r="G245" s="371"/>
      <c r="H245" s="370"/>
    </row>
    <row r="246" ht="15.75" customHeight="1">
      <c r="C246" s="370"/>
      <c r="D246" s="370"/>
      <c r="E246" s="371"/>
      <c r="F246" s="371"/>
      <c r="G246" s="371"/>
      <c r="H246" s="370"/>
    </row>
    <row r="247" ht="15.75" customHeight="1">
      <c r="C247" s="370"/>
      <c r="D247" s="370"/>
      <c r="E247" s="371"/>
      <c r="F247" s="371"/>
      <c r="G247" s="371"/>
      <c r="H247" s="370"/>
    </row>
    <row r="248" ht="15.75" customHeight="1">
      <c r="C248" s="370"/>
      <c r="D248" s="370"/>
      <c r="E248" s="371"/>
      <c r="F248" s="371"/>
      <c r="G248" s="371"/>
      <c r="H248" s="370"/>
    </row>
    <row r="249" ht="15.75" customHeight="1">
      <c r="C249" s="370"/>
      <c r="D249" s="370"/>
      <c r="E249" s="371"/>
      <c r="F249" s="371"/>
      <c r="G249" s="371"/>
      <c r="H249" s="370"/>
    </row>
    <row r="250" ht="15.75" customHeight="1">
      <c r="C250" s="370"/>
      <c r="D250" s="370"/>
      <c r="E250" s="371"/>
      <c r="F250" s="371"/>
      <c r="G250" s="371"/>
      <c r="H250" s="370"/>
    </row>
    <row r="251" ht="15.75" customHeight="1">
      <c r="C251" s="370"/>
      <c r="D251" s="370"/>
      <c r="E251" s="371"/>
      <c r="F251" s="371"/>
      <c r="G251" s="371"/>
      <c r="H251" s="370"/>
    </row>
    <row r="252" ht="15.75" customHeight="1">
      <c r="C252" s="370"/>
      <c r="D252" s="370"/>
      <c r="E252" s="371"/>
      <c r="F252" s="371"/>
      <c r="G252" s="371"/>
      <c r="H252" s="370"/>
    </row>
    <row r="253" ht="15.75" customHeight="1">
      <c r="C253" s="370"/>
      <c r="D253" s="370"/>
      <c r="E253" s="371"/>
      <c r="F253" s="371"/>
      <c r="G253" s="371"/>
      <c r="H253" s="370"/>
    </row>
    <row r="254" ht="15.75" customHeight="1">
      <c r="C254" s="370"/>
      <c r="D254" s="370"/>
      <c r="E254" s="371"/>
      <c r="F254" s="371"/>
      <c r="G254" s="371"/>
      <c r="H254" s="370"/>
    </row>
    <row r="255" ht="15.75" customHeight="1">
      <c r="C255" s="370"/>
      <c r="D255" s="370"/>
      <c r="E255" s="371"/>
      <c r="F255" s="371"/>
      <c r="G255" s="371"/>
      <c r="H255" s="370"/>
    </row>
    <row r="256" ht="15.75" customHeight="1">
      <c r="C256" s="370"/>
      <c r="D256" s="370"/>
      <c r="E256" s="371"/>
      <c r="F256" s="371"/>
      <c r="G256" s="371"/>
      <c r="H256" s="370"/>
    </row>
    <row r="257" ht="15.75" customHeight="1">
      <c r="C257" s="370"/>
      <c r="D257" s="370"/>
      <c r="E257" s="371"/>
      <c r="F257" s="371"/>
      <c r="G257" s="371"/>
      <c r="H257" s="370"/>
    </row>
    <row r="258" ht="15.75" customHeight="1">
      <c r="C258" s="370"/>
      <c r="D258" s="370"/>
      <c r="E258" s="371"/>
      <c r="F258" s="371"/>
      <c r="G258" s="371"/>
      <c r="H258" s="370"/>
    </row>
    <row r="259" ht="15.75" customHeight="1">
      <c r="C259" s="370"/>
      <c r="D259" s="370"/>
      <c r="E259" s="371"/>
      <c r="F259" s="371"/>
      <c r="G259" s="371"/>
      <c r="H259" s="370"/>
    </row>
    <row r="260" ht="15.75" customHeight="1">
      <c r="C260" s="370"/>
      <c r="D260" s="370"/>
      <c r="E260" s="371"/>
      <c r="F260" s="371"/>
      <c r="G260" s="371"/>
      <c r="H260" s="370"/>
    </row>
    <row r="261" ht="15.75" customHeight="1">
      <c r="C261" s="370"/>
      <c r="D261" s="370"/>
      <c r="E261" s="371"/>
      <c r="F261" s="371"/>
      <c r="G261" s="371"/>
      <c r="H261" s="370"/>
    </row>
    <row r="262" ht="15.75" customHeight="1">
      <c r="C262" s="370"/>
      <c r="D262" s="370"/>
      <c r="E262" s="371"/>
      <c r="F262" s="371"/>
      <c r="G262" s="371"/>
      <c r="H262" s="370"/>
    </row>
    <row r="263" ht="15.75" customHeight="1">
      <c r="C263" s="370"/>
      <c r="D263" s="370"/>
      <c r="E263" s="371"/>
      <c r="F263" s="371"/>
      <c r="G263" s="371"/>
      <c r="H263" s="370"/>
    </row>
    <row r="264" ht="15.75" customHeight="1">
      <c r="C264" s="370"/>
      <c r="D264" s="370"/>
      <c r="E264" s="371"/>
      <c r="F264" s="371"/>
      <c r="G264" s="371"/>
      <c r="H264" s="370"/>
    </row>
    <row r="265" ht="15.75" customHeight="1">
      <c r="C265" s="370"/>
      <c r="D265" s="370"/>
      <c r="E265" s="371"/>
      <c r="F265" s="371"/>
      <c r="G265" s="371"/>
      <c r="H265" s="370"/>
    </row>
    <row r="266" ht="15.75" customHeight="1">
      <c r="C266" s="370"/>
      <c r="D266" s="370"/>
      <c r="E266" s="371"/>
      <c r="F266" s="371"/>
      <c r="G266" s="371"/>
      <c r="H266" s="370"/>
    </row>
    <row r="267" ht="15.75" customHeight="1">
      <c r="C267" s="370"/>
      <c r="D267" s="370"/>
      <c r="E267" s="371"/>
      <c r="F267" s="371"/>
      <c r="G267" s="371"/>
      <c r="H267" s="370"/>
    </row>
    <row r="268" ht="15.75" customHeight="1">
      <c r="C268" s="370"/>
      <c r="D268" s="370"/>
      <c r="E268" s="371"/>
      <c r="F268" s="371"/>
      <c r="G268" s="371"/>
      <c r="H268" s="370"/>
    </row>
    <row r="269" ht="15.75" customHeight="1">
      <c r="C269" s="370"/>
      <c r="D269" s="370"/>
      <c r="E269" s="371"/>
      <c r="F269" s="371"/>
      <c r="G269" s="371"/>
      <c r="H269" s="370"/>
    </row>
    <row r="270" ht="15.75" customHeight="1">
      <c r="C270" s="370"/>
      <c r="D270" s="370"/>
      <c r="E270" s="371"/>
      <c r="F270" s="371"/>
      <c r="G270" s="371"/>
      <c r="H270" s="370"/>
    </row>
    <row r="271" ht="15.75" customHeight="1">
      <c r="C271" s="370"/>
      <c r="D271" s="370"/>
      <c r="E271" s="371"/>
      <c r="F271" s="371"/>
      <c r="G271" s="371"/>
      <c r="H271" s="370"/>
    </row>
    <row r="272" ht="15.75" customHeight="1">
      <c r="C272" s="370"/>
      <c r="D272" s="370"/>
      <c r="E272" s="371"/>
      <c r="F272" s="371"/>
      <c r="G272" s="371"/>
      <c r="H272" s="370"/>
    </row>
    <row r="273" ht="15.75" customHeight="1">
      <c r="C273" s="370"/>
      <c r="D273" s="370"/>
      <c r="E273" s="371"/>
      <c r="F273" s="371"/>
      <c r="G273" s="371"/>
      <c r="H273" s="370"/>
    </row>
    <row r="274" ht="15.75" customHeight="1">
      <c r="C274" s="370"/>
      <c r="D274" s="370"/>
      <c r="E274" s="371"/>
      <c r="F274" s="371"/>
      <c r="G274" s="371"/>
      <c r="H274" s="370"/>
    </row>
    <row r="275" ht="15.75" customHeight="1">
      <c r="C275" s="370"/>
      <c r="D275" s="370"/>
      <c r="E275" s="371"/>
      <c r="F275" s="371"/>
      <c r="G275" s="371"/>
      <c r="H275" s="370"/>
    </row>
    <row r="276" ht="15.75" customHeight="1">
      <c r="C276" s="370"/>
      <c r="D276" s="370"/>
      <c r="E276" s="371"/>
      <c r="F276" s="371"/>
      <c r="G276" s="371"/>
      <c r="H276" s="370"/>
    </row>
    <row r="277" ht="15.75" customHeight="1">
      <c r="C277" s="370"/>
      <c r="D277" s="370"/>
      <c r="E277" s="371"/>
      <c r="F277" s="371"/>
      <c r="G277" s="371"/>
      <c r="H277" s="370"/>
    </row>
    <row r="278" ht="15.75" customHeight="1">
      <c r="C278" s="370"/>
      <c r="D278" s="370"/>
      <c r="E278" s="371"/>
      <c r="F278" s="371"/>
      <c r="G278" s="371"/>
      <c r="H278" s="370"/>
    </row>
    <row r="279" ht="15.75" customHeight="1">
      <c r="C279" s="370"/>
      <c r="D279" s="370"/>
      <c r="E279" s="371"/>
      <c r="F279" s="371"/>
      <c r="G279" s="371"/>
      <c r="H279" s="370"/>
    </row>
    <row r="280" ht="15.75" customHeight="1">
      <c r="C280" s="370"/>
      <c r="D280" s="370"/>
      <c r="E280" s="371"/>
      <c r="F280" s="371"/>
      <c r="G280" s="371"/>
      <c r="H280" s="370"/>
    </row>
    <row r="281" ht="15.75" customHeight="1">
      <c r="C281" s="370"/>
      <c r="D281" s="370"/>
      <c r="E281" s="371"/>
      <c r="F281" s="371"/>
      <c r="G281" s="371"/>
      <c r="H281" s="370"/>
    </row>
    <row r="282" ht="15.75" customHeight="1">
      <c r="C282" s="370"/>
      <c r="D282" s="370"/>
      <c r="E282" s="371"/>
      <c r="F282" s="371"/>
      <c r="G282" s="371"/>
      <c r="H282" s="370"/>
    </row>
    <row r="283" ht="15.75" customHeight="1">
      <c r="C283" s="370"/>
      <c r="D283" s="370"/>
      <c r="E283" s="371"/>
      <c r="F283" s="371"/>
      <c r="G283" s="371"/>
      <c r="H283" s="370"/>
    </row>
    <row r="284" ht="15.75" customHeight="1">
      <c r="C284" s="370"/>
      <c r="D284" s="370"/>
      <c r="E284" s="371"/>
      <c r="F284" s="371"/>
      <c r="G284" s="371"/>
      <c r="H284" s="370"/>
    </row>
    <row r="285" ht="15.75" customHeight="1">
      <c r="C285" s="370"/>
      <c r="D285" s="370"/>
      <c r="E285" s="371"/>
      <c r="F285" s="371"/>
      <c r="G285" s="371"/>
      <c r="H285" s="370"/>
    </row>
    <row r="286" ht="15.75" customHeight="1">
      <c r="C286" s="370"/>
      <c r="D286" s="370"/>
      <c r="E286" s="371"/>
      <c r="F286" s="371"/>
      <c r="G286" s="371"/>
      <c r="H286" s="370"/>
    </row>
    <row r="287" ht="15.75" customHeight="1">
      <c r="C287" s="370"/>
      <c r="D287" s="370"/>
      <c r="E287" s="371"/>
      <c r="F287" s="371"/>
      <c r="G287" s="371"/>
      <c r="H287" s="370"/>
    </row>
    <row r="288" ht="15.75" customHeight="1">
      <c r="C288" s="370"/>
      <c r="D288" s="370"/>
      <c r="E288" s="371"/>
      <c r="F288" s="371"/>
      <c r="G288" s="371"/>
      <c r="H288" s="370"/>
    </row>
    <row r="289" ht="15.75" customHeight="1">
      <c r="C289" s="370"/>
      <c r="D289" s="370"/>
      <c r="E289" s="371"/>
      <c r="F289" s="371"/>
      <c r="G289" s="371"/>
      <c r="H289" s="370"/>
    </row>
    <row r="290" ht="15.75" customHeight="1">
      <c r="C290" s="370"/>
      <c r="D290" s="370"/>
      <c r="E290" s="371"/>
      <c r="F290" s="371"/>
      <c r="G290" s="371"/>
      <c r="H290" s="370"/>
    </row>
    <row r="291" ht="15.75" customHeight="1">
      <c r="C291" s="370"/>
      <c r="D291" s="370"/>
      <c r="E291" s="371"/>
      <c r="F291" s="371"/>
      <c r="G291" s="371"/>
      <c r="H291" s="370"/>
    </row>
    <row r="292" ht="15.75" customHeight="1">
      <c r="C292" s="370"/>
      <c r="D292" s="370"/>
      <c r="E292" s="371"/>
      <c r="F292" s="371"/>
      <c r="G292" s="371"/>
      <c r="H292" s="370"/>
    </row>
    <row r="293" ht="15.75" customHeight="1">
      <c r="C293" s="370"/>
      <c r="D293" s="370"/>
      <c r="E293" s="371"/>
      <c r="F293" s="371"/>
      <c r="G293" s="371"/>
      <c r="H293" s="370"/>
    </row>
    <row r="294" ht="15.75" customHeight="1">
      <c r="C294" s="370"/>
      <c r="D294" s="370"/>
      <c r="E294" s="371"/>
      <c r="F294" s="371"/>
      <c r="G294" s="371"/>
      <c r="H294" s="370"/>
    </row>
    <row r="295" ht="15.75" customHeight="1">
      <c r="C295" s="370"/>
      <c r="D295" s="370"/>
      <c r="E295" s="371"/>
      <c r="F295" s="371"/>
      <c r="G295" s="371"/>
      <c r="H295" s="370"/>
    </row>
    <row r="296" ht="15.75" customHeight="1">
      <c r="C296" s="370"/>
      <c r="D296" s="370"/>
      <c r="E296" s="371"/>
      <c r="F296" s="371"/>
      <c r="G296" s="371"/>
      <c r="H296" s="370"/>
    </row>
    <row r="297" ht="15.75" customHeight="1">
      <c r="C297" s="370"/>
      <c r="D297" s="370"/>
      <c r="E297" s="371"/>
      <c r="F297" s="371"/>
      <c r="G297" s="371"/>
      <c r="H297" s="370"/>
    </row>
    <row r="298" ht="15.75" customHeight="1">
      <c r="C298" s="370"/>
      <c r="D298" s="370"/>
      <c r="E298" s="371"/>
      <c r="F298" s="371"/>
      <c r="G298" s="371"/>
      <c r="H298" s="370"/>
    </row>
    <row r="299" ht="15.75" customHeight="1">
      <c r="C299" s="370"/>
      <c r="D299" s="370"/>
      <c r="E299" s="371"/>
      <c r="F299" s="371"/>
      <c r="G299" s="371"/>
      <c r="H299" s="370"/>
    </row>
    <row r="300" ht="15.75" customHeight="1">
      <c r="C300" s="370"/>
      <c r="D300" s="370"/>
      <c r="E300" s="371"/>
      <c r="F300" s="371"/>
      <c r="G300" s="371"/>
      <c r="H300" s="370"/>
    </row>
    <row r="301" ht="15.75" customHeight="1">
      <c r="C301" s="370"/>
      <c r="D301" s="370"/>
      <c r="E301" s="371"/>
      <c r="F301" s="371"/>
      <c r="G301" s="371"/>
      <c r="H301" s="370"/>
    </row>
    <row r="302" ht="15.75" customHeight="1">
      <c r="C302" s="370"/>
      <c r="D302" s="370"/>
      <c r="E302" s="371"/>
      <c r="F302" s="371"/>
      <c r="G302" s="371"/>
      <c r="H302" s="370"/>
    </row>
    <row r="303" ht="15.75" customHeight="1">
      <c r="C303" s="370"/>
      <c r="D303" s="370"/>
      <c r="E303" s="371"/>
      <c r="F303" s="371"/>
      <c r="G303" s="371"/>
      <c r="H303" s="370"/>
    </row>
    <row r="304" ht="15.75" customHeight="1">
      <c r="C304" s="370"/>
      <c r="D304" s="370"/>
      <c r="E304" s="371"/>
      <c r="F304" s="371"/>
      <c r="G304" s="371"/>
      <c r="H304" s="370"/>
    </row>
    <row r="305" ht="15.75" customHeight="1">
      <c r="C305" s="370"/>
      <c r="D305" s="370"/>
      <c r="E305" s="371"/>
      <c r="F305" s="371"/>
      <c r="G305" s="371"/>
      <c r="H305" s="370"/>
    </row>
    <row r="306" ht="15.75" customHeight="1">
      <c r="C306" s="370"/>
      <c r="D306" s="370"/>
      <c r="E306" s="371"/>
      <c r="F306" s="371"/>
      <c r="G306" s="371"/>
      <c r="H306" s="370"/>
    </row>
    <row r="307" ht="15.75" customHeight="1">
      <c r="C307" s="370"/>
      <c r="D307" s="370"/>
      <c r="E307" s="371"/>
      <c r="F307" s="371"/>
      <c r="G307" s="371"/>
      <c r="H307" s="370"/>
    </row>
    <row r="308" ht="15.75" customHeight="1">
      <c r="C308" s="370"/>
      <c r="D308" s="370"/>
      <c r="E308" s="371"/>
      <c r="F308" s="371"/>
      <c r="G308" s="371"/>
      <c r="H308" s="370"/>
    </row>
    <row r="309" ht="15.75" customHeight="1">
      <c r="C309" s="370"/>
      <c r="D309" s="370"/>
      <c r="E309" s="371"/>
      <c r="F309" s="371"/>
      <c r="G309" s="371"/>
      <c r="H309" s="370"/>
    </row>
    <row r="310" ht="15.75" customHeight="1">
      <c r="C310" s="370"/>
      <c r="D310" s="370"/>
      <c r="E310" s="371"/>
      <c r="F310" s="371"/>
      <c r="G310" s="371"/>
      <c r="H310" s="370"/>
    </row>
    <row r="311" ht="15.75" customHeight="1">
      <c r="C311" s="370"/>
      <c r="D311" s="370"/>
      <c r="E311" s="371"/>
      <c r="F311" s="371"/>
      <c r="G311" s="371"/>
      <c r="H311" s="370"/>
    </row>
    <row r="312" ht="15.75" customHeight="1">
      <c r="C312" s="370"/>
      <c r="D312" s="370"/>
      <c r="E312" s="371"/>
      <c r="F312" s="371"/>
      <c r="G312" s="371"/>
      <c r="H312" s="370"/>
    </row>
    <row r="313" ht="15.75" customHeight="1">
      <c r="C313" s="370"/>
      <c r="D313" s="370"/>
      <c r="E313" s="371"/>
      <c r="F313" s="371"/>
      <c r="G313" s="371"/>
      <c r="H313" s="370"/>
    </row>
    <row r="314" ht="15.75" customHeight="1">
      <c r="C314" s="370"/>
      <c r="D314" s="370"/>
      <c r="E314" s="371"/>
      <c r="F314" s="371"/>
      <c r="G314" s="371"/>
      <c r="H314" s="370"/>
    </row>
    <row r="315" ht="15.75" customHeight="1">
      <c r="C315" s="370"/>
      <c r="D315" s="370"/>
      <c r="E315" s="371"/>
      <c r="F315" s="371"/>
      <c r="G315" s="371"/>
      <c r="H315" s="370"/>
    </row>
    <row r="316" ht="15.75" customHeight="1">
      <c r="C316" s="370"/>
      <c r="D316" s="370"/>
      <c r="E316" s="371"/>
      <c r="F316" s="371"/>
      <c r="G316" s="371"/>
      <c r="H316" s="370"/>
    </row>
    <row r="317" ht="15.75" customHeight="1">
      <c r="C317" s="370"/>
      <c r="D317" s="370"/>
      <c r="E317" s="371"/>
      <c r="F317" s="371"/>
      <c r="G317" s="371"/>
      <c r="H317" s="370"/>
    </row>
    <row r="318" ht="15.75" customHeight="1">
      <c r="C318" s="370"/>
      <c r="D318" s="370"/>
      <c r="E318" s="371"/>
      <c r="F318" s="371"/>
      <c r="G318" s="371"/>
      <c r="H318" s="370"/>
    </row>
    <row r="319" ht="15.75" customHeight="1">
      <c r="C319" s="370"/>
      <c r="D319" s="370"/>
      <c r="E319" s="371"/>
      <c r="F319" s="371"/>
      <c r="G319" s="371"/>
      <c r="H319" s="370"/>
    </row>
    <row r="320" ht="15.75" customHeight="1">
      <c r="C320" s="370"/>
      <c r="D320" s="370"/>
      <c r="E320" s="371"/>
      <c r="F320" s="371"/>
      <c r="G320" s="371"/>
      <c r="H320" s="370"/>
    </row>
    <row r="321" ht="15.75" customHeight="1">
      <c r="C321" s="370"/>
      <c r="D321" s="370"/>
      <c r="E321" s="371"/>
      <c r="F321" s="371"/>
      <c r="G321" s="371"/>
      <c r="H321" s="370"/>
    </row>
    <row r="322" ht="15.75" customHeight="1">
      <c r="C322" s="370"/>
      <c r="D322" s="370"/>
      <c r="E322" s="371"/>
      <c r="F322" s="371"/>
      <c r="G322" s="371"/>
      <c r="H322" s="370"/>
    </row>
    <row r="323" ht="15.75" customHeight="1">
      <c r="C323" s="370"/>
      <c r="D323" s="370"/>
      <c r="E323" s="371"/>
      <c r="F323" s="371"/>
      <c r="G323" s="371"/>
      <c r="H323" s="370"/>
    </row>
    <row r="324" ht="15.75" customHeight="1">
      <c r="C324" s="370"/>
      <c r="D324" s="370"/>
      <c r="E324" s="371"/>
      <c r="F324" s="371"/>
      <c r="G324" s="371"/>
      <c r="H324" s="370"/>
    </row>
    <row r="325" ht="15.75" customHeight="1">
      <c r="C325" s="370"/>
      <c r="D325" s="370"/>
      <c r="E325" s="371"/>
      <c r="F325" s="371"/>
      <c r="G325" s="371"/>
      <c r="H325" s="370"/>
    </row>
    <row r="326" ht="15.75" customHeight="1">
      <c r="C326" s="370"/>
      <c r="D326" s="370"/>
      <c r="E326" s="371"/>
      <c r="F326" s="371"/>
      <c r="G326" s="371"/>
      <c r="H326" s="370"/>
    </row>
    <row r="327" ht="15.75" customHeight="1">
      <c r="C327" s="370"/>
      <c r="D327" s="370"/>
      <c r="E327" s="371"/>
      <c r="F327" s="371"/>
      <c r="G327" s="371"/>
      <c r="H327" s="370"/>
    </row>
    <row r="328" ht="15.75" customHeight="1">
      <c r="C328" s="370"/>
      <c r="D328" s="370"/>
      <c r="E328" s="371"/>
      <c r="F328" s="371"/>
      <c r="G328" s="371"/>
      <c r="H328" s="370"/>
    </row>
    <row r="329" ht="15.75" customHeight="1">
      <c r="C329" s="370"/>
      <c r="D329" s="370"/>
      <c r="E329" s="371"/>
      <c r="F329" s="371"/>
      <c r="G329" s="371"/>
      <c r="H329" s="370"/>
    </row>
    <row r="330" ht="15.75" customHeight="1">
      <c r="C330" s="370"/>
      <c r="D330" s="370"/>
      <c r="E330" s="371"/>
      <c r="F330" s="371"/>
      <c r="G330" s="371"/>
      <c r="H330" s="370"/>
    </row>
    <row r="331" ht="15.75" customHeight="1">
      <c r="C331" s="370"/>
      <c r="D331" s="370"/>
      <c r="E331" s="371"/>
      <c r="F331" s="371"/>
      <c r="G331" s="371"/>
      <c r="H331" s="370"/>
    </row>
    <row r="332" ht="15.75" customHeight="1">
      <c r="C332" s="370"/>
      <c r="D332" s="370"/>
      <c r="E332" s="371"/>
      <c r="F332" s="371"/>
      <c r="G332" s="371"/>
      <c r="H332" s="370"/>
    </row>
    <row r="333" ht="15.75" customHeight="1">
      <c r="C333" s="370"/>
      <c r="D333" s="370"/>
      <c r="E333" s="371"/>
      <c r="F333" s="371"/>
      <c r="G333" s="371"/>
      <c r="H333" s="370"/>
    </row>
    <row r="334" ht="15.75" customHeight="1">
      <c r="C334" s="370"/>
      <c r="D334" s="370"/>
      <c r="E334" s="371"/>
      <c r="F334" s="371"/>
      <c r="G334" s="371"/>
      <c r="H334" s="370"/>
    </row>
    <row r="335" ht="15.75" customHeight="1">
      <c r="C335" s="370"/>
      <c r="D335" s="370"/>
      <c r="E335" s="371"/>
      <c r="F335" s="371"/>
      <c r="G335" s="371"/>
      <c r="H335" s="370"/>
    </row>
    <row r="336" ht="15.75" customHeight="1">
      <c r="C336" s="370"/>
      <c r="D336" s="370"/>
      <c r="E336" s="371"/>
      <c r="F336" s="371"/>
      <c r="G336" s="371"/>
      <c r="H336" s="370"/>
    </row>
    <row r="337" ht="15.75" customHeight="1">
      <c r="C337" s="370"/>
      <c r="D337" s="370"/>
      <c r="E337" s="371"/>
      <c r="F337" s="371"/>
      <c r="G337" s="371"/>
      <c r="H337" s="370"/>
    </row>
    <row r="338" ht="15.75" customHeight="1">
      <c r="C338" s="370"/>
      <c r="D338" s="370"/>
      <c r="E338" s="371"/>
      <c r="F338" s="371"/>
      <c r="G338" s="371"/>
      <c r="H338" s="370"/>
    </row>
    <row r="339" ht="15.75" customHeight="1">
      <c r="C339" s="370"/>
      <c r="D339" s="370"/>
      <c r="E339" s="371"/>
      <c r="F339" s="371"/>
      <c r="G339" s="371"/>
      <c r="H339" s="370"/>
    </row>
    <row r="340" ht="15.75" customHeight="1">
      <c r="C340" s="370"/>
      <c r="D340" s="370"/>
      <c r="E340" s="371"/>
      <c r="F340" s="371"/>
      <c r="G340" s="371"/>
      <c r="H340" s="370"/>
    </row>
    <row r="341" ht="15.75" customHeight="1">
      <c r="C341" s="370"/>
      <c r="D341" s="370"/>
      <c r="E341" s="371"/>
      <c r="F341" s="371"/>
      <c r="G341" s="371"/>
      <c r="H341" s="370"/>
    </row>
    <row r="342" ht="15.75" customHeight="1">
      <c r="C342" s="370"/>
      <c r="D342" s="370"/>
      <c r="E342" s="371"/>
      <c r="F342" s="371"/>
      <c r="G342" s="371"/>
      <c r="H342" s="370"/>
    </row>
    <row r="343" ht="15.75" customHeight="1">
      <c r="C343" s="370"/>
      <c r="D343" s="370"/>
      <c r="E343" s="371"/>
      <c r="F343" s="371"/>
      <c r="G343" s="371"/>
      <c r="H343" s="370"/>
    </row>
    <row r="344" ht="15.75" customHeight="1">
      <c r="C344" s="370"/>
      <c r="D344" s="370"/>
      <c r="E344" s="371"/>
      <c r="F344" s="371"/>
      <c r="G344" s="371"/>
      <c r="H344" s="370"/>
    </row>
    <row r="345" ht="15.75" customHeight="1">
      <c r="C345" s="370"/>
      <c r="D345" s="370"/>
      <c r="E345" s="371"/>
      <c r="F345" s="371"/>
      <c r="G345" s="371"/>
      <c r="H345" s="370"/>
    </row>
    <row r="346" ht="15.75" customHeight="1">
      <c r="C346" s="370"/>
      <c r="D346" s="370"/>
      <c r="E346" s="371"/>
      <c r="F346" s="371"/>
      <c r="G346" s="371"/>
      <c r="H346" s="370"/>
    </row>
    <row r="347" ht="15.75" customHeight="1">
      <c r="C347" s="370"/>
      <c r="D347" s="370"/>
      <c r="E347" s="371"/>
      <c r="F347" s="371"/>
      <c r="G347" s="371"/>
      <c r="H347" s="370"/>
    </row>
    <row r="348" ht="15.75" customHeight="1">
      <c r="C348" s="370"/>
      <c r="D348" s="370"/>
      <c r="E348" s="371"/>
      <c r="F348" s="371"/>
      <c r="G348" s="371"/>
      <c r="H348" s="370"/>
    </row>
    <row r="349" ht="15.75" customHeight="1">
      <c r="C349" s="370"/>
      <c r="D349" s="370"/>
      <c r="E349" s="371"/>
      <c r="F349" s="371"/>
      <c r="G349" s="371"/>
      <c r="H349" s="370"/>
    </row>
    <row r="350" ht="15.75" customHeight="1">
      <c r="C350" s="370"/>
      <c r="D350" s="370"/>
      <c r="E350" s="371"/>
      <c r="F350" s="371"/>
      <c r="G350" s="371"/>
      <c r="H350" s="370"/>
    </row>
    <row r="351" ht="15.75" customHeight="1">
      <c r="C351" s="370"/>
      <c r="D351" s="370"/>
      <c r="E351" s="371"/>
      <c r="F351" s="371"/>
      <c r="G351" s="371"/>
      <c r="H351" s="370"/>
    </row>
    <row r="352" ht="15.75" customHeight="1">
      <c r="C352" s="370"/>
      <c r="D352" s="370"/>
      <c r="E352" s="371"/>
      <c r="F352" s="371"/>
      <c r="G352" s="371"/>
      <c r="H352" s="370"/>
    </row>
    <row r="353" ht="15.75" customHeight="1">
      <c r="C353" s="370"/>
      <c r="D353" s="370"/>
      <c r="E353" s="371"/>
      <c r="F353" s="371"/>
      <c r="G353" s="371"/>
      <c r="H353" s="370"/>
    </row>
    <row r="354" ht="15.75" customHeight="1">
      <c r="C354" s="370"/>
      <c r="D354" s="370"/>
      <c r="E354" s="371"/>
      <c r="F354" s="371"/>
      <c r="G354" s="371"/>
      <c r="H354" s="370"/>
    </row>
    <row r="355" ht="15.75" customHeight="1">
      <c r="C355" s="370"/>
      <c r="D355" s="370"/>
      <c r="E355" s="371"/>
      <c r="F355" s="371"/>
      <c r="G355" s="371"/>
      <c r="H355" s="370"/>
    </row>
    <row r="356" ht="15.75" customHeight="1">
      <c r="C356" s="370"/>
      <c r="D356" s="370"/>
      <c r="E356" s="371"/>
      <c r="F356" s="371"/>
      <c r="G356" s="371"/>
      <c r="H356" s="370"/>
    </row>
    <row r="357" ht="15.75" customHeight="1">
      <c r="C357" s="370"/>
      <c r="D357" s="370"/>
      <c r="E357" s="371"/>
      <c r="F357" s="371"/>
      <c r="G357" s="371"/>
      <c r="H357" s="370"/>
    </row>
    <row r="358" ht="15.75" customHeight="1">
      <c r="C358" s="370"/>
      <c r="D358" s="370"/>
      <c r="E358" s="371"/>
      <c r="F358" s="371"/>
      <c r="G358" s="371"/>
      <c r="H358" s="370"/>
    </row>
    <row r="359" ht="15.75" customHeight="1">
      <c r="C359" s="370"/>
      <c r="D359" s="370"/>
      <c r="E359" s="371"/>
      <c r="F359" s="371"/>
      <c r="G359" s="371"/>
      <c r="H359" s="370"/>
    </row>
    <row r="360" ht="15.75" customHeight="1">
      <c r="C360" s="370"/>
      <c r="D360" s="370"/>
      <c r="E360" s="371"/>
      <c r="F360" s="371"/>
      <c r="G360" s="371"/>
      <c r="H360" s="370"/>
    </row>
    <row r="361" ht="15.75" customHeight="1">
      <c r="C361" s="370"/>
      <c r="D361" s="370"/>
      <c r="E361" s="371"/>
      <c r="F361" s="371"/>
      <c r="G361" s="371"/>
      <c r="H361" s="370"/>
    </row>
    <row r="362" ht="15.75" customHeight="1">
      <c r="C362" s="370"/>
      <c r="D362" s="370"/>
      <c r="E362" s="371"/>
      <c r="F362" s="371"/>
      <c r="G362" s="371"/>
      <c r="H362" s="370"/>
    </row>
    <row r="363" ht="15.75" customHeight="1">
      <c r="C363" s="370"/>
      <c r="D363" s="370"/>
      <c r="E363" s="371"/>
      <c r="F363" s="371"/>
      <c r="G363" s="371"/>
      <c r="H363" s="370"/>
    </row>
    <row r="364" ht="15.75" customHeight="1">
      <c r="C364" s="370"/>
      <c r="D364" s="370"/>
      <c r="E364" s="371"/>
      <c r="F364" s="371"/>
      <c r="G364" s="371"/>
      <c r="H364" s="370"/>
    </row>
    <row r="365" ht="15.75" customHeight="1">
      <c r="C365" s="370"/>
      <c r="D365" s="370"/>
      <c r="E365" s="371"/>
      <c r="F365" s="371"/>
      <c r="G365" s="371"/>
      <c r="H365" s="370"/>
    </row>
    <row r="366" ht="15.75" customHeight="1">
      <c r="C366" s="370"/>
      <c r="D366" s="370"/>
      <c r="E366" s="371"/>
      <c r="F366" s="371"/>
      <c r="G366" s="371"/>
      <c r="H366" s="370"/>
    </row>
    <row r="367" ht="15.75" customHeight="1">
      <c r="C367" s="370"/>
      <c r="D367" s="370"/>
      <c r="E367" s="371"/>
      <c r="F367" s="371"/>
      <c r="G367" s="371"/>
      <c r="H367" s="370"/>
    </row>
    <row r="368" ht="15.75" customHeight="1">
      <c r="C368" s="370"/>
      <c r="D368" s="370"/>
      <c r="E368" s="371"/>
      <c r="F368" s="371"/>
      <c r="G368" s="371"/>
      <c r="H368" s="370"/>
    </row>
    <row r="369" ht="15.75" customHeight="1">
      <c r="C369" s="370"/>
      <c r="D369" s="370"/>
      <c r="E369" s="371"/>
      <c r="F369" s="371"/>
      <c r="G369" s="371"/>
      <c r="H369" s="370"/>
    </row>
    <row r="370" ht="15.75" customHeight="1">
      <c r="C370" s="370"/>
      <c r="D370" s="370"/>
      <c r="E370" s="371"/>
      <c r="F370" s="371"/>
      <c r="G370" s="371"/>
      <c r="H370" s="370"/>
    </row>
    <row r="371" ht="15.75" customHeight="1">
      <c r="C371" s="370"/>
      <c r="D371" s="370"/>
      <c r="E371" s="371"/>
      <c r="F371" s="371"/>
      <c r="G371" s="371"/>
      <c r="H371" s="370"/>
    </row>
    <row r="372" ht="15.75" customHeight="1">
      <c r="C372" s="370"/>
      <c r="D372" s="370"/>
      <c r="E372" s="371"/>
      <c r="F372" s="371"/>
      <c r="G372" s="371"/>
      <c r="H372" s="370"/>
    </row>
    <row r="373" ht="15.75" customHeight="1">
      <c r="C373" s="370"/>
      <c r="D373" s="370"/>
      <c r="E373" s="371"/>
      <c r="F373" s="371"/>
      <c r="G373" s="371"/>
      <c r="H373" s="370"/>
    </row>
    <row r="374" ht="15.75" customHeight="1">
      <c r="C374" s="370"/>
      <c r="D374" s="370"/>
      <c r="E374" s="371"/>
      <c r="F374" s="371"/>
      <c r="G374" s="371"/>
      <c r="H374" s="370"/>
    </row>
    <row r="375" ht="15.75" customHeight="1">
      <c r="C375" s="370"/>
      <c r="D375" s="370"/>
      <c r="E375" s="371"/>
      <c r="F375" s="371"/>
      <c r="G375" s="371"/>
      <c r="H375" s="370"/>
    </row>
    <row r="376" ht="15.75" customHeight="1">
      <c r="C376" s="370"/>
      <c r="D376" s="370"/>
      <c r="E376" s="371"/>
      <c r="F376" s="371"/>
      <c r="G376" s="371"/>
      <c r="H376" s="370"/>
    </row>
    <row r="377" ht="15.75" customHeight="1">
      <c r="C377" s="370"/>
      <c r="D377" s="370"/>
      <c r="E377" s="371"/>
      <c r="F377" s="371"/>
      <c r="G377" s="371"/>
      <c r="H377" s="370"/>
    </row>
    <row r="378" ht="15.75" customHeight="1">
      <c r="C378" s="370"/>
      <c r="D378" s="370"/>
      <c r="E378" s="371"/>
      <c r="F378" s="371"/>
      <c r="G378" s="371"/>
      <c r="H378" s="370"/>
    </row>
    <row r="379" ht="15.75" customHeight="1">
      <c r="C379" s="370"/>
      <c r="D379" s="370"/>
      <c r="E379" s="371"/>
      <c r="F379" s="371"/>
      <c r="G379" s="371"/>
      <c r="H379" s="370"/>
    </row>
    <row r="380" ht="15.75" customHeight="1">
      <c r="C380" s="370"/>
      <c r="D380" s="370"/>
      <c r="E380" s="371"/>
      <c r="F380" s="371"/>
      <c r="G380" s="371"/>
      <c r="H380" s="370"/>
    </row>
    <row r="381" ht="15.75" customHeight="1">
      <c r="C381" s="370"/>
      <c r="D381" s="370"/>
      <c r="E381" s="371"/>
      <c r="F381" s="371"/>
      <c r="G381" s="371"/>
      <c r="H381" s="370"/>
    </row>
    <row r="382" ht="15.75" customHeight="1">
      <c r="C382" s="370"/>
      <c r="D382" s="370"/>
      <c r="E382" s="371"/>
      <c r="F382" s="371"/>
      <c r="G382" s="371"/>
      <c r="H382" s="370"/>
    </row>
    <row r="383" ht="15.75" customHeight="1">
      <c r="C383" s="370"/>
      <c r="D383" s="370"/>
      <c r="E383" s="371"/>
      <c r="F383" s="371"/>
      <c r="G383" s="371"/>
      <c r="H383" s="370"/>
    </row>
    <row r="384" ht="15.75" customHeight="1">
      <c r="C384" s="370"/>
      <c r="D384" s="370"/>
      <c r="E384" s="371"/>
      <c r="F384" s="371"/>
      <c r="G384" s="371"/>
      <c r="H384" s="370"/>
    </row>
    <row r="385" ht="15.75" customHeight="1">
      <c r="C385" s="370"/>
      <c r="D385" s="370"/>
      <c r="E385" s="371"/>
      <c r="F385" s="371"/>
      <c r="G385" s="371"/>
      <c r="H385" s="370"/>
    </row>
    <row r="386" ht="15.75" customHeight="1">
      <c r="C386" s="370"/>
      <c r="D386" s="370"/>
      <c r="E386" s="371"/>
      <c r="F386" s="371"/>
      <c r="G386" s="371"/>
      <c r="H386" s="370"/>
    </row>
    <row r="387" ht="15.75" customHeight="1">
      <c r="C387" s="370"/>
      <c r="D387" s="370"/>
      <c r="E387" s="371"/>
      <c r="F387" s="371"/>
      <c r="G387" s="371"/>
      <c r="H387" s="370"/>
    </row>
    <row r="388" ht="15.75" customHeight="1">
      <c r="C388" s="370"/>
      <c r="D388" s="370"/>
      <c r="E388" s="371"/>
      <c r="F388" s="371"/>
      <c r="G388" s="371"/>
      <c r="H388" s="370"/>
    </row>
    <row r="389" ht="15.75" customHeight="1">
      <c r="C389" s="370"/>
      <c r="D389" s="370"/>
      <c r="E389" s="371"/>
      <c r="F389" s="371"/>
      <c r="G389" s="371"/>
      <c r="H389" s="370"/>
    </row>
    <row r="390" ht="15.75" customHeight="1">
      <c r="C390" s="370"/>
      <c r="D390" s="370"/>
      <c r="E390" s="371"/>
      <c r="F390" s="371"/>
      <c r="G390" s="371"/>
      <c r="H390" s="370"/>
    </row>
    <row r="391" ht="15.75" customHeight="1">
      <c r="C391" s="370"/>
      <c r="D391" s="370"/>
      <c r="E391" s="371"/>
      <c r="F391" s="371"/>
      <c r="G391" s="371"/>
      <c r="H391" s="370"/>
    </row>
    <row r="392" ht="15.75" customHeight="1">
      <c r="C392" s="370"/>
      <c r="D392" s="370"/>
      <c r="E392" s="371"/>
      <c r="F392" s="371"/>
      <c r="G392" s="371"/>
      <c r="H392" s="370"/>
    </row>
    <row r="393" ht="15.75" customHeight="1">
      <c r="C393" s="370"/>
      <c r="D393" s="370"/>
      <c r="E393" s="371"/>
      <c r="F393" s="371"/>
      <c r="G393" s="371"/>
      <c r="H393" s="370"/>
    </row>
    <row r="394" ht="15.75" customHeight="1">
      <c r="C394" s="370"/>
      <c r="D394" s="370"/>
      <c r="E394" s="371"/>
      <c r="F394" s="371"/>
      <c r="G394" s="371"/>
      <c r="H394" s="370"/>
    </row>
    <row r="395" ht="15.75" customHeight="1">
      <c r="C395" s="370"/>
      <c r="D395" s="370"/>
      <c r="E395" s="371"/>
      <c r="F395" s="371"/>
      <c r="G395" s="371"/>
      <c r="H395" s="370"/>
    </row>
    <row r="396" ht="15.75" customHeight="1">
      <c r="C396" s="370"/>
      <c r="D396" s="370"/>
      <c r="E396" s="371"/>
      <c r="F396" s="371"/>
      <c r="G396" s="371"/>
      <c r="H396" s="370"/>
    </row>
    <row r="397" ht="15.75" customHeight="1">
      <c r="C397" s="370"/>
      <c r="D397" s="370"/>
      <c r="E397" s="371"/>
      <c r="F397" s="371"/>
      <c r="G397" s="371"/>
      <c r="H397" s="370"/>
    </row>
    <row r="398" ht="15.75" customHeight="1">
      <c r="C398" s="370"/>
      <c r="D398" s="370"/>
      <c r="E398" s="371"/>
      <c r="F398" s="371"/>
      <c r="G398" s="371"/>
      <c r="H398" s="370"/>
    </row>
    <row r="399" ht="15.75" customHeight="1">
      <c r="C399" s="370"/>
      <c r="D399" s="370"/>
      <c r="E399" s="371"/>
      <c r="F399" s="371"/>
      <c r="G399" s="371"/>
      <c r="H399" s="370"/>
    </row>
    <row r="400" ht="15.75" customHeight="1">
      <c r="C400" s="370"/>
      <c r="D400" s="370"/>
      <c r="E400" s="371"/>
      <c r="F400" s="371"/>
      <c r="G400" s="371"/>
      <c r="H400" s="370"/>
    </row>
    <row r="401" ht="15.75" customHeight="1">
      <c r="C401" s="370"/>
      <c r="D401" s="370"/>
      <c r="E401" s="371"/>
      <c r="F401" s="371"/>
      <c r="G401" s="371"/>
      <c r="H401" s="370"/>
    </row>
    <row r="402" ht="15.75" customHeight="1">
      <c r="C402" s="370"/>
      <c r="D402" s="370"/>
      <c r="E402" s="371"/>
      <c r="F402" s="371"/>
      <c r="G402" s="371"/>
      <c r="H402" s="370"/>
    </row>
    <row r="403" ht="15.75" customHeight="1">
      <c r="C403" s="370"/>
      <c r="D403" s="370"/>
      <c r="E403" s="371"/>
      <c r="F403" s="371"/>
      <c r="G403" s="371"/>
      <c r="H403" s="370"/>
    </row>
    <row r="404" ht="15.75" customHeight="1">
      <c r="C404" s="370"/>
      <c r="D404" s="370"/>
      <c r="E404" s="371"/>
      <c r="F404" s="371"/>
      <c r="G404" s="371"/>
      <c r="H404" s="370"/>
    </row>
    <row r="405" ht="15.75" customHeight="1">
      <c r="C405" s="370"/>
      <c r="D405" s="370"/>
      <c r="E405" s="371"/>
      <c r="F405" s="371"/>
      <c r="G405" s="371"/>
      <c r="H405" s="370"/>
    </row>
    <row r="406" ht="15.75" customHeight="1">
      <c r="C406" s="370"/>
      <c r="D406" s="370"/>
      <c r="E406" s="371"/>
      <c r="F406" s="371"/>
      <c r="G406" s="371"/>
      <c r="H406" s="370"/>
    </row>
    <row r="407" ht="15.75" customHeight="1">
      <c r="C407" s="370"/>
      <c r="D407" s="370"/>
      <c r="E407" s="371"/>
      <c r="F407" s="371"/>
      <c r="G407" s="371"/>
      <c r="H407" s="370"/>
    </row>
    <row r="408" ht="15.75" customHeight="1">
      <c r="C408" s="370"/>
      <c r="D408" s="370"/>
      <c r="E408" s="371"/>
      <c r="F408" s="371"/>
      <c r="G408" s="371"/>
      <c r="H408" s="370"/>
    </row>
    <row r="409" ht="15.75" customHeight="1">
      <c r="C409" s="370"/>
      <c r="D409" s="370"/>
      <c r="E409" s="371"/>
      <c r="F409" s="371"/>
      <c r="G409" s="371"/>
      <c r="H409" s="370"/>
    </row>
    <row r="410" ht="15.75" customHeight="1">
      <c r="C410" s="370"/>
      <c r="D410" s="370"/>
      <c r="E410" s="371"/>
      <c r="F410" s="371"/>
      <c r="G410" s="371"/>
      <c r="H410" s="370"/>
    </row>
    <row r="411" ht="15.75" customHeight="1">
      <c r="C411" s="370"/>
      <c r="D411" s="370"/>
      <c r="E411" s="371"/>
      <c r="F411" s="371"/>
      <c r="G411" s="371"/>
      <c r="H411" s="370"/>
    </row>
    <row r="412" ht="15.75" customHeight="1">
      <c r="C412" s="370"/>
      <c r="D412" s="370"/>
      <c r="E412" s="371"/>
      <c r="F412" s="371"/>
      <c r="G412" s="371"/>
      <c r="H412" s="370"/>
    </row>
    <row r="413" ht="15.75" customHeight="1">
      <c r="C413" s="370"/>
      <c r="D413" s="370"/>
      <c r="E413" s="371"/>
      <c r="F413" s="371"/>
      <c r="G413" s="371"/>
      <c r="H413" s="370"/>
    </row>
    <row r="414" ht="15.75" customHeight="1">
      <c r="C414" s="370"/>
      <c r="D414" s="370"/>
      <c r="E414" s="371"/>
      <c r="F414" s="371"/>
      <c r="G414" s="371"/>
      <c r="H414" s="370"/>
    </row>
    <row r="415" ht="15.75" customHeight="1">
      <c r="C415" s="370"/>
      <c r="D415" s="370"/>
      <c r="E415" s="371"/>
      <c r="F415" s="371"/>
      <c r="G415" s="371"/>
      <c r="H415" s="370"/>
    </row>
    <row r="416" ht="15.75" customHeight="1">
      <c r="C416" s="370"/>
      <c r="D416" s="370"/>
      <c r="E416" s="371"/>
      <c r="F416" s="371"/>
      <c r="G416" s="371"/>
      <c r="H416" s="370"/>
    </row>
    <row r="417" ht="15.75" customHeight="1">
      <c r="C417" s="370"/>
      <c r="D417" s="370"/>
      <c r="E417" s="371"/>
      <c r="F417" s="371"/>
      <c r="G417" s="371"/>
      <c r="H417" s="370"/>
    </row>
    <row r="418" ht="15.75" customHeight="1">
      <c r="C418" s="370"/>
      <c r="D418" s="370"/>
      <c r="E418" s="371"/>
      <c r="F418" s="371"/>
      <c r="G418" s="371"/>
      <c r="H418" s="370"/>
    </row>
    <row r="419" ht="15.75" customHeight="1">
      <c r="C419" s="370"/>
      <c r="D419" s="370"/>
      <c r="E419" s="371"/>
      <c r="F419" s="371"/>
      <c r="G419" s="371"/>
      <c r="H419" s="370"/>
    </row>
    <row r="420" ht="15.75" customHeight="1">
      <c r="C420" s="370"/>
      <c r="D420" s="370"/>
      <c r="E420" s="371"/>
      <c r="F420" s="371"/>
      <c r="G420" s="371"/>
      <c r="H420" s="370"/>
    </row>
    <row r="421" ht="15.75" customHeight="1">
      <c r="C421" s="370"/>
      <c r="D421" s="370"/>
      <c r="E421" s="371"/>
      <c r="F421" s="371"/>
      <c r="G421" s="371"/>
      <c r="H421" s="370"/>
    </row>
    <row r="422" ht="15.75" customHeight="1">
      <c r="C422" s="370"/>
      <c r="D422" s="370"/>
      <c r="E422" s="371"/>
      <c r="F422" s="371"/>
      <c r="G422" s="371"/>
      <c r="H422" s="370"/>
    </row>
    <row r="423" ht="15.75" customHeight="1">
      <c r="C423" s="370"/>
      <c r="D423" s="370"/>
      <c r="E423" s="371"/>
      <c r="F423" s="371"/>
      <c r="G423" s="371"/>
      <c r="H423" s="370"/>
    </row>
    <row r="424" ht="15.75" customHeight="1">
      <c r="C424" s="370"/>
      <c r="D424" s="370"/>
      <c r="E424" s="371"/>
      <c r="F424" s="371"/>
      <c r="G424" s="371"/>
      <c r="H424" s="370"/>
    </row>
    <row r="425" ht="15.75" customHeight="1">
      <c r="C425" s="370"/>
      <c r="D425" s="370"/>
      <c r="E425" s="371"/>
      <c r="F425" s="371"/>
      <c r="G425" s="371"/>
      <c r="H425" s="370"/>
    </row>
    <row r="426" ht="15.75" customHeight="1">
      <c r="C426" s="370"/>
      <c r="D426" s="370"/>
      <c r="E426" s="371"/>
      <c r="F426" s="371"/>
      <c r="G426" s="371"/>
      <c r="H426" s="370"/>
    </row>
    <row r="427" ht="15.75" customHeight="1">
      <c r="C427" s="370"/>
      <c r="D427" s="370"/>
      <c r="E427" s="371"/>
      <c r="F427" s="371"/>
      <c r="G427" s="371"/>
      <c r="H427" s="370"/>
    </row>
    <row r="428" ht="15.75" customHeight="1">
      <c r="C428" s="370"/>
      <c r="D428" s="370"/>
      <c r="E428" s="371"/>
      <c r="F428" s="371"/>
      <c r="G428" s="371"/>
      <c r="H428" s="370"/>
    </row>
    <row r="429" ht="15.75" customHeight="1">
      <c r="C429" s="370"/>
      <c r="D429" s="370"/>
      <c r="E429" s="371"/>
      <c r="F429" s="371"/>
      <c r="G429" s="371"/>
      <c r="H429" s="370"/>
    </row>
    <row r="430" ht="15.75" customHeight="1">
      <c r="C430" s="370"/>
      <c r="D430" s="370"/>
      <c r="E430" s="371"/>
      <c r="F430" s="371"/>
      <c r="G430" s="371"/>
      <c r="H430" s="370"/>
    </row>
    <row r="431" ht="15.75" customHeight="1">
      <c r="C431" s="370"/>
      <c r="D431" s="370"/>
      <c r="E431" s="371"/>
      <c r="F431" s="371"/>
      <c r="G431" s="371"/>
      <c r="H431" s="370"/>
    </row>
    <row r="432" ht="15.75" customHeight="1">
      <c r="C432" s="370"/>
      <c r="D432" s="370"/>
      <c r="E432" s="371"/>
      <c r="F432" s="371"/>
      <c r="G432" s="371"/>
      <c r="H432" s="370"/>
    </row>
    <row r="433" ht="15.75" customHeight="1">
      <c r="C433" s="370"/>
      <c r="D433" s="370"/>
      <c r="E433" s="371"/>
      <c r="F433" s="371"/>
      <c r="G433" s="371"/>
      <c r="H433" s="370"/>
    </row>
    <row r="434" ht="15.75" customHeight="1">
      <c r="C434" s="370"/>
      <c r="D434" s="370"/>
      <c r="E434" s="371"/>
      <c r="F434" s="371"/>
      <c r="G434" s="371"/>
      <c r="H434" s="370"/>
    </row>
    <row r="435" ht="15.75" customHeight="1">
      <c r="C435" s="370"/>
      <c r="D435" s="370"/>
      <c r="E435" s="371"/>
      <c r="F435" s="371"/>
      <c r="G435" s="371"/>
      <c r="H435" s="370"/>
    </row>
    <row r="436" ht="15.75" customHeight="1">
      <c r="C436" s="370"/>
      <c r="D436" s="370"/>
      <c r="E436" s="371"/>
      <c r="F436" s="371"/>
      <c r="G436" s="371"/>
      <c r="H436" s="370"/>
    </row>
    <row r="437" ht="15.75" customHeight="1">
      <c r="C437" s="370"/>
      <c r="D437" s="370"/>
      <c r="E437" s="371"/>
      <c r="F437" s="371"/>
      <c r="G437" s="371"/>
      <c r="H437" s="370"/>
    </row>
    <row r="438" ht="15.75" customHeight="1">
      <c r="C438" s="370"/>
      <c r="D438" s="370"/>
      <c r="E438" s="371"/>
      <c r="F438" s="371"/>
      <c r="G438" s="371"/>
      <c r="H438" s="370"/>
    </row>
    <row r="439" ht="15.75" customHeight="1">
      <c r="C439" s="370"/>
      <c r="D439" s="370"/>
      <c r="E439" s="371"/>
      <c r="F439" s="371"/>
      <c r="G439" s="371"/>
      <c r="H439" s="370"/>
    </row>
    <row r="440" ht="15.75" customHeight="1">
      <c r="C440" s="370"/>
      <c r="D440" s="370"/>
      <c r="E440" s="371"/>
      <c r="F440" s="371"/>
      <c r="G440" s="371"/>
      <c r="H440" s="370"/>
    </row>
    <row r="441" ht="15.75" customHeight="1">
      <c r="C441" s="370"/>
      <c r="D441" s="370"/>
      <c r="E441" s="371"/>
      <c r="F441" s="371"/>
      <c r="G441" s="371"/>
      <c r="H441" s="370"/>
    </row>
    <row r="442" ht="15.75" customHeight="1">
      <c r="C442" s="370"/>
      <c r="D442" s="370"/>
      <c r="E442" s="371"/>
      <c r="F442" s="371"/>
      <c r="G442" s="371"/>
      <c r="H442" s="370"/>
    </row>
    <row r="443" ht="15.75" customHeight="1">
      <c r="C443" s="370"/>
      <c r="D443" s="370"/>
      <c r="E443" s="371"/>
      <c r="F443" s="371"/>
      <c r="G443" s="371"/>
      <c r="H443" s="370"/>
    </row>
    <row r="444" ht="15.75" customHeight="1">
      <c r="C444" s="370"/>
      <c r="D444" s="370"/>
      <c r="E444" s="371"/>
      <c r="F444" s="371"/>
      <c r="G444" s="371"/>
      <c r="H444" s="370"/>
    </row>
    <row r="445" ht="15.75" customHeight="1">
      <c r="C445" s="370"/>
      <c r="D445" s="370"/>
      <c r="E445" s="371"/>
      <c r="F445" s="371"/>
      <c r="G445" s="371"/>
      <c r="H445" s="370"/>
    </row>
    <row r="446" ht="15.75" customHeight="1">
      <c r="C446" s="370"/>
      <c r="D446" s="370"/>
      <c r="E446" s="371"/>
      <c r="F446" s="371"/>
      <c r="G446" s="371"/>
      <c r="H446" s="370"/>
    </row>
    <row r="447" ht="15.75" customHeight="1">
      <c r="C447" s="370"/>
      <c r="D447" s="370"/>
      <c r="E447" s="371"/>
      <c r="F447" s="371"/>
      <c r="G447" s="371"/>
      <c r="H447" s="370"/>
    </row>
    <row r="448" ht="15.75" customHeight="1">
      <c r="C448" s="370"/>
      <c r="D448" s="370"/>
      <c r="E448" s="371"/>
      <c r="F448" s="371"/>
      <c r="G448" s="371"/>
      <c r="H448" s="370"/>
    </row>
    <row r="449" ht="15.75" customHeight="1">
      <c r="C449" s="370"/>
      <c r="D449" s="370"/>
      <c r="E449" s="371"/>
      <c r="F449" s="371"/>
      <c r="G449" s="371"/>
      <c r="H449" s="370"/>
    </row>
    <row r="450" ht="15.75" customHeight="1">
      <c r="C450" s="370"/>
      <c r="D450" s="370"/>
      <c r="E450" s="371"/>
      <c r="F450" s="371"/>
      <c r="G450" s="371"/>
      <c r="H450" s="370"/>
    </row>
    <row r="451" ht="15.75" customHeight="1">
      <c r="C451" s="370"/>
      <c r="D451" s="370"/>
      <c r="E451" s="371"/>
      <c r="F451" s="371"/>
      <c r="G451" s="371"/>
      <c r="H451" s="370"/>
    </row>
    <row r="452" ht="15.75" customHeight="1">
      <c r="C452" s="370"/>
      <c r="D452" s="370"/>
      <c r="E452" s="371"/>
      <c r="F452" s="371"/>
      <c r="G452" s="371"/>
      <c r="H452" s="370"/>
    </row>
    <row r="453" ht="15.75" customHeight="1">
      <c r="C453" s="370"/>
      <c r="D453" s="370"/>
      <c r="E453" s="371"/>
      <c r="F453" s="371"/>
      <c r="G453" s="371"/>
      <c r="H453" s="370"/>
    </row>
    <row r="454" ht="15.75" customHeight="1">
      <c r="C454" s="370"/>
      <c r="D454" s="370"/>
      <c r="E454" s="371"/>
      <c r="F454" s="371"/>
      <c r="G454" s="371"/>
      <c r="H454" s="370"/>
    </row>
    <row r="455" ht="15.75" customHeight="1">
      <c r="C455" s="370"/>
      <c r="D455" s="370"/>
      <c r="E455" s="371"/>
      <c r="F455" s="371"/>
      <c r="G455" s="371"/>
      <c r="H455" s="370"/>
    </row>
    <row r="456" ht="15.75" customHeight="1">
      <c r="C456" s="370"/>
      <c r="D456" s="370"/>
      <c r="E456" s="371"/>
      <c r="F456" s="371"/>
      <c r="G456" s="371"/>
      <c r="H456" s="370"/>
    </row>
    <row r="457" ht="15.75" customHeight="1">
      <c r="C457" s="370"/>
      <c r="D457" s="370"/>
      <c r="E457" s="371"/>
      <c r="F457" s="371"/>
      <c r="G457" s="371"/>
      <c r="H457" s="370"/>
    </row>
    <row r="458" ht="15.75" customHeight="1">
      <c r="C458" s="370"/>
      <c r="D458" s="370"/>
      <c r="E458" s="371"/>
      <c r="F458" s="371"/>
      <c r="G458" s="371"/>
      <c r="H458" s="370"/>
    </row>
    <row r="459" ht="15.75" customHeight="1">
      <c r="C459" s="370"/>
      <c r="D459" s="370"/>
      <c r="E459" s="371"/>
      <c r="F459" s="371"/>
      <c r="G459" s="371"/>
      <c r="H459" s="370"/>
    </row>
    <row r="460" ht="15.75" customHeight="1">
      <c r="C460" s="370"/>
      <c r="D460" s="370"/>
      <c r="E460" s="371"/>
      <c r="F460" s="371"/>
      <c r="G460" s="371"/>
      <c r="H460" s="370"/>
    </row>
    <row r="461" ht="15.75" customHeight="1">
      <c r="C461" s="370"/>
      <c r="D461" s="370"/>
      <c r="E461" s="371"/>
      <c r="F461" s="371"/>
      <c r="G461" s="371"/>
      <c r="H461" s="370"/>
    </row>
    <row r="462" ht="15.75" customHeight="1">
      <c r="C462" s="370"/>
      <c r="D462" s="370"/>
      <c r="E462" s="371"/>
      <c r="F462" s="371"/>
      <c r="G462" s="371"/>
      <c r="H462" s="370"/>
    </row>
    <row r="463" ht="15.75" customHeight="1">
      <c r="C463" s="370"/>
      <c r="D463" s="370"/>
      <c r="E463" s="371"/>
      <c r="F463" s="371"/>
      <c r="G463" s="371"/>
      <c r="H463" s="370"/>
    </row>
    <row r="464" ht="15.75" customHeight="1">
      <c r="C464" s="370"/>
      <c r="D464" s="370"/>
      <c r="E464" s="371"/>
      <c r="F464" s="371"/>
      <c r="G464" s="371"/>
      <c r="H464" s="370"/>
    </row>
    <row r="465" ht="15.75" customHeight="1">
      <c r="C465" s="370"/>
      <c r="D465" s="370"/>
      <c r="E465" s="371"/>
      <c r="F465" s="371"/>
      <c r="G465" s="371"/>
      <c r="H465" s="370"/>
    </row>
    <row r="466" ht="15.75" customHeight="1">
      <c r="C466" s="370"/>
      <c r="D466" s="370"/>
      <c r="E466" s="371"/>
      <c r="F466" s="371"/>
      <c r="G466" s="371"/>
      <c r="H466" s="370"/>
    </row>
    <row r="467" ht="15.75" customHeight="1">
      <c r="C467" s="370"/>
      <c r="D467" s="370"/>
      <c r="E467" s="371"/>
      <c r="F467" s="371"/>
      <c r="G467" s="371"/>
      <c r="H467" s="370"/>
    </row>
    <row r="468" ht="15.75" customHeight="1">
      <c r="C468" s="370"/>
      <c r="D468" s="370"/>
      <c r="E468" s="371"/>
      <c r="F468" s="371"/>
      <c r="G468" s="371"/>
      <c r="H468" s="370"/>
    </row>
    <row r="469" ht="15.75" customHeight="1">
      <c r="C469" s="370"/>
      <c r="D469" s="370"/>
      <c r="E469" s="371"/>
      <c r="F469" s="371"/>
      <c r="G469" s="371"/>
      <c r="H469" s="370"/>
    </row>
    <row r="470" ht="15.75" customHeight="1">
      <c r="C470" s="370"/>
      <c r="D470" s="370"/>
      <c r="E470" s="371"/>
      <c r="F470" s="371"/>
      <c r="G470" s="371"/>
      <c r="H470" s="370"/>
    </row>
    <row r="471" ht="15.75" customHeight="1">
      <c r="C471" s="370"/>
      <c r="D471" s="370"/>
      <c r="E471" s="371"/>
      <c r="F471" s="371"/>
      <c r="G471" s="371"/>
      <c r="H471" s="370"/>
    </row>
    <row r="472" ht="15.75" customHeight="1">
      <c r="C472" s="370"/>
      <c r="D472" s="370"/>
      <c r="E472" s="371"/>
      <c r="F472" s="371"/>
      <c r="G472" s="371"/>
      <c r="H472" s="370"/>
    </row>
    <row r="473" ht="15.75" customHeight="1">
      <c r="C473" s="370"/>
      <c r="D473" s="370"/>
      <c r="E473" s="371"/>
      <c r="F473" s="371"/>
      <c r="G473" s="371"/>
      <c r="H473" s="370"/>
    </row>
    <row r="474" ht="15.75" customHeight="1">
      <c r="C474" s="370"/>
      <c r="D474" s="370"/>
      <c r="E474" s="371"/>
      <c r="F474" s="371"/>
      <c r="G474" s="371"/>
      <c r="H474" s="370"/>
    </row>
    <row r="475" ht="15.75" customHeight="1">
      <c r="C475" s="370"/>
      <c r="D475" s="370"/>
      <c r="E475" s="371"/>
      <c r="F475" s="371"/>
      <c r="G475" s="371"/>
      <c r="H475" s="370"/>
    </row>
    <row r="476" ht="15.75" customHeight="1">
      <c r="C476" s="370"/>
      <c r="D476" s="370"/>
      <c r="E476" s="371"/>
      <c r="F476" s="371"/>
      <c r="G476" s="371"/>
      <c r="H476" s="370"/>
    </row>
    <row r="477" ht="15.75" customHeight="1">
      <c r="C477" s="370"/>
      <c r="D477" s="370"/>
      <c r="E477" s="371"/>
      <c r="F477" s="371"/>
      <c r="G477" s="371"/>
      <c r="H477" s="370"/>
    </row>
    <row r="478" ht="15.75" customHeight="1">
      <c r="C478" s="370"/>
      <c r="D478" s="370"/>
      <c r="E478" s="371"/>
      <c r="F478" s="371"/>
      <c r="G478" s="371"/>
      <c r="H478" s="370"/>
    </row>
    <row r="479" ht="15.75" customHeight="1">
      <c r="C479" s="370"/>
      <c r="D479" s="370"/>
      <c r="E479" s="371"/>
      <c r="F479" s="371"/>
      <c r="G479" s="371"/>
      <c r="H479" s="370"/>
    </row>
    <row r="480" ht="15.75" customHeight="1">
      <c r="C480" s="370"/>
      <c r="D480" s="370"/>
      <c r="E480" s="371"/>
      <c r="F480" s="371"/>
      <c r="G480" s="371"/>
      <c r="H480" s="370"/>
    </row>
    <row r="481" ht="15.75" customHeight="1">
      <c r="C481" s="370"/>
      <c r="D481" s="370"/>
      <c r="E481" s="371"/>
      <c r="F481" s="371"/>
      <c r="G481" s="371"/>
      <c r="H481" s="370"/>
    </row>
    <row r="482" ht="15.75" customHeight="1">
      <c r="C482" s="370"/>
      <c r="D482" s="370"/>
      <c r="E482" s="371"/>
      <c r="F482" s="371"/>
      <c r="G482" s="371"/>
      <c r="H482" s="370"/>
    </row>
    <row r="483" ht="15.75" customHeight="1">
      <c r="C483" s="370"/>
      <c r="D483" s="370"/>
      <c r="E483" s="371"/>
      <c r="F483" s="371"/>
      <c r="G483" s="371"/>
      <c r="H483" s="370"/>
    </row>
    <row r="484" ht="15.75" customHeight="1">
      <c r="C484" s="370"/>
      <c r="D484" s="370"/>
      <c r="E484" s="371"/>
      <c r="F484" s="371"/>
      <c r="G484" s="371"/>
      <c r="H484" s="370"/>
    </row>
    <row r="485" ht="15.75" customHeight="1">
      <c r="C485" s="370"/>
      <c r="D485" s="370"/>
      <c r="E485" s="371"/>
      <c r="F485" s="371"/>
      <c r="G485" s="371"/>
      <c r="H485" s="370"/>
    </row>
    <row r="486" ht="15.75" customHeight="1">
      <c r="C486" s="370"/>
      <c r="D486" s="370"/>
      <c r="E486" s="371"/>
      <c r="F486" s="371"/>
      <c r="G486" s="371"/>
      <c r="H486" s="370"/>
    </row>
    <row r="487" ht="15.75" customHeight="1">
      <c r="C487" s="370"/>
      <c r="D487" s="370"/>
      <c r="E487" s="371"/>
      <c r="F487" s="371"/>
      <c r="G487" s="371"/>
      <c r="H487" s="370"/>
    </row>
    <row r="488" ht="15.75" customHeight="1">
      <c r="C488" s="370"/>
      <c r="D488" s="370"/>
      <c r="E488" s="371"/>
      <c r="F488" s="371"/>
      <c r="G488" s="371"/>
      <c r="H488" s="370"/>
    </row>
    <row r="489" ht="15.75" customHeight="1">
      <c r="C489" s="370"/>
      <c r="D489" s="370"/>
      <c r="E489" s="371"/>
      <c r="F489" s="371"/>
      <c r="G489" s="371"/>
      <c r="H489" s="370"/>
    </row>
    <row r="490" ht="15.75" customHeight="1">
      <c r="C490" s="370"/>
      <c r="D490" s="370"/>
      <c r="E490" s="371"/>
      <c r="F490" s="371"/>
      <c r="G490" s="371"/>
      <c r="H490" s="370"/>
    </row>
    <row r="491" ht="15.75" customHeight="1">
      <c r="C491" s="370"/>
      <c r="D491" s="370"/>
      <c r="E491" s="371"/>
      <c r="F491" s="371"/>
      <c r="G491" s="371"/>
      <c r="H491" s="370"/>
    </row>
    <row r="492" ht="15.75" customHeight="1">
      <c r="C492" s="370"/>
      <c r="D492" s="370"/>
      <c r="E492" s="371"/>
      <c r="F492" s="371"/>
      <c r="G492" s="371"/>
      <c r="H492" s="370"/>
    </row>
    <row r="493" ht="15.75" customHeight="1">
      <c r="C493" s="370"/>
      <c r="D493" s="370"/>
      <c r="E493" s="371"/>
      <c r="F493" s="371"/>
      <c r="G493" s="371"/>
      <c r="H493" s="370"/>
    </row>
    <row r="494" ht="15.75" customHeight="1">
      <c r="C494" s="370"/>
      <c r="D494" s="370"/>
      <c r="E494" s="371"/>
      <c r="F494" s="371"/>
      <c r="G494" s="371"/>
      <c r="H494" s="370"/>
    </row>
    <row r="495" ht="15.75" customHeight="1">
      <c r="C495" s="370"/>
      <c r="D495" s="370"/>
      <c r="E495" s="371"/>
      <c r="F495" s="371"/>
      <c r="G495" s="371"/>
      <c r="H495" s="370"/>
    </row>
    <row r="496" ht="15.75" customHeight="1">
      <c r="C496" s="370"/>
      <c r="D496" s="370"/>
      <c r="E496" s="371"/>
      <c r="F496" s="371"/>
      <c r="G496" s="371"/>
      <c r="H496" s="370"/>
    </row>
    <row r="497" ht="15.75" customHeight="1">
      <c r="C497" s="370"/>
      <c r="D497" s="370"/>
      <c r="E497" s="371"/>
      <c r="F497" s="371"/>
      <c r="G497" s="371"/>
      <c r="H497" s="370"/>
    </row>
    <row r="498" ht="15.75" customHeight="1">
      <c r="C498" s="370"/>
      <c r="D498" s="370"/>
      <c r="E498" s="371"/>
      <c r="F498" s="371"/>
      <c r="G498" s="371"/>
      <c r="H498" s="370"/>
    </row>
    <row r="499" ht="15.75" customHeight="1">
      <c r="C499" s="370"/>
      <c r="D499" s="370"/>
      <c r="E499" s="371"/>
      <c r="F499" s="371"/>
      <c r="G499" s="371"/>
      <c r="H499" s="370"/>
    </row>
    <row r="500" ht="15.75" customHeight="1">
      <c r="C500" s="370"/>
      <c r="D500" s="370"/>
      <c r="E500" s="371"/>
      <c r="F500" s="371"/>
      <c r="G500" s="371"/>
      <c r="H500" s="370"/>
    </row>
    <row r="501" ht="15.75" customHeight="1">
      <c r="C501" s="370"/>
      <c r="D501" s="370"/>
      <c r="E501" s="371"/>
      <c r="F501" s="371"/>
      <c r="G501" s="371"/>
      <c r="H501" s="370"/>
    </row>
    <row r="502" ht="15.75" customHeight="1">
      <c r="C502" s="370"/>
      <c r="D502" s="370"/>
      <c r="E502" s="371"/>
      <c r="F502" s="371"/>
      <c r="G502" s="371"/>
      <c r="H502" s="370"/>
    </row>
    <row r="503" ht="15.75" customHeight="1">
      <c r="C503" s="370"/>
      <c r="D503" s="370"/>
      <c r="E503" s="371"/>
      <c r="F503" s="371"/>
      <c r="G503" s="371"/>
      <c r="H503" s="370"/>
    </row>
    <row r="504" ht="15.75" customHeight="1">
      <c r="C504" s="370"/>
      <c r="D504" s="370"/>
      <c r="E504" s="371"/>
      <c r="F504" s="371"/>
      <c r="G504" s="371"/>
      <c r="H504" s="370"/>
    </row>
    <row r="505" ht="15.75" customHeight="1">
      <c r="C505" s="370"/>
      <c r="D505" s="370"/>
      <c r="E505" s="371"/>
      <c r="F505" s="371"/>
      <c r="G505" s="371"/>
      <c r="H505" s="370"/>
    </row>
    <row r="506" ht="15.75" customHeight="1">
      <c r="C506" s="370"/>
      <c r="D506" s="370"/>
      <c r="E506" s="371"/>
      <c r="F506" s="371"/>
      <c r="G506" s="371"/>
      <c r="H506" s="370"/>
    </row>
    <row r="507" ht="15.75" customHeight="1">
      <c r="C507" s="370"/>
      <c r="D507" s="370"/>
      <c r="E507" s="371"/>
      <c r="F507" s="371"/>
      <c r="G507" s="371"/>
      <c r="H507" s="370"/>
    </row>
    <row r="508" ht="15.75" customHeight="1">
      <c r="C508" s="370"/>
      <c r="D508" s="370"/>
      <c r="E508" s="371"/>
      <c r="F508" s="371"/>
      <c r="G508" s="371"/>
      <c r="H508" s="370"/>
    </row>
    <row r="509" ht="15.75" customHeight="1">
      <c r="C509" s="370"/>
      <c r="D509" s="370"/>
      <c r="E509" s="371"/>
      <c r="F509" s="371"/>
      <c r="G509" s="371"/>
      <c r="H509" s="370"/>
    </row>
    <row r="510" ht="15.75" customHeight="1">
      <c r="C510" s="370"/>
      <c r="D510" s="370"/>
      <c r="E510" s="371"/>
      <c r="F510" s="371"/>
      <c r="G510" s="371"/>
      <c r="H510" s="370"/>
    </row>
    <row r="511" ht="15.75" customHeight="1">
      <c r="C511" s="370"/>
      <c r="D511" s="370"/>
      <c r="E511" s="371"/>
      <c r="F511" s="371"/>
      <c r="G511" s="371"/>
      <c r="H511" s="370"/>
    </row>
    <row r="512" ht="15.75" customHeight="1">
      <c r="C512" s="370"/>
      <c r="D512" s="370"/>
      <c r="E512" s="371"/>
      <c r="F512" s="371"/>
      <c r="G512" s="371"/>
      <c r="H512" s="370"/>
    </row>
    <row r="513" ht="15.75" customHeight="1">
      <c r="C513" s="370"/>
      <c r="D513" s="370"/>
      <c r="E513" s="371"/>
      <c r="F513" s="371"/>
      <c r="G513" s="371"/>
      <c r="H513" s="370"/>
    </row>
    <row r="514" ht="15.75" customHeight="1">
      <c r="C514" s="370"/>
      <c r="D514" s="370"/>
      <c r="E514" s="371"/>
      <c r="F514" s="371"/>
      <c r="G514" s="371"/>
      <c r="H514" s="370"/>
    </row>
    <row r="515" ht="15.75" customHeight="1">
      <c r="C515" s="370"/>
      <c r="D515" s="370"/>
      <c r="E515" s="371"/>
      <c r="F515" s="371"/>
      <c r="G515" s="371"/>
      <c r="H515" s="370"/>
    </row>
    <row r="516" ht="15.75" customHeight="1">
      <c r="C516" s="370"/>
      <c r="D516" s="370"/>
      <c r="E516" s="371"/>
      <c r="F516" s="371"/>
      <c r="G516" s="371"/>
      <c r="H516" s="370"/>
    </row>
    <row r="517" ht="15.75" customHeight="1">
      <c r="C517" s="370"/>
      <c r="D517" s="370"/>
      <c r="E517" s="371"/>
      <c r="F517" s="371"/>
      <c r="G517" s="371"/>
      <c r="H517" s="370"/>
    </row>
    <row r="518" ht="15.75" customHeight="1">
      <c r="C518" s="370"/>
      <c r="D518" s="370"/>
      <c r="E518" s="371"/>
      <c r="F518" s="371"/>
      <c r="G518" s="371"/>
      <c r="H518" s="370"/>
    </row>
    <row r="519" ht="15.75" customHeight="1">
      <c r="C519" s="370"/>
      <c r="D519" s="370"/>
      <c r="E519" s="371"/>
      <c r="F519" s="371"/>
      <c r="G519" s="371"/>
      <c r="H519" s="370"/>
    </row>
    <row r="520" ht="15.75" customHeight="1">
      <c r="C520" s="370"/>
      <c r="D520" s="370"/>
      <c r="E520" s="371"/>
      <c r="F520" s="371"/>
      <c r="G520" s="371"/>
      <c r="H520" s="370"/>
    </row>
    <row r="521" ht="15.75" customHeight="1">
      <c r="C521" s="370"/>
      <c r="D521" s="370"/>
      <c r="E521" s="371"/>
      <c r="F521" s="371"/>
      <c r="G521" s="371"/>
      <c r="H521" s="370"/>
    </row>
    <row r="522" ht="15.75" customHeight="1">
      <c r="C522" s="370"/>
      <c r="D522" s="370"/>
      <c r="E522" s="371"/>
      <c r="F522" s="371"/>
      <c r="G522" s="371"/>
      <c r="H522" s="370"/>
    </row>
    <row r="523" ht="15.75" customHeight="1">
      <c r="C523" s="370"/>
      <c r="D523" s="370"/>
      <c r="E523" s="371"/>
      <c r="F523" s="371"/>
      <c r="G523" s="371"/>
      <c r="H523" s="370"/>
    </row>
    <row r="524" ht="15.75" customHeight="1">
      <c r="C524" s="370"/>
      <c r="D524" s="370"/>
      <c r="E524" s="371"/>
      <c r="F524" s="371"/>
      <c r="G524" s="371"/>
      <c r="H524" s="370"/>
    </row>
    <row r="525" ht="15.75" customHeight="1">
      <c r="C525" s="370"/>
      <c r="D525" s="370"/>
      <c r="E525" s="371"/>
      <c r="F525" s="371"/>
      <c r="G525" s="371"/>
      <c r="H525" s="370"/>
    </row>
    <row r="526" ht="15.75" customHeight="1">
      <c r="C526" s="370"/>
      <c r="D526" s="370"/>
      <c r="E526" s="371"/>
      <c r="F526" s="371"/>
      <c r="G526" s="371"/>
      <c r="H526" s="370"/>
    </row>
    <row r="527" ht="15.75" customHeight="1">
      <c r="C527" s="370"/>
      <c r="D527" s="370"/>
      <c r="E527" s="371"/>
      <c r="F527" s="371"/>
      <c r="G527" s="371"/>
      <c r="H527" s="370"/>
    </row>
    <row r="528" ht="15.75" customHeight="1">
      <c r="C528" s="370"/>
      <c r="D528" s="370"/>
      <c r="E528" s="371"/>
      <c r="F528" s="371"/>
      <c r="G528" s="371"/>
      <c r="H528" s="370"/>
    </row>
    <row r="529" ht="15.75" customHeight="1">
      <c r="C529" s="370"/>
      <c r="D529" s="370"/>
      <c r="E529" s="371"/>
      <c r="F529" s="371"/>
      <c r="G529" s="371"/>
      <c r="H529" s="370"/>
    </row>
    <row r="530" ht="15.75" customHeight="1">
      <c r="C530" s="370"/>
      <c r="D530" s="370"/>
      <c r="E530" s="371"/>
      <c r="F530" s="371"/>
      <c r="G530" s="371"/>
      <c r="H530" s="370"/>
    </row>
    <row r="531" ht="15.75" customHeight="1">
      <c r="C531" s="370"/>
      <c r="D531" s="370"/>
      <c r="E531" s="371"/>
      <c r="F531" s="371"/>
      <c r="G531" s="371"/>
      <c r="H531" s="370"/>
    </row>
    <row r="532" ht="15.75" customHeight="1">
      <c r="C532" s="370"/>
      <c r="D532" s="370"/>
      <c r="E532" s="371"/>
      <c r="F532" s="371"/>
      <c r="G532" s="371"/>
      <c r="H532" s="370"/>
    </row>
    <row r="533" ht="15.75" customHeight="1">
      <c r="C533" s="370"/>
      <c r="D533" s="370"/>
      <c r="E533" s="371"/>
      <c r="F533" s="371"/>
      <c r="G533" s="371"/>
      <c r="H533" s="370"/>
    </row>
    <row r="534" ht="15.75" customHeight="1">
      <c r="C534" s="370"/>
      <c r="D534" s="370"/>
      <c r="E534" s="371"/>
      <c r="F534" s="371"/>
      <c r="G534" s="371"/>
      <c r="H534" s="370"/>
    </row>
    <row r="535" ht="15.75" customHeight="1">
      <c r="C535" s="370"/>
      <c r="D535" s="370"/>
      <c r="E535" s="371"/>
      <c r="F535" s="371"/>
      <c r="G535" s="371"/>
      <c r="H535" s="370"/>
    </row>
    <row r="536" ht="15.75" customHeight="1">
      <c r="C536" s="370"/>
      <c r="D536" s="370"/>
      <c r="E536" s="371"/>
      <c r="F536" s="371"/>
      <c r="G536" s="371"/>
      <c r="H536" s="370"/>
    </row>
    <row r="537" ht="15.75" customHeight="1">
      <c r="C537" s="370"/>
      <c r="D537" s="370"/>
      <c r="E537" s="371"/>
      <c r="F537" s="371"/>
      <c r="G537" s="371"/>
      <c r="H537" s="370"/>
    </row>
    <row r="538" ht="15.75" customHeight="1">
      <c r="C538" s="370"/>
      <c r="D538" s="370"/>
      <c r="E538" s="371"/>
      <c r="F538" s="371"/>
      <c r="G538" s="371"/>
      <c r="H538" s="370"/>
    </row>
    <row r="539" ht="15.75" customHeight="1">
      <c r="C539" s="370"/>
      <c r="D539" s="370"/>
      <c r="E539" s="371"/>
      <c r="F539" s="371"/>
      <c r="G539" s="371"/>
      <c r="H539" s="370"/>
    </row>
    <row r="540" ht="15.75" customHeight="1">
      <c r="C540" s="370"/>
      <c r="D540" s="370"/>
      <c r="E540" s="371"/>
      <c r="F540" s="371"/>
      <c r="G540" s="371"/>
      <c r="H540" s="370"/>
    </row>
    <row r="541" ht="15.75" customHeight="1">
      <c r="C541" s="370"/>
      <c r="D541" s="370"/>
      <c r="E541" s="371"/>
      <c r="F541" s="371"/>
      <c r="G541" s="371"/>
      <c r="H541" s="370"/>
    </row>
    <row r="542" ht="15.75" customHeight="1">
      <c r="C542" s="370"/>
      <c r="D542" s="370"/>
      <c r="E542" s="371"/>
      <c r="F542" s="371"/>
      <c r="G542" s="371"/>
      <c r="H542" s="370"/>
    </row>
    <row r="543" ht="15.75" customHeight="1">
      <c r="C543" s="370"/>
      <c r="D543" s="370"/>
      <c r="E543" s="371"/>
      <c r="F543" s="371"/>
      <c r="G543" s="371"/>
      <c r="H543" s="370"/>
    </row>
    <row r="544" ht="15.75" customHeight="1">
      <c r="C544" s="370"/>
      <c r="D544" s="370"/>
      <c r="E544" s="371"/>
      <c r="F544" s="371"/>
      <c r="G544" s="371"/>
      <c r="H544" s="370"/>
    </row>
    <row r="545" ht="15.75" customHeight="1">
      <c r="C545" s="370"/>
      <c r="D545" s="370"/>
      <c r="E545" s="371"/>
      <c r="F545" s="371"/>
      <c r="G545" s="371"/>
      <c r="H545" s="370"/>
    </row>
    <row r="546" ht="15.75" customHeight="1">
      <c r="C546" s="370"/>
      <c r="D546" s="370"/>
      <c r="E546" s="371"/>
      <c r="F546" s="371"/>
      <c r="G546" s="371"/>
      <c r="H546" s="370"/>
    </row>
    <row r="547" ht="15.75" customHeight="1">
      <c r="C547" s="370"/>
      <c r="D547" s="370"/>
      <c r="E547" s="371"/>
      <c r="F547" s="371"/>
      <c r="G547" s="371"/>
      <c r="H547" s="370"/>
    </row>
    <row r="548" ht="15.75" customHeight="1">
      <c r="C548" s="370"/>
      <c r="D548" s="370"/>
      <c r="E548" s="371"/>
      <c r="F548" s="371"/>
      <c r="G548" s="371"/>
      <c r="H548" s="370"/>
    </row>
    <row r="549" ht="15.75" customHeight="1">
      <c r="C549" s="370"/>
      <c r="D549" s="370"/>
      <c r="E549" s="371"/>
      <c r="F549" s="371"/>
      <c r="G549" s="371"/>
      <c r="H549" s="370"/>
    </row>
    <row r="550" ht="15.75" customHeight="1">
      <c r="C550" s="370"/>
      <c r="D550" s="370"/>
      <c r="E550" s="371"/>
      <c r="F550" s="371"/>
      <c r="G550" s="371"/>
      <c r="H550" s="370"/>
    </row>
    <row r="551" ht="15.75" customHeight="1">
      <c r="C551" s="370"/>
      <c r="D551" s="370"/>
      <c r="E551" s="371"/>
      <c r="F551" s="371"/>
      <c r="G551" s="371"/>
      <c r="H551" s="370"/>
    </row>
    <row r="552" ht="15.75" customHeight="1">
      <c r="C552" s="370"/>
      <c r="D552" s="370"/>
      <c r="E552" s="371"/>
      <c r="F552" s="371"/>
      <c r="G552" s="371"/>
      <c r="H552" s="370"/>
    </row>
    <row r="553" ht="15.75" customHeight="1">
      <c r="C553" s="370"/>
      <c r="D553" s="370"/>
      <c r="E553" s="371"/>
      <c r="F553" s="371"/>
      <c r="G553" s="371"/>
      <c r="H553" s="370"/>
    </row>
    <row r="554" ht="15.75" customHeight="1">
      <c r="C554" s="370"/>
      <c r="D554" s="370"/>
      <c r="E554" s="371"/>
      <c r="F554" s="371"/>
      <c r="G554" s="371"/>
      <c r="H554" s="370"/>
    </row>
    <row r="555" ht="15.75" customHeight="1">
      <c r="C555" s="370"/>
      <c r="D555" s="370"/>
      <c r="E555" s="371"/>
      <c r="F555" s="371"/>
      <c r="G555" s="371"/>
      <c r="H555" s="370"/>
    </row>
    <row r="556" ht="15.75" customHeight="1">
      <c r="C556" s="370"/>
      <c r="D556" s="370"/>
      <c r="E556" s="371"/>
      <c r="F556" s="371"/>
      <c r="G556" s="371"/>
      <c r="H556" s="370"/>
    </row>
    <row r="557" ht="15.75" customHeight="1">
      <c r="C557" s="370"/>
      <c r="D557" s="370"/>
      <c r="E557" s="371"/>
      <c r="F557" s="371"/>
      <c r="G557" s="371"/>
      <c r="H557" s="370"/>
    </row>
    <row r="558" ht="15.75" customHeight="1">
      <c r="C558" s="370"/>
      <c r="D558" s="370"/>
      <c r="E558" s="371"/>
      <c r="F558" s="371"/>
      <c r="G558" s="371"/>
      <c r="H558" s="370"/>
    </row>
    <row r="559" ht="15.75" customHeight="1">
      <c r="C559" s="370"/>
      <c r="D559" s="370"/>
      <c r="E559" s="371"/>
      <c r="F559" s="371"/>
      <c r="G559" s="371"/>
      <c r="H559" s="370"/>
    </row>
    <row r="560" ht="15.75" customHeight="1">
      <c r="C560" s="370"/>
      <c r="D560" s="370"/>
      <c r="E560" s="371"/>
      <c r="F560" s="371"/>
      <c r="G560" s="371"/>
      <c r="H560" s="370"/>
    </row>
    <row r="561" ht="15.75" customHeight="1">
      <c r="C561" s="370"/>
      <c r="D561" s="370"/>
      <c r="E561" s="371"/>
      <c r="F561" s="371"/>
      <c r="G561" s="371"/>
      <c r="H561" s="370"/>
    </row>
    <row r="562" ht="15.75" customHeight="1">
      <c r="C562" s="370"/>
      <c r="D562" s="370"/>
      <c r="E562" s="371"/>
      <c r="F562" s="371"/>
      <c r="G562" s="371"/>
      <c r="H562" s="370"/>
    </row>
    <row r="563" ht="15.75" customHeight="1">
      <c r="C563" s="370"/>
      <c r="D563" s="370"/>
      <c r="E563" s="371"/>
      <c r="F563" s="371"/>
      <c r="G563" s="371"/>
      <c r="H563" s="370"/>
    </row>
    <row r="564" ht="15.75" customHeight="1">
      <c r="C564" s="370"/>
      <c r="D564" s="370"/>
      <c r="E564" s="371"/>
      <c r="F564" s="371"/>
      <c r="G564" s="371"/>
      <c r="H564" s="370"/>
    </row>
    <row r="565" ht="15.75" customHeight="1">
      <c r="C565" s="370"/>
      <c r="D565" s="370"/>
      <c r="E565" s="371"/>
      <c r="F565" s="371"/>
      <c r="G565" s="371"/>
      <c r="H565" s="370"/>
    </row>
    <row r="566" ht="15.75" customHeight="1">
      <c r="C566" s="370"/>
      <c r="D566" s="370"/>
      <c r="E566" s="371"/>
      <c r="F566" s="371"/>
      <c r="G566" s="371"/>
      <c r="H566" s="370"/>
    </row>
    <row r="567" ht="15.75" customHeight="1">
      <c r="C567" s="370"/>
      <c r="D567" s="370"/>
      <c r="E567" s="371"/>
      <c r="F567" s="371"/>
      <c r="G567" s="371"/>
      <c r="H567" s="370"/>
    </row>
    <row r="568" ht="15.75" customHeight="1">
      <c r="C568" s="370"/>
      <c r="D568" s="370"/>
      <c r="E568" s="371"/>
      <c r="F568" s="371"/>
      <c r="G568" s="371"/>
      <c r="H568" s="370"/>
    </row>
    <row r="569" ht="15.75" customHeight="1">
      <c r="C569" s="370"/>
      <c r="D569" s="370"/>
      <c r="E569" s="371"/>
      <c r="F569" s="371"/>
      <c r="G569" s="371"/>
      <c r="H569" s="370"/>
    </row>
    <row r="570" ht="15.75" customHeight="1">
      <c r="C570" s="370"/>
      <c r="D570" s="370"/>
      <c r="E570" s="371"/>
      <c r="F570" s="371"/>
      <c r="G570" s="371"/>
      <c r="H570" s="370"/>
    </row>
    <row r="571" ht="15.75" customHeight="1">
      <c r="C571" s="370"/>
      <c r="D571" s="370"/>
      <c r="E571" s="371"/>
      <c r="F571" s="371"/>
      <c r="G571" s="371"/>
      <c r="H571" s="370"/>
    </row>
    <row r="572" ht="15.75" customHeight="1">
      <c r="C572" s="370"/>
      <c r="D572" s="370"/>
      <c r="E572" s="371"/>
      <c r="F572" s="371"/>
      <c r="G572" s="371"/>
      <c r="H572" s="370"/>
    </row>
    <row r="573" ht="15.75" customHeight="1">
      <c r="C573" s="370"/>
      <c r="D573" s="370"/>
      <c r="E573" s="371"/>
      <c r="F573" s="371"/>
      <c r="G573" s="371"/>
      <c r="H573" s="370"/>
    </row>
    <row r="574" ht="15.75" customHeight="1">
      <c r="C574" s="370"/>
      <c r="D574" s="370"/>
      <c r="E574" s="371"/>
      <c r="F574" s="371"/>
      <c r="G574" s="371"/>
      <c r="H574" s="370"/>
    </row>
    <row r="575" ht="15.75" customHeight="1">
      <c r="C575" s="370"/>
      <c r="D575" s="370"/>
      <c r="E575" s="371"/>
      <c r="F575" s="371"/>
      <c r="G575" s="371"/>
      <c r="H575" s="370"/>
    </row>
    <row r="576" ht="15.75" customHeight="1">
      <c r="C576" s="370"/>
      <c r="D576" s="370"/>
      <c r="E576" s="371"/>
      <c r="F576" s="371"/>
      <c r="G576" s="371"/>
      <c r="H576" s="370"/>
    </row>
    <row r="577" ht="15.75" customHeight="1">
      <c r="C577" s="370"/>
      <c r="D577" s="370"/>
      <c r="E577" s="371"/>
      <c r="F577" s="371"/>
      <c r="G577" s="371"/>
      <c r="H577" s="370"/>
    </row>
    <row r="578" ht="15.75" customHeight="1">
      <c r="C578" s="370"/>
      <c r="D578" s="370"/>
      <c r="E578" s="371"/>
      <c r="F578" s="371"/>
      <c r="G578" s="371"/>
      <c r="H578" s="370"/>
    </row>
    <row r="579" ht="15.75" customHeight="1">
      <c r="C579" s="370"/>
      <c r="D579" s="370"/>
      <c r="E579" s="371"/>
      <c r="F579" s="371"/>
      <c r="G579" s="371"/>
      <c r="H579" s="370"/>
    </row>
    <row r="580" ht="15.75" customHeight="1">
      <c r="C580" s="370"/>
      <c r="D580" s="370"/>
      <c r="E580" s="371"/>
      <c r="F580" s="371"/>
      <c r="G580" s="371"/>
      <c r="H580" s="370"/>
    </row>
    <row r="581" ht="15.75" customHeight="1">
      <c r="C581" s="370"/>
      <c r="D581" s="370"/>
      <c r="E581" s="371"/>
      <c r="F581" s="371"/>
      <c r="G581" s="371"/>
      <c r="H581" s="370"/>
    </row>
    <row r="582" ht="15.75" customHeight="1">
      <c r="C582" s="370"/>
      <c r="D582" s="370"/>
      <c r="E582" s="371"/>
      <c r="F582" s="371"/>
      <c r="G582" s="371"/>
      <c r="H582" s="370"/>
    </row>
    <row r="583" ht="15.75" customHeight="1">
      <c r="C583" s="370"/>
      <c r="D583" s="370"/>
      <c r="E583" s="371"/>
      <c r="F583" s="371"/>
      <c r="G583" s="371"/>
      <c r="H583" s="370"/>
    </row>
    <row r="584" ht="15.75" customHeight="1">
      <c r="C584" s="370"/>
      <c r="D584" s="370"/>
      <c r="E584" s="371"/>
      <c r="F584" s="371"/>
      <c r="G584" s="371"/>
      <c r="H584" s="370"/>
    </row>
    <row r="585" ht="15.75" customHeight="1">
      <c r="C585" s="370"/>
      <c r="D585" s="370"/>
      <c r="E585" s="371"/>
      <c r="F585" s="371"/>
      <c r="G585" s="371"/>
      <c r="H585" s="370"/>
    </row>
    <row r="586" ht="15.75" customHeight="1">
      <c r="C586" s="370"/>
      <c r="D586" s="370"/>
      <c r="E586" s="371"/>
      <c r="F586" s="371"/>
      <c r="G586" s="371"/>
      <c r="H586" s="370"/>
    </row>
    <row r="587" ht="15.75" customHeight="1">
      <c r="C587" s="370"/>
      <c r="D587" s="370"/>
      <c r="E587" s="371"/>
      <c r="F587" s="371"/>
      <c r="G587" s="371"/>
      <c r="H587" s="370"/>
    </row>
    <row r="588" ht="15.75" customHeight="1">
      <c r="C588" s="370"/>
      <c r="D588" s="370"/>
      <c r="E588" s="371"/>
      <c r="F588" s="371"/>
      <c r="G588" s="371"/>
      <c r="H588" s="370"/>
    </row>
    <row r="589" ht="15.75" customHeight="1">
      <c r="C589" s="370"/>
      <c r="D589" s="370"/>
      <c r="E589" s="371"/>
      <c r="F589" s="371"/>
      <c r="G589" s="371"/>
      <c r="H589" s="370"/>
    </row>
    <row r="590" ht="15.75" customHeight="1">
      <c r="C590" s="370"/>
      <c r="D590" s="370"/>
      <c r="E590" s="371"/>
      <c r="F590" s="371"/>
      <c r="G590" s="371"/>
      <c r="H590" s="370"/>
    </row>
    <row r="591" ht="15.75" customHeight="1">
      <c r="C591" s="370"/>
      <c r="D591" s="370"/>
      <c r="E591" s="371"/>
      <c r="F591" s="371"/>
      <c r="G591" s="371"/>
      <c r="H591" s="370"/>
    </row>
    <row r="592" ht="15.75" customHeight="1">
      <c r="C592" s="370"/>
      <c r="D592" s="370"/>
      <c r="E592" s="371"/>
      <c r="F592" s="371"/>
      <c r="G592" s="371"/>
      <c r="H592" s="370"/>
    </row>
    <row r="593" ht="15.75" customHeight="1">
      <c r="C593" s="370"/>
      <c r="D593" s="370"/>
      <c r="E593" s="371"/>
      <c r="F593" s="371"/>
      <c r="G593" s="371"/>
      <c r="H593" s="370"/>
    </row>
    <row r="594" ht="15.75" customHeight="1">
      <c r="C594" s="370"/>
      <c r="D594" s="370"/>
      <c r="E594" s="371"/>
      <c r="F594" s="371"/>
      <c r="G594" s="371"/>
      <c r="H594" s="370"/>
    </row>
    <row r="595" ht="15.75" customHeight="1">
      <c r="C595" s="370"/>
      <c r="D595" s="370"/>
      <c r="E595" s="371"/>
      <c r="F595" s="371"/>
      <c r="G595" s="371"/>
      <c r="H595" s="370"/>
    </row>
    <row r="596" ht="15.75" customHeight="1">
      <c r="C596" s="370"/>
      <c r="D596" s="370"/>
      <c r="E596" s="371"/>
      <c r="F596" s="371"/>
      <c r="G596" s="371"/>
      <c r="H596" s="370"/>
    </row>
    <row r="597" ht="15.75" customHeight="1">
      <c r="C597" s="370"/>
      <c r="D597" s="370"/>
      <c r="E597" s="371"/>
      <c r="F597" s="371"/>
      <c r="G597" s="371"/>
      <c r="H597" s="370"/>
    </row>
    <row r="598" ht="15.75" customHeight="1">
      <c r="C598" s="370"/>
      <c r="D598" s="370"/>
      <c r="E598" s="371"/>
      <c r="F598" s="371"/>
      <c r="G598" s="371"/>
      <c r="H598" s="370"/>
    </row>
    <row r="599" ht="15.75" customHeight="1">
      <c r="C599" s="370"/>
      <c r="D599" s="370"/>
      <c r="E599" s="371"/>
      <c r="F599" s="371"/>
      <c r="G599" s="371"/>
      <c r="H599" s="370"/>
    </row>
    <row r="600" ht="15.75" customHeight="1">
      <c r="C600" s="370"/>
      <c r="D600" s="370"/>
      <c r="E600" s="371"/>
      <c r="F600" s="371"/>
      <c r="G600" s="371"/>
      <c r="H600" s="370"/>
    </row>
    <row r="601" ht="15.75" customHeight="1">
      <c r="C601" s="370"/>
      <c r="D601" s="370"/>
      <c r="E601" s="371"/>
      <c r="F601" s="371"/>
      <c r="G601" s="371"/>
      <c r="H601" s="370"/>
    </row>
    <row r="602" ht="15.75" customHeight="1">
      <c r="C602" s="370"/>
      <c r="D602" s="370"/>
      <c r="E602" s="371"/>
      <c r="F602" s="371"/>
      <c r="G602" s="371"/>
      <c r="H602" s="370"/>
    </row>
    <row r="603" ht="15.75" customHeight="1">
      <c r="C603" s="370"/>
      <c r="D603" s="370"/>
      <c r="E603" s="371"/>
      <c r="F603" s="371"/>
      <c r="G603" s="371"/>
      <c r="H603" s="370"/>
    </row>
    <row r="604" ht="15.75" customHeight="1">
      <c r="C604" s="370"/>
      <c r="D604" s="370"/>
      <c r="E604" s="371"/>
      <c r="F604" s="371"/>
      <c r="G604" s="371"/>
      <c r="H604" s="370"/>
    </row>
    <row r="605" ht="15.75" customHeight="1">
      <c r="C605" s="370"/>
      <c r="D605" s="370"/>
      <c r="E605" s="371"/>
      <c r="F605" s="371"/>
      <c r="G605" s="371"/>
      <c r="H605" s="370"/>
    </row>
    <row r="606" ht="15.75" customHeight="1">
      <c r="C606" s="370"/>
      <c r="D606" s="370"/>
      <c r="E606" s="371"/>
      <c r="F606" s="371"/>
      <c r="G606" s="371"/>
      <c r="H606" s="370"/>
    </row>
    <row r="607" ht="15.75" customHeight="1">
      <c r="C607" s="370"/>
      <c r="D607" s="370"/>
      <c r="E607" s="371"/>
      <c r="F607" s="371"/>
      <c r="G607" s="371"/>
      <c r="H607" s="370"/>
    </row>
    <row r="608" ht="15.75" customHeight="1">
      <c r="C608" s="370"/>
      <c r="D608" s="370"/>
      <c r="E608" s="371"/>
      <c r="F608" s="371"/>
      <c r="G608" s="371"/>
      <c r="H608" s="370"/>
    </row>
    <row r="609" ht="15.75" customHeight="1">
      <c r="C609" s="370"/>
      <c r="D609" s="370"/>
      <c r="E609" s="371"/>
      <c r="F609" s="371"/>
      <c r="G609" s="371"/>
      <c r="H609" s="370"/>
    </row>
    <row r="610" ht="15.75" customHeight="1">
      <c r="C610" s="370"/>
      <c r="D610" s="370"/>
      <c r="E610" s="371"/>
      <c r="F610" s="371"/>
      <c r="G610" s="371"/>
      <c r="H610" s="370"/>
    </row>
    <row r="611" ht="15.75" customHeight="1">
      <c r="C611" s="370"/>
      <c r="D611" s="370"/>
      <c r="E611" s="371"/>
      <c r="F611" s="371"/>
      <c r="G611" s="371"/>
      <c r="H611" s="370"/>
    </row>
    <row r="612" ht="15.75" customHeight="1">
      <c r="C612" s="370"/>
      <c r="D612" s="370"/>
      <c r="E612" s="371"/>
      <c r="F612" s="371"/>
      <c r="G612" s="371"/>
      <c r="H612" s="370"/>
    </row>
    <row r="613" ht="15.75" customHeight="1">
      <c r="C613" s="370"/>
      <c r="D613" s="370"/>
      <c r="E613" s="371"/>
      <c r="F613" s="371"/>
      <c r="G613" s="371"/>
      <c r="H613" s="370"/>
    </row>
    <row r="614" ht="15.75" customHeight="1">
      <c r="C614" s="370"/>
      <c r="D614" s="370"/>
      <c r="E614" s="371"/>
      <c r="F614" s="371"/>
      <c r="G614" s="371"/>
      <c r="H614" s="370"/>
    </row>
    <row r="615" ht="15.75" customHeight="1">
      <c r="C615" s="370"/>
      <c r="D615" s="370"/>
      <c r="E615" s="371"/>
      <c r="F615" s="371"/>
      <c r="G615" s="371"/>
      <c r="H615" s="370"/>
    </row>
    <row r="616" ht="15.75" customHeight="1">
      <c r="C616" s="370"/>
      <c r="D616" s="370"/>
      <c r="E616" s="371"/>
      <c r="F616" s="371"/>
      <c r="G616" s="371"/>
      <c r="H616" s="370"/>
    </row>
    <row r="617" ht="15.75" customHeight="1">
      <c r="C617" s="370"/>
      <c r="D617" s="370"/>
      <c r="E617" s="371"/>
      <c r="F617" s="371"/>
      <c r="G617" s="371"/>
      <c r="H617" s="370"/>
    </row>
    <row r="618" ht="15.75" customHeight="1">
      <c r="C618" s="370"/>
      <c r="D618" s="370"/>
      <c r="E618" s="371"/>
      <c r="F618" s="371"/>
      <c r="G618" s="371"/>
      <c r="H618" s="370"/>
    </row>
    <row r="619" ht="15.75" customHeight="1">
      <c r="C619" s="370"/>
      <c r="D619" s="370"/>
      <c r="E619" s="371"/>
      <c r="F619" s="371"/>
      <c r="G619" s="371"/>
      <c r="H619" s="370"/>
    </row>
    <row r="620" ht="15.75" customHeight="1">
      <c r="C620" s="370"/>
      <c r="D620" s="370"/>
      <c r="E620" s="371"/>
      <c r="F620" s="371"/>
      <c r="G620" s="371"/>
      <c r="H620" s="370"/>
    </row>
    <row r="621" ht="15.75" customHeight="1">
      <c r="C621" s="370"/>
      <c r="D621" s="370"/>
      <c r="E621" s="371"/>
      <c r="F621" s="371"/>
      <c r="G621" s="371"/>
      <c r="H621" s="370"/>
    </row>
    <row r="622" ht="15.75" customHeight="1">
      <c r="C622" s="370"/>
      <c r="D622" s="370"/>
      <c r="E622" s="371"/>
      <c r="F622" s="371"/>
      <c r="G622" s="371"/>
      <c r="H622" s="370"/>
    </row>
    <row r="623" ht="15.75" customHeight="1">
      <c r="C623" s="370"/>
      <c r="D623" s="370"/>
      <c r="E623" s="371"/>
      <c r="F623" s="371"/>
      <c r="G623" s="371"/>
      <c r="H623" s="370"/>
    </row>
    <row r="624" ht="15.75" customHeight="1">
      <c r="C624" s="370"/>
      <c r="D624" s="370"/>
      <c r="E624" s="371"/>
      <c r="F624" s="371"/>
      <c r="G624" s="371"/>
      <c r="H624" s="370"/>
    </row>
    <row r="625" ht="15.75" customHeight="1">
      <c r="C625" s="370"/>
      <c r="D625" s="370"/>
      <c r="E625" s="371"/>
      <c r="F625" s="371"/>
      <c r="G625" s="371"/>
      <c r="H625" s="370"/>
    </row>
    <row r="626" ht="15.75" customHeight="1">
      <c r="C626" s="370"/>
      <c r="D626" s="370"/>
      <c r="E626" s="371"/>
      <c r="F626" s="371"/>
      <c r="G626" s="371"/>
      <c r="H626" s="370"/>
    </row>
    <row r="627" ht="15.75" customHeight="1">
      <c r="C627" s="370"/>
      <c r="D627" s="370"/>
      <c r="E627" s="371"/>
      <c r="F627" s="371"/>
      <c r="G627" s="371"/>
      <c r="H627" s="370"/>
    </row>
    <row r="628" ht="15.75" customHeight="1">
      <c r="C628" s="370"/>
      <c r="D628" s="370"/>
      <c r="E628" s="371"/>
      <c r="F628" s="371"/>
      <c r="G628" s="371"/>
      <c r="H628" s="370"/>
    </row>
    <row r="629" ht="15.75" customHeight="1">
      <c r="C629" s="370"/>
      <c r="D629" s="370"/>
      <c r="E629" s="371"/>
      <c r="F629" s="371"/>
      <c r="G629" s="371"/>
      <c r="H629" s="370"/>
    </row>
    <row r="630" ht="15.75" customHeight="1">
      <c r="C630" s="370"/>
      <c r="D630" s="370"/>
      <c r="E630" s="371"/>
      <c r="F630" s="371"/>
      <c r="G630" s="371"/>
      <c r="H630" s="370"/>
    </row>
    <row r="631" ht="15.75" customHeight="1">
      <c r="C631" s="370"/>
      <c r="D631" s="370"/>
      <c r="E631" s="371"/>
      <c r="F631" s="371"/>
      <c r="G631" s="371"/>
      <c r="H631" s="370"/>
    </row>
    <row r="632" ht="15.75" customHeight="1">
      <c r="C632" s="370"/>
      <c r="D632" s="370"/>
      <c r="E632" s="371"/>
      <c r="F632" s="371"/>
      <c r="G632" s="371"/>
      <c r="H632" s="370"/>
    </row>
    <row r="633" ht="15.75" customHeight="1">
      <c r="C633" s="370"/>
      <c r="D633" s="370"/>
      <c r="E633" s="371"/>
      <c r="F633" s="371"/>
      <c r="G633" s="371"/>
      <c r="H633" s="370"/>
    </row>
    <row r="634" ht="15.75" customHeight="1">
      <c r="C634" s="370"/>
      <c r="D634" s="370"/>
      <c r="E634" s="371"/>
      <c r="F634" s="371"/>
      <c r="G634" s="371"/>
      <c r="H634" s="370"/>
    </row>
    <row r="635" ht="15.75" customHeight="1">
      <c r="C635" s="370"/>
      <c r="D635" s="370"/>
      <c r="E635" s="371"/>
      <c r="F635" s="371"/>
      <c r="G635" s="371"/>
      <c r="H635" s="370"/>
    </row>
    <row r="636" ht="15.75" customHeight="1">
      <c r="C636" s="370"/>
      <c r="D636" s="370"/>
      <c r="E636" s="371"/>
      <c r="F636" s="371"/>
      <c r="G636" s="371"/>
      <c r="H636" s="370"/>
    </row>
    <row r="637" ht="15.75" customHeight="1">
      <c r="C637" s="370"/>
      <c r="D637" s="370"/>
      <c r="E637" s="371"/>
      <c r="F637" s="371"/>
      <c r="G637" s="371"/>
      <c r="H637" s="370"/>
    </row>
    <row r="638" ht="15.75" customHeight="1">
      <c r="C638" s="370"/>
      <c r="D638" s="370"/>
      <c r="E638" s="371"/>
      <c r="F638" s="371"/>
      <c r="G638" s="371"/>
      <c r="H638" s="370"/>
    </row>
    <row r="639" ht="15.75" customHeight="1">
      <c r="C639" s="370"/>
      <c r="D639" s="370"/>
      <c r="E639" s="371"/>
      <c r="F639" s="371"/>
      <c r="G639" s="371"/>
      <c r="H639" s="370"/>
    </row>
    <row r="640" ht="15.75" customHeight="1">
      <c r="C640" s="370"/>
      <c r="D640" s="370"/>
      <c r="E640" s="371"/>
      <c r="F640" s="371"/>
      <c r="G640" s="371"/>
      <c r="H640" s="370"/>
    </row>
    <row r="641" ht="15.75" customHeight="1">
      <c r="C641" s="370"/>
      <c r="D641" s="370"/>
      <c r="E641" s="371"/>
      <c r="F641" s="371"/>
      <c r="G641" s="371"/>
      <c r="H641" s="370"/>
    </row>
    <row r="642" ht="15.75" customHeight="1">
      <c r="C642" s="370"/>
      <c r="D642" s="370"/>
      <c r="E642" s="371"/>
      <c r="F642" s="371"/>
      <c r="G642" s="371"/>
      <c r="H642" s="370"/>
    </row>
    <row r="643" ht="15.75" customHeight="1">
      <c r="C643" s="370"/>
      <c r="D643" s="370"/>
      <c r="E643" s="371"/>
      <c r="F643" s="371"/>
      <c r="G643" s="371"/>
      <c r="H643" s="370"/>
    </row>
    <row r="644" ht="15.75" customHeight="1">
      <c r="C644" s="370"/>
      <c r="D644" s="370"/>
      <c r="E644" s="371"/>
      <c r="F644" s="371"/>
      <c r="G644" s="371"/>
      <c r="H644" s="370"/>
    </row>
    <row r="645" ht="15.75" customHeight="1">
      <c r="C645" s="370"/>
      <c r="D645" s="370"/>
      <c r="E645" s="371"/>
      <c r="F645" s="371"/>
      <c r="G645" s="371"/>
      <c r="H645" s="370"/>
    </row>
    <row r="646" ht="15.75" customHeight="1">
      <c r="C646" s="370"/>
      <c r="D646" s="370"/>
      <c r="E646" s="371"/>
      <c r="F646" s="371"/>
      <c r="G646" s="371"/>
      <c r="H646" s="370"/>
    </row>
    <row r="647" ht="15.75" customHeight="1">
      <c r="C647" s="370"/>
      <c r="D647" s="370"/>
      <c r="E647" s="371"/>
      <c r="F647" s="371"/>
      <c r="G647" s="371"/>
      <c r="H647" s="370"/>
    </row>
    <row r="648" ht="15.75" customHeight="1">
      <c r="C648" s="370"/>
      <c r="D648" s="370"/>
      <c r="E648" s="371"/>
      <c r="F648" s="371"/>
      <c r="G648" s="371"/>
      <c r="H648" s="370"/>
    </row>
    <row r="649" ht="15.75" customHeight="1">
      <c r="C649" s="370"/>
      <c r="D649" s="370"/>
      <c r="E649" s="371"/>
      <c r="F649" s="371"/>
      <c r="G649" s="371"/>
      <c r="H649" s="370"/>
    </row>
    <row r="650" ht="15.75" customHeight="1">
      <c r="C650" s="370"/>
      <c r="D650" s="370"/>
      <c r="E650" s="371"/>
      <c r="F650" s="371"/>
      <c r="G650" s="371"/>
      <c r="H650" s="370"/>
    </row>
    <row r="651" ht="15.75" customHeight="1">
      <c r="C651" s="370"/>
      <c r="D651" s="370"/>
      <c r="E651" s="371"/>
      <c r="F651" s="371"/>
      <c r="G651" s="371"/>
      <c r="H651" s="370"/>
    </row>
    <row r="652" ht="15.75" customHeight="1">
      <c r="C652" s="370"/>
      <c r="D652" s="370"/>
      <c r="E652" s="371"/>
      <c r="F652" s="371"/>
      <c r="G652" s="371"/>
      <c r="H652" s="370"/>
    </row>
    <row r="653" ht="15.75" customHeight="1">
      <c r="C653" s="370"/>
      <c r="D653" s="370"/>
      <c r="E653" s="371"/>
      <c r="F653" s="371"/>
      <c r="G653" s="371"/>
      <c r="H653" s="370"/>
    </row>
    <row r="654" ht="15.75" customHeight="1">
      <c r="C654" s="370"/>
      <c r="D654" s="370"/>
      <c r="E654" s="371"/>
      <c r="F654" s="371"/>
      <c r="G654" s="371"/>
      <c r="H654" s="370"/>
    </row>
    <row r="655" ht="15.75" customHeight="1">
      <c r="C655" s="370"/>
      <c r="D655" s="370"/>
      <c r="E655" s="371"/>
      <c r="F655" s="371"/>
      <c r="G655" s="371"/>
      <c r="H655" s="370"/>
    </row>
    <row r="656" ht="15.75" customHeight="1">
      <c r="C656" s="370"/>
      <c r="D656" s="370"/>
      <c r="E656" s="371"/>
      <c r="F656" s="371"/>
      <c r="G656" s="371"/>
      <c r="H656" s="370"/>
    </row>
    <row r="657" ht="15.75" customHeight="1">
      <c r="C657" s="370"/>
      <c r="D657" s="370"/>
      <c r="E657" s="371"/>
      <c r="F657" s="371"/>
      <c r="G657" s="371"/>
      <c r="H657" s="370"/>
    </row>
    <row r="658" ht="15.75" customHeight="1">
      <c r="C658" s="370"/>
      <c r="D658" s="370"/>
      <c r="E658" s="371"/>
      <c r="F658" s="371"/>
      <c r="G658" s="371"/>
      <c r="H658" s="370"/>
    </row>
    <row r="659" ht="15.75" customHeight="1">
      <c r="C659" s="370"/>
      <c r="D659" s="370"/>
      <c r="E659" s="371"/>
      <c r="F659" s="371"/>
      <c r="G659" s="371"/>
      <c r="H659" s="370"/>
    </row>
    <row r="660" ht="15.75" customHeight="1">
      <c r="C660" s="370"/>
      <c r="D660" s="370"/>
      <c r="E660" s="371"/>
      <c r="F660" s="371"/>
      <c r="G660" s="371"/>
      <c r="H660" s="370"/>
    </row>
    <row r="661" ht="15.75" customHeight="1">
      <c r="C661" s="370"/>
      <c r="D661" s="370"/>
      <c r="E661" s="371"/>
      <c r="F661" s="371"/>
      <c r="G661" s="371"/>
      <c r="H661" s="370"/>
    </row>
    <row r="662" ht="15.75" customHeight="1">
      <c r="C662" s="370"/>
      <c r="D662" s="370"/>
      <c r="E662" s="371"/>
      <c r="F662" s="371"/>
      <c r="G662" s="371"/>
      <c r="H662" s="370"/>
    </row>
    <row r="663" ht="15.75" customHeight="1">
      <c r="C663" s="370"/>
      <c r="D663" s="370"/>
      <c r="E663" s="371"/>
      <c r="F663" s="371"/>
      <c r="G663" s="371"/>
      <c r="H663" s="370"/>
    </row>
    <row r="664" ht="15.75" customHeight="1">
      <c r="C664" s="370"/>
      <c r="D664" s="370"/>
      <c r="E664" s="371"/>
      <c r="F664" s="371"/>
      <c r="G664" s="371"/>
      <c r="H664" s="370"/>
    </row>
    <row r="665" ht="15.75" customHeight="1">
      <c r="C665" s="370"/>
      <c r="D665" s="370"/>
      <c r="E665" s="371"/>
      <c r="F665" s="371"/>
      <c r="G665" s="371"/>
      <c r="H665" s="370"/>
    </row>
    <row r="666" ht="15.75" customHeight="1">
      <c r="C666" s="370"/>
      <c r="D666" s="370"/>
      <c r="E666" s="371"/>
      <c r="F666" s="371"/>
      <c r="G666" s="371"/>
      <c r="H666" s="370"/>
    </row>
    <row r="667" ht="15.75" customHeight="1">
      <c r="C667" s="370"/>
      <c r="D667" s="370"/>
      <c r="E667" s="371"/>
      <c r="F667" s="371"/>
      <c r="G667" s="371"/>
      <c r="H667" s="370"/>
    </row>
    <row r="668" ht="15.75" customHeight="1">
      <c r="C668" s="370"/>
      <c r="D668" s="370"/>
      <c r="E668" s="371"/>
      <c r="F668" s="371"/>
      <c r="G668" s="371"/>
      <c r="H668" s="370"/>
    </row>
    <row r="669" ht="15.75" customHeight="1">
      <c r="C669" s="370"/>
      <c r="D669" s="370"/>
      <c r="E669" s="371"/>
      <c r="F669" s="371"/>
      <c r="G669" s="371"/>
      <c r="H669" s="370"/>
    </row>
    <row r="670" ht="15.75" customHeight="1">
      <c r="C670" s="370"/>
      <c r="D670" s="370"/>
      <c r="E670" s="371"/>
      <c r="F670" s="371"/>
      <c r="G670" s="371"/>
      <c r="H670" s="370"/>
    </row>
    <row r="671" ht="15.75" customHeight="1">
      <c r="C671" s="370"/>
      <c r="D671" s="370"/>
      <c r="E671" s="371"/>
      <c r="F671" s="371"/>
      <c r="G671" s="371"/>
      <c r="H671" s="370"/>
    </row>
    <row r="672" ht="15.75" customHeight="1">
      <c r="C672" s="370"/>
      <c r="D672" s="370"/>
      <c r="E672" s="371"/>
      <c r="F672" s="371"/>
      <c r="G672" s="371"/>
      <c r="H672" s="370"/>
    </row>
    <row r="673" ht="15.75" customHeight="1">
      <c r="C673" s="370"/>
      <c r="D673" s="370"/>
      <c r="E673" s="371"/>
      <c r="F673" s="371"/>
      <c r="G673" s="371"/>
      <c r="H673" s="370"/>
    </row>
    <row r="674" ht="15.75" customHeight="1">
      <c r="C674" s="370"/>
      <c r="D674" s="370"/>
      <c r="E674" s="371"/>
      <c r="F674" s="371"/>
      <c r="G674" s="371"/>
      <c r="H674" s="370"/>
    </row>
    <row r="675" ht="15.75" customHeight="1">
      <c r="C675" s="370"/>
      <c r="D675" s="370"/>
      <c r="E675" s="371"/>
      <c r="F675" s="371"/>
      <c r="G675" s="371"/>
      <c r="H675" s="370"/>
    </row>
    <row r="676" ht="15.75" customHeight="1">
      <c r="C676" s="370"/>
      <c r="D676" s="370"/>
      <c r="E676" s="371"/>
      <c r="F676" s="371"/>
      <c r="G676" s="371"/>
      <c r="H676" s="370"/>
    </row>
    <row r="677" ht="15.75" customHeight="1">
      <c r="C677" s="370"/>
      <c r="D677" s="370"/>
      <c r="E677" s="371"/>
      <c r="F677" s="371"/>
      <c r="G677" s="371"/>
      <c r="H677" s="370"/>
    </row>
    <row r="678" ht="15.75" customHeight="1">
      <c r="C678" s="370"/>
      <c r="D678" s="370"/>
      <c r="E678" s="371"/>
      <c r="F678" s="371"/>
      <c r="G678" s="371"/>
      <c r="H678" s="370"/>
    </row>
    <row r="679" ht="15.75" customHeight="1">
      <c r="C679" s="370"/>
      <c r="D679" s="370"/>
      <c r="E679" s="371"/>
      <c r="F679" s="371"/>
      <c r="G679" s="371"/>
      <c r="H679" s="370"/>
    </row>
    <row r="680" ht="15.75" customHeight="1">
      <c r="C680" s="370"/>
      <c r="D680" s="370"/>
      <c r="E680" s="371"/>
      <c r="F680" s="371"/>
      <c r="G680" s="371"/>
      <c r="H680" s="370"/>
    </row>
    <row r="681" ht="15.75" customHeight="1">
      <c r="C681" s="370"/>
      <c r="D681" s="370"/>
      <c r="E681" s="371"/>
      <c r="F681" s="371"/>
      <c r="G681" s="371"/>
      <c r="H681" s="370"/>
    </row>
    <row r="682" ht="15.75" customHeight="1">
      <c r="C682" s="370"/>
      <c r="D682" s="370"/>
      <c r="E682" s="371"/>
      <c r="F682" s="371"/>
      <c r="G682" s="371"/>
      <c r="H682" s="370"/>
    </row>
    <row r="683" ht="15.75" customHeight="1">
      <c r="C683" s="370"/>
      <c r="D683" s="370"/>
      <c r="E683" s="371"/>
      <c r="F683" s="371"/>
      <c r="G683" s="371"/>
      <c r="H683" s="370"/>
    </row>
    <row r="684" ht="15.75" customHeight="1">
      <c r="C684" s="370"/>
      <c r="D684" s="370"/>
      <c r="E684" s="371"/>
      <c r="F684" s="371"/>
      <c r="G684" s="371"/>
      <c r="H684" s="370"/>
    </row>
    <row r="685" ht="15.75" customHeight="1">
      <c r="C685" s="370"/>
      <c r="D685" s="370"/>
      <c r="E685" s="371"/>
      <c r="F685" s="371"/>
      <c r="G685" s="371"/>
      <c r="H685" s="370"/>
    </row>
    <row r="686" ht="15.75" customHeight="1">
      <c r="C686" s="370"/>
      <c r="D686" s="370"/>
      <c r="E686" s="371"/>
      <c r="F686" s="371"/>
      <c r="G686" s="371"/>
      <c r="H686" s="370"/>
    </row>
    <row r="687" ht="15.75" customHeight="1">
      <c r="C687" s="370"/>
      <c r="D687" s="370"/>
      <c r="E687" s="371"/>
      <c r="F687" s="371"/>
      <c r="G687" s="371"/>
      <c r="H687" s="370"/>
    </row>
    <row r="688" ht="15.75" customHeight="1">
      <c r="C688" s="370"/>
      <c r="D688" s="370"/>
      <c r="E688" s="371"/>
      <c r="F688" s="371"/>
      <c r="G688" s="371"/>
      <c r="H688" s="370"/>
    </row>
    <row r="689" ht="15.75" customHeight="1">
      <c r="C689" s="370"/>
      <c r="D689" s="370"/>
      <c r="E689" s="371"/>
      <c r="F689" s="371"/>
      <c r="G689" s="371"/>
      <c r="H689" s="370"/>
    </row>
    <row r="690" ht="15.75" customHeight="1">
      <c r="C690" s="370"/>
      <c r="D690" s="370"/>
      <c r="E690" s="371"/>
      <c r="F690" s="371"/>
      <c r="G690" s="371"/>
      <c r="H690" s="370"/>
    </row>
    <row r="691" ht="15.75" customHeight="1">
      <c r="C691" s="370"/>
      <c r="D691" s="370"/>
      <c r="E691" s="371"/>
      <c r="F691" s="371"/>
      <c r="G691" s="371"/>
      <c r="H691" s="370"/>
    </row>
    <row r="692" ht="15.75" customHeight="1">
      <c r="C692" s="370"/>
      <c r="D692" s="370"/>
      <c r="E692" s="371"/>
      <c r="F692" s="371"/>
      <c r="G692" s="371"/>
      <c r="H692" s="370"/>
    </row>
    <row r="693" ht="15.75" customHeight="1">
      <c r="C693" s="370"/>
      <c r="D693" s="370"/>
      <c r="E693" s="371"/>
      <c r="F693" s="371"/>
      <c r="G693" s="371"/>
      <c r="H693" s="370"/>
    </row>
    <row r="694" ht="15.75" customHeight="1">
      <c r="C694" s="370"/>
      <c r="D694" s="370"/>
      <c r="E694" s="371"/>
      <c r="F694" s="371"/>
      <c r="G694" s="371"/>
      <c r="H694" s="370"/>
    </row>
    <row r="695" ht="15.75" customHeight="1">
      <c r="C695" s="370"/>
      <c r="D695" s="370"/>
      <c r="E695" s="371"/>
      <c r="F695" s="371"/>
      <c r="G695" s="371"/>
      <c r="H695" s="370"/>
    </row>
    <row r="696" ht="15.75" customHeight="1">
      <c r="C696" s="370"/>
      <c r="D696" s="370"/>
      <c r="E696" s="371"/>
      <c r="F696" s="371"/>
      <c r="G696" s="371"/>
      <c r="H696" s="370"/>
    </row>
    <row r="697" ht="15.75" customHeight="1">
      <c r="C697" s="370"/>
      <c r="D697" s="370"/>
      <c r="E697" s="371"/>
      <c r="F697" s="371"/>
      <c r="G697" s="371"/>
      <c r="H697" s="370"/>
    </row>
    <row r="698" ht="15.75" customHeight="1">
      <c r="C698" s="370"/>
      <c r="D698" s="370"/>
      <c r="E698" s="371"/>
      <c r="F698" s="371"/>
      <c r="G698" s="371"/>
      <c r="H698" s="370"/>
    </row>
    <row r="699" ht="15.75" customHeight="1">
      <c r="C699" s="370"/>
      <c r="D699" s="370"/>
      <c r="E699" s="371"/>
      <c r="F699" s="371"/>
      <c r="G699" s="371"/>
      <c r="H699" s="370"/>
    </row>
    <row r="700" ht="15.75" customHeight="1">
      <c r="C700" s="370"/>
      <c r="D700" s="370"/>
      <c r="E700" s="371"/>
      <c r="F700" s="371"/>
      <c r="G700" s="371"/>
      <c r="H700" s="370"/>
    </row>
    <row r="701" ht="15.75" customHeight="1">
      <c r="C701" s="370"/>
      <c r="D701" s="370"/>
      <c r="E701" s="371"/>
      <c r="F701" s="371"/>
      <c r="G701" s="371"/>
      <c r="H701" s="370"/>
    </row>
    <row r="702" ht="15.75" customHeight="1">
      <c r="C702" s="370"/>
      <c r="D702" s="370"/>
      <c r="E702" s="371"/>
      <c r="F702" s="371"/>
      <c r="G702" s="371"/>
      <c r="H702" s="370"/>
    </row>
    <row r="703" ht="15.75" customHeight="1">
      <c r="C703" s="370"/>
      <c r="D703" s="370"/>
      <c r="E703" s="371"/>
      <c r="F703" s="371"/>
      <c r="G703" s="371"/>
      <c r="H703" s="370"/>
    </row>
    <row r="704" ht="15.75" customHeight="1">
      <c r="C704" s="370"/>
      <c r="D704" s="370"/>
      <c r="E704" s="371"/>
      <c r="F704" s="371"/>
      <c r="G704" s="371"/>
      <c r="H704" s="370"/>
    </row>
    <row r="705" ht="15.75" customHeight="1">
      <c r="C705" s="370"/>
      <c r="D705" s="370"/>
      <c r="E705" s="371"/>
      <c r="F705" s="371"/>
      <c r="G705" s="371"/>
      <c r="H705" s="370"/>
    </row>
    <row r="706" ht="15.75" customHeight="1">
      <c r="C706" s="370"/>
      <c r="D706" s="370"/>
      <c r="E706" s="371"/>
      <c r="F706" s="371"/>
      <c r="G706" s="371"/>
      <c r="H706" s="370"/>
    </row>
    <row r="707" ht="15.75" customHeight="1">
      <c r="C707" s="370"/>
      <c r="D707" s="370"/>
      <c r="E707" s="371"/>
      <c r="F707" s="371"/>
      <c r="G707" s="371"/>
      <c r="H707" s="370"/>
    </row>
    <row r="708" ht="15.75" customHeight="1">
      <c r="C708" s="370"/>
      <c r="D708" s="370"/>
      <c r="E708" s="371"/>
      <c r="F708" s="371"/>
      <c r="G708" s="371"/>
      <c r="H708" s="370"/>
    </row>
    <row r="709" ht="15.75" customHeight="1">
      <c r="C709" s="370"/>
      <c r="D709" s="370"/>
      <c r="E709" s="371"/>
      <c r="F709" s="371"/>
      <c r="G709" s="371"/>
      <c r="H709" s="370"/>
    </row>
    <row r="710" ht="15.75" customHeight="1">
      <c r="C710" s="370"/>
      <c r="D710" s="370"/>
      <c r="E710" s="371"/>
      <c r="F710" s="371"/>
      <c r="G710" s="371"/>
      <c r="H710" s="370"/>
    </row>
    <row r="711" ht="15.75" customHeight="1">
      <c r="C711" s="370"/>
      <c r="D711" s="370"/>
      <c r="E711" s="371"/>
      <c r="F711" s="371"/>
      <c r="G711" s="371"/>
      <c r="H711" s="370"/>
    </row>
    <row r="712" ht="15.75" customHeight="1">
      <c r="C712" s="370"/>
      <c r="D712" s="370"/>
      <c r="E712" s="371"/>
      <c r="F712" s="371"/>
      <c r="G712" s="371"/>
      <c r="H712" s="370"/>
    </row>
    <row r="713" ht="15.75" customHeight="1">
      <c r="C713" s="370"/>
      <c r="D713" s="370"/>
      <c r="E713" s="371"/>
      <c r="F713" s="371"/>
      <c r="G713" s="371"/>
      <c r="H713" s="370"/>
    </row>
    <row r="714" ht="15.75" customHeight="1">
      <c r="C714" s="370"/>
      <c r="D714" s="370"/>
      <c r="E714" s="371"/>
      <c r="F714" s="371"/>
      <c r="G714" s="371"/>
      <c r="H714" s="370"/>
    </row>
    <row r="715" ht="15.75" customHeight="1">
      <c r="C715" s="370"/>
      <c r="D715" s="370"/>
      <c r="E715" s="371"/>
      <c r="F715" s="371"/>
      <c r="G715" s="371"/>
      <c r="H715" s="370"/>
    </row>
    <row r="716" ht="15.75" customHeight="1">
      <c r="C716" s="370"/>
      <c r="D716" s="370"/>
      <c r="E716" s="371"/>
      <c r="F716" s="371"/>
      <c r="G716" s="371"/>
      <c r="H716" s="370"/>
    </row>
    <row r="717" ht="15.75" customHeight="1">
      <c r="C717" s="370"/>
      <c r="D717" s="370"/>
      <c r="E717" s="371"/>
      <c r="F717" s="371"/>
      <c r="G717" s="371"/>
      <c r="H717" s="370"/>
    </row>
    <row r="718" ht="15.75" customHeight="1">
      <c r="C718" s="370"/>
      <c r="D718" s="370"/>
      <c r="E718" s="371"/>
      <c r="F718" s="371"/>
      <c r="G718" s="371"/>
      <c r="H718" s="370"/>
    </row>
    <row r="719" ht="15.75" customHeight="1">
      <c r="C719" s="370"/>
      <c r="D719" s="370"/>
      <c r="E719" s="371"/>
      <c r="F719" s="371"/>
      <c r="G719" s="371"/>
      <c r="H719" s="370"/>
    </row>
    <row r="720" ht="15.75" customHeight="1">
      <c r="C720" s="370"/>
      <c r="D720" s="370"/>
      <c r="E720" s="371"/>
      <c r="F720" s="371"/>
      <c r="G720" s="371"/>
      <c r="H720" s="370"/>
    </row>
    <row r="721" ht="15.75" customHeight="1">
      <c r="C721" s="370"/>
      <c r="D721" s="370"/>
      <c r="E721" s="371"/>
      <c r="F721" s="371"/>
      <c r="G721" s="371"/>
      <c r="H721" s="370"/>
    </row>
    <row r="722" ht="15.75" customHeight="1">
      <c r="C722" s="370"/>
      <c r="D722" s="370"/>
      <c r="E722" s="371"/>
      <c r="F722" s="371"/>
      <c r="G722" s="371"/>
      <c r="H722" s="370"/>
    </row>
    <row r="723" ht="15.75" customHeight="1">
      <c r="C723" s="370"/>
      <c r="D723" s="370"/>
      <c r="E723" s="371"/>
      <c r="F723" s="371"/>
      <c r="G723" s="371"/>
      <c r="H723" s="370"/>
    </row>
    <row r="724" ht="15.75" customHeight="1">
      <c r="C724" s="370"/>
      <c r="D724" s="370"/>
      <c r="E724" s="371"/>
      <c r="F724" s="371"/>
      <c r="G724" s="371"/>
      <c r="H724" s="370"/>
    </row>
    <row r="725" ht="15.75" customHeight="1">
      <c r="C725" s="370"/>
      <c r="D725" s="370"/>
      <c r="E725" s="371"/>
      <c r="F725" s="371"/>
      <c r="G725" s="371"/>
      <c r="H725" s="370"/>
    </row>
    <row r="726" ht="15.75" customHeight="1">
      <c r="C726" s="370"/>
      <c r="D726" s="370"/>
      <c r="E726" s="371"/>
      <c r="F726" s="371"/>
      <c r="G726" s="371"/>
      <c r="H726" s="370"/>
    </row>
    <row r="727" ht="15.75" customHeight="1">
      <c r="C727" s="370"/>
      <c r="D727" s="370"/>
      <c r="E727" s="371"/>
      <c r="F727" s="371"/>
      <c r="G727" s="371"/>
      <c r="H727" s="370"/>
    </row>
    <row r="728" ht="15.75" customHeight="1">
      <c r="C728" s="370"/>
      <c r="D728" s="370"/>
      <c r="E728" s="371"/>
      <c r="F728" s="371"/>
      <c r="G728" s="371"/>
      <c r="H728" s="370"/>
    </row>
    <row r="729" ht="15.75" customHeight="1">
      <c r="C729" s="370"/>
      <c r="D729" s="370"/>
      <c r="E729" s="371"/>
      <c r="F729" s="371"/>
      <c r="G729" s="371"/>
      <c r="H729" s="370"/>
    </row>
    <row r="730" ht="15.75" customHeight="1">
      <c r="C730" s="370"/>
      <c r="D730" s="370"/>
      <c r="E730" s="371"/>
      <c r="F730" s="371"/>
      <c r="G730" s="371"/>
      <c r="H730" s="370"/>
    </row>
    <row r="731" ht="15.75" customHeight="1">
      <c r="C731" s="370"/>
      <c r="D731" s="370"/>
      <c r="E731" s="371"/>
      <c r="F731" s="371"/>
      <c r="G731" s="371"/>
      <c r="H731" s="370"/>
    </row>
    <row r="732" ht="15.75" customHeight="1">
      <c r="C732" s="370"/>
      <c r="D732" s="370"/>
      <c r="E732" s="371"/>
      <c r="F732" s="371"/>
      <c r="G732" s="371"/>
      <c r="H732" s="370"/>
    </row>
    <row r="733" ht="15.75" customHeight="1">
      <c r="C733" s="370"/>
      <c r="D733" s="370"/>
      <c r="E733" s="371"/>
      <c r="F733" s="371"/>
      <c r="G733" s="371"/>
      <c r="H733" s="370"/>
    </row>
    <row r="734" ht="15.75" customHeight="1">
      <c r="C734" s="370"/>
      <c r="D734" s="370"/>
      <c r="E734" s="371"/>
      <c r="F734" s="371"/>
      <c r="G734" s="371"/>
      <c r="H734" s="370"/>
    </row>
    <row r="735" ht="15.75" customHeight="1">
      <c r="C735" s="370"/>
      <c r="D735" s="370"/>
      <c r="E735" s="371"/>
      <c r="F735" s="371"/>
      <c r="G735" s="371"/>
      <c r="H735" s="370"/>
    </row>
    <row r="736" ht="15.75" customHeight="1">
      <c r="C736" s="370"/>
      <c r="D736" s="370"/>
      <c r="E736" s="371"/>
      <c r="F736" s="371"/>
      <c r="G736" s="371"/>
      <c r="H736" s="370"/>
    </row>
    <row r="737" ht="15.75" customHeight="1">
      <c r="C737" s="370"/>
      <c r="D737" s="370"/>
      <c r="E737" s="371"/>
      <c r="F737" s="371"/>
      <c r="G737" s="371"/>
      <c r="H737" s="370"/>
    </row>
    <row r="738" ht="15.75" customHeight="1">
      <c r="C738" s="370"/>
      <c r="D738" s="370"/>
      <c r="E738" s="371"/>
      <c r="F738" s="371"/>
      <c r="G738" s="371"/>
      <c r="H738" s="370"/>
    </row>
    <row r="739" ht="15.75" customHeight="1">
      <c r="C739" s="370"/>
      <c r="D739" s="370"/>
      <c r="E739" s="371"/>
      <c r="F739" s="371"/>
      <c r="G739" s="371"/>
      <c r="H739" s="370"/>
    </row>
    <row r="740" ht="15.75" customHeight="1">
      <c r="C740" s="370"/>
      <c r="D740" s="370"/>
      <c r="E740" s="371"/>
      <c r="F740" s="371"/>
      <c r="G740" s="371"/>
      <c r="H740" s="370"/>
    </row>
    <row r="741" ht="15.75" customHeight="1">
      <c r="C741" s="370"/>
      <c r="D741" s="370"/>
      <c r="E741" s="371"/>
      <c r="F741" s="371"/>
      <c r="G741" s="371"/>
      <c r="H741" s="370"/>
    </row>
    <row r="742" ht="15.75" customHeight="1">
      <c r="C742" s="370"/>
      <c r="D742" s="370"/>
      <c r="E742" s="371"/>
      <c r="F742" s="371"/>
      <c r="G742" s="371"/>
      <c r="H742" s="370"/>
    </row>
    <row r="743" ht="15.75" customHeight="1">
      <c r="C743" s="370"/>
      <c r="D743" s="370"/>
      <c r="E743" s="371"/>
      <c r="F743" s="371"/>
      <c r="G743" s="371"/>
      <c r="H743" s="370"/>
    </row>
    <row r="744" ht="15.75" customHeight="1">
      <c r="C744" s="370"/>
      <c r="D744" s="370"/>
      <c r="E744" s="371"/>
      <c r="F744" s="371"/>
      <c r="G744" s="371"/>
      <c r="H744" s="370"/>
    </row>
    <row r="745" ht="15.75" customHeight="1">
      <c r="C745" s="370"/>
      <c r="D745" s="370"/>
      <c r="E745" s="371"/>
      <c r="F745" s="371"/>
      <c r="G745" s="371"/>
      <c r="H745" s="370"/>
    </row>
    <row r="746" ht="15.75" customHeight="1">
      <c r="C746" s="370"/>
      <c r="D746" s="370"/>
      <c r="E746" s="371"/>
      <c r="F746" s="371"/>
      <c r="G746" s="371"/>
      <c r="H746" s="370"/>
    </row>
    <row r="747" ht="15.75" customHeight="1">
      <c r="C747" s="370"/>
      <c r="D747" s="370"/>
      <c r="E747" s="371"/>
      <c r="F747" s="371"/>
      <c r="G747" s="371"/>
      <c r="H747" s="370"/>
    </row>
    <row r="748" ht="15.75" customHeight="1">
      <c r="C748" s="370"/>
      <c r="D748" s="370"/>
      <c r="E748" s="371"/>
      <c r="F748" s="371"/>
      <c r="G748" s="371"/>
      <c r="H748" s="370"/>
    </row>
    <row r="749" ht="15.75" customHeight="1">
      <c r="C749" s="370"/>
      <c r="D749" s="370"/>
      <c r="E749" s="371"/>
      <c r="F749" s="371"/>
      <c r="G749" s="371"/>
      <c r="H749" s="370"/>
    </row>
    <row r="750" ht="15.75" customHeight="1">
      <c r="C750" s="370"/>
      <c r="D750" s="370"/>
      <c r="E750" s="371"/>
      <c r="F750" s="371"/>
      <c r="G750" s="371"/>
      <c r="H750" s="370"/>
    </row>
    <row r="751" ht="15.75" customHeight="1">
      <c r="C751" s="370"/>
      <c r="D751" s="370"/>
      <c r="E751" s="371"/>
      <c r="F751" s="371"/>
      <c r="G751" s="371"/>
      <c r="H751" s="370"/>
    </row>
    <row r="752" ht="15.75" customHeight="1">
      <c r="C752" s="370"/>
      <c r="D752" s="370"/>
      <c r="E752" s="371"/>
      <c r="F752" s="371"/>
      <c r="G752" s="371"/>
      <c r="H752" s="370"/>
    </row>
    <row r="753" ht="15.75" customHeight="1">
      <c r="C753" s="370"/>
      <c r="D753" s="370"/>
      <c r="E753" s="371"/>
      <c r="F753" s="371"/>
      <c r="G753" s="371"/>
      <c r="H753" s="370"/>
    </row>
    <row r="754" ht="15.75" customHeight="1">
      <c r="C754" s="370"/>
      <c r="D754" s="370"/>
      <c r="E754" s="371"/>
      <c r="F754" s="371"/>
      <c r="G754" s="371"/>
      <c r="H754" s="370"/>
    </row>
    <row r="755" ht="15.75" customHeight="1">
      <c r="C755" s="370"/>
      <c r="D755" s="370"/>
      <c r="E755" s="371"/>
      <c r="F755" s="371"/>
      <c r="G755" s="371"/>
      <c r="H755" s="370"/>
    </row>
    <row r="756" ht="15.75" customHeight="1">
      <c r="C756" s="370"/>
      <c r="D756" s="370"/>
      <c r="E756" s="371"/>
      <c r="F756" s="371"/>
      <c r="G756" s="371"/>
      <c r="H756" s="370"/>
    </row>
    <row r="757" ht="15.75" customHeight="1">
      <c r="C757" s="370"/>
      <c r="D757" s="370"/>
      <c r="E757" s="371"/>
      <c r="F757" s="371"/>
      <c r="G757" s="371"/>
      <c r="H757" s="370"/>
    </row>
    <row r="758" ht="15.75" customHeight="1">
      <c r="C758" s="370"/>
      <c r="D758" s="370"/>
      <c r="E758" s="371"/>
      <c r="F758" s="371"/>
      <c r="G758" s="371"/>
      <c r="H758" s="370"/>
    </row>
    <row r="759" ht="15.75" customHeight="1">
      <c r="C759" s="370"/>
      <c r="D759" s="370"/>
      <c r="E759" s="371"/>
      <c r="F759" s="371"/>
      <c r="G759" s="371"/>
      <c r="H759" s="370"/>
    </row>
    <row r="760" ht="15.75" customHeight="1">
      <c r="C760" s="370"/>
      <c r="D760" s="370"/>
      <c r="E760" s="371"/>
      <c r="F760" s="371"/>
      <c r="G760" s="371"/>
      <c r="H760" s="370"/>
    </row>
    <row r="761" ht="15.75" customHeight="1">
      <c r="C761" s="370"/>
      <c r="D761" s="370"/>
      <c r="E761" s="371"/>
      <c r="F761" s="371"/>
      <c r="G761" s="371"/>
      <c r="H761" s="370"/>
    </row>
    <row r="762" ht="15.75" customHeight="1">
      <c r="C762" s="370"/>
      <c r="D762" s="370"/>
      <c r="E762" s="371"/>
      <c r="F762" s="371"/>
      <c r="G762" s="371"/>
      <c r="H762" s="370"/>
    </row>
    <row r="763" ht="15.75" customHeight="1">
      <c r="C763" s="370"/>
      <c r="D763" s="370"/>
      <c r="E763" s="371"/>
      <c r="F763" s="371"/>
      <c r="G763" s="371"/>
      <c r="H763" s="370"/>
    </row>
    <row r="764" ht="15.75" customHeight="1">
      <c r="C764" s="370"/>
      <c r="D764" s="370"/>
      <c r="E764" s="371"/>
      <c r="F764" s="371"/>
      <c r="G764" s="371"/>
      <c r="H764" s="370"/>
    </row>
    <row r="765" ht="15.75" customHeight="1">
      <c r="C765" s="370"/>
      <c r="D765" s="370"/>
      <c r="E765" s="371"/>
      <c r="F765" s="371"/>
      <c r="G765" s="371"/>
      <c r="H765" s="370"/>
    </row>
    <row r="766" ht="15.75" customHeight="1">
      <c r="C766" s="370"/>
      <c r="D766" s="370"/>
      <c r="E766" s="371"/>
      <c r="F766" s="371"/>
      <c r="G766" s="371"/>
      <c r="H766" s="370"/>
    </row>
    <row r="767" ht="15.75" customHeight="1">
      <c r="C767" s="370"/>
      <c r="D767" s="370"/>
      <c r="E767" s="371"/>
      <c r="F767" s="371"/>
      <c r="G767" s="371"/>
      <c r="H767" s="370"/>
    </row>
    <row r="768" ht="15.75" customHeight="1">
      <c r="C768" s="370"/>
      <c r="D768" s="370"/>
      <c r="E768" s="371"/>
      <c r="F768" s="371"/>
      <c r="G768" s="371"/>
      <c r="H768" s="370"/>
    </row>
    <row r="769" ht="15.75" customHeight="1">
      <c r="C769" s="370"/>
      <c r="D769" s="370"/>
      <c r="E769" s="371"/>
      <c r="F769" s="371"/>
      <c r="G769" s="371"/>
      <c r="H769" s="370"/>
    </row>
    <row r="770" ht="15.75" customHeight="1">
      <c r="C770" s="370"/>
      <c r="D770" s="370"/>
      <c r="E770" s="371"/>
      <c r="F770" s="371"/>
      <c r="G770" s="371"/>
      <c r="H770" s="370"/>
    </row>
    <row r="771" ht="15.75" customHeight="1">
      <c r="C771" s="370"/>
      <c r="D771" s="370"/>
      <c r="E771" s="371"/>
      <c r="F771" s="371"/>
      <c r="G771" s="371"/>
      <c r="H771" s="370"/>
    </row>
    <row r="772" ht="15.75" customHeight="1">
      <c r="C772" s="370"/>
      <c r="D772" s="370"/>
      <c r="E772" s="371"/>
      <c r="F772" s="371"/>
      <c r="G772" s="371"/>
      <c r="H772" s="370"/>
    </row>
    <row r="773" ht="15.75" customHeight="1">
      <c r="C773" s="370"/>
      <c r="D773" s="370"/>
      <c r="E773" s="371"/>
      <c r="F773" s="371"/>
      <c r="G773" s="371"/>
      <c r="H773" s="370"/>
    </row>
    <row r="774" ht="15.75" customHeight="1">
      <c r="C774" s="370"/>
      <c r="D774" s="370"/>
      <c r="E774" s="371"/>
      <c r="F774" s="371"/>
      <c r="G774" s="371"/>
      <c r="H774" s="370"/>
    </row>
    <row r="775" ht="15.75" customHeight="1">
      <c r="C775" s="370"/>
      <c r="D775" s="370"/>
      <c r="E775" s="371"/>
      <c r="F775" s="371"/>
      <c r="G775" s="371"/>
      <c r="H775" s="370"/>
    </row>
    <row r="776" ht="15.75" customHeight="1">
      <c r="C776" s="370"/>
      <c r="D776" s="370"/>
      <c r="E776" s="371"/>
      <c r="F776" s="371"/>
      <c r="G776" s="371"/>
      <c r="H776" s="370"/>
    </row>
    <row r="777" ht="15.75" customHeight="1">
      <c r="C777" s="370"/>
      <c r="D777" s="370"/>
      <c r="E777" s="371"/>
      <c r="F777" s="371"/>
      <c r="G777" s="371"/>
      <c r="H777" s="370"/>
    </row>
    <row r="778" ht="15.75" customHeight="1">
      <c r="C778" s="370"/>
      <c r="D778" s="370"/>
      <c r="E778" s="371"/>
      <c r="F778" s="371"/>
      <c r="G778" s="371"/>
      <c r="H778" s="370"/>
    </row>
    <row r="779" ht="15.75" customHeight="1">
      <c r="C779" s="370"/>
      <c r="D779" s="370"/>
      <c r="E779" s="371"/>
      <c r="F779" s="371"/>
      <c r="G779" s="371"/>
      <c r="H779" s="370"/>
    </row>
    <row r="780" ht="15.75" customHeight="1">
      <c r="C780" s="370"/>
      <c r="D780" s="370"/>
      <c r="E780" s="371"/>
      <c r="F780" s="371"/>
      <c r="G780" s="371"/>
      <c r="H780" s="370"/>
    </row>
    <row r="781" ht="15.75" customHeight="1">
      <c r="C781" s="370"/>
      <c r="D781" s="370"/>
      <c r="E781" s="371"/>
      <c r="F781" s="371"/>
      <c r="G781" s="371"/>
      <c r="H781" s="370"/>
    </row>
    <row r="782" ht="15.75" customHeight="1">
      <c r="C782" s="370"/>
      <c r="D782" s="370"/>
      <c r="E782" s="371"/>
      <c r="F782" s="371"/>
      <c r="G782" s="371"/>
      <c r="H782" s="370"/>
    </row>
    <row r="783" ht="15.75" customHeight="1">
      <c r="C783" s="370"/>
      <c r="D783" s="370"/>
      <c r="E783" s="371"/>
      <c r="F783" s="371"/>
      <c r="G783" s="371"/>
      <c r="H783" s="370"/>
    </row>
    <row r="784" ht="15.75" customHeight="1">
      <c r="C784" s="370"/>
      <c r="D784" s="370"/>
      <c r="E784" s="371"/>
      <c r="F784" s="371"/>
      <c r="G784" s="371"/>
      <c r="H784" s="370"/>
    </row>
    <row r="785" ht="15.75" customHeight="1">
      <c r="C785" s="370"/>
      <c r="D785" s="370"/>
      <c r="E785" s="371"/>
      <c r="F785" s="371"/>
      <c r="G785" s="371"/>
      <c r="H785" s="370"/>
    </row>
    <row r="786" ht="15.75" customHeight="1">
      <c r="C786" s="370"/>
      <c r="D786" s="370"/>
      <c r="E786" s="371"/>
      <c r="F786" s="371"/>
      <c r="G786" s="371"/>
      <c r="H786" s="370"/>
    </row>
    <row r="787" ht="15.75" customHeight="1">
      <c r="C787" s="370"/>
      <c r="D787" s="370"/>
      <c r="E787" s="371"/>
      <c r="F787" s="371"/>
      <c r="G787" s="371"/>
      <c r="H787" s="370"/>
    </row>
    <row r="788" ht="15.75" customHeight="1">
      <c r="C788" s="370"/>
      <c r="D788" s="370"/>
      <c r="E788" s="371"/>
      <c r="F788" s="371"/>
      <c r="G788" s="371"/>
      <c r="H788" s="370"/>
    </row>
    <row r="789" ht="15.75" customHeight="1">
      <c r="C789" s="370"/>
      <c r="D789" s="370"/>
      <c r="E789" s="371"/>
      <c r="F789" s="371"/>
      <c r="G789" s="371"/>
      <c r="H789" s="370"/>
    </row>
    <row r="790" ht="15.75" customHeight="1">
      <c r="C790" s="370"/>
      <c r="D790" s="370"/>
      <c r="E790" s="371"/>
      <c r="F790" s="371"/>
      <c r="G790" s="371"/>
      <c r="H790" s="370"/>
    </row>
    <row r="791" ht="15.75" customHeight="1">
      <c r="C791" s="370"/>
      <c r="D791" s="370"/>
      <c r="E791" s="371"/>
      <c r="F791" s="371"/>
      <c r="G791" s="371"/>
      <c r="H791" s="370"/>
    </row>
    <row r="792" ht="15.75" customHeight="1">
      <c r="C792" s="370"/>
      <c r="D792" s="370"/>
      <c r="E792" s="371"/>
      <c r="F792" s="371"/>
      <c r="G792" s="371"/>
      <c r="H792" s="370"/>
    </row>
    <row r="793" ht="15.75" customHeight="1">
      <c r="C793" s="370"/>
      <c r="D793" s="370"/>
      <c r="E793" s="371"/>
      <c r="F793" s="371"/>
      <c r="G793" s="371"/>
      <c r="H793" s="370"/>
    </row>
    <row r="794" ht="15.75" customHeight="1">
      <c r="C794" s="370"/>
      <c r="D794" s="370"/>
      <c r="E794" s="371"/>
      <c r="F794" s="371"/>
      <c r="G794" s="371"/>
      <c r="H794" s="370"/>
    </row>
    <row r="795" ht="15.75" customHeight="1">
      <c r="C795" s="370"/>
      <c r="D795" s="370"/>
      <c r="E795" s="371"/>
      <c r="F795" s="371"/>
      <c r="G795" s="371"/>
      <c r="H795" s="370"/>
    </row>
    <row r="796" ht="15.75" customHeight="1">
      <c r="C796" s="370"/>
      <c r="D796" s="370"/>
      <c r="E796" s="371"/>
      <c r="F796" s="371"/>
      <c r="G796" s="371"/>
      <c r="H796" s="370"/>
    </row>
    <row r="797" ht="15.75" customHeight="1">
      <c r="C797" s="370"/>
      <c r="D797" s="370"/>
      <c r="E797" s="371"/>
      <c r="F797" s="371"/>
      <c r="G797" s="371"/>
      <c r="H797" s="370"/>
    </row>
    <row r="798" ht="15.75" customHeight="1">
      <c r="C798" s="370"/>
      <c r="D798" s="370"/>
      <c r="E798" s="371"/>
      <c r="F798" s="371"/>
      <c r="G798" s="371"/>
      <c r="H798" s="370"/>
    </row>
    <row r="799" ht="15.75" customHeight="1">
      <c r="C799" s="370"/>
      <c r="D799" s="370"/>
      <c r="E799" s="371"/>
      <c r="F799" s="371"/>
      <c r="G799" s="371"/>
      <c r="H799" s="370"/>
    </row>
    <row r="800" ht="15.75" customHeight="1">
      <c r="C800" s="370"/>
      <c r="D800" s="370"/>
      <c r="E800" s="371"/>
      <c r="F800" s="371"/>
      <c r="G800" s="371"/>
      <c r="H800" s="370"/>
    </row>
    <row r="801" ht="15.75" customHeight="1">
      <c r="C801" s="370"/>
      <c r="D801" s="370"/>
      <c r="E801" s="371"/>
      <c r="F801" s="371"/>
      <c r="G801" s="371"/>
      <c r="H801" s="370"/>
    </row>
    <row r="802" ht="15.75" customHeight="1">
      <c r="C802" s="370"/>
      <c r="D802" s="370"/>
      <c r="E802" s="371"/>
      <c r="F802" s="371"/>
      <c r="G802" s="371"/>
      <c r="H802" s="370"/>
    </row>
    <row r="803" ht="15.75" customHeight="1">
      <c r="C803" s="370"/>
      <c r="D803" s="370"/>
      <c r="E803" s="371"/>
      <c r="F803" s="371"/>
      <c r="G803" s="371"/>
      <c r="H803" s="370"/>
    </row>
    <row r="804" ht="15.75" customHeight="1">
      <c r="C804" s="370"/>
      <c r="D804" s="370"/>
      <c r="E804" s="371"/>
      <c r="F804" s="371"/>
      <c r="G804" s="371"/>
      <c r="H804" s="370"/>
    </row>
    <row r="805" ht="15.75" customHeight="1">
      <c r="C805" s="370"/>
      <c r="D805" s="370"/>
      <c r="E805" s="371"/>
      <c r="F805" s="371"/>
      <c r="G805" s="371"/>
      <c r="H805" s="370"/>
    </row>
    <row r="806" ht="15.75" customHeight="1">
      <c r="C806" s="370"/>
      <c r="D806" s="370"/>
      <c r="E806" s="371"/>
      <c r="F806" s="371"/>
      <c r="G806" s="371"/>
      <c r="H806" s="370"/>
    </row>
    <row r="807" ht="15.75" customHeight="1">
      <c r="C807" s="370"/>
      <c r="D807" s="370"/>
      <c r="E807" s="371"/>
      <c r="F807" s="371"/>
      <c r="G807" s="371"/>
      <c r="H807" s="370"/>
    </row>
    <row r="808" ht="15.75" customHeight="1">
      <c r="C808" s="370"/>
      <c r="D808" s="370"/>
      <c r="E808" s="371"/>
      <c r="F808" s="371"/>
      <c r="G808" s="371"/>
      <c r="H808" s="370"/>
    </row>
    <row r="809" ht="15.75" customHeight="1">
      <c r="C809" s="370"/>
      <c r="D809" s="370"/>
      <c r="E809" s="371"/>
      <c r="F809" s="371"/>
      <c r="G809" s="371"/>
      <c r="H809" s="370"/>
    </row>
    <row r="810" ht="15.75" customHeight="1">
      <c r="C810" s="370"/>
      <c r="D810" s="370"/>
      <c r="E810" s="371"/>
      <c r="F810" s="371"/>
      <c r="G810" s="371"/>
      <c r="H810" s="370"/>
    </row>
    <row r="811" ht="15.75" customHeight="1">
      <c r="C811" s="370"/>
      <c r="D811" s="370"/>
      <c r="E811" s="371"/>
      <c r="F811" s="371"/>
      <c r="G811" s="371"/>
      <c r="H811" s="370"/>
    </row>
    <row r="812" ht="15.75" customHeight="1">
      <c r="C812" s="370"/>
      <c r="D812" s="370"/>
      <c r="E812" s="371"/>
      <c r="F812" s="371"/>
      <c r="G812" s="371"/>
      <c r="H812" s="370"/>
    </row>
    <row r="813" ht="15.75" customHeight="1">
      <c r="C813" s="370"/>
      <c r="D813" s="370"/>
      <c r="E813" s="371"/>
      <c r="F813" s="371"/>
      <c r="G813" s="371"/>
      <c r="H813" s="370"/>
    </row>
    <row r="814" ht="15.75" customHeight="1">
      <c r="C814" s="370"/>
      <c r="D814" s="370"/>
      <c r="E814" s="371"/>
      <c r="F814" s="371"/>
      <c r="G814" s="371"/>
      <c r="H814" s="370"/>
    </row>
    <row r="815" ht="15.75" customHeight="1">
      <c r="C815" s="370"/>
      <c r="D815" s="370"/>
      <c r="E815" s="371"/>
      <c r="F815" s="371"/>
      <c r="G815" s="371"/>
      <c r="H815" s="370"/>
    </row>
    <row r="816" ht="15.75" customHeight="1">
      <c r="C816" s="370"/>
      <c r="D816" s="370"/>
      <c r="E816" s="371"/>
      <c r="F816" s="371"/>
      <c r="G816" s="371"/>
      <c r="H816" s="370"/>
    </row>
    <row r="817" ht="15.75" customHeight="1">
      <c r="C817" s="370"/>
      <c r="D817" s="370"/>
      <c r="E817" s="371"/>
      <c r="F817" s="371"/>
      <c r="G817" s="371"/>
      <c r="H817" s="370"/>
    </row>
    <row r="818" ht="15.75" customHeight="1">
      <c r="C818" s="370"/>
      <c r="D818" s="370"/>
      <c r="E818" s="371"/>
      <c r="F818" s="371"/>
      <c r="G818" s="371"/>
      <c r="H818" s="370"/>
    </row>
    <row r="819" ht="15.75" customHeight="1">
      <c r="C819" s="370"/>
      <c r="D819" s="370"/>
      <c r="E819" s="371"/>
      <c r="F819" s="371"/>
      <c r="G819" s="371"/>
      <c r="H819" s="370"/>
    </row>
    <row r="820" ht="15.75" customHeight="1">
      <c r="C820" s="370"/>
      <c r="D820" s="370"/>
      <c r="E820" s="371"/>
      <c r="F820" s="371"/>
      <c r="G820" s="371"/>
      <c r="H820" s="370"/>
    </row>
    <row r="821" ht="15.75" customHeight="1">
      <c r="C821" s="370"/>
      <c r="D821" s="370"/>
      <c r="E821" s="371"/>
      <c r="F821" s="371"/>
      <c r="G821" s="371"/>
      <c r="H821" s="370"/>
    </row>
    <row r="822" ht="15.75" customHeight="1">
      <c r="C822" s="370"/>
      <c r="D822" s="370"/>
      <c r="E822" s="371"/>
      <c r="F822" s="371"/>
      <c r="G822" s="371"/>
      <c r="H822" s="370"/>
    </row>
    <row r="823" ht="15.75" customHeight="1">
      <c r="C823" s="370"/>
      <c r="D823" s="370"/>
      <c r="E823" s="371"/>
      <c r="F823" s="371"/>
      <c r="G823" s="371"/>
      <c r="H823" s="370"/>
    </row>
    <row r="824" ht="15.75" customHeight="1">
      <c r="C824" s="370"/>
      <c r="D824" s="370"/>
      <c r="E824" s="371"/>
      <c r="F824" s="371"/>
      <c r="G824" s="371"/>
      <c r="H824" s="370"/>
    </row>
    <row r="825" ht="15.75" customHeight="1">
      <c r="C825" s="370"/>
      <c r="D825" s="370"/>
      <c r="E825" s="371"/>
      <c r="F825" s="371"/>
      <c r="G825" s="371"/>
      <c r="H825" s="370"/>
    </row>
    <row r="826" ht="15.75" customHeight="1">
      <c r="C826" s="370"/>
      <c r="D826" s="370"/>
      <c r="E826" s="371"/>
      <c r="F826" s="371"/>
      <c r="G826" s="371"/>
      <c r="H826" s="370"/>
    </row>
    <row r="827" ht="15.75" customHeight="1">
      <c r="C827" s="370"/>
      <c r="D827" s="370"/>
      <c r="E827" s="371"/>
      <c r="F827" s="371"/>
      <c r="G827" s="371"/>
      <c r="H827" s="370"/>
    </row>
    <row r="828" ht="15.75" customHeight="1">
      <c r="C828" s="370"/>
      <c r="D828" s="370"/>
      <c r="E828" s="371"/>
      <c r="F828" s="371"/>
      <c r="G828" s="371"/>
      <c r="H828" s="370"/>
    </row>
    <row r="829" ht="15.75" customHeight="1">
      <c r="C829" s="370"/>
      <c r="D829" s="370"/>
      <c r="E829" s="371"/>
      <c r="F829" s="371"/>
      <c r="G829" s="371"/>
      <c r="H829" s="370"/>
    </row>
    <row r="830" ht="15.75" customHeight="1">
      <c r="C830" s="370"/>
      <c r="D830" s="370"/>
      <c r="E830" s="371"/>
      <c r="F830" s="371"/>
      <c r="G830" s="371"/>
      <c r="H830" s="370"/>
    </row>
    <row r="831" ht="15.75" customHeight="1">
      <c r="C831" s="370"/>
      <c r="D831" s="370"/>
      <c r="E831" s="371"/>
      <c r="F831" s="371"/>
      <c r="G831" s="371"/>
      <c r="H831" s="370"/>
    </row>
    <row r="832" ht="15.75" customHeight="1">
      <c r="C832" s="370"/>
      <c r="D832" s="370"/>
      <c r="E832" s="371"/>
      <c r="F832" s="371"/>
      <c r="G832" s="371"/>
      <c r="H832" s="370"/>
    </row>
    <row r="833" ht="15.75" customHeight="1">
      <c r="C833" s="370"/>
      <c r="D833" s="370"/>
      <c r="E833" s="371"/>
      <c r="F833" s="371"/>
      <c r="G833" s="371"/>
      <c r="H833" s="370"/>
    </row>
    <row r="834" ht="15.75" customHeight="1">
      <c r="C834" s="370"/>
      <c r="D834" s="370"/>
      <c r="E834" s="371"/>
      <c r="F834" s="371"/>
      <c r="G834" s="371"/>
      <c r="H834" s="370"/>
    </row>
    <row r="835" ht="15.75" customHeight="1">
      <c r="C835" s="370"/>
      <c r="D835" s="370"/>
      <c r="E835" s="371"/>
      <c r="F835" s="371"/>
      <c r="G835" s="371"/>
      <c r="H835" s="370"/>
    </row>
    <row r="836" ht="15.75" customHeight="1">
      <c r="C836" s="370"/>
      <c r="D836" s="370"/>
      <c r="E836" s="371"/>
      <c r="F836" s="371"/>
      <c r="G836" s="371"/>
      <c r="H836" s="370"/>
    </row>
    <row r="837" ht="15.75" customHeight="1">
      <c r="C837" s="370"/>
      <c r="D837" s="370"/>
      <c r="E837" s="371"/>
      <c r="F837" s="371"/>
      <c r="G837" s="371"/>
      <c r="H837" s="370"/>
    </row>
    <row r="838" ht="15.75" customHeight="1">
      <c r="C838" s="370"/>
      <c r="D838" s="370"/>
      <c r="E838" s="371"/>
      <c r="F838" s="371"/>
      <c r="G838" s="371"/>
      <c r="H838" s="370"/>
    </row>
    <row r="839" ht="15.75" customHeight="1">
      <c r="C839" s="370"/>
      <c r="D839" s="370"/>
      <c r="E839" s="371"/>
      <c r="F839" s="371"/>
      <c r="G839" s="371"/>
      <c r="H839" s="370"/>
    </row>
    <row r="840" ht="15.75" customHeight="1">
      <c r="C840" s="370"/>
      <c r="D840" s="370"/>
      <c r="E840" s="371"/>
      <c r="F840" s="371"/>
      <c r="G840" s="371"/>
      <c r="H840" s="370"/>
    </row>
    <row r="841" ht="15.75" customHeight="1">
      <c r="C841" s="370"/>
      <c r="D841" s="370"/>
      <c r="E841" s="371"/>
      <c r="F841" s="371"/>
      <c r="G841" s="371"/>
      <c r="H841" s="370"/>
    </row>
    <row r="842" ht="15.75" customHeight="1">
      <c r="C842" s="370"/>
      <c r="D842" s="370"/>
      <c r="E842" s="371"/>
      <c r="F842" s="371"/>
      <c r="G842" s="371"/>
      <c r="H842" s="370"/>
    </row>
    <row r="843" ht="15.75" customHeight="1">
      <c r="C843" s="370"/>
      <c r="D843" s="370"/>
      <c r="E843" s="371"/>
      <c r="F843" s="371"/>
      <c r="G843" s="371"/>
      <c r="H843" s="370"/>
    </row>
    <row r="844" ht="15.75" customHeight="1">
      <c r="C844" s="370"/>
      <c r="D844" s="370"/>
      <c r="E844" s="371"/>
      <c r="F844" s="371"/>
      <c r="G844" s="371"/>
      <c r="H844" s="370"/>
    </row>
    <row r="845" ht="15.75" customHeight="1">
      <c r="C845" s="370"/>
      <c r="D845" s="370"/>
      <c r="E845" s="371"/>
      <c r="F845" s="371"/>
      <c r="G845" s="371"/>
      <c r="H845" s="370"/>
    </row>
    <row r="846" ht="15.75" customHeight="1">
      <c r="C846" s="370"/>
      <c r="D846" s="370"/>
      <c r="E846" s="371"/>
      <c r="F846" s="371"/>
      <c r="G846" s="371"/>
      <c r="H846" s="370"/>
    </row>
    <row r="847" ht="15.75" customHeight="1">
      <c r="C847" s="370"/>
      <c r="D847" s="370"/>
      <c r="E847" s="371"/>
      <c r="F847" s="371"/>
      <c r="G847" s="371"/>
      <c r="H847" s="370"/>
    </row>
    <row r="848" ht="15.75" customHeight="1">
      <c r="C848" s="370"/>
      <c r="D848" s="370"/>
      <c r="E848" s="371"/>
      <c r="F848" s="371"/>
      <c r="G848" s="371"/>
      <c r="H848" s="370"/>
    </row>
    <row r="849" ht="15.75" customHeight="1">
      <c r="C849" s="370"/>
      <c r="D849" s="370"/>
      <c r="E849" s="371"/>
      <c r="F849" s="371"/>
      <c r="G849" s="371"/>
      <c r="H849" s="370"/>
    </row>
    <row r="850" ht="15.75" customHeight="1">
      <c r="C850" s="370"/>
      <c r="D850" s="370"/>
      <c r="E850" s="371"/>
      <c r="F850" s="371"/>
      <c r="G850" s="371"/>
      <c r="H850" s="370"/>
    </row>
    <row r="851" ht="15.75" customHeight="1">
      <c r="C851" s="370"/>
      <c r="D851" s="370"/>
      <c r="E851" s="371"/>
      <c r="F851" s="371"/>
      <c r="G851" s="371"/>
      <c r="H851" s="370"/>
    </row>
    <row r="852" ht="15.75" customHeight="1">
      <c r="C852" s="370"/>
      <c r="D852" s="370"/>
      <c r="E852" s="371"/>
      <c r="F852" s="371"/>
      <c r="G852" s="371"/>
      <c r="H852" s="370"/>
    </row>
    <row r="853" ht="15.75" customHeight="1">
      <c r="C853" s="370"/>
      <c r="D853" s="370"/>
      <c r="E853" s="371"/>
      <c r="F853" s="371"/>
      <c r="G853" s="371"/>
      <c r="H853" s="370"/>
    </row>
    <row r="854" ht="15.75" customHeight="1">
      <c r="C854" s="370"/>
      <c r="D854" s="370"/>
      <c r="E854" s="371"/>
      <c r="F854" s="371"/>
      <c r="G854" s="371"/>
      <c r="H854" s="370"/>
    </row>
    <row r="855" ht="15.75" customHeight="1">
      <c r="C855" s="370"/>
      <c r="D855" s="370"/>
      <c r="E855" s="371"/>
      <c r="F855" s="371"/>
      <c r="G855" s="371"/>
      <c r="H855" s="370"/>
    </row>
    <row r="856" ht="15.75" customHeight="1">
      <c r="C856" s="370"/>
      <c r="D856" s="370"/>
      <c r="E856" s="371"/>
      <c r="F856" s="371"/>
      <c r="G856" s="371"/>
      <c r="H856" s="370"/>
    </row>
    <row r="857" ht="15.75" customHeight="1">
      <c r="C857" s="370"/>
      <c r="D857" s="370"/>
      <c r="E857" s="371"/>
      <c r="F857" s="371"/>
      <c r="G857" s="371"/>
      <c r="H857" s="370"/>
    </row>
    <row r="858" ht="15.75" customHeight="1">
      <c r="C858" s="370"/>
      <c r="D858" s="370"/>
      <c r="E858" s="371"/>
      <c r="F858" s="371"/>
      <c r="G858" s="371"/>
      <c r="H858" s="370"/>
    </row>
    <row r="859" ht="15.75" customHeight="1">
      <c r="C859" s="370"/>
      <c r="D859" s="370"/>
      <c r="E859" s="371"/>
      <c r="F859" s="371"/>
      <c r="G859" s="371"/>
      <c r="H859" s="370"/>
    </row>
    <row r="860" ht="15.75" customHeight="1">
      <c r="C860" s="370"/>
      <c r="D860" s="370"/>
      <c r="E860" s="371"/>
      <c r="F860" s="371"/>
      <c r="G860" s="371"/>
      <c r="H860" s="370"/>
    </row>
    <row r="861" ht="15.75" customHeight="1">
      <c r="C861" s="370"/>
      <c r="D861" s="370"/>
      <c r="E861" s="371"/>
      <c r="F861" s="371"/>
      <c r="G861" s="371"/>
      <c r="H861" s="370"/>
    </row>
    <row r="862" ht="15.75" customHeight="1">
      <c r="C862" s="370"/>
      <c r="D862" s="370"/>
      <c r="E862" s="371"/>
      <c r="F862" s="371"/>
      <c r="G862" s="371"/>
      <c r="H862" s="370"/>
    </row>
    <row r="863" ht="15.75" customHeight="1">
      <c r="C863" s="370"/>
      <c r="D863" s="370"/>
      <c r="E863" s="371"/>
      <c r="F863" s="371"/>
      <c r="G863" s="371"/>
      <c r="H863" s="370"/>
    </row>
    <row r="864" ht="15.75" customHeight="1">
      <c r="C864" s="370"/>
      <c r="D864" s="370"/>
      <c r="E864" s="371"/>
      <c r="F864" s="371"/>
      <c r="G864" s="371"/>
      <c r="H864" s="370"/>
    </row>
    <row r="865" ht="15.75" customHeight="1">
      <c r="C865" s="370"/>
      <c r="D865" s="370"/>
      <c r="E865" s="371"/>
      <c r="F865" s="371"/>
      <c r="G865" s="371"/>
      <c r="H865" s="370"/>
    </row>
    <row r="866" ht="15.75" customHeight="1">
      <c r="C866" s="370"/>
      <c r="D866" s="370"/>
      <c r="E866" s="371"/>
      <c r="F866" s="371"/>
      <c r="G866" s="371"/>
      <c r="H866" s="370"/>
    </row>
    <row r="867" ht="15.75" customHeight="1">
      <c r="C867" s="370"/>
      <c r="D867" s="370"/>
      <c r="E867" s="371"/>
      <c r="F867" s="371"/>
      <c r="G867" s="371"/>
      <c r="H867" s="370"/>
    </row>
    <row r="868" ht="15.75" customHeight="1">
      <c r="C868" s="370"/>
      <c r="D868" s="370"/>
      <c r="E868" s="371"/>
      <c r="F868" s="371"/>
      <c r="G868" s="371"/>
      <c r="H868" s="370"/>
    </row>
    <row r="869" ht="15.75" customHeight="1">
      <c r="C869" s="370"/>
      <c r="D869" s="370"/>
      <c r="E869" s="371"/>
      <c r="F869" s="371"/>
      <c r="G869" s="371"/>
      <c r="H869" s="370"/>
    </row>
    <row r="870" ht="15.75" customHeight="1">
      <c r="C870" s="370"/>
      <c r="D870" s="370"/>
      <c r="E870" s="371"/>
      <c r="F870" s="371"/>
      <c r="G870" s="371"/>
      <c r="H870" s="370"/>
    </row>
    <row r="871" ht="15.75" customHeight="1">
      <c r="C871" s="370"/>
      <c r="D871" s="370"/>
      <c r="E871" s="371"/>
      <c r="F871" s="371"/>
      <c r="G871" s="371"/>
      <c r="H871" s="370"/>
    </row>
    <row r="872" ht="15.75" customHeight="1">
      <c r="C872" s="370"/>
      <c r="D872" s="370"/>
      <c r="E872" s="371"/>
      <c r="F872" s="371"/>
      <c r="G872" s="371"/>
      <c r="H872" s="370"/>
    </row>
    <row r="873" ht="15.75" customHeight="1">
      <c r="C873" s="370"/>
      <c r="D873" s="370"/>
      <c r="E873" s="371"/>
      <c r="F873" s="371"/>
      <c r="G873" s="371"/>
      <c r="H873" s="370"/>
    </row>
    <row r="874" ht="15.75" customHeight="1">
      <c r="C874" s="370"/>
      <c r="D874" s="370"/>
      <c r="E874" s="371"/>
      <c r="F874" s="371"/>
      <c r="G874" s="371"/>
      <c r="H874" s="370"/>
    </row>
    <row r="875" ht="15.75" customHeight="1">
      <c r="C875" s="370"/>
      <c r="D875" s="370"/>
      <c r="E875" s="371"/>
      <c r="F875" s="371"/>
      <c r="G875" s="371"/>
      <c r="H875" s="370"/>
    </row>
    <row r="876" ht="15.75" customHeight="1">
      <c r="C876" s="370"/>
      <c r="D876" s="370"/>
      <c r="E876" s="371"/>
      <c r="F876" s="371"/>
      <c r="G876" s="371"/>
      <c r="H876" s="370"/>
    </row>
    <row r="877" ht="15.75" customHeight="1">
      <c r="C877" s="370"/>
      <c r="D877" s="370"/>
      <c r="E877" s="371"/>
      <c r="F877" s="371"/>
      <c r="G877" s="371"/>
      <c r="H877" s="370"/>
    </row>
    <row r="878" ht="15.75" customHeight="1">
      <c r="C878" s="370"/>
      <c r="D878" s="370"/>
      <c r="E878" s="371"/>
      <c r="F878" s="371"/>
      <c r="G878" s="371"/>
      <c r="H878" s="370"/>
    </row>
    <row r="879" ht="15.75" customHeight="1">
      <c r="C879" s="370"/>
      <c r="D879" s="370"/>
      <c r="E879" s="371"/>
      <c r="F879" s="371"/>
      <c r="G879" s="371"/>
      <c r="H879" s="370"/>
    </row>
    <row r="880" ht="15.75" customHeight="1">
      <c r="C880" s="370"/>
      <c r="D880" s="370"/>
      <c r="E880" s="371"/>
      <c r="F880" s="371"/>
      <c r="G880" s="371"/>
      <c r="H880" s="370"/>
    </row>
    <row r="881" ht="15.75" customHeight="1">
      <c r="C881" s="370"/>
      <c r="D881" s="370"/>
      <c r="E881" s="371"/>
      <c r="F881" s="371"/>
      <c r="G881" s="371"/>
      <c r="H881" s="370"/>
    </row>
    <row r="882" ht="15.75" customHeight="1">
      <c r="C882" s="370"/>
      <c r="D882" s="370"/>
      <c r="E882" s="371"/>
      <c r="F882" s="371"/>
      <c r="G882" s="371"/>
      <c r="H882" s="370"/>
    </row>
    <row r="883" ht="15.75" customHeight="1">
      <c r="C883" s="370"/>
      <c r="D883" s="370"/>
      <c r="E883" s="371"/>
      <c r="F883" s="371"/>
      <c r="G883" s="371"/>
      <c r="H883" s="370"/>
    </row>
    <row r="884" ht="15.75" customHeight="1">
      <c r="C884" s="370"/>
      <c r="D884" s="370"/>
      <c r="E884" s="371"/>
      <c r="F884" s="371"/>
      <c r="G884" s="371"/>
      <c r="H884" s="370"/>
    </row>
    <row r="885" ht="15.75" customHeight="1">
      <c r="C885" s="370"/>
      <c r="D885" s="370"/>
      <c r="E885" s="371"/>
      <c r="F885" s="371"/>
      <c r="G885" s="371"/>
      <c r="H885" s="370"/>
    </row>
    <row r="886" ht="15.75" customHeight="1">
      <c r="C886" s="370"/>
      <c r="D886" s="370"/>
      <c r="E886" s="371"/>
      <c r="F886" s="371"/>
      <c r="G886" s="371"/>
      <c r="H886" s="370"/>
    </row>
    <row r="887" ht="15.75" customHeight="1">
      <c r="C887" s="370"/>
      <c r="D887" s="370"/>
      <c r="E887" s="371"/>
      <c r="F887" s="371"/>
      <c r="G887" s="371"/>
      <c r="H887" s="370"/>
    </row>
    <row r="888" ht="15.75" customHeight="1">
      <c r="C888" s="370"/>
      <c r="D888" s="370"/>
      <c r="E888" s="371"/>
      <c r="F888" s="371"/>
      <c r="G888" s="371"/>
      <c r="H888" s="370"/>
    </row>
    <row r="889" ht="15.75" customHeight="1">
      <c r="C889" s="370"/>
      <c r="D889" s="370"/>
      <c r="E889" s="371"/>
      <c r="F889" s="371"/>
      <c r="G889" s="371"/>
      <c r="H889" s="370"/>
    </row>
    <row r="890" ht="15.75" customHeight="1">
      <c r="C890" s="370"/>
      <c r="D890" s="370"/>
      <c r="E890" s="371"/>
      <c r="F890" s="371"/>
      <c r="G890" s="371"/>
      <c r="H890" s="370"/>
    </row>
    <row r="891" ht="15.75" customHeight="1">
      <c r="C891" s="370"/>
      <c r="D891" s="370"/>
      <c r="E891" s="371"/>
      <c r="F891" s="371"/>
      <c r="G891" s="371"/>
      <c r="H891" s="370"/>
    </row>
    <row r="892" ht="15.75" customHeight="1">
      <c r="C892" s="370"/>
      <c r="D892" s="370"/>
      <c r="E892" s="371"/>
      <c r="F892" s="371"/>
      <c r="G892" s="371"/>
      <c r="H892" s="370"/>
    </row>
    <row r="893" ht="15.75" customHeight="1">
      <c r="C893" s="370"/>
      <c r="D893" s="370"/>
      <c r="E893" s="371"/>
      <c r="F893" s="371"/>
      <c r="G893" s="371"/>
      <c r="H893" s="370"/>
    </row>
    <row r="894" ht="15.75" customHeight="1">
      <c r="C894" s="370"/>
      <c r="D894" s="370"/>
      <c r="E894" s="371"/>
      <c r="F894" s="371"/>
      <c r="G894" s="371"/>
      <c r="H894" s="370"/>
    </row>
    <row r="895" ht="15.75" customHeight="1">
      <c r="C895" s="370"/>
      <c r="D895" s="370"/>
      <c r="E895" s="371"/>
      <c r="F895" s="371"/>
      <c r="G895" s="371"/>
      <c r="H895" s="370"/>
    </row>
    <row r="896" ht="15.75" customHeight="1">
      <c r="C896" s="370"/>
      <c r="D896" s="370"/>
      <c r="E896" s="371"/>
      <c r="F896" s="371"/>
      <c r="G896" s="371"/>
      <c r="H896" s="370"/>
    </row>
    <row r="897" ht="15.75" customHeight="1">
      <c r="C897" s="370"/>
      <c r="D897" s="370"/>
      <c r="E897" s="371"/>
      <c r="F897" s="371"/>
      <c r="G897" s="371"/>
      <c r="H897" s="370"/>
    </row>
    <row r="898" ht="15.75" customHeight="1">
      <c r="C898" s="370"/>
      <c r="D898" s="370"/>
      <c r="E898" s="371"/>
      <c r="F898" s="371"/>
      <c r="G898" s="371"/>
      <c r="H898" s="370"/>
    </row>
    <row r="899" ht="15.75" customHeight="1">
      <c r="C899" s="370"/>
      <c r="D899" s="370"/>
      <c r="E899" s="371"/>
      <c r="F899" s="371"/>
      <c r="G899" s="371"/>
      <c r="H899" s="370"/>
    </row>
    <row r="900" ht="15.75" customHeight="1">
      <c r="C900" s="370"/>
      <c r="D900" s="370"/>
      <c r="E900" s="371"/>
      <c r="F900" s="371"/>
      <c r="G900" s="371"/>
      <c r="H900" s="370"/>
    </row>
    <row r="901" ht="15.75" customHeight="1">
      <c r="C901" s="370"/>
      <c r="D901" s="370"/>
      <c r="E901" s="371"/>
      <c r="F901" s="371"/>
      <c r="G901" s="371"/>
      <c r="H901" s="370"/>
    </row>
    <row r="902" ht="15.75" customHeight="1">
      <c r="C902" s="370"/>
      <c r="D902" s="370"/>
      <c r="E902" s="371"/>
      <c r="F902" s="371"/>
      <c r="G902" s="371"/>
      <c r="H902" s="370"/>
    </row>
    <row r="903" ht="15.75" customHeight="1">
      <c r="C903" s="370"/>
      <c r="D903" s="370"/>
      <c r="E903" s="371"/>
      <c r="F903" s="371"/>
      <c r="G903" s="371"/>
      <c r="H903" s="370"/>
    </row>
    <row r="904" ht="15.75" customHeight="1">
      <c r="C904" s="370"/>
      <c r="D904" s="370"/>
      <c r="E904" s="371"/>
      <c r="F904" s="371"/>
      <c r="G904" s="371"/>
      <c r="H904" s="370"/>
    </row>
    <row r="905" ht="15.75" customHeight="1">
      <c r="C905" s="370"/>
      <c r="D905" s="370"/>
      <c r="E905" s="371"/>
      <c r="F905" s="371"/>
      <c r="G905" s="371"/>
      <c r="H905" s="370"/>
    </row>
    <row r="906" ht="15.75" customHeight="1">
      <c r="C906" s="370"/>
      <c r="D906" s="370"/>
      <c r="E906" s="371"/>
      <c r="F906" s="371"/>
      <c r="G906" s="371"/>
      <c r="H906" s="370"/>
    </row>
    <row r="907" ht="15.75" customHeight="1">
      <c r="C907" s="370"/>
      <c r="D907" s="370"/>
      <c r="E907" s="371"/>
      <c r="F907" s="371"/>
      <c r="G907" s="371"/>
      <c r="H907" s="370"/>
    </row>
    <row r="908" ht="15.75" customHeight="1">
      <c r="C908" s="370"/>
      <c r="D908" s="370"/>
      <c r="E908" s="371"/>
      <c r="F908" s="371"/>
      <c r="G908" s="371"/>
      <c r="H908" s="370"/>
    </row>
    <row r="909" ht="15.75" customHeight="1">
      <c r="C909" s="370"/>
      <c r="D909" s="370"/>
      <c r="E909" s="371"/>
      <c r="F909" s="371"/>
      <c r="G909" s="371"/>
      <c r="H909" s="370"/>
    </row>
    <row r="910" ht="15.75" customHeight="1">
      <c r="C910" s="370"/>
      <c r="D910" s="370"/>
      <c r="E910" s="371"/>
      <c r="F910" s="371"/>
      <c r="G910" s="371"/>
      <c r="H910" s="370"/>
    </row>
    <row r="911" ht="15.75" customHeight="1">
      <c r="C911" s="370"/>
      <c r="D911" s="370"/>
      <c r="E911" s="371"/>
      <c r="F911" s="371"/>
      <c r="G911" s="371"/>
      <c r="H911" s="370"/>
    </row>
    <row r="912" ht="15.75" customHeight="1">
      <c r="C912" s="370"/>
      <c r="D912" s="370"/>
      <c r="E912" s="371"/>
      <c r="F912" s="371"/>
      <c r="G912" s="371"/>
      <c r="H912" s="370"/>
    </row>
    <row r="913" ht="15.75" customHeight="1">
      <c r="C913" s="370"/>
      <c r="D913" s="370"/>
      <c r="E913" s="371"/>
      <c r="F913" s="371"/>
      <c r="G913" s="371"/>
      <c r="H913" s="370"/>
    </row>
    <row r="914" ht="15.75" customHeight="1">
      <c r="C914" s="370"/>
      <c r="D914" s="370"/>
      <c r="E914" s="371"/>
      <c r="F914" s="371"/>
      <c r="G914" s="371"/>
      <c r="H914" s="370"/>
    </row>
    <row r="915" ht="15.75" customHeight="1">
      <c r="C915" s="370"/>
      <c r="D915" s="370"/>
      <c r="E915" s="371"/>
      <c r="F915" s="371"/>
      <c r="G915" s="371"/>
      <c r="H915" s="370"/>
    </row>
    <row r="916" ht="15.75" customHeight="1">
      <c r="C916" s="370"/>
      <c r="D916" s="370"/>
      <c r="E916" s="371"/>
      <c r="F916" s="371"/>
      <c r="G916" s="371"/>
      <c r="H916" s="370"/>
    </row>
    <row r="917" ht="15.75" customHeight="1">
      <c r="C917" s="370"/>
      <c r="D917" s="370"/>
      <c r="E917" s="371"/>
      <c r="F917" s="371"/>
      <c r="G917" s="371"/>
      <c r="H917" s="370"/>
    </row>
    <row r="918" ht="15.75" customHeight="1">
      <c r="C918" s="370"/>
      <c r="D918" s="370"/>
      <c r="E918" s="371"/>
      <c r="F918" s="371"/>
      <c r="G918" s="371"/>
      <c r="H918" s="370"/>
    </row>
    <row r="919" ht="15.75" customHeight="1">
      <c r="C919" s="370"/>
      <c r="D919" s="370"/>
      <c r="E919" s="371"/>
      <c r="F919" s="371"/>
      <c r="G919" s="371"/>
      <c r="H919" s="370"/>
    </row>
    <row r="920" ht="15.75" customHeight="1">
      <c r="C920" s="370"/>
      <c r="D920" s="370"/>
      <c r="E920" s="371"/>
      <c r="F920" s="371"/>
      <c r="G920" s="371"/>
      <c r="H920" s="370"/>
    </row>
    <row r="921" ht="15.75" customHeight="1">
      <c r="C921" s="370"/>
      <c r="D921" s="370"/>
      <c r="E921" s="371"/>
      <c r="F921" s="371"/>
      <c r="G921" s="371"/>
      <c r="H921" s="370"/>
    </row>
    <row r="922" ht="15.75" customHeight="1">
      <c r="C922" s="370"/>
      <c r="D922" s="370"/>
      <c r="E922" s="371"/>
      <c r="F922" s="371"/>
      <c r="G922" s="371"/>
      <c r="H922" s="370"/>
    </row>
    <row r="923" ht="15.75" customHeight="1">
      <c r="C923" s="370"/>
      <c r="D923" s="370"/>
      <c r="E923" s="371"/>
      <c r="F923" s="371"/>
      <c r="G923" s="371"/>
      <c r="H923" s="370"/>
    </row>
    <row r="924" ht="15.75" customHeight="1">
      <c r="C924" s="370"/>
      <c r="D924" s="370"/>
      <c r="E924" s="371"/>
      <c r="F924" s="371"/>
      <c r="G924" s="371"/>
      <c r="H924" s="370"/>
    </row>
    <row r="925" ht="15.75" customHeight="1">
      <c r="C925" s="370"/>
      <c r="D925" s="370"/>
      <c r="E925" s="371"/>
      <c r="F925" s="371"/>
      <c r="G925" s="371"/>
      <c r="H925" s="370"/>
    </row>
    <row r="926" ht="15.75" customHeight="1">
      <c r="C926" s="370"/>
      <c r="D926" s="370"/>
      <c r="E926" s="371"/>
      <c r="F926" s="371"/>
      <c r="G926" s="371"/>
      <c r="H926" s="370"/>
    </row>
    <row r="927" ht="15.75" customHeight="1">
      <c r="C927" s="370"/>
      <c r="D927" s="370"/>
      <c r="E927" s="371"/>
      <c r="F927" s="371"/>
      <c r="G927" s="371"/>
      <c r="H927" s="370"/>
    </row>
    <row r="928" ht="15.75" customHeight="1">
      <c r="C928" s="370"/>
      <c r="D928" s="370"/>
      <c r="E928" s="371"/>
      <c r="F928" s="371"/>
      <c r="G928" s="371"/>
      <c r="H928" s="370"/>
    </row>
    <row r="929" ht="15.75" customHeight="1">
      <c r="C929" s="370"/>
      <c r="D929" s="370"/>
      <c r="E929" s="371"/>
      <c r="F929" s="371"/>
      <c r="G929" s="371"/>
      <c r="H929" s="370"/>
    </row>
    <row r="930" ht="15.75" customHeight="1">
      <c r="C930" s="370"/>
      <c r="D930" s="370"/>
      <c r="E930" s="371"/>
      <c r="F930" s="371"/>
      <c r="G930" s="371"/>
      <c r="H930" s="370"/>
    </row>
    <row r="931" ht="15.75" customHeight="1">
      <c r="C931" s="370"/>
      <c r="D931" s="370"/>
      <c r="E931" s="371"/>
      <c r="F931" s="371"/>
      <c r="G931" s="371"/>
      <c r="H931" s="370"/>
    </row>
    <row r="932" ht="15.75" customHeight="1">
      <c r="C932" s="370"/>
      <c r="D932" s="370"/>
      <c r="E932" s="371"/>
      <c r="F932" s="371"/>
      <c r="G932" s="371"/>
      <c r="H932" s="370"/>
    </row>
    <row r="933" ht="15.75" customHeight="1">
      <c r="C933" s="370"/>
      <c r="D933" s="370"/>
      <c r="E933" s="371"/>
      <c r="F933" s="371"/>
      <c r="G933" s="371"/>
      <c r="H933" s="370"/>
    </row>
    <row r="934" ht="15.75" customHeight="1">
      <c r="C934" s="370"/>
      <c r="D934" s="370"/>
      <c r="E934" s="371"/>
      <c r="F934" s="371"/>
      <c r="G934" s="371"/>
      <c r="H934" s="370"/>
    </row>
    <row r="935" ht="15.75" customHeight="1">
      <c r="C935" s="370"/>
      <c r="D935" s="370"/>
      <c r="E935" s="371"/>
      <c r="F935" s="371"/>
      <c r="G935" s="371"/>
      <c r="H935" s="370"/>
    </row>
    <row r="936" ht="15.75" customHeight="1">
      <c r="C936" s="370"/>
      <c r="D936" s="370"/>
      <c r="E936" s="371"/>
      <c r="F936" s="371"/>
      <c r="G936" s="371"/>
      <c r="H936" s="370"/>
    </row>
    <row r="937" ht="15.75" customHeight="1">
      <c r="C937" s="370"/>
      <c r="D937" s="370"/>
      <c r="E937" s="371"/>
      <c r="F937" s="371"/>
      <c r="G937" s="371"/>
      <c r="H937" s="370"/>
    </row>
    <row r="938" ht="15.75" customHeight="1">
      <c r="C938" s="370"/>
      <c r="D938" s="370"/>
      <c r="E938" s="371"/>
      <c r="F938" s="371"/>
      <c r="G938" s="371"/>
      <c r="H938" s="370"/>
    </row>
    <row r="939" ht="15.75" customHeight="1">
      <c r="C939" s="370"/>
      <c r="D939" s="370"/>
      <c r="E939" s="371"/>
      <c r="F939" s="371"/>
      <c r="G939" s="371"/>
      <c r="H939" s="370"/>
    </row>
    <row r="940" ht="15.75" customHeight="1">
      <c r="C940" s="370"/>
      <c r="D940" s="370"/>
      <c r="E940" s="371"/>
      <c r="F940" s="371"/>
      <c r="G940" s="371"/>
      <c r="H940" s="370"/>
    </row>
    <row r="941" ht="15.75" customHeight="1">
      <c r="C941" s="370"/>
      <c r="D941" s="370"/>
      <c r="E941" s="371"/>
      <c r="F941" s="371"/>
      <c r="G941" s="371"/>
      <c r="H941" s="370"/>
    </row>
    <row r="942" ht="15.75" customHeight="1">
      <c r="C942" s="370"/>
      <c r="D942" s="370"/>
      <c r="E942" s="371"/>
      <c r="F942" s="371"/>
      <c r="G942" s="371"/>
      <c r="H942" s="370"/>
    </row>
    <row r="943" ht="15.75" customHeight="1">
      <c r="C943" s="370"/>
      <c r="D943" s="370"/>
      <c r="E943" s="371"/>
      <c r="F943" s="371"/>
      <c r="G943" s="371"/>
      <c r="H943" s="370"/>
    </row>
    <row r="944" ht="15.75" customHeight="1">
      <c r="C944" s="370"/>
      <c r="D944" s="370"/>
      <c r="E944" s="371"/>
      <c r="F944" s="371"/>
      <c r="G944" s="371"/>
      <c r="H944" s="370"/>
    </row>
    <row r="945" ht="15.75" customHeight="1">
      <c r="C945" s="370"/>
      <c r="D945" s="370"/>
      <c r="E945" s="371"/>
      <c r="F945" s="371"/>
      <c r="G945" s="371"/>
      <c r="H945" s="370"/>
    </row>
    <row r="946" ht="15.75" customHeight="1">
      <c r="C946" s="370"/>
      <c r="D946" s="370"/>
      <c r="E946" s="371"/>
      <c r="F946" s="371"/>
      <c r="G946" s="371"/>
      <c r="H946" s="370"/>
    </row>
    <row r="947" ht="15.75" customHeight="1">
      <c r="C947" s="370"/>
      <c r="D947" s="370"/>
      <c r="E947" s="371"/>
      <c r="F947" s="371"/>
      <c r="G947" s="371"/>
      <c r="H947" s="370"/>
    </row>
    <row r="948" ht="15.75" customHeight="1">
      <c r="C948" s="370"/>
      <c r="D948" s="370"/>
      <c r="E948" s="371"/>
      <c r="F948" s="371"/>
      <c r="G948" s="371"/>
      <c r="H948" s="370"/>
    </row>
    <row r="949" ht="15.75" customHeight="1">
      <c r="C949" s="370"/>
      <c r="D949" s="370"/>
      <c r="E949" s="371"/>
      <c r="F949" s="371"/>
      <c r="G949" s="371"/>
      <c r="H949" s="370"/>
    </row>
    <row r="950" ht="15.75" customHeight="1">
      <c r="C950" s="370"/>
      <c r="D950" s="370"/>
      <c r="E950" s="371"/>
      <c r="F950" s="371"/>
      <c r="G950" s="371"/>
      <c r="H950" s="370"/>
    </row>
    <row r="951" ht="15.75" customHeight="1">
      <c r="C951" s="370"/>
      <c r="D951" s="370"/>
      <c r="E951" s="371"/>
      <c r="F951" s="371"/>
      <c r="G951" s="371"/>
      <c r="H951" s="370"/>
    </row>
    <row r="952" ht="15.75" customHeight="1">
      <c r="C952" s="370"/>
      <c r="D952" s="370"/>
      <c r="E952" s="371"/>
      <c r="F952" s="371"/>
      <c r="G952" s="371"/>
      <c r="H952" s="370"/>
    </row>
    <row r="953" ht="15.75" customHeight="1">
      <c r="C953" s="370"/>
      <c r="D953" s="370"/>
      <c r="E953" s="371"/>
      <c r="F953" s="371"/>
      <c r="G953" s="371"/>
      <c r="H953" s="370"/>
    </row>
    <row r="954" ht="15.75" customHeight="1">
      <c r="C954" s="370"/>
      <c r="D954" s="370"/>
      <c r="E954" s="371"/>
      <c r="F954" s="371"/>
      <c r="G954" s="371"/>
      <c r="H954" s="370"/>
    </row>
    <row r="955" ht="15.75" customHeight="1">
      <c r="C955" s="370"/>
      <c r="D955" s="370"/>
      <c r="E955" s="371"/>
      <c r="F955" s="371"/>
      <c r="G955" s="371"/>
      <c r="H955" s="370"/>
    </row>
    <row r="956" ht="15.75" customHeight="1">
      <c r="C956" s="370"/>
      <c r="D956" s="370"/>
      <c r="E956" s="371"/>
      <c r="F956" s="371"/>
      <c r="G956" s="371"/>
      <c r="H956" s="370"/>
    </row>
    <row r="957" ht="15.75" customHeight="1">
      <c r="C957" s="370"/>
      <c r="D957" s="370"/>
      <c r="E957" s="371"/>
      <c r="F957" s="371"/>
      <c r="G957" s="371"/>
      <c r="H957" s="370"/>
    </row>
    <row r="958" ht="15.75" customHeight="1">
      <c r="C958" s="370"/>
      <c r="D958" s="370"/>
      <c r="E958" s="371"/>
      <c r="F958" s="371"/>
      <c r="G958" s="371"/>
      <c r="H958" s="370"/>
    </row>
    <row r="959" ht="15.75" customHeight="1">
      <c r="C959" s="370"/>
      <c r="D959" s="370"/>
      <c r="E959" s="371"/>
      <c r="F959" s="371"/>
      <c r="G959" s="371"/>
      <c r="H959" s="370"/>
    </row>
    <row r="960" ht="15.75" customHeight="1">
      <c r="C960" s="370"/>
      <c r="D960" s="370"/>
      <c r="E960" s="371"/>
      <c r="F960" s="371"/>
      <c r="G960" s="371"/>
      <c r="H960" s="370"/>
    </row>
    <row r="961" ht="15.75" customHeight="1">
      <c r="C961" s="370"/>
      <c r="D961" s="370"/>
      <c r="E961" s="371"/>
      <c r="F961" s="371"/>
      <c r="G961" s="371"/>
      <c r="H961" s="370"/>
    </row>
    <row r="962" ht="15.75" customHeight="1">
      <c r="C962" s="370"/>
      <c r="D962" s="370"/>
      <c r="E962" s="371"/>
      <c r="F962" s="371"/>
      <c r="G962" s="371"/>
      <c r="H962" s="370"/>
    </row>
    <row r="963" ht="15.75" customHeight="1">
      <c r="C963" s="370"/>
      <c r="D963" s="370"/>
      <c r="E963" s="371"/>
      <c r="F963" s="371"/>
      <c r="G963" s="371"/>
      <c r="H963" s="370"/>
    </row>
    <row r="964" ht="15.75" customHeight="1">
      <c r="C964" s="370"/>
      <c r="D964" s="370"/>
      <c r="E964" s="371"/>
      <c r="F964" s="371"/>
      <c r="G964" s="371"/>
      <c r="H964" s="370"/>
    </row>
    <row r="965" ht="15.75" customHeight="1">
      <c r="C965" s="370"/>
      <c r="D965" s="370"/>
      <c r="E965" s="371"/>
      <c r="F965" s="371"/>
      <c r="G965" s="371"/>
      <c r="H965" s="370"/>
    </row>
    <row r="966" ht="15.75" customHeight="1">
      <c r="C966" s="370"/>
      <c r="D966" s="370"/>
      <c r="E966" s="371"/>
      <c r="F966" s="371"/>
      <c r="G966" s="371"/>
      <c r="H966" s="370"/>
    </row>
    <row r="967" ht="15.75" customHeight="1">
      <c r="C967" s="370"/>
      <c r="D967" s="370"/>
      <c r="E967" s="371"/>
      <c r="F967" s="371"/>
      <c r="G967" s="371"/>
      <c r="H967" s="370"/>
    </row>
    <row r="968" ht="15.75" customHeight="1">
      <c r="C968" s="370"/>
      <c r="D968" s="370"/>
      <c r="E968" s="371"/>
      <c r="F968" s="371"/>
      <c r="G968" s="371"/>
      <c r="H968" s="370"/>
    </row>
    <row r="969" ht="15.75" customHeight="1">
      <c r="C969" s="370"/>
      <c r="D969" s="370"/>
      <c r="E969" s="371"/>
      <c r="F969" s="371"/>
      <c r="G969" s="371"/>
      <c r="H969" s="370"/>
    </row>
    <row r="970" ht="15.75" customHeight="1">
      <c r="C970" s="370"/>
      <c r="D970" s="370"/>
      <c r="E970" s="371"/>
      <c r="F970" s="371"/>
      <c r="G970" s="371"/>
      <c r="H970" s="370"/>
    </row>
    <row r="971" ht="15.75" customHeight="1">
      <c r="C971" s="370"/>
      <c r="D971" s="370"/>
      <c r="E971" s="371"/>
      <c r="F971" s="371"/>
      <c r="G971" s="371"/>
      <c r="H971" s="370"/>
    </row>
    <row r="972" ht="15.75" customHeight="1">
      <c r="C972" s="370"/>
      <c r="D972" s="370"/>
      <c r="E972" s="371"/>
      <c r="F972" s="371"/>
      <c r="G972" s="371"/>
      <c r="H972" s="370"/>
    </row>
    <row r="973" ht="15.75" customHeight="1">
      <c r="C973" s="370"/>
      <c r="D973" s="370"/>
      <c r="E973" s="371"/>
      <c r="F973" s="371"/>
      <c r="G973" s="371"/>
      <c r="H973" s="370"/>
    </row>
    <row r="974" ht="15.75" customHeight="1">
      <c r="C974" s="370"/>
      <c r="D974" s="370"/>
      <c r="E974" s="371"/>
      <c r="F974" s="371"/>
      <c r="G974" s="371"/>
      <c r="H974" s="370"/>
    </row>
    <row r="975" ht="15.75" customHeight="1">
      <c r="C975" s="370"/>
      <c r="D975" s="370"/>
      <c r="E975" s="371"/>
      <c r="F975" s="371"/>
      <c r="G975" s="371"/>
      <c r="H975" s="370"/>
    </row>
    <row r="976" ht="15.75" customHeight="1">
      <c r="C976" s="370"/>
      <c r="D976" s="370"/>
      <c r="E976" s="371"/>
      <c r="F976" s="371"/>
      <c r="G976" s="371"/>
      <c r="H976" s="370"/>
    </row>
    <row r="977" ht="15.75" customHeight="1">
      <c r="C977" s="370"/>
      <c r="D977" s="370"/>
      <c r="E977" s="371"/>
      <c r="F977" s="371"/>
      <c r="G977" s="371"/>
      <c r="H977" s="370"/>
    </row>
    <row r="978" ht="15.75" customHeight="1">
      <c r="C978" s="370"/>
      <c r="D978" s="370"/>
      <c r="E978" s="371"/>
      <c r="F978" s="371"/>
      <c r="G978" s="371"/>
      <c r="H978" s="370"/>
    </row>
    <row r="979" ht="15.75" customHeight="1">
      <c r="C979" s="370"/>
      <c r="D979" s="370"/>
      <c r="E979" s="371"/>
      <c r="F979" s="371"/>
      <c r="G979" s="371"/>
      <c r="H979" s="370"/>
    </row>
    <row r="980" ht="15.75" customHeight="1">
      <c r="C980" s="370"/>
      <c r="D980" s="370"/>
      <c r="E980" s="371"/>
      <c r="F980" s="371"/>
      <c r="G980" s="371"/>
      <c r="H980" s="370"/>
    </row>
    <row r="981" ht="15.75" customHeight="1">
      <c r="C981" s="370"/>
      <c r="D981" s="370"/>
      <c r="E981" s="371"/>
      <c r="F981" s="371"/>
      <c r="G981" s="371"/>
      <c r="H981" s="370"/>
    </row>
    <row r="982" ht="15.75" customHeight="1">
      <c r="C982" s="370"/>
      <c r="D982" s="370"/>
      <c r="E982" s="371"/>
      <c r="F982" s="371"/>
      <c r="G982" s="371"/>
      <c r="H982" s="370"/>
    </row>
    <row r="983" ht="15.75" customHeight="1">
      <c r="C983" s="370"/>
      <c r="D983" s="370"/>
      <c r="E983" s="371"/>
      <c r="F983" s="371"/>
      <c r="G983" s="371"/>
      <c r="H983" s="370"/>
    </row>
    <row r="984" ht="15.75" customHeight="1">
      <c r="C984" s="370"/>
      <c r="D984" s="370"/>
      <c r="E984" s="371"/>
      <c r="F984" s="371"/>
      <c r="G984" s="371"/>
      <c r="H984" s="370"/>
    </row>
    <row r="985" ht="15.75" customHeight="1">
      <c r="C985" s="370"/>
      <c r="D985" s="370"/>
      <c r="E985" s="371"/>
      <c r="F985" s="371"/>
      <c r="G985" s="371"/>
      <c r="H985" s="370"/>
    </row>
    <row r="986" ht="15.75" customHeight="1">
      <c r="C986" s="370"/>
      <c r="D986" s="370"/>
      <c r="E986" s="371"/>
      <c r="F986" s="371"/>
      <c r="G986" s="371"/>
      <c r="H986" s="370"/>
    </row>
    <row r="987" ht="15.75" customHeight="1">
      <c r="C987" s="370"/>
      <c r="D987" s="370"/>
      <c r="E987" s="371"/>
      <c r="F987" s="371"/>
      <c r="G987" s="371"/>
      <c r="H987" s="370"/>
    </row>
    <row r="988" ht="15.75" customHeight="1">
      <c r="C988" s="370"/>
      <c r="D988" s="370"/>
      <c r="E988" s="371"/>
      <c r="F988" s="371"/>
      <c r="G988" s="371"/>
      <c r="H988" s="370"/>
    </row>
    <row r="989" ht="15.75" customHeight="1">
      <c r="C989" s="370"/>
      <c r="D989" s="370"/>
      <c r="E989" s="371"/>
      <c r="F989" s="371"/>
      <c r="G989" s="371"/>
      <c r="H989" s="370"/>
    </row>
    <row r="990" ht="15.75" customHeight="1">
      <c r="C990" s="370"/>
      <c r="D990" s="370"/>
      <c r="E990" s="371"/>
      <c r="F990" s="371"/>
      <c r="G990" s="371"/>
      <c r="H990" s="370"/>
    </row>
    <row r="991" ht="15.75" customHeight="1">
      <c r="C991" s="370"/>
      <c r="D991" s="370"/>
      <c r="E991" s="371"/>
      <c r="F991" s="371"/>
      <c r="G991" s="371"/>
      <c r="H991" s="370"/>
    </row>
    <row r="992" ht="15.75" customHeight="1">
      <c r="C992" s="370"/>
      <c r="D992" s="370"/>
      <c r="E992" s="371"/>
      <c r="F992" s="371"/>
      <c r="G992" s="371"/>
      <c r="H992" s="370"/>
    </row>
    <row r="993" ht="15.75" customHeight="1">
      <c r="C993" s="370"/>
      <c r="D993" s="370"/>
      <c r="E993" s="371"/>
      <c r="F993" s="371"/>
      <c r="G993" s="371"/>
      <c r="H993" s="370"/>
    </row>
    <row r="994" ht="15.75" customHeight="1">
      <c r="C994" s="370"/>
      <c r="D994" s="370"/>
      <c r="E994" s="371"/>
      <c r="F994" s="371"/>
      <c r="G994" s="371"/>
      <c r="H994" s="370"/>
    </row>
    <row r="995" ht="15.75" customHeight="1">
      <c r="C995" s="370"/>
      <c r="D995" s="370"/>
      <c r="E995" s="371"/>
      <c r="F995" s="371"/>
      <c r="G995" s="371"/>
      <c r="H995" s="370"/>
    </row>
    <row r="996" ht="15.75" customHeight="1">
      <c r="C996" s="370"/>
      <c r="D996" s="370"/>
      <c r="E996" s="371"/>
      <c r="F996" s="371"/>
      <c r="G996" s="371"/>
      <c r="H996" s="370"/>
    </row>
    <row r="997" ht="15.75" customHeight="1">
      <c r="C997" s="370"/>
      <c r="D997" s="370"/>
      <c r="E997" s="371"/>
      <c r="F997" s="371"/>
      <c r="G997" s="371"/>
      <c r="H997" s="370"/>
    </row>
    <row r="998" ht="15.75" customHeight="1">
      <c r="C998" s="370"/>
      <c r="D998" s="370"/>
      <c r="E998" s="371"/>
      <c r="F998" s="371"/>
      <c r="G998" s="371"/>
      <c r="H998" s="370"/>
    </row>
    <row r="999" ht="15.75" customHeight="1">
      <c r="C999" s="370"/>
      <c r="D999" s="370"/>
      <c r="E999" s="371"/>
      <c r="F999" s="371"/>
      <c r="G999" s="371"/>
      <c r="H999" s="370"/>
    </row>
    <row r="1000" ht="15.75" customHeight="1">
      <c r="C1000" s="370"/>
      <c r="D1000" s="370"/>
      <c r="E1000" s="371"/>
      <c r="F1000" s="371"/>
      <c r="G1000" s="371"/>
      <c r="H1000" s="370"/>
    </row>
  </sheetData>
  <mergeCells count="1">
    <mergeCell ref="E5:G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586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9.86"/>
    <col customWidth="1" min="2" max="2" width="13.29"/>
    <col customWidth="1" min="3" max="3" width="16.71"/>
    <col customWidth="1" min="4" max="4" width="16.86"/>
    <col customWidth="1" min="5" max="5" width="14.86"/>
    <col customWidth="1" min="6" max="6" width="16.43"/>
    <col customWidth="1" min="7" max="7" width="18.71"/>
    <col customWidth="1" min="8" max="8" width="14.86"/>
    <col customWidth="1" min="9" max="9" width="16.86"/>
    <col customWidth="1" min="10" max="33" width="14.86"/>
  </cols>
  <sheetData>
    <row r="1" ht="15.0" customHeight="1">
      <c r="A1" s="377"/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</row>
    <row r="2" ht="15.0" customHeight="1">
      <c r="A2" s="378"/>
      <c r="B2" s="378">
        <v>45381.0</v>
      </c>
      <c r="C2" s="379">
        <v>45383.0</v>
      </c>
      <c r="D2" s="379">
        <f t="shared" ref="D2:AG2" si="1">+C2+1</f>
        <v>45384</v>
      </c>
      <c r="E2" s="379">
        <f t="shared" si="1"/>
        <v>45385</v>
      </c>
      <c r="F2" s="379">
        <f t="shared" si="1"/>
        <v>45386</v>
      </c>
      <c r="G2" s="379">
        <f t="shared" si="1"/>
        <v>45387</v>
      </c>
      <c r="H2" s="379">
        <f t="shared" si="1"/>
        <v>45388</v>
      </c>
      <c r="I2" s="379">
        <f t="shared" si="1"/>
        <v>45389</v>
      </c>
      <c r="J2" s="379">
        <f t="shared" si="1"/>
        <v>45390</v>
      </c>
      <c r="K2" s="379">
        <f t="shared" si="1"/>
        <v>45391</v>
      </c>
      <c r="L2" s="379">
        <f t="shared" si="1"/>
        <v>45392</v>
      </c>
      <c r="M2" s="379">
        <f t="shared" si="1"/>
        <v>45393</v>
      </c>
      <c r="N2" s="379">
        <f t="shared" si="1"/>
        <v>45394</v>
      </c>
      <c r="O2" s="379">
        <f t="shared" si="1"/>
        <v>45395</v>
      </c>
      <c r="P2" s="379">
        <f t="shared" si="1"/>
        <v>45396</v>
      </c>
      <c r="Q2" s="379">
        <f t="shared" si="1"/>
        <v>45397</v>
      </c>
      <c r="R2" s="379">
        <f t="shared" si="1"/>
        <v>45398</v>
      </c>
      <c r="S2" s="379">
        <f t="shared" si="1"/>
        <v>45399</v>
      </c>
      <c r="T2" s="379">
        <f t="shared" si="1"/>
        <v>45400</v>
      </c>
      <c r="U2" s="379">
        <f t="shared" si="1"/>
        <v>45401</v>
      </c>
      <c r="V2" s="379">
        <f t="shared" si="1"/>
        <v>45402</v>
      </c>
      <c r="W2" s="379">
        <f t="shared" si="1"/>
        <v>45403</v>
      </c>
      <c r="X2" s="379">
        <f t="shared" si="1"/>
        <v>45404</v>
      </c>
      <c r="Y2" s="379">
        <f t="shared" si="1"/>
        <v>45405</v>
      </c>
      <c r="Z2" s="379">
        <f t="shared" si="1"/>
        <v>45406</v>
      </c>
      <c r="AA2" s="379">
        <f t="shared" si="1"/>
        <v>45407</v>
      </c>
      <c r="AB2" s="379">
        <f t="shared" si="1"/>
        <v>45408</v>
      </c>
      <c r="AC2" s="379">
        <f t="shared" si="1"/>
        <v>45409</v>
      </c>
      <c r="AD2" s="379">
        <f t="shared" si="1"/>
        <v>45410</v>
      </c>
      <c r="AE2" s="379">
        <f t="shared" si="1"/>
        <v>45411</v>
      </c>
      <c r="AF2" s="379">
        <f t="shared" si="1"/>
        <v>45412</v>
      </c>
      <c r="AG2" s="379">
        <f t="shared" si="1"/>
        <v>45413</v>
      </c>
    </row>
    <row r="3" ht="15.0" customHeight="1">
      <c r="A3" s="380" t="s">
        <v>478</v>
      </c>
      <c r="B3" s="380"/>
      <c r="C3" s="381" t="str">
        <f t="shared" ref="C3:AG3" si="2">C4+C5</f>
        <v>#ERROR!</v>
      </c>
      <c r="D3" s="381" t="str">
        <f t="shared" si="2"/>
        <v>#ERROR!</v>
      </c>
      <c r="E3" s="381" t="str">
        <f t="shared" si="2"/>
        <v>#ERROR!</v>
      </c>
      <c r="F3" s="381" t="str">
        <f t="shared" si="2"/>
        <v>#ERROR!</v>
      </c>
      <c r="G3" s="381" t="str">
        <f t="shared" si="2"/>
        <v>#ERROR!</v>
      </c>
      <c r="H3" s="381" t="str">
        <f t="shared" si="2"/>
        <v>#ERROR!</v>
      </c>
      <c r="I3" s="381" t="str">
        <f t="shared" si="2"/>
        <v>#ERROR!</v>
      </c>
      <c r="J3" s="381" t="str">
        <f t="shared" si="2"/>
        <v>#ERROR!</v>
      </c>
      <c r="K3" s="381" t="str">
        <f t="shared" si="2"/>
        <v>#ERROR!</v>
      </c>
      <c r="L3" s="381" t="str">
        <f t="shared" si="2"/>
        <v>#ERROR!</v>
      </c>
      <c r="M3" s="381" t="str">
        <f t="shared" si="2"/>
        <v>#ERROR!</v>
      </c>
      <c r="N3" s="381" t="str">
        <f t="shared" si="2"/>
        <v>#ERROR!</v>
      </c>
      <c r="O3" s="381" t="str">
        <f t="shared" si="2"/>
        <v>#ERROR!</v>
      </c>
      <c r="P3" s="381" t="str">
        <f t="shared" si="2"/>
        <v>#ERROR!</v>
      </c>
      <c r="Q3" s="381" t="str">
        <f t="shared" si="2"/>
        <v>#ERROR!</v>
      </c>
      <c r="R3" s="381" t="str">
        <f t="shared" si="2"/>
        <v>#ERROR!</v>
      </c>
      <c r="S3" s="381" t="str">
        <f t="shared" si="2"/>
        <v>#ERROR!</v>
      </c>
      <c r="T3" s="381" t="str">
        <f t="shared" si="2"/>
        <v>#ERROR!</v>
      </c>
      <c r="U3" s="381" t="str">
        <f t="shared" si="2"/>
        <v>#ERROR!</v>
      </c>
      <c r="V3" s="381" t="str">
        <f t="shared" si="2"/>
        <v>#ERROR!</v>
      </c>
      <c r="W3" s="381" t="str">
        <f t="shared" si="2"/>
        <v>#ERROR!</v>
      </c>
      <c r="X3" s="381" t="str">
        <f t="shared" si="2"/>
        <v>#ERROR!</v>
      </c>
      <c r="Y3" s="381" t="str">
        <f t="shared" si="2"/>
        <v>#ERROR!</v>
      </c>
      <c r="Z3" s="381" t="str">
        <f t="shared" si="2"/>
        <v>#ERROR!</v>
      </c>
      <c r="AA3" s="381" t="str">
        <f t="shared" si="2"/>
        <v>#ERROR!</v>
      </c>
      <c r="AB3" s="381" t="str">
        <f t="shared" si="2"/>
        <v>#ERROR!</v>
      </c>
      <c r="AC3" s="381" t="str">
        <f t="shared" si="2"/>
        <v>#ERROR!</v>
      </c>
      <c r="AD3" s="381" t="str">
        <f t="shared" si="2"/>
        <v>#ERROR!</v>
      </c>
      <c r="AE3" s="381" t="str">
        <f t="shared" si="2"/>
        <v>#ERROR!</v>
      </c>
      <c r="AF3" s="381" t="str">
        <f t="shared" si="2"/>
        <v>#ERROR!</v>
      </c>
      <c r="AG3" s="381" t="str">
        <f t="shared" si="2"/>
        <v>#ERROR!</v>
      </c>
    </row>
    <row r="4" ht="15.0" customHeight="1">
      <c r="A4" s="382" t="s">
        <v>479</v>
      </c>
      <c r="B4" s="382"/>
      <c r="C4" s="383" t="str">
        <f>SUMIFS(NKSX!$M$2:$M$5,NKSX!$B$2:$B$5,"&lt;"&amp;C$2,NKSX!#REF!,"D",NKSX!#REF!,"")+SUMIFS(NKSX!$J$2:$J$5,NKSX!$B$2:$B$5,"&lt;"&amp;C$2,NKSX!#REF!,"D",NKSX!#REF!,"&gt;="&amp;C$2)</f>
        <v>#ERROR!</v>
      </c>
      <c r="D4" s="383" t="str">
        <f>SUMIFS(NKSX!$M$2:$M$5,NKSX!$B$2:$B$5,"&lt;"&amp;D$2,NKSX!#REF!,"D",NKSX!#REF!,"")+SUMIFS(NKSX!$J$2:$J$5,NKSX!$B$2:$B$5,"&lt;"&amp;D$2,NKSX!#REF!,"D",NKSX!#REF!,"&gt;="&amp;D$2)</f>
        <v>#ERROR!</v>
      </c>
      <c r="E4" s="383" t="str">
        <f>SUMIFS(NKSX!$M$2:$M$5,NKSX!$B$2:$B$5,"&lt;"&amp;E$2,NKSX!#REF!,"D",NKSX!#REF!,"")+SUMIFS(NKSX!$J$2:$J$5,NKSX!$B$2:$B$5,"&lt;"&amp;E$2,NKSX!#REF!,"D",NKSX!#REF!,"&gt;="&amp;E$2)</f>
        <v>#ERROR!</v>
      </c>
      <c r="F4" s="383" t="str">
        <f>SUMIFS(NKSX!$M$2:$M$5,NKSX!$B$2:$B$5,"&lt;"&amp;F$2,NKSX!#REF!,"D",NKSX!#REF!,"")+SUMIFS(NKSX!$J$2:$J$5,NKSX!$B$2:$B$5,"&lt;"&amp;F$2,NKSX!#REF!,"D",NKSX!#REF!,"&gt;="&amp;F$2)</f>
        <v>#ERROR!</v>
      </c>
      <c r="G4" s="383" t="str">
        <f>SUMIFS(NKSX!$M$2:$M$5,NKSX!$B$2:$B$5,"&lt;"&amp;G$2,NKSX!#REF!,"D",NKSX!#REF!,"")+SUMIFS(NKSX!$J$2:$J$5,NKSX!$B$2:$B$5,"&lt;"&amp;G$2,NKSX!#REF!,"D",NKSX!#REF!,"&gt;="&amp;G$2)</f>
        <v>#ERROR!</v>
      </c>
      <c r="H4" s="383" t="str">
        <f>SUMIFS(NKSX!$M$2:$M$5,NKSX!$B$2:$B$5,"&lt;"&amp;H$2,NKSX!#REF!,"D",NKSX!#REF!,"")+SUMIFS(NKSX!$J$2:$J$5,NKSX!$B$2:$B$5,"&lt;"&amp;H$2,NKSX!#REF!,"D",NKSX!#REF!,"&gt;="&amp;H$2)</f>
        <v>#ERROR!</v>
      </c>
      <c r="I4" s="383" t="str">
        <f>SUMIFS(NKSX!$M$2:$M$5,NKSX!$B$2:$B$5,"&lt;"&amp;I$2,NKSX!#REF!,"D",NKSX!#REF!,"")+SUMIFS(NKSX!$J$2:$J$5,NKSX!$B$2:$B$5,"&lt;"&amp;I$2,NKSX!#REF!,"D",NKSX!#REF!,"&gt;="&amp;I$2)</f>
        <v>#ERROR!</v>
      </c>
      <c r="J4" s="383" t="str">
        <f>SUMIFS(NKSX!$M$2:$M$5,NKSX!$B$2:$B$5,"&lt;"&amp;J$2,NKSX!#REF!,"D",NKSX!#REF!,"")+SUMIFS(NKSX!$J$2:$J$5,NKSX!$B$2:$B$5,"&lt;"&amp;J$2,NKSX!#REF!,"D",NKSX!#REF!,"&gt;="&amp;J$2)</f>
        <v>#ERROR!</v>
      </c>
      <c r="K4" s="383" t="str">
        <f>SUMIFS(NKSX!$M$2:$M$5,NKSX!$B$2:$B$5,"&lt;"&amp;K$2,NKSX!#REF!,"D",NKSX!#REF!,"")+SUMIFS(NKSX!$J$2:$J$5,NKSX!$B$2:$B$5,"&lt;"&amp;K$2,NKSX!#REF!,"D",NKSX!#REF!,"&gt;="&amp;K$2)</f>
        <v>#ERROR!</v>
      </c>
      <c r="L4" s="383" t="str">
        <f>SUMIFS(NKSX!$M$2:$M$5,NKSX!$B$2:$B$5,"&lt;"&amp;L$2,NKSX!#REF!,"D",NKSX!#REF!,"")+SUMIFS(NKSX!$J$2:$J$5,NKSX!$B$2:$B$5,"&lt;"&amp;L$2,NKSX!#REF!,"D",NKSX!#REF!,"&gt;="&amp;L$2)</f>
        <v>#ERROR!</v>
      </c>
      <c r="M4" s="383" t="str">
        <f>SUMIFS(NKSX!$M$2:$M$5,NKSX!$B$2:$B$5,"&lt;"&amp;M$2,NKSX!#REF!,"D",NKSX!#REF!,"")+SUMIFS(NKSX!$J$2:$J$5,NKSX!$B$2:$B$5,"&lt;"&amp;M$2,NKSX!#REF!,"D",NKSX!#REF!,"&gt;="&amp;M$2)</f>
        <v>#ERROR!</v>
      </c>
      <c r="N4" s="383" t="str">
        <f>SUMIFS(NKSX!$M$2:$M$5,NKSX!$B$2:$B$5,"&lt;"&amp;N$2,NKSX!#REF!,"D",NKSX!#REF!,"")+SUMIFS(NKSX!$J$2:$J$5,NKSX!$B$2:$B$5,"&lt;"&amp;N$2,NKSX!#REF!,"D",NKSX!#REF!,"&gt;="&amp;N$2)</f>
        <v>#ERROR!</v>
      </c>
      <c r="O4" s="383" t="str">
        <f>SUMIFS(NKSX!$M$2:$M$5,NKSX!$B$2:$B$5,"&lt;"&amp;O$2,NKSX!#REF!,"D",NKSX!#REF!,"")+SUMIFS(NKSX!$J$2:$J$5,NKSX!$B$2:$B$5,"&lt;"&amp;O$2,NKSX!#REF!,"D",NKSX!#REF!,"&gt;="&amp;O$2)</f>
        <v>#ERROR!</v>
      </c>
      <c r="P4" s="383" t="str">
        <f>SUMIFS(NKSX!$M$2:$M$5,NKSX!$B$2:$B$5,"&lt;"&amp;P$2,NKSX!#REF!,"D",NKSX!#REF!,"")+SUMIFS(NKSX!$J$2:$J$5,NKSX!$B$2:$B$5,"&lt;"&amp;P$2,NKSX!#REF!,"D",NKSX!#REF!,"&gt;="&amp;P$2)</f>
        <v>#ERROR!</v>
      </c>
      <c r="Q4" s="383" t="str">
        <f>SUMIFS(NKSX!$M$2:$M$5,NKSX!$B$2:$B$5,"&lt;"&amp;Q$2,NKSX!#REF!,"D",NKSX!#REF!,"")+SUMIFS(NKSX!$J$2:$J$5,NKSX!$B$2:$B$5,"&lt;"&amp;Q$2,NKSX!#REF!,"D",NKSX!#REF!,"&gt;="&amp;Q$2)</f>
        <v>#ERROR!</v>
      </c>
      <c r="R4" s="383" t="str">
        <f>SUMIFS(NKSX!$M$2:$M$5,NKSX!$B$2:$B$5,"&lt;"&amp;R$2,NKSX!#REF!,"D",NKSX!#REF!,"")+SUMIFS(NKSX!$J$2:$J$5,NKSX!$B$2:$B$5,"&lt;"&amp;R$2,NKSX!#REF!,"D",NKSX!#REF!,"&gt;="&amp;R$2)</f>
        <v>#ERROR!</v>
      </c>
      <c r="S4" s="383" t="str">
        <f>SUMIFS(NKSX!$M$2:$M$5,NKSX!$B$2:$B$5,"&lt;"&amp;S$2,NKSX!#REF!,"D",NKSX!#REF!,"")+SUMIFS(NKSX!$J$2:$J$5,NKSX!$B$2:$B$5,"&lt;"&amp;S$2,NKSX!#REF!,"D",NKSX!#REF!,"&gt;="&amp;S$2)</f>
        <v>#ERROR!</v>
      </c>
      <c r="T4" s="383" t="str">
        <f>SUMIFS(NKSX!$M$2:$M$5,NKSX!$B$2:$B$5,"&lt;"&amp;T$2,NKSX!#REF!,"D",NKSX!#REF!,"")+SUMIFS(NKSX!$J$2:$J$5,NKSX!$B$2:$B$5,"&lt;"&amp;T$2,NKSX!#REF!,"D",NKSX!#REF!,"&gt;="&amp;T$2)</f>
        <v>#ERROR!</v>
      </c>
      <c r="U4" s="383" t="str">
        <f>SUMIFS(NKSX!$M$2:$M$5,NKSX!$B$2:$B$5,"&lt;"&amp;U$2,NKSX!#REF!,"D",NKSX!#REF!,"")+SUMIFS(NKSX!$J$2:$J$5,NKSX!$B$2:$B$5,"&lt;"&amp;U$2,NKSX!#REF!,"D",NKSX!#REF!,"&gt;="&amp;U$2)</f>
        <v>#ERROR!</v>
      </c>
      <c r="V4" s="383" t="str">
        <f>SUMIFS(NKSX!$M$2:$M$5,NKSX!$B$2:$B$5,"&lt;"&amp;V$2,NKSX!#REF!,"D",NKSX!#REF!,"")+SUMIFS(NKSX!$J$2:$J$5,NKSX!$B$2:$B$5,"&lt;"&amp;V$2,NKSX!#REF!,"D",NKSX!#REF!,"&gt;="&amp;V$2)</f>
        <v>#ERROR!</v>
      </c>
      <c r="W4" s="383" t="str">
        <f>SUMIFS(NKSX!$M$2:$M$5,NKSX!$B$2:$B$5,"&lt;"&amp;W$2,NKSX!#REF!,"D",NKSX!#REF!,"")+SUMIFS(NKSX!$J$2:$J$5,NKSX!$B$2:$B$5,"&lt;"&amp;W$2,NKSX!#REF!,"D",NKSX!#REF!,"&gt;="&amp;W$2)</f>
        <v>#ERROR!</v>
      </c>
      <c r="X4" s="383" t="str">
        <f>SUMIFS(NKSX!$M$2:$M$5,NKSX!$B$2:$B$5,"&lt;"&amp;X$2,NKSX!#REF!,"D",NKSX!#REF!,"")+SUMIFS(NKSX!$J$2:$J$5,NKSX!$B$2:$B$5,"&lt;"&amp;X$2,NKSX!#REF!,"D",NKSX!#REF!,"&gt;="&amp;X$2)</f>
        <v>#ERROR!</v>
      </c>
      <c r="Y4" s="383" t="str">
        <f>SUMIFS(NKSX!$M$2:$M$5,NKSX!$B$2:$B$5,"&lt;"&amp;Y$2,NKSX!#REF!,"D",NKSX!#REF!,"")+SUMIFS(NKSX!$J$2:$J$5,NKSX!$B$2:$B$5,"&lt;"&amp;Y$2,NKSX!#REF!,"D",NKSX!#REF!,"&gt;="&amp;Y$2)</f>
        <v>#ERROR!</v>
      </c>
      <c r="Z4" s="383" t="str">
        <f>SUMIFS(NKSX!$M$2:$M$5,NKSX!$B$2:$B$5,"&lt;"&amp;Z$2,NKSX!#REF!,"D",NKSX!#REF!,"")+SUMIFS(NKSX!$J$2:$J$5,NKSX!$B$2:$B$5,"&lt;"&amp;Z$2,NKSX!#REF!,"D",NKSX!#REF!,"&gt;="&amp;Z$2)</f>
        <v>#ERROR!</v>
      </c>
      <c r="AA4" s="383" t="str">
        <f>SUMIFS(NKSX!$M$2:$M$5,NKSX!$B$2:$B$5,"&lt;"&amp;AA$2,NKSX!#REF!,"D",NKSX!#REF!,"")+SUMIFS(NKSX!$J$2:$J$5,NKSX!$B$2:$B$5,"&lt;"&amp;AA$2,NKSX!#REF!,"D",NKSX!#REF!,"&gt;="&amp;AA$2)</f>
        <v>#ERROR!</v>
      </c>
      <c r="AB4" s="383" t="str">
        <f>SUMIFS(NKSX!$M$2:$M$5,NKSX!$B$2:$B$5,"&lt;"&amp;AB$2,NKSX!#REF!,"D",NKSX!#REF!,"")+SUMIFS(NKSX!$J$2:$J$5,NKSX!$B$2:$B$5,"&lt;"&amp;AB$2,NKSX!#REF!,"D",NKSX!#REF!,"&gt;="&amp;AB$2)</f>
        <v>#ERROR!</v>
      </c>
      <c r="AC4" s="383" t="str">
        <f>SUMIFS(NKSX!$M$2:$M$5,NKSX!$B$2:$B$5,"&lt;"&amp;AC$2,NKSX!#REF!,"D",NKSX!#REF!,"")+SUMIFS(NKSX!$J$2:$J$5,NKSX!$B$2:$B$5,"&lt;"&amp;AC$2,NKSX!#REF!,"D",NKSX!#REF!,"&gt;="&amp;AC$2)</f>
        <v>#ERROR!</v>
      </c>
      <c r="AD4" s="383" t="str">
        <f>SUMIFS(NKSX!$M$2:$M$5,NKSX!$B$2:$B$5,"&lt;"&amp;AD$2,NKSX!#REF!,"D",NKSX!#REF!,"")+SUMIFS(NKSX!$J$2:$J$5,NKSX!$B$2:$B$5,"&lt;"&amp;AD$2,NKSX!#REF!,"D",NKSX!#REF!,"&gt;="&amp;AD$2)</f>
        <v>#ERROR!</v>
      </c>
      <c r="AE4" s="383" t="str">
        <f>SUMIFS(NKSX!$M$2:$M$5,NKSX!$B$2:$B$5,"&lt;"&amp;AE$2,NKSX!#REF!,"D",NKSX!#REF!,"")+SUMIFS(NKSX!$J$2:$J$5,NKSX!$B$2:$B$5,"&lt;"&amp;AE$2,NKSX!#REF!,"D",NKSX!#REF!,"&gt;="&amp;AE$2)</f>
        <v>#ERROR!</v>
      </c>
      <c r="AF4" s="383" t="str">
        <f>SUMIFS(NKSX!$M$2:$M$5,NKSX!$B$2:$B$5,"&lt;"&amp;AF$2,NKSX!#REF!,"D",NKSX!#REF!,"")+SUMIFS(NKSX!$J$2:$J$5,NKSX!$B$2:$B$5,"&lt;"&amp;AF$2,NKSX!#REF!,"D",NKSX!#REF!,"&gt;="&amp;AF$2)</f>
        <v>#ERROR!</v>
      </c>
      <c r="AG4" s="383" t="str">
        <f>SUMIFS(NKSX!$M$2:$M$5,NKSX!$B$2:$B$5,"&lt;"&amp;AG$2,NKSX!#REF!,"D",NKSX!#REF!,"")+SUMIFS(NKSX!$J$2:$J$5,NKSX!$B$2:$B$5,"&lt;"&amp;AG$2,NKSX!#REF!,"D",NKSX!#REF!,"&gt;="&amp;AG$2)</f>
        <v>#ERROR!</v>
      </c>
    </row>
    <row r="5" ht="15.0" customHeight="1">
      <c r="A5" s="382" t="s">
        <v>485</v>
      </c>
      <c r="B5" s="382"/>
      <c r="C5" s="383" t="str">
        <f>SUMIFS(NKSX!$M$2:$M$5,NKSX!$B$2:$B$5,"&lt;"&amp;C$2,NKSX!#REF!,"m",NKSX!#REF!,"")+SUMIFS(NKSX!$J$2:$J$5,NKSX!$B$2:$B$5,"&lt;"&amp;C$2,NKSX!#REF!,"m",NKSX!#REF!,"&gt;="&amp;C$2)</f>
        <v>#ERROR!</v>
      </c>
      <c r="D5" s="383" t="str">
        <f>SUMIFS(NKSX!$M$2:$M$5,NKSX!$B$2:$B$5,"&lt;"&amp;D$2,NKSX!#REF!,"m",NKSX!#REF!,"")+SUMIFS(NKSX!$J$2:$J$5,NKSX!$B$2:$B$5,"&lt;"&amp;D$2,NKSX!#REF!,"m",NKSX!#REF!,"&gt;="&amp;D$2)</f>
        <v>#ERROR!</v>
      </c>
      <c r="E5" s="383" t="str">
        <f>SUMIFS(NKSX!$M$2:$M$5,NKSX!$B$2:$B$5,"&lt;"&amp;E$2,NKSX!#REF!,"m",NKSX!#REF!,"")+SUMIFS(NKSX!$J$2:$J$5,NKSX!$B$2:$B$5,"&lt;"&amp;E$2,NKSX!#REF!,"m",NKSX!#REF!,"&gt;="&amp;E$2)</f>
        <v>#ERROR!</v>
      </c>
      <c r="F5" s="383" t="str">
        <f>SUMIFS(NKSX!$M$2:$M$5,NKSX!$B$2:$B$5,"&lt;"&amp;F$2,NKSX!#REF!,"m",NKSX!#REF!,"")+SUMIFS(NKSX!$J$2:$J$5,NKSX!$B$2:$B$5,"&lt;"&amp;F$2,NKSX!#REF!,"m",NKSX!#REF!,"&gt;="&amp;F$2)</f>
        <v>#ERROR!</v>
      </c>
      <c r="G5" s="383" t="str">
        <f>SUMIFS(NKSX!$M$2:$M$5,NKSX!$B$2:$B$5,"&lt;"&amp;G$2,NKSX!#REF!,"m",NKSX!#REF!,"")+SUMIFS(NKSX!$J$2:$J$5,NKSX!$B$2:$B$5,"&lt;"&amp;G$2,NKSX!#REF!,"m",NKSX!#REF!,"&gt;="&amp;G$2)</f>
        <v>#ERROR!</v>
      </c>
      <c r="H5" s="383" t="str">
        <f>SUMIFS(NKSX!$M$2:$M$5,NKSX!$B$2:$B$5,"&lt;"&amp;H$2,NKSX!#REF!,"m",NKSX!#REF!,"")+SUMIFS(NKSX!$J$2:$J$5,NKSX!$B$2:$B$5,"&lt;"&amp;H$2,NKSX!#REF!,"m",NKSX!#REF!,"&gt;="&amp;H$2)</f>
        <v>#ERROR!</v>
      </c>
      <c r="I5" s="383" t="str">
        <f>SUMIFS(NKSX!$M$2:$M$5,NKSX!$B$2:$B$5,"&lt;"&amp;I$2,NKSX!#REF!,"m",NKSX!#REF!,"")+SUMIFS(NKSX!$J$2:$J$5,NKSX!$B$2:$B$5,"&lt;"&amp;I$2,NKSX!#REF!,"m",NKSX!#REF!,"&gt;="&amp;I$2)</f>
        <v>#ERROR!</v>
      </c>
      <c r="J5" s="383" t="str">
        <f>SUMIFS(NKSX!$M$2:$M$5,NKSX!$B$2:$B$5,"&lt;"&amp;J$2,NKSX!#REF!,"m",NKSX!#REF!,"")+SUMIFS(NKSX!$J$2:$J$5,NKSX!$B$2:$B$5,"&lt;"&amp;J$2,NKSX!#REF!,"m",NKSX!#REF!,"&gt;="&amp;J$2)</f>
        <v>#ERROR!</v>
      </c>
      <c r="K5" s="383" t="str">
        <f>SUMIFS(NKSX!$M$2:$M$5,NKSX!$B$2:$B$5,"&lt;"&amp;K$2,NKSX!#REF!,"m",NKSX!#REF!,"")+SUMIFS(NKSX!$J$2:$J$5,NKSX!$B$2:$B$5,"&lt;"&amp;K$2,NKSX!#REF!,"m",NKSX!#REF!,"&gt;="&amp;K$2)</f>
        <v>#ERROR!</v>
      </c>
      <c r="L5" s="383" t="str">
        <f>SUMIFS(NKSX!$M$2:$M$5,NKSX!$B$2:$B$5,"&lt;"&amp;L$2,NKSX!#REF!,"m",NKSX!#REF!,"")+SUMIFS(NKSX!$J$2:$J$5,NKSX!$B$2:$B$5,"&lt;"&amp;L$2,NKSX!#REF!,"m",NKSX!#REF!,"&gt;="&amp;L$2)</f>
        <v>#ERROR!</v>
      </c>
      <c r="M5" s="383" t="str">
        <f>SUMIFS(NKSX!$M$2:$M$5,NKSX!$B$2:$B$5,"&lt;"&amp;M$2,NKSX!#REF!,"m",NKSX!#REF!,"")+SUMIFS(NKSX!$J$2:$J$5,NKSX!$B$2:$B$5,"&lt;"&amp;M$2,NKSX!#REF!,"m",NKSX!#REF!,"&gt;="&amp;M$2)</f>
        <v>#ERROR!</v>
      </c>
      <c r="N5" s="383" t="str">
        <f>SUMIFS(NKSX!$M$2:$M$5,NKSX!$B$2:$B$5,"&lt;"&amp;N$2,NKSX!#REF!,"m",NKSX!#REF!,"")+SUMIFS(NKSX!$J$2:$J$5,NKSX!$B$2:$B$5,"&lt;"&amp;N$2,NKSX!#REF!,"m",NKSX!#REF!,"&gt;="&amp;N$2)</f>
        <v>#ERROR!</v>
      </c>
      <c r="O5" s="383" t="str">
        <f>SUMIFS(NKSX!$M$2:$M$5,NKSX!$B$2:$B$5,"&lt;"&amp;O$2,NKSX!#REF!,"m",NKSX!#REF!,"")+SUMIFS(NKSX!$J$2:$J$5,NKSX!$B$2:$B$5,"&lt;"&amp;O$2,NKSX!#REF!,"m",NKSX!#REF!,"&gt;="&amp;O$2)</f>
        <v>#ERROR!</v>
      </c>
      <c r="P5" s="383" t="str">
        <f>SUMIFS(NKSX!$M$2:$M$5,NKSX!$B$2:$B$5,"&lt;"&amp;P$2,NKSX!#REF!,"m",NKSX!#REF!,"")+SUMIFS(NKSX!$J$2:$J$5,NKSX!$B$2:$B$5,"&lt;"&amp;P$2,NKSX!#REF!,"m",NKSX!#REF!,"&gt;="&amp;P$2)</f>
        <v>#ERROR!</v>
      </c>
      <c r="Q5" s="383" t="str">
        <f>SUMIFS(NKSX!$M$2:$M$5,NKSX!$B$2:$B$5,"&lt;"&amp;Q$2,NKSX!#REF!,"m",NKSX!#REF!,"")+SUMIFS(NKSX!$J$2:$J$5,NKSX!$B$2:$B$5,"&lt;"&amp;Q$2,NKSX!#REF!,"m",NKSX!#REF!,"&gt;="&amp;Q$2)</f>
        <v>#ERROR!</v>
      </c>
      <c r="R5" s="383" t="str">
        <f>SUMIFS(NKSX!$M$2:$M$5,NKSX!$B$2:$B$5,"&lt;"&amp;R$2,NKSX!#REF!,"m",NKSX!#REF!,"")+SUMIFS(NKSX!$J$2:$J$5,NKSX!$B$2:$B$5,"&lt;"&amp;R$2,NKSX!#REF!,"m",NKSX!#REF!,"&gt;="&amp;R$2)</f>
        <v>#ERROR!</v>
      </c>
      <c r="S5" s="383" t="str">
        <f>SUMIFS(NKSX!$M$2:$M$5,NKSX!$B$2:$B$5,"&lt;"&amp;S$2,NKSX!#REF!,"m",NKSX!#REF!,"")+SUMIFS(NKSX!$J$2:$J$5,NKSX!$B$2:$B$5,"&lt;"&amp;S$2,NKSX!#REF!,"m",NKSX!#REF!,"&gt;="&amp;S$2)</f>
        <v>#ERROR!</v>
      </c>
      <c r="T5" s="383" t="str">
        <f>SUMIFS(NKSX!$M$2:$M$5,NKSX!$B$2:$B$5,"&lt;"&amp;T$2,NKSX!#REF!,"m",NKSX!#REF!,"")+SUMIFS(NKSX!$J$2:$J$5,NKSX!$B$2:$B$5,"&lt;"&amp;T$2,NKSX!#REF!,"m",NKSX!#REF!,"&gt;="&amp;T$2)</f>
        <v>#ERROR!</v>
      </c>
      <c r="U5" s="383" t="str">
        <f>SUMIFS(NKSX!$M$2:$M$5,NKSX!$B$2:$B$5,"&lt;"&amp;U$2,NKSX!#REF!,"m",NKSX!#REF!,"")+SUMIFS(NKSX!$J$2:$J$5,NKSX!$B$2:$B$5,"&lt;"&amp;U$2,NKSX!#REF!,"m",NKSX!#REF!,"&gt;="&amp;U$2)</f>
        <v>#ERROR!</v>
      </c>
      <c r="V5" s="383" t="str">
        <f>SUMIFS(NKSX!$M$2:$M$5,NKSX!$B$2:$B$5,"&lt;"&amp;V$2,NKSX!#REF!,"m",NKSX!#REF!,"")+SUMIFS(NKSX!$J$2:$J$5,NKSX!$B$2:$B$5,"&lt;"&amp;V$2,NKSX!#REF!,"m",NKSX!#REF!,"&gt;="&amp;V$2)</f>
        <v>#ERROR!</v>
      </c>
      <c r="W5" s="383" t="str">
        <f>SUMIFS(NKSX!$M$2:$M$5,NKSX!$B$2:$B$5,"&lt;"&amp;W$2,NKSX!#REF!,"m",NKSX!#REF!,"")+SUMIFS(NKSX!$J$2:$J$5,NKSX!$B$2:$B$5,"&lt;"&amp;W$2,NKSX!#REF!,"m",NKSX!#REF!,"&gt;="&amp;W$2)</f>
        <v>#ERROR!</v>
      </c>
      <c r="X5" s="383" t="str">
        <f>SUMIFS(NKSX!$M$2:$M$5,NKSX!$B$2:$B$5,"&lt;"&amp;X$2,NKSX!#REF!,"m",NKSX!#REF!,"")+SUMIFS(NKSX!$J$2:$J$5,NKSX!$B$2:$B$5,"&lt;"&amp;X$2,NKSX!#REF!,"m",NKSX!#REF!,"&gt;="&amp;X$2)</f>
        <v>#ERROR!</v>
      </c>
      <c r="Y5" s="383" t="str">
        <f>SUMIFS(NKSX!$M$2:$M$5,NKSX!$B$2:$B$5,"&lt;"&amp;Y$2,NKSX!#REF!,"m",NKSX!#REF!,"")+SUMIFS(NKSX!$J$2:$J$5,NKSX!$B$2:$B$5,"&lt;"&amp;Y$2,NKSX!#REF!,"m",NKSX!#REF!,"&gt;="&amp;Y$2)</f>
        <v>#ERROR!</v>
      </c>
      <c r="Z5" s="383" t="str">
        <f>SUMIFS(NKSX!$M$2:$M$5,NKSX!$B$2:$B$5,"&lt;"&amp;Z$2,NKSX!#REF!,"m",NKSX!#REF!,"")+SUMIFS(NKSX!$J$2:$J$5,NKSX!$B$2:$B$5,"&lt;"&amp;Z$2,NKSX!#REF!,"m",NKSX!#REF!,"&gt;="&amp;Z$2)</f>
        <v>#ERROR!</v>
      </c>
      <c r="AA5" s="383" t="str">
        <f>SUMIFS(NKSX!$M$2:$M$5,NKSX!$B$2:$B$5,"&lt;"&amp;AA$2,NKSX!#REF!,"m",NKSX!#REF!,"")+SUMIFS(NKSX!$J$2:$J$5,NKSX!$B$2:$B$5,"&lt;"&amp;AA$2,NKSX!#REF!,"m",NKSX!#REF!,"&gt;="&amp;AA$2)</f>
        <v>#ERROR!</v>
      </c>
      <c r="AB5" s="383" t="str">
        <f>SUMIFS(NKSX!$M$2:$M$5,NKSX!$B$2:$B$5,"&lt;"&amp;AB$2,NKSX!#REF!,"m",NKSX!#REF!,"")+SUMIFS(NKSX!$J$2:$J$5,NKSX!$B$2:$B$5,"&lt;"&amp;AB$2,NKSX!#REF!,"m",NKSX!#REF!,"&gt;="&amp;AB$2)</f>
        <v>#ERROR!</v>
      </c>
      <c r="AC5" s="383" t="str">
        <f>SUMIFS(NKSX!$M$2:$M$5,NKSX!$B$2:$B$5,"&lt;"&amp;AC$2,NKSX!#REF!,"m",NKSX!#REF!,"")+SUMIFS(NKSX!$J$2:$J$5,NKSX!$B$2:$B$5,"&lt;"&amp;AC$2,NKSX!#REF!,"m",NKSX!#REF!,"&gt;="&amp;AC$2)</f>
        <v>#ERROR!</v>
      </c>
      <c r="AD5" s="383" t="str">
        <f>SUMIFS(NKSX!$M$2:$M$5,NKSX!$B$2:$B$5,"&lt;"&amp;AD$2,NKSX!#REF!,"m",NKSX!#REF!,"")+SUMIFS(NKSX!$J$2:$J$5,NKSX!$B$2:$B$5,"&lt;"&amp;AD$2,NKSX!#REF!,"m",NKSX!#REF!,"&gt;="&amp;AD$2)</f>
        <v>#ERROR!</v>
      </c>
      <c r="AE5" s="383" t="str">
        <f>SUMIFS(NKSX!$M$2:$M$5,NKSX!$B$2:$B$5,"&lt;"&amp;AE$2,NKSX!#REF!,"m",NKSX!#REF!,"")+SUMIFS(NKSX!$J$2:$J$5,NKSX!$B$2:$B$5,"&lt;"&amp;AE$2,NKSX!#REF!,"m",NKSX!#REF!,"&gt;="&amp;AE$2)</f>
        <v>#ERROR!</v>
      </c>
      <c r="AF5" s="383" t="str">
        <f>SUMIFS(NKSX!$M$2:$M$5,NKSX!$B$2:$B$5,"&lt;"&amp;AF$2,NKSX!#REF!,"m",NKSX!#REF!,"")+SUMIFS(NKSX!$J$2:$J$5,NKSX!$B$2:$B$5,"&lt;"&amp;AF$2,NKSX!#REF!,"m",NKSX!#REF!,"&gt;="&amp;AF$2)</f>
        <v>#ERROR!</v>
      </c>
      <c r="AG5" s="383" t="str">
        <f>SUMIFS(NKSX!$M$2:$M$5,NKSX!$B$2:$B$5,"&lt;"&amp;AG$2,NKSX!#REF!,"m",NKSX!#REF!,"")+SUMIFS(NKSX!$J$2:$J$5,NKSX!$B$2:$B$5,"&lt;"&amp;AG$2,NKSX!#REF!,"m",NKSX!#REF!,"&gt;="&amp;AG$2)</f>
        <v>#ERROR!</v>
      </c>
    </row>
    <row r="6" ht="15.0" customHeight="1">
      <c r="A6" s="408" t="s">
        <v>494</v>
      </c>
      <c r="B6" s="408"/>
      <c r="C6" s="409" t="str">
        <f t="shared" ref="C6:AG6" si="3">SUM(C7:C8)</f>
        <v>#ERROR!</v>
      </c>
      <c r="D6" s="409" t="str">
        <f t="shared" si="3"/>
        <v>#ERROR!</v>
      </c>
      <c r="E6" s="409" t="str">
        <f t="shared" si="3"/>
        <v>#ERROR!</v>
      </c>
      <c r="F6" s="409" t="str">
        <f t="shared" si="3"/>
        <v>#ERROR!</v>
      </c>
      <c r="G6" s="409" t="str">
        <f t="shared" si="3"/>
        <v>#ERROR!</v>
      </c>
      <c r="H6" s="409" t="str">
        <f t="shared" si="3"/>
        <v>#ERROR!</v>
      </c>
      <c r="I6" s="409" t="str">
        <f t="shared" si="3"/>
        <v>#ERROR!</v>
      </c>
      <c r="J6" s="409" t="str">
        <f t="shared" si="3"/>
        <v>#ERROR!</v>
      </c>
      <c r="K6" s="409" t="str">
        <f t="shared" si="3"/>
        <v>#ERROR!</v>
      </c>
      <c r="L6" s="409" t="str">
        <f t="shared" si="3"/>
        <v>#ERROR!</v>
      </c>
      <c r="M6" s="409" t="str">
        <f t="shared" si="3"/>
        <v>#ERROR!</v>
      </c>
      <c r="N6" s="409" t="str">
        <f t="shared" si="3"/>
        <v>#ERROR!</v>
      </c>
      <c r="O6" s="409" t="str">
        <f t="shared" si="3"/>
        <v>#ERROR!</v>
      </c>
      <c r="P6" s="409" t="str">
        <f t="shared" si="3"/>
        <v>#ERROR!</v>
      </c>
      <c r="Q6" s="409" t="str">
        <f t="shared" si="3"/>
        <v>#ERROR!</v>
      </c>
      <c r="R6" s="409" t="str">
        <f t="shared" si="3"/>
        <v>#ERROR!</v>
      </c>
      <c r="S6" s="409" t="str">
        <f t="shared" si="3"/>
        <v>#ERROR!</v>
      </c>
      <c r="T6" s="409" t="str">
        <f t="shared" si="3"/>
        <v>#ERROR!</v>
      </c>
      <c r="U6" s="409" t="str">
        <f t="shared" si="3"/>
        <v>#ERROR!</v>
      </c>
      <c r="V6" s="409" t="str">
        <f t="shared" si="3"/>
        <v>#ERROR!</v>
      </c>
      <c r="W6" s="409" t="str">
        <f t="shared" si="3"/>
        <v>#ERROR!</v>
      </c>
      <c r="X6" s="409" t="str">
        <f t="shared" si="3"/>
        <v>#ERROR!</v>
      </c>
      <c r="Y6" s="409" t="str">
        <f t="shared" si="3"/>
        <v>#ERROR!</v>
      </c>
      <c r="Z6" s="409" t="str">
        <f t="shared" si="3"/>
        <v>#ERROR!</v>
      </c>
      <c r="AA6" s="409" t="str">
        <f t="shared" si="3"/>
        <v>#ERROR!</v>
      </c>
      <c r="AB6" s="409" t="str">
        <f t="shared" si="3"/>
        <v>#ERROR!</v>
      </c>
      <c r="AC6" s="409" t="str">
        <f t="shared" si="3"/>
        <v>#ERROR!</v>
      </c>
      <c r="AD6" s="409" t="str">
        <f t="shared" si="3"/>
        <v>#ERROR!</v>
      </c>
      <c r="AE6" s="409" t="str">
        <f t="shared" si="3"/>
        <v>#ERROR!</v>
      </c>
      <c r="AF6" s="409" t="str">
        <f t="shared" si="3"/>
        <v>#ERROR!</v>
      </c>
      <c r="AG6" s="409" t="str">
        <f t="shared" si="3"/>
        <v>#ERROR!</v>
      </c>
    </row>
    <row r="7" ht="15.0" customHeight="1">
      <c r="A7" s="410" t="s">
        <v>496</v>
      </c>
      <c r="B7" s="410"/>
      <c r="C7" s="383" t="str">
        <f>SUMIFS(NKSX!$M:$M,NKSX!$B:$B,C$2,NKSX!#REF!,"D")</f>
        <v>#ERROR!</v>
      </c>
      <c r="D7" s="383" t="str">
        <f>SUMIFS(NKSX!$M:$M,NKSX!$B:$B,D$2,NKSX!#REF!,"D")</f>
        <v>#ERROR!</v>
      </c>
      <c r="E7" s="383" t="str">
        <f>SUMIFS(NKSX!$M:$M,NKSX!$B:$B,E$2,NKSX!#REF!,"D")</f>
        <v>#ERROR!</v>
      </c>
      <c r="F7" s="383" t="str">
        <f>SUMIFS(NKSX!$M:$M,NKSX!$B:$B,F$2,NKSX!#REF!,"D")</f>
        <v>#ERROR!</v>
      </c>
      <c r="G7" s="383" t="str">
        <f>SUMIFS(NKSX!$M:$M,NKSX!$B:$B,G$2,NKSX!#REF!,"D")</f>
        <v>#ERROR!</v>
      </c>
      <c r="H7" s="383" t="str">
        <f>SUMIFS(NKSX!$M:$M,NKSX!$B:$B,H$2,NKSX!#REF!,"D")</f>
        <v>#ERROR!</v>
      </c>
      <c r="I7" s="383" t="str">
        <f>SUMIFS(NKSX!$M:$M,NKSX!$B:$B,I$2,NKSX!#REF!,"D")</f>
        <v>#ERROR!</v>
      </c>
      <c r="J7" s="383" t="str">
        <f>SUMIFS(NKSX!$M:$M,NKSX!$B:$B,J$2,NKSX!#REF!,"D")</f>
        <v>#ERROR!</v>
      </c>
      <c r="K7" s="383" t="str">
        <f>SUMIFS(NKSX!$M:$M,NKSX!$B:$B,K$2,NKSX!#REF!,"D")</f>
        <v>#ERROR!</v>
      </c>
      <c r="L7" s="383" t="str">
        <f>SUMIFS(NKSX!$M:$M,NKSX!$B:$B,L$2,NKSX!#REF!,"D")</f>
        <v>#ERROR!</v>
      </c>
      <c r="M7" s="383" t="str">
        <f>SUMIFS(NKSX!$M:$M,NKSX!$B:$B,M$2,NKSX!#REF!,"D")</f>
        <v>#ERROR!</v>
      </c>
      <c r="N7" s="383" t="str">
        <f>SUMIFS(NKSX!$M:$M,NKSX!$B:$B,N$2,NKSX!#REF!,"D")</f>
        <v>#ERROR!</v>
      </c>
      <c r="O7" s="383" t="str">
        <f>SUMIFS(NKSX!$M:$M,NKSX!$B:$B,O$2,NKSX!#REF!,"D")</f>
        <v>#ERROR!</v>
      </c>
      <c r="P7" s="383" t="str">
        <f>SUMIFS(NKSX!$M:$M,NKSX!$B:$B,P$2,NKSX!#REF!,"D")</f>
        <v>#ERROR!</v>
      </c>
      <c r="Q7" s="383" t="str">
        <f>SUMIFS(NKSX!$M:$M,NKSX!$B:$B,Q$2,NKSX!#REF!,"D")</f>
        <v>#ERROR!</v>
      </c>
      <c r="R7" s="383" t="str">
        <f>SUMIFS(NKSX!$M:$M,NKSX!$B:$B,R$2,NKSX!#REF!,"D")</f>
        <v>#ERROR!</v>
      </c>
      <c r="S7" s="383" t="str">
        <f>SUMIFS(NKSX!$M:$M,NKSX!$B:$B,S$2,NKSX!#REF!,"D")</f>
        <v>#ERROR!</v>
      </c>
      <c r="T7" s="383" t="str">
        <f>SUMIFS(NKSX!$M:$M,NKSX!$B:$B,T$2,NKSX!#REF!,"D")</f>
        <v>#ERROR!</v>
      </c>
      <c r="U7" s="383" t="str">
        <f>SUMIFS(NKSX!$M:$M,NKSX!$B:$B,U$2,NKSX!#REF!,"D")</f>
        <v>#ERROR!</v>
      </c>
      <c r="V7" s="383" t="str">
        <f>SUMIFS(NKSX!$M:$M,NKSX!$B:$B,V$2,NKSX!#REF!,"D")</f>
        <v>#ERROR!</v>
      </c>
      <c r="W7" s="383" t="str">
        <f>SUMIFS(NKSX!$M:$M,NKSX!$B:$B,W$2,NKSX!#REF!,"D")</f>
        <v>#ERROR!</v>
      </c>
      <c r="X7" s="383" t="str">
        <f>SUMIFS(NKSX!$M:$M,NKSX!$B:$B,X$2,NKSX!#REF!,"D")</f>
        <v>#ERROR!</v>
      </c>
      <c r="Y7" s="383" t="str">
        <f>SUMIFS(NKSX!$M:$M,NKSX!$B:$B,Y$2,NKSX!#REF!,"D")</f>
        <v>#ERROR!</v>
      </c>
      <c r="Z7" s="383" t="str">
        <f>SUMIFS(NKSX!$M:$M,NKSX!$B:$B,Z$2,NKSX!#REF!,"D")</f>
        <v>#ERROR!</v>
      </c>
      <c r="AA7" s="383" t="str">
        <f>SUMIFS(NKSX!$M:$M,NKSX!$B:$B,AA$2,NKSX!#REF!,"D")</f>
        <v>#ERROR!</v>
      </c>
      <c r="AB7" s="383" t="str">
        <f>SUMIFS(NKSX!$M:$M,NKSX!$B:$B,AB$2,NKSX!#REF!,"D")</f>
        <v>#ERROR!</v>
      </c>
      <c r="AC7" s="383" t="str">
        <f>SUMIFS(NKSX!$M:$M,NKSX!$B:$B,AC$2,NKSX!#REF!,"D")</f>
        <v>#ERROR!</v>
      </c>
      <c r="AD7" s="383" t="str">
        <f>SUMIFS(NKSX!$M:$M,NKSX!$B:$B,AD$2,NKSX!#REF!,"D")</f>
        <v>#ERROR!</v>
      </c>
      <c r="AE7" s="383" t="str">
        <f>SUMIFS(NKSX!$M:$M,NKSX!$B:$B,AE$2,NKSX!#REF!,"D")</f>
        <v>#ERROR!</v>
      </c>
      <c r="AF7" s="383" t="str">
        <f>SUMIFS(NKSX!$M:$M,NKSX!$B:$B,AF$2,NKSX!#REF!,"D")</f>
        <v>#ERROR!</v>
      </c>
      <c r="AG7" s="383" t="str">
        <f>SUMIFS(NKSX!$M:$M,NKSX!$B:$B,AG$2,NKSX!#REF!,"D")</f>
        <v>#ERROR!</v>
      </c>
    </row>
    <row r="8" ht="15.0" customHeight="1">
      <c r="A8" s="410" t="s">
        <v>501</v>
      </c>
      <c r="B8" s="410"/>
      <c r="C8" s="383" t="str">
        <f>SUMIFS(NKSX!$M:$M,NKSX!$B:$B,C$2,NKSX!#REF!,"M")</f>
        <v>#ERROR!</v>
      </c>
      <c r="D8" s="383" t="str">
        <f>SUMIFS(NKSX!$M:$M,NKSX!$B:$B,D$2,NKSX!#REF!,"M")</f>
        <v>#ERROR!</v>
      </c>
      <c r="E8" s="383" t="str">
        <f>SUMIFS(NKSX!$M:$M,NKSX!$B:$B,E$2,NKSX!#REF!,"M")</f>
        <v>#ERROR!</v>
      </c>
      <c r="F8" s="383" t="str">
        <f>SUMIFS(NKSX!$M:$M,NKSX!$B:$B,F$2,NKSX!#REF!,"M")</f>
        <v>#ERROR!</v>
      </c>
      <c r="G8" s="383" t="str">
        <f>SUMIFS(NKSX!$M:$M,NKSX!$B:$B,G$2,NKSX!#REF!,"M")</f>
        <v>#ERROR!</v>
      </c>
      <c r="H8" s="383" t="str">
        <f>SUMIFS(NKSX!$M:$M,NKSX!$B:$B,H$2,NKSX!#REF!,"M")</f>
        <v>#ERROR!</v>
      </c>
      <c r="I8" s="383" t="str">
        <f>SUMIFS(NKSX!$M:$M,NKSX!$B:$B,I$2,NKSX!#REF!,"M")</f>
        <v>#ERROR!</v>
      </c>
      <c r="J8" s="383" t="str">
        <f>SUMIFS(NKSX!$M:$M,NKSX!$B:$B,J$2,NKSX!#REF!,"M")</f>
        <v>#ERROR!</v>
      </c>
      <c r="K8" s="383" t="str">
        <f>SUMIFS(NKSX!$M:$M,NKSX!$B:$B,K$2,NKSX!#REF!,"M")</f>
        <v>#ERROR!</v>
      </c>
      <c r="L8" s="383" t="str">
        <f>SUMIFS(NKSX!$M:$M,NKSX!$B:$B,L$2,NKSX!#REF!,"M")</f>
        <v>#ERROR!</v>
      </c>
      <c r="M8" s="383" t="str">
        <f>SUMIFS(NKSX!$M:$M,NKSX!$B:$B,M$2,NKSX!#REF!,"M")</f>
        <v>#ERROR!</v>
      </c>
      <c r="N8" s="383" t="str">
        <f>SUMIFS(NKSX!$M:$M,NKSX!$B:$B,N$2,NKSX!#REF!,"M")</f>
        <v>#ERROR!</v>
      </c>
      <c r="O8" s="383" t="str">
        <f>SUMIFS(NKSX!$M:$M,NKSX!$B:$B,O$2,NKSX!#REF!,"M")</f>
        <v>#ERROR!</v>
      </c>
      <c r="P8" s="383" t="str">
        <f>SUMIFS(NKSX!$M:$M,NKSX!$B:$B,P$2,NKSX!#REF!,"M")</f>
        <v>#ERROR!</v>
      </c>
      <c r="Q8" s="383" t="str">
        <f>SUMIFS(NKSX!$M:$M,NKSX!$B:$B,Q$2,NKSX!#REF!,"M")</f>
        <v>#ERROR!</v>
      </c>
      <c r="R8" s="383" t="str">
        <f>SUMIFS(NKSX!$M:$M,NKSX!$B:$B,R$2,NKSX!#REF!,"M")</f>
        <v>#ERROR!</v>
      </c>
      <c r="S8" s="383" t="str">
        <f>SUMIFS(NKSX!$M:$M,NKSX!$B:$B,S$2,NKSX!#REF!,"M")</f>
        <v>#ERROR!</v>
      </c>
      <c r="T8" s="383" t="str">
        <f>SUMIFS(NKSX!$M:$M,NKSX!$B:$B,T$2,NKSX!#REF!,"M")</f>
        <v>#ERROR!</v>
      </c>
      <c r="U8" s="383" t="str">
        <f>SUMIFS(NKSX!$M:$M,NKSX!$B:$B,U$2,NKSX!#REF!,"M")</f>
        <v>#ERROR!</v>
      </c>
      <c r="V8" s="383" t="str">
        <f>SUMIFS(NKSX!$M:$M,NKSX!$B:$B,V$2,NKSX!#REF!,"M")</f>
        <v>#ERROR!</v>
      </c>
      <c r="W8" s="383" t="str">
        <f>SUMIFS(NKSX!$M:$M,NKSX!$B:$B,W$2,NKSX!#REF!,"M")</f>
        <v>#ERROR!</v>
      </c>
      <c r="X8" s="383" t="str">
        <f>SUMIFS(NKSX!$M:$M,NKSX!$B:$B,X$2,NKSX!#REF!,"M")</f>
        <v>#ERROR!</v>
      </c>
      <c r="Y8" s="383" t="str">
        <f>SUMIFS(NKSX!$M:$M,NKSX!$B:$B,Y$2,NKSX!#REF!,"M")</f>
        <v>#ERROR!</v>
      </c>
      <c r="Z8" s="383" t="str">
        <f>SUMIFS(NKSX!$M:$M,NKSX!$B:$B,Z$2,NKSX!#REF!,"M")</f>
        <v>#ERROR!</v>
      </c>
      <c r="AA8" s="383" t="str">
        <f>SUMIFS(NKSX!$M:$M,NKSX!$B:$B,AA$2,NKSX!#REF!,"M")</f>
        <v>#ERROR!</v>
      </c>
      <c r="AB8" s="383" t="str">
        <f>SUMIFS(NKSX!$M:$M,NKSX!$B:$B,AB$2,NKSX!#REF!,"M")</f>
        <v>#ERROR!</v>
      </c>
      <c r="AC8" s="383" t="str">
        <f>SUMIFS(NKSX!$M:$M,NKSX!$B:$B,AC$2,NKSX!#REF!,"M")</f>
        <v>#ERROR!</v>
      </c>
      <c r="AD8" s="383" t="str">
        <f>SUMIFS(NKSX!$M:$M,NKSX!$B:$B,AD$2,NKSX!#REF!,"M")</f>
        <v>#ERROR!</v>
      </c>
      <c r="AE8" s="383" t="str">
        <f>SUMIFS(NKSX!$M:$M,NKSX!$B:$B,AE$2,NKSX!#REF!,"M")</f>
        <v>#ERROR!</v>
      </c>
      <c r="AF8" s="383" t="str">
        <f>SUMIFS(NKSX!$M:$M,NKSX!$B:$B,AF$2,NKSX!#REF!,"M")</f>
        <v>#ERROR!</v>
      </c>
      <c r="AG8" s="383" t="str">
        <f>SUMIFS(NKSX!$M:$M,NKSX!$B:$B,AG$2,NKSX!#REF!,"M")</f>
        <v>#ERROR!</v>
      </c>
    </row>
    <row r="9" ht="15.0" customHeight="1">
      <c r="A9" s="411" t="s">
        <v>503</v>
      </c>
      <c r="B9" s="411"/>
      <c r="C9" s="412" t="str">
        <f t="shared" ref="C9:AG9" si="4">SUM(C10:C11)</f>
        <v>#ERROR!</v>
      </c>
      <c r="D9" s="412" t="str">
        <f t="shared" si="4"/>
        <v>#ERROR!</v>
      </c>
      <c r="E9" s="412" t="str">
        <f t="shared" si="4"/>
        <v>#ERROR!</v>
      </c>
      <c r="F9" s="412" t="str">
        <f t="shared" si="4"/>
        <v>#ERROR!</v>
      </c>
      <c r="G9" s="412" t="str">
        <f t="shared" si="4"/>
        <v>#ERROR!</v>
      </c>
      <c r="H9" s="412" t="str">
        <f t="shared" si="4"/>
        <v>#ERROR!</v>
      </c>
      <c r="I9" s="412" t="str">
        <f t="shared" si="4"/>
        <v>#ERROR!</v>
      </c>
      <c r="J9" s="412" t="str">
        <f t="shared" si="4"/>
        <v>#ERROR!</v>
      </c>
      <c r="K9" s="412" t="str">
        <f t="shared" si="4"/>
        <v>#ERROR!</v>
      </c>
      <c r="L9" s="412" t="str">
        <f t="shared" si="4"/>
        <v>#ERROR!</v>
      </c>
      <c r="M9" s="412" t="str">
        <f t="shared" si="4"/>
        <v>#ERROR!</v>
      </c>
      <c r="N9" s="412" t="str">
        <f t="shared" si="4"/>
        <v>#ERROR!</v>
      </c>
      <c r="O9" s="412" t="str">
        <f t="shared" si="4"/>
        <v>#ERROR!</v>
      </c>
      <c r="P9" s="412" t="str">
        <f t="shared" si="4"/>
        <v>#ERROR!</v>
      </c>
      <c r="Q9" s="412" t="str">
        <f t="shared" si="4"/>
        <v>#ERROR!</v>
      </c>
      <c r="R9" s="412" t="str">
        <f t="shared" si="4"/>
        <v>#ERROR!</v>
      </c>
      <c r="S9" s="412" t="str">
        <f t="shared" si="4"/>
        <v>#ERROR!</v>
      </c>
      <c r="T9" s="412" t="str">
        <f t="shared" si="4"/>
        <v>#ERROR!</v>
      </c>
      <c r="U9" s="412" t="str">
        <f t="shared" si="4"/>
        <v>#ERROR!</v>
      </c>
      <c r="V9" s="412" t="str">
        <f t="shared" si="4"/>
        <v>#ERROR!</v>
      </c>
      <c r="W9" s="412" t="str">
        <f t="shared" si="4"/>
        <v>#ERROR!</v>
      </c>
      <c r="X9" s="412" t="str">
        <f t="shared" si="4"/>
        <v>#ERROR!</v>
      </c>
      <c r="Y9" s="412" t="str">
        <f t="shared" si="4"/>
        <v>#ERROR!</v>
      </c>
      <c r="Z9" s="412" t="str">
        <f t="shared" si="4"/>
        <v>#ERROR!</v>
      </c>
      <c r="AA9" s="412" t="str">
        <f t="shared" si="4"/>
        <v>#ERROR!</v>
      </c>
      <c r="AB9" s="412" t="str">
        <f t="shared" si="4"/>
        <v>#ERROR!</v>
      </c>
      <c r="AC9" s="412" t="str">
        <f t="shared" si="4"/>
        <v>#ERROR!</v>
      </c>
      <c r="AD9" s="412" t="str">
        <f t="shared" si="4"/>
        <v>#ERROR!</v>
      </c>
      <c r="AE9" s="412" t="str">
        <f t="shared" si="4"/>
        <v>#ERROR!</v>
      </c>
      <c r="AF9" s="412" t="str">
        <f t="shared" si="4"/>
        <v>#ERROR!</v>
      </c>
      <c r="AG9" s="412" t="str">
        <f t="shared" si="4"/>
        <v>#ERROR!</v>
      </c>
    </row>
    <row r="10" ht="15.0" customHeight="1">
      <c r="A10" s="410" t="s">
        <v>504</v>
      </c>
      <c r="B10" s="410"/>
      <c r="C10" s="383" t="str">
        <f>SUMIFS(NKSX!$M:$M,NKSX!#REF!,'XNT THEO NGÀY'!C$2,NKSX!#REF!,"D")</f>
        <v>#ERROR!</v>
      </c>
      <c r="D10" s="383" t="str">
        <f>SUMIFS(NKSX!$M:$M,NKSX!#REF!,'XNT THEO NGÀY'!D$2,NKSX!#REF!,"D")</f>
        <v>#ERROR!</v>
      </c>
      <c r="E10" s="383" t="str">
        <f>SUMIFS(NKSX!$M:$M,NKSX!#REF!,'XNT THEO NGÀY'!E$2,NKSX!#REF!,"D")</f>
        <v>#ERROR!</v>
      </c>
      <c r="F10" s="383" t="str">
        <f>SUMIFS(NKSX!$M:$M,NKSX!#REF!,'XNT THEO NGÀY'!F$2,NKSX!#REF!,"D")</f>
        <v>#ERROR!</v>
      </c>
      <c r="G10" s="383" t="str">
        <f>SUMIFS(NKSX!$M:$M,NKSX!#REF!,'XNT THEO NGÀY'!G$2,NKSX!#REF!,"D")</f>
        <v>#ERROR!</v>
      </c>
      <c r="H10" s="383" t="str">
        <f>SUMIFS(NKSX!$M:$M,NKSX!#REF!,'XNT THEO NGÀY'!H$2,NKSX!#REF!,"D")</f>
        <v>#ERROR!</v>
      </c>
      <c r="I10" s="383" t="str">
        <f>SUMIFS(NKSX!$M:$M,NKSX!#REF!,'XNT THEO NGÀY'!I$2,NKSX!#REF!,"D")</f>
        <v>#ERROR!</v>
      </c>
      <c r="J10" s="383" t="str">
        <f>SUMIFS(NKSX!$M:$M,NKSX!#REF!,'XNT THEO NGÀY'!J$2,NKSX!#REF!,"D")</f>
        <v>#ERROR!</v>
      </c>
      <c r="K10" s="383" t="str">
        <f>SUMIFS(NKSX!$M:$M,NKSX!#REF!,'XNT THEO NGÀY'!K$2,NKSX!#REF!,"D")</f>
        <v>#ERROR!</v>
      </c>
      <c r="L10" s="383" t="str">
        <f>SUMIFS(NKSX!$M:$M,NKSX!#REF!,'XNT THEO NGÀY'!L$2,NKSX!#REF!,"D")</f>
        <v>#ERROR!</v>
      </c>
      <c r="M10" s="383" t="str">
        <f>SUMIFS(NKSX!$M:$M,NKSX!#REF!,'XNT THEO NGÀY'!M$2,NKSX!#REF!,"D")</f>
        <v>#ERROR!</v>
      </c>
      <c r="N10" s="383" t="str">
        <f>SUMIFS(NKSX!$M:$M,NKSX!#REF!,'XNT THEO NGÀY'!N$2,NKSX!#REF!,"D")</f>
        <v>#ERROR!</v>
      </c>
      <c r="O10" s="383" t="str">
        <f>SUMIFS(NKSX!$M:$M,NKSX!#REF!,'XNT THEO NGÀY'!O$2,NKSX!#REF!,"D")</f>
        <v>#ERROR!</v>
      </c>
      <c r="P10" s="383" t="str">
        <f>SUMIFS(NKSX!$M:$M,NKSX!#REF!,'XNT THEO NGÀY'!P$2,NKSX!#REF!,"D")</f>
        <v>#ERROR!</v>
      </c>
      <c r="Q10" s="383" t="str">
        <f>SUMIFS(NKSX!$M:$M,NKSX!#REF!,'XNT THEO NGÀY'!Q$2,NKSX!#REF!,"D")</f>
        <v>#ERROR!</v>
      </c>
      <c r="R10" s="383" t="str">
        <f>SUMIFS(NKSX!$M:$M,NKSX!#REF!,'XNT THEO NGÀY'!R$2,NKSX!#REF!,"D")</f>
        <v>#ERROR!</v>
      </c>
      <c r="S10" s="383" t="str">
        <f>SUMIFS(NKSX!$M:$M,NKSX!#REF!,'XNT THEO NGÀY'!S$2,NKSX!#REF!,"D")</f>
        <v>#ERROR!</v>
      </c>
      <c r="T10" s="383" t="str">
        <f>SUMIFS(NKSX!$M:$M,NKSX!#REF!,'XNT THEO NGÀY'!T$2,NKSX!#REF!,"D")</f>
        <v>#ERROR!</v>
      </c>
      <c r="U10" s="383" t="str">
        <f>SUMIFS(NKSX!$M:$M,NKSX!#REF!,'XNT THEO NGÀY'!U$2,NKSX!#REF!,"D")</f>
        <v>#ERROR!</v>
      </c>
      <c r="V10" s="383" t="str">
        <f>SUMIFS(NKSX!$M:$M,NKSX!#REF!,'XNT THEO NGÀY'!V$2,NKSX!#REF!,"D")</f>
        <v>#ERROR!</v>
      </c>
      <c r="W10" s="383" t="str">
        <f>SUMIFS(NKSX!$M:$M,NKSX!#REF!,'XNT THEO NGÀY'!W$2,NKSX!#REF!,"D")</f>
        <v>#ERROR!</v>
      </c>
      <c r="X10" s="383" t="str">
        <f>SUMIFS(NKSX!$M:$M,NKSX!#REF!,'XNT THEO NGÀY'!X$2,NKSX!#REF!,"D")</f>
        <v>#ERROR!</v>
      </c>
      <c r="Y10" s="383" t="str">
        <f>SUMIFS(NKSX!$M:$M,NKSX!#REF!,'XNT THEO NGÀY'!Y$2,NKSX!#REF!,"D")</f>
        <v>#ERROR!</v>
      </c>
      <c r="Z10" s="383" t="str">
        <f>SUMIFS(NKSX!$M:$M,NKSX!#REF!,'XNT THEO NGÀY'!Z$2,NKSX!#REF!,"D")</f>
        <v>#ERROR!</v>
      </c>
      <c r="AA10" s="383" t="str">
        <f>SUMIFS(NKSX!$M:$M,NKSX!#REF!,'XNT THEO NGÀY'!AA$2,NKSX!#REF!,"D")</f>
        <v>#ERROR!</v>
      </c>
      <c r="AB10" s="383" t="str">
        <f>SUMIFS(NKSX!$M:$M,NKSX!#REF!,'XNT THEO NGÀY'!AB$2,NKSX!#REF!,"D")</f>
        <v>#ERROR!</v>
      </c>
      <c r="AC10" s="383" t="str">
        <f>SUMIFS(NKSX!$M:$M,NKSX!#REF!,'XNT THEO NGÀY'!AC$2,NKSX!#REF!,"D")</f>
        <v>#ERROR!</v>
      </c>
      <c r="AD10" s="383" t="str">
        <f>SUMIFS(NKSX!$M:$M,NKSX!#REF!,'XNT THEO NGÀY'!AD$2,NKSX!#REF!,"D")</f>
        <v>#ERROR!</v>
      </c>
      <c r="AE10" s="383" t="str">
        <f>SUMIFS(NKSX!$M:$M,NKSX!#REF!,'XNT THEO NGÀY'!AE$2,NKSX!#REF!,"D")</f>
        <v>#ERROR!</v>
      </c>
      <c r="AF10" s="383" t="str">
        <f>SUMIFS(NKSX!$M:$M,NKSX!#REF!,'XNT THEO NGÀY'!AF$2,NKSX!#REF!,"D")</f>
        <v>#ERROR!</v>
      </c>
      <c r="AG10" s="383" t="str">
        <f>SUMIFS(NKSX!$M:$M,NKSX!#REF!,'XNT THEO NGÀY'!AG$2,NKSX!#REF!,"D")</f>
        <v>#ERROR!</v>
      </c>
    </row>
    <row r="11" ht="15.0" customHeight="1">
      <c r="A11" s="410" t="s">
        <v>505</v>
      </c>
      <c r="B11" s="410"/>
      <c r="C11" s="383" t="str">
        <f>SUMIFS(NKSX!$M:$M,NKSX!#REF!,'XNT THEO NGÀY'!C$2,NKSX!#REF!,"M")</f>
        <v>#ERROR!</v>
      </c>
      <c r="D11" s="383" t="str">
        <f>SUMIFS(NKSX!$M:$M,NKSX!#REF!,'XNT THEO NGÀY'!D$2,NKSX!#REF!,"M")</f>
        <v>#ERROR!</v>
      </c>
      <c r="E11" s="383" t="str">
        <f>SUMIFS(NKSX!$M:$M,NKSX!#REF!,'XNT THEO NGÀY'!E$2,NKSX!#REF!,"M")</f>
        <v>#ERROR!</v>
      </c>
      <c r="F11" s="383" t="str">
        <f>SUMIFS(NKSX!$M:$M,NKSX!#REF!,'XNT THEO NGÀY'!F$2,NKSX!#REF!,"M")</f>
        <v>#ERROR!</v>
      </c>
      <c r="G11" s="383" t="str">
        <f>SUMIFS(NKSX!$M:$M,NKSX!#REF!,'XNT THEO NGÀY'!G$2,NKSX!#REF!,"M")</f>
        <v>#ERROR!</v>
      </c>
      <c r="H11" s="383" t="str">
        <f>SUMIFS(NKSX!$M:$M,NKSX!#REF!,'XNT THEO NGÀY'!H$2,NKSX!#REF!,"M")</f>
        <v>#ERROR!</v>
      </c>
      <c r="I11" s="383" t="str">
        <f>SUMIFS(NKSX!$M:$M,NKSX!#REF!,'XNT THEO NGÀY'!I$2,NKSX!#REF!,"M")</f>
        <v>#ERROR!</v>
      </c>
      <c r="J11" s="383" t="str">
        <f>SUMIFS(NKSX!$M:$M,NKSX!#REF!,'XNT THEO NGÀY'!J$2,NKSX!#REF!,"M")</f>
        <v>#ERROR!</v>
      </c>
      <c r="K11" s="383" t="str">
        <f>SUMIFS(NKSX!$M:$M,NKSX!#REF!,'XNT THEO NGÀY'!K$2,NKSX!#REF!,"M")</f>
        <v>#ERROR!</v>
      </c>
      <c r="L11" s="383" t="str">
        <f>SUMIFS(NKSX!$M:$M,NKSX!#REF!,'XNT THEO NGÀY'!L$2,NKSX!#REF!,"M")</f>
        <v>#ERROR!</v>
      </c>
      <c r="M11" s="383" t="str">
        <f>SUMIFS(NKSX!$M:$M,NKSX!#REF!,'XNT THEO NGÀY'!M$2,NKSX!#REF!,"M")</f>
        <v>#ERROR!</v>
      </c>
      <c r="N11" s="383" t="str">
        <f>SUMIFS(NKSX!$M:$M,NKSX!#REF!,'XNT THEO NGÀY'!N$2,NKSX!#REF!,"M")</f>
        <v>#ERROR!</v>
      </c>
      <c r="O11" s="383" t="str">
        <f>SUMIFS(NKSX!$M:$M,NKSX!#REF!,'XNT THEO NGÀY'!O$2,NKSX!#REF!,"M")</f>
        <v>#ERROR!</v>
      </c>
      <c r="P11" s="383" t="str">
        <f>SUMIFS(NKSX!$M:$M,NKSX!#REF!,'XNT THEO NGÀY'!P$2,NKSX!#REF!,"M")</f>
        <v>#ERROR!</v>
      </c>
      <c r="Q11" s="383" t="str">
        <f>SUMIFS(NKSX!$M:$M,NKSX!#REF!,'XNT THEO NGÀY'!Q$2,NKSX!#REF!,"M")</f>
        <v>#ERROR!</v>
      </c>
      <c r="R11" s="383" t="str">
        <f>SUMIFS(NKSX!$M:$M,NKSX!#REF!,'XNT THEO NGÀY'!R$2,NKSX!#REF!,"M")</f>
        <v>#ERROR!</v>
      </c>
      <c r="S11" s="383" t="str">
        <f>SUMIFS(NKSX!$M:$M,NKSX!#REF!,'XNT THEO NGÀY'!S$2,NKSX!#REF!,"M")</f>
        <v>#ERROR!</v>
      </c>
      <c r="T11" s="383" t="str">
        <f>SUMIFS(NKSX!$M:$M,NKSX!#REF!,'XNT THEO NGÀY'!T$2,NKSX!#REF!,"M")</f>
        <v>#ERROR!</v>
      </c>
      <c r="U11" s="383" t="str">
        <f>SUMIFS(NKSX!$M:$M,NKSX!#REF!,'XNT THEO NGÀY'!U$2,NKSX!#REF!,"M")</f>
        <v>#ERROR!</v>
      </c>
      <c r="V11" s="383" t="str">
        <f>SUMIFS(NKSX!$M:$M,NKSX!#REF!,'XNT THEO NGÀY'!V$2,NKSX!#REF!,"M")</f>
        <v>#ERROR!</v>
      </c>
      <c r="W11" s="383" t="str">
        <f>SUMIFS(NKSX!$M:$M,NKSX!#REF!,'XNT THEO NGÀY'!W$2,NKSX!#REF!,"M")</f>
        <v>#ERROR!</v>
      </c>
      <c r="X11" s="383" t="str">
        <f>SUMIFS(NKSX!$M:$M,NKSX!#REF!,'XNT THEO NGÀY'!X$2,NKSX!#REF!,"M")</f>
        <v>#ERROR!</v>
      </c>
      <c r="Y11" s="383" t="str">
        <f>SUMIFS(NKSX!$M:$M,NKSX!#REF!,'XNT THEO NGÀY'!Y$2,NKSX!#REF!,"M")</f>
        <v>#ERROR!</v>
      </c>
      <c r="Z11" s="383" t="str">
        <f>SUMIFS(NKSX!$M:$M,NKSX!#REF!,'XNT THEO NGÀY'!Z$2,NKSX!#REF!,"M")</f>
        <v>#ERROR!</v>
      </c>
      <c r="AA11" s="383" t="str">
        <f>SUMIFS(NKSX!$M:$M,NKSX!#REF!,'XNT THEO NGÀY'!AA$2,NKSX!#REF!,"M")</f>
        <v>#ERROR!</v>
      </c>
      <c r="AB11" s="383" t="str">
        <f>SUMIFS(NKSX!$M:$M,NKSX!#REF!,'XNT THEO NGÀY'!AB$2,NKSX!#REF!,"M")</f>
        <v>#ERROR!</v>
      </c>
      <c r="AC11" s="383" t="str">
        <f>SUMIFS(NKSX!$M:$M,NKSX!#REF!,'XNT THEO NGÀY'!AC$2,NKSX!#REF!,"M")</f>
        <v>#ERROR!</v>
      </c>
      <c r="AD11" s="383" t="str">
        <f>SUMIFS(NKSX!$M:$M,NKSX!#REF!,'XNT THEO NGÀY'!AD$2,NKSX!#REF!,"M")</f>
        <v>#ERROR!</v>
      </c>
      <c r="AE11" s="383" t="str">
        <f>SUMIFS(NKSX!$M:$M,NKSX!#REF!,'XNT THEO NGÀY'!AE$2,NKSX!#REF!,"M")</f>
        <v>#ERROR!</v>
      </c>
      <c r="AF11" s="383" t="str">
        <f>SUMIFS(NKSX!$M:$M,NKSX!#REF!,'XNT THEO NGÀY'!AF$2,NKSX!#REF!,"M")</f>
        <v>#ERROR!</v>
      </c>
      <c r="AG11" s="383" t="str">
        <f>SUMIFS(NKSX!$M:$M,NKSX!#REF!,'XNT THEO NGÀY'!AG$2,NKSX!#REF!,"M")</f>
        <v>#ERROR!</v>
      </c>
    </row>
    <row r="12" ht="15.0" customHeight="1">
      <c r="A12" s="413" t="s">
        <v>506</v>
      </c>
      <c r="B12" s="413"/>
      <c r="C12" s="414" t="str">
        <f t="shared" ref="C12:AG12" si="5">IF(C3=0,0,C3+C6-C9)</f>
        <v>#ERROR!</v>
      </c>
      <c r="D12" s="414" t="str">
        <f t="shared" si="5"/>
        <v>#ERROR!</v>
      </c>
      <c r="E12" s="414" t="str">
        <f t="shared" si="5"/>
        <v>#ERROR!</v>
      </c>
      <c r="F12" s="414" t="str">
        <f t="shared" si="5"/>
        <v>#ERROR!</v>
      </c>
      <c r="G12" s="414" t="str">
        <f t="shared" si="5"/>
        <v>#ERROR!</v>
      </c>
      <c r="H12" s="414" t="str">
        <f t="shared" si="5"/>
        <v>#ERROR!</v>
      </c>
      <c r="I12" s="414" t="str">
        <f t="shared" si="5"/>
        <v>#ERROR!</v>
      </c>
      <c r="J12" s="414" t="str">
        <f t="shared" si="5"/>
        <v>#ERROR!</v>
      </c>
      <c r="K12" s="414" t="str">
        <f t="shared" si="5"/>
        <v>#ERROR!</v>
      </c>
      <c r="L12" s="414" t="str">
        <f t="shared" si="5"/>
        <v>#ERROR!</v>
      </c>
      <c r="M12" s="414" t="str">
        <f t="shared" si="5"/>
        <v>#ERROR!</v>
      </c>
      <c r="N12" s="414" t="str">
        <f t="shared" si="5"/>
        <v>#ERROR!</v>
      </c>
      <c r="O12" s="414" t="str">
        <f t="shared" si="5"/>
        <v>#ERROR!</v>
      </c>
      <c r="P12" s="414" t="str">
        <f t="shared" si="5"/>
        <v>#ERROR!</v>
      </c>
      <c r="Q12" s="414" t="str">
        <f t="shared" si="5"/>
        <v>#ERROR!</v>
      </c>
      <c r="R12" s="414" t="str">
        <f t="shared" si="5"/>
        <v>#ERROR!</v>
      </c>
      <c r="S12" s="414" t="str">
        <f t="shared" si="5"/>
        <v>#ERROR!</v>
      </c>
      <c r="T12" s="414" t="str">
        <f t="shared" si="5"/>
        <v>#ERROR!</v>
      </c>
      <c r="U12" s="414" t="str">
        <f t="shared" si="5"/>
        <v>#ERROR!</v>
      </c>
      <c r="V12" s="414" t="str">
        <f t="shared" si="5"/>
        <v>#ERROR!</v>
      </c>
      <c r="W12" s="414" t="str">
        <f t="shared" si="5"/>
        <v>#ERROR!</v>
      </c>
      <c r="X12" s="414" t="str">
        <f t="shared" si="5"/>
        <v>#ERROR!</v>
      </c>
      <c r="Y12" s="414" t="str">
        <f t="shared" si="5"/>
        <v>#ERROR!</v>
      </c>
      <c r="Z12" s="414" t="str">
        <f t="shared" si="5"/>
        <v>#ERROR!</v>
      </c>
      <c r="AA12" s="414" t="str">
        <f t="shared" si="5"/>
        <v>#ERROR!</v>
      </c>
      <c r="AB12" s="414" t="str">
        <f t="shared" si="5"/>
        <v>#ERROR!</v>
      </c>
      <c r="AC12" s="414" t="str">
        <f t="shared" si="5"/>
        <v>#ERROR!</v>
      </c>
      <c r="AD12" s="414" t="str">
        <f t="shared" si="5"/>
        <v>#ERROR!</v>
      </c>
      <c r="AE12" s="414" t="str">
        <f t="shared" si="5"/>
        <v>#ERROR!</v>
      </c>
      <c r="AF12" s="414" t="str">
        <f t="shared" si="5"/>
        <v>#ERROR!</v>
      </c>
      <c r="AG12" s="414" t="str">
        <f t="shared" si="5"/>
        <v>#ERROR!</v>
      </c>
    </row>
    <row r="13" ht="15.0" customHeight="1">
      <c r="A13" s="410" t="s">
        <v>507</v>
      </c>
      <c r="B13" s="410"/>
      <c r="C13" s="383" t="str">
        <f t="shared" ref="C13:AG13" si="6">IF(C4="",0,C4+C7-C10)</f>
        <v>#ERROR!</v>
      </c>
      <c r="D13" s="383" t="str">
        <f t="shared" si="6"/>
        <v>#ERROR!</v>
      </c>
      <c r="E13" s="383" t="str">
        <f t="shared" si="6"/>
        <v>#ERROR!</v>
      </c>
      <c r="F13" s="383" t="str">
        <f t="shared" si="6"/>
        <v>#ERROR!</v>
      </c>
      <c r="G13" s="383" t="str">
        <f t="shared" si="6"/>
        <v>#ERROR!</v>
      </c>
      <c r="H13" s="383" t="str">
        <f t="shared" si="6"/>
        <v>#ERROR!</v>
      </c>
      <c r="I13" s="383" t="str">
        <f t="shared" si="6"/>
        <v>#ERROR!</v>
      </c>
      <c r="J13" s="383" t="str">
        <f t="shared" si="6"/>
        <v>#ERROR!</v>
      </c>
      <c r="K13" s="383" t="str">
        <f t="shared" si="6"/>
        <v>#ERROR!</v>
      </c>
      <c r="L13" s="383" t="str">
        <f t="shared" si="6"/>
        <v>#ERROR!</v>
      </c>
      <c r="M13" s="383" t="str">
        <f t="shared" si="6"/>
        <v>#ERROR!</v>
      </c>
      <c r="N13" s="383" t="str">
        <f t="shared" si="6"/>
        <v>#ERROR!</v>
      </c>
      <c r="O13" s="383" t="str">
        <f t="shared" si="6"/>
        <v>#ERROR!</v>
      </c>
      <c r="P13" s="383" t="str">
        <f t="shared" si="6"/>
        <v>#ERROR!</v>
      </c>
      <c r="Q13" s="383" t="str">
        <f t="shared" si="6"/>
        <v>#ERROR!</v>
      </c>
      <c r="R13" s="383" t="str">
        <f t="shared" si="6"/>
        <v>#ERROR!</v>
      </c>
      <c r="S13" s="383" t="str">
        <f t="shared" si="6"/>
        <v>#ERROR!</v>
      </c>
      <c r="T13" s="383" t="str">
        <f t="shared" si="6"/>
        <v>#ERROR!</v>
      </c>
      <c r="U13" s="383" t="str">
        <f t="shared" si="6"/>
        <v>#ERROR!</v>
      </c>
      <c r="V13" s="383" t="str">
        <f t="shared" si="6"/>
        <v>#ERROR!</v>
      </c>
      <c r="W13" s="383" t="str">
        <f t="shared" si="6"/>
        <v>#ERROR!</v>
      </c>
      <c r="X13" s="383" t="str">
        <f t="shared" si="6"/>
        <v>#ERROR!</v>
      </c>
      <c r="Y13" s="383" t="str">
        <f t="shared" si="6"/>
        <v>#ERROR!</v>
      </c>
      <c r="Z13" s="383" t="str">
        <f t="shared" si="6"/>
        <v>#ERROR!</v>
      </c>
      <c r="AA13" s="383" t="str">
        <f t="shared" si="6"/>
        <v>#ERROR!</v>
      </c>
      <c r="AB13" s="383" t="str">
        <f t="shared" si="6"/>
        <v>#ERROR!</v>
      </c>
      <c r="AC13" s="383" t="str">
        <f t="shared" si="6"/>
        <v>#ERROR!</v>
      </c>
      <c r="AD13" s="383" t="str">
        <f t="shared" si="6"/>
        <v>#ERROR!</v>
      </c>
      <c r="AE13" s="383" t="str">
        <f t="shared" si="6"/>
        <v>#ERROR!</v>
      </c>
      <c r="AF13" s="383" t="str">
        <f t="shared" si="6"/>
        <v>#ERROR!</v>
      </c>
      <c r="AG13" s="383" t="str">
        <f t="shared" si="6"/>
        <v>#ERROR!</v>
      </c>
    </row>
    <row r="14" ht="15.0" customHeight="1">
      <c r="A14" s="410" t="s">
        <v>508</v>
      </c>
      <c r="B14" s="410"/>
      <c r="C14" s="383" t="str">
        <f t="shared" ref="C14:AG14" si="7">IF(C5="",0,C5+C8-C11)</f>
        <v>#ERROR!</v>
      </c>
      <c r="D14" s="383" t="str">
        <f t="shared" si="7"/>
        <v>#ERROR!</v>
      </c>
      <c r="E14" s="383" t="str">
        <f t="shared" si="7"/>
        <v>#ERROR!</v>
      </c>
      <c r="F14" s="383" t="str">
        <f t="shared" si="7"/>
        <v>#ERROR!</v>
      </c>
      <c r="G14" s="383" t="str">
        <f t="shared" si="7"/>
        <v>#ERROR!</v>
      </c>
      <c r="H14" s="383" t="str">
        <f t="shared" si="7"/>
        <v>#ERROR!</v>
      </c>
      <c r="I14" s="383" t="str">
        <f t="shared" si="7"/>
        <v>#ERROR!</v>
      </c>
      <c r="J14" s="383" t="str">
        <f t="shared" si="7"/>
        <v>#ERROR!</v>
      </c>
      <c r="K14" s="383" t="str">
        <f t="shared" si="7"/>
        <v>#ERROR!</v>
      </c>
      <c r="L14" s="383" t="str">
        <f t="shared" si="7"/>
        <v>#ERROR!</v>
      </c>
      <c r="M14" s="383" t="str">
        <f t="shared" si="7"/>
        <v>#ERROR!</v>
      </c>
      <c r="N14" s="383" t="str">
        <f t="shared" si="7"/>
        <v>#ERROR!</v>
      </c>
      <c r="O14" s="383" t="str">
        <f t="shared" si="7"/>
        <v>#ERROR!</v>
      </c>
      <c r="P14" s="383" t="str">
        <f t="shared" si="7"/>
        <v>#ERROR!</v>
      </c>
      <c r="Q14" s="383" t="str">
        <f t="shared" si="7"/>
        <v>#ERROR!</v>
      </c>
      <c r="R14" s="383" t="str">
        <f t="shared" si="7"/>
        <v>#ERROR!</v>
      </c>
      <c r="S14" s="383" t="str">
        <f t="shared" si="7"/>
        <v>#ERROR!</v>
      </c>
      <c r="T14" s="383" t="str">
        <f t="shared" si="7"/>
        <v>#ERROR!</v>
      </c>
      <c r="U14" s="383" t="str">
        <f t="shared" si="7"/>
        <v>#ERROR!</v>
      </c>
      <c r="V14" s="383" t="str">
        <f t="shared" si="7"/>
        <v>#ERROR!</v>
      </c>
      <c r="W14" s="383" t="str">
        <f t="shared" si="7"/>
        <v>#ERROR!</v>
      </c>
      <c r="X14" s="383" t="str">
        <f t="shared" si="7"/>
        <v>#ERROR!</v>
      </c>
      <c r="Y14" s="383" t="str">
        <f t="shared" si="7"/>
        <v>#ERROR!</v>
      </c>
      <c r="Z14" s="383" t="str">
        <f t="shared" si="7"/>
        <v>#ERROR!</v>
      </c>
      <c r="AA14" s="383" t="str">
        <f t="shared" si="7"/>
        <v>#ERROR!</v>
      </c>
      <c r="AB14" s="383" t="str">
        <f t="shared" si="7"/>
        <v>#ERROR!</v>
      </c>
      <c r="AC14" s="383" t="str">
        <f t="shared" si="7"/>
        <v>#ERROR!</v>
      </c>
      <c r="AD14" s="383" t="str">
        <f t="shared" si="7"/>
        <v>#ERROR!</v>
      </c>
      <c r="AE14" s="383" t="str">
        <f t="shared" si="7"/>
        <v>#ERROR!</v>
      </c>
      <c r="AF14" s="383" t="str">
        <f t="shared" si="7"/>
        <v>#ERROR!</v>
      </c>
      <c r="AG14" s="383" t="str">
        <f t="shared" si="7"/>
        <v>#ERROR!</v>
      </c>
    </row>
    <row r="15" ht="36.75" hidden="1" customHeight="1">
      <c r="A15" s="415" t="s">
        <v>509</v>
      </c>
      <c r="B15" s="415"/>
      <c r="C15" s="416" t="str">
        <f>IF(C$2&lt;=TODAY(),SUMIFS(NKSX!#REF!,NKSX!$B:$B,"&lt;="&amp;C$2)+SUMIFS(NKSX!#REF!,NKSX!$B:$B,"&lt;="&amp;C$2,NKSX!#REF!,"&gt;"&amp;C$2),0)</f>
        <v>#ERROR!</v>
      </c>
      <c r="D15" s="416" t="str">
        <f>IF(D$2&lt;=TODAY(),SUMIFS(NKSX!#REF!,NKSX!$B:$B,"&lt;="&amp;D$2)+SUMIFS(NKSX!#REF!,NKSX!$B:$B,"&lt;="&amp;D$2,NKSX!#REF!,"&gt;"&amp;D$2),0)</f>
        <v>#ERROR!</v>
      </c>
      <c r="E15" s="416" t="str">
        <f>IF(E$2&lt;=TODAY(),SUMIFS(NKSX!#REF!,NKSX!$B:$B,"&lt;="&amp;E$2)+SUMIFS(NKSX!#REF!,NKSX!$B:$B,"&lt;="&amp;E$2,NKSX!#REF!,"&gt;"&amp;E$2),0)</f>
        <v>#ERROR!</v>
      </c>
      <c r="F15" s="416" t="str">
        <f>IF(F$2&lt;=TODAY(),SUMIFS(NKSX!#REF!,NKSX!$B:$B,"&lt;="&amp;F$2)+SUMIFS(NKSX!#REF!,NKSX!$B:$B,"&lt;="&amp;F$2,NKSX!#REF!,"&gt;"&amp;F$2),0)</f>
        <v>#ERROR!</v>
      </c>
      <c r="G15" s="416" t="str">
        <f>IF(G$2&lt;=TODAY(),SUMIFS(NKSX!#REF!,NKSX!$B:$B,"&lt;="&amp;G$2)+SUMIFS(NKSX!#REF!,NKSX!$B:$B,"&lt;="&amp;G$2,NKSX!#REF!,"&gt;"&amp;G$2),0)</f>
        <v>#ERROR!</v>
      </c>
      <c r="H15" s="416" t="str">
        <f>IF(H$2&lt;=TODAY(),SUMIFS(NKSX!#REF!,NKSX!$B:$B,"&lt;="&amp;H$2)+SUMIFS(NKSX!#REF!,NKSX!$B:$B,"&lt;="&amp;H$2,NKSX!#REF!,"&gt;"&amp;H$2),0)</f>
        <v>#ERROR!</v>
      </c>
      <c r="I15" s="416" t="str">
        <f>IF(I$2&lt;=TODAY(),SUMIFS(NKSX!#REF!,NKSX!$B:$B,"&lt;="&amp;I$2)+SUMIFS(NKSX!#REF!,NKSX!$B:$B,"&lt;="&amp;I$2,NKSX!#REF!,"&gt;"&amp;I$2),0)</f>
        <v>#ERROR!</v>
      </c>
      <c r="J15" s="416" t="str">
        <f>IF(J$2&lt;=TODAY(),SUMIFS(NKSX!#REF!,NKSX!$B:$B,"&lt;="&amp;J$2)+SUMIFS(NKSX!#REF!,NKSX!$B:$B,"&lt;="&amp;J$2,NKSX!#REF!,"&gt;"&amp;J$2),0)</f>
        <v>#ERROR!</v>
      </c>
      <c r="K15" s="416" t="str">
        <f>IF(K$2&lt;=TODAY(),SUMIFS(NKSX!#REF!,NKSX!$B:$B,"&lt;="&amp;K$2)+SUMIFS(NKSX!#REF!,NKSX!$B:$B,"&lt;="&amp;K$2,NKSX!#REF!,"&gt;"&amp;K$2),0)</f>
        <v>#ERROR!</v>
      </c>
      <c r="L15" s="416" t="str">
        <f>IF(L$2&lt;=TODAY(),SUMIFS(NKSX!#REF!,NKSX!$B:$B,"&lt;="&amp;L$2)+SUMIFS(NKSX!#REF!,NKSX!$B:$B,"&lt;="&amp;L$2,NKSX!#REF!,"&gt;"&amp;L$2),0)</f>
        <v>#ERROR!</v>
      </c>
      <c r="M15" s="416" t="str">
        <f>IF(M$2&lt;=TODAY(),SUMIFS(NKSX!#REF!,NKSX!$B:$B,"&lt;="&amp;M$2)+SUMIFS(NKSX!#REF!,NKSX!$B:$B,"&lt;="&amp;M$2,NKSX!#REF!,"&gt;"&amp;M$2),0)</f>
        <v>#ERROR!</v>
      </c>
      <c r="N15" s="416" t="str">
        <f>IF(N$2&lt;=TODAY(),SUMIFS(NKSX!#REF!,NKSX!$B:$B,"&lt;="&amp;N$2)+SUMIFS(NKSX!#REF!,NKSX!$B:$B,"&lt;="&amp;N$2,NKSX!#REF!,"&gt;"&amp;N$2),0)</f>
        <v>#ERROR!</v>
      </c>
      <c r="O15" s="416" t="str">
        <f>IF(O$2&lt;=TODAY(),SUMIFS(NKSX!#REF!,NKSX!$B:$B,"&lt;="&amp;O$2)+SUMIFS(NKSX!#REF!,NKSX!$B:$B,"&lt;="&amp;O$2,NKSX!#REF!,"&gt;"&amp;O$2),0)</f>
        <v>#ERROR!</v>
      </c>
      <c r="P15" s="416" t="str">
        <f>IF(P$2&lt;=TODAY(),SUMIFS(NKSX!#REF!,NKSX!$B:$B,"&lt;="&amp;P$2)+SUMIFS(NKSX!#REF!,NKSX!$B:$B,"&lt;="&amp;P$2,NKSX!#REF!,"&gt;"&amp;P$2),0)</f>
        <v>#ERROR!</v>
      </c>
      <c r="Q15" s="416" t="str">
        <f>IF(Q$2&lt;=TODAY(),SUMIFS(NKSX!#REF!,NKSX!$B:$B,"&lt;="&amp;Q$2)+SUMIFS(NKSX!#REF!,NKSX!$B:$B,"&lt;="&amp;Q$2,NKSX!#REF!,"&gt;"&amp;Q$2),0)</f>
        <v>#ERROR!</v>
      </c>
      <c r="R15" s="416" t="str">
        <f>IF(R$2&lt;=TODAY(),SUMIFS(NKSX!#REF!,NKSX!$B:$B,"&lt;="&amp;R$2)+SUMIFS(NKSX!#REF!,NKSX!$B:$B,"&lt;="&amp;R$2,NKSX!#REF!,"&gt;"&amp;R$2),0)</f>
        <v>#ERROR!</v>
      </c>
      <c r="S15" s="416" t="str">
        <f>IF(S$2&lt;=TODAY(),SUMIFS(NKSX!#REF!,NKSX!$B:$B,"&lt;="&amp;S$2)+SUMIFS(NKSX!#REF!,NKSX!$B:$B,"&lt;="&amp;S$2,NKSX!#REF!,"&gt;"&amp;S$2),0)</f>
        <v>#ERROR!</v>
      </c>
      <c r="T15" s="416" t="str">
        <f>IF(T$2&lt;=TODAY(),SUMIFS(NKSX!#REF!,NKSX!$B:$B,"&lt;="&amp;T$2)+SUMIFS(NKSX!#REF!,NKSX!$B:$B,"&lt;="&amp;T$2,NKSX!#REF!,"&gt;"&amp;T$2),0)</f>
        <v>#ERROR!</v>
      </c>
      <c r="U15" s="416" t="str">
        <f>IF(U$2&lt;=TODAY(),SUMIFS(NKSX!#REF!,NKSX!$B:$B,"&lt;="&amp;U$2)+SUMIFS(NKSX!#REF!,NKSX!$B:$B,"&lt;="&amp;U$2,NKSX!#REF!,"&gt;"&amp;U$2),0)</f>
        <v>#ERROR!</v>
      </c>
      <c r="V15" s="416" t="str">
        <f>IF(V$2&lt;=TODAY(),SUMIFS(NKSX!#REF!,NKSX!$B:$B,"&lt;="&amp;V$2)+SUMIFS(NKSX!#REF!,NKSX!$B:$B,"&lt;="&amp;V$2,NKSX!#REF!,"&gt;"&amp;V$2),0)</f>
        <v>#ERROR!</v>
      </c>
      <c r="W15" s="416" t="str">
        <f>IF(W$2&lt;=TODAY(),SUMIFS(NKSX!#REF!,NKSX!$B:$B,"&lt;="&amp;W$2)+SUMIFS(NKSX!#REF!,NKSX!$B:$B,"&lt;="&amp;W$2,NKSX!#REF!,"&gt;"&amp;W$2),0)</f>
        <v>#ERROR!</v>
      </c>
      <c r="X15" s="416" t="str">
        <f>IF(X$2&lt;=TODAY(),SUMIFS(NKSX!#REF!,NKSX!$B:$B,"&lt;="&amp;X$2)+SUMIFS(NKSX!#REF!,NKSX!$B:$B,"&lt;="&amp;X$2,NKSX!#REF!,"&gt;"&amp;X$2),0)</f>
        <v>#ERROR!</v>
      </c>
      <c r="Y15" s="416" t="str">
        <f>IF(Y$2&lt;=TODAY(),SUMIFS(NKSX!#REF!,NKSX!$B:$B,"&lt;="&amp;Y$2)+SUMIFS(NKSX!#REF!,NKSX!$B:$B,"&lt;="&amp;Y$2,NKSX!#REF!,"&gt;"&amp;Y$2),0)</f>
        <v>#ERROR!</v>
      </c>
      <c r="Z15" s="416" t="str">
        <f>IF(Z$2&lt;=TODAY(),SUMIFS(NKSX!#REF!,NKSX!$B:$B,"&lt;="&amp;Z$2)+SUMIFS(NKSX!#REF!,NKSX!$B:$B,"&lt;="&amp;Z$2,NKSX!#REF!,"&gt;"&amp;Z$2),0)</f>
        <v>#ERROR!</v>
      </c>
      <c r="AA15" s="416" t="str">
        <f>IF(AA$2&lt;=TODAY(),SUMIFS(NKSX!#REF!,NKSX!$B:$B,"&lt;="&amp;AA$2)+SUMIFS(NKSX!#REF!,NKSX!$B:$B,"&lt;="&amp;AA$2,NKSX!#REF!,"&gt;"&amp;AA$2),0)</f>
        <v>#ERROR!</v>
      </c>
      <c r="AB15" s="416" t="str">
        <f>IF(AB$2&lt;=TODAY(),SUMIFS(NKSX!#REF!,NKSX!$B:$B,"&lt;="&amp;AB$2)+SUMIFS(NKSX!#REF!,NKSX!$B:$B,"&lt;="&amp;AB$2,NKSX!#REF!,"&gt;"&amp;AB$2),0)</f>
        <v>#ERROR!</v>
      </c>
      <c r="AC15" s="416" t="str">
        <f>IF(AC$2&lt;=TODAY(),SUMIFS(NKSX!#REF!,NKSX!$B:$B,"&lt;="&amp;AC$2)+SUMIFS(NKSX!#REF!,NKSX!$B:$B,"&lt;="&amp;AC$2,NKSX!#REF!,"&gt;"&amp;AC$2),0)</f>
        <v>#ERROR!</v>
      </c>
      <c r="AD15" s="416" t="str">
        <f>IF(AD$2&lt;=TODAY(),SUMIFS(NKSX!#REF!,NKSX!$B:$B,"&lt;="&amp;AD$2)+SUMIFS(NKSX!#REF!,NKSX!$B:$B,"&lt;="&amp;AD$2,NKSX!#REF!,"&gt;"&amp;AD$2),0)</f>
        <v>#ERROR!</v>
      </c>
      <c r="AE15" s="416" t="str">
        <f>IF(AE$2&lt;=TODAY(),SUMIFS(NKSX!#REF!,NKSX!$B:$B,"&lt;="&amp;AE$2)+SUMIFS(NKSX!#REF!,NKSX!$B:$B,"&lt;="&amp;AE$2,NKSX!#REF!,"&gt;"&amp;AE$2),0)</f>
        <v>#ERROR!</v>
      </c>
      <c r="AF15" s="416" t="str">
        <f>IF(AF$2&lt;=TODAY(),SUMIFS(NKSX!#REF!,NKSX!$B:$B,"&lt;="&amp;AF$2)+SUMIFS(NKSX!#REF!,NKSX!$B:$B,"&lt;="&amp;AF$2,NKSX!#REF!,"&gt;"&amp;AF$2),0)</f>
        <v>#ERROR!</v>
      </c>
      <c r="AG15" s="416" t="str">
        <f>IF(AG$2&lt;=TODAY(),SUMIFS(NKSX!#REF!,NKSX!$B:$B,"&lt;="&amp;AG$2)+SUMIFS(NKSX!#REF!,NKSX!$B:$B,"&lt;="&amp;AG$2,NKSX!#REF!,"&gt;"&amp;AG$2),0)</f>
        <v>#ERROR!</v>
      </c>
    </row>
    <row r="16" ht="15.0" hidden="1" customHeight="1">
      <c r="A16" s="410" t="s">
        <v>512</v>
      </c>
      <c r="B16" s="410"/>
      <c r="C16" s="383" t="str">
        <f t="shared" ref="C16:AG16" si="8">C15-C17</f>
        <v>#ERROR!</v>
      </c>
      <c r="D16" s="383" t="str">
        <f t="shared" si="8"/>
        <v>#ERROR!</v>
      </c>
      <c r="E16" s="383" t="str">
        <f t="shared" si="8"/>
        <v>#ERROR!</v>
      </c>
      <c r="F16" s="383" t="str">
        <f t="shared" si="8"/>
        <v>#ERROR!</v>
      </c>
      <c r="G16" s="383" t="str">
        <f t="shared" si="8"/>
        <v>#ERROR!</v>
      </c>
      <c r="H16" s="383" t="str">
        <f t="shared" si="8"/>
        <v>#ERROR!</v>
      </c>
      <c r="I16" s="383" t="str">
        <f t="shared" si="8"/>
        <v>#ERROR!</v>
      </c>
      <c r="J16" s="383" t="str">
        <f t="shared" si="8"/>
        <v>#ERROR!</v>
      </c>
      <c r="K16" s="383" t="str">
        <f t="shared" si="8"/>
        <v>#ERROR!</v>
      </c>
      <c r="L16" s="383" t="str">
        <f t="shared" si="8"/>
        <v>#ERROR!</v>
      </c>
      <c r="M16" s="383" t="str">
        <f t="shared" si="8"/>
        <v>#ERROR!</v>
      </c>
      <c r="N16" s="383" t="str">
        <f t="shared" si="8"/>
        <v>#ERROR!</v>
      </c>
      <c r="O16" s="383" t="str">
        <f t="shared" si="8"/>
        <v>#ERROR!</v>
      </c>
      <c r="P16" s="383" t="str">
        <f t="shared" si="8"/>
        <v>#ERROR!</v>
      </c>
      <c r="Q16" s="383" t="str">
        <f t="shared" si="8"/>
        <v>#ERROR!</v>
      </c>
      <c r="R16" s="383" t="str">
        <f t="shared" si="8"/>
        <v>#ERROR!</v>
      </c>
      <c r="S16" s="383" t="str">
        <f t="shared" si="8"/>
        <v>#ERROR!</v>
      </c>
      <c r="T16" s="383" t="str">
        <f t="shared" si="8"/>
        <v>#ERROR!</v>
      </c>
      <c r="U16" s="383" t="str">
        <f t="shared" si="8"/>
        <v>#ERROR!</v>
      </c>
      <c r="V16" s="383" t="str">
        <f t="shared" si="8"/>
        <v>#ERROR!</v>
      </c>
      <c r="W16" s="383" t="str">
        <f t="shared" si="8"/>
        <v>#ERROR!</v>
      </c>
      <c r="X16" s="383" t="str">
        <f t="shared" si="8"/>
        <v>#ERROR!</v>
      </c>
      <c r="Y16" s="383" t="str">
        <f t="shared" si="8"/>
        <v>#ERROR!</v>
      </c>
      <c r="Z16" s="383" t="str">
        <f t="shared" si="8"/>
        <v>#ERROR!</v>
      </c>
      <c r="AA16" s="383" t="str">
        <f t="shared" si="8"/>
        <v>#ERROR!</v>
      </c>
      <c r="AB16" s="383" t="str">
        <f t="shared" si="8"/>
        <v>#ERROR!</v>
      </c>
      <c r="AC16" s="383" t="str">
        <f t="shared" si="8"/>
        <v>#ERROR!</v>
      </c>
      <c r="AD16" s="383" t="str">
        <f t="shared" si="8"/>
        <v>#ERROR!</v>
      </c>
      <c r="AE16" s="383" t="str">
        <f t="shared" si="8"/>
        <v>#ERROR!</v>
      </c>
      <c r="AF16" s="383" t="str">
        <f t="shared" si="8"/>
        <v>#ERROR!</v>
      </c>
      <c r="AG16" s="383" t="str">
        <f t="shared" si="8"/>
        <v>#ERROR!</v>
      </c>
    </row>
    <row r="17" ht="15.0" hidden="1" customHeight="1">
      <c r="A17" s="410" t="s">
        <v>513</v>
      </c>
      <c r="B17" s="410"/>
      <c r="C17" s="383" t="str">
        <f>IF(C$2&lt;=TODAY(),SUMIFS(NKSX!#REF!,NKSX!$B:$B,"&lt;="&amp;C$2,NKSX!#REF!,"ĐẾN NHẬN")+SUMIFS(NKSX!#REF!,NKSX!$B:$B,"&lt;="&amp;C$2,NKSX!#REF!,"ĐẾN NHẬN",NKSX!#REF!,"&gt;"&amp;C$2),0)</f>
        <v>#ERROR!</v>
      </c>
      <c r="D17" s="383" t="str">
        <f>IF(D$2&lt;=TODAY(),SUMIFS(NKSX!#REF!,NKSX!$B:$B,"&lt;="&amp;D$2,NKSX!#REF!,"ĐẾN NHẬN")+SUMIFS(NKSX!#REF!,NKSX!$B:$B,"&lt;="&amp;D$2,NKSX!#REF!,"ĐẾN NHẬN",NKSX!#REF!,"&gt;"&amp;D$2),0)</f>
        <v>#ERROR!</v>
      </c>
      <c r="E17" s="383" t="str">
        <f>IF(E$2&lt;=TODAY(),SUMIFS(NKSX!#REF!,NKSX!$B:$B,"&lt;="&amp;E$2,NKSX!#REF!,"ĐẾN NHẬN")+SUMIFS(NKSX!#REF!,NKSX!$B:$B,"&lt;="&amp;E$2,NKSX!#REF!,"ĐẾN NHẬN",NKSX!#REF!,"&gt;"&amp;E$2),0)</f>
        <v>#ERROR!</v>
      </c>
      <c r="F17" s="383" t="str">
        <f>IF(F$2&lt;=TODAY(),SUMIFS(NKSX!#REF!,NKSX!$B:$B,"&lt;="&amp;F$2,NKSX!#REF!,"ĐẾN NHẬN")+SUMIFS(NKSX!#REF!,NKSX!$B:$B,"&lt;="&amp;F$2,NKSX!#REF!,"ĐẾN NHẬN",NKSX!#REF!,"&gt;"&amp;F$2),0)</f>
        <v>#ERROR!</v>
      </c>
      <c r="G17" s="383" t="str">
        <f>IF(G$2&lt;=TODAY(),SUMIFS(NKSX!#REF!,NKSX!$B:$B,"&lt;="&amp;G$2,NKSX!#REF!,"ĐẾN NHẬN")+SUMIFS(NKSX!#REF!,NKSX!$B:$B,"&lt;="&amp;G$2,NKSX!#REF!,"ĐẾN NHẬN",NKSX!#REF!,"&gt;"&amp;G$2),0)</f>
        <v>#ERROR!</v>
      </c>
      <c r="H17" s="383" t="str">
        <f>IF(H$2&lt;=TODAY(),SUMIFS(NKSX!#REF!,NKSX!$B:$B,"&lt;="&amp;H$2,NKSX!#REF!,"ĐẾN NHẬN")+SUMIFS(NKSX!#REF!,NKSX!$B:$B,"&lt;="&amp;H$2,NKSX!#REF!,"ĐẾN NHẬN",NKSX!#REF!,"&gt;"&amp;H$2),0)</f>
        <v>#ERROR!</v>
      </c>
      <c r="I17" s="383" t="str">
        <f>IF(I$2&lt;=TODAY(),SUMIFS(NKSX!#REF!,NKSX!$B:$B,"&lt;="&amp;I$2,NKSX!#REF!,"ĐẾN NHẬN")+SUMIFS(NKSX!#REF!,NKSX!$B:$B,"&lt;="&amp;I$2,NKSX!#REF!,"ĐẾN NHẬN",NKSX!#REF!,"&gt;"&amp;I$2),0)</f>
        <v>#ERROR!</v>
      </c>
      <c r="J17" s="383" t="str">
        <f>IF(J$2&lt;=TODAY(),SUMIFS(NKSX!#REF!,NKSX!$B:$B,"&lt;="&amp;J$2,NKSX!#REF!,"ĐẾN NHẬN")+SUMIFS(NKSX!#REF!,NKSX!$B:$B,"&lt;="&amp;J$2,NKSX!#REF!,"ĐẾN NHẬN",NKSX!#REF!,"&gt;"&amp;J$2),0)</f>
        <v>#ERROR!</v>
      </c>
      <c r="K17" s="383" t="str">
        <f>IF(K$2&lt;=TODAY(),SUMIFS(NKSX!#REF!,NKSX!$B:$B,"&lt;="&amp;K$2,NKSX!#REF!,"ĐẾN NHẬN")+SUMIFS(NKSX!#REF!,NKSX!$B:$B,"&lt;="&amp;K$2,NKSX!#REF!,"ĐẾN NHẬN",NKSX!#REF!,"&gt;"&amp;K$2),0)</f>
        <v>#ERROR!</v>
      </c>
      <c r="L17" s="383" t="str">
        <f>IF(L$2&lt;=TODAY(),SUMIFS(NKSX!#REF!,NKSX!$B:$B,"&lt;="&amp;L$2,NKSX!#REF!,"ĐẾN NHẬN")+SUMIFS(NKSX!#REF!,NKSX!$B:$B,"&lt;="&amp;L$2,NKSX!#REF!,"ĐẾN NHẬN",NKSX!#REF!,"&gt;"&amp;L$2),0)</f>
        <v>#ERROR!</v>
      </c>
      <c r="M17" s="383" t="str">
        <f>IF(M$2&lt;=TODAY(),SUMIFS(NKSX!#REF!,NKSX!$B:$B,"&lt;="&amp;M$2,NKSX!#REF!,"ĐẾN NHẬN")+SUMIFS(NKSX!#REF!,NKSX!$B:$B,"&lt;="&amp;M$2,NKSX!#REF!,"ĐẾN NHẬN",NKSX!#REF!,"&gt;"&amp;M$2),0)</f>
        <v>#ERROR!</v>
      </c>
      <c r="N17" s="383" t="str">
        <f>IF(N$2&lt;=TODAY(),SUMIFS(NKSX!#REF!,NKSX!$B:$B,"&lt;="&amp;N$2,NKSX!#REF!,"ĐẾN NHẬN")+SUMIFS(NKSX!#REF!,NKSX!$B:$B,"&lt;="&amp;N$2,NKSX!#REF!,"ĐẾN NHẬN",NKSX!#REF!,"&gt;"&amp;N$2),0)</f>
        <v>#ERROR!</v>
      </c>
      <c r="O17" s="383" t="str">
        <f>IF(O$2&lt;=TODAY(),SUMIFS(NKSX!#REF!,NKSX!$B:$B,"&lt;="&amp;O$2,NKSX!#REF!,"ĐẾN NHẬN")+SUMIFS(NKSX!#REF!,NKSX!$B:$B,"&lt;="&amp;O$2,NKSX!#REF!,"ĐẾN NHẬN",NKSX!#REF!,"&gt;"&amp;O$2),0)</f>
        <v>#ERROR!</v>
      </c>
      <c r="P17" s="383" t="str">
        <f>IF(P$2&lt;=TODAY(),SUMIFS(NKSX!#REF!,NKSX!$B:$B,"&lt;="&amp;P$2,NKSX!#REF!,"ĐẾN NHẬN")+SUMIFS(NKSX!#REF!,NKSX!$B:$B,"&lt;="&amp;P$2,NKSX!#REF!,"ĐẾN NHẬN",NKSX!#REF!,"&gt;"&amp;P$2),0)</f>
        <v>#ERROR!</v>
      </c>
      <c r="Q17" s="383" t="str">
        <f>IF(Q$2&lt;=TODAY(),SUMIFS(NKSX!#REF!,NKSX!$B:$B,"&lt;="&amp;Q$2,NKSX!#REF!,"ĐẾN NHẬN")+SUMIFS(NKSX!#REF!,NKSX!$B:$B,"&lt;="&amp;Q$2,NKSX!#REF!,"ĐẾN NHẬN",NKSX!#REF!,"&gt;"&amp;Q$2),0)</f>
        <v>#ERROR!</v>
      </c>
      <c r="R17" s="383" t="str">
        <f>IF(R$2&lt;=TODAY(),SUMIFS(NKSX!#REF!,NKSX!$B:$B,"&lt;="&amp;R$2,NKSX!#REF!,"ĐẾN NHẬN")+SUMIFS(NKSX!#REF!,NKSX!$B:$B,"&lt;="&amp;R$2,NKSX!#REF!,"ĐẾN NHẬN",NKSX!#REF!,"&gt;"&amp;R$2),0)</f>
        <v>#ERROR!</v>
      </c>
      <c r="S17" s="383" t="str">
        <f>IF(S$2&lt;=TODAY(),SUMIFS(NKSX!#REF!,NKSX!$B:$B,"&lt;="&amp;S$2,NKSX!#REF!,"ĐẾN NHẬN")+SUMIFS(NKSX!#REF!,NKSX!$B:$B,"&lt;="&amp;S$2,NKSX!#REF!,"ĐẾN NHẬN",NKSX!#REF!,"&gt;"&amp;S$2),0)</f>
        <v>#ERROR!</v>
      </c>
      <c r="T17" s="383" t="str">
        <f>IF(T$2&lt;=TODAY(),SUMIFS(NKSX!#REF!,NKSX!$B:$B,"&lt;="&amp;T$2,NKSX!#REF!,"ĐẾN NHẬN")+SUMIFS(NKSX!#REF!,NKSX!$B:$B,"&lt;="&amp;T$2,NKSX!#REF!,"ĐẾN NHẬN",NKSX!#REF!,"&gt;"&amp;T$2),0)</f>
        <v>#ERROR!</v>
      </c>
      <c r="U17" s="383" t="str">
        <f>IF(U$2&lt;=TODAY(),SUMIFS(NKSX!#REF!,NKSX!$B:$B,"&lt;="&amp;U$2,NKSX!#REF!,"ĐẾN NHẬN")+SUMIFS(NKSX!#REF!,NKSX!$B:$B,"&lt;="&amp;U$2,NKSX!#REF!,"ĐẾN NHẬN",NKSX!#REF!,"&gt;"&amp;U$2),0)</f>
        <v>#ERROR!</v>
      </c>
      <c r="V17" s="383" t="str">
        <f>IF(V$2&lt;=TODAY(),SUMIFS(NKSX!#REF!,NKSX!$B:$B,"&lt;="&amp;V$2,NKSX!#REF!,"ĐẾN NHẬN")+SUMIFS(NKSX!#REF!,NKSX!$B:$B,"&lt;="&amp;V$2,NKSX!#REF!,"ĐẾN NHẬN",NKSX!#REF!,"&gt;"&amp;V$2),0)</f>
        <v>#ERROR!</v>
      </c>
      <c r="W17" s="383" t="str">
        <f>IF(W$2&lt;=TODAY(),SUMIFS(NKSX!#REF!,NKSX!$B:$B,"&lt;="&amp;W$2,NKSX!#REF!,"ĐẾN NHẬN")+SUMIFS(NKSX!#REF!,NKSX!$B:$B,"&lt;="&amp;W$2,NKSX!#REF!,"ĐẾN NHẬN",NKSX!#REF!,"&gt;"&amp;W$2),0)</f>
        <v>#ERROR!</v>
      </c>
      <c r="X17" s="383" t="str">
        <f>IF(X$2&lt;=TODAY(),SUMIFS(NKSX!#REF!,NKSX!$B:$B,"&lt;="&amp;X$2,NKSX!#REF!,"ĐẾN NHẬN")+SUMIFS(NKSX!#REF!,NKSX!$B:$B,"&lt;="&amp;X$2,NKSX!#REF!,"ĐẾN NHẬN",NKSX!#REF!,"&gt;"&amp;X$2),0)</f>
        <v>#ERROR!</v>
      </c>
      <c r="Y17" s="383" t="str">
        <f>IF(Y$2&lt;=TODAY(),SUMIFS(NKSX!#REF!,NKSX!$B:$B,"&lt;="&amp;Y$2,NKSX!#REF!,"ĐẾN NHẬN")+SUMIFS(NKSX!#REF!,NKSX!$B:$B,"&lt;="&amp;Y$2,NKSX!#REF!,"ĐẾN NHẬN",NKSX!#REF!,"&gt;"&amp;Y$2),0)</f>
        <v>#ERROR!</v>
      </c>
      <c r="Z17" s="383" t="str">
        <f>IF(Z$2&lt;=TODAY(),SUMIFS(NKSX!#REF!,NKSX!$B:$B,"&lt;="&amp;Z$2,NKSX!#REF!,"ĐẾN NHẬN")+SUMIFS(NKSX!#REF!,NKSX!$B:$B,"&lt;="&amp;Z$2,NKSX!#REF!,"ĐẾN NHẬN",NKSX!#REF!,"&gt;"&amp;Z$2),0)</f>
        <v>#ERROR!</v>
      </c>
      <c r="AA17" s="383" t="str">
        <f>IF(AA$2&lt;=TODAY(),SUMIFS(NKSX!#REF!,NKSX!$B:$B,"&lt;="&amp;AA$2,NKSX!#REF!,"ĐẾN NHẬN")+SUMIFS(NKSX!#REF!,NKSX!$B:$B,"&lt;="&amp;AA$2,NKSX!#REF!,"ĐẾN NHẬN",NKSX!#REF!,"&gt;"&amp;AA$2),0)</f>
        <v>#ERROR!</v>
      </c>
      <c r="AB17" s="383" t="str">
        <f>IF(AB$2&lt;=TODAY(),SUMIFS(NKSX!#REF!,NKSX!$B:$B,"&lt;="&amp;AB$2,NKSX!#REF!,"ĐẾN NHẬN")+SUMIFS(NKSX!#REF!,NKSX!$B:$B,"&lt;="&amp;AB$2,NKSX!#REF!,"ĐẾN NHẬN",NKSX!#REF!,"&gt;"&amp;AB$2),0)</f>
        <v>#ERROR!</v>
      </c>
      <c r="AC17" s="383" t="str">
        <f>IF(AC$2&lt;=TODAY(),SUMIFS(NKSX!#REF!,NKSX!$B:$B,"&lt;="&amp;AC$2,NKSX!#REF!,"ĐẾN NHẬN")+SUMIFS(NKSX!#REF!,NKSX!$B:$B,"&lt;="&amp;AC$2,NKSX!#REF!,"ĐẾN NHẬN",NKSX!#REF!,"&gt;"&amp;AC$2),0)</f>
        <v>#ERROR!</v>
      </c>
      <c r="AD17" s="383" t="str">
        <f>IF(AD$2&lt;=TODAY(),SUMIFS(NKSX!#REF!,NKSX!$B:$B,"&lt;="&amp;AD$2,NKSX!#REF!,"ĐẾN NHẬN")+SUMIFS(NKSX!#REF!,NKSX!$B:$B,"&lt;="&amp;AD$2,NKSX!#REF!,"ĐẾN NHẬN",NKSX!#REF!,"&gt;"&amp;AD$2),0)</f>
        <v>#ERROR!</v>
      </c>
      <c r="AE17" s="383" t="str">
        <f>IF(AE$2&lt;=TODAY(),SUMIFS(NKSX!#REF!,NKSX!$B:$B,"&lt;="&amp;AE$2,NKSX!#REF!,"ĐẾN NHẬN")+SUMIFS(NKSX!#REF!,NKSX!$B:$B,"&lt;="&amp;AE$2,NKSX!#REF!,"ĐẾN NHẬN",NKSX!#REF!,"&gt;"&amp;AE$2),0)</f>
        <v>#ERROR!</v>
      </c>
      <c r="AF17" s="383" t="str">
        <f>IF(AF$2&lt;=TODAY(),SUMIFS(NKSX!#REF!,NKSX!$B:$B,"&lt;="&amp;AF$2,NKSX!#REF!,"ĐẾN NHẬN")+SUMIFS(NKSX!#REF!,NKSX!$B:$B,"&lt;="&amp;AF$2,NKSX!#REF!,"ĐẾN NHẬN",NKSX!#REF!,"&gt;"&amp;AF$2),0)</f>
        <v>#ERROR!</v>
      </c>
      <c r="AG17" s="383" t="str">
        <f>IF(AG$2&lt;=TODAY(),SUMIFS(NKSX!#REF!,NKSX!$B:$B,"&lt;="&amp;AG$2,NKSX!#REF!,"ĐẾN NHẬN")+SUMIFS(NKSX!#REF!,NKSX!$B:$B,"&lt;="&amp;AG$2,NKSX!#REF!,"ĐẾN NHẬN",NKSX!#REF!,"&gt;"&amp;AG$2),0)</f>
        <v>#ERROR!</v>
      </c>
    </row>
    <row r="18" ht="15.0" customHeight="1">
      <c r="A18" s="417" t="s">
        <v>514</v>
      </c>
      <c r="B18" s="417"/>
      <c r="C18" s="418" t="str">
        <f t="shared" ref="C18:AG18" si="9">SUM(C19:C20)</f>
        <v>#N/A</v>
      </c>
      <c r="D18" s="418" t="str">
        <f t="shared" si="9"/>
        <v>#N/A</v>
      </c>
      <c r="E18" s="418" t="str">
        <f t="shared" si="9"/>
        <v>#N/A</v>
      </c>
      <c r="F18" s="418" t="str">
        <f t="shared" si="9"/>
        <v>#N/A</v>
      </c>
      <c r="G18" s="418" t="str">
        <f t="shared" si="9"/>
        <v>#N/A</v>
      </c>
      <c r="H18" s="418" t="str">
        <f t="shared" si="9"/>
        <v>#N/A</v>
      </c>
      <c r="I18" s="418" t="str">
        <f t="shared" si="9"/>
        <v>#N/A</v>
      </c>
      <c r="J18" s="418" t="str">
        <f t="shared" si="9"/>
        <v>#N/A</v>
      </c>
      <c r="K18" s="418" t="str">
        <f t="shared" si="9"/>
        <v>#N/A</v>
      </c>
      <c r="L18" s="418" t="str">
        <f t="shared" si="9"/>
        <v>#N/A</v>
      </c>
      <c r="M18" s="418" t="str">
        <f t="shared" si="9"/>
        <v>#N/A</v>
      </c>
      <c r="N18" s="418" t="str">
        <f t="shared" si="9"/>
        <v>#N/A</v>
      </c>
      <c r="O18" s="418" t="str">
        <f t="shared" si="9"/>
        <v>#N/A</v>
      </c>
      <c r="P18" s="418" t="str">
        <f t="shared" si="9"/>
        <v>#N/A</v>
      </c>
      <c r="Q18" s="418" t="str">
        <f t="shared" si="9"/>
        <v>#N/A</v>
      </c>
      <c r="R18" s="418" t="str">
        <f t="shared" si="9"/>
        <v>#N/A</v>
      </c>
      <c r="S18" s="418" t="str">
        <f t="shared" si="9"/>
        <v>#N/A</v>
      </c>
      <c r="T18" s="418" t="str">
        <f t="shared" si="9"/>
        <v>#N/A</v>
      </c>
      <c r="U18" s="418" t="str">
        <f t="shared" si="9"/>
        <v>#N/A</v>
      </c>
      <c r="V18" s="418" t="str">
        <f t="shared" si="9"/>
        <v>#N/A</v>
      </c>
      <c r="W18" s="418" t="str">
        <f t="shared" si="9"/>
        <v>#N/A</v>
      </c>
      <c r="X18" s="418" t="str">
        <f t="shared" si="9"/>
        <v>#N/A</v>
      </c>
      <c r="Y18" s="418" t="str">
        <f t="shared" si="9"/>
        <v>#N/A</v>
      </c>
      <c r="Z18" s="418" t="str">
        <f t="shared" si="9"/>
        <v>#N/A</v>
      </c>
      <c r="AA18" s="418" t="str">
        <f t="shared" si="9"/>
        <v>#N/A</v>
      </c>
      <c r="AB18" s="418" t="str">
        <f t="shared" si="9"/>
        <v>#N/A</v>
      </c>
      <c r="AC18" s="418" t="str">
        <f t="shared" si="9"/>
        <v>#N/A</v>
      </c>
      <c r="AD18" s="418" t="str">
        <f t="shared" si="9"/>
        <v>#N/A</v>
      </c>
      <c r="AE18" s="418" t="str">
        <f t="shared" si="9"/>
        <v>#N/A</v>
      </c>
      <c r="AF18" s="418" t="str">
        <f t="shared" si="9"/>
        <v>#N/A</v>
      </c>
      <c r="AG18" s="418" t="str">
        <f t="shared" si="9"/>
        <v>#N/A</v>
      </c>
    </row>
    <row r="19" ht="15.0" customHeight="1">
      <c r="A19" s="410" t="s">
        <v>512</v>
      </c>
      <c r="B19" s="410"/>
      <c r="C19" s="383" t="str">
        <f t="shared" ref="C19:AG19" si="10">SUMIF(#REF!,C$2,#REF!)-C20</f>
        <v>#N/A</v>
      </c>
      <c r="D19" s="383" t="str">
        <f t="shared" si="10"/>
        <v>#N/A</v>
      </c>
      <c r="E19" s="383" t="str">
        <f t="shared" si="10"/>
        <v>#N/A</v>
      </c>
      <c r="F19" s="383" t="str">
        <f t="shared" si="10"/>
        <v>#N/A</v>
      </c>
      <c r="G19" s="383" t="str">
        <f t="shared" si="10"/>
        <v>#N/A</v>
      </c>
      <c r="H19" s="383" t="str">
        <f t="shared" si="10"/>
        <v>#N/A</v>
      </c>
      <c r="I19" s="383" t="str">
        <f t="shared" si="10"/>
        <v>#N/A</v>
      </c>
      <c r="J19" s="383" t="str">
        <f t="shared" si="10"/>
        <v>#N/A</v>
      </c>
      <c r="K19" s="383" t="str">
        <f t="shared" si="10"/>
        <v>#N/A</v>
      </c>
      <c r="L19" s="383" t="str">
        <f t="shared" si="10"/>
        <v>#N/A</v>
      </c>
      <c r="M19" s="383" t="str">
        <f t="shared" si="10"/>
        <v>#N/A</v>
      </c>
      <c r="N19" s="383" t="str">
        <f t="shared" si="10"/>
        <v>#N/A</v>
      </c>
      <c r="O19" s="383" t="str">
        <f t="shared" si="10"/>
        <v>#N/A</v>
      </c>
      <c r="P19" s="383" t="str">
        <f t="shared" si="10"/>
        <v>#N/A</v>
      </c>
      <c r="Q19" s="383" t="str">
        <f t="shared" si="10"/>
        <v>#N/A</v>
      </c>
      <c r="R19" s="383" t="str">
        <f t="shared" si="10"/>
        <v>#N/A</v>
      </c>
      <c r="S19" s="383" t="str">
        <f t="shared" si="10"/>
        <v>#N/A</v>
      </c>
      <c r="T19" s="383" t="str">
        <f t="shared" si="10"/>
        <v>#N/A</v>
      </c>
      <c r="U19" s="383" t="str">
        <f t="shared" si="10"/>
        <v>#N/A</v>
      </c>
      <c r="V19" s="383" t="str">
        <f t="shared" si="10"/>
        <v>#N/A</v>
      </c>
      <c r="W19" s="383" t="str">
        <f t="shared" si="10"/>
        <v>#N/A</v>
      </c>
      <c r="X19" s="383" t="str">
        <f t="shared" si="10"/>
        <v>#N/A</v>
      </c>
      <c r="Y19" s="383" t="str">
        <f t="shared" si="10"/>
        <v>#N/A</v>
      </c>
      <c r="Z19" s="383" t="str">
        <f t="shared" si="10"/>
        <v>#N/A</v>
      </c>
      <c r="AA19" s="383" t="str">
        <f t="shared" si="10"/>
        <v>#N/A</v>
      </c>
      <c r="AB19" s="383" t="str">
        <f t="shared" si="10"/>
        <v>#N/A</v>
      </c>
      <c r="AC19" s="383" t="str">
        <f t="shared" si="10"/>
        <v>#N/A</v>
      </c>
      <c r="AD19" s="383" t="str">
        <f t="shared" si="10"/>
        <v>#N/A</v>
      </c>
      <c r="AE19" s="383" t="str">
        <f t="shared" si="10"/>
        <v>#N/A</v>
      </c>
      <c r="AF19" s="383" t="str">
        <f t="shared" si="10"/>
        <v>#N/A</v>
      </c>
      <c r="AG19" s="383" t="str">
        <f t="shared" si="10"/>
        <v>#N/A</v>
      </c>
    </row>
    <row r="20" ht="15.0" customHeight="1">
      <c r="A20" s="410" t="s">
        <v>513</v>
      </c>
      <c r="B20" s="410"/>
      <c r="C20" s="383" t="str">
        <f t="shared" ref="C20:AG20" si="11">SUMIFS(#REF!,#REF!,C$2,#REF!,"ĐẾN NHẬN")</f>
        <v>#N/A</v>
      </c>
      <c r="D20" s="383" t="str">
        <f t="shared" si="11"/>
        <v>#N/A</v>
      </c>
      <c r="E20" s="383" t="str">
        <f t="shared" si="11"/>
        <v>#N/A</v>
      </c>
      <c r="F20" s="383" t="str">
        <f t="shared" si="11"/>
        <v>#N/A</v>
      </c>
      <c r="G20" s="383" t="str">
        <f t="shared" si="11"/>
        <v>#N/A</v>
      </c>
      <c r="H20" s="383" t="str">
        <f t="shared" si="11"/>
        <v>#N/A</v>
      </c>
      <c r="I20" s="383" t="str">
        <f t="shared" si="11"/>
        <v>#N/A</v>
      </c>
      <c r="J20" s="383" t="str">
        <f t="shared" si="11"/>
        <v>#N/A</v>
      </c>
      <c r="K20" s="383" t="str">
        <f t="shared" si="11"/>
        <v>#N/A</v>
      </c>
      <c r="L20" s="383" t="str">
        <f t="shared" si="11"/>
        <v>#N/A</v>
      </c>
      <c r="M20" s="383" t="str">
        <f t="shared" si="11"/>
        <v>#N/A</v>
      </c>
      <c r="N20" s="383" t="str">
        <f t="shared" si="11"/>
        <v>#N/A</v>
      </c>
      <c r="O20" s="383" t="str">
        <f t="shared" si="11"/>
        <v>#N/A</v>
      </c>
      <c r="P20" s="383" t="str">
        <f t="shared" si="11"/>
        <v>#N/A</v>
      </c>
      <c r="Q20" s="383" t="str">
        <f t="shared" si="11"/>
        <v>#N/A</v>
      </c>
      <c r="R20" s="383" t="str">
        <f t="shared" si="11"/>
        <v>#N/A</v>
      </c>
      <c r="S20" s="383" t="str">
        <f t="shared" si="11"/>
        <v>#N/A</v>
      </c>
      <c r="T20" s="383" t="str">
        <f t="shared" si="11"/>
        <v>#N/A</v>
      </c>
      <c r="U20" s="383" t="str">
        <f t="shared" si="11"/>
        <v>#N/A</v>
      </c>
      <c r="V20" s="383" t="str">
        <f t="shared" si="11"/>
        <v>#N/A</v>
      </c>
      <c r="W20" s="383" t="str">
        <f t="shared" si="11"/>
        <v>#N/A</v>
      </c>
      <c r="X20" s="383" t="str">
        <f t="shared" si="11"/>
        <v>#N/A</v>
      </c>
      <c r="Y20" s="383" t="str">
        <f t="shared" si="11"/>
        <v>#N/A</v>
      </c>
      <c r="Z20" s="383" t="str">
        <f t="shared" si="11"/>
        <v>#N/A</v>
      </c>
      <c r="AA20" s="383" t="str">
        <f t="shared" si="11"/>
        <v>#N/A</v>
      </c>
      <c r="AB20" s="383" t="str">
        <f t="shared" si="11"/>
        <v>#N/A</v>
      </c>
      <c r="AC20" s="383" t="str">
        <f t="shared" si="11"/>
        <v>#N/A</v>
      </c>
      <c r="AD20" s="383" t="str">
        <f t="shared" si="11"/>
        <v>#N/A</v>
      </c>
      <c r="AE20" s="383" t="str">
        <f t="shared" si="11"/>
        <v>#N/A</v>
      </c>
      <c r="AF20" s="383" t="str">
        <f t="shared" si="11"/>
        <v>#N/A</v>
      </c>
      <c r="AG20" s="383" t="str">
        <f t="shared" si="11"/>
        <v>#N/A</v>
      </c>
    </row>
    <row r="21" ht="15.0" customHeight="1">
      <c r="A21" s="419" t="s">
        <v>515</v>
      </c>
      <c r="B21" s="419"/>
      <c r="C21" s="420" t="str">
        <f t="shared" ref="C21:AG21" si="12">SUMIF(#REF!,C2,#REF!)</f>
        <v>#N/A</v>
      </c>
      <c r="D21" s="420" t="str">
        <f t="shared" si="12"/>
        <v>#N/A</v>
      </c>
      <c r="E21" s="420" t="str">
        <f t="shared" si="12"/>
        <v>#N/A</v>
      </c>
      <c r="F21" s="420" t="str">
        <f t="shared" si="12"/>
        <v>#N/A</v>
      </c>
      <c r="G21" s="420" t="str">
        <f t="shared" si="12"/>
        <v>#N/A</v>
      </c>
      <c r="H21" s="420" t="str">
        <f t="shared" si="12"/>
        <v>#N/A</v>
      </c>
      <c r="I21" s="420" t="str">
        <f t="shared" si="12"/>
        <v>#N/A</v>
      </c>
      <c r="J21" s="420" t="str">
        <f t="shared" si="12"/>
        <v>#N/A</v>
      </c>
      <c r="K21" s="420" t="str">
        <f t="shared" si="12"/>
        <v>#N/A</v>
      </c>
      <c r="L21" s="420" t="str">
        <f t="shared" si="12"/>
        <v>#N/A</v>
      </c>
      <c r="M21" s="420" t="str">
        <f t="shared" si="12"/>
        <v>#N/A</v>
      </c>
      <c r="N21" s="420" t="str">
        <f t="shared" si="12"/>
        <v>#N/A</v>
      </c>
      <c r="O21" s="420" t="str">
        <f t="shared" si="12"/>
        <v>#N/A</v>
      </c>
      <c r="P21" s="420" t="str">
        <f t="shared" si="12"/>
        <v>#N/A</v>
      </c>
      <c r="Q21" s="420" t="str">
        <f t="shared" si="12"/>
        <v>#N/A</v>
      </c>
      <c r="R21" s="420" t="str">
        <f t="shared" si="12"/>
        <v>#N/A</v>
      </c>
      <c r="S21" s="420" t="str">
        <f t="shared" si="12"/>
        <v>#N/A</v>
      </c>
      <c r="T21" s="420" t="str">
        <f t="shared" si="12"/>
        <v>#N/A</v>
      </c>
      <c r="U21" s="420" t="str">
        <f t="shared" si="12"/>
        <v>#N/A</v>
      </c>
      <c r="V21" s="420" t="str">
        <f t="shared" si="12"/>
        <v>#N/A</v>
      </c>
      <c r="W21" s="420" t="str">
        <f t="shared" si="12"/>
        <v>#N/A</v>
      </c>
      <c r="X21" s="420" t="str">
        <f t="shared" si="12"/>
        <v>#N/A</v>
      </c>
      <c r="Y21" s="420" t="str">
        <f t="shared" si="12"/>
        <v>#N/A</v>
      </c>
      <c r="Z21" s="420" t="str">
        <f t="shared" si="12"/>
        <v>#N/A</v>
      </c>
      <c r="AA21" s="420" t="str">
        <f t="shared" si="12"/>
        <v>#N/A</v>
      </c>
      <c r="AB21" s="420" t="str">
        <f t="shared" si="12"/>
        <v>#N/A</v>
      </c>
      <c r="AC21" s="420" t="str">
        <f t="shared" si="12"/>
        <v>#N/A</v>
      </c>
      <c r="AD21" s="420" t="str">
        <f t="shared" si="12"/>
        <v>#N/A</v>
      </c>
      <c r="AE21" s="420" t="str">
        <f t="shared" si="12"/>
        <v>#N/A</v>
      </c>
      <c r="AF21" s="420" t="str">
        <f t="shared" si="12"/>
        <v>#N/A</v>
      </c>
      <c r="AG21" s="420" t="str">
        <f t="shared" si="12"/>
        <v>#N/A</v>
      </c>
    </row>
    <row r="22" ht="15.0" customHeight="1">
      <c r="A22" s="377"/>
      <c r="B22" s="377"/>
      <c r="C22" s="377"/>
      <c r="D22" s="377"/>
      <c r="E22" s="377"/>
      <c r="F22" s="377"/>
      <c r="G22" s="377"/>
      <c r="H22" s="377"/>
      <c r="I22" s="377"/>
      <c r="J22" s="377"/>
      <c r="K22" s="377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</row>
    <row r="23" ht="15.0" customHeight="1">
      <c r="A23" s="417" t="s">
        <v>516</v>
      </c>
      <c r="B23" s="417"/>
      <c r="C23" s="418">
        <f t="shared" ref="C23:AG23" si="13">B30</f>
        <v>2448.70571</v>
      </c>
      <c r="D23" s="418" t="str">
        <f t="shared" si="13"/>
        <v>#N/A</v>
      </c>
      <c r="E23" s="418" t="str">
        <f t="shared" si="13"/>
        <v>#N/A</v>
      </c>
      <c r="F23" s="418" t="str">
        <f t="shared" si="13"/>
        <v>#N/A</v>
      </c>
      <c r="G23" s="418" t="str">
        <f t="shared" si="13"/>
        <v>#N/A</v>
      </c>
      <c r="H23" s="418" t="str">
        <f t="shared" si="13"/>
        <v>#N/A</v>
      </c>
      <c r="I23" s="418" t="str">
        <f t="shared" si="13"/>
        <v>#N/A</v>
      </c>
      <c r="J23" s="418" t="str">
        <f t="shared" si="13"/>
        <v>#N/A</v>
      </c>
      <c r="K23" s="418" t="str">
        <f t="shared" si="13"/>
        <v>#N/A</v>
      </c>
      <c r="L23" s="418" t="str">
        <f t="shared" si="13"/>
        <v>#N/A</v>
      </c>
      <c r="M23" s="418" t="str">
        <f t="shared" si="13"/>
        <v>#N/A</v>
      </c>
      <c r="N23" s="418" t="str">
        <f t="shared" si="13"/>
        <v>#N/A</v>
      </c>
      <c r="O23" s="418" t="str">
        <f t="shared" si="13"/>
        <v>#N/A</v>
      </c>
      <c r="P23" s="418" t="str">
        <f t="shared" si="13"/>
        <v>#N/A</v>
      </c>
      <c r="Q23" s="418" t="str">
        <f t="shared" si="13"/>
        <v>#N/A</v>
      </c>
      <c r="R23" s="418" t="str">
        <f t="shared" si="13"/>
        <v>#N/A</v>
      </c>
      <c r="S23" s="418" t="str">
        <f t="shared" si="13"/>
        <v>#N/A</v>
      </c>
      <c r="T23" s="418" t="str">
        <f t="shared" si="13"/>
        <v>#N/A</v>
      </c>
      <c r="U23" s="418" t="str">
        <f t="shared" si="13"/>
        <v>#N/A</v>
      </c>
      <c r="V23" s="418" t="str">
        <f t="shared" si="13"/>
        <v>#N/A</v>
      </c>
      <c r="W23" s="418" t="str">
        <f t="shared" si="13"/>
        <v>#N/A</v>
      </c>
      <c r="X23" s="418" t="str">
        <f t="shared" si="13"/>
        <v>#N/A</v>
      </c>
      <c r="Y23" s="418" t="str">
        <f t="shared" si="13"/>
        <v>#N/A</v>
      </c>
      <c r="Z23" s="418" t="str">
        <f t="shared" si="13"/>
        <v>#N/A</v>
      </c>
      <c r="AA23" s="418" t="str">
        <f t="shared" si="13"/>
        <v>#N/A</v>
      </c>
      <c r="AB23" s="418" t="str">
        <f t="shared" si="13"/>
        <v>#N/A</v>
      </c>
      <c r="AC23" s="418" t="str">
        <f t="shared" si="13"/>
        <v>#N/A</v>
      </c>
      <c r="AD23" s="418" t="str">
        <f t="shared" si="13"/>
        <v>#N/A</v>
      </c>
      <c r="AE23" s="418" t="str">
        <f t="shared" si="13"/>
        <v>#N/A</v>
      </c>
      <c r="AF23" s="418" t="str">
        <f t="shared" si="13"/>
        <v>#N/A</v>
      </c>
      <c r="AG23" s="418" t="str">
        <f t="shared" si="13"/>
        <v>#N/A</v>
      </c>
    </row>
    <row r="24" ht="15.0" customHeight="1">
      <c r="A24" s="421" t="s">
        <v>517</v>
      </c>
      <c r="B24" s="421"/>
      <c r="C24" s="422"/>
      <c r="D24" s="422"/>
      <c r="E24" s="422"/>
      <c r="F24" s="422"/>
      <c r="G24" s="422"/>
      <c r="H24" s="422"/>
      <c r="I24" s="422"/>
      <c r="J24" s="422"/>
      <c r="K24" s="422"/>
      <c r="L24" s="422"/>
      <c r="M24" s="422"/>
      <c r="N24" s="422"/>
      <c r="O24" s="422"/>
      <c r="P24" s="422"/>
      <c r="Q24" s="422"/>
      <c r="R24" s="422"/>
      <c r="S24" s="422"/>
      <c r="T24" s="422"/>
      <c r="U24" s="422"/>
      <c r="V24" s="422"/>
      <c r="W24" s="422"/>
      <c r="X24" s="422"/>
      <c r="Y24" s="422"/>
      <c r="Z24" s="422"/>
      <c r="AA24" s="422"/>
      <c r="AB24" s="422"/>
      <c r="AC24" s="422"/>
      <c r="AD24" s="422"/>
      <c r="AE24" s="422"/>
      <c r="AF24" s="422"/>
      <c r="AG24" s="422"/>
    </row>
    <row r="25" ht="15.0" customHeight="1">
      <c r="A25" s="410" t="s">
        <v>518</v>
      </c>
      <c r="B25" s="410"/>
      <c r="C25" s="383" t="str">
        <f t="shared" ref="C25:AG25" si="14">SUMIF(#REF!,C$2,#REF!)/1000</f>
        <v>#N/A</v>
      </c>
      <c r="D25" s="383" t="str">
        <f t="shared" si="14"/>
        <v>#N/A</v>
      </c>
      <c r="E25" s="383" t="str">
        <f t="shared" si="14"/>
        <v>#N/A</v>
      </c>
      <c r="F25" s="383" t="str">
        <f t="shared" si="14"/>
        <v>#N/A</v>
      </c>
      <c r="G25" s="383" t="str">
        <f t="shared" si="14"/>
        <v>#N/A</v>
      </c>
      <c r="H25" s="383" t="str">
        <f t="shared" si="14"/>
        <v>#N/A</v>
      </c>
      <c r="I25" s="383" t="str">
        <f t="shared" si="14"/>
        <v>#N/A</v>
      </c>
      <c r="J25" s="383" t="str">
        <f t="shared" si="14"/>
        <v>#N/A</v>
      </c>
      <c r="K25" s="383" t="str">
        <f t="shared" si="14"/>
        <v>#N/A</v>
      </c>
      <c r="L25" s="383" t="str">
        <f t="shared" si="14"/>
        <v>#N/A</v>
      </c>
      <c r="M25" s="383" t="str">
        <f t="shared" si="14"/>
        <v>#N/A</v>
      </c>
      <c r="N25" s="383" t="str">
        <f t="shared" si="14"/>
        <v>#N/A</v>
      </c>
      <c r="O25" s="383" t="str">
        <f t="shared" si="14"/>
        <v>#N/A</v>
      </c>
      <c r="P25" s="383" t="str">
        <f t="shared" si="14"/>
        <v>#N/A</v>
      </c>
      <c r="Q25" s="383" t="str">
        <f t="shared" si="14"/>
        <v>#N/A</v>
      </c>
      <c r="R25" s="383" t="str">
        <f t="shared" si="14"/>
        <v>#N/A</v>
      </c>
      <c r="S25" s="383" t="str">
        <f t="shared" si="14"/>
        <v>#N/A</v>
      </c>
      <c r="T25" s="383" t="str">
        <f t="shared" si="14"/>
        <v>#N/A</v>
      </c>
      <c r="U25" s="383" t="str">
        <f t="shared" si="14"/>
        <v>#N/A</v>
      </c>
      <c r="V25" s="383" t="str">
        <f t="shared" si="14"/>
        <v>#N/A</v>
      </c>
      <c r="W25" s="383" t="str">
        <f t="shared" si="14"/>
        <v>#N/A</v>
      </c>
      <c r="X25" s="383" t="str">
        <f t="shared" si="14"/>
        <v>#N/A</v>
      </c>
      <c r="Y25" s="383" t="str">
        <f t="shared" si="14"/>
        <v>#N/A</v>
      </c>
      <c r="Z25" s="383" t="str">
        <f t="shared" si="14"/>
        <v>#N/A</v>
      </c>
      <c r="AA25" s="383" t="str">
        <f t="shared" si="14"/>
        <v>#N/A</v>
      </c>
      <c r="AB25" s="383" t="str">
        <f t="shared" si="14"/>
        <v>#N/A</v>
      </c>
      <c r="AC25" s="383" t="str">
        <f t="shared" si="14"/>
        <v>#N/A</v>
      </c>
      <c r="AD25" s="383" t="str">
        <f t="shared" si="14"/>
        <v>#N/A</v>
      </c>
      <c r="AE25" s="383" t="str">
        <f t="shared" si="14"/>
        <v>#N/A</v>
      </c>
      <c r="AF25" s="383" t="str">
        <f t="shared" si="14"/>
        <v>#N/A</v>
      </c>
      <c r="AG25" s="383" t="str">
        <f t="shared" si="14"/>
        <v>#N/A</v>
      </c>
    </row>
    <row r="26" ht="15.0" customHeight="1">
      <c r="A26" s="423" t="s">
        <v>519</v>
      </c>
      <c r="B26" s="423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2"/>
      <c r="U26" s="422"/>
      <c r="V26" s="422"/>
      <c r="W26" s="422"/>
      <c r="X26" s="422"/>
      <c r="Y26" s="422"/>
      <c r="Z26" s="422"/>
      <c r="AA26" s="422"/>
      <c r="AB26" s="422"/>
      <c r="AC26" s="422"/>
      <c r="AD26" s="422"/>
      <c r="AE26" s="422"/>
      <c r="AF26" s="422"/>
      <c r="AG26" s="422"/>
    </row>
    <row r="27" ht="15.0" customHeight="1">
      <c r="A27" s="382" t="s">
        <v>520</v>
      </c>
      <c r="B27" s="382"/>
      <c r="C27" s="424" t="str">
        <f t="shared" ref="C27:AG27" si="15">SUMIF(#REF!,C$2,#REF!)/1000</f>
        <v>#N/A</v>
      </c>
      <c r="D27" s="424" t="str">
        <f t="shared" si="15"/>
        <v>#N/A</v>
      </c>
      <c r="E27" s="424" t="str">
        <f t="shared" si="15"/>
        <v>#N/A</v>
      </c>
      <c r="F27" s="424" t="str">
        <f t="shared" si="15"/>
        <v>#N/A</v>
      </c>
      <c r="G27" s="424" t="str">
        <f t="shared" si="15"/>
        <v>#N/A</v>
      </c>
      <c r="H27" s="424" t="str">
        <f t="shared" si="15"/>
        <v>#N/A</v>
      </c>
      <c r="I27" s="424" t="str">
        <f t="shared" si="15"/>
        <v>#N/A</v>
      </c>
      <c r="J27" s="424" t="str">
        <f t="shared" si="15"/>
        <v>#N/A</v>
      </c>
      <c r="K27" s="424" t="str">
        <f t="shared" si="15"/>
        <v>#N/A</v>
      </c>
      <c r="L27" s="424" t="str">
        <f t="shared" si="15"/>
        <v>#N/A</v>
      </c>
      <c r="M27" s="424" t="str">
        <f t="shared" si="15"/>
        <v>#N/A</v>
      </c>
      <c r="N27" s="424" t="str">
        <f t="shared" si="15"/>
        <v>#N/A</v>
      </c>
      <c r="O27" s="424" t="str">
        <f t="shared" si="15"/>
        <v>#N/A</v>
      </c>
      <c r="P27" s="424" t="str">
        <f t="shared" si="15"/>
        <v>#N/A</v>
      </c>
      <c r="Q27" s="424" t="str">
        <f t="shared" si="15"/>
        <v>#N/A</v>
      </c>
      <c r="R27" s="424" t="str">
        <f t="shared" si="15"/>
        <v>#N/A</v>
      </c>
      <c r="S27" s="424" t="str">
        <f t="shared" si="15"/>
        <v>#N/A</v>
      </c>
      <c r="T27" s="424" t="str">
        <f t="shared" si="15"/>
        <v>#N/A</v>
      </c>
      <c r="U27" s="424" t="str">
        <f t="shared" si="15"/>
        <v>#N/A</v>
      </c>
      <c r="V27" s="424" t="str">
        <f t="shared" si="15"/>
        <v>#N/A</v>
      </c>
      <c r="W27" s="424" t="str">
        <f t="shared" si="15"/>
        <v>#N/A</v>
      </c>
      <c r="X27" s="424" t="str">
        <f t="shared" si="15"/>
        <v>#N/A</v>
      </c>
      <c r="Y27" s="424" t="str">
        <f t="shared" si="15"/>
        <v>#N/A</v>
      </c>
      <c r="Z27" s="424" t="str">
        <f t="shared" si="15"/>
        <v>#N/A</v>
      </c>
      <c r="AA27" s="424" t="str">
        <f t="shared" si="15"/>
        <v>#N/A</v>
      </c>
      <c r="AB27" s="424" t="str">
        <f t="shared" si="15"/>
        <v>#N/A</v>
      </c>
      <c r="AC27" s="424" t="str">
        <f t="shared" si="15"/>
        <v>#N/A</v>
      </c>
      <c r="AD27" s="424" t="str">
        <f t="shared" si="15"/>
        <v>#N/A</v>
      </c>
      <c r="AE27" s="424" t="str">
        <f t="shared" si="15"/>
        <v>#N/A</v>
      </c>
      <c r="AF27" s="424" t="str">
        <f t="shared" si="15"/>
        <v>#N/A</v>
      </c>
      <c r="AG27" s="424" t="str">
        <f t="shared" si="15"/>
        <v>#N/A</v>
      </c>
    </row>
    <row r="28" ht="15.0" customHeight="1">
      <c r="A28" s="425" t="s">
        <v>522</v>
      </c>
      <c r="B28" s="425"/>
      <c r="C28" s="426">
        <f t="shared" ref="C28:AG28" si="16">IF(AND(C24=0,C26=0),0,C23-C24+C26)</f>
        <v>0</v>
      </c>
      <c r="D28" s="426">
        <f t="shared" si="16"/>
        <v>0</v>
      </c>
      <c r="E28" s="426">
        <f t="shared" si="16"/>
        <v>0</v>
      </c>
      <c r="F28" s="426">
        <f t="shared" si="16"/>
        <v>0</v>
      </c>
      <c r="G28" s="426">
        <f t="shared" si="16"/>
        <v>0</v>
      </c>
      <c r="H28" s="426">
        <f t="shared" si="16"/>
        <v>0</v>
      </c>
      <c r="I28" s="426">
        <f t="shared" si="16"/>
        <v>0</v>
      </c>
      <c r="J28" s="426">
        <f t="shared" si="16"/>
        <v>0</v>
      </c>
      <c r="K28" s="426">
        <f t="shared" si="16"/>
        <v>0</v>
      </c>
      <c r="L28" s="426">
        <f t="shared" si="16"/>
        <v>0</v>
      </c>
      <c r="M28" s="426">
        <f t="shared" si="16"/>
        <v>0</v>
      </c>
      <c r="N28" s="426">
        <f t="shared" si="16"/>
        <v>0</v>
      </c>
      <c r="O28" s="426">
        <f t="shared" si="16"/>
        <v>0</v>
      </c>
      <c r="P28" s="426">
        <f t="shared" si="16"/>
        <v>0</v>
      </c>
      <c r="Q28" s="426">
        <f t="shared" si="16"/>
        <v>0</v>
      </c>
      <c r="R28" s="426">
        <f t="shared" si="16"/>
        <v>0</v>
      </c>
      <c r="S28" s="426">
        <f t="shared" si="16"/>
        <v>0</v>
      </c>
      <c r="T28" s="426">
        <f t="shared" si="16"/>
        <v>0</v>
      </c>
      <c r="U28" s="426">
        <f t="shared" si="16"/>
        <v>0</v>
      </c>
      <c r="V28" s="426">
        <f t="shared" si="16"/>
        <v>0</v>
      </c>
      <c r="W28" s="426">
        <f t="shared" si="16"/>
        <v>0</v>
      </c>
      <c r="X28" s="426">
        <f t="shared" si="16"/>
        <v>0</v>
      </c>
      <c r="Y28" s="426">
        <f t="shared" si="16"/>
        <v>0</v>
      </c>
      <c r="Z28" s="426">
        <f t="shared" si="16"/>
        <v>0</v>
      </c>
      <c r="AA28" s="426">
        <f t="shared" si="16"/>
        <v>0</v>
      </c>
      <c r="AB28" s="426">
        <f t="shared" si="16"/>
        <v>0</v>
      </c>
      <c r="AC28" s="426">
        <f t="shared" si="16"/>
        <v>0</v>
      </c>
      <c r="AD28" s="426">
        <f t="shared" si="16"/>
        <v>0</v>
      </c>
      <c r="AE28" s="426">
        <f t="shared" si="16"/>
        <v>0</v>
      </c>
      <c r="AF28" s="426">
        <f t="shared" si="16"/>
        <v>0</v>
      </c>
      <c r="AG28" s="426">
        <f t="shared" si="16"/>
        <v>0</v>
      </c>
    </row>
    <row r="29" ht="15.0" customHeight="1">
      <c r="A29" s="425" t="s">
        <v>524</v>
      </c>
      <c r="B29" s="425"/>
      <c r="C29" s="428" t="str">
        <f>-SUMIF(NKSX!#REF!,'XNT THEO NGÀY'!C$2,NKSX!#REF!)/1000</f>
        <v>#ERROR!</v>
      </c>
      <c r="D29" s="428" t="str">
        <f>-SUMIF(NKSX!#REF!,'XNT THEO NGÀY'!D$2,NKSX!#REF!)/1000</f>
        <v>#ERROR!</v>
      </c>
      <c r="E29" s="428" t="str">
        <f>-SUMIF(NKSX!#REF!,'XNT THEO NGÀY'!E$2,NKSX!#REF!)/1000</f>
        <v>#ERROR!</v>
      </c>
      <c r="F29" s="428" t="str">
        <f>-SUMIF(NKSX!#REF!,'XNT THEO NGÀY'!F$2,NKSX!#REF!)/1000</f>
        <v>#ERROR!</v>
      </c>
      <c r="G29" s="428" t="str">
        <f>-SUMIF(NKSX!#REF!,'XNT THEO NGÀY'!G$2,NKSX!#REF!)/1000</f>
        <v>#ERROR!</v>
      </c>
      <c r="H29" s="428" t="str">
        <f>-SUMIF(NKSX!#REF!,'XNT THEO NGÀY'!H$2,NKSX!#REF!)/1000</f>
        <v>#ERROR!</v>
      </c>
      <c r="I29" s="428" t="str">
        <f>-SUMIF(NKSX!#REF!,'XNT THEO NGÀY'!I$2,NKSX!#REF!)/1000</f>
        <v>#ERROR!</v>
      </c>
      <c r="J29" s="428" t="str">
        <f>-SUMIF(NKSX!#REF!,'XNT THEO NGÀY'!J$2,NKSX!#REF!)/1000</f>
        <v>#ERROR!</v>
      </c>
      <c r="K29" s="428" t="str">
        <f>-SUMIF(NKSX!#REF!,'XNT THEO NGÀY'!K$2,NKSX!#REF!)/1000</f>
        <v>#ERROR!</v>
      </c>
      <c r="L29" s="428" t="str">
        <f>-SUMIF(NKSX!#REF!,'XNT THEO NGÀY'!L$2,NKSX!#REF!)/1000</f>
        <v>#ERROR!</v>
      </c>
      <c r="M29" s="428" t="str">
        <f>-SUMIF(NKSX!#REF!,'XNT THEO NGÀY'!M$2,NKSX!#REF!)/1000</f>
        <v>#ERROR!</v>
      </c>
      <c r="N29" s="428" t="str">
        <f>-SUMIF(NKSX!#REF!,'XNT THEO NGÀY'!N$2,NKSX!#REF!)/1000</f>
        <v>#ERROR!</v>
      </c>
      <c r="O29" s="428" t="str">
        <f>-SUMIF(NKSX!#REF!,'XNT THEO NGÀY'!O$2,NKSX!#REF!)/1000</f>
        <v>#ERROR!</v>
      </c>
      <c r="P29" s="428" t="str">
        <f>-SUMIF(NKSX!#REF!,'XNT THEO NGÀY'!P$2,NKSX!#REF!)/1000</f>
        <v>#ERROR!</v>
      </c>
      <c r="Q29" s="428" t="str">
        <f>-SUMIF(NKSX!#REF!,'XNT THEO NGÀY'!Q$2,NKSX!#REF!)/1000</f>
        <v>#ERROR!</v>
      </c>
      <c r="R29" s="428" t="str">
        <f>-SUMIF(NKSX!#REF!,'XNT THEO NGÀY'!R$2,NKSX!#REF!)/1000</f>
        <v>#ERROR!</v>
      </c>
      <c r="S29" s="428" t="str">
        <f>-SUMIF(NKSX!#REF!,'XNT THEO NGÀY'!S$2,NKSX!#REF!)/1000</f>
        <v>#ERROR!</v>
      </c>
      <c r="T29" s="428" t="str">
        <f>-SUMIF(NKSX!#REF!,'XNT THEO NGÀY'!T$2,NKSX!#REF!)/1000</f>
        <v>#ERROR!</v>
      </c>
      <c r="U29" s="428" t="str">
        <f>-SUMIF(NKSX!#REF!,'XNT THEO NGÀY'!U$2,NKSX!#REF!)/1000</f>
        <v>#ERROR!</v>
      </c>
      <c r="V29" s="428" t="str">
        <f>-SUMIF(NKSX!#REF!,'XNT THEO NGÀY'!V$2,NKSX!#REF!)/1000</f>
        <v>#ERROR!</v>
      </c>
      <c r="W29" s="428" t="str">
        <f>-SUMIF(NKSX!#REF!,'XNT THEO NGÀY'!W$2,NKSX!#REF!)/1000</f>
        <v>#ERROR!</v>
      </c>
      <c r="X29" s="428" t="str">
        <f>-SUMIF(NKSX!#REF!,'XNT THEO NGÀY'!X$2,NKSX!#REF!)/1000</f>
        <v>#ERROR!</v>
      </c>
      <c r="Y29" s="428" t="str">
        <f>-SUMIF(NKSX!#REF!,'XNT THEO NGÀY'!Y$2,NKSX!#REF!)/1000</f>
        <v>#ERROR!</v>
      </c>
      <c r="Z29" s="428" t="str">
        <f>-SUMIF(NKSX!#REF!,'XNT THEO NGÀY'!Z$2,NKSX!#REF!)/1000</f>
        <v>#ERROR!</v>
      </c>
      <c r="AA29" s="428" t="str">
        <f>-SUMIF(NKSX!#REF!,'XNT THEO NGÀY'!AA$2,NKSX!#REF!)/1000</f>
        <v>#ERROR!</v>
      </c>
      <c r="AB29" s="428" t="str">
        <f>-SUMIF(NKSX!#REF!,'XNT THEO NGÀY'!AB$2,NKSX!#REF!)/1000</f>
        <v>#ERROR!</v>
      </c>
      <c r="AC29" s="428" t="str">
        <f>-SUMIF(NKSX!#REF!,'XNT THEO NGÀY'!AC$2,NKSX!#REF!)/1000</f>
        <v>#ERROR!</v>
      </c>
      <c r="AD29" s="428" t="str">
        <f>-SUMIF(NKSX!#REF!,'XNT THEO NGÀY'!AD$2,NKSX!#REF!)/1000</f>
        <v>#ERROR!</v>
      </c>
      <c r="AE29" s="428" t="str">
        <f>-SUMIF(NKSX!#REF!,'XNT THEO NGÀY'!AE$2,NKSX!#REF!)/1000</f>
        <v>#ERROR!</v>
      </c>
      <c r="AF29" s="428" t="str">
        <f>-SUMIF(NKSX!#REF!,'XNT THEO NGÀY'!AF$2,NKSX!#REF!)/1000</f>
        <v>#ERROR!</v>
      </c>
      <c r="AG29" s="428" t="str">
        <f>-SUMIF(NKSX!#REF!,'XNT THEO NGÀY'!AG$2,NKSX!#REF!)/1000</f>
        <v>#ERROR!</v>
      </c>
    </row>
    <row r="30" ht="15.0" customHeight="1">
      <c r="A30" s="430" t="s">
        <v>526</v>
      </c>
      <c r="B30" s="430">
        <v>2448.70571</v>
      </c>
      <c r="C30" s="409" t="str">
        <f t="shared" ref="C30:AG30" si="17">IF(AND(C25=0,C27=0),C23-C24+C26,C23-C25+C27+C29)</f>
        <v>#N/A</v>
      </c>
      <c r="D30" s="409" t="str">
        <f t="shared" si="17"/>
        <v>#N/A</v>
      </c>
      <c r="E30" s="409" t="str">
        <f t="shared" si="17"/>
        <v>#N/A</v>
      </c>
      <c r="F30" s="409" t="str">
        <f t="shared" si="17"/>
        <v>#N/A</v>
      </c>
      <c r="G30" s="409" t="str">
        <f t="shared" si="17"/>
        <v>#N/A</v>
      </c>
      <c r="H30" s="409" t="str">
        <f t="shared" si="17"/>
        <v>#N/A</v>
      </c>
      <c r="I30" s="409" t="str">
        <f t="shared" si="17"/>
        <v>#N/A</v>
      </c>
      <c r="J30" s="409" t="str">
        <f t="shared" si="17"/>
        <v>#N/A</v>
      </c>
      <c r="K30" s="409" t="str">
        <f t="shared" si="17"/>
        <v>#N/A</v>
      </c>
      <c r="L30" s="409" t="str">
        <f t="shared" si="17"/>
        <v>#N/A</v>
      </c>
      <c r="M30" s="409" t="str">
        <f t="shared" si="17"/>
        <v>#N/A</v>
      </c>
      <c r="N30" s="409" t="str">
        <f t="shared" si="17"/>
        <v>#N/A</v>
      </c>
      <c r="O30" s="409" t="str">
        <f t="shared" si="17"/>
        <v>#N/A</v>
      </c>
      <c r="P30" s="409" t="str">
        <f t="shared" si="17"/>
        <v>#N/A</v>
      </c>
      <c r="Q30" s="409" t="str">
        <f t="shared" si="17"/>
        <v>#N/A</v>
      </c>
      <c r="R30" s="409" t="str">
        <f t="shared" si="17"/>
        <v>#N/A</v>
      </c>
      <c r="S30" s="409" t="str">
        <f t="shared" si="17"/>
        <v>#N/A</v>
      </c>
      <c r="T30" s="409" t="str">
        <f t="shared" si="17"/>
        <v>#N/A</v>
      </c>
      <c r="U30" s="409" t="str">
        <f t="shared" si="17"/>
        <v>#N/A</v>
      </c>
      <c r="V30" s="409" t="str">
        <f t="shared" si="17"/>
        <v>#N/A</v>
      </c>
      <c r="W30" s="409" t="str">
        <f t="shared" si="17"/>
        <v>#N/A</v>
      </c>
      <c r="X30" s="409" t="str">
        <f t="shared" si="17"/>
        <v>#N/A</v>
      </c>
      <c r="Y30" s="409" t="str">
        <f t="shared" si="17"/>
        <v>#N/A</v>
      </c>
      <c r="Z30" s="409" t="str">
        <f t="shared" si="17"/>
        <v>#N/A</v>
      </c>
      <c r="AA30" s="409" t="str">
        <f t="shared" si="17"/>
        <v>#N/A</v>
      </c>
      <c r="AB30" s="409" t="str">
        <f t="shared" si="17"/>
        <v>#N/A</v>
      </c>
      <c r="AC30" s="409" t="str">
        <f t="shared" si="17"/>
        <v>#N/A</v>
      </c>
      <c r="AD30" s="409" t="str">
        <f t="shared" si="17"/>
        <v>#N/A</v>
      </c>
      <c r="AE30" s="409" t="str">
        <f t="shared" si="17"/>
        <v>#N/A</v>
      </c>
      <c r="AF30" s="409" t="str">
        <f t="shared" si="17"/>
        <v>#N/A</v>
      </c>
      <c r="AG30" s="409" t="str">
        <f t="shared" si="17"/>
        <v>#N/A</v>
      </c>
    </row>
    <row r="31" ht="15.0" customHeight="1">
      <c r="A31" s="377"/>
      <c r="B31" s="377"/>
      <c r="C31" s="377"/>
      <c r="D31" s="377"/>
      <c r="E31" s="377"/>
      <c r="F31" s="377"/>
      <c r="G31" s="377"/>
      <c r="H31" s="377"/>
      <c r="I31" s="377"/>
      <c r="J31" s="377"/>
      <c r="K31" s="377"/>
      <c r="L31" s="377"/>
      <c r="M31" s="377"/>
      <c r="N31" s="377"/>
      <c r="O31" s="377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Z31" s="377"/>
      <c r="AA31" s="377"/>
      <c r="AB31" s="377"/>
      <c r="AC31" s="377"/>
      <c r="AD31" s="377"/>
      <c r="AE31" s="377"/>
      <c r="AF31" s="377"/>
      <c r="AG31" s="377"/>
    </row>
    <row r="32" ht="15.0" customHeight="1">
      <c r="A32" s="377"/>
      <c r="B32" s="377"/>
      <c r="C32" s="377"/>
      <c r="D32" s="377"/>
      <c r="E32" s="377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Z32" s="377"/>
      <c r="AA32" s="377"/>
      <c r="AB32" s="377"/>
      <c r="AC32" s="377"/>
      <c r="AD32" s="377"/>
      <c r="AE32" s="377"/>
      <c r="AF32" s="377"/>
      <c r="AG32" s="377"/>
    </row>
    <row r="33" ht="15.0" customHeight="1">
      <c r="A33" s="377"/>
      <c r="B33" s="377"/>
      <c r="C33" s="377"/>
      <c r="D33" s="377"/>
      <c r="E33" s="377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Z33" s="377"/>
      <c r="AA33" s="377"/>
      <c r="AB33" s="377"/>
      <c r="AC33" s="377"/>
      <c r="AD33" s="377"/>
      <c r="AE33" s="377"/>
      <c r="AF33" s="377"/>
      <c r="AG33" s="377"/>
    </row>
    <row r="34" ht="15.0" customHeight="1">
      <c r="A34" s="377"/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Z34" s="377"/>
      <c r="AA34" s="377"/>
      <c r="AB34" s="377"/>
      <c r="AC34" s="377"/>
      <c r="AD34" s="377"/>
      <c r="AE34" s="377"/>
      <c r="AF34" s="377"/>
      <c r="AG34" s="377"/>
    </row>
    <row r="35" ht="15.0" customHeight="1">
      <c r="A35" s="377"/>
      <c r="B35" s="377"/>
      <c r="C35" s="377"/>
      <c r="D35" s="377"/>
      <c r="E35" s="377"/>
      <c r="F35" s="377"/>
      <c r="G35" s="377"/>
      <c r="H35" s="377"/>
      <c r="I35" s="377"/>
      <c r="J35" s="377"/>
      <c r="K35" s="377"/>
      <c r="L35" s="377"/>
      <c r="M35" s="377"/>
      <c r="N35" s="377"/>
      <c r="O35" s="377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Z35" s="377"/>
      <c r="AA35" s="377"/>
      <c r="AB35" s="377"/>
      <c r="AC35" s="377"/>
      <c r="AD35" s="377"/>
      <c r="AE35" s="377"/>
      <c r="AF35" s="377"/>
      <c r="AG35" s="377"/>
    </row>
    <row r="36" ht="14.25" customHeight="1">
      <c r="A36" s="377"/>
      <c r="B36" s="377"/>
      <c r="C36" s="377"/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Z36" s="377"/>
      <c r="AA36" s="377"/>
      <c r="AB36" s="377"/>
      <c r="AC36" s="377"/>
      <c r="AD36" s="377"/>
      <c r="AE36" s="377"/>
      <c r="AF36" s="377"/>
      <c r="AG36" s="377"/>
    </row>
    <row r="37" ht="14.25" customHeight="1">
      <c r="A37" s="377"/>
      <c r="B37" s="377"/>
      <c r="C37" s="377"/>
      <c r="D37" s="377"/>
      <c r="E37" s="377"/>
      <c r="F37" s="377"/>
      <c r="G37" s="377"/>
      <c r="H37" s="377"/>
      <c r="I37" s="377"/>
      <c r="J37" s="377"/>
      <c r="K37" s="377"/>
      <c r="L37" s="377"/>
      <c r="M37" s="377"/>
      <c r="N37" s="377"/>
      <c r="O37" s="377"/>
      <c r="P37" s="377"/>
      <c r="Q37" s="377"/>
      <c r="R37" s="377"/>
      <c r="S37" s="377"/>
      <c r="T37" s="377"/>
      <c r="U37" s="377"/>
      <c r="V37" s="377"/>
      <c r="W37" s="377"/>
      <c r="X37" s="377"/>
      <c r="Y37" s="377"/>
      <c r="Z37" s="377"/>
      <c r="AA37" s="377"/>
      <c r="AB37" s="377"/>
      <c r="AC37" s="377"/>
      <c r="AD37" s="377"/>
      <c r="AE37" s="377"/>
      <c r="AF37" s="377"/>
      <c r="AG37" s="377"/>
    </row>
    <row r="38" ht="14.25" customHeight="1">
      <c r="A38" s="377"/>
      <c r="B38" s="377"/>
      <c r="C38" s="377"/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  <c r="AA38" s="377"/>
      <c r="AB38" s="377"/>
      <c r="AC38" s="377"/>
      <c r="AD38" s="377"/>
      <c r="AE38" s="377"/>
      <c r="AF38" s="377"/>
      <c r="AG38" s="377"/>
    </row>
    <row r="39" ht="14.25" customHeight="1">
      <c r="A39" s="377"/>
      <c r="B39" s="377"/>
      <c r="C39" s="377"/>
      <c r="D39" s="377"/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  <c r="AA39" s="377"/>
      <c r="AB39" s="377"/>
      <c r="AC39" s="377"/>
      <c r="AD39" s="377"/>
      <c r="AE39" s="377"/>
      <c r="AF39" s="377"/>
      <c r="AG39" s="377"/>
    </row>
    <row r="40" ht="14.25" customHeight="1">
      <c r="A40" s="377"/>
      <c r="B40" s="377"/>
      <c r="C40" s="377"/>
      <c r="D40" s="377"/>
      <c r="E40" s="377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77"/>
      <c r="AE40" s="377"/>
      <c r="AF40" s="377"/>
      <c r="AG40" s="377"/>
    </row>
    <row r="41" ht="14.25" customHeight="1">
      <c r="A41" s="377"/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  <c r="AA41" s="377"/>
      <c r="AB41" s="377"/>
      <c r="AC41" s="377"/>
      <c r="AD41" s="377"/>
      <c r="AE41" s="377"/>
      <c r="AF41" s="377"/>
      <c r="AG41" s="377"/>
    </row>
    <row r="42" ht="14.25" customHeight="1">
      <c r="A42" s="377"/>
      <c r="B42" s="377"/>
      <c r="C42" s="377"/>
      <c r="D42" s="377"/>
      <c r="E42" s="377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  <c r="AA42" s="377"/>
      <c r="AB42" s="377"/>
      <c r="AC42" s="377"/>
      <c r="AD42" s="377"/>
      <c r="AE42" s="377"/>
      <c r="AF42" s="377"/>
      <c r="AG42" s="377"/>
    </row>
    <row r="43" ht="14.25" customHeight="1">
      <c r="A43" s="377"/>
      <c r="B43" s="377"/>
      <c r="C43" s="377"/>
      <c r="D43" s="377"/>
      <c r="E43" s="377"/>
      <c r="F43" s="377"/>
      <c r="G43" s="377"/>
      <c r="H43" s="377"/>
      <c r="I43" s="377"/>
      <c r="J43" s="377"/>
      <c r="K43" s="377"/>
      <c r="L43" s="377"/>
      <c r="M43" s="377"/>
      <c r="N43" s="377"/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Z43" s="377"/>
      <c r="AA43" s="377"/>
      <c r="AB43" s="377"/>
      <c r="AC43" s="377"/>
      <c r="AD43" s="377"/>
      <c r="AE43" s="377"/>
      <c r="AF43" s="377"/>
      <c r="AG43" s="377"/>
    </row>
    <row r="44" ht="14.25" customHeight="1">
      <c r="A44" s="377"/>
      <c r="B44" s="377"/>
      <c r="C44" s="377"/>
      <c r="D44" s="377"/>
      <c r="E44" s="377"/>
      <c r="F44" s="377"/>
      <c r="G44" s="377"/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  <c r="AA44" s="377"/>
      <c r="AB44" s="377"/>
      <c r="AC44" s="377"/>
      <c r="AD44" s="377"/>
      <c r="AE44" s="377"/>
      <c r="AF44" s="377"/>
      <c r="AG44" s="377"/>
    </row>
    <row r="45" ht="14.25" customHeight="1">
      <c r="A45" s="377"/>
      <c r="B45" s="377"/>
      <c r="C45" s="377"/>
      <c r="D45" s="377"/>
      <c r="E45" s="377"/>
      <c r="F45" s="377"/>
      <c r="G45" s="377"/>
      <c r="H45" s="377"/>
      <c r="I45" s="377"/>
      <c r="J45" s="377"/>
      <c r="K45" s="377"/>
      <c r="L45" s="377"/>
      <c r="M45" s="377"/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Z45" s="377"/>
      <c r="AA45" s="377"/>
      <c r="AB45" s="377"/>
      <c r="AC45" s="377"/>
      <c r="AD45" s="377"/>
      <c r="AE45" s="377"/>
      <c r="AF45" s="377"/>
      <c r="AG45" s="377"/>
    </row>
    <row r="46" ht="14.25" customHeight="1">
      <c r="A46" s="377"/>
      <c r="B46" s="377"/>
      <c r="C46" s="377"/>
      <c r="D46" s="377"/>
      <c r="E46" s="377"/>
      <c r="F46" s="377"/>
      <c r="G46" s="377"/>
      <c r="H46" s="377"/>
      <c r="I46" s="377"/>
      <c r="J46" s="377"/>
      <c r="K46" s="377"/>
      <c r="L46" s="377"/>
      <c r="M46" s="377"/>
      <c r="N46" s="377"/>
      <c r="O46" s="377"/>
      <c r="P46" s="377"/>
      <c r="Q46" s="377"/>
      <c r="R46" s="377"/>
      <c r="S46" s="377"/>
      <c r="T46" s="377"/>
      <c r="U46" s="377"/>
      <c r="V46" s="377"/>
      <c r="W46" s="377"/>
      <c r="X46" s="377"/>
      <c r="Y46" s="377"/>
      <c r="Z46" s="377"/>
      <c r="AA46" s="377"/>
      <c r="AB46" s="377"/>
      <c r="AC46" s="377"/>
      <c r="AD46" s="377"/>
      <c r="AE46" s="377"/>
      <c r="AF46" s="377"/>
      <c r="AG46" s="377"/>
    </row>
    <row r="47" ht="14.25" customHeight="1">
      <c r="A47" s="377"/>
      <c r="B47" s="377"/>
      <c r="C47" s="377"/>
      <c r="D47" s="377"/>
      <c r="E47" s="377"/>
      <c r="F47" s="377"/>
      <c r="G47" s="377"/>
      <c r="H47" s="377"/>
      <c r="I47" s="377"/>
      <c r="J47" s="377"/>
      <c r="K47" s="377"/>
      <c r="L47" s="377"/>
      <c r="M47" s="377"/>
      <c r="N47" s="377"/>
      <c r="O47" s="377"/>
      <c r="P47" s="377"/>
      <c r="Q47" s="377"/>
      <c r="R47" s="377"/>
      <c r="S47" s="377"/>
      <c r="T47" s="377"/>
      <c r="U47" s="377"/>
      <c r="V47" s="377"/>
      <c r="W47" s="377"/>
      <c r="X47" s="377"/>
      <c r="Y47" s="377"/>
      <c r="Z47" s="377"/>
      <c r="AA47" s="377"/>
      <c r="AB47" s="377"/>
      <c r="AC47" s="377"/>
      <c r="AD47" s="377"/>
      <c r="AE47" s="377"/>
      <c r="AF47" s="377"/>
      <c r="AG47" s="377"/>
    </row>
    <row r="48" ht="14.25" customHeight="1">
      <c r="A48" s="377"/>
      <c r="B48" s="377"/>
      <c r="C48" s="377"/>
      <c r="D48" s="377"/>
      <c r="E48" s="377"/>
      <c r="F48" s="377"/>
      <c r="G48" s="377"/>
      <c r="H48" s="377"/>
      <c r="I48" s="377"/>
      <c r="J48" s="377"/>
      <c r="K48" s="377"/>
      <c r="L48" s="377"/>
      <c r="M48" s="377"/>
      <c r="N48" s="377"/>
      <c r="O48" s="377"/>
      <c r="P48" s="377"/>
      <c r="Q48" s="377"/>
      <c r="R48" s="377"/>
      <c r="S48" s="377"/>
      <c r="T48" s="377"/>
      <c r="U48" s="377"/>
      <c r="V48" s="377"/>
      <c r="W48" s="377"/>
      <c r="X48" s="377"/>
      <c r="Y48" s="377"/>
      <c r="Z48" s="377"/>
      <c r="AA48" s="377"/>
      <c r="AB48" s="377"/>
      <c r="AC48" s="377"/>
      <c r="AD48" s="377"/>
      <c r="AE48" s="377"/>
      <c r="AF48" s="377"/>
      <c r="AG48" s="377"/>
    </row>
    <row r="49" ht="14.25" customHeight="1">
      <c r="A49" s="377"/>
      <c r="B49" s="377"/>
      <c r="C49" s="377"/>
      <c r="D49" s="377"/>
      <c r="E49" s="377"/>
      <c r="F49" s="377"/>
      <c r="G49" s="377"/>
      <c r="H49" s="377"/>
      <c r="I49" s="377"/>
      <c r="J49" s="377"/>
      <c r="K49" s="377"/>
      <c r="L49" s="377"/>
      <c r="M49" s="377"/>
      <c r="N49" s="377"/>
      <c r="O49" s="377"/>
      <c r="P49" s="377"/>
      <c r="Q49" s="377"/>
      <c r="R49" s="377"/>
      <c r="S49" s="377"/>
      <c r="T49" s="377"/>
      <c r="U49" s="377"/>
      <c r="V49" s="377"/>
      <c r="W49" s="377"/>
      <c r="X49" s="377"/>
      <c r="Y49" s="377"/>
      <c r="Z49" s="377"/>
      <c r="AA49" s="377"/>
      <c r="AB49" s="377"/>
      <c r="AC49" s="377"/>
      <c r="AD49" s="377"/>
      <c r="AE49" s="377"/>
      <c r="AF49" s="377"/>
      <c r="AG49" s="377"/>
    </row>
    <row r="50" ht="14.25" customHeight="1">
      <c r="A50" s="377"/>
      <c r="B50" s="377"/>
      <c r="C50" s="377"/>
      <c r="D50" s="377"/>
      <c r="E50" s="377"/>
      <c r="F50" s="377"/>
      <c r="G50" s="377"/>
      <c r="H50" s="377"/>
      <c r="I50" s="377"/>
      <c r="J50" s="377"/>
      <c r="K50" s="377"/>
      <c r="L50" s="377"/>
      <c r="M50" s="377"/>
      <c r="N50" s="377"/>
      <c r="O50" s="377"/>
      <c r="P50" s="377"/>
      <c r="Q50" s="377"/>
      <c r="R50" s="377"/>
      <c r="S50" s="377"/>
      <c r="T50" s="377"/>
      <c r="U50" s="377"/>
      <c r="V50" s="377"/>
      <c r="W50" s="377"/>
      <c r="X50" s="377"/>
      <c r="Y50" s="377"/>
      <c r="Z50" s="377"/>
      <c r="AA50" s="377"/>
      <c r="AB50" s="377"/>
      <c r="AC50" s="377"/>
      <c r="AD50" s="377"/>
      <c r="AE50" s="377"/>
      <c r="AF50" s="377"/>
      <c r="AG50" s="377"/>
    </row>
    <row r="51" ht="14.25" customHeight="1">
      <c r="A51" s="377"/>
      <c r="B51" s="377"/>
      <c r="C51" s="377"/>
      <c r="D51" s="377"/>
      <c r="E51" s="377"/>
      <c r="F51" s="377"/>
      <c r="G51" s="377"/>
      <c r="H51" s="377"/>
      <c r="I51" s="377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7"/>
      <c r="V51" s="377"/>
      <c r="W51" s="377"/>
      <c r="X51" s="377"/>
      <c r="Y51" s="377"/>
      <c r="Z51" s="377"/>
      <c r="AA51" s="377"/>
      <c r="AB51" s="377"/>
      <c r="AC51" s="377"/>
      <c r="AD51" s="377"/>
      <c r="AE51" s="377"/>
      <c r="AF51" s="377"/>
      <c r="AG51" s="377"/>
    </row>
    <row r="52" ht="14.25" customHeight="1">
      <c r="A52" s="377"/>
      <c r="B52" s="377"/>
      <c r="C52" s="377"/>
      <c r="D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377"/>
      <c r="R52" s="377"/>
      <c r="S52" s="377"/>
      <c r="T52" s="377"/>
      <c r="U52" s="377"/>
      <c r="V52" s="377"/>
      <c r="W52" s="377"/>
      <c r="X52" s="377"/>
      <c r="Y52" s="377"/>
      <c r="Z52" s="377"/>
      <c r="AA52" s="377"/>
      <c r="AB52" s="377"/>
      <c r="AC52" s="377"/>
      <c r="AD52" s="377"/>
      <c r="AE52" s="377"/>
      <c r="AF52" s="377"/>
      <c r="AG52" s="377"/>
    </row>
    <row r="53" ht="14.25" customHeight="1">
      <c r="A53" s="377"/>
      <c r="B53" s="377"/>
      <c r="C53" s="377"/>
      <c r="D53" s="377"/>
      <c r="E53" s="377"/>
      <c r="F53" s="377"/>
      <c r="G53" s="377"/>
      <c r="H53" s="377"/>
      <c r="I53" s="377"/>
      <c r="J53" s="377"/>
      <c r="K53" s="377"/>
      <c r="L53" s="377"/>
      <c r="M53" s="377"/>
      <c r="N53" s="377"/>
      <c r="O53" s="377"/>
      <c r="P53" s="377"/>
      <c r="Q53" s="377"/>
      <c r="R53" s="377"/>
      <c r="S53" s="377"/>
      <c r="T53" s="377"/>
      <c r="U53" s="377"/>
      <c r="V53" s="377"/>
      <c r="W53" s="377"/>
      <c r="X53" s="377"/>
      <c r="Y53" s="377"/>
      <c r="Z53" s="377"/>
      <c r="AA53" s="377"/>
      <c r="AB53" s="377"/>
      <c r="AC53" s="377"/>
      <c r="AD53" s="377"/>
      <c r="AE53" s="377"/>
      <c r="AF53" s="377"/>
      <c r="AG53" s="377"/>
    </row>
    <row r="54" ht="14.25" customHeight="1">
      <c r="A54" s="377"/>
      <c r="B54" s="377"/>
      <c r="C54" s="377"/>
      <c r="D54" s="377"/>
      <c r="E54" s="377"/>
      <c r="F54" s="377"/>
      <c r="G54" s="377"/>
      <c r="H54" s="377"/>
      <c r="I54" s="377"/>
      <c r="J54" s="377"/>
      <c r="K54" s="377"/>
      <c r="L54" s="377"/>
      <c r="M54" s="377"/>
      <c r="N54" s="377"/>
      <c r="O54" s="377"/>
      <c r="P54" s="377"/>
      <c r="Q54" s="377"/>
      <c r="R54" s="377"/>
      <c r="S54" s="377"/>
      <c r="T54" s="377"/>
      <c r="U54" s="377"/>
      <c r="V54" s="377"/>
      <c r="W54" s="377"/>
      <c r="X54" s="377"/>
      <c r="Y54" s="377"/>
      <c r="Z54" s="377"/>
      <c r="AA54" s="377"/>
      <c r="AB54" s="377"/>
      <c r="AC54" s="377"/>
      <c r="AD54" s="377"/>
      <c r="AE54" s="377"/>
      <c r="AF54" s="377"/>
      <c r="AG54" s="377"/>
    </row>
    <row r="55" ht="14.25" customHeight="1">
      <c r="A55" s="377"/>
      <c r="B55" s="377"/>
      <c r="C55" s="377"/>
      <c r="D55" s="377"/>
      <c r="E55" s="377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  <c r="AA55" s="377"/>
      <c r="AB55" s="377"/>
      <c r="AC55" s="377"/>
      <c r="AD55" s="377"/>
      <c r="AE55" s="377"/>
      <c r="AF55" s="377"/>
      <c r="AG55" s="377"/>
    </row>
    <row r="56" ht="14.25" customHeight="1">
      <c r="A56" s="377"/>
      <c r="B56" s="377"/>
      <c r="C56" s="377"/>
      <c r="D56" s="377"/>
      <c r="E56" s="377"/>
      <c r="F56" s="377"/>
      <c r="G56" s="377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7"/>
      <c r="AB56" s="377"/>
      <c r="AC56" s="377"/>
      <c r="AD56" s="377"/>
      <c r="AE56" s="377"/>
      <c r="AF56" s="377"/>
      <c r="AG56" s="377"/>
    </row>
    <row r="57" ht="14.25" customHeight="1">
      <c r="A57" s="377"/>
      <c r="B57" s="377"/>
      <c r="C57" s="377"/>
      <c r="D57" s="377"/>
      <c r="E57" s="377"/>
      <c r="F57" s="377"/>
      <c r="G57" s="377"/>
      <c r="H57" s="377"/>
      <c r="I57" s="377"/>
      <c r="J57" s="377"/>
      <c r="K57" s="377"/>
      <c r="L57" s="377"/>
      <c r="M57" s="377"/>
      <c r="N57" s="377"/>
      <c r="O57" s="377"/>
      <c r="P57" s="377"/>
      <c r="Q57" s="377"/>
      <c r="R57" s="377"/>
      <c r="S57" s="377"/>
      <c r="T57" s="377"/>
      <c r="U57" s="377"/>
      <c r="V57" s="377"/>
      <c r="W57" s="377"/>
      <c r="X57" s="377"/>
      <c r="Y57" s="377"/>
      <c r="Z57" s="377"/>
      <c r="AA57" s="377"/>
      <c r="AB57" s="377"/>
      <c r="AC57" s="377"/>
      <c r="AD57" s="377"/>
      <c r="AE57" s="377"/>
      <c r="AF57" s="377"/>
      <c r="AG57" s="377"/>
    </row>
    <row r="58" ht="14.25" customHeight="1">
      <c r="A58" s="377"/>
      <c r="B58" s="377"/>
      <c r="C58" s="377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  <c r="AA58" s="377"/>
      <c r="AB58" s="377"/>
      <c r="AC58" s="377"/>
      <c r="AD58" s="377"/>
      <c r="AE58" s="377"/>
      <c r="AF58" s="377"/>
      <c r="AG58" s="377"/>
    </row>
    <row r="59" ht="14.25" customHeight="1">
      <c r="A59" s="377"/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  <c r="AA59" s="377"/>
      <c r="AB59" s="377"/>
      <c r="AC59" s="377"/>
      <c r="AD59" s="377"/>
      <c r="AE59" s="377"/>
      <c r="AF59" s="377"/>
      <c r="AG59" s="377"/>
    </row>
    <row r="60" ht="14.25" customHeight="1">
      <c r="A60" s="377"/>
      <c r="B60" s="377"/>
      <c r="C60" s="377"/>
      <c r="D60" s="377"/>
      <c r="E60" s="377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7"/>
      <c r="S60" s="377"/>
      <c r="T60" s="377"/>
      <c r="U60" s="377"/>
      <c r="V60" s="377"/>
      <c r="W60" s="377"/>
      <c r="X60" s="377"/>
      <c r="Y60" s="377"/>
      <c r="Z60" s="377"/>
      <c r="AA60" s="377"/>
      <c r="AB60" s="377"/>
      <c r="AC60" s="377"/>
      <c r="AD60" s="377"/>
      <c r="AE60" s="377"/>
      <c r="AF60" s="377"/>
      <c r="AG60" s="377"/>
    </row>
    <row r="61" ht="14.25" customHeight="1">
      <c r="A61" s="377"/>
      <c r="B61" s="377"/>
      <c r="C61" s="377"/>
      <c r="D61" s="377"/>
      <c r="E61" s="377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  <c r="AA61" s="377"/>
      <c r="AB61" s="377"/>
      <c r="AC61" s="377"/>
      <c r="AD61" s="377"/>
      <c r="AE61" s="377"/>
      <c r="AF61" s="377"/>
      <c r="AG61" s="377"/>
    </row>
    <row r="62" ht="14.25" customHeight="1">
      <c r="A62" s="377"/>
      <c r="B62" s="377"/>
      <c r="C62" s="377"/>
      <c r="D62" s="377"/>
      <c r="E62" s="377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  <c r="AA62" s="377"/>
      <c r="AB62" s="377"/>
      <c r="AC62" s="377"/>
      <c r="AD62" s="377"/>
      <c r="AE62" s="377"/>
      <c r="AF62" s="377"/>
      <c r="AG62" s="377"/>
    </row>
    <row r="63" ht="14.25" customHeight="1">
      <c r="A63" s="377"/>
      <c r="B63" s="377"/>
      <c r="C63" s="377"/>
      <c r="D63" s="377"/>
      <c r="E63" s="377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  <c r="AA63" s="377"/>
      <c r="AB63" s="377"/>
      <c r="AC63" s="377"/>
      <c r="AD63" s="377"/>
      <c r="AE63" s="377"/>
      <c r="AF63" s="377"/>
      <c r="AG63" s="377"/>
    </row>
    <row r="64" ht="14.25" customHeight="1">
      <c r="A64" s="377"/>
      <c r="B64" s="377"/>
      <c r="C64" s="377"/>
      <c r="D64" s="377"/>
      <c r="E64" s="377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  <c r="AA64" s="377"/>
      <c r="AB64" s="377"/>
      <c r="AC64" s="377"/>
      <c r="AD64" s="377"/>
      <c r="AE64" s="377"/>
      <c r="AF64" s="377"/>
      <c r="AG64" s="377"/>
    </row>
    <row r="65" ht="14.25" customHeight="1">
      <c r="A65" s="377"/>
      <c r="B65" s="377"/>
      <c r="C65" s="377"/>
      <c r="D65" s="377"/>
      <c r="E65" s="377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  <c r="AA65" s="377"/>
      <c r="AB65" s="377"/>
      <c r="AC65" s="377"/>
      <c r="AD65" s="377"/>
      <c r="AE65" s="377"/>
      <c r="AF65" s="377"/>
      <c r="AG65" s="377"/>
    </row>
    <row r="66" ht="14.25" customHeight="1">
      <c r="A66" s="377"/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7"/>
      <c r="Q66" s="377"/>
      <c r="R66" s="377"/>
      <c r="S66" s="377"/>
      <c r="T66" s="377"/>
      <c r="U66" s="377"/>
      <c r="V66" s="377"/>
      <c r="W66" s="377"/>
      <c r="X66" s="377"/>
      <c r="Y66" s="377"/>
      <c r="Z66" s="377"/>
      <c r="AA66" s="377"/>
      <c r="AB66" s="377"/>
      <c r="AC66" s="377"/>
      <c r="AD66" s="377"/>
      <c r="AE66" s="377"/>
      <c r="AF66" s="377"/>
      <c r="AG66" s="377"/>
    </row>
    <row r="67" ht="14.25" customHeight="1">
      <c r="A67" s="377"/>
      <c r="B67" s="377"/>
      <c r="C67" s="377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  <c r="AA67" s="377"/>
      <c r="AB67" s="377"/>
      <c r="AC67" s="377"/>
      <c r="AD67" s="377"/>
      <c r="AE67" s="377"/>
      <c r="AF67" s="377"/>
      <c r="AG67" s="377"/>
    </row>
    <row r="68" ht="14.25" customHeight="1">
      <c r="A68" s="377"/>
      <c r="B68" s="377"/>
      <c r="C68" s="377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  <c r="AA68" s="377"/>
      <c r="AB68" s="377"/>
      <c r="AC68" s="377"/>
      <c r="AD68" s="377"/>
      <c r="AE68" s="377"/>
      <c r="AF68" s="377"/>
      <c r="AG68" s="377"/>
    </row>
    <row r="69" ht="14.25" customHeight="1">
      <c r="A69" s="377"/>
      <c r="B69" s="377"/>
      <c r="C69" s="377"/>
      <c r="D69" s="377"/>
      <c r="E69" s="377"/>
      <c r="F69" s="377"/>
      <c r="G69" s="377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  <c r="AA69" s="377"/>
      <c r="AB69" s="377"/>
      <c r="AC69" s="377"/>
      <c r="AD69" s="377"/>
      <c r="AE69" s="377"/>
      <c r="AF69" s="377"/>
      <c r="AG69" s="377"/>
    </row>
    <row r="70" ht="14.25" customHeight="1">
      <c r="A70" s="377"/>
      <c r="B70" s="377"/>
      <c r="C70" s="377"/>
      <c r="D70" s="377"/>
      <c r="E70" s="377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  <c r="AA70" s="377"/>
      <c r="AB70" s="377"/>
      <c r="AC70" s="377"/>
      <c r="AD70" s="377"/>
      <c r="AE70" s="377"/>
      <c r="AF70" s="377"/>
      <c r="AG70" s="377"/>
    </row>
    <row r="71" ht="14.25" customHeight="1">
      <c r="A71" s="377"/>
      <c r="B71" s="377"/>
      <c r="C71" s="377"/>
      <c r="D71" s="377"/>
      <c r="E71" s="377"/>
      <c r="F71" s="377"/>
      <c r="G71" s="377"/>
      <c r="H71" s="377"/>
      <c r="I71" s="377"/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  <c r="V71" s="377"/>
      <c r="W71" s="377"/>
      <c r="X71" s="377"/>
      <c r="Y71" s="377"/>
      <c r="Z71" s="377"/>
      <c r="AA71" s="377"/>
      <c r="AB71" s="377"/>
      <c r="AC71" s="377"/>
      <c r="AD71" s="377"/>
      <c r="AE71" s="377"/>
      <c r="AF71" s="377"/>
      <c r="AG71" s="377"/>
    </row>
    <row r="72" ht="14.25" customHeight="1">
      <c r="A72" s="377"/>
      <c r="B72" s="377"/>
      <c r="C72" s="377"/>
      <c r="D72" s="377"/>
      <c r="E72" s="377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  <c r="AA72" s="377"/>
      <c r="AB72" s="377"/>
      <c r="AC72" s="377"/>
      <c r="AD72" s="377"/>
      <c r="AE72" s="377"/>
      <c r="AF72" s="377"/>
      <c r="AG72" s="377"/>
    </row>
    <row r="73" ht="14.25" customHeight="1">
      <c r="A73" s="377"/>
      <c r="B73" s="377"/>
      <c r="C73" s="377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  <c r="AA73" s="377"/>
      <c r="AB73" s="377"/>
      <c r="AC73" s="377"/>
      <c r="AD73" s="377"/>
      <c r="AE73" s="377"/>
      <c r="AF73" s="377"/>
      <c r="AG73" s="377"/>
    </row>
    <row r="74" ht="14.25" customHeight="1">
      <c r="A74" s="377"/>
      <c r="B74" s="377"/>
      <c r="C74" s="377"/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  <c r="AA74" s="377"/>
      <c r="AB74" s="377"/>
      <c r="AC74" s="377"/>
      <c r="AD74" s="377"/>
      <c r="AE74" s="377"/>
      <c r="AF74" s="377"/>
      <c r="AG74" s="377"/>
    </row>
    <row r="75" ht="14.25" customHeight="1">
      <c r="A75" s="377"/>
      <c r="B75" s="377"/>
      <c r="C75" s="377"/>
      <c r="D75" s="377"/>
      <c r="E75" s="377"/>
      <c r="F75" s="377"/>
      <c r="G75" s="377"/>
      <c r="H75" s="377"/>
      <c r="I75" s="377"/>
      <c r="J75" s="377"/>
      <c r="K75" s="377"/>
      <c r="L75" s="377"/>
      <c r="M75" s="377"/>
      <c r="N75" s="377"/>
      <c r="O75" s="377"/>
      <c r="P75" s="377"/>
      <c r="Q75" s="377"/>
      <c r="R75" s="377"/>
      <c r="S75" s="377"/>
      <c r="T75" s="377"/>
      <c r="U75" s="377"/>
      <c r="V75" s="377"/>
      <c r="W75" s="377"/>
      <c r="X75" s="377"/>
      <c r="Y75" s="377"/>
      <c r="Z75" s="377"/>
      <c r="AA75" s="377"/>
      <c r="AB75" s="377"/>
      <c r="AC75" s="377"/>
      <c r="AD75" s="377"/>
      <c r="AE75" s="377"/>
      <c r="AF75" s="377"/>
      <c r="AG75" s="377"/>
    </row>
    <row r="76" ht="14.25" customHeight="1">
      <c r="A76" s="377"/>
      <c r="B76" s="377"/>
      <c r="C76" s="377"/>
      <c r="D76" s="377"/>
      <c r="E76" s="377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7"/>
      <c r="S76" s="377"/>
      <c r="T76" s="377"/>
      <c r="U76" s="377"/>
      <c r="V76" s="377"/>
      <c r="W76" s="377"/>
      <c r="X76" s="377"/>
      <c r="Y76" s="377"/>
      <c r="Z76" s="377"/>
      <c r="AA76" s="377"/>
      <c r="AB76" s="377"/>
      <c r="AC76" s="377"/>
      <c r="AD76" s="377"/>
      <c r="AE76" s="377"/>
      <c r="AF76" s="377"/>
      <c r="AG76" s="377"/>
    </row>
    <row r="77" ht="14.25" customHeight="1">
      <c r="A77" s="377"/>
      <c r="B77" s="377"/>
      <c r="C77" s="377"/>
      <c r="D77" s="377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377"/>
      <c r="R77" s="377"/>
      <c r="S77" s="377"/>
      <c r="T77" s="377"/>
      <c r="U77" s="377"/>
      <c r="V77" s="377"/>
      <c r="W77" s="377"/>
      <c r="X77" s="377"/>
      <c r="Y77" s="377"/>
      <c r="Z77" s="377"/>
      <c r="AA77" s="377"/>
      <c r="AB77" s="377"/>
      <c r="AC77" s="377"/>
      <c r="AD77" s="377"/>
      <c r="AE77" s="377"/>
      <c r="AF77" s="377"/>
      <c r="AG77" s="377"/>
    </row>
    <row r="78" ht="14.25" customHeight="1">
      <c r="A78" s="377"/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  <c r="Y78" s="377"/>
      <c r="Z78" s="377"/>
      <c r="AA78" s="377"/>
      <c r="AB78" s="377"/>
      <c r="AC78" s="377"/>
      <c r="AD78" s="377"/>
      <c r="AE78" s="377"/>
      <c r="AF78" s="377"/>
      <c r="AG78" s="377"/>
    </row>
    <row r="79" ht="14.25" customHeight="1">
      <c r="A79" s="377"/>
      <c r="B79" s="377"/>
      <c r="C79" s="377"/>
      <c r="D79" s="377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377"/>
      <c r="R79" s="377"/>
      <c r="S79" s="377"/>
      <c r="T79" s="377"/>
      <c r="U79" s="377"/>
      <c r="V79" s="377"/>
      <c r="W79" s="377"/>
      <c r="X79" s="377"/>
      <c r="Y79" s="377"/>
      <c r="Z79" s="377"/>
      <c r="AA79" s="377"/>
      <c r="AB79" s="377"/>
      <c r="AC79" s="377"/>
      <c r="AD79" s="377"/>
      <c r="AE79" s="377"/>
      <c r="AF79" s="377"/>
      <c r="AG79" s="377"/>
    </row>
    <row r="80" ht="14.25" customHeight="1">
      <c r="A80" s="377"/>
      <c r="B80" s="377"/>
      <c r="C80" s="377"/>
      <c r="D80" s="377"/>
      <c r="E80" s="377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77"/>
      <c r="R80" s="377"/>
      <c r="S80" s="377"/>
      <c r="T80" s="377"/>
      <c r="U80" s="377"/>
      <c r="V80" s="377"/>
      <c r="W80" s="377"/>
      <c r="X80" s="377"/>
      <c r="Y80" s="377"/>
      <c r="Z80" s="377"/>
      <c r="AA80" s="377"/>
      <c r="AB80" s="377"/>
      <c r="AC80" s="377"/>
      <c r="AD80" s="377"/>
      <c r="AE80" s="377"/>
      <c r="AF80" s="377"/>
      <c r="AG80" s="377"/>
    </row>
    <row r="81" ht="14.25" customHeight="1">
      <c r="A81" s="377"/>
      <c r="B81" s="377"/>
      <c r="C81" s="377"/>
      <c r="D81" s="377"/>
      <c r="E81" s="377"/>
      <c r="F81" s="377"/>
      <c r="G81" s="377"/>
      <c r="H81" s="377"/>
      <c r="I81" s="377"/>
      <c r="J81" s="377"/>
      <c r="K81" s="377"/>
      <c r="L81" s="377"/>
      <c r="M81" s="377"/>
      <c r="N81" s="377"/>
      <c r="O81" s="377"/>
      <c r="P81" s="377"/>
      <c r="Q81" s="377"/>
      <c r="R81" s="377"/>
      <c r="S81" s="377"/>
      <c r="T81" s="377"/>
      <c r="U81" s="377"/>
      <c r="V81" s="377"/>
      <c r="W81" s="377"/>
      <c r="X81" s="377"/>
      <c r="Y81" s="377"/>
      <c r="Z81" s="377"/>
      <c r="AA81" s="377"/>
      <c r="AB81" s="377"/>
      <c r="AC81" s="377"/>
      <c r="AD81" s="377"/>
      <c r="AE81" s="377"/>
      <c r="AF81" s="377"/>
      <c r="AG81" s="377"/>
    </row>
    <row r="82" ht="14.25" customHeight="1">
      <c r="A82" s="377"/>
      <c r="B82" s="377"/>
      <c r="C82" s="377"/>
      <c r="D82" s="377"/>
      <c r="E82" s="377"/>
      <c r="F82" s="377"/>
      <c r="G82" s="377"/>
      <c r="H82" s="377"/>
      <c r="I82" s="377"/>
      <c r="J82" s="377"/>
      <c r="K82" s="377"/>
      <c r="L82" s="377"/>
      <c r="M82" s="377"/>
      <c r="N82" s="377"/>
      <c r="O82" s="377"/>
      <c r="P82" s="377"/>
      <c r="Q82" s="377"/>
      <c r="R82" s="377"/>
      <c r="S82" s="377"/>
      <c r="T82" s="377"/>
      <c r="U82" s="377"/>
      <c r="V82" s="377"/>
      <c r="W82" s="377"/>
      <c r="X82" s="377"/>
      <c r="Y82" s="377"/>
      <c r="Z82" s="377"/>
      <c r="AA82" s="377"/>
      <c r="AB82" s="377"/>
      <c r="AC82" s="377"/>
      <c r="AD82" s="377"/>
      <c r="AE82" s="377"/>
      <c r="AF82" s="377"/>
      <c r="AG82" s="377"/>
    </row>
    <row r="83" ht="14.25" customHeight="1">
      <c r="A83" s="377"/>
      <c r="B83" s="377"/>
      <c r="C83" s="377"/>
      <c r="D83" s="377"/>
      <c r="E83" s="377"/>
      <c r="F83" s="377"/>
      <c r="G83" s="377"/>
      <c r="H83" s="377"/>
      <c r="I83" s="377"/>
      <c r="J83" s="377"/>
      <c r="K83" s="377"/>
      <c r="L83" s="377"/>
      <c r="M83" s="377"/>
      <c r="N83" s="377"/>
      <c r="O83" s="377"/>
      <c r="P83" s="377"/>
      <c r="Q83" s="377"/>
      <c r="R83" s="377"/>
      <c r="S83" s="377"/>
      <c r="T83" s="377"/>
      <c r="U83" s="377"/>
      <c r="V83" s="377"/>
      <c r="W83" s="377"/>
      <c r="X83" s="377"/>
      <c r="Y83" s="377"/>
      <c r="Z83" s="377"/>
      <c r="AA83" s="377"/>
      <c r="AB83" s="377"/>
      <c r="AC83" s="377"/>
      <c r="AD83" s="377"/>
      <c r="AE83" s="377"/>
      <c r="AF83" s="377"/>
      <c r="AG83" s="377"/>
    </row>
    <row r="84" ht="14.25" customHeight="1">
      <c r="A84" s="377"/>
      <c r="B84" s="377"/>
      <c r="C84" s="377"/>
      <c r="D84" s="377"/>
      <c r="E84" s="377"/>
      <c r="F84" s="377"/>
      <c r="G84" s="377"/>
      <c r="H84" s="377"/>
      <c r="I84" s="377"/>
      <c r="J84" s="377"/>
      <c r="K84" s="377"/>
      <c r="L84" s="377"/>
      <c r="M84" s="377"/>
      <c r="N84" s="377"/>
      <c r="O84" s="377"/>
      <c r="P84" s="377"/>
      <c r="Q84" s="377"/>
      <c r="R84" s="377"/>
      <c r="S84" s="377"/>
      <c r="T84" s="377"/>
      <c r="U84" s="377"/>
      <c r="V84" s="377"/>
      <c r="W84" s="377"/>
      <c r="X84" s="377"/>
      <c r="Y84" s="377"/>
      <c r="Z84" s="377"/>
      <c r="AA84" s="377"/>
      <c r="AB84" s="377"/>
      <c r="AC84" s="377"/>
      <c r="AD84" s="377"/>
      <c r="AE84" s="377"/>
      <c r="AF84" s="377"/>
      <c r="AG84" s="377"/>
    </row>
    <row r="85" ht="14.25" customHeight="1">
      <c r="A85" s="377"/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7"/>
      <c r="AA85" s="377"/>
      <c r="AB85" s="377"/>
      <c r="AC85" s="377"/>
      <c r="AD85" s="377"/>
      <c r="AE85" s="377"/>
      <c r="AF85" s="377"/>
      <c r="AG85" s="377"/>
    </row>
    <row r="86" ht="14.25" customHeight="1">
      <c r="A86" s="377"/>
      <c r="B86" s="377"/>
      <c r="C86" s="377"/>
      <c r="D86" s="377"/>
      <c r="E86" s="377"/>
      <c r="F86" s="377"/>
      <c r="G86" s="377"/>
      <c r="H86" s="377"/>
      <c r="I86" s="377"/>
      <c r="J86" s="377"/>
      <c r="K86" s="377"/>
      <c r="L86" s="377"/>
      <c r="M86" s="377"/>
      <c r="N86" s="377"/>
      <c r="O86" s="377"/>
      <c r="P86" s="377"/>
      <c r="Q86" s="377"/>
      <c r="R86" s="377"/>
      <c r="S86" s="377"/>
      <c r="T86" s="377"/>
      <c r="U86" s="377"/>
      <c r="V86" s="377"/>
      <c r="W86" s="377"/>
      <c r="X86" s="377"/>
      <c r="Y86" s="377"/>
      <c r="Z86" s="377"/>
      <c r="AA86" s="377"/>
      <c r="AB86" s="377"/>
      <c r="AC86" s="377"/>
      <c r="AD86" s="377"/>
      <c r="AE86" s="377"/>
      <c r="AF86" s="377"/>
      <c r="AG86" s="377"/>
    </row>
    <row r="87" ht="14.25" customHeight="1">
      <c r="A87" s="377"/>
      <c r="B87" s="377"/>
      <c r="C87" s="377"/>
      <c r="D87" s="377"/>
      <c r="E87" s="377"/>
      <c r="F87" s="377"/>
      <c r="G87" s="377"/>
      <c r="H87" s="377"/>
      <c r="I87" s="377"/>
      <c r="J87" s="377"/>
      <c r="K87" s="377"/>
      <c r="L87" s="377"/>
      <c r="M87" s="377"/>
      <c r="N87" s="377"/>
      <c r="O87" s="377"/>
      <c r="P87" s="377"/>
      <c r="Q87" s="377"/>
      <c r="R87" s="377"/>
      <c r="S87" s="377"/>
      <c r="T87" s="377"/>
      <c r="U87" s="377"/>
      <c r="V87" s="377"/>
      <c r="W87" s="377"/>
      <c r="X87" s="377"/>
      <c r="Y87" s="377"/>
      <c r="Z87" s="377"/>
      <c r="AA87" s="377"/>
      <c r="AB87" s="377"/>
      <c r="AC87" s="377"/>
      <c r="AD87" s="377"/>
      <c r="AE87" s="377"/>
      <c r="AF87" s="377"/>
      <c r="AG87" s="377"/>
    </row>
    <row r="88" ht="14.25" customHeight="1">
      <c r="A88" s="377"/>
      <c r="B88" s="377"/>
      <c r="C88" s="377"/>
      <c r="D88" s="377"/>
      <c r="E88" s="377"/>
      <c r="F88" s="377"/>
      <c r="G88" s="377"/>
      <c r="H88" s="377"/>
      <c r="I88" s="377"/>
      <c r="J88" s="377"/>
      <c r="K88" s="377"/>
      <c r="L88" s="377"/>
      <c r="M88" s="377"/>
      <c r="N88" s="377"/>
      <c r="O88" s="377"/>
      <c r="P88" s="377"/>
      <c r="Q88" s="377"/>
      <c r="R88" s="377"/>
      <c r="S88" s="377"/>
      <c r="T88" s="377"/>
      <c r="U88" s="377"/>
      <c r="V88" s="377"/>
      <c r="W88" s="377"/>
      <c r="X88" s="377"/>
      <c r="Y88" s="377"/>
      <c r="Z88" s="377"/>
      <c r="AA88" s="377"/>
      <c r="AB88" s="377"/>
      <c r="AC88" s="377"/>
      <c r="AD88" s="377"/>
      <c r="AE88" s="377"/>
      <c r="AF88" s="377"/>
      <c r="AG88" s="377"/>
    </row>
    <row r="89" ht="14.25" customHeight="1">
      <c r="A89" s="377"/>
      <c r="B89" s="377"/>
      <c r="C89" s="377"/>
      <c r="D89" s="377"/>
      <c r="E89" s="377"/>
      <c r="F89" s="377"/>
      <c r="G89" s="377"/>
      <c r="H89" s="377"/>
      <c r="I89" s="377"/>
      <c r="J89" s="377"/>
      <c r="K89" s="377"/>
      <c r="L89" s="377"/>
      <c r="M89" s="377"/>
      <c r="N89" s="377"/>
      <c r="O89" s="377"/>
      <c r="P89" s="377"/>
      <c r="Q89" s="377"/>
      <c r="R89" s="377"/>
      <c r="S89" s="377"/>
      <c r="T89" s="377"/>
      <c r="U89" s="377"/>
      <c r="V89" s="377"/>
      <c r="W89" s="377"/>
      <c r="X89" s="377"/>
      <c r="Y89" s="377"/>
      <c r="Z89" s="377"/>
      <c r="AA89" s="377"/>
      <c r="AB89" s="377"/>
      <c r="AC89" s="377"/>
      <c r="AD89" s="377"/>
      <c r="AE89" s="377"/>
      <c r="AF89" s="377"/>
      <c r="AG89" s="377"/>
    </row>
    <row r="90" ht="14.25" customHeight="1">
      <c r="A90" s="377"/>
      <c r="B90" s="377"/>
      <c r="C90" s="377"/>
      <c r="D90" s="377"/>
      <c r="E90" s="377"/>
      <c r="F90" s="377"/>
      <c r="G90" s="377"/>
      <c r="H90" s="377"/>
      <c r="I90" s="377"/>
      <c r="J90" s="377"/>
      <c r="K90" s="377"/>
      <c r="L90" s="377"/>
      <c r="M90" s="377"/>
      <c r="N90" s="377"/>
      <c r="O90" s="377"/>
      <c r="P90" s="377"/>
      <c r="Q90" s="377"/>
      <c r="R90" s="377"/>
      <c r="S90" s="377"/>
      <c r="T90" s="377"/>
      <c r="U90" s="377"/>
      <c r="V90" s="377"/>
      <c r="W90" s="377"/>
      <c r="X90" s="377"/>
      <c r="Y90" s="377"/>
      <c r="Z90" s="377"/>
      <c r="AA90" s="377"/>
      <c r="AB90" s="377"/>
      <c r="AC90" s="377"/>
      <c r="AD90" s="377"/>
      <c r="AE90" s="377"/>
      <c r="AF90" s="377"/>
      <c r="AG90" s="377"/>
    </row>
    <row r="91" ht="14.25" customHeight="1">
      <c r="A91" s="377"/>
      <c r="B91" s="377"/>
      <c r="C91" s="377"/>
      <c r="D91" s="377"/>
      <c r="E91" s="377"/>
      <c r="F91" s="377"/>
      <c r="G91" s="377"/>
      <c r="H91" s="377"/>
      <c r="I91" s="377"/>
      <c r="J91" s="377"/>
      <c r="K91" s="377"/>
      <c r="L91" s="377"/>
      <c r="M91" s="377"/>
      <c r="N91" s="377"/>
      <c r="O91" s="377"/>
      <c r="P91" s="377"/>
      <c r="Q91" s="377"/>
      <c r="R91" s="377"/>
      <c r="S91" s="377"/>
      <c r="T91" s="377"/>
      <c r="U91" s="377"/>
      <c r="V91" s="377"/>
      <c r="W91" s="377"/>
      <c r="X91" s="377"/>
      <c r="Y91" s="377"/>
      <c r="Z91" s="377"/>
      <c r="AA91" s="377"/>
      <c r="AB91" s="377"/>
      <c r="AC91" s="377"/>
      <c r="AD91" s="377"/>
      <c r="AE91" s="377"/>
      <c r="AF91" s="377"/>
      <c r="AG91" s="377"/>
    </row>
    <row r="92" ht="14.25" customHeight="1">
      <c r="A92" s="377"/>
      <c r="B92" s="377"/>
      <c r="C92" s="377"/>
      <c r="D92" s="377"/>
      <c r="E92" s="377"/>
      <c r="F92" s="377"/>
      <c r="G92" s="377"/>
      <c r="H92" s="377"/>
      <c r="I92" s="377"/>
      <c r="J92" s="377"/>
      <c r="K92" s="377"/>
      <c r="L92" s="377"/>
      <c r="M92" s="377"/>
      <c r="N92" s="377"/>
      <c r="O92" s="377"/>
      <c r="P92" s="377"/>
      <c r="Q92" s="377"/>
      <c r="R92" s="377"/>
      <c r="S92" s="377"/>
      <c r="T92" s="377"/>
      <c r="U92" s="377"/>
      <c r="V92" s="377"/>
      <c r="W92" s="377"/>
      <c r="X92" s="377"/>
      <c r="Y92" s="377"/>
      <c r="Z92" s="377"/>
      <c r="AA92" s="377"/>
      <c r="AB92" s="377"/>
      <c r="AC92" s="377"/>
      <c r="AD92" s="377"/>
      <c r="AE92" s="377"/>
      <c r="AF92" s="377"/>
      <c r="AG92" s="377"/>
    </row>
    <row r="93" ht="14.25" customHeight="1">
      <c r="A93" s="377"/>
      <c r="B93" s="377"/>
      <c r="C93" s="377"/>
      <c r="D93" s="377"/>
      <c r="E93" s="377"/>
      <c r="F93" s="377"/>
      <c r="G93" s="377"/>
      <c r="H93" s="377"/>
      <c r="I93" s="377"/>
      <c r="J93" s="377"/>
      <c r="K93" s="377"/>
      <c r="L93" s="377"/>
      <c r="M93" s="377"/>
      <c r="N93" s="377"/>
      <c r="O93" s="377"/>
      <c r="P93" s="377"/>
      <c r="Q93" s="377"/>
      <c r="R93" s="377"/>
      <c r="S93" s="377"/>
      <c r="T93" s="377"/>
      <c r="U93" s="377"/>
      <c r="V93" s="377"/>
      <c r="W93" s="377"/>
      <c r="X93" s="377"/>
      <c r="Y93" s="377"/>
      <c r="Z93" s="377"/>
      <c r="AA93" s="377"/>
      <c r="AB93" s="377"/>
      <c r="AC93" s="377"/>
      <c r="AD93" s="377"/>
      <c r="AE93" s="377"/>
      <c r="AF93" s="377"/>
      <c r="AG93" s="377"/>
    </row>
    <row r="94" ht="14.25" customHeight="1">
      <c r="A94" s="377"/>
      <c r="B94" s="377"/>
      <c r="C94" s="377"/>
      <c r="D94" s="377"/>
      <c r="E94" s="377"/>
      <c r="F94" s="377"/>
      <c r="G94" s="377"/>
      <c r="H94" s="377"/>
      <c r="I94" s="377"/>
      <c r="J94" s="377"/>
      <c r="K94" s="377"/>
      <c r="L94" s="377"/>
      <c r="M94" s="377"/>
      <c r="N94" s="377"/>
      <c r="O94" s="377"/>
      <c r="P94" s="377"/>
      <c r="Q94" s="377"/>
      <c r="R94" s="377"/>
      <c r="S94" s="377"/>
      <c r="T94" s="377"/>
      <c r="U94" s="377"/>
      <c r="V94" s="377"/>
      <c r="W94" s="377"/>
      <c r="X94" s="377"/>
      <c r="Y94" s="377"/>
      <c r="Z94" s="377"/>
      <c r="AA94" s="377"/>
      <c r="AB94" s="377"/>
      <c r="AC94" s="377"/>
      <c r="AD94" s="377"/>
      <c r="AE94" s="377"/>
      <c r="AF94" s="377"/>
      <c r="AG94" s="377"/>
    </row>
    <row r="95" ht="14.25" customHeight="1">
      <c r="A95" s="377"/>
      <c r="B95" s="377"/>
      <c r="C95" s="377"/>
      <c r="D95" s="377"/>
      <c r="E95" s="377"/>
      <c r="F95" s="377"/>
      <c r="G95" s="377"/>
      <c r="H95" s="377"/>
      <c r="I95" s="377"/>
      <c r="J95" s="377"/>
      <c r="K95" s="377"/>
      <c r="L95" s="377"/>
      <c r="M95" s="377"/>
      <c r="N95" s="377"/>
      <c r="O95" s="377"/>
      <c r="P95" s="377"/>
      <c r="Q95" s="377"/>
      <c r="R95" s="377"/>
      <c r="S95" s="377"/>
      <c r="T95" s="377"/>
      <c r="U95" s="377"/>
      <c r="V95" s="377"/>
      <c r="W95" s="377"/>
      <c r="X95" s="377"/>
      <c r="Y95" s="377"/>
      <c r="Z95" s="377"/>
      <c r="AA95" s="377"/>
      <c r="AB95" s="377"/>
      <c r="AC95" s="377"/>
      <c r="AD95" s="377"/>
      <c r="AE95" s="377"/>
      <c r="AF95" s="377"/>
      <c r="AG95" s="377"/>
    </row>
    <row r="96" ht="14.25" customHeight="1">
      <c r="A96" s="377"/>
      <c r="B96" s="377"/>
      <c r="C96" s="377"/>
      <c r="D96" s="377"/>
      <c r="E96" s="377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77"/>
      <c r="Y96" s="377"/>
      <c r="Z96" s="377"/>
      <c r="AA96" s="377"/>
      <c r="AB96" s="377"/>
      <c r="AC96" s="377"/>
      <c r="AD96" s="377"/>
      <c r="AE96" s="377"/>
      <c r="AF96" s="377"/>
      <c r="AG96" s="377"/>
    </row>
    <row r="97" ht="14.25" customHeight="1">
      <c r="A97" s="377"/>
      <c r="B97" s="377"/>
      <c r="C97" s="377"/>
      <c r="D97" s="377"/>
      <c r="E97" s="377"/>
      <c r="F97" s="377"/>
      <c r="G97" s="377"/>
      <c r="H97" s="377"/>
      <c r="I97" s="377"/>
      <c r="J97" s="377"/>
      <c r="K97" s="377"/>
      <c r="L97" s="377"/>
      <c r="M97" s="377"/>
      <c r="N97" s="377"/>
      <c r="O97" s="377"/>
      <c r="P97" s="377"/>
      <c r="Q97" s="377"/>
      <c r="R97" s="377"/>
      <c r="S97" s="377"/>
      <c r="T97" s="377"/>
      <c r="U97" s="377"/>
      <c r="V97" s="377"/>
      <c r="W97" s="377"/>
      <c r="X97" s="377"/>
      <c r="Y97" s="377"/>
      <c r="Z97" s="377"/>
      <c r="AA97" s="377"/>
      <c r="AB97" s="377"/>
      <c r="AC97" s="377"/>
      <c r="AD97" s="377"/>
      <c r="AE97" s="377"/>
      <c r="AF97" s="377"/>
      <c r="AG97" s="377"/>
    </row>
    <row r="98" ht="14.25" customHeight="1">
      <c r="A98" s="377"/>
      <c r="B98" s="377"/>
      <c r="C98" s="377"/>
      <c r="D98" s="377"/>
      <c r="E98" s="377"/>
      <c r="F98" s="377"/>
      <c r="G98" s="377"/>
      <c r="H98" s="377"/>
      <c r="I98" s="377"/>
      <c r="J98" s="377"/>
      <c r="K98" s="377"/>
      <c r="L98" s="377"/>
      <c r="M98" s="377"/>
      <c r="N98" s="377"/>
      <c r="O98" s="377"/>
      <c r="P98" s="377"/>
      <c r="Q98" s="377"/>
      <c r="R98" s="377"/>
      <c r="S98" s="377"/>
      <c r="T98" s="377"/>
      <c r="U98" s="377"/>
      <c r="V98" s="377"/>
      <c r="W98" s="377"/>
      <c r="X98" s="377"/>
      <c r="Y98" s="377"/>
      <c r="Z98" s="377"/>
      <c r="AA98" s="377"/>
      <c r="AB98" s="377"/>
      <c r="AC98" s="377"/>
      <c r="AD98" s="377"/>
      <c r="AE98" s="377"/>
      <c r="AF98" s="377"/>
      <c r="AG98" s="377"/>
    </row>
    <row r="99" ht="14.25" customHeight="1">
      <c r="A99" s="377"/>
      <c r="B99" s="377"/>
      <c r="C99" s="377"/>
      <c r="D99" s="377"/>
      <c r="E99" s="377"/>
      <c r="F99" s="377"/>
      <c r="G99" s="377"/>
      <c r="H99" s="377"/>
      <c r="I99" s="377"/>
      <c r="J99" s="377"/>
      <c r="K99" s="377"/>
      <c r="L99" s="377"/>
      <c r="M99" s="377"/>
      <c r="N99" s="377"/>
      <c r="O99" s="377"/>
      <c r="P99" s="377"/>
      <c r="Q99" s="377"/>
      <c r="R99" s="377"/>
      <c r="S99" s="377"/>
      <c r="T99" s="377"/>
      <c r="U99" s="377"/>
      <c r="V99" s="377"/>
      <c r="W99" s="377"/>
      <c r="X99" s="377"/>
      <c r="Y99" s="377"/>
      <c r="Z99" s="377"/>
      <c r="AA99" s="377"/>
      <c r="AB99" s="377"/>
      <c r="AC99" s="377"/>
      <c r="AD99" s="377"/>
      <c r="AE99" s="377"/>
      <c r="AF99" s="377"/>
      <c r="AG99" s="377"/>
    </row>
    <row r="100" ht="14.25" customHeight="1">
      <c r="A100" s="377"/>
      <c r="B100" s="377"/>
      <c r="C100" s="377"/>
      <c r="D100" s="377"/>
      <c r="E100" s="377"/>
      <c r="F100" s="377"/>
      <c r="G100" s="377"/>
      <c r="H100" s="377"/>
      <c r="I100" s="377"/>
      <c r="J100" s="377"/>
      <c r="K100" s="377"/>
      <c r="L100" s="377"/>
      <c r="M100" s="377"/>
      <c r="N100" s="377"/>
      <c r="O100" s="377"/>
      <c r="P100" s="377"/>
      <c r="Q100" s="377"/>
      <c r="R100" s="377"/>
      <c r="S100" s="377"/>
      <c r="T100" s="377"/>
      <c r="U100" s="377"/>
      <c r="V100" s="377"/>
      <c r="W100" s="377"/>
      <c r="X100" s="377"/>
      <c r="Y100" s="377"/>
      <c r="Z100" s="377"/>
      <c r="AA100" s="377"/>
      <c r="AB100" s="377"/>
      <c r="AC100" s="377"/>
      <c r="AD100" s="377"/>
      <c r="AE100" s="377"/>
      <c r="AF100" s="377"/>
      <c r="AG100" s="377"/>
    </row>
    <row r="101" ht="14.25" customHeight="1">
      <c r="A101" s="377"/>
      <c r="B101" s="377"/>
      <c r="C101" s="377"/>
      <c r="D101" s="377"/>
      <c r="E101" s="377"/>
      <c r="F101" s="377"/>
      <c r="G101" s="377"/>
      <c r="H101" s="377"/>
      <c r="I101" s="377"/>
      <c r="J101" s="377"/>
      <c r="K101" s="377"/>
      <c r="L101" s="377"/>
      <c r="M101" s="377"/>
      <c r="N101" s="377"/>
      <c r="O101" s="377"/>
      <c r="P101" s="377"/>
      <c r="Q101" s="377"/>
      <c r="R101" s="377"/>
      <c r="S101" s="377"/>
      <c r="T101" s="377"/>
      <c r="U101" s="377"/>
      <c r="V101" s="377"/>
      <c r="W101" s="377"/>
      <c r="X101" s="377"/>
      <c r="Y101" s="377"/>
      <c r="Z101" s="377"/>
      <c r="AA101" s="377"/>
      <c r="AB101" s="377"/>
      <c r="AC101" s="377"/>
      <c r="AD101" s="377"/>
      <c r="AE101" s="377"/>
      <c r="AF101" s="377"/>
      <c r="AG101" s="377"/>
    </row>
    <row r="102" ht="14.25" customHeight="1">
      <c r="A102" s="377"/>
      <c r="B102" s="377"/>
      <c r="C102" s="377"/>
      <c r="D102" s="377"/>
      <c r="E102" s="377"/>
      <c r="F102" s="377"/>
      <c r="G102" s="377"/>
      <c r="H102" s="377"/>
      <c r="I102" s="377"/>
      <c r="J102" s="377"/>
      <c r="K102" s="377"/>
      <c r="L102" s="377"/>
      <c r="M102" s="377"/>
      <c r="N102" s="377"/>
      <c r="O102" s="377"/>
      <c r="P102" s="377"/>
      <c r="Q102" s="377"/>
      <c r="R102" s="377"/>
      <c r="S102" s="377"/>
      <c r="T102" s="377"/>
      <c r="U102" s="377"/>
      <c r="V102" s="377"/>
      <c r="W102" s="377"/>
      <c r="X102" s="377"/>
      <c r="Y102" s="377"/>
      <c r="Z102" s="377"/>
      <c r="AA102" s="377"/>
      <c r="AB102" s="377"/>
      <c r="AC102" s="377"/>
      <c r="AD102" s="377"/>
      <c r="AE102" s="377"/>
      <c r="AF102" s="377"/>
      <c r="AG102" s="377"/>
    </row>
    <row r="103" ht="14.25" customHeight="1">
      <c r="A103" s="377"/>
      <c r="B103" s="377"/>
      <c r="C103" s="377"/>
      <c r="D103" s="377"/>
      <c r="E103" s="377"/>
      <c r="F103" s="377"/>
      <c r="G103" s="377"/>
      <c r="H103" s="377"/>
      <c r="I103" s="377"/>
      <c r="J103" s="377"/>
      <c r="K103" s="377"/>
      <c r="L103" s="377"/>
      <c r="M103" s="377"/>
      <c r="N103" s="377"/>
      <c r="O103" s="377"/>
      <c r="P103" s="377"/>
      <c r="Q103" s="377"/>
      <c r="R103" s="377"/>
      <c r="S103" s="377"/>
      <c r="T103" s="377"/>
      <c r="U103" s="377"/>
      <c r="V103" s="377"/>
      <c r="W103" s="377"/>
      <c r="X103" s="377"/>
      <c r="Y103" s="377"/>
      <c r="Z103" s="377"/>
      <c r="AA103" s="377"/>
      <c r="AB103" s="377"/>
      <c r="AC103" s="377"/>
      <c r="AD103" s="377"/>
      <c r="AE103" s="377"/>
      <c r="AF103" s="377"/>
      <c r="AG103" s="377"/>
    </row>
    <row r="104" ht="14.25" customHeight="1">
      <c r="A104" s="377"/>
      <c r="B104" s="377"/>
      <c r="C104" s="377"/>
      <c r="D104" s="377"/>
      <c r="E104" s="377"/>
      <c r="F104" s="377"/>
      <c r="G104" s="377"/>
      <c r="H104" s="377"/>
      <c r="I104" s="377"/>
      <c r="J104" s="377"/>
      <c r="K104" s="377"/>
      <c r="L104" s="377"/>
      <c r="M104" s="377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  <c r="AA104" s="377"/>
      <c r="AB104" s="377"/>
      <c r="AC104" s="377"/>
      <c r="AD104" s="377"/>
      <c r="AE104" s="377"/>
      <c r="AF104" s="377"/>
      <c r="AG104" s="377"/>
    </row>
    <row r="105" ht="14.25" customHeight="1">
      <c r="A105" s="377"/>
      <c r="B105" s="377"/>
      <c r="C105" s="377"/>
      <c r="D105" s="377"/>
      <c r="E105" s="377"/>
      <c r="F105" s="377"/>
      <c r="G105" s="377"/>
      <c r="H105" s="377"/>
      <c r="I105" s="377"/>
      <c r="J105" s="377"/>
      <c r="K105" s="377"/>
      <c r="L105" s="377"/>
      <c r="M105" s="377"/>
      <c r="N105" s="377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  <c r="AA105" s="377"/>
      <c r="AB105" s="377"/>
      <c r="AC105" s="377"/>
      <c r="AD105" s="377"/>
      <c r="AE105" s="377"/>
      <c r="AF105" s="377"/>
      <c r="AG105" s="377"/>
    </row>
    <row r="106" ht="14.25" customHeight="1">
      <c r="A106" s="377"/>
      <c r="B106" s="377"/>
      <c r="C106" s="377"/>
      <c r="D106" s="377"/>
      <c r="E106" s="377"/>
      <c r="F106" s="377"/>
      <c r="G106" s="377"/>
      <c r="H106" s="377"/>
      <c r="I106" s="377"/>
      <c r="J106" s="377"/>
      <c r="K106" s="377"/>
      <c r="L106" s="377"/>
      <c r="M106" s="377"/>
      <c r="N106" s="377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  <c r="AA106" s="377"/>
      <c r="AB106" s="377"/>
      <c r="AC106" s="377"/>
      <c r="AD106" s="377"/>
      <c r="AE106" s="377"/>
      <c r="AF106" s="377"/>
      <c r="AG106" s="377"/>
    </row>
    <row r="107" ht="14.25" customHeight="1">
      <c r="A107" s="377"/>
      <c r="B107" s="377"/>
      <c r="C107" s="377"/>
      <c r="D107" s="377"/>
      <c r="E107" s="377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  <c r="AA107" s="377"/>
      <c r="AB107" s="377"/>
      <c r="AC107" s="377"/>
      <c r="AD107" s="377"/>
      <c r="AE107" s="377"/>
      <c r="AF107" s="377"/>
      <c r="AG107" s="377"/>
    </row>
    <row r="108" ht="14.25" customHeight="1">
      <c r="A108" s="377"/>
      <c r="B108" s="377"/>
      <c r="C108" s="377"/>
      <c r="D108" s="377"/>
      <c r="E108" s="377"/>
      <c r="F108" s="377"/>
      <c r="G108" s="377"/>
      <c r="H108" s="377"/>
      <c r="I108" s="377"/>
      <c r="J108" s="377"/>
      <c r="K108" s="377"/>
      <c r="L108" s="377"/>
      <c r="M108" s="377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  <c r="AA108" s="377"/>
      <c r="AB108" s="377"/>
      <c r="AC108" s="377"/>
      <c r="AD108" s="377"/>
      <c r="AE108" s="377"/>
      <c r="AF108" s="377"/>
      <c r="AG108" s="377"/>
    </row>
    <row r="109" ht="14.25" customHeight="1">
      <c r="A109" s="377"/>
      <c r="B109" s="377"/>
      <c r="C109" s="377"/>
      <c r="D109" s="377"/>
      <c r="E109" s="377"/>
      <c r="F109" s="377"/>
      <c r="G109" s="377"/>
      <c r="H109" s="377"/>
      <c r="I109" s="377"/>
      <c r="J109" s="377"/>
      <c r="K109" s="377"/>
      <c r="L109" s="377"/>
      <c r="M109" s="377"/>
      <c r="N109" s="377"/>
      <c r="O109" s="377"/>
      <c r="P109" s="377"/>
      <c r="Q109" s="377"/>
      <c r="R109" s="377"/>
      <c r="S109" s="377"/>
      <c r="T109" s="377"/>
      <c r="U109" s="377"/>
      <c r="V109" s="377"/>
      <c r="W109" s="377"/>
      <c r="X109" s="377"/>
      <c r="Y109" s="377"/>
      <c r="Z109" s="377"/>
      <c r="AA109" s="377"/>
      <c r="AB109" s="377"/>
      <c r="AC109" s="377"/>
      <c r="AD109" s="377"/>
      <c r="AE109" s="377"/>
      <c r="AF109" s="377"/>
      <c r="AG109" s="377"/>
    </row>
    <row r="110" ht="14.25" customHeight="1">
      <c r="A110" s="377"/>
      <c r="B110" s="377"/>
      <c r="C110" s="377"/>
      <c r="D110" s="377"/>
      <c r="E110" s="377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  <c r="AA110" s="377"/>
      <c r="AB110" s="377"/>
      <c r="AC110" s="377"/>
      <c r="AD110" s="377"/>
      <c r="AE110" s="377"/>
      <c r="AF110" s="377"/>
      <c r="AG110" s="377"/>
    </row>
    <row r="111" ht="14.25" customHeight="1">
      <c r="A111" s="377"/>
      <c r="B111" s="377"/>
      <c r="C111" s="377"/>
      <c r="D111" s="377"/>
      <c r="E111" s="377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  <c r="AA111" s="377"/>
      <c r="AB111" s="377"/>
      <c r="AC111" s="377"/>
      <c r="AD111" s="377"/>
      <c r="AE111" s="377"/>
      <c r="AF111" s="377"/>
      <c r="AG111" s="377"/>
    </row>
    <row r="112" ht="14.25" customHeight="1">
      <c r="A112" s="377"/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  <c r="AA112" s="377"/>
      <c r="AB112" s="377"/>
      <c r="AC112" s="377"/>
      <c r="AD112" s="377"/>
      <c r="AE112" s="377"/>
      <c r="AF112" s="377"/>
      <c r="AG112" s="377"/>
    </row>
    <row r="113" ht="14.25" customHeight="1">
      <c r="A113" s="377"/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  <c r="AA113" s="377"/>
      <c r="AB113" s="377"/>
      <c r="AC113" s="377"/>
      <c r="AD113" s="377"/>
      <c r="AE113" s="377"/>
      <c r="AF113" s="377"/>
      <c r="AG113" s="377"/>
    </row>
    <row r="114" ht="14.25" customHeight="1">
      <c r="A114" s="377"/>
      <c r="B114" s="377"/>
      <c r="C114" s="377"/>
      <c r="D114" s="377"/>
      <c r="E114" s="377"/>
      <c r="F114" s="377"/>
      <c r="G114" s="377"/>
      <c r="H114" s="377"/>
      <c r="I114" s="377"/>
      <c r="J114" s="377"/>
      <c r="K114" s="377"/>
      <c r="L114" s="377"/>
      <c r="M114" s="377"/>
      <c r="N114" s="377"/>
      <c r="O114" s="377"/>
      <c r="P114" s="377"/>
      <c r="Q114" s="377"/>
      <c r="R114" s="377"/>
      <c r="S114" s="377"/>
      <c r="T114" s="377"/>
      <c r="U114" s="377"/>
      <c r="V114" s="377"/>
      <c r="W114" s="377"/>
      <c r="X114" s="377"/>
      <c r="Y114" s="377"/>
      <c r="Z114" s="377"/>
      <c r="AA114" s="377"/>
      <c r="AB114" s="377"/>
      <c r="AC114" s="377"/>
      <c r="AD114" s="377"/>
      <c r="AE114" s="377"/>
      <c r="AF114" s="377"/>
      <c r="AG114" s="377"/>
    </row>
    <row r="115" ht="14.25" customHeight="1">
      <c r="A115" s="377"/>
      <c r="B115" s="377"/>
      <c r="C115" s="377"/>
      <c r="D115" s="377"/>
      <c r="E115" s="377"/>
      <c r="F115" s="377"/>
      <c r="G115" s="377"/>
      <c r="H115" s="377"/>
      <c r="I115" s="377"/>
      <c r="J115" s="377"/>
      <c r="K115" s="377"/>
      <c r="L115" s="377"/>
      <c r="M115" s="377"/>
      <c r="N115" s="377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377"/>
      <c r="AA115" s="377"/>
      <c r="AB115" s="377"/>
      <c r="AC115" s="377"/>
      <c r="AD115" s="377"/>
      <c r="AE115" s="377"/>
      <c r="AF115" s="377"/>
      <c r="AG115" s="377"/>
    </row>
    <row r="116" ht="14.25" customHeight="1">
      <c r="A116" s="377"/>
      <c r="B116" s="377"/>
      <c r="C116" s="377"/>
      <c r="D116" s="377"/>
      <c r="E116" s="377"/>
      <c r="F116" s="377"/>
      <c r="G116" s="377"/>
      <c r="H116" s="377"/>
      <c r="I116" s="377"/>
      <c r="J116" s="377"/>
      <c r="K116" s="377"/>
      <c r="L116" s="377"/>
      <c r="M116" s="377"/>
      <c r="N116" s="377"/>
      <c r="O116" s="377"/>
      <c r="P116" s="377"/>
      <c r="Q116" s="377"/>
      <c r="R116" s="377"/>
      <c r="S116" s="377"/>
      <c r="T116" s="377"/>
      <c r="U116" s="377"/>
      <c r="V116" s="377"/>
      <c r="W116" s="377"/>
      <c r="X116" s="377"/>
      <c r="Y116" s="377"/>
      <c r="Z116" s="377"/>
      <c r="AA116" s="377"/>
      <c r="AB116" s="377"/>
      <c r="AC116" s="377"/>
      <c r="AD116" s="377"/>
      <c r="AE116" s="377"/>
      <c r="AF116" s="377"/>
      <c r="AG116" s="377"/>
    </row>
    <row r="117" ht="14.25" customHeight="1">
      <c r="A117" s="377"/>
      <c r="B117" s="377"/>
      <c r="C117" s="377"/>
      <c r="D117" s="377"/>
      <c r="E117" s="377"/>
      <c r="F117" s="377"/>
      <c r="G117" s="377"/>
      <c r="H117" s="377"/>
      <c r="I117" s="377"/>
      <c r="J117" s="377"/>
      <c r="K117" s="377"/>
      <c r="L117" s="377"/>
      <c r="M117" s="377"/>
      <c r="N117" s="377"/>
      <c r="O117" s="377"/>
      <c r="P117" s="377"/>
      <c r="Q117" s="377"/>
      <c r="R117" s="377"/>
      <c r="S117" s="377"/>
      <c r="T117" s="377"/>
      <c r="U117" s="377"/>
      <c r="V117" s="377"/>
      <c r="W117" s="377"/>
      <c r="X117" s="377"/>
      <c r="Y117" s="377"/>
      <c r="Z117" s="377"/>
      <c r="AA117" s="377"/>
      <c r="AB117" s="377"/>
      <c r="AC117" s="377"/>
      <c r="AD117" s="377"/>
      <c r="AE117" s="377"/>
      <c r="AF117" s="377"/>
      <c r="AG117" s="377"/>
    </row>
    <row r="118" ht="14.25" customHeight="1">
      <c r="A118" s="377"/>
      <c r="B118" s="377"/>
      <c r="C118" s="377"/>
      <c r="D118" s="377"/>
      <c r="E118" s="377"/>
      <c r="F118" s="377"/>
      <c r="G118" s="377"/>
      <c r="H118" s="377"/>
      <c r="I118" s="377"/>
      <c r="J118" s="377"/>
      <c r="K118" s="377"/>
      <c r="L118" s="377"/>
      <c r="M118" s="377"/>
      <c r="N118" s="377"/>
      <c r="O118" s="377"/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  <c r="AA118" s="377"/>
      <c r="AB118" s="377"/>
      <c r="AC118" s="377"/>
      <c r="AD118" s="377"/>
      <c r="AE118" s="377"/>
      <c r="AF118" s="377"/>
      <c r="AG118" s="377"/>
    </row>
    <row r="119" ht="14.25" customHeight="1">
      <c r="A119" s="377"/>
      <c r="B119" s="377"/>
      <c r="C119" s="377"/>
      <c r="D119" s="377"/>
      <c r="E119" s="377"/>
      <c r="F119" s="377"/>
      <c r="G119" s="377"/>
      <c r="H119" s="377"/>
      <c r="I119" s="377"/>
      <c r="J119" s="377"/>
      <c r="K119" s="377"/>
      <c r="L119" s="377"/>
      <c r="M119" s="377"/>
      <c r="N119" s="377"/>
      <c r="O119" s="377"/>
      <c r="P119" s="377"/>
      <c r="Q119" s="377"/>
      <c r="R119" s="377"/>
      <c r="S119" s="377"/>
      <c r="T119" s="377"/>
      <c r="U119" s="377"/>
      <c r="V119" s="377"/>
      <c r="W119" s="377"/>
      <c r="X119" s="377"/>
      <c r="Y119" s="377"/>
      <c r="Z119" s="377"/>
      <c r="AA119" s="377"/>
      <c r="AB119" s="377"/>
      <c r="AC119" s="377"/>
      <c r="AD119" s="377"/>
      <c r="AE119" s="377"/>
      <c r="AF119" s="377"/>
      <c r="AG119" s="377"/>
    </row>
    <row r="120" ht="14.25" customHeight="1">
      <c r="A120" s="377"/>
      <c r="B120" s="377"/>
      <c r="C120" s="377"/>
      <c r="D120" s="377"/>
      <c r="E120" s="377"/>
      <c r="F120" s="377"/>
      <c r="G120" s="377"/>
      <c r="H120" s="377"/>
      <c r="I120" s="377"/>
      <c r="J120" s="377"/>
      <c r="K120" s="377"/>
      <c r="L120" s="377"/>
      <c r="M120" s="377"/>
      <c r="N120" s="377"/>
      <c r="O120" s="377"/>
      <c r="P120" s="377"/>
      <c r="Q120" s="377"/>
      <c r="R120" s="377"/>
      <c r="S120" s="377"/>
      <c r="T120" s="377"/>
      <c r="U120" s="377"/>
      <c r="V120" s="377"/>
      <c r="W120" s="377"/>
      <c r="X120" s="377"/>
      <c r="Y120" s="377"/>
      <c r="Z120" s="377"/>
      <c r="AA120" s="377"/>
      <c r="AB120" s="377"/>
      <c r="AC120" s="377"/>
      <c r="AD120" s="377"/>
      <c r="AE120" s="377"/>
      <c r="AF120" s="377"/>
      <c r="AG120" s="377"/>
    </row>
    <row r="121" ht="14.25" customHeight="1">
      <c r="A121" s="377"/>
      <c r="B121" s="377"/>
      <c r="C121" s="377"/>
      <c r="D121" s="377"/>
      <c r="E121" s="377"/>
      <c r="F121" s="377"/>
      <c r="G121" s="377"/>
      <c r="H121" s="377"/>
      <c r="I121" s="377"/>
      <c r="J121" s="377"/>
      <c r="K121" s="377"/>
      <c r="L121" s="377"/>
      <c r="M121" s="377"/>
      <c r="N121" s="377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  <c r="AA121" s="377"/>
      <c r="AB121" s="377"/>
      <c r="AC121" s="377"/>
      <c r="AD121" s="377"/>
      <c r="AE121" s="377"/>
      <c r="AF121" s="377"/>
      <c r="AG121" s="377"/>
    </row>
    <row r="122" ht="14.25" customHeight="1">
      <c r="A122" s="377"/>
      <c r="B122" s="377"/>
      <c r="C122" s="377"/>
      <c r="D122" s="377"/>
      <c r="E122" s="377"/>
      <c r="F122" s="377"/>
      <c r="G122" s="377"/>
      <c r="H122" s="377"/>
      <c r="I122" s="377"/>
      <c r="J122" s="377"/>
      <c r="K122" s="377"/>
      <c r="L122" s="377"/>
      <c r="M122" s="377"/>
      <c r="N122" s="377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  <c r="AA122" s="377"/>
      <c r="AB122" s="377"/>
      <c r="AC122" s="377"/>
      <c r="AD122" s="377"/>
      <c r="AE122" s="377"/>
      <c r="AF122" s="377"/>
      <c r="AG122" s="377"/>
    </row>
    <row r="123" ht="14.25" customHeight="1">
      <c r="A123" s="377"/>
      <c r="B123" s="377"/>
      <c r="C123" s="377"/>
      <c r="D123" s="377"/>
      <c r="E123" s="377"/>
      <c r="F123" s="377"/>
      <c r="G123" s="377"/>
      <c r="H123" s="377"/>
      <c r="I123" s="377"/>
      <c r="J123" s="377"/>
      <c r="K123" s="377"/>
      <c r="L123" s="377"/>
      <c r="M123" s="377"/>
      <c r="N123" s="377"/>
      <c r="O123" s="377"/>
      <c r="P123" s="377"/>
      <c r="Q123" s="377"/>
      <c r="R123" s="377"/>
      <c r="S123" s="377"/>
      <c r="T123" s="377"/>
      <c r="U123" s="377"/>
      <c r="V123" s="377"/>
      <c r="W123" s="377"/>
      <c r="X123" s="377"/>
      <c r="Y123" s="377"/>
      <c r="Z123" s="377"/>
      <c r="AA123" s="377"/>
      <c r="AB123" s="377"/>
      <c r="AC123" s="377"/>
      <c r="AD123" s="377"/>
      <c r="AE123" s="377"/>
      <c r="AF123" s="377"/>
      <c r="AG123" s="377"/>
    </row>
    <row r="124" ht="14.25" customHeight="1">
      <c r="A124" s="377"/>
      <c r="B124" s="377"/>
      <c r="C124" s="377"/>
      <c r="D124" s="377"/>
      <c r="E124" s="377"/>
      <c r="F124" s="377"/>
      <c r="G124" s="377"/>
      <c r="H124" s="377"/>
      <c r="I124" s="377"/>
      <c r="J124" s="377"/>
      <c r="K124" s="377"/>
      <c r="L124" s="377"/>
      <c r="M124" s="377"/>
      <c r="N124" s="377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  <c r="AA124" s="377"/>
      <c r="AB124" s="377"/>
      <c r="AC124" s="377"/>
      <c r="AD124" s="377"/>
      <c r="AE124" s="377"/>
      <c r="AF124" s="377"/>
      <c r="AG124" s="377"/>
    </row>
    <row r="125" ht="14.25" customHeight="1">
      <c r="A125" s="377"/>
      <c r="B125" s="377"/>
      <c r="C125" s="377"/>
      <c r="D125" s="377"/>
      <c r="E125" s="377"/>
      <c r="F125" s="377"/>
      <c r="G125" s="377"/>
      <c r="H125" s="377"/>
      <c r="I125" s="377"/>
      <c r="J125" s="377"/>
      <c r="K125" s="377"/>
      <c r="L125" s="377"/>
      <c r="M125" s="377"/>
      <c r="N125" s="377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  <c r="AA125" s="377"/>
      <c r="AB125" s="377"/>
      <c r="AC125" s="377"/>
      <c r="AD125" s="377"/>
      <c r="AE125" s="377"/>
      <c r="AF125" s="377"/>
      <c r="AG125" s="377"/>
    </row>
    <row r="126" ht="14.25" customHeight="1">
      <c r="A126" s="377"/>
      <c r="B126" s="377"/>
      <c r="C126" s="377"/>
      <c r="D126" s="377"/>
      <c r="E126" s="377"/>
      <c r="F126" s="377"/>
      <c r="G126" s="377"/>
      <c r="H126" s="377"/>
      <c r="I126" s="377"/>
      <c r="J126" s="377"/>
      <c r="K126" s="377"/>
      <c r="L126" s="377"/>
      <c r="M126" s="377"/>
      <c r="N126" s="377"/>
      <c r="O126" s="377"/>
      <c r="P126" s="377"/>
      <c r="Q126" s="377"/>
      <c r="R126" s="377"/>
      <c r="S126" s="377"/>
      <c r="T126" s="377"/>
      <c r="U126" s="377"/>
      <c r="V126" s="377"/>
      <c r="W126" s="377"/>
      <c r="X126" s="377"/>
      <c r="Y126" s="377"/>
      <c r="Z126" s="377"/>
      <c r="AA126" s="377"/>
      <c r="AB126" s="377"/>
      <c r="AC126" s="377"/>
      <c r="AD126" s="377"/>
      <c r="AE126" s="377"/>
      <c r="AF126" s="377"/>
      <c r="AG126" s="377"/>
    </row>
    <row r="127" ht="14.25" customHeight="1">
      <c r="A127" s="377"/>
      <c r="B127" s="377"/>
      <c r="C127" s="377"/>
      <c r="D127" s="377"/>
      <c r="E127" s="377"/>
      <c r="F127" s="377"/>
      <c r="G127" s="377"/>
      <c r="H127" s="377"/>
      <c r="I127" s="377"/>
      <c r="J127" s="377"/>
      <c r="K127" s="377"/>
      <c r="L127" s="377"/>
      <c r="M127" s="377"/>
      <c r="N127" s="377"/>
      <c r="O127" s="377"/>
      <c r="P127" s="377"/>
      <c r="Q127" s="377"/>
      <c r="R127" s="377"/>
      <c r="S127" s="377"/>
      <c r="T127" s="377"/>
      <c r="U127" s="377"/>
      <c r="V127" s="377"/>
      <c r="W127" s="377"/>
      <c r="X127" s="377"/>
      <c r="Y127" s="377"/>
      <c r="Z127" s="377"/>
      <c r="AA127" s="377"/>
      <c r="AB127" s="377"/>
      <c r="AC127" s="377"/>
      <c r="AD127" s="377"/>
      <c r="AE127" s="377"/>
      <c r="AF127" s="377"/>
      <c r="AG127" s="377"/>
    </row>
    <row r="128" ht="14.25" customHeight="1">
      <c r="A128" s="377"/>
      <c r="B128" s="377"/>
      <c r="C128" s="377"/>
      <c r="D128" s="377"/>
      <c r="E128" s="377"/>
      <c r="F128" s="377"/>
      <c r="G128" s="377"/>
      <c r="H128" s="377"/>
      <c r="I128" s="377"/>
      <c r="J128" s="377"/>
      <c r="K128" s="377"/>
      <c r="L128" s="377"/>
      <c r="M128" s="377"/>
      <c r="N128" s="377"/>
      <c r="O128" s="377"/>
      <c r="P128" s="377"/>
      <c r="Q128" s="377"/>
      <c r="R128" s="377"/>
      <c r="S128" s="377"/>
      <c r="T128" s="377"/>
      <c r="U128" s="377"/>
      <c r="V128" s="377"/>
      <c r="W128" s="377"/>
      <c r="X128" s="377"/>
      <c r="Y128" s="377"/>
      <c r="Z128" s="377"/>
      <c r="AA128" s="377"/>
      <c r="AB128" s="377"/>
      <c r="AC128" s="377"/>
      <c r="AD128" s="377"/>
      <c r="AE128" s="377"/>
      <c r="AF128" s="377"/>
      <c r="AG128" s="377"/>
    </row>
    <row r="129" ht="14.25" customHeight="1">
      <c r="A129" s="377"/>
      <c r="B129" s="377"/>
      <c r="C129" s="377"/>
      <c r="D129" s="377"/>
      <c r="E129" s="377"/>
      <c r="F129" s="377"/>
      <c r="G129" s="377"/>
      <c r="H129" s="377"/>
      <c r="I129" s="377"/>
      <c r="J129" s="377"/>
      <c r="K129" s="377"/>
      <c r="L129" s="377"/>
      <c r="M129" s="377"/>
      <c r="N129" s="377"/>
      <c r="O129" s="377"/>
      <c r="P129" s="377"/>
      <c r="Q129" s="377"/>
      <c r="R129" s="377"/>
      <c r="S129" s="377"/>
      <c r="T129" s="377"/>
      <c r="U129" s="377"/>
      <c r="V129" s="377"/>
      <c r="W129" s="377"/>
      <c r="X129" s="377"/>
      <c r="Y129" s="377"/>
      <c r="Z129" s="377"/>
      <c r="AA129" s="377"/>
      <c r="AB129" s="377"/>
      <c r="AC129" s="377"/>
      <c r="AD129" s="377"/>
      <c r="AE129" s="377"/>
      <c r="AF129" s="377"/>
      <c r="AG129" s="377"/>
    </row>
    <row r="130" ht="14.25" customHeight="1">
      <c r="A130" s="377"/>
      <c r="B130" s="377"/>
      <c r="C130" s="377"/>
      <c r="D130" s="377"/>
      <c r="E130" s="377"/>
      <c r="F130" s="377"/>
      <c r="G130" s="377"/>
      <c r="H130" s="377"/>
      <c r="I130" s="377"/>
      <c r="J130" s="377"/>
      <c r="K130" s="377"/>
      <c r="L130" s="377"/>
      <c r="M130" s="377"/>
      <c r="N130" s="377"/>
      <c r="O130" s="377"/>
      <c r="P130" s="377"/>
      <c r="Q130" s="377"/>
      <c r="R130" s="377"/>
      <c r="S130" s="377"/>
      <c r="T130" s="377"/>
      <c r="U130" s="377"/>
      <c r="V130" s="377"/>
      <c r="W130" s="377"/>
      <c r="X130" s="377"/>
      <c r="Y130" s="377"/>
      <c r="Z130" s="377"/>
      <c r="AA130" s="377"/>
      <c r="AB130" s="377"/>
      <c r="AC130" s="377"/>
      <c r="AD130" s="377"/>
      <c r="AE130" s="377"/>
      <c r="AF130" s="377"/>
      <c r="AG130" s="377"/>
    </row>
    <row r="131" ht="14.25" customHeight="1">
      <c r="A131" s="377"/>
      <c r="B131" s="377"/>
      <c r="C131" s="377"/>
      <c r="D131" s="377"/>
      <c r="E131" s="377"/>
      <c r="F131" s="377"/>
      <c r="G131" s="377"/>
      <c r="H131" s="377"/>
      <c r="I131" s="377"/>
      <c r="J131" s="377"/>
      <c r="K131" s="377"/>
      <c r="L131" s="377"/>
      <c r="M131" s="377"/>
      <c r="N131" s="377"/>
      <c r="O131" s="377"/>
      <c r="P131" s="377"/>
      <c r="Q131" s="377"/>
      <c r="R131" s="377"/>
      <c r="S131" s="377"/>
      <c r="T131" s="377"/>
      <c r="U131" s="377"/>
      <c r="V131" s="377"/>
      <c r="W131" s="377"/>
      <c r="X131" s="377"/>
      <c r="Y131" s="377"/>
      <c r="Z131" s="377"/>
      <c r="AA131" s="377"/>
      <c r="AB131" s="377"/>
      <c r="AC131" s="377"/>
      <c r="AD131" s="377"/>
      <c r="AE131" s="377"/>
      <c r="AF131" s="377"/>
      <c r="AG131" s="377"/>
    </row>
    <row r="132" ht="14.25" customHeight="1">
      <c r="A132" s="377"/>
      <c r="B132" s="377"/>
      <c r="C132" s="377"/>
      <c r="D132" s="377"/>
      <c r="E132" s="377"/>
      <c r="F132" s="377"/>
      <c r="G132" s="377"/>
      <c r="H132" s="377"/>
      <c r="I132" s="377"/>
      <c r="J132" s="377"/>
      <c r="K132" s="377"/>
      <c r="L132" s="377"/>
      <c r="M132" s="377"/>
      <c r="N132" s="377"/>
      <c r="O132" s="377"/>
      <c r="P132" s="377"/>
      <c r="Q132" s="377"/>
      <c r="R132" s="377"/>
      <c r="S132" s="377"/>
      <c r="T132" s="377"/>
      <c r="U132" s="377"/>
      <c r="V132" s="377"/>
      <c r="W132" s="377"/>
      <c r="X132" s="377"/>
      <c r="Y132" s="377"/>
      <c r="Z132" s="377"/>
      <c r="AA132" s="377"/>
      <c r="AB132" s="377"/>
      <c r="AC132" s="377"/>
      <c r="AD132" s="377"/>
      <c r="AE132" s="377"/>
      <c r="AF132" s="377"/>
      <c r="AG132" s="377"/>
    </row>
    <row r="133" ht="14.25" customHeight="1">
      <c r="A133" s="377"/>
      <c r="B133" s="377"/>
      <c r="C133" s="377"/>
      <c r="D133" s="377"/>
      <c r="E133" s="377"/>
      <c r="F133" s="377"/>
      <c r="G133" s="377"/>
      <c r="H133" s="377"/>
      <c r="I133" s="377"/>
      <c r="J133" s="377"/>
      <c r="K133" s="377"/>
      <c r="L133" s="377"/>
      <c r="M133" s="377"/>
      <c r="N133" s="377"/>
      <c r="O133" s="377"/>
      <c r="P133" s="377"/>
      <c r="Q133" s="377"/>
      <c r="R133" s="377"/>
      <c r="S133" s="377"/>
      <c r="T133" s="377"/>
      <c r="U133" s="377"/>
      <c r="V133" s="377"/>
      <c r="W133" s="377"/>
      <c r="X133" s="377"/>
      <c r="Y133" s="377"/>
      <c r="Z133" s="377"/>
      <c r="AA133" s="377"/>
      <c r="AB133" s="377"/>
      <c r="AC133" s="377"/>
      <c r="AD133" s="377"/>
      <c r="AE133" s="377"/>
      <c r="AF133" s="377"/>
      <c r="AG133" s="377"/>
    </row>
    <row r="134" ht="14.25" customHeight="1">
      <c r="A134" s="377"/>
      <c r="B134" s="377"/>
      <c r="C134" s="377"/>
      <c r="D134" s="377"/>
      <c r="E134" s="377"/>
      <c r="F134" s="377"/>
      <c r="G134" s="377"/>
      <c r="H134" s="377"/>
      <c r="I134" s="377"/>
      <c r="J134" s="377"/>
      <c r="K134" s="377"/>
      <c r="L134" s="377"/>
      <c r="M134" s="377"/>
      <c r="N134" s="377"/>
      <c r="O134" s="377"/>
      <c r="P134" s="377"/>
      <c r="Q134" s="377"/>
      <c r="R134" s="377"/>
      <c r="S134" s="377"/>
      <c r="T134" s="377"/>
      <c r="U134" s="377"/>
      <c r="V134" s="377"/>
      <c r="W134" s="377"/>
      <c r="X134" s="377"/>
      <c r="Y134" s="377"/>
      <c r="Z134" s="377"/>
      <c r="AA134" s="377"/>
      <c r="AB134" s="377"/>
      <c r="AC134" s="377"/>
      <c r="AD134" s="377"/>
      <c r="AE134" s="377"/>
      <c r="AF134" s="377"/>
      <c r="AG134" s="377"/>
    </row>
    <row r="135" ht="14.25" customHeight="1">
      <c r="A135" s="377"/>
      <c r="B135" s="377"/>
      <c r="C135" s="377"/>
      <c r="D135" s="377"/>
      <c r="E135" s="377"/>
      <c r="F135" s="377"/>
      <c r="G135" s="377"/>
      <c r="H135" s="377"/>
      <c r="I135" s="377"/>
      <c r="J135" s="377"/>
      <c r="K135" s="377"/>
      <c r="L135" s="377"/>
      <c r="M135" s="377"/>
      <c r="N135" s="377"/>
      <c r="O135" s="377"/>
      <c r="P135" s="377"/>
      <c r="Q135" s="377"/>
      <c r="R135" s="377"/>
      <c r="S135" s="377"/>
      <c r="T135" s="377"/>
      <c r="U135" s="377"/>
      <c r="V135" s="377"/>
      <c r="W135" s="377"/>
      <c r="X135" s="377"/>
      <c r="Y135" s="377"/>
      <c r="Z135" s="377"/>
      <c r="AA135" s="377"/>
      <c r="AB135" s="377"/>
      <c r="AC135" s="377"/>
      <c r="AD135" s="377"/>
      <c r="AE135" s="377"/>
      <c r="AF135" s="377"/>
      <c r="AG135" s="377"/>
    </row>
    <row r="136" ht="14.25" customHeight="1">
      <c r="A136" s="377"/>
      <c r="B136" s="377"/>
      <c r="C136" s="377"/>
      <c r="D136" s="377"/>
      <c r="E136" s="377"/>
      <c r="F136" s="377"/>
      <c r="G136" s="377"/>
      <c r="H136" s="377"/>
      <c r="I136" s="377"/>
      <c r="J136" s="377"/>
      <c r="K136" s="377"/>
      <c r="L136" s="377"/>
      <c r="M136" s="377"/>
      <c r="N136" s="377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  <c r="AA136" s="377"/>
      <c r="AB136" s="377"/>
      <c r="AC136" s="377"/>
      <c r="AD136" s="377"/>
      <c r="AE136" s="377"/>
      <c r="AF136" s="377"/>
      <c r="AG136" s="377"/>
    </row>
    <row r="137" ht="14.25" customHeight="1">
      <c r="A137" s="377"/>
      <c r="B137" s="377"/>
      <c r="C137" s="377"/>
      <c r="D137" s="377"/>
      <c r="E137" s="377"/>
      <c r="F137" s="377"/>
      <c r="G137" s="377"/>
      <c r="H137" s="377"/>
      <c r="I137" s="377"/>
      <c r="J137" s="377"/>
      <c r="K137" s="377"/>
      <c r="L137" s="377"/>
      <c r="M137" s="377"/>
      <c r="N137" s="377"/>
      <c r="O137" s="377"/>
      <c r="P137" s="377"/>
      <c r="Q137" s="377"/>
      <c r="R137" s="377"/>
      <c r="S137" s="377"/>
      <c r="T137" s="377"/>
      <c r="U137" s="377"/>
      <c r="V137" s="377"/>
      <c r="W137" s="377"/>
      <c r="X137" s="377"/>
      <c r="Y137" s="377"/>
      <c r="Z137" s="377"/>
      <c r="AA137" s="377"/>
      <c r="AB137" s="377"/>
      <c r="AC137" s="377"/>
      <c r="AD137" s="377"/>
      <c r="AE137" s="377"/>
      <c r="AF137" s="377"/>
      <c r="AG137" s="377"/>
    </row>
    <row r="138" ht="14.25" customHeight="1">
      <c r="A138" s="377"/>
      <c r="B138" s="377"/>
      <c r="C138" s="377"/>
      <c r="D138" s="377"/>
      <c r="E138" s="377"/>
      <c r="F138" s="377"/>
      <c r="G138" s="377"/>
      <c r="H138" s="377"/>
      <c r="I138" s="377"/>
      <c r="J138" s="377"/>
      <c r="K138" s="377"/>
      <c r="L138" s="377"/>
      <c r="M138" s="377"/>
      <c r="N138" s="377"/>
      <c r="O138" s="377"/>
      <c r="P138" s="377"/>
      <c r="Q138" s="377"/>
      <c r="R138" s="377"/>
      <c r="S138" s="377"/>
      <c r="T138" s="377"/>
      <c r="U138" s="377"/>
      <c r="V138" s="377"/>
      <c r="W138" s="377"/>
      <c r="X138" s="377"/>
      <c r="Y138" s="377"/>
      <c r="Z138" s="377"/>
      <c r="AA138" s="377"/>
      <c r="AB138" s="377"/>
      <c r="AC138" s="377"/>
      <c r="AD138" s="377"/>
      <c r="AE138" s="377"/>
      <c r="AF138" s="377"/>
      <c r="AG138" s="377"/>
    </row>
    <row r="139" ht="14.25" customHeight="1">
      <c r="A139" s="377"/>
      <c r="B139" s="377"/>
      <c r="C139" s="377"/>
      <c r="D139" s="377"/>
      <c r="E139" s="377"/>
      <c r="F139" s="377"/>
      <c r="G139" s="377"/>
      <c r="H139" s="377"/>
      <c r="I139" s="377"/>
      <c r="J139" s="377"/>
      <c r="K139" s="377"/>
      <c r="L139" s="377"/>
      <c r="M139" s="377"/>
      <c r="N139" s="377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  <c r="AA139" s="377"/>
      <c r="AB139" s="377"/>
      <c r="AC139" s="377"/>
      <c r="AD139" s="377"/>
      <c r="AE139" s="377"/>
      <c r="AF139" s="377"/>
      <c r="AG139" s="377"/>
    </row>
    <row r="140" ht="14.25" customHeight="1">
      <c r="A140" s="377"/>
      <c r="B140" s="377"/>
      <c r="C140" s="377"/>
      <c r="D140" s="377"/>
      <c r="E140" s="377"/>
      <c r="F140" s="377"/>
      <c r="G140" s="377"/>
      <c r="H140" s="377"/>
      <c r="I140" s="377"/>
      <c r="J140" s="377"/>
      <c r="K140" s="377"/>
      <c r="L140" s="377"/>
      <c r="M140" s="377"/>
      <c r="N140" s="377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  <c r="AA140" s="377"/>
      <c r="AB140" s="377"/>
      <c r="AC140" s="377"/>
      <c r="AD140" s="377"/>
      <c r="AE140" s="377"/>
      <c r="AF140" s="377"/>
      <c r="AG140" s="377"/>
    </row>
    <row r="141" ht="14.25" customHeight="1">
      <c r="A141" s="377"/>
      <c r="B141" s="377"/>
      <c r="C141" s="377"/>
      <c r="D141" s="377"/>
      <c r="E141" s="377"/>
      <c r="F141" s="377"/>
      <c r="G141" s="377"/>
      <c r="H141" s="377"/>
      <c r="I141" s="377"/>
      <c r="J141" s="377"/>
      <c r="K141" s="377"/>
      <c r="L141" s="377"/>
      <c r="M141" s="377"/>
      <c r="N141" s="377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  <c r="AA141" s="377"/>
      <c r="AB141" s="377"/>
      <c r="AC141" s="377"/>
      <c r="AD141" s="377"/>
      <c r="AE141" s="377"/>
      <c r="AF141" s="377"/>
      <c r="AG141" s="377"/>
    </row>
    <row r="142" ht="14.25" customHeight="1">
      <c r="A142" s="377"/>
      <c r="B142" s="377"/>
      <c r="C142" s="377"/>
      <c r="D142" s="377"/>
      <c r="E142" s="377"/>
      <c r="F142" s="377"/>
      <c r="G142" s="377"/>
      <c r="H142" s="377"/>
      <c r="I142" s="377"/>
      <c r="J142" s="377"/>
      <c r="K142" s="377"/>
      <c r="L142" s="377"/>
      <c r="M142" s="377"/>
      <c r="N142" s="377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  <c r="AA142" s="377"/>
      <c r="AB142" s="377"/>
      <c r="AC142" s="377"/>
      <c r="AD142" s="377"/>
      <c r="AE142" s="377"/>
      <c r="AF142" s="377"/>
      <c r="AG142" s="377"/>
    </row>
    <row r="143" ht="14.25" customHeight="1">
      <c r="A143" s="377"/>
      <c r="B143" s="377"/>
      <c r="C143" s="377"/>
      <c r="D143" s="377"/>
      <c r="E143" s="377"/>
      <c r="F143" s="377"/>
      <c r="G143" s="377"/>
      <c r="H143" s="377"/>
      <c r="I143" s="377"/>
      <c r="J143" s="377"/>
      <c r="K143" s="377"/>
      <c r="L143" s="377"/>
      <c r="M143" s="377"/>
      <c r="N143" s="377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  <c r="AA143" s="377"/>
      <c r="AB143" s="377"/>
      <c r="AC143" s="377"/>
      <c r="AD143" s="377"/>
      <c r="AE143" s="377"/>
      <c r="AF143" s="377"/>
      <c r="AG143" s="377"/>
    </row>
    <row r="144" ht="14.25" customHeight="1">
      <c r="A144" s="377"/>
      <c r="B144" s="377"/>
      <c r="C144" s="377"/>
      <c r="D144" s="377"/>
      <c r="E144" s="377"/>
      <c r="F144" s="377"/>
      <c r="G144" s="377"/>
      <c r="H144" s="377"/>
      <c r="I144" s="377"/>
      <c r="J144" s="377"/>
      <c r="K144" s="377"/>
      <c r="L144" s="377"/>
      <c r="M144" s="377"/>
      <c r="N144" s="377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  <c r="AA144" s="377"/>
      <c r="AB144" s="377"/>
      <c r="AC144" s="377"/>
      <c r="AD144" s="377"/>
      <c r="AE144" s="377"/>
      <c r="AF144" s="377"/>
      <c r="AG144" s="377"/>
    </row>
    <row r="145" ht="14.25" customHeight="1">
      <c r="A145" s="377"/>
      <c r="B145" s="377"/>
      <c r="C145" s="377"/>
      <c r="D145" s="377"/>
      <c r="E145" s="377"/>
      <c r="F145" s="377"/>
      <c r="G145" s="377"/>
      <c r="H145" s="377"/>
      <c r="I145" s="377"/>
      <c r="J145" s="377"/>
      <c r="K145" s="377"/>
      <c r="L145" s="377"/>
      <c r="M145" s="377"/>
      <c r="N145" s="377"/>
      <c r="O145" s="377"/>
      <c r="P145" s="377"/>
      <c r="Q145" s="377"/>
      <c r="R145" s="377"/>
      <c r="S145" s="377"/>
      <c r="T145" s="377"/>
      <c r="U145" s="377"/>
      <c r="V145" s="377"/>
      <c r="W145" s="377"/>
      <c r="X145" s="377"/>
      <c r="Y145" s="377"/>
      <c r="Z145" s="377"/>
      <c r="AA145" s="377"/>
      <c r="AB145" s="377"/>
      <c r="AC145" s="377"/>
      <c r="AD145" s="377"/>
      <c r="AE145" s="377"/>
      <c r="AF145" s="377"/>
      <c r="AG145" s="377"/>
    </row>
    <row r="146" ht="14.25" customHeight="1">
      <c r="A146" s="377"/>
      <c r="B146" s="377"/>
      <c r="C146" s="377"/>
      <c r="D146" s="377"/>
      <c r="E146" s="377"/>
      <c r="F146" s="377"/>
      <c r="G146" s="377"/>
      <c r="H146" s="377"/>
      <c r="I146" s="377"/>
      <c r="J146" s="377"/>
      <c r="K146" s="377"/>
      <c r="L146" s="377"/>
      <c r="M146" s="377"/>
      <c r="N146" s="377"/>
      <c r="O146" s="377"/>
      <c r="P146" s="377"/>
      <c r="Q146" s="377"/>
      <c r="R146" s="377"/>
      <c r="S146" s="377"/>
      <c r="T146" s="377"/>
      <c r="U146" s="377"/>
      <c r="V146" s="377"/>
      <c r="W146" s="377"/>
      <c r="X146" s="377"/>
      <c r="Y146" s="377"/>
      <c r="Z146" s="377"/>
      <c r="AA146" s="377"/>
      <c r="AB146" s="377"/>
      <c r="AC146" s="377"/>
      <c r="AD146" s="377"/>
      <c r="AE146" s="377"/>
      <c r="AF146" s="377"/>
      <c r="AG146" s="377"/>
    </row>
    <row r="147" ht="14.25" customHeight="1">
      <c r="A147" s="377"/>
      <c r="B147" s="377"/>
      <c r="C147" s="377"/>
      <c r="D147" s="377"/>
      <c r="E147" s="377"/>
      <c r="F147" s="377"/>
      <c r="G147" s="377"/>
      <c r="H147" s="377"/>
      <c r="I147" s="377"/>
      <c r="J147" s="377"/>
      <c r="K147" s="377"/>
      <c r="L147" s="377"/>
      <c r="M147" s="377"/>
      <c r="N147" s="377"/>
      <c r="O147" s="377"/>
      <c r="P147" s="377"/>
      <c r="Q147" s="377"/>
      <c r="R147" s="377"/>
      <c r="S147" s="377"/>
      <c r="T147" s="377"/>
      <c r="U147" s="377"/>
      <c r="V147" s="377"/>
      <c r="W147" s="377"/>
      <c r="X147" s="377"/>
      <c r="Y147" s="377"/>
      <c r="Z147" s="377"/>
      <c r="AA147" s="377"/>
      <c r="AB147" s="377"/>
      <c r="AC147" s="377"/>
      <c r="AD147" s="377"/>
      <c r="AE147" s="377"/>
      <c r="AF147" s="377"/>
      <c r="AG147" s="377"/>
    </row>
    <row r="148" ht="14.25" customHeight="1">
      <c r="A148" s="377"/>
      <c r="B148" s="377"/>
      <c r="C148" s="377"/>
      <c r="D148" s="377"/>
      <c r="E148" s="377"/>
      <c r="F148" s="377"/>
      <c r="G148" s="377"/>
      <c r="H148" s="377"/>
      <c r="I148" s="377"/>
      <c r="J148" s="377"/>
      <c r="K148" s="377"/>
      <c r="L148" s="377"/>
      <c r="M148" s="377"/>
      <c r="N148" s="377"/>
      <c r="O148" s="377"/>
      <c r="P148" s="377"/>
      <c r="Q148" s="377"/>
      <c r="R148" s="377"/>
      <c r="S148" s="377"/>
      <c r="T148" s="377"/>
      <c r="U148" s="377"/>
      <c r="V148" s="377"/>
      <c r="W148" s="377"/>
      <c r="X148" s="377"/>
      <c r="Y148" s="377"/>
      <c r="Z148" s="377"/>
      <c r="AA148" s="377"/>
      <c r="AB148" s="377"/>
      <c r="AC148" s="377"/>
      <c r="AD148" s="377"/>
      <c r="AE148" s="377"/>
      <c r="AF148" s="377"/>
      <c r="AG148" s="377"/>
    </row>
    <row r="149" ht="14.25" customHeight="1">
      <c r="A149" s="377"/>
      <c r="B149" s="377"/>
      <c r="C149" s="377"/>
      <c r="D149" s="377"/>
      <c r="E149" s="377"/>
      <c r="F149" s="377"/>
      <c r="G149" s="377"/>
      <c r="H149" s="377"/>
      <c r="I149" s="377"/>
      <c r="J149" s="377"/>
      <c r="K149" s="377"/>
      <c r="L149" s="377"/>
      <c r="M149" s="377"/>
      <c r="N149" s="377"/>
      <c r="O149" s="377"/>
      <c r="P149" s="377"/>
      <c r="Q149" s="377"/>
      <c r="R149" s="377"/>
      <c r="S149" s="377"/>
      <c r="T149" s="377"/>
      <c r="U149" s="377"/>
      <c r="V149" s="377"/>
      <c r="W149" s="377"/>
      <c r="X149" s="377"/>
      <c r="Y149" s="377"/>
      <c r="Z149" s="377"/>
      <c r="AA149" s="377"/>
      <c r="AB149" s="377"/>
      <c r="AC149" s="377"/>
      <c r="AD149" s="377"/>
      <c r="AE149" s="377"/>
      <c r="AF149" s="377"/>
      <c r="AG149" s="377"/>
    </row>
    <row r="150" ht="14.25" customHeight="1">
      <c r="A150" s="377"/>
      <c r="B150" s="377"/>
      <c r="C150" s="377"/>
      <c r="D150" s="377"/>
      <c r="E150" s="377"/>
      <c r="F150" s="377"/>
      <c r="G150" s="377"/>
      <c r="H150" s="377"/>
      <c r="I150" s="377"/>
      <c r="J150" s="377"/>
      <c r="K150" s="377"/>
      <c r="L150" s="377"/>
      <c r="M150" s="377"/>
      <c r="N150" s="377"/>
      <c r="O150" s="377"/>
      <c r="P150" s="377"/>
      <c r="Q150" s="377"/>
      <c r="R150" s="377"/>
      <c r="S150" s="377"/>
      <c r="T150" s="377"/>
      <c r="U150" s="377"/>
      <c r="V150" s="377"/>
      <c r="W150" s="377"/>
      <c r="X150" s="377"/>
      <c r="Y150" s="377"/>
      <c r="Z150" s="377"/>
      <c r="AA150" s="377"/>
      <c r="AB150" s="377"/>
      <c r="AC150" s="377"/>
      <c r="AD150" s="377"/>
      <c r="AE150" s="377"/>
      <c r="AF150" s="377"/>
      <c r="AG150" s="377"/>
    </row>
    <row r="151" ht="14.25" customHeight="1">
      <c r="A151" s="377"/>
      <c r="B151" s="377"/>
      <c r="C151" s="377"/>
      <c r="D151" s="377"/>
      <c r="E151" s="377"/>
      <c r="F151" s="377"/>
      <c r="G151" s="377"/>
      <c r="H151" s="377"/>
      <c r="I151" s="377"/>
      <c r="J151" s="377"/>
      <c r="K151" s="377"/>
      <c r="L151" s="377"/>
      <c r="M151" s="377"/>
      <c r="N151" s="377"/>
      <c r="O151" s="377"/>
      <c r="P151" s="377"/>
      <c r="Q151" s="377"/>
      <c r="R151" s="377"/>
      <c r="S151" s="377"/>
      <c r="T151" s="377"/>
      <c r="U151" s="377"/>
      <c r="V151" s="377"/>
      <c r="W151" s="377"/>
      <c r="X151" s="377"/>
      <c r="Y151" s="377"/>
      <c r="Z151" s="377"/>
      <c r="AA151" s="377"/>
      <c r="AB151" s="377"/>
      <c r="AC151" s="377"/>
      <c r="AD151" s="377"/>
      <c r="AE151" s="377"/>
      <c r="AF151" s="377"/>
      <c r="AG151" s="377"/>
    </row>
    <row r="152" ht="14.25" customHeight="1">
      <c r="A152" s="377"/>
      <c r="B152" s="377"/>
      <c r="C152" s="377"/>
      <c r="D152" s="377"/>
      <c r="E152" s="377"/>
      <c r="F152" s="377"/>
      <c r="G152" s="377"/>
      <c r="H152" s="377"/>
      <c r="I152" s="377"/>
      <c r="J152" s="377"/>
      <c r="K152" s="377"/>
      <c r="L152" s="377"/>
      <c r="M152" s="377"/>
      <c r="N152" s="377"/>
      <c r="O152" s="377"/>
      <c r="P152" s="377"/>
      <c r="Q152" s="377"/>
      <c r="R152" s="377"/>
      <c r="S152" s="377"/>
      <c r="T152" s="377"/>
      <c r="U152" s="377"/>
      <c r="V152" s="377"/>
      <c r="W152" s="377"/>
      <c r="X152" s="377"/>
      <c r="Y152" s="377"/>
      <c r="Z152" s="377"/>
      <c r="AA152" s="377"/>
      <c r="AB152" s="377"/>
      <c r="AC152" s="377"/>
      <c r="AD152" s="377"/>
      <c r="AE152" s="377"/>
      <c r="AF152" s="377"/>
      <c r="AG152" s="377"/>
    </row>
    <row r="153" ht="14.25" customHeight="1">
      <c r="A153" s="377"/>
      <c r="B153" s="377"/>
      <c r="C153" s="377"/>
      <c r="D153" s="377"/>
      <c r="E153" s="377"/>
      <c r="F153" s="377"/>
      <c r="G153" s="377"/>
      <c r="H153" s="377"/>
      <c r="I153" s="377"/>
      <c r="J153" s="377"/>
      <c r="K153" s="377"/>
      <c r="L153" s="377"/>
      <c r="M153" s="377"/>
      <c r="N153" s="377"/>
      <c r="O153" s="377"/>
      <c r="P153" s="377"/>
      <c r="Q153" s="377"/>
      <c r="R153" s="377"/>
      <c r="S153" s="377"/>
      <c r="T153" s="377"/>
      <c r="U153" s="377"/>
      <c r="V153" s="377"/>
      <c r="W153" s="377"/>
      <c r="X153" s="377"/>
      <c r="Y153" s="377"/>
      <c r="Z153" s="377"/>
      <c r="AA153" s="377"/>
      <c r="AB153" s="377"/>
      <c r="AC153" s="377"/>
      <c r="AD153" s="377"/>
      <c r="AE153" s="377"/>
      <c r="AF153" s="377"/>
      <c r="AG153" s="377"/>
    </row>
    <row r="154" ht="14.25" customHeight="1">
      <c r="A154" s="377"/>
      <c r="B154" s="377"/>
      <c r="C154" s="377"/>
      <c r="D154" s="377"/>
      <c r="E154" s="377"/>
      <c r="F154" s="377"/>
      <c r="G154" s="377"/>
      <c r="H154" s="377"/>
      <c r="I154" s="377"/>
      <c r="J154" s="377"/>
      <c r="K154" s="377"/>
      <c r="L154" s="377"/>
      <c r="M154" s="377"/>
      <c r="N154" s="377"/>
      <c r="O154" s="377"/>
      <c r="P154" s="377"/>
      <c r="Q154" s="377"/>
      <c r="R154" s="377"/>
      <c r="S154" s="377"/>
      <c r="T154" s="377"/>
      <c r="U154" s="377"/>
      <c r="V154" s="377"/>
      <c r="W154" s="377"/>
      <c r="X154" s="377"/>
      <c r="Y154" s="377"/>
      <c r="Z154" s="377"/>
      <c r="AA154" s="377"/>
      <c r="AB154" s="377"/>
      <c r="AC154" s="377"/>
      <c r="AD154" s="377"/>
      <c r="AE154" s="377"/>
      <c r="AF154" s="377"/>
      <c r="AG154" s="377"/>
    </row>
    <row r="155" ht="14.25" customHeight="1">
      <c r="A155" s="377"/>
      <c r="B155" s="377"/>
      <c r="C155" s="377"/>
      <c r="D155" s="377"/>
      <c r="E155" s="377"/>
      <c r="F155" s="377"/>
      <c r="G155" s="377"/>
      <c r="H155" s="377"/>
      <c r="I155" s="377"/>
      <c r="J155" s="377"/>
      <c r="K155" s="377"/>
      <c r="L155" s="377"/>
      <c r="M155" s="377"/>
      <c r="N155" s="377"/>
      <c r="O155" s="377"/>
      <c r="P155" s="377"/>
      <c r="Q155" s="377"/>
      <c r="R155" s="377"/>
      <c r="S155" s="377"/>
      <c r="T155" s="377"/>
      <c r="U155" s="377"/>
      <c r="V155" s="377"/>
      <c r="W155" s="377"/>
      <c r="X155" s="377"/>
      <c r="Y155" s="377"/>
      <c r="Z155" s="377"/>
      <c r="AA155" s="377"/>
      <c r="AB155" s="377"/>
      <c r="AC155" s="377"/>
      <c r="AD155" s="377"/>
      <c r="AE155" s="377"/>
      <c r="AF155" s="377"/>
      <c r="AG155" s="377"/>
    </row>
    <row r="156" ht="14.25" customHeight="1">
      <c r="A156" s="377"/>
      <c r="B156" s="377"/>
      <c r="C156" s="377"/>
      <c r="D156" s="377"/>
      <c r="E156" s="377"/>
      <c r="F156" s="377"/>
      <c r="G156" s="377"/>
      <c r="H156" s="377"/>
      <c r="I156" s="377"/>
      <c r="J156" s="377"/>
      <c r="K156" s="377"/>
      <c r="L156" s="377"/>
      <c r="M156" s="377"/>
      <c r="N156" s="377"/>
      <c r="O156" s="377"/>
      <c r="P156" s="377"/>
      <c r="Q156" s="377"/>
      <c r="R156" s="377"/>
      <c r="S156" s="377"/>
      <c r="T156" s="377"/>
      <c r="U156" s="377"/>
      <c r="V156" s="377"/>
      <c r="W156" s="377"/>
      <c r="X156" s="377"/>
      <c r="Y156" s="377"/>
      <c r="Z156" s="377"/>
      <c r="AA156" s="377"/>
      <c r="AB156" s="377"/>
      <c r="AC156" s="377"/>
      <c r="AD156" s="377"/>
      <c r="AE156" s="377"/>
      <c r="AF156" s="377"/>
      <c r="AG156" s="377"/>
    </row>
    <row r="157" ht="14.25" customHeight="1">
      <c r="A157" s="377"/>
      <c r="B157" s="377"/>
      <c r="C157" s="377"/>
      <c r="D157" s="377"/>
      <c r="E157" s="377"/>
      <c r="F157" s="377"/>
      <c r="G157" s="377"/>
      <c r="H157" s="377"/>
      <c r="I157" s="377"/>
      <c r="J157" s="377"/>
      <c r="K157" s="377"/>
      <c r="L157" s="377"/>
      <c r="M157" s="377"/>
      <c r="N157" s="377"/>
      <c r="O157" s="377"/>
      <c r="P157" s="377"/>
      <c r="Q157" s="377"/>
      <c r="R157" s="377"/>
      <c r="S157" s="377"/>
      <c r="T157" s="377"/>
      <c r="U157" s="377"/>
      <c r="V157" s="377"/>
      <c r="W157" s="377"/>
      <c r="X157" s="377"/>
      <c r="Y157" s="377"/>
      <c r="Z157" s="377"/>
      <c r="AA157" s="377"/>
      <c r="AB157" s="377"/>
      <c r="AC157" s="377"/>
      <c r="AD157" s="377"/>
      <c r="AE157" s="377"/>
      <c r="AF157" s="377"/>
      <c r="AG157" s="377"/>
    </row>
    <row r="158" ht="14.25" customHeight="1">
      <c r="A158" s="377"/>
      <c r="B158" s="377"/>
      <c r="C158" s="377"/>
      <c r="D158" s="377"/>
      <c r="E158" s="377"/>
      <c r="F158" s="377"/>
      <c r="G158" s="377"/>
      <c r="H158" s="377"/>
      <c r="I158" s="377"/>
      <c r="J158" s="377"/>
      <c r="K158" s="377"/>
      <c r="L158" s="377"/>
      <c r="M158" s="377"/>
      <c r="N158" s="377"/>
      <c r="O158" s="377"/>
      <c r="P158" s="377"/>
      <c r="Q158" s="377"/>
      <c r="R158" s="377"/>
      <c r="S158" s="377"/>
      <c r="T158" s="377"/>
      <c r="U158" s="377"/>
      <c r="V158" s="377"/>
      <c r="W158" s="377"/>
      <c r="X158" s="377"/>
      <c r="Y158" s="377"/>
      <c r="Z158" s="377"/>
      <c r="AA158" s="377"/>
      <c r="AB158" s="377"/>
      <c r="AC158" s="377"/>
      <c r="AD158" s="377"/>
      <c r="AE158" s="377"/>
      <c r="AF158" s="377"/>
      <c r="AG158" s="377"/>
    </row>
    <row r="159" ht="14.25" customHeight="1">
      <c r="A159" s="377"/>
      <c r="B159" s="377"/>
      <c r="C159" s="377"/>
      <c r="D159" s="377"/>
      <c r="E159" s="377"/>
      <c r="F159" s="377"/>
      <c r="G159" s="377"/>
      <c r="H159" s="377"/>
      <c r="I159" s="377"/>
      <c r="J159" s="377"/>
      <c r="K159" s="377"/>
      <c r="L159" s="377"/>
      <c r="M159" s="377"/>
      <c r="N159" s="377"/>
      <c r="O159" s="377"/>
      <c r="P159" s="377"/>
      <c r="Q159" s="377"/>
      <c r="R159" s="377"/>
      <c r="S159" s="377"/>
      <c r="T159" s="377"/>
      <c r="U159" s="377"/>
      <c r="V159" s="377"/>
      <c r="W159" s="377"/>
      <c r="X159" s="377"/>
      <c r="Y159" s="377"/>
      <c r="Z159" s="377"/>
      <c r="AA159" s="377"/>
      <c r="AB159" s="377"/>
      <c r="AC159" s="377"/>
      <c r="AD159" s="377"/>
      <c r="AE159" s="377"/>
      <c r="AF159" s="377"/>
      <c r="AG159" s="377"/>
    </row>
    <row r="160" ht="14.25" customHeight="1">
      <c r="A160" s="377"/>
      <c r="B160" s="377"/>
      <c r="C160" s="377"/>
      <c r="D160" s="377"/>
      <c r="E160" s="377"/>
      <c r="F160" s="377"/>
      <c r="G160" s="377"/>
      <c r="H160" s="377"/>
      <c r="I160" s="377"/>
      <c r="J160" s="377"/>
      <c r="K160" s="377"/>
      <c r="L160" s="377"/>
      <c r="M160" s="377"/>
      <c r="N160" s="377"/>
      <c r="O160" s="377"/>
      <c r="P160" s="377"/>
      <c r="Q160" s="377"/>
      <c r="R160" s="377"/>
      <c r="S160" s="377"/>
      <c r="T160" s="377"/>
      <c r="U160" s="377"/>
      <c r="V160" s="377"/>
      <c r="W160" s="377"/>
      <c r="X160" s="377"/>
      <c r="Y160" s="377"/>
      <c r="Z160" s="377"/>
      <c r="AA160" s="377"/>
      <c r="AB160" s="377"/>
      <c r="AC160" s="377"/>
      <c r="AD160" s="377"/>
      <c r="AE160" s="377"/>
      <c r="AF160" s="377"/>
      <c r="AG160" s="377"/>
    </row>
    <row r="161" ht="14.25" customHeight="1">
      <c r="A161" s="377"/>
      <c r="B161" s="377"/>
      <c r="C161" s="377"/>
      <c r="D161" s="377"/>
      <c r="E161" s="377"/>
      <c r="F161" s="377"/>
      <c r="G161" s="377"/>
      <c r="H161" s="377"/>
      <c r="I161" s="377"/>
      <c r="J161" s="377"/>
      <c r="K161" s="377"/>
      <c r="L161" s="377"/>
      <c r="M161" s="377"/>
      <c r="N161" s="377"/>
      <c r="O161" s="377"/>
      <c r="P161" s="377"/>
      <c r="Q161" s="377"/>
      <c r="R161" s="377"/>
      <c r="S161" s="377"/>
      <c r="T161" s="377"/>
      <c r="U161" s="377"/>
      <c r="V161" s="377"/>
      <c r="W161" s="377"/>
      <c r="X161" s="377"/>
      <c r="Y161" s="377"/>
      <c r="Z161" s="377"/>
      <c r="AA161" s="377"/>
      <c r="AB161" s="377"/>
      <c r="AC161" s="377"/>
      <c r="AD161" s="377"/>
      <c r="AE161" s="377"/>
      <c r="AF161" s="377"/>
      <c r="AG161" s="377"/>
    </row>
    <row r="162" ht="14.25" customHeight="1">
      <c r="A162" s="377"/>
      <c r="B162" s="377"/>
      <c r="C162" s="377"/>
      <c r="D162" s="377"/>
      <c r="E162" s="377"/>
      <c r="F162" s="377"/>
      <c r="G162" s="377"/>
      <c r="H162" s="377"/>
      <c r="I162" s="377"/>
      <c r="J162" s="377"/>
      <c r="K162" s="377"/>
      <c r="L162" s="377"/>
      <c r="M162" s="377"/>
      <c r="N162" s="377"/>
      <c r="O162" s="377"/>
      <c r="P162" s="377"/>
      <c r="Q162" s="377"/>
      <c r="R162" s="377"/>
      <c r="S162" s="377"/>
      <c r="T162" s="377"/>
      <c r="U162" s="377"/>
      <c r="V162" s="377"/>
      <c r="W162" s="377"/>
      <c r="X162" s="377"/>
      <c r="Y162" s="377"/>
      <c r="Z162" s="377"/>
      <c r="AA162" s="377"/>
      <c r="AB162" s="377"/>
      <c r="AC162" s="377"/>
      <c r="AD162" s="377"/>
      <c r="AE162" s="377"/>
      <c r="AF162" s="377"/>
      <c r="AG162" s="377"/>
    </row>
    <row r="163" ht="14.25" customHeight="1">
      <c r="A163" s="377"/>
      <c r="B163" s="377"/>
      <c r="C163" s="377"/>
      <c r="D163" s="377"/>
      <c r="E163" s="377"/>
      <c r="F163" s="377"/>
      <c r="G163" s="377"/>
      <c r="H163" s="377"/>
      <c r="I163" s="377"/>
      <c r="J163" s="377"/>
      <c r="K163" s="377"/>
      <c r="L163" s="377"/>
      <c r="M163" s="377"/>
      <c r="N163" s="377"/>
      <c r="O163" s="377"/>
      <c r="P163" s="377"/>
      <c r="Q163" s="377"/>
      <c r="R163" s="377"/>
      <c r="S163" s="377"/>
      <c r="T163" s="377"/>
      <c r="U163" s="377"/>
      <c r="V163" s="377"/>
      <c r="W163" s="377"/>
      <c r="X163" s="377"/>
      <c r="Y163" s="377"/>
      <c r="Z163" s="377"/>
      <c r="AA163" s="377"/>
      <c r="AB163" s="377"/>
      <c r="AC163" s="377"/>
      <c r="AD163" s="377"/>
      <c r="AE163" s="377"/>
      <c r="AF163" s="377"/>
      <c r="AG163" s="377"/>
    </row>
    <row r="164" ht="14.25" customHeight="1">
      <c r="A164" s="377"/>
      <c r="B164" s="377"/>
      <c r="C164" s="377"/>
      <c r="D164" s="377"/>
      <c r="E164" s="377"/>
      <c r="F164" s="377"/>
      <c r="G164" s="377"/>
      <c r="H164" s="377"/>
      <c r="I164" s="377"/>
      <c r="J164" s="377"/>
      <c r="K164" s="377"/>
      <c r="L164" s="377"/>
      <c r="M164" s="377"/>
      <c r="N164" s="377"/>
      <c r="O164" s="377"/>
      <c r="P164" s="377"/>
      <c r="Q164" s="377"/>
      <c r="R164" s="377"/>
      <c r="S164" s="377"/>
      <c r="T164" s="377"/>
      <c r="U164" s="377"/>
      <c r="V164" s="377"/>
      <c r="W164" s="377"/>
      <c r="X164" s="377"/>
      <c r="Y164" s="377"/>
      <c r="Z164" s="377"/>
      <c r="AA164" s="377"/>
      <c r="AB164" s="377"/>
      <c r="AC164" s="377"/>
      <c r="AD164" s="377"/>
      <c r="AE164" s="377"/>
      <c r="AF164" s="377"/>
      <c r="AG164" s="377"/>
    </row>
    <row r="165" ht="14.25" customHeight="1">
      <c r="A165" s="377"/>
      <c r="B165" s="377"/>
      <c r="C165" s="377"/>
      <c r="D165" s="377"/>
      <c r="E165" s="377"/>
      <c r="F165" s="377"/>
      <c r="G165" s="377"/>
      <c r="H165" s="377"/>
      <c r="I165" s="377"/>
      <c r="J165" s="377"/>
      <c r="K165" s="377"/>
      <c r="L165" s="377"/>
      <c r="M165" s="377"/>
      <c r="N165" s="377"/>
      <c r="O165" s="377"/>
      <c r="P165" s="377"/>
      <c r="Q165" s="377"/>
      <c r="R165" s="377"/>
      <c r="S165" s="377"/>
      <c r="T165" s="377"/>
      <c r="U165" s="377"/>
      <c r="V165" s="377"/>
      <c r="W165" s="377"/>
      <c r="X165" s="377"/>
      <c r="Y165" s="377"/>
      <c r="Z165" s="377"/>
      <c r="AA165" s="377"/>
      <c r="AB165" s="377"/>
      <c r="AC165" s="377"/>
      <c r="AD165" s="377"/>
      <c r="AE165" s="377"/>
      <c r="AF165" s="377"/>
      <c r="AG165" s="377"/>
    </row>
    <row r="166" ht="14.25" customHeight="1">
      <c r="A166" s="377"/>
      <c r="B166" s="377"/>
      <c r="C166" s="377"/>
      <c r="D166" s="377"/>
      <c r="E166" s="377"/>
      <c r="F166" s="377"/>
      <c r="G166" s="377"/>
      <c r="H166" s="377"/>
      <c r="I166" s="377"/>
      <c r="J166" s="377"/>
      <c r="K166" s="377"/>
      <c r="L166" s="377"/>
      <c r="M166" s="377"/>
      <c r="N166" s="377"/>
      <c r="O166" s="377"/>
      <c r="P166" s="377"/>
      <c r="Q166" s="377"/>
      <c r="R166" s="377"/>
      <c r="S166" s="377"/>
      <c r="T166" s="377"/>
      <c r="U166" s="377"/>
      <c r="V166" s="377"/>
      <c r="W166" s="377"/>
      <c r="X166" s="377"/>
      <c r="Y166" s="377"/>
      <c r="Z166" s="377"/>
      <c r="AA166" s="377"/>
      <c r="AB166" s="377"/>
      <c r="AC166" s="377"/>
      <c r="AD166" s="377"/>
      <c r="AE166" s="377"/>
      <c r="AF166" s="377"/>
      <c r="AG166" s="377"/>
    </row>
    <row r="167" ht="14.25" customHeight="1">
      <c r="A167" s="377"/>
      <c r="B167" s="377"/>
      <c r="C167" s="377"/>
      <c r="D167" s="377"/>
      <c r="E167" s="377"/>
      <c r="F167" s="377"/>
      <c r="G167" s="377"/>
      <c r="H167" s="377"/>
      <c r="I167" s="377"/>
      <c r="J167" s="377"/>
      <c r="K167" s="377"/>
      <c r="L167" s="377"/>
      <c r="M167" s="377"/>
      <c r="N167" s="377"/>
      <c r="O167" s="377"/>
      <c r="P167" s="377"/>
      <c r="Q167" s="377"/>
      <c r="R167" s="377"/>
      <c r="S167" s="377"/>
      <c r="T167" s="377"/>
      <c r="U167" s="377"/>
      <c r="V167" s="377"/>
      <c r="W167" s="377"/>
      <c r="X167" s="377"/>
      <c r="Y167" s="377"/>
      <c r="Z167" s="377"/>
      <c r="AA167" s="377"/>
      <c r="AB167" s="377"/>
      <c r="AC167" s="377"/>
      <c r="AD167" s="377"/>
      <c r="AE167" s="377"/>
      <c r="AF167" s="377"/>
      <c r="AG167" s="377"/>
    </row>
    <row r="168" ht="14.25" customHeight="1">
      <c r="A168" s="377"/>
      <c r="B168" s="377"/>
      <c r="C168" s="377"/>
      <c r="D168" s="377"/>
      <c r="E168" s="377"/>
      <c r="F168" s="377"/>
      <c r="G168" s="377"/>
      <c r="H168" s="377"/>
      <c r="I168" s="377"/>
      <c r="J168" s="377"/>
      <c r="K168" s="377"/>
      <c r="L168" s="377"/>
      <c r="M168" s="377"/>
      <c r="N168" s="377"/>
      <c r="O168" s="377"/>
      <c r="P168" s="377"/>
      <c r="Q168" s="377"/>
      <c r="R168" s="377"/>
      <c r="S168" s="377"/>
      <c r="T168" s="377"/>
      <c r="U168" s="377"/>
      <c r="V168" s="377"/>
      <c r="W168" s="377"/>
      <c r="X168" s="377"/>
      <c r="Y168" s="377"/>
      <c r="Z168" s="377"/>
      <c r="AA168" s="377"/>
      <c r="AB168" s="377"/>
      <c r="AC168" s="377"/>
      <c r="AD168" s="377"/>
      <c r="AE168" s="377"/>
      <c r="AF168" s="377"/>
      <c r="AG168" s="377"/>
    </row>
    <row r="169" ht="14.25" customHeight="1">
      <c r="A169" s="377"/>
      <c r="B169" s="377"/>
      <c r="C169" s="377"/>
      <c r="D169" s="377"/>
      <c r="E169" s="377"/>
      <c r="F169" s="377"/>
      <c r="G169" s="377"/>
      <c r="H169" s="377"/>
      <c r="I169" s="377"/>
      <c r="J169" s="377"/>
      <c r="K169" s="377"/>
      <c r="L169" s="377"/>
      <c r="M169" s="377"/>
      <c r="N169" s="377"/>
      <c r="O169" s="377"/>
      <c r="P169" s="377"/>
      <c r="Q169" s="377"/>
      <c r="R169" s="377"/>
      <c r="S169" s="377"/>
      <c r="T169" s="377"/>
      <c r="U169" s="377"/>
      <c r="V169" s="377"/>
      <c r="W169" s="377"/>
      <c r="X169" s="377"/>
      <c r="Y169" s="377"/>
      <c r="Z169" s="377"/>
      <c r="AA169" s="377"/>
      <c r="AB169" s="377"/>
      <c r="AC169" s="377"/>
      <c r="AD169" s="377"/>
      <c r="AE169" s="377"/>
      <c r="AF169" s="377"/>
      <c r="AG169" s="377"/>
    </row>
    <row r="170" ht="14.25" customHeight="1">
      <c r="A170" s="377"/>
      <c r="B170" s="377"/>
      <c r="C170" s="377"/>
      <c r="D170" s="377"/>
      <c r="E170" s="377"/>
      <c r="F170" s="377"/>
      <c r="G170" s="377"/>
      <c r="H170" s="377"/>
      <c r="I170" s="377"/>
      <c r="J170" s="377"/>
      <c r="K170" s="377"/>
      <c r="L170" s="377"/>
      <c r="M170" s="377"/>
      <c r="N170" s="377"/>
      <c r="O170" s="377"/>
      <c r="P170" s="377"/>
      <c r="Q170" s="377"/>
      <c r="R170" s="377"/>
      <c r="S170" s="377"/>
      <c r="T170" s="377"/>
      <c r="U170" s="377"/>
      <c r="V170" s="377"/>
      <c r="W170" s="377"/>
      <c r="X170" s="377"/>
      <c r="Y170" s="377"/>
      <c r="Z170" s="377"/>
      <c r="AA170" s="377"/>
      <c r="AB170" s="377"/>
      <c r="AC170" s="377"/>
      <c r="AD170" s="377"/>
      <c r="AE170" s="377"/>
      <c r="AF170" s="377"/>
      <c r="AG170" s="377"/>
    </row>
    <row r="171" ht="14.25" customHeight="1">
      <c r="A171" s="377"/>
      <c r="B171" s="377"/>
      <c r="C171" s="377"/>
      <c r="D171" s="377"/>
      <c r="E171" s="377"/>
      <c r="F171" s="377"/>
      <c r="G171" s="377"/>
      <c r="H171" s="377"/>
      <c r="I171" s="377"/>
      <c r="J171" s="377"/>
      <c r="K171" s="377"/>
      <c r="L171" s="377"/>
      <c r="M171" s="377"/>
      <c r="N171" s="377"/>
      <c r="O171" s="377"/>
      <c r="P171" s="377"/>
      <c r="Q171" s="377"/>
      <c r="R171" s="377"/>
      <c r="S171" s="377"/>
      <c r="T171" s="377"/>
      <c r="U171" s="377"/>
      <c r="V171" s="377"/>
      <c r="W171" s="377"/>
      <c r="X171" s="377"/>
      <c r="Y171" s="377"/>
      <c r="Z171" s="377"/>
      <c r="AA171" s="377"/>
      <c r="AB171" s="377"/>
      <c r="AC171" s="377"/>
      <c r="AD171" s="377"/>
      <c r="AE171" s="377"/>
      <c r="AF171" s="377"/>
      <c r="AG171" s="377"/>
    </row>
    <row r="172" ht="14.25" customHeight="1">
      <c r="A172" s="377"/>
      <c r="B172" s="377"/>
      <c r="C172" s="377"/>
      <c r="D172" s="377"/>
      <c r="E172" s="377"/>
      <c r="F172" s="377"/>
      <c r="G172" s="377"/>
      <c r="H172" s="377"/>
      <c r="I172" s="377"/>
      <c r="J172" s="377"/>
      <c r="K172" s="377"/>
      <c r="L172" s="377"/>
      <c r="M172" s="377"/>
      <c r="N172" s="377"/>
      <c r="O172" s="377"/>
      <c r="P172" s="377"/>
      <c r="Q172" s="377"/>
      <c r="R172" s="377"/>
      <c r="S172" s="377"/>
      <c r="T172" s="377"/>
      <c r="U172" s="377"/>
      <c r="V172" s="377"/>
      <c r="W172" s="377"/>
      <c r="X172" s="377"/>
      <c r="Y172" s="377"/>
      <c r="Z172" s="377"/>
      <c r="AA172" s="377"/>
      <c r="AB172" s="377"/>
      <c r="AC172" s="377"/>
      <c r="AD172" s="377"/>
      <c r="AE172" s="377"/>
      <c r="AF172" s="377"/>
      <c r="AG172" s="377"/>
    </row>
    <row r="173" ht="14.25" customHeight="1">
      <c r="A173" s="377"/>
      <c r="B173" s="377"/>
      <c r="C173" s="377"/>
      <c r="D173" s="377"/>
      <c r="E173" s="377"/>
      <c r="F173" s="377"/>
      <c r="G173" s="377"/>
      <c r="H173" s="377"/>
      <c r="I173" s="377"/>
      <c r="J173" s="377"/>
      <c r="K173" s="377"/>
      <c r="L173" s="377"/>
      <c r="M173" s="377"/>
      <c r="N173" s="377"/>
      <c r="O173" s="377"/>
      <c r="P173" s="377"/>
      <c r="Q173" s="377"/>
      <c r="R173" s="377"/>
      <c r="S173" s="377"/>
      <c r="T173" s="377"/>
      <c r="U173" s="377"/>
      <c r="V173" s="377"/>
      <c r="W173" s="377"/>
      <c r="X173" s="377"/>
      <c r="Y173" s="377"/>
      <c r="Z173" s="377"/>
      <c r="AA173" s="377"/>
      <c r="AB173" s="377"/>
      <c r="AC173" s="377"/>
      <c r="AD173" s="377"/>
      <c r="AE173" s="377"/>
      <c r="AF173" s="377"/>
      <c r="AG173" s="377"/>
    </row>
    <row r="174" ht="14.25" customHeight="1">
      <c r="A174" s="377"/>
      <c r="B174" s="377"/>
      <c r="C174" s="377"/>
      <c r="D174" s="377"/>
      <c r="E174" s="377"/>
      <c r="F174" s="377"/>
      <c r="G174" s="377"/>
      <c r="H174" s="377"/>
      <c r="I174" s="377"/>
      <c r="J174" s="377"/>
      <c r="K174" s="377"/>
      <c r="L174" s="377"/>
      <c r="M174" s="377"/>
      <c r="N174" s="377"/>
      <c r="O174" s="377"/>
      <c r="P174" s="377"/>
      <c r="Q174" s="377"/>
      <c r="R174" s="377"/>
      <c r="S174" s="377"/>
      <c r="T174" s="377"/>
      <c r="U174" s="377"/>
      <c r="V174" s="377"/>
      <c r="W174" s="377"/>
      <c r="X174" s="377"/>
      <c r="Y174" s="377"/>
      <c r="Z174" s="377"/>
      <c r="AA174" s="377"/>
      <c r="AB174" s="377"/>
      <c r="AC174" s="377"/>
      <c r="AD174" s="377"/>
      <c r="AE174" s="377"/>
      <c r="AF174" s="377"/>
      <c r="AG174" s="377"/>
    </row>
    <row r="175" ht="14.25" customHeight="1">
      <c r="A175" s="377"/>
      <c r="B175" s="377"/>
      <c r="C175" s="377"/>
      <c r="D175" s="377"/>
      <c r="E175" s="377"/>
      <c r="F175" s="377"/>
      <c r="G175" s="377"/>
      <c r="H175" s="377"/>
      <c r="I175" s="377"/>
      <c r="J175" s="377"/>
      <c r="K175" s="377"/>
      <c r="L175" s="377"/>
      <c r="M175" s="377"/>
      <c r="N175" s="377"/>
      <c r="O175" s="377"/>
      <c r="P175" s="377"/>
      <c r="Q175" s="377"/>
      <c r="R175" s="377"/>
      <c r="S175" s="377"/>
      <c r="T175" s="377"/>
      <c r="U175" s="377"/>
      <c r="V175" s="377"/>
      <c r="W175" s="377"/>
      <c r="X175" s="377"/>
      <c r="Y175" s="377"/>
      <c r="Z175" s="377"/>
      <c r="AA175" s="377"/>
      <c r="AB175" s="377"/>
      <c r="AC175" s="377"/>
      <c r="AD175" s="377"/>
      <c r="AE175" s="377"/>
      <c r="AF175" s="377"/>
      <c r="AG175" s="377"/>
    </row>
    <row r="176" ht="14.25" customHeight="1">
      <c r="A176" s="377"/>
      <c r="B176" s="377"/>
      <c r="C176" s="377"/>
      <c r="D176" s="377"/>
      <c r="E176" s="377"/>
      <c r="F176" s="377"/>
      <c r="G176" s="377"/>
      <c r="H176" s="377"/>
      <c r="I176" s="377"/>
      <c r="J176" s="377"/>
      <c r="K176" s="377"/>
      <c r="L176" s="377"/>
      <c r="M176" s="377"/>
      <c r="N176" s="377"/>
      <c r="O176" s="377"/>
      <c r="P176" s="377"/>
      <c r="Q176" s="377"/>
      <c r="R176" s="377"/>
      <c r="S176" s="377"/>
      <c r="T176" s="377"/>
      <c r="U176" s="377"/>
      <c r="V176" s="377"/>
      <c r="W176" s="377"/>
      <c r="X176" s="377"/>
      <c r="Y176" s="377"/>
      <c r="Z176" s="377"/>
      <c r="AA176" s="377"/>
      <c r="AB176" s="377"/>
      <c r="AC176" s="377"/>
      <c r="AD176" s="377"/>
      <c r="AE176" s="377"/>
      <c r="AF176" s="377"/>
      <c r="AG176" s="377"/>
    </row>
    <row r="177" ht="14.25" customHeight="1">
      <c r="A177" s="377"/>
      <c r="B177" s="377"/>
      <c r="C177" s="377"/>
      <c r="D177" s="377"/>
      <c r="E177" s="377"/>
      <c r="F177" s="377"/>
      <c r="G177" s="377"/>
      <c r="H177" s="377"/>
      <c r="I177" s="377"/>
      <c r="J177" s="377"/>
      <c r="K177" s="377"/>
      <c r="L177" s="377"/>
      <c r="M177" s="377"/>
      <c r="N177" s="377"/>
      <c r="O177" s="377"/>
      <c r="P177" s="377"/>
      <c r="Q177" s="377"/>
      <c r="R177" s="377"/>
      <c r="S177" s="377"/>
      <c r="T177" s="377"/>
      <c r="U177" s="377"/>
      <c r="V177" s="377"/>
      <c r="W177" s="377"/>
      <c r="X177" s="377"/>
      <c r="Y177" s="377"/>
      <c r="Z177" s="377"/>
      <c r="AA177" s="377"/>
      <c r="AB177" s="377"/>
      <c r="AC177" s="377"/>
      <c r="AD177" s="377"/>
      <c r="AE177" s="377"/>
      <c r="AF177" s="377"/>
      <c r="AG177" s="377"/>
    </row>
    <row r="178" ht="14.25" customHeight="1">
      <c r="A178" s="377"/>
      <c r="B178" s="377"/>
      <c r="C178" s="377"/>
      <c r="D178" s="377"/>
      <c r="E178" s="377"/>
      <c r="F178" s="377"/>
      <c r="G178" s="377"/>
      <c r="H178" s="377"/>
      <c r="I178" s="377"/>
      <c r="J178" s="377"/>
      <c r="K178" s="377"/>
      <c r="L178" s="377"/>
      <c r="M178" s="377"/>
      <c r="N178" s="377"/>
      <c r="O178" s="377"/>
      <c r="P178" s="377"/>
      <c r="Q178" s="377"/>
      <c r="R178" s="377"/>
      <c r="S178" s="377"/>
      <c r="T178" s="377"/>
      <c r="U178" s="377"/>
      <c r="V178" s="377"/>
      <c r="W178" s="377"/>
      <c r="X178" s="377"/>
      <c r="Y178" s="377"/>
      <c r="Z178" s="377"/>
      <c r="AA178" s="377"/>
      <c r="AB178" s="377"/>
      <c r="AC178" s="377"/>
      <c r="AD178" s="377"/>
      <c r="AE178" s="377"/>
      <c r="AF178" s="377"/>
      <c r="AG178" s="377"/>
    </row>
    <row r="179" ht="14.25" customHeight="1">
      <c r="A179" s="377"/>
      <c r="B179" s="377"/>
      <c r="C179" s="377"/>
      <c r="D179" s="377"/>
      <c r="E179" s="377"/>
      <c r="F179" s="377"/>
      <c r="G179" s="377"/>
      <c r="H179" s="377"/>
      <c r="I179" s="377"/>
      <c r="J179" s="377"/>
      <c r="K179" s="377"/>
      <c r="L179" s="377"/>
      <c r="M179" s="377"/>
      <c r="N179" s="377"/>
      <c r="O179" s="377"/>
      <c r="P179" s="377"/>
      <c r="Q179" s="377"/>
      <c r="R179" s="377"/>
      <c r="S179" s="377"/>
      <c r="T179" s="377"/>
      <c r="U179" s="377"/>
      <c r="V179" s="377"/>
      <c r="W179" s="377"/>
      <c r="X179" s="377"/>
      <c r="Y179" s="377"/>
      <c r="Z179" s="377"/>
      <c r="AA179" s="377"/>
      <c r="AB179" s="377"/>
      <c r="AC179" s="377"/>
      <c r="AD179" s="377"/>
      <c r="AE179" s="377"/>
      <c r="AF179" s="377"/>
      <c r="AG179" s="377"/>
    </row>
    <row r="180" ht="14.25" customHeight="1">
      <c r="A180" s="377"/>
      <c r="B180" s="377"/>
      <c r="C180" s="377"/>
      <c r="D180" s="377"/>
      <c r="E180" s="377"/>
      <c r="F180" s="377"/>
      <c r="G180" s="377"/>
      <c r="H180" s="377"/>
      <c r="I180" s="377"/>
      <c r="J180" s="377"/>
      <c r="K180" s="377"/>
      <c r="L180" s="377"/>
      <c r="M180" s="377"/>
      <c r="N180" s="377"/>
      <c r="O180" s="377"/>
      <c r="P180" s="377"/>
      <c r="Q180" s="377"/>
      <c r="R180" s="377"/>
      <c r="S180" s="377"/>
      <c r="T180" s="377"/>
      <c r="U180" s="377"/>
      <c r="V180" s="377"/>
      <c r="W180" s="377"/>
      <c r="X180" s="377"/>
      <c r="Y180" s="377"/>
      <c r="Z180" s="377"/>
      <c r="AA180" s="377"/>
      <c r="AB180" s="377"/>
      <c r="AC180" s="377"/>
      <c r="AD180" s="377"/>
      <c r="AE180" s="377"/>
      <c r="AF180" s="377"/>
      <c r="AG180" s="377"/>
    </row>
    <row r="181" ht="14.25" customHeight="1">
      <c r="A181" s="377"/>
      <c r="B181" s="377"/>
      <c r="C181" s="377"/>
      <c r="D181" s="377"/>
      <c r="E181" s="377"/>
      <c r="F181" s="377"/>
      <c r="G181" s="377"/>
      <c r="H181" s="377"/>
      <c r="I181" s="377"/>
      <c r="J181" s="377"/>
      <c r="K181" s="377"/>
      <c r="L181" s="377"/>
      <c r="M181" s="377"/>
      <c r="N181" s="377"/>
      <c r="O181" s="377"/>
      <c r="P181" s="377"/>
      <c r="Q181" s="377"/>
      <c r="R181" s="377"/>
      <c r="S181" s="377"/>
      <c r="T181" s="377"/>
      <c r="U181" s="377"/>
      <c r="V181" s="377"/>
      <c r="W181" s="377"/>
      <c r="X181" s="377"/>
      <c r="Y181" s="377"/>
      <c r="Z181" s="377"/>
      <c r="AA181" s="377"/>
      <c r="AB181" s="377"/>
      <c r="AC181" s="377"/>
      <c r="AD181" s="377"/>
      <c r="AE181" s="377"/>
      <c r="AF181" s="377"/>
      <c r="AG181" s="377"/>
    </row>
    <row r="182" ht="14.25" customHeight="1">
      <c r="A182" s="377"/>
      <c r="B182" s="377"/>
      <c r="C182" s="377"/>
      <c r="D182" s="377"/>
      <c r="E182" s="377"/>
      <c r="F182" s="377"/>
      <c r="G182" s="377"/>
      <c r="H182" s="377"/>
      <c r="I182" s="377"/>
      <c r="J182" s="377"/>
      <c r="K182" s="377"/>
      <c r="L182" s="377"/>
      <c r="M182" s="377"/>
      <c r="N182" s="377"/>
      <c r="O182" s="377"/>
      <c r="P182" s="377"/>
      <c r="Q182" s="377"/>
      <c r="R182" s="377"/>
      <c r="S182" s="377"/>
      <c r="T182" s="377"/>
      <c r="U182" s="377"/>
      <c r="V182" s="377"/>
      <c r="W182" s="377"/>
      <c r="X182" s="377"/>
      <c r="Y182" s="377"/>
      <c r="Z182" s="377"/>
      <c r="AA182" s="377"/>
      <c r="AB182" s="377"/>
      <c r="AC182" s="377"/>
      <c r="AD182" s="377"/>
      <c r="AE182" s="377"/>
      <c r="AF182" s="377"/>
      <c r="AG182" s="377"/>
    </row>
    <row r="183" ht="14.25" customHeight="1">
      <c r="A183" s="377"/>
      <c r="B183" s="377"/>
      <c r="C183" s="377"/>
      <c r="D183" s="377"/>
      <c r="E183" s="377"/>
      <c r="F183" s="377"/>
      <c r="G183" s="377"/>
      <c r="H183" s="377"/>
      <c r="I183" s="377"/>
      <c r="J183" s="377"/>
      <c r="K183" s="377"/>
      <c r="L183" s="377"/>
      <c r="M183" s="377"/>
      <c r="N183" s="377"/>
      <c r="O183" s="377"/>
      <c r="P183" s="377"/>
      <c r="Q183" s="377"/>
      <c r="R183" s="377"/>
      <c r="S183" s="377"/>
      <c r="T183" s="377"/>
      <c r="U183" s="377"/>
      <c r="V183" s="377"/>
      <c r="W183" s="377"/>
      <c r="X183" s="377"/>
      <c r="Y183" s="377"/>
      <c r="Z183" s="377"/>
      <c r="AA183" s="377"/>
      <c r="AB183" s="377"/>
      <c r="AC183" s="377"/>
      <c r="AD183" s="377"/>
      <c r="AE183" s="377"/>
      <c r="AF183" s="377"/>
      <c r="AG183" s="377"/>
    </row>
    <row r="184" ht="14.25" customHeight="1">
      <c r="A184" s="377"/>
      <c r="B184" s="377"/>
      <c r="C184" s="377"/>
      <c r="D184" s="377"/>
      <c r="E184" s="377"/>
      <c r="F184" s="377"/>
      <c r="G184" s="377"/>
      <c r="H184" s="377"/>
      <c r="I184" s="377"/>
      <c r="J184" s="377"/>
      <c r="K184" s="377"/>
      <c r="L184" s="377"/>
      <c r="M184" s="377"/>
      <c r="N184" s="377"/>
      <c r="O184" s="377"/>
      <c r="P184" s="377"/>
      <c r="Q184" s="377"/>
      <c r="R184" s="377"/>
      <c r="S184" s="377"/>
      <c r="T184" s="377"/>
      <c r="U184" s="377"/>
      <c r="V184" s="377"/>
      <c r="W184" s="377"/>
      <c r="X184" s="377"/>
      <c r="Y184" s="377"/>
      <c r="Z184" s="377"/>
      <c r="AA184" s="377"/>
      <c r="AB184" s="377"/>
      <c r="AC184" s="377"/>
      <c r="AD184" s="377"/>
      <c r="AE184" s="377"/>
      <c r="AF184" s="377"/>
      <c r="AG184" s="377"/>
    </row>
    <row r="185" ht="14.25" customHeight="1">
      <c r="A185" s="377"/>
      <c r="B185" s="377"/>
      <c r="C185" s="377"/>
      <c r="D185" s="377"/>
      <c r="E185" s="377"/>
      <c r="F185" s="377"/>
      <c r="G185" s="377"/>
      <c r="H185" s="377"/>
      <c r="I185" s="377"/>
      <c r="J185" s="377"/>
      <c r="K185" s="377"/>
      <c r="L185" s="377"/>
      <c r="M185" s="377"/>
      <c r="N185" s="377"/>
      <c r="O185" s="377"/>
      <c r="P185" s="377"/>
      <c r="Q185" s="377"/>
      <c r="R185" s="377"/>
      <c r="S185" s="377"/>
      <c r="T185" s="377"/>
      <c r="U185" s="377"/>
      <c r="V185" s="377"/>
      <c r="W185" s="377"/>
      <c r="X185" s="377"/>
      <c r="Y185" s="377"/>
      <c r="Z185" s="377"/>
      <c r="AA185" s="377"/>
      <c r="AB185" s="377"/>
      <c r="AC185" s="377"/>
      <c r="AD185" s="377"/>
      <c r="AE185" s="377"/>
      <c r="AF185" s="377"/>
      <c r="AG185" s="377"/>
    </row>
    <row r="186" ht="14.25" customHeight="1">
      <c r="A186" s="377"/>
      <c r="B186" s="377"/>
      <c r="C186" s="377"/>
      <c r="D186" s="377"/>
      <c r="E186" s="377"/>
      <c r="F186" s="377"/>
      <c r="G186" s="377"/>
      <c r="H186" s="377"/>
      <c r="I186" s="377"/>
      <c r="J186" s="377"/>
      <c r="K186" s="377"/>
      <c r="L186" s="377"/>
      <c r="M186" s="377"/>
      <c r="N186" s="377"/>
      <c r="O186" s="377"/>
      <c r="P186" s="377"/>
      <c r="Q186" s="377"/>
      <c r="R186" s="377"/>
      <c r="S186" s="377"/>
      <c r="T186" s="377"/>
      <c r="U186" s="377"/>
      <c r="V186" s="377"/>
      <c r="W186" s="377"/>
      <c r="X186" s="377"/>
      <c r="Y186" s="377"/>
      <c r="Z186" s="377"/>
      <c r="AA186" s="377"/>
      <c r="AB186" s="377"/>
      <c r="AC186" s="377"/>
      <c r="AD186" s="377"/>
      <c r="AE186" s="377"/>
      <c r="AF186" s="377"/>
      <c r="AG186" s="377"/>
    </row>
    <row r="187" ht="14.25" customHeight="1">
      <c r="A187" s="377"/>
      <c r="B187" s="377"/>
      <c r="C187" s="377"/>
      <c r="D187" s="377"/>
      <c r="E187" s="377"/>
      <c r="F187" s="377"/>
      <c r="G187" s="377"/>
      <c r="H187" s="377"/>
      <c r="I187" s="377"/>
      <c r="J187" s="377"/>
      <c r="K187" s="377"/>
      <c r="L187" s="377"/>
      <c r="M187" s="377"/>
      <c r="N187" s="377"/>
      <c r="O187" s="377"/>
      <c r="P187" s="377"/>
      <c r="Q187" s="377"/>
      <c r="R187" s="377"/>
      <c r="S187" s="377"/>
      <c r="T187" s="377"/>
      <c r="U187" s="377"/>
      <c r="V187" s="377"/>
      <c r="W187" s="377"/>
      <c r="X187" s="377"/>
      <c r="Y187" s="377"/>
      <c r="Z187" s="377"/>
      <c r="AA187" s="377"/>
      <c r="AB187" s="377"/>
      <c r="AC187" s="377"/>
      <c r="AD187" s="377"/>
      <c r="AE187" s="377"/>
      <c r="AF187" s="377"/>
      <c r="AG187" s="377"/>
    </row>
    <row r="188" ht="14.25" customHeight="1">
      <c r="A188" s="377"/>
      <c r="B188" s="377"/>
      <c r="C188" s="377"/>
      <c r="D188" s="377"/>
      <c r="E188" s="377"/>
      <c r="F188" s="377"/>
      <c r="G188" s="377"/>
      <c r="H188" s="377"/>
      <c r="I188" s="377"/>
      <c r="J188" s="377"/>
      <c r="K188" s="377"/>
      <c r="L188" s="377"/>
      <c r="M188" s="377"/>
      <c r="N188" s="377"/>
      <c r="O188" s="377"/>
      <c r="P188" s="377"/>
      <c r="Q188" s="377"/>
      <c r="R188" s="377"/>
      <c r="S188" s="377"/>
      <c r="T188" s="377"/>
      <c r="U188" s="377"/>
      <c r="V188" s="377"/>
      <c r="W188" s="377"/>
      <c r="X188" s="377"/>
      <c r="Y188" s="377"/>
      <c r="Z188" s="377"/>
      <c r="AA188" s="377"/>
      <c r="AB188" s="377"/>
      <c r="AC188" s="377"/>
      <c r="AD188" s="377"/>
      <c r="AE188" s="377"/>
      <c r="AF188" s="377"/>
      <c r="AG188" s="377"/>
    </row>
    <row r="189" ht="14.25" customHeight="1">
      <c r="A189" s="377"/>
      <c r="B189" s="377"/>
      <c r="C189" s="377"/>
      <c r="D189" s="377"/>
      <c r="E189" s="377"/>
      <c r="F189" s="377"/>
      <c r="G189" s="377"/>
      <c r="H189" s="377"/>
      <c r="I189" s="377"/>
      <c r="J189" s="377"/>
      <c r="K189" s="377"/>
      <c r="L189" s="377"/>
      <c r="M189" s="377"/>
      <c r="N189" s="377"/>
      <c r="O189" s="377"/>
      <c r="P189" s="377"/>
      <c r="Q189" s="377"/>
      <c r="R189" s="377"/>
      <c r="S189" s="377"/>
      <c r="T189" s="377"/>
      <c r="U189" s="377"/>
      <c r="V189" s="377"/>
      <c r="W189" s="377"/>
      <c r="X189" s="377"/>
      <c r="Y189" s="377"/>
      <c r="Z189" s="377"/>
      <c r="AA189" s="377"/>
      <c r="AB189" s="377"/>
      <c r="AC189" s="377"/>
      <c r="AD189" s="377"/>
      <c r="AE189" s="377"/>
      <c r="AF189" s="377"/>
      <c r="AG189" s="377"/>
    </row>
    <row r="190" ht="14.25" customHeight="1">
      <c r="A190" s="377"/>
      <c r="B190" s="377"/>
      <c r="C190" s="377"/>
      <c r="D190" s="377"/>
      <c r="E190" s="377"/>
      <c r="F190" s="377"/>
      <c r="G190" s="377"/>
      <c r="H190" s="377"/>
      <c r="I190" s="377"/>
      <c r="J190" s="377"/>
      <c r="K190" s="377"/>
      <c r="L190" s="377"/>
      <c r="M190" s="377"/>
      <c r="N190" s="377"/>
      <c r="O190" s="377"/>
      <c r="P190" s="377"/>
      <c r="Q190" s="377"/>
      <c r="R190" s="377"/>
      <c r="S190" s="377"/>
      <c r="T190" s="377"/>
      <c r="U190" s="377"/>
      <c r="V190" s="377"/>
      <c r="W190" s="377"/>
      <c r="X190" s="377"/>
      <c r="Y190" s="377"/>
      <c r="Z190" s="377"/>
      <c r="AA190" s="377"/>
      <c r="AB190" s="377"/>
      <c r="AC190" s="377"/>
      <c r="AD190" s="377"/>
      <c r="AE190" s="377"/>
      <c r="AF190" s="377"/>
      <c r="AG190" s="377"/>
    </row>
    <row r="191" ht="14.25" customHeight="1">
      <c r="A191" s="377"/>
      <c r="B191" s="377"/>
      <c r="C191" s="377"/>
      <c r="D191" s="377"/>
      <c r="E191" s="377"/>
      <c r="F191" s="377"/>
      <c r="G191" s="377"/>
      <c r="H191" s="377"/>
      <c r="I191" s="377"/>
      <c r="J191" s="377"/>
      <c r="K191" s="377"/>
      <c r="L191" s="377"/>
      <c r="M191" s="377"/>
      <c r="N191" s="377"/>
      <c r="O191" s="377"/>
      <c r="P191" s="377"/>
      <c r="Q191" s="377"/>
      <c r="R191" s="377"/>
      <c r="S191" s="377"/>
      <c r="T191" s="377"/>
      <c r="U191" s="377"/>
      <c r="V191" s="377"/>
      <c r="W191" s="377"/>
      <c r="X191" s="377"/>
      <c r="Y191" s="377"/>
      <c r="Z191" s="377"/>
      <c r="AA191" s="377"/>
      <c r="AB191" s="377"/>
      <c r="AC191" s="377"/>
      <c r="AD191" s="377"/>
      <c r="AE191" s="377"/>
      <c r="AF191" s="377"/>
      <c r="AG191" s="377"/>
    </row>
    <row r="192" ht="14.25" customHeight="1">
      <c r="A192" s="377"/>
      <c r="B192" s="377"/>
      <c r="C192" s="377"/>
      <c r="D192" s="377"/>
      <c r="E192" s="377"/>
      <c r="F192" s="377"/>
      <c r="G192" s="377"/>
      <c r="H192" s="377"/>
      <c r="I192" s="377"/>
      <c r="J192" s="377"/>
      <c r="K192" s="377"/>
      <c r="L192" s="377"/>
      <c r="M192" s="377"/>
      <c r="N192" s="377"/>
      <c r="O192" s="377"/>
      <c r="P192" s="377"/>
      <c r="Q192" s="377"/>
      <c r="R192" s="377"/>
      <c r="S192" s="377"/>
      <c r="T192" s="377"/>
      <c r="U192" s="377"/>
      <c r="V192" s="377"/>
      <c r="W192" s="377"/>
      <c r="X192" s="377"/>
      <c r="Y192" s="377"/>
      <c r="Z192" s="377"/>
      <c r="AA192" s="377"/>
      <c r="AB192" s="377"/>
      <c r="AC192" s="377"/>
      <c r="AD192" s="377"/>
      <c r="AE192" s="377"/>
      <c r="AF192" s="377"/>
      <c r="AG192" s="377"/>
    </row>
    <row r="193" ht="14.25" customHeight="1">
      <c r="A193" s="377"/>
      <c r="B193" s="377"/>
      <c r="C193" s="377"/>
      <c r="D193" s="377"/>
      <c r="E193" s="377"/>
      <c r="F193" s="377"/>
      <c r="G193" s="377"/>
      <c r="H193" s="377"/>
      <c r="I193" s="377"/>
      <c r="J193" s="377"/>
      <c r="K193" s="377"/>
      <c r="L193" s="377"/>
      <c r="M193" s="377"/>
      <c r="N193" s="377"/>
      <c r="O193" s="377"/>
      <c r="P193" s="377"/>
      <c r="Q193" s="377"/>
      <c r="R193" s="377"/>
      <c r="S193" s="377"/>
      <c r="T193" s="377"/>
      <c r="U193" s="377"/>
      <c r="V193" s="377"/>
      <c r="W193" s="377"/>
      <c r="X193" s="377"/>
      <c r="Y193" s="377"/>
      <c r="Z193" s="377"/>
      <c r="AA193" s="377"/>
      <c r="AB193" s="377"/>
      <c r="AC193" s="377"/>
      <c r="AD193" s="377"/>
      <c r="AE193" s="377"/>
      <c r="AF193" s="377"/>
      <c r="AG193" s="377"/>
    </row>
    <row r="194" ht="14.25" customHeight="1">
      <c r="A194" s="377"/>
      <c r="B194" s="377"/>
      <c r="C194" s="377"/>
      <c r="D194" s="377"/>
      <c r="E194" s="377"/>
      <c r="F194" s="377"/>
      <c r="G194" s="377"/>
      <c r="H194" s="377"/>
      <c r="I194" s="377"/>
      <c r="J194" s="377"/>
      <c r="K194" s="377"/>
      <c r="L194" s="377"/>
      <c r="M194" s="377"/>
      <c r="N194" s="377"/>
      <c r="O194" s="377"/>
      <c r="P194" s="377"/>
      <c r="Q194" s="377"/>
      <c r="R194" s="377"/>
      <c r="S194" s="377"/>
      <c r="T194" s="377"/>
      <c r="U194" s="377"/>
      <c r="V194" s="377"/>
      <c r="W194" s="377"/>
      <c r="X194" s="377"/>
      <c r="Y194" s="377"/>
      <c r="Z194" s="377"/>
      <c r="AA194" s="377"/>
      <c r="AB194" s="377"/>
      <c r="AC194" s="377"/>
      <c r="AD194" s="377"/>
      <c r="AE194" s="377"/>
      <c r="AF194" s="377"/>
      <c r="AG194" s="377"/>
    </row>
    <row r="195" ht="14.25" customHeight="1">
      <c r="A195" s="377"/>
      <c r="B195" s="377"/>
      <c r="C195" s="377"/>
      <c r="D195" s="377"/>
      <c r="E195" s="377"/>
      <c r="F195" s="377"/>
      <c r="G195" s="377"/>
      <c r="H195" s="377"/>
      <c r="I195" s="377"/>
      <c r="J195" s="377"/>
      <c r="K195" s="377"/>
      <c r="L195" s="377"/>
      <c r="M195" s="377"/>
      <c r="N195" s="377"/>
      <c r="O195" s="377"/>
      <c r="P195" s="377"/>
      <c r="Q195" s="377"/>
      <c r="R195" s="377"/>
      <c r="S195" s="377"/>
      <c r="T195" s="377"/>
      <c r="U195" s="377"/>
      <c r="V195" s="377"/>
      <c r="W195" s="377"/>
      <c r="X195" s="377"/>
      <c r="Y195" s="377"/>
      <c r="Z195" s="377"/>
      <c r="AA195" s="377"/>
      <c r="AB195" s="377"/>
      <c r="AC195" s="377"/>
      <c r="AD195" s="377"/>
      <c r="AE195" s="377"/>
      <c r="AF195" s="377"/>
      <c r="AG195" s="377"/>
    </row>
    <row r="196" ht="14.25" customHeight="1">
      <c r="A196" s="377"/>
      <c r="B196" s="377"/>
      <c r="C196" s="377"/>
      <c r="D196" s="377"/>
      <c r="E196" s="377"/>
      <c r="F196" s="377"/>
      <c r="G196" s="377"/>
      <c r="H196" s="377"/>
      <c r="I196" s="377"/>
      <c r="J196" s="377"/>
      <c r="K196" s="377"/>
      <c r="L196" s="377"/>
      <c r="M196" s="377"/>
      <c r="N196" s="377"/>
      <c r="O196" s="377"/>
      <c r="P196" s="377"/>
      <c r="Q196" s="377"/>
      <c r="R196" s="377"/>
      <c r="S196" s="377"/>
      <c r="T196" s="377"/>
      <c r="U196" s="377"/>
      <c r="V196" s="377"/>
      <c r="W196" s="377"/>
      <c r="X196" s="377"/>
      <c r="Y196" s="377"/>
      <c r="Z196" s="377"/>
      <c r="AA196" s="377"/>
      <c r="AB196" s="377"/>
      <c r="AC196" s="377"/>
      <c r="AD196" s="377"/>
      <c r="AE196" s="377"/>
      <c r="AF196" s="377"/>
      <c r="AG196" s="377"/>
    </row>
    <row r="197" ht="14.25" customHeight="1">
      <c r="A197" s="377"/>
      <c r="B197" s="377"/>
      <c r="C197" s="377"/>
      <c r="D197" s="377"/>
      <c r="E197" s="377"/>
      <c r="F197" s="377"/>
      <c r="G197" s="377"/>
      <c r="H197" s="377"/>
      <c r="I197" s="377"/>
      <c r="J197" s="377"/>
      <c r="K197" s="377"/>
      <c r="L197" s="377"/>
      <c r="M197" s="377"/>
      <c r="N197" s="377"/>
      <c r="O197" s="377"/>
      <c r="P197" s="377"/>
      <c r="Q197" s="377"/>
      <c r="R197" s="377"/>
      <c r="S197" s="377"/>
      <c r="T197" s="377"/>
      <c r="U197" s="377"/>
      <c r="V197" s="377"/>
      <c r="W197" s="377"/>
      <c r="X197" s="377"/>
      <c r="Y197" s="377"/>
      <c r="Z197" s="377"/>
      <c r="AA197" s="377"/>
      <c r="AB197" s="377"/>
      <c r="AC197" s="377"/>
      <c r="AD197" s="377"/>
      <c r="AE197" s="377"/>
      <c r="AF197" s="377"/>
      <c r="AG197" s="377"/>
    </row>
    <row r="198" ht="14.25" customHeight="1">
      <c r="A198" s="377"/>
      <c r="B198" s="377"/>
      <c r="C198" s="377"/>
      <c r="D198" s="377"/>
      <c r="E198" s="377"/>
      <c r="F198" s="377"/>
      <c r="G198" s="377"/>
      <c r="H198" s="377"/>
      <c r="I198" s="377"/>
      <c r="J198" s="377"/>
      <c r="K198" s="377"/>
      <c r="L198" s="377"/>
      <c r="M198" s="377"/>
      <c r="N198" s="377"/>
      <c r="O198" s="377"/>
      <c r="P198" s="377"/>
      <c r="Q198" s="377"/>
      <c r="R198" s="377"/>
      <c r="S198" s="377"/>
      <c r="T198" s="377"/>
      <c r="U198" s="377"/>
      <c r="V198" s="377"/>
      <c r="W198" s="377"/>
      <c r="X198" s="377"/>
      <c r="Y198" s="377"/>
      <c r="Z198" s="377"/>
      <c r="AA198" s="377"/>
      <c r="AB198" s="377"/>
      <c r="AC198" s="377"/>
      <c r="AD198" s="377"/>
      <c r="AE198" s="377"/>
      <c r="AF198" s="377"/>
      <c r="AG198" s="377"/>
    </row>
    <row r="199" ht="14.25" customHeight="1">
      <c r="A199" s="377"/>
      <c r="B199" s="377"/>
      <c r="C199" s="377"/>
      <c r="D199" s="377"/>
      <c r="E199" s="377"/>
      <c r="F199" s="377"/>
      <c r="G199" s="377"/>
      <c r="H199" s="377"/>
      <c r="I199" s="377"/>
      <c r="J199" s="377"/>
      <c r="K199" s="377"/>
      <c r="L199" s="377"/>
      <c r="M199" s="377"/>
      <c r="N199" s="377"/>
      <c r="O199" s="377"/>
      <c r="P199" s="377"/>
      <c r="Q199" s="377"/>
      <c r="R199" s="377"/>
      <c r="S199" s="377"/>
      <c r="T199" s="377"/>
      <c r="U199" s="377"/>
      <c r="V199" s="377"/>
      <c r="W199" s="377"/>
      <c r="X199" s="377"/>
      <c r="Y199" s="377"/>
      <c r="Z199" s="377"/>
      <c r="AA199" s="377"/>
      <c r="AB199" s="377"/>
      <c r="AC199" s="377"/>
      <c r="AD199" s="377"/>
      <c r="AE199" s="377"/>
      <c r="AF199" s="377"/>
      <c r="AG199" s="377"/>
    </row>
    <row r="200" ht="14.25" customHeight="1">
      <c r="A200" s="377"/>
      <c r="B200" s="377"/>
      <c r="C200" s="377"/>
      <c r="D200" s="377"/>
      <c r="E200" s="377"/>
      <c r="F200" s="377"/>
      <c r="G200" s="377"/>
      <c r="H200" s="377"/>
      <c r="I200" s="377"/>
      <c r="J200" s="377"/>
      <c r="K200" s="377"/>
      <c r="L200" s="377"/>
      <c r="M200" s="377"/>
      <c r="N200" s="377"/>
      <c r="O200" s="377"/>
      <c r="P200" s="377"/>
      <c r="Q200" s="377"/>
      <c r="R200" s="377"/>
      <c r="S200" s="377"/>
      <c r="T200" s="377"/>
      <c r="U200" s="377"/>
      <c r="V200" s="377"/>
      <c r="W200" s="377"/>
      <c r="X200" s="377"/>
      <c r="Y200" s="377"/>
      <c r="Z200" s="377"/>
      <c r="AA200" s="377"/>
      <c r="AB200" s="377"/>
      <c r="AC200" s="377"/>
      <c r="AD200" s="377"/>
      <c r="AE200" s="377"/>
      <c r="AF200" s="377"/>
      <c r="AG200" s="377"/>
    </row>
    <row r="201" ht="14.25" customHeight="1">
      <c r="A201" s="377"/>
      <c r="B201" s="377"/>
      <c r="C201" s="377"/>
      <c r="D201" s="377"/>
      <c r="E201" s="377"/>
      <c r="F201" s="377"/>
      <c r="G201" s="377"/>
      <c r="H201" s="377"/>
      <c r="I201" s="377"/>
      <c r="J201" s="377"/>
      <c r="K201" s="377"/>
      <c r="L201" s="377"/>
      <c r="M201" s="377"/>
      <c r="N201" s="377"/>
      <c r="O201" s="377"/>
      <c r="P201" s="377"/>
      <c r="Q201" s="377"/>
      <c r="R201" s="377"/>
      <c r="S201" s="377"/>
      <c r="T201" s="377"/>
      <c r="U201" s="377"/>
      <c r="V201" s="377"/>
      <c r="W201" s="377"/>
      <c r="X201" s="377"/>
      <c r="Y201" s="377"/>
      <c r="Z201" s="377"/>
      <c r="AA201" s="377"/>
      <c r="AB201" s="377"/>
      <c r="AC201" s="377"/>
      <c r="AD201" s="377"/>
      <c r="AE201" s="377"/>
      <c r="AF201" s="377"/>
      <c r="AG201" s="377"/>
    </row>
    <row r="202" ht="14.25" customHeight="1">
      <c r="A202" s="377"/>
      <c r="B202" s="377"/>
      <c r="C202" s="377"/>
      <c r="D202" s="377"/>
      <c r="E202" s="377"/>
      <c r="F202" s="377"/>
      <c r="G202" s="377"/>
      <c r="H202" s="377"/>
      <c r="I202" s="377"/>
      <c r="J202" s="377"/>
      <c r="K202" s="377"/>
      <c r="L202" s="377"/>
      <c r="M202" s="377"/>
      <c r="N202" s="377"/>
      <c r="O202" s="377"/>
      <c r="P202" s="377"/>
      <c r="Q202" s="377"/>
      <c r="R202" s="377"/>
      <c r="S202" s="377"/>
      <c r="T202" s="377"/>
      <c r="U202" s="377"/>
      <c r="V202" s="377"/>
      <c r="W202" s="377"/>
      <c r="X202" s="377"/>
      <c r="Y202" s="377"/>
      <c r="Z202" s="377"/>
      <c r="AA202" s="377"/>
      <c r="AB202" s="377"/>
      <c r="AC202" s="377"/>
      <c r="AD202" s="377"/>
      <c r="AE202" s="377"/>
      <c r="AF202" s="377"/>
      <c r="AG202" s="377"/>
    </row>
    <row r="203" ht="14.25" customHeight="1">
      <c r="A203" s="377"/>
      <c r="B203" s="377"/>
      <c r="C203" s="377"/>
      <c r="D203" s="377"/>
      <c r="E203" s="377"/>
      <c r="F203" s="377"/>
      <c r="G203" s="377"/>
      <c r="H203" s="377"/>
      <c r="I203" s="377"/>
      <c r="J203" s="377"/>
      <c r="K203" s="377"/>
      <c r="L203" s="377"/>
      <c r="M203" s="377"/>
      <c r="N203" s="377"/>
      <c r="O203" s="377"/>
      <c r="P203" s="377"/>
      <c r="Q203" s="377"/>
      <c r="R203" s="377"/>
      <c r="S203" s="377"/>
      <c r="T203" s="377"/>
      <c r="U203" s="377"/>
      <c r="V203" s="377"/>
      <c r="W203" s="377"/>
      <c r="X203" s="377"/>
      <c r="Y203" s="377"/>
      <c r="Z203" s="377"/>
      <c r="AA203" s="377"/>
      <c r="AB203" s="377"/>
      <c r="AC203" s="377"/>
      <c r="AD203" s="377"/>
      <c r="AE203" s="377"/>
      <c r="AF203" s="377"/>
      <c r="AG203" s="377"/>
    </row>
    <row r="204" ht="14.25" customHeight="1">
      <c r="A204" s="377"/>
      <c r="B204" s="377"/>
      <c r="C204" s="377"/>
      <c r="D204" s="377"/>
      <c r="E204" s="377"/>
      <c r="F204" s="377"/>
      <c r="G204" s="377"/>
      <c r="H204" s="377"/>
      <c r="I204" s="377"/>
      <c r="J204" s="377"/>
      <c r="K204" s="377"/>
      <c r="L204" s="377"/>
      <c r="M204" s="377"/>
      <c r="N204" s="377"/>
      <c r="O204" s="377"/>
      <c r="P204" s="377"/>
      <c r="Q204" s="377"/>
      <c r="R204" s="377"/>
      <c r="S204" s="377"/>
      <c r="T204" s="377"/>
      <c r="U204" s="377"/>
      <c r="V204" s="377"/>
      <c r="W204" s="377"/>
      <c r="X204" s="377"/>
      <c r="Y204" s="377"/>
      <c r="Z204" s="377"/>
      <c r="AA204" s="377"/>
      <c r="AB204" s="377"/>
      <c r="AC204" s="377"/>
      <c r="AD204" s="377"/>
      <c r="AE204" s="377"/>
      <c r="AF204" s="377"/>
      <c r="AG204" s="377"/>
    </row>
    <row r="205" ht="14.25" customHeight="1">
      <c r="A205" s="377"/>
      <c r="B205" s="377"/>
      <c r="C205" s="377"/>
      <c r="D205" s="377"/>
      <c r="E205" s="377"/>
      <c r="F205" s="377"/>
      <c r="G205" s="377"/>
      <c r="H205" s="377"/>
      <c r="I205" s="377"/>
      <c r="J205" s="377"/>
      <c r="K205" s="377"/>
      <c r="L205" s="377"/>
      <c r="M205" s="377"/>
      <c r="N205" s="377"/>
      <c r="O205" s="377"/>
      <c r="P205" s="377"/>
      <c r="Q205" s="377"/>
      <c r="R205" s="377"/>
      <c r="S205" s="377"/>
      <c r="T205" s="377"/>
      <c r="U205" s="377"/>
      <c r="V205" s="377"/>
      <c r="W205" s="377"/>
      <c r="X205" s="377"/>
      <c r="Y205" s="377"/>
      <c r="Z205" s="377"/>
      <c r="AA205" s="377"/>
      <c r="AB205" s="377"/>
      <c r="AC205" s="377"/>
      <c r="AD205" s="377"/>
      <c r="AE205" s="377"/>
      <c r="AF205" s="377"/>
      <c r="AG205" s="377"/>
    </row>
    <row r="206" ht="14.25" customHeight="1">
      <c r="A206" s="377"/>
      <c r="B206" s="377"/>
      <c r="C206" s="377"/>
      <c r="D206" s="377"/>
      <c r="E206" s="377"/>
      <c r="F206" s="377"/>
      <c r="G206" s="377"/>
      <c r="H206" s="377"/>
      <c r="I206" s="377"/>
      <c r="J206" s="377"/>
      <c r="K206" s="377"/>
      <c r="L206" s="377"/>
      <c r="M206" s="377"/>
      <c r="N206" s="377"/>
      <c r="O206" s="377"/>
      <c r="P206" s="377"/>
      <c r="Q206" s="377"/>
      <c r="R206" s="377"/>
      <c r="S206" s="377"/>
      <c r="T206" s="377"/>
      <c r="U206" s="377"/>
      <c r="V206" s="377"/>
      <c r="W206" s="377"/>
      <c r="X206" s="377"/>
      <c r="Y206" s="377"/>
      <c r="Z206" s="377"/>
      <c r="AA206" s="377"/>
      <c r="AB206" s="377"/>
      <c r="AC206" s="377"/>
      <c r="AD206" s="377"/>
      <c r="AE206" s="377"/>
      <c r="AF206" s="377"/>
      <c r="AG206" s="377"/>
    </row>
    <row r="207" ht="14.25" customHeight="1">
      <c r="A207" s="377"/>
      <c r="B207" s="377"/>
      <c r="C207" s="377"/>
      <c r="D207" s="377"/>
      <c r="E207" s="377"/>
      <c r="F207" s="377"/>
      <c r="G207" s="377"/>
      <c r="H207" s="377"/>
      <c r="I207" s="377"/>
      <c r="J207" s="377"/>
      <c r="K207" s="377"/>
      <c r="L207" s="377"/>
      <c r="M207" s="377"/>
      <c r="N207" s="377"/>
      <c r="O207" s="377"/>
      <c r="P207" s="377"/>
      <c r="Q207" s="377"/>
      <c r="R207" s="377"/>
      <c r="S207" s="377"/>
      <c r="T207" s="377"/>
      <c r="U207" s="377"/>
      <c r="V207" s="377"/>
      <c r="W207" s="377"/>
      <c r="X207" s="377"/>
      <c r="Y207" s="377"/>
      <c r="Z207" s="377"/>
      <c r="AA207" s="377"/>
      <c r="AB207" s="377"/>
      <c r="AC207" s="377"/>
      <c r="AD207" s="377"/>
      <c r="AE207" s="377"/>
      <c r="AF207" s="377"/>
      <c r="AG207" s="377"/>
    </row>
    <row r="208" ht="14.25" customHeight="1">
      <c r="A208" s="377"/>
      <c r="B208" s="377"/>
      <c r="C208" s="377"/>
      <c r="D208" s="377"/>
      <c r="E208" s="377"/>
      <c r="F208" s="377"/>
      <c r="G208" s="377"/>
      <c r="H208" s="377"/>
      <c r="I208" s="377"/>
      <c r="J208" s="377"/>
      <c r="K208" s="377"/>
      <c r="L208" s="377"/>
      <c r="M208" s="377"/>
      <c r="N208" s="377"/>
      <c r="O208" s="377"/>
      <c r="P208" s="377"/>
      <c r="Q208" s="377"/>
      <c r="R208" s="377"/>
      <c r="S208" s="377"/>
      <c r="T208" s="377"/>
      <c r="U208" s="377"/>
      <c r="V208" s="377"/>
      <c r="W208" s="377"/>
      <c r="X208" s="377"/>
      <c r="Y208" s="377"/>
      <c r="Z208" s="377"/>
      <c r="AA208" s="377"/>
      <c r="AB208" s="377"/>
      <c r="AC208" s="377"/>
      <c r="AD208" s="377"/>
      <c r="AE208" s="377"/>
      <c r="AF208" s="377"/>
      <c r="AG208" s="377"/>
    </row>
    <row r="209" ht="14.25" customHeight="1">
      <c r="A209" s="377"/>
      <c r="B209" s="377"/>
      <c r="C209" s="377"/>
      <c r="D209" s="377"/>
      <c r="E209" s="377"/>
      <c r="F209" s="377"/>
      <c r="G209" s="377"/>
      <c r="H209" s="377"/>
      <c r="I209" s="377"/>
      <c r="J209" s="377"/>
      <c r="K209" s="377"/>
      <c r="L209" s="377"/>
      <c r="M209" s="377"/>
      <c r="N209" s="377"/>
      <c r="O209" s="377"/>
      <c r="P209" s="377"/>
      <c r="Q209" s="377"/>
      <c r="R209" s="377"/>
      <c r="S209" s="377"/>
      <c r="T209" s="377"/>
      <c r="U209" s="377"/>
      <c r="V209" s="377"/>
      <c r="W209" s="377"/>
      <c r="X209" s="377"/>
      <c r="Y209" s="377"/>
      <c r="Z209" s="377"/>
      <c r="AA209" s="377"/>
      <c r="AB209" s="377"/>
      <c r="AC209" s="377"/>
      <c r="AD209" s="377"/>
      <c r="AE209" s="377"/>
      <c r="AF209" s="377"/>
      <c r="AG209" s="377"/>
    </row>
    <row r="210" ht="14.25" customHeight="1">
      <c r="A210" s="377"/>
      <c r="B210" s="377"/>
      <c r="C210" s="377"/>
      <c r="D210" s="377"/>
      <c r="E210" s="377"/>
      <c r="F210" s="377"/>
      <c r="G210" s="377"/>
      <c r="H210" s="377"/>
      <c r="I210" s="377"/>
      <c r="J210" s="377"/>
      <c r="K210" s="377"/>
      <c r="L210" s="377"/>
      <c r="M210" s="377"/>
      <c r="N210" s="377"/>
      <c r="O210" s="377"/>
      <c r="P210" s="377"/>
      <c r="Q210" s="377"/>
      <c r="R210" s="377"/>
      <c r="S210" s="377"/>
      <c r="T210" s="377"/>
      <c r="U210" s="377"/>
      <c r="V210" s="377"/>
      <c r="W210" s="377"/>
      <c r="X210" s="377"/>
      <c r="Y210" s="377"/>
      <c r="Z210" s="377"/>
      <c r="AA210" s="377"/>
      <c r="AB210" s="377"/>
      <c r="AC210" s="377"/>
      <c r="AD210" s="377"/>
      <c r="AE210" s="377"/>
      <c r="AF210" s="377"/>
      <c r="AG210" s="377"/>
    </row>
    <row r="211" ht="14.25" customHeight="1">
      <c r="A211" s="377"/>
      <c r="B211" s="377"/>
      <c r="C211" s="377"/>
      <c r="D211" s="377"/>
      <c r="E211" s="377"/>
      <c r="F211" s="377"/>
      <c r="G211" s="377"/>
      <c r="H211" s="377"/>
      <c r="I211" s="377"/>
      <c r="J211" s="377"/>
      <c r="K211" s="377"/>
      <c r="L211" s="377"/>
      <c r="M211" s="377"/>
      <c r="N211" s="377"/>
      <c r="O211" s="377"/>
      <c r="P211" s="377"/>
      <c r="Q211" s="377"/>
      <c r="R211" s="377"/>
      <c r="S211" s="377"/>
      <c r="T211" s="377"/>
      <c r="U211" s="377"/>
      <c r="V211" s="377"/>
      <c r="W211" s="377"/>
      <c r="X211" s="377"/>
      <c r="Y211" s="377"/>
      <c r="Z211" s="377"/>
      <c r="AA211" s="377"/>
      <c r="AB211" s="377"/>
      <c r="AC211" s="377"/>
      <c r="AD211" s="377"/>
      <c r="AE211" s="377"/>
      <c r="AF211" s="377"/>
      <c r="AG211" s="377"/>
    </row>
    <row r="212" ht="14.25" customHeight="1">
      <c r="A212" s="377"/>
      <c r="B212" s="377"/>
      <c r="C212" s="377"/>
      <c r="D212" s="377"/>
      <c r="E212" s="377"/>
      <c r="F212" s="377"/>
      <c r="G212" s="377"/>
      <c r="H212" s="377"/>
      <c r="I212" s="377"/>
      <c r="J212" s="377"/>
      <c r="K212" s="377"/>
      <c r="L212" s="377"/>
      <c r="M212" s="377"/>
      <c r="N212" s="377"/>
      <c r="O212" s="377"/>
      <c r="P212" s="377"/>
      <c r="Q212" s="377"/>
      <c r="R212" s="377"/>
      <c r="S212" s="377"/>
      <c r="T212" s="377"/>
      <c r="U212" s="377"/>
      <c r="V212" s="377"/>
      <c r="W212" s="377"/>
      <c r="X212" s="377"/>
      <c r="Y212" s="377"/>
      <c r="Z212" s="377"/>
      <c r="AA212" s="377"/>
      <c r="AB212" s="377"/>
      <c r="AC212" s="377"/>
      <c r="AD212" s="377"/>
      <c r="AE212" s="377"/>
      <c r="AF212" s="377"/>
      <c r="AG212" s="377"/>
    </row>
    <row r="213" ht="14.25" customHeight="1">
      <c r="A213" s="377"/>
      <c r="B213" s="377"/>
      <c r="C213" s="377"/>
      <c r="D213" s="377"/>
      <c r="E213" s="377"/>
      <c r="F213" s="377"/>
      <c r="G213" s="377"/>
      <c r="H213" s="377"/>
      <c r="I213" s="377"/>
      <c r="J213" s="377"/>
      <c r="K213" s="377"/>
      <c r="L213" s="377"/>
      <c r="M213" s="377"/>
      <c r="N213" s="377"/>
      <c r="O213" s="377"/>
      <c r="P213" s="377"/>
      <c r="Q213" s="377"/>
      <c r="R213" s="377"/>
      <c r="S213" s="377"/>
      <c r="T213" s="377"/>
      <c r="U213" s="377"/>
      <c r="V213" s="377"/>
      <c r="W213" s="377"/>
      <c r="X213" s="377"/>
      <c r="Y213" s="377"/>
      <c r="Z213" s="377"/>
      <c r="AA213" s="377"/>
      <c r="AB213" s="377"/>
      <c r="AC213" s="377"/>
      <c r="AD213" s="377"/>
      <c r="AE213" s="377"/>
      <c r="AF213" s="377"/>
      <c r="AG213" s="377"/>
    </row>
    <row r="214" ht="14.25" customHeight="1">
      <c r="A214" s="377"/>
      <c r="B214" s="377"/>
      <c r="C214" s="377"/>
      <c r="D214" s="377"/>
      <c r="E214" s="377"/>
      <c r="F214" s="377"/>
      <c r="G214" s="377"/>
      <c r="H214" s="377"/>
      <c r="I214" s="377"/>
      <c r="J214" s="377"/>
      <c r="K214" s="377"/>
      <c r="L214" s="377"/>
      <c r="M214" s="377"/>
      <c r="N214" s="377"/>
      <c r="O214" s="377"/>
      <c r="P214" s="377"/>
      <c r="Q214" s="377"/>
      <c r="R214" s="377"/>
      <c r="S214" s="377"/>
      <c r="T214" s="377"/>
      <c r="U214" s="377"/>
      <c r="V214" s="377"/>
      <c r="W214" s="377"/>
      <c r="X214" s="377"/>
      <c r="Y214" s="377"/>
      <c r="Z214" s="377"/>
      <c r="AA214" s="377"/>
      <c r="AB214" s="377"/>
      <c r="AC214" s="377"/>
      <c r="AD214" s="377"/>
      <c r="AE214" s="377"/>
      <c r="AF214" s="377"/>
      <c r="AG214" s="377"/>
    </row>
    <row r="215" ht="14.25" customHeight="1">
      <c r="A215" s="377"/>
      <c r="B215" s="377"/>
      <c r="C215" s="377"/>
      <c r="D215" s="377"/>
      <c r="E215" s="377"/>
      <c r="F215" s="377"/>
      <c r="G215" s="377"/>
      <c r="H215" s="377"/>
      <c r="I215" s="377"/>
      <c r="J215" s="377"/>
      <c r="K215" s="377"/>
      <c r="L215" s="377"/>
      <c r="M215" s="377"/>
      <c r="N215" s="377"/>
      <c r="O215" s="377"/>
      <c r="P215" s="377"/>
      <c r="Q215" s="377"/>
      <c r="R215" s="377"/>
      <c r="S215" s="377"/>
      <c r="T215" s="377"/>
      <c r="U215" s="377"/>
      <c r="V215" s="377"/>
      <c r="W215" s="377"/>
      <c r="X215" s="377"/>
      <c r="Y215" s="377"/>
      <c r="Z215" s="377"/>
      <c r="AA215" s="377"/>
      <c r="AB215" s="377"/>
      <c r="AC215" s="377"/>
      <c r="AD215" s="377"/>
      <c r="AE215" s="377"/>
      <c r="AF215" s="377"/>
      <c r="AG215" s="377"/>
    </row>
    <row r="216" ht="14.25" customHeight="1">
      <c r="A216" s="377"/>
      <c r="B216" s="377"/>
      <c r="C216" s="377"/>
      <c r="D216" s="377"/>
      <c r="E216" s="377"/>
      <c r="F216" s="377"/>
      <c r="G216" s="377"/>
      <c r="H216" s="377"/>
      <c r="I216" s="377"/>
      <c r="J216" s="377"/>
      <c r="K216" s="377"/>
      <c r="L216" s="377"/>
      <c r="M216" s="377"/>
      <c r="N216" s="377"/>
      <c r="O216" s="377"/>
      <c r="P216" s="377"/>
      <c r="Q216" s="377"/>
      <c r="R216" s="377"/>
      <c r="S216" s="377"/>
      <c r="T216" s="377"/>
      <c r="U216" s="377"/>
      <c r="V216" s="377"/>
      <c r="W216" s="377"/>
      <c r="X216" s="377"/>
      <c r="Y216" s="377"/>
      <c r="Z216" s="377"/>
      <c r="AA216" s="377"/>
      <c r="AB216" s="377"/>
      <c r="AC216" s="377"/>
      <c r="AD216" s="377"/>
      <c r="AE216" s="377"/>
      <c r="AF216" s="377"/>
      <c r="AG216" s="377"/>
    </row>
    <row r="217" ht="14.25" customHeight="1">
      <c r="A217" s="377"/>
      <c r="B217" s="377"/>
      <c r="C217" s="377"/>
      <c r="D217" s="377"/>
      <c r="E217" s="377"/>
      <c r="F217" s="377"/>
      <c r="G217" s="377"/>
      <c r="H217" s="377"/>
      <c r="I217" s="377"/>
      <c r="J217" s="377"/>
      <c r="K217" s="377"/>
      <c r="L217" s="377"/>
      <c r="M217" s="377"/>
      <c r="N217" s="377"/>
      <c r="O217" s="377"/>
      <c r="P217" s="377"/>
      <c r="Q217" s="377"/>
      <c r="R217" s="377"/>
      <c r="S217" s="377"/>
      <c r="T217" s="377"/>
      <c r="U217" s="377"/>
      <c r="V217" s="377"/>
      <c r="W217" s="377"/>
      <c r="X217" s="377"/>
      <c r="Y217" s="377"/>
      <c r="Z217" s="377"/>
      <c r="AA217" s="377"/>
      <c r="AB217" s="377"/>
      <c r="AC217" s="377"/>
      <c r="AD217" s="377"/>
      <c r="AE217" s="377"/>
      <c r="AF217" s="377"/>
      <c r="AG217" s="377"/>
    </row>
    <row r="218" ht="14.25" customHeight="1">
      <c r="A218" s="377"/>
      <c r="B218" s="377"/>
      <c r="C218" s="377"/>
      <c r="D218" s="377"/>
      <c r="E218" s="377"/>
      <c r="F218" s="377"/>
      <c r="G218" s="377"/>
      <c r="H218" s="377"/>
      <c r="I218" s="377"/>
      <c r="J218" s="377"/>
      <c r="K218" s="377"/>
      <c r="L218" s="377"/>
      <c r="M218" s="377"/>
      <c r="N218" s="377"/>
      <c r="O218" s="377"/>
      <c r="P218" s="377"/>
      <c r="Q218" s="377"/>
      <c r="R218" s="377"/>
      <c r="S218" s="377"/>
      <c r="T218" s="377"/>
      <c r="U218" s="377"/>
      <c r="V218" s="377"/>
      <c r="W218" s="377"/>
      <c r="X218" s="377"/>
      <c r="Y218" s="377"/>
      <c r="Z218" s="377"/>
      <c r="AA218" s="377"/>
      <c r="AB218" s="377"/>
      <c r="AC218" s="377"/>
      <c r="AD218" s="377"/>
      <c r="AE218" s="377"/>
      <c r="AF218" s="377"/>
      <c r="AG218" s="377"/>
    </row>
    <row r="219" ht="14.25" customHeight="1">
      <c r="A219" s="377"/>
      <c r="B219" s="377"/>
      <c r="C219" s="377"/>
      <c r="D219" s="377"/>
      <c r="E219" s="377"/>
      <c r="F219" s="377"/>
      <c r="G219" s="377"/>
      <c r="H219" s="377"/>
      <c r="I219" s="377"/>
      <c r="J219" s="377"/>
      <c r="K219" s="377"/>
      <c r="L219" s="377"/>
      <c r="M219" s="377"/>
      <c r="N219" s="377"/>
      <c r="O219" s="377"/>
      <c r="P219" s="377"/>
      <c r="Q219" s="377"/>
      <c r="R219" s="377"/>
      <c r="S219" s="377"/>
      <c r="T219" s="377"/>
      <c r="U219" s="377"/>
      <c r="V219" s="377"/>
      <c r="W219" s="377"/>
      <c r="X219" s="377"/>
      <c r="Y219" s="377"/>
      <c r="Z219" s="377"/>
      <c r="AA219" s="377"/>
      <c r="AB219" s="377"/>
      <c r="AC219" s="377"/>
      <c r="AD219" s="377"/>
      <c r="AE219" s="377"/>
      <c r="AF219" s="377"/>
      <c r="AG219" s="377"/>
    </row>
    <row r="220" ht="14.25" customHeight="1">
      <c r="A220" s="377"/>
      <c r="B220" s="377"/>
      <c r="C220" s="377"/>
      <c r="D220" s="377"/>
      <c r="E220" s="377"/>
      <c r="F220" s="377"/>
      <c r="G220" s="377"/>
      <c r="H220" s="377"/>
      <c r="I220" s="377"/>
      <c r="J220" s="377"/>
      <c r="K220" s="377"/>
      <c r="L220" s="377"/>
      <c r="M220" s="377"/>
      <c r="N220" s="377"/>
      <c r="O220" s="377"/>
      <c r="P220" s="377"/>
      <c r="Q220" s="377"/>
      <c r="R220" s="377"/>
      <c r="S220" s="377"/>
      <c r="T220" s="377"/>
      <c r="U220" s="377"/>
      <c r="V220" s="377"/>
      <c r="W220" s="377"/>
      <c r="X220" s="377"/>
      <c r="Y220" s="377"/>
      <c r="Z220" s="377"/>
      <c r="AA220" s="377"/>
      <c r="AB220" s="377"/>
      <c r="AC220" s="377"/>
      <c r="AD220" s="377"/>
      <c r="AE220" s="377"/>
      <c r="AF220" s="377"/>
      <c r="AG220" s="377"/>
    </row>
    <row r="221" ht="14.25" customHeight="1">
      <c r="A221" s="377"/>
      <c r="B221" s="377"/>
      <c r="C221" s="377"/>
      <c r="D221" s="377"/>
      <c r="E221" s="377"/>
      <c r="F221" s="377"/>
      <c r="G221" s="377"/>
      <c r="H221" s="377"/>
      <c r="I221" s="377"/>
      <c r="J221" s="377"/>
      <c r="K221" s="377"/>
      <c r="L221" s="377"/>
      <c r="M221" s="377"/>
      <c r="N221" s="377"/>
      <c r="O221" s="377"/>
      <c r="P221" s="377"/>
      <c r="Q221" s="377"/>
      <c r="R221" s="377"/>
      <c r="S221" s="377"/>
      <c r="T221" s="377"/>
      <c r="U221" s="377"/>
      <c r="V221" s="377"/>
      <c r="W221" s="377"/>
      <c r="X221" s="377"/>
      <c r="Y221" s="377"/>
      <c r="Z221" s="377"/>
      <c r="AA221" s="377"/>
      <c r="AB221" s="377"/>
      <c r="AC221" s="377"/>
      <c r="AD221" s="377"/>
      <c r="AE221" s="377"/>
      <c r="AF221" s="377"/>
      <c r="AG221" s="377"/>
    </row>
    <row r="222" ht="14.25" customHeight="1">
      <c r="A222" s="377"/>
      <c r="B222" s="377"/>
      <c r="C222" s="377"/>
      <c r="D222" s="377"/>
      <c r="E222" s="377"/>
      <c r="F222" s="377"/>
      <c r="G222" s="377"/>
      <c r="H222" s="377"/>
      <c r="I222" s="377"/>
      <c r="J222" s="377"/>
      <c r="K222" s="377"/>
      <c r="L222" s="377"/>
      <c r="M222" s="377"/>
      <c r="N222" s="377"/>
      <c r="O222" s="377"/>
      <c r="P222" s="377"/>
      <c r="Q222" s="377"/>
      <c r="R222" s="377"/>
      <c r="S222" s="377"/>
      <c r="T222" s="377"/>
      <c r="U222" s="377"/>
      <c r="V222" s="377"/>
      <c r="W222" s="377"/>
      <c r="X222" s="377"/>
      <c r="Y222" s="377"/>
      <c r="Z222" s="377"/>
      <c r="AA222" s="377"/>
      <c r="AB222" s="377"/>
      <c r="AC222" s="377"/>
      <c r="AD222" s="377"/>
      <c r="AE222" s="377"/>
      <c r="AF222" s="377"/>
      <c r="AG222" s="377"/>
    </row>
    <row r="223" ht="14.25" customHeight="1">
      <c r="A223" s="377"/>
      <c r="B223" s="377"/>
      <c r="C223" s="377"/>
      <c r="D223" s="377"/>
      <c r="E223" s="377"/>
      <c r="F223" s="377"/>
      <c r="G223" s="377"/>
      <c r="H223" s="377"/>
      <c r="I223" s="377"/>
      <c r="J223" s="377"/>
      <c r="K223" s="377"/>
      <c r="L223" s="377"/>
      <c r="M223" s="377"/>
      <c r="N223" s="377"/>
      <c r="O223" s="377"/>
      <c r="P223" s="377"/>
      <c r="Q223" s="377"/>
      <c r="R223" s="377"/>
      <c r="S223" s="377"/>
      <c r="T223" s="377"/>
      <c r="U223" s="377"/>
      <c r="V223" s="377"/>
      <c r="W223" s="377"/>
      <c r="X223" s="377"/>
      <c r="Y223" s="377"/>
      <c r="Z223" s="377"/>
      <c r="AA223" s="377"/>
      <c r="AB223" s="377"/>
      <c r="AC223" s="377"/>
      <c r="AD223" s="377"/>
      <c r="AE223" s="377"/>
      <c r="AF223" s="377"/>
      <c r="AG223" s="377"/>
    </row>
    <row r="224" ht="14.25" customHeight="1">
      <c r="A224" s="377"/>
      <c r="B224" s="377"/>
      <c r="C224" s="377"/>
      <c r="D224" s="377"/>
      <c r="E224" s="377"/>
      <c r="F224" s="377"/>
      <c r="G224" s="377"/>
      <c r="H224" s="377"/>
      <c r="I224" s="377"/>
      <c r="J224" s="377"/>
      <c r="K224" s="377"/>
      <c r="L224" s="377"/>
      <c r="M224" s="377"/>
      <c r="N224" s="377"/>
      <c r="O224" s="377"/>
      <c r="P224" s="377"/>
      <c r="Q224" s="377"/>
      <c r="R224" s="377"/>
      <c r="S224" s="377"/>
      <c r="T224" s="377"/>
      <c r="U224" s="377"/>
      <c r="V224" s="377"/>
      <c r="W224" s="377"/>
      <c r="X224" s="377"/>
      <c r="Y224" s="377"/>
      <c r="Z224" s="377"/>
      <c r="AA224" s="377"/>
      <c r="AB224" s="377"/>
      <c r="AC224" s="377"/>
      <c r="AD224" s="377"/>
      <c r="AE224" s="377"/>
      <c r="AF224" s="377"/>
      <c r="AG224" s="377"/>
    </row>
    <row r="225" ht="14.25" customHeight="1">
      <c r="A225" s="377"/>
      <c r="B225" s="377"/>
      <c r="C225" s="377"/>
      <c r="D225" s="377"/>
      <c r="E225" s="377"/>
      <c r="F225" s="377"/>
      <c r="G225" s="377"/>
      <c r="H225" s="377"/>
      <c r="I225" s="377"/>
      <c r="J225" s="377"/>
      <c r="K225" s="377"/>
      <c r="L225" s="377"/>
      <c r="M225" s="377"/>
      <c r="N225" s="377"/>
      <c r="O225" s="377"/>
      <c r="P225" s="377"/>
      <c r="Q225" s="377"/>
      <c r="R225" s="377"/>
      <c r="S225" s="377"/>
      <c r="T225" s="377"/>
      <c r="U225" s="377"/>
      <c r="V225" s="377"/>
      <c r="W225" s="377"/>
      <c r="X225" s="377"/>
      <c r="Y225" s="377"/>
      <c r="Z225" s="377"/>
      <c r="AA225" s="377"/>
      <c r="AB225" s="377"/>
      <c r="AC225" s="377"/>
      <c r="AD225" s="377"/>
      <c r="AE225" s="377"/>
      <c r="AF225" s="377"/>
      <c r="AG225" s="377"/>
    </row>
    <row r="226" ht="14.25" customHeight="1">
      <c r="A226" s="377"/>
      <c r="B226" s="377"/>
      <c r="C226" s="377"/>
      <c r="D226" s="377"/>
      <c r="E226" s="377"/>
      <c r="F226" s="377"/>
      <c r="G226" s="377"/>
      <c r="H226" s="377"/>
      <c r="I226" s="377"/>
      <c r="J226" s="377"/>
      <c r="K226" s="377"/>
      <c r="L226" s="377"/>
      <c r="M226" s="377"/>
      <c r="N226" s="377"/>
      <c r="O226" s="377"/>
      <c r="P226" s="377"/>
      <c r="Q226" s="377"/>
      <c r="R226" s="377"/>
      <c r="S226" s="377"/>
      <c r="T226" s="377"/>
      <c r="U226" s="377"/>
      <c r="V226" s="377"/>
      <c r="W226" s="377"/>
      <c r="X226" s="377"/>
      <c r="Y226" s="377"/>
      <c r="Z226" s="377"/>
      <c r="AA226" s="377"/>
      <c r="AB226" s="377"/>
      <c r="AC226" s="377"/>
      <c r="AD226" s="377"/>
      <c r="AE226" s="377"/>
      <c r="AF226" s="377"/>
      <c r="AG226" s="377"/>
    </row>
    <row r="227" ht="14.25" customHeight="1">
      <c r="A227" s="377"/>
      <c r="B227" s="377"/>
      <c r="C227" s="377"/>
      <c r="D227" s="377"/>
      <c r="E227" s="377"/>
      <c r="F227" s="377"/>
      <c r="G227" s="377"/>
      <c r="H227" s="377"/>
      <c r="I227" s="377"/>
      <c r="J227" s="377"/>
      <c r="K227" s="377"/>
      <c r="L227" s="377"/>
      <c r="M227" s="377"/>
      <c r="N227" s="377"/>
      <c r="O227" s="377"/>
      <c r="P227" s="377"/>
      <c r="Q227" s="377"/>
      <c r="R227" s="377"/>
      <c r="S227" s="377"/>
      <c r="T227" s="377"/>
      <c r="U227" s="377"/>
      <c r="V227" s="377"/>
      <c r="W227" s="377"/>
      <c r="X227" s="377"/>
      <c r="Y227" s="377"/>
      <c r="Z227" s="377"/>
      <c r="AA227" s="377"/>
      <c r="AB227" s="377"/>
      <c r="AC227" s="377"/>
      <c r="AD227" s="377"/>
      <c r="AE227" s="377"/>
      <c r="AF227" s="377"/>
      <c r="AG227" s="377"/>
    </row>
    <row r="228" ht="14.25" customHeight="1">
      <c r="A228" s="377"/>
      <c r="B228" s="377"/>
      <c r="C228" s="377"/>
      <c r="D228" s="377"/>
      <c r="E228" s="377"/>
      <c r="F228" s="377"/>
      <c r="G228" s="377"/>
      <c r="H228" s="377"/>
      <c r="I228" s="377"/>
      <c r="J228" s="377"/>
      <c r="K228" s="377"/>
      <c r="L228" s="377"/>
      <c r="M228" s="377"/>
      <c r="N228" s="377"/>
      <c r="O228" s="377"/>
      <c r="P228" s="377"/>
      <c r="Q228" s="377"/>
      <c r="R228" s="377"/>
      <c r="S228" s="377"/>
      <c r="T228" s="377"/>
      <c r="U228" s="377"/>
      <c r="V228" s="377"/>
      <c r="W228" s="377"/>
      <c r="X228" s="377"/>
      <c r="Y228" s="377"/>
      <c r="Z228" s="377"/>
      <c r="AA228" s="377"/>
      <c r="AB228" s="377"/>
      <c r="AC228" s="377"/>
      <c r="AD228" s="377"/>
      <c r="AE228" s="377"/>
      <c r="AF228" s="377"/>
      <c r="AG228" s="377"/>
    </row>
    <row r="229" ht="14.25" customHeight="1">
      <c r="A229" s="377"/>
      <c r="B229" s="377"/>
      <c r="C229" s="377"/>
      <c r="D229" s="377"/>
      <c r="E229" s="377"/>
      <c r="F229" s="377"/>
      <c r="G229" s="377"/>
      <c r="H229" s="377"/>
      <c r="I229" s="377"/>
      <c r="J229" s="377"/>
      <c r="K229" s="377"/>
      <c r="L229" s="377"/>
      <c r="M229" s="377"/>
      <c r="N229" s="377"/>
      <c r="O229" s="377"/>
      <c r="P229" s="377"/>
      <c r="Q229" s="377"/>
      <c r="R229" s="377"/>
      <c r="S229" s="377"/>
      <c r="T229" s="377"/>
      <c r="U229" s="377"/>
      <c r="V229" s="377"/>
      <c r="W229" s="377"/>
      <c r="X229" s="377"/>
      <c r="Y229" s="377"/>
      <c r="Z229" s="377"/>
      <c r="AA229" s="377"/>
      <c r="AB229" s="377"/>
      <c r="AC229" s="377"/>
      <c r="AD229" s="377"/>
      <c r="AE229" s="377"/>
      <c r="AF229" s="377"/>
      <c r="AG229" s="377"/>
    </row>
    <row r="230" ht="14.25" customHeight="1">
      <c r="A230" s="377"/>
      <c r="B230" s="377"/>
      <c r="C230" s="377"/>
      <c r="D230" s="377"/>
      <c r="E230" s="377"/>
      <c r="F230" s="377"/>
      <c r="G230" s="377"/>
      <c r="H230" s="377"/>
      <c r="I230" s="377"/>
      <c r="J230" s="377"/>
      <c r="K230" s="377"/>
      <c r="L230" s="377"/>
      <c r="M230" s="377"/>
      <c r="N230" s="377"/>
      <c r="O230" s="377"/>
      <c r="P230" s="377"/>
      <c r="Q230" s="377"/>
      <c r="R230" s="377"/>
      <c r="S230" s="377"/>
      <c r="T230" s="377"/>
      <c r="U230" s="377"/>
      <c r="V230" s="377"/>
      <c r="W230" s="377"/>
      <c r="X230" s="377"/>
      <c r="Y230" s="377"/>
      <c r="Z230" s="377"/>
      <c r="AA230" s="377"/>
      <c r="AB230" s="377"/>
      <c r="AC230" s="377"/>
      <c r="AD230" s="377"/>
      <c r="AE230" s="377"/>
      <c r="AF230" s="377"/>
      <c r="AG230" s="377"/>
    </row>
    <row r="231" ht="14.25" customHeight="1">
      <c r="A231" s="377"/>
      <c r="B231" s="377"/>
      <c r="C231" s="377"/>
      <c r="D231" s="377"/>
      <c r="E231" s="377"/>
      <c r="F231" s="377"/>
      <c r="G231" s="377"/>
      <c r="H231" s="377"/>
      <c r="I231" s="377"/>
      <c r="J231" s="377"/>
      <c r="K231" s="377"/>
      <c r="L231" s="377"/>
      <c r="M231" s="377"/>
      <c r="N231" s="377"/>
      <c r="O231" s="377"/>
      <c r="P231" s="377"/>
      <c r="Q231" s="377"/>
      <c r="R231" s="377"/>
      <c r="S231" s="377"/>
      <c r="T231" s="377"/>
      <c r="U231" s="377"/>
      <c r="V231" s="377"/>
      <c r="W231" s="377"/>
      <c r="X231" s="377"/>
      <c r="Y231" s="377"/>
      <c r="Z231" s="377"/>
      <c r="AA231" s="377"/>
      <c r="AB231" s="377"/>
      <c r="AC231" s="377"/>
      <c r="AD231" s="377"/>
      <c r="AE231" s="377"/>
      <c r="AF231" s="377"/>
      <c r="AG231" s="377"/>
    </row>
    <row r="232" ht="14.25" customHeight="1">
      <c r="A232" s="377"/>
      <c r="B232" s="377"/>
      <c r="C232" s="377"/>
      <c r="D232" s="377"/>
      <c r="E232" s="377"/>
      <c r="F232" s="377"/>
      <c r="G232" s="377"/>
      <c r="H232" s="377"/>
      <c r="I232" s="377"/>
      <c r="J232" s="377"/>
      <c r="K232" s="377"/>
      <c r="L232" s="377"/>
      <c r="M232" s="377"/>
      <c r="N232" s="377"/>
      <c r="O232" s="377"/>
      <c r="P232" s="377"/>
      <c r="Q232" s="377"/>
      <c r="R232" s="377"/>
      <c r="S232" s="377"/>
      <c r="T232" s="377"/>
      <c r="U232" s="377"/>
      <c r="V232" s="377"/>
      <c r="W232" s="377"/>
      <c r="X232" s="377"/>
      <c r="Y232" s="377"/>
      <c r="Z232" s="377"/>
      <c r="AA232" s="377"/>
      <c r="AB232" s="377"/>
      <c r="AC232" s="377"/>
      <c r="AD232" s="377"/>
      <c r="AE232" s="377"/>
      <c r="AF232" s="377"/>
      <c r="AG232" s="377"/>
    </row>
    <row r="233" ht="14.25" customHeight="1">
      <c r="A233" s="377"/>
      <c r="B233" s="377"/>
      <c r="C233" s="377"/>
      <c r="D233" s="377"/>
      <c r="E233" s="377"/>
      <c r="F233" s="377"/>
      <c r="G233" s="377"/>
      <c r="H233" s="377"/>
      <c r="I233" s="377"/>
      <c r="J233" s="377"/>
      <c r="K233" s="377"/>
      <c r="L233" s="377"/>
      <c r="M233" s="377"/>
      <c r="N233" s="377"/>
      <c r="O233" s="377"/>
      <c r="P233" s="377"/>
      <c r="Q233" s="377"/>
      <c r="R233" s="377"/>
      <c r="S233" s="377"/>
      <c r="T233" s="377"/>
      <c r="U233" s="377"/>
      <c r="V233" s="377"/>
      <c r="W233" s="377"/>
      <c r="X233" s="377"/>
      <c r="Y233" s="377"/>
      <c r="Z233" s="377"/>
      <c r="AA233" s="377"/>
      <c r="AB233" s="377"/>
      <c r="AC233" s="377"/>
      <c r="AD233" s="377"/>
      <c r="AE233" s="377"/>
      <c r="AF233" s="377"/>
      <c r="AG233" s="377"/>
    </row>
    <row r="234" ht="14.25" customHeight="1">
      <c r="A234" s="377"/>
      <c r="B234" s="377"/>
      <c r="C234" s="377"/>
      <c r="D234" s="377"/>
      <c r="E234" s="377"/>
      <c r="F234" s="377"/>
      <c r="G234" s="377"/>
      <c r="H234" s="377"/>
      <c r="I234" s="377"/>
      <c r="J234" s="377"/>
      <c r="K234" s="377"/>
      <c r="L234" s="377"/>
      <c r="M234" s="377"/>
      <c r="N234" s="377"/>
      <c r="O234" s="377"/>
      <c r="P234" s="377"/>
      <c r="Q234" s="377"/>
      <c r="R234" s="377"/>
      <c r="S234" s="377"/>
      <c r="T234" s="377"/>
      <c r="U234" s="377"/>
      <c r="V234" s="377"/>
      <c r="W234" s="377"/>
      <c r="X234" s="377"/>
      <c r="Y234" s="377"/>
      <c r="Z234" s="377"/>
      <c r="AA234" s="377"/>
      <c r="AB234" s="377"/>
      <c r="AC234" s="377"/>
      <c r="AD234" s="377"/>
      <c r="AE234" s="377"/>
      <c r="AF234" s="377"/>
      <c r="AG234" s="377"/>
    </row>
    <row r="235" ht="14.25" customHeight="1">
      <c r="A235" s="377"/>
      <c r="B235" s="377"/>
      <c r="C235" s="377"/>
      <c r="D235" s="377"/>
      <c r="E235" s="377"/>
      <c r="F235" s="377"/>
      <c r="G235" s="377"/>
      <c r="H235" s="377"/>
      <c r="I235" s="377"/>
      <c r="J235" s="377"/>
      <c r="K235" s="377"/>
      <c r="L235" s="377"/>
      <c r="M235" s="377"/>
      <c r="N235" s="377"/>
      <c r="O235" s="377"/>
      <c r="P235" s="377"/>
      <c r="Q235" s="377"/>
      <c r="R235" s="377"/>
      <c r="S235" s="377"/>
      <c r="T235" s="377"/>
      <c r="U235" s="377"/>
      <c r="V235" s="377"/>
      <c r="W235" s="377"/>
      <c r="X235" s="377"/>
      <c r="Y235" s="377"/>
      <c r="Z235" s="377"/>
      <c r="AA235" s="377"/>
      <c r="AB235" s="377"/>
      <c r="AC235" s="377"/>
      <c r="AD235" s="377"/>
      <c r="AE235" s="377"/>
      <c r="AF235" s="377"/>
      <c r="AG235" s="377"/>
    </row>
    <row r="236" ht="14.25" customHeight="1">
      <c r="A236" s="377"/>
      <c r="B236" s="377"/>
      <c r="C236" s="377"/>
      <c r="D236" s="377"/>
      <c r="E236" s="377"/>
      <c r="F236" s="377"/>
      <c r="G236" s="377"/>
      <c r="H236" s="377"/>
      <c r="I236" s="377"/>
      <c r="J236" s="377"/>
      <c r="K236" s="377"/>
      <c r="L236" s="377"/>
      <c r="M236" s="377"/>
      <c r="N236" s="377"/>
      <c r="O236" s="377"/>
      <c r="P236" s="377"/>
      <c r="Q236" s="377"/>
      <c r="R236" s="377"/>
      <c r="S236" s="377"/>
      <c r="T236" s="377"/>
      <c r="U236" s="377"/>
      <c r="V236" s="377"/>
      <c r="W236" s="377"/>
      <c r="X236" s="377"/>
      <c r="Y236" s="377"/>
      <c r="Z236" s="377"/>
      <c r="AA236" s="377"/>
      <c r="AB236" s="377"/>
      <c r="AC236" s="377"/>
      <c r="AD236" s="377"/>
      <c r="AE236" s="377"/>
      <c r="AF236" s="377"/>
      <c r="AG236" s="377"/>
    </row>
    <row r="237" ht="14.25" customHeight="1">
      <c r="A237" s="377"/>
      <c r="B237" s="377"/>
      <c r="C237" s="377"/>
      <c r="D237" s="377"/>
      <c r="E237" s="377"/>
      <c r="F237" s="377"/>
      <c r="G237" s="377"/>
      <c r="H237" s="377"/>
      <c r="I237" s="377"/>
      <c r="J237" s="377"/>
      <c r="K237" s="377"/>
      <c r="L237" s="377"/>
      <c r="M237" s="377"/>
      <c r="N237" s="377"/>
      <c r="O237" s="377"/>
      <c r="P237" s="377"/>
      <c r="Q237" s="377"/>
      <c r="R237" s="377"/>
      <c r="S237" s="377"/>
      <c r="T237" s="377"/>
      <c r="U237" s="377"/>
      <c r="V237" s="377"/>
      <c r="W237" s="377"/>
      <c r="X237" s="377"/>
      <c r="Y237" s="377"/>
      <c r="Z237" s="377"/>
      <c r="AA237" s="377"/>
      <c r="AB237" s="377"/>
      <c r="AC237" s="377"/>
      <c r="AD237" s="377"/>
      <c r="AE237" s="377"/>
      <c r="AF237" s="377"/>
      <c r="AG237" s="377"/>
    </row>
    <row r="238" ht="14.25" customHeight="1">
      <c r="A238" s="377"/>
      <c r="B238" s="377"/>
      <c r="C238" s="377"/>
      <c r="D238" s="377"/>
      <c r="E238" s="377"/>
      <c r="F238" s="377"/>
      <c r="G238" s="377"/>
      <c r="H238" s="377"/>
      <c r="I238" s="377"/>
      <c r="J238" s="377"/>
      <c r="K238" s="377"/>
      <c r="L238" s="377"/>
      <c r="M238" s="377"/>
      <c r="N238" s="377"/>
      <c r="O238" s="377"/>
      <c r="P238" s="377"/>
      <c r="Q238" s="377"/>
      <c r="R238" s="377"/>
      <c r="S238" s="377"/>
      <c r="T238" s="377"/>
      <c r="U238" s="377"/>
      <c r="V238" s="377"/>
      <c r="W238" s="377"/>
      <c r="X238" s="377"/>
      <c r="Y238" s="377"/>
      <c r="Z238" s="377"/>
      <c r="AA238" s="377"/>
      <c r="AB238" s="377"/>
      <c r="AC238" s="377"/>
      <c r="AD238" s="377"/>
      <c r="AE238" s="377"/>
      <c r="AF238" s="377"/>
      <c r="AG238" s="377"/>
    </row>
    <row r="239" ht="14.25" customHeight="1">
      <c r="A239" s="377"/>
      <c r="B239" s="377"/>
      <c r="C239" s="377"/>
      <c r="D239" s="377"/>
      <c r="E239" s="377"/>
      <c r="F239" s="377"/>
      <c r="G239" s="377"/>
      <c r="H239" s="377"/>
      <c r="I239" s="377"/>
      <c r="J239" s="377"/>
      <c r="K239" s="377"/>
      <c r="L239" s="377"/>
      <c r="M239" s="377"/>
      <c r="N239" s="377"/>
      <c r="O239" s="377"/>
      <c r="P239" s="377"/>
      <c r="Q239" s="377"/>
      <c r="R239" s="377"/>
      <c r="S239" s="377"/>
      <c r="T239" s="377"/>
      <c r="U239" s="377"/>
      <c r="V239" s="377"/>
      <c r="W239" s="377"/>
      <c r="X239" s="377"/>
      <c r="Y239" s="377"/>
      <c r="Z239" s="377"/>
      <c r="AA239" s="377"/>
      <c r="AB239" s="377"/>
      <c r="AC239" s="377"/>
      <c r="AD239" s="377"/>
      <c r="AE239" s="377"/>
      <c r="AF239" s="377"/>
      <c r="AG239" s="377"/>
    </row>
    <row r="240" ht="14.25" customHeight="1">
      <c r="A240" s="377"/>
      <c r="B240" s="377"/>
      <c r="C240" s="377"/>
      <c r="D240" s="377"/>
      <c r="E240" s="377"/>
      <c r="F240" s="377"/>
      <c r="G240" s="377"/>
      <c r="H240" s="377"/>
      <c r="I240" s="377"/>
      <c r="J240" s="377"/>
      <c r="K240" s="377"/>
      <c r="L240" s="377"/>
      <c r="M240" s="377"/>
      <c r="N240" s="377"/>
      <c r="O240" s="377"/>
      <c r="P240" s="377"/>
      <c r="Q240" s="377"/>
      <c r="R240" s="377"/>
      <c r="S240" s="377"/>
      <c r="T240" s="377"/>
      <c r="U240" s="377"/>
      <c r="V240" s="377"/>
      <c r="W240" s="377"/>
      <c r="X240" s="377"/>
      <c r="Y240" s="377"/>
      <c r="Z240" s="377"/>
      <c r="AA240" s="377"/>
      <c r="AB240" s="377"/>
      <c r="AC240" s="377"/>
      <c r="AD240" s="377"/>
      <c r="AE240" s="377"/>
      <c r="AF240" s="377"/>
      <c r="AG240" s="377"/>
    </row>
    <row r="241" ht="14.25" customHeight="1">
      <c r="A241" s="377"/>
      <c r="B241" s="377"/>
      <c r="C241" s="377"/>
      <c r="D241" s="377"/>
      <c r="E241" s="377"/>
      <c r="F241" s="377"/>
      <c r="G241" s="377"/>
      <c r="H241" s="377"/>
      <c r="I241" s="377"/>
      <c r="J241" s="377"/>
      <c r="K241" s="377"/>
      <c r="L241" s="377"/>
      <c r="M241" s="377"/>
      <c r="N241" s="377"/>
      <c r="O241" s="377"/>
      <c r="P241" s="377"/>
      <c r="Q241" s="377"/>
      <c r="R241" s="377"/>
      <c r="S241" s="377"/>
      <c r="T241" s="377"/>
      <c r="U241" s="377"/>
      <c r="V241" s="377"/>
      <c r="W241" s="377"/>
      <c r="X241" s="377"/>
      <c r="Y241" s="377"/>
      <c r="Z241" s="377"/>
      <c r="AA241" s="377"/>
      <c r="AB241" s="377"/>
      <c r="AC241" s="377"/>
      <c r="AD241" s="377"/>
      <c r="AE241" s="377"/>
      <c r="AF241" s="377"/>
      <c r="AG241" s="377"/>
    </row>
    <row r="242" ht="14.25" customHeight="1">
      <c r="A242" s="377"/>
      <c r="B242" s="377"/>
      <c r="C242" s="377"/>
      <c r="D242" s="377"/>
      <c r="E242" s="377"/>
      <c r="F242" s="377"/>
      <c r="G242" s="377"/>
      <c r="H242" s="377"/>
      <c r="I242" s="377"/>
      <c r="J242" s="377"/>
      <c r="K242" s="377"/>
      <c r="L242" s="377"/>
      <c r="M242" s="377"/>
      <c r="N242" s="377"/>
      <c r="O242" s="377"/>
      <c r="P242" s="377"/>
      <c r="Q242" s="377"/>
      <c r="R242" s="377"/>
      <c r="S242" s="377"/>
      <c r="T242" s="377"/>
      <c r="U242" s="377"/>
      <c r="V242" s="377"/>
      <c r="W242" s="377"/>
      <c r="X242" s="377"/>
      <c r="Y242" s="377"/>
      <c r="Z242" s="377"/>
      <c r="AA242" s="377"/>
      <c r="AB242" s="377"/>
      <c r="AC242" s="377"/>
      <c r="AD242" s="377"/>
      <c r="AE242" s="377"/>
      <c r="AF242" s="377"/>
      <c r="AG242" s="377"/>
    </row>
    <row r="243" ht="14.25" customHeight="1">
      <c r="A243" s="377"/>
      <c r="B243" s="377"/>
      <c r="C243" s="377"/>
      <c r="D243" s="377"/>
      <c r="E243" s="377"/>
      <c r="F243" s="377"/>
      <c r="G243" s="377"/>
      <c r="H243" s="377"/>
      <c r="I243" s="377"/>
      <c r="J243" s="377"/>
      <c r="K243" s="377"/>
      <c r="L243" s="377"/>
      <c r="M243" s="377"/>
      <c r="N243" s="377"/>
      <c r="O243" s="377"/>
      <c r="P243" s="377"/>
      <c r="Q243" s="377"/>
      <c r="R243" s="377"/>
      <c r="S243" s="377"/>
      <c r="T243" s="377"/>
      <c r="U243" s="377"/>
      <c r="V243" s="377"/>
      <c r="W243" s="377"/>
      <c r="X243" s="377"/>
      <c r="Y243" s="377"/>
      <c r="Z243" s="377"/>
      <c r="AA243" s="377"/>
      <c r="AB243" s="377"/>
      <c r="AC243" s="377"/>
      <c r="AD243" s="377"/>
      <c r="AE243" s="377"/>
      <c r="AF243" s="377"/>
      <c r="AG243" s="377"/>
    </row>
    <row r="244" ht="14.25" customHeight="1">
      <c r="A244" s="377"/>
      <c r="B244" s="377"/>
      <c r="C244" s="377"/>
      <c r="D244" s="377"/>
      <c r="E244" s="377"/>
      <c r="F244" s="377"/>
      <c r="G244" s="377"/>
      <c r="H244" s="377"/>
      <c r="I244" s="377"/>
      <c r="J244" s="377"/>
      <c r="K244" s="377"/>
      <c r="L244" s="377"/>
      <c r="M244" s="377"/>
      <c r="N244" s="377"/>
      <c r="O244" s="377"/>
      <c r="P244" s="377"/>
      <c r="Q244" s="377"/>
      <c r="R244" s="377"/>
      <c r="S244" s="377"/>
      <c r="T244" s="377"/>
      <c r="U244" s="377"/>
      <c r="V244" s="377"/>
      <c r="W244" s="377"/>
      <c r="X244" s="377"/>
      <c r="Y244" s="377"/>
      <c r="Z244" s="377"/>
      <c r="AA244" s="377"/>
      <c r="AB244" s="377"/>
      <c r="AC244" s="377"/>
      <c r="AD244" s="377"/>
      <c r="AE244" s="377"/>
      <c r="AF244" s="377"/>
      <c r="AG244" s="377"/>
    </row>
    <row r="245" ht="14.25" customHeight="1">
      <c r="A245" s="377"/>
      <c r="B245" s="377"/>
      <c r="C245" s="377"/>
      <c r="D245" s="377"/>
      <c r="E245" s="377"/>
      <c r="F245" s="377"/>
      <c r="G245" s="377"/>
      <c r="H245" s="377"/>
      <c r="I245" s="377"/>
      <c r="J245" s="377"/>
      <c r="K245" s="377"/>
      <c r="L245" s="377"/>
      <c r="M245" s="377"/>
      <c r="N245" s="377"/>
      <c r="O245" s="377"/>
      <c r="P245" s="377"/>
      <c r="Q245" s="377"/>
      <c r="R245" s="377"/>
      <c r="S245" s="377"/>
      <c r="T245" s="377"/>
      <c r="U245" s="377"/>
      <c r="V245" s="377"/>
      <c r="W245" s="377"/>
      <c r="X245" s="377"/>
      <c r="Y245" s="377"/>
      <c r="Z245" s="377"/>
      <c r="AA245" s="377"/>
      <c r="AB245" s="377"/>
      <c r="AC245" s="377"/>
      <c r="AD245" s="377"/>
      <c r="AE245" s="377"/>
      <c r="AF245" s="377"/>
      <c r="AG245" s="377"/>
    </row>
    <row r="246" ht="14.25" customHeight="1">
      <c r="A246" s="377"/>
      <c r="B246" s="377"/>
      <c r="C246" s="377"/>
      <c r="D246" s="377"/>
      <c r="E246" s="377"/>
      <c r="F246" s="377"/>
      <c r="G246" s="377"/>
      <c r="H246" s="377"/>
      <c r="I246" s="377"/>
      <c r="J246" s="377"/>
      <c r="K246" s="377"/>
      <c r="L246" s="377"/>
      <c r="M246" s="377"/>
      <c r="N246" s="377"/>
      <c r="O246" s="377"/>
      <c r="P246" s="377"/>
      <c r="Q246" s="377"/>
      <c r="R246" s="377"/>
      <c r="S246" s="377"/>
      <c r="T246" s="377"/>
      <c r="U246" s="377"/>
      <c r="V246" s="377"/>
      <c r="W246" s="377"/>
      <c r="X246" s="377"/>
      <c r="Y246" s="377"/>
      <c r="Z246" s="377"/>
      <c r="AA246" s="377"/>
      <c r="AB246" s="377"/>
      <c r="AC246" s="377"/>
      <c r="AD246" s="377"/>
      <c r="AE246" s="377"/>
      <c r="AF246" s="377"/>
      <c r="AG246" s="377"/>
    </row>
    <row r="247" ht="14.25" customHeight="1">
      <c r="A247" s="377"/>
      <c r="B247" s="377"/>
      <c r="C247" s="377"/>
      <c r="D247" s="377"/>
      <c r="E247" s="377"/>
      <c r="F247" s="377"/>
      <c r="G247" s="377"/>
      <c r="H247" s="377"/>
      <c r="I247" s="377"/>
      <c r="J247" s="377"/>
      <c r="K247" s="377"/>
      <c r="L247" s="377"/>
      <c r="M247" s="377"/>
      <c r="N247" s="377"/>
      <c r="O247" s="377"/>
      <c r="P247" s="377"/>
      <c r="Q247" s="377"/>
      <c r="R247" s="377"/>
      <c r="S247" s="377"/>
      <c r="T247" s="377"/>
      <c r="U247" s="377"/>
      <c r="V247" s="377"/>
      <c r="W247" s="377"/>
      <c r="X247" s="377"/>
      <c r="Y247" s="377"/>
      <c r="Z247" s="377"/>
      <c r="AA247" s="377"/>
      <c r="AB247" s="377"/>
      <c r="AC247" s="377"/>
      <c r="AD247" s="377"/>
      <c r="AE247" s="377"/>
      <c r="AF247" s="377"/>
      <c r="AG247" s="377"/>
    </row>
    <row r="248" ht="14.25" customHeight="1">
      <c r="A248" s="377"/>
      <c r="B248" s="377"/>
      <c r="C248" s="377"/>
      <c r="D248" s="377"/>
      <c r="E248" s="377"/>
      <c r="F248" s="377"/>
      <c r="G248" s="377"/>
      <c r="H248" s="377"/>
      <c r="I248" s="377"/>
      <c r="J248" s="377"/>
      <c r="K248" s="377"/>
      <c r="L248" s="377"/>
      <c r="M248" s="377"/>
      <c r="N248" s="377"/>
      <c r="O248" s="377"/>
      <c r="P248" s="377"/>
      <c r="Q248" s="377"/>
      <c r="R248" s="377"/>
      <c r="S248" s="377"/>
      <c r="T248" s="377"/>
      <c r="U248" s="377"/>
      <c r="V248" s="377"/>
      <c r="W248" s="377"/>
      <c r="X248" s="377"/>
      <c r="Y248" s="377"/>
      <c r="Z248" s="377"/>
      <c r="AA248" s="377"/>
      <c r="AB248" s="377"/>
      <c r="AC248" s="377"/>
      <c r="AD248" s="377"/>
      <c r="AE248" s="377"/>
      <c r="AF248" s="377"/>
      <c r="AG248" s="377"/>
    </row>
    <row r="249" ht="14.25" customHeight="1">
      <c r="A249" s="377"/>
      <c r="B249" s="377"/>
      <c r="C249" s="377"/>
      <c r="D249" s="377"/>
      <c r="E249" s="377"/>
      <c r="F249" s="377"/>
      <c r="G249" s="377"/>
      <c r="H249" s="377"/>
      <c r="I249" s="377"/>
      <c r="J249" s="377"/>
      <c r="K249" s="377"/>
      <c r="L249" s="377"/>
      <c r="M249" s="377"/>
      <c r="N249" s="377"/>
      <c r="O249" s="377"/>
      <c r="P249" s="377"/>
      <c r="Q249" s="377"/>
      <c r="R249" s="377"/>
      <c r="S249" s="377"/>
      <c r="T249" s="377"/>
      <c r="U249" s="377"/>
      <c r="V249" s="377"/>
      <c r="W249" s="377"/>
      <c r="X249" s="377"/>
      <c r="Y249" s="377"/>
      <c r="Z249" s="377"/>
      <c r="AA249" s="377"/>
      <c r="AB249" s="377"/>
      <c r="AC249" s="377"/>
      <c r="AD249" s="377"/>
      <c r="AE249" s="377"/>
      <c r="AF249" s="377"/>
      <c r="AG249" s="377"/>
    </row>
    <row r="250" ht="14.25" customHeight="1">
      <c r="A250" s="377"/>
      <c r="B250" s="377"/>
      <c r="C250" s="377"/>
      <c r="D250" s="377"/>
      <c r="E250" s="377"/>
      <c r="F250" s="377"/>
      <c r="G250" s="377"/>
      <c r="H250" s="377"/>
      <c r="I250" s="377"/>
      <c r="J250" s="377"/>
      <c r="K250" s="377"/>
      <c r="L250" s="377"/>
      <c r="M250" s="377"/>
      <c r="N250" s="377"/>
      <c r="O250" s="377"/>
      <c r="P250" s="377"/>
      <c r="Q250" s="377"/>
      <c r="R250" s="377"/>
      <c r="S250" s="377"/>
      <c r="T250" s="377"/>
      <c r="U250" s="377"/>
      <c r="V250" s="377"/>
      <c r="W250" s="377"/>
      <c r="X250" s="377"/>
      <c r="Y250" s="377"/>
      <c r="Z250" s="377"/>
      <c r="AA250" s="377"/>
      <c r="AB250" s="377"/>
      <c r="AC250" s="377"/>
      <c r="AD250" s="377"/>
      <c r="AE250" s="377"/>
      <c r="AF250" s="377"/>
      <c r="AG250" s="377"/>
    </row>
    <row r="251" ht="14.25" customHeight="1">
      <c r="A251" s="377"/>
      <c r="B251" s="377"/>
      <c r="C251" s="377"/>
      <c r="D251" s="377"/>
      <c r="E251" s="377"/>
      <c r="F251" s="377"/>
      <c r="G251" s="377"/>
      <c r="H251" s="377"/>
      <c r="I251" s="377"/>
      <c r="J251" s="377"/>
      <c r="K251" s="377"/>
      <c r="L251" s="377"/>
      <c r="M251" s="377"/>
      <c r="N251" s="377"/>
      <c r="O251" s="377"/>
      <c r="P251" s="377"/>
      <c r="Q251" s="377"/>
      <c r="R251" s="377"/>
      <c r="S251" s="377"/>
      <c r="T251" s="377"/>
      <c r="U251" s="377"/>
      <c r="V251" s="377"/>
      <c r="W251" s="377"/>
      <c r="X251" s="377"/>
      <c r="Y251" s="377"/>
      <c r="Z251" s="377"/>
      <c r="AA251" s="377"/>
      <c r="AB251" s="377"/>
      <c r="AC251" s="377"/>
      <c r="AD251" s="377"/>
      <c r="AE251" s="377"/>
      <c r="AF251" s="377"/>
      <c r="AG251" s="377"/>
    </row>
    <row r="252" ht="14.25" customHeight="1">
      <c r="A252" s="377"/>
      <c r="B252" s="377"/>
      <c r="C252" s="377"/>
      <c r="D252" s="377"/>
      <c r="E252" s="377"/>
      <c r="F252" s="377"/>
      <c r="G252" s="377"/>
      <c r="H252" s="377"/>
      <c r="I252" s="377"/>
      <c r="J252" s="377"/>
      <c r="K252" s="377"/>
      <c r="L252" s="377"/>
      <c r="M252" s="377"/>
      <c r="N252" s="377"/>
      <c r="O252" s="377"/>
      <c r="P252" s="377"/>
      <c r="Q252" s="377"/>
      <c r="R252" s="377"/>
      <c r="S252" s="377"/>
      <c r="T252" s="377"/>
      <c r="U252" s="377"/>
      <c r="V252" s="377"/>
      <c r="W252" s="377"/>
      <c r="X252" s="377"/>
      <c r="Y252" s="377"/>
      <c r="Z252" s="377"/>
      <c r="AA252" s="377"/>
      <c r="AB252" s="377"/>
      <c r="AC252" s="377"/>
      <c r="AD252" s="377"/>
      <c r="AE252" s="377"/>
      <c r="AF252" s="377"/>
      <c r="AG252" s="377"/>
    </row>
    <row r="253" ht="14.25" customHeight="1">
      <c r="A253" s="377"/>
      <c r="B253" s="377"/>
      <c r="C253" s="377"/>
      <c r="D253" s="377"/>
      <c r="E253" s="377"/>
      <c r="F253" s="377"/>
      <c r="G253" s="377"/>
      <c r="H253" s="377"/>
      <c r="I253" s="377"/>
      <c r="J253" s="377"/>
      <c r="K253" s="377"/>
      <c r="L253" s="377"/>
      <c r="M253" s="377"/>
      <c r="N253" s="377"/>
      <c r="O253" s="377"/>
      <c r="P253" s="377"/>
      <c r="Q253" s="377"/>
      <c r="R253" s="377"/>
      <c r="S253" s="377"/>
      <c r="T253" s="377"/>
      <c r="U253" s="377"/>
      <c r="V253" s="377"/>
      <c r="W253" s="377"/>
      <c r="X253" s="377"/>
      <c r="Y253" s="377"/>
      <c r="Z253" s="377"/>
      <c r="AA253" s="377"/>
      <c r="AB253" s="377"/>
      <c r="AC253" s="377"/>
      <c r="AD253" s="377"/>
      <c r="AE253" s="377"/>
      <c r="AF253" s="377"/>
      <c r="AG253" s="377"/>
    </row>
    <row r="254" ht="14.25" customHeight="1">
      <c r="A254" s="377"/>
      <c r="B254" s="377"/>
      <c r="C254" s="377"/>
      <c r="D254" s="377"/>
      <c r="E254" s="377"/>
      <c r="F254" s="377"/>
      <c r="G254" s="377"/>
      <c r="H254" s="377"/>
      <c r="I254" s="377"/>
      <c r="J254" s="377"/>
      <c r="K254" s="377"/>
      <c r="L254" s="377"/>
      <c r="M254" s="377"/>
      <c r="N254" s="377"/>
      <c r="O254" s="377"/>
      <c r="P254" s="377"/>
      <c r="Q254" s="377"/>
      <c r="R254" s="377"/>
      <c r="S254" s="377"/>
      <c r="T254" s="377"/>
      <c r="U254" s="377"/>
      <c r="V254" s="377"/>
      <c r="W254" s="377"/>
      <c r="X254" s="377"/>
      <c r="Y254" s="377"/>
      <c r="Z254" s="377"/>
      <c r="AA254" s="377"/>
      <c r="AB254" s="377"/>
      <c r="AC254" s="377"/>
      <c r="AD254" s="377"/>
      <c r="AE254" s="377"/>
      <c r="AF254" s="377"/>
      <c r="AG254" s="377"/>
    </row>
    <row r="255" ht="14.25" customHeight="1">
      <c r="A255" s="377"/>
      <c r="B255" s="377"/>
      <c r="C255" s="377"/>
      <c r="D255" s="377"/>
      <c r="E255" s="377"/>
      <c r="F255" s="377"/>
      <c r="G255" s="377"/>
      <c r="H255" s="377"/>
      <c r="I255" s="377"/>
      <c r="J255" s="377"/>
      <c r="K255" s="377"/>
      <c r="L255" s="377"/>
      <c r="M255" s="377"/>
      <c r="N255" s="377"/>
      <c r="O255" s="377"/>
      <c r="P255" s="377"/>
      <c r="Q255" s="377"/>
      <c r="R255" s="377"/>
      <c r="S255" s="377"/>
      <c r="T255" s="377"/>
      <c r="U255" s="377"/>
      <c r="V255" s="377"/>
      <c r="W255" s="377"/>
      <c r="X255" s="377"/>
      <c r="Y255" s="377"/>
      <c r="Z255" s="377"/>
      <c r="AA255" s="377"/>
      <c r="AB255" s="377"/>
      <c r="AC255" s="377"/>
      <c r="AD255" s="377"/>
      <c r="AE255" s="377"/>
      <c r="AF255" s="377"/>
      <c r="AG255" s="377"/>
    </row>
    <row r="256" ht="14.25" customHeight="1">
      <c r="A256" s="377"/>
      <c r="B256" s="377"/>
      <c r="C256" s="377"/>
      <c r="D256" s="377"/>
      <c r="E256" s="377"/>
      <c r="F256" s="377"/>
      <c r="G256" s="377"/>
      <c r="H256" s="377"/>
      <c r="I256" s="377"/>
      <c r="J256" s="377"/>
      <c r="K256" s="377"/>
      <c r="L256" s="377"/>
      <c r="M256" s="377"/>
      <c r="N256" s="377"/>
      <c r="O256" s="377"/>
      <c r="P256" s="377"/>
      <c r="Q256" s="377"/>
      <c r="R256" s="377"/>
      <c r="S256" s="377"/>
      <c r="T256" s="377"/>
      <c r="U256" s="377"/>
      <c r="V256" s="377"/>
      <c r="W256" s="377"/>
      <c r="X256" s="377"/>
      <c r="Y256" s="377"/>
      <c r="Z256" s="377"/>
      <c r="AA256" s="377"/>
      <c r="AB256" s="377"/>
      <c r="AC256" s="377"/>
      <c r="AD256" s="377"/>
      <c r="AE256" s="377"/>
      <c r="AF256" s="377"/>
      <c r="AG256" s="377"/>
    </row>
    <row r="257" ht="14.25" customHeight="1">
      <c r="A257" s="377"/>
      <c r="B257" s="377"/>
      <c r="C257" s="377"/>
      <c r="D257" s="377"/>
      <c r="E257" s="377"/>
      <c r="F257" s="377"/>
      <c r="G257" s="377"/>
      <c r="H257" s="377"/>
      <c r="I257" s="377"/>
      <c r="J257" s="377"/>
      <c r="K257" s="377"/>
      <c r="L257" s="377"/>
      <c r="M257" s="377"/>
      <c r="N257" s="377"/>
      <c r="O257" s="377"/>
      <c r="P257" s="377"/>
      <c r="Q257" s="377"/>
      <c r="R257" s="377"/>
      <c r="S257" s="377"/>
      <c r="T257" s="377"/>
      <c r="U257" s="377"/>
      <c r="V257" s="377"/>
      <c r="W257" s="377"/>
      <c r="X257" s="377"/>
      <c r="Y257" s="377"/>
      <c r="Z257" s="377"/>
      <c r="AA257" s="377"/>
      <c r="AB257" s="377"/>
      <c r="AC257" s="377"/>
      <c r="AD257" s="377"/>
      <c r="AE257" s="377"/>
      <c r="AF257" s="377"/>
      <c r="AG257" s="377"/>
    </row>
    <row r="258" ht="14.25" customHeight="1">
      <c r="A258" s="377"/>
      <c r="B258" s="377"/>
      <c r="C258" s="377"/>
      <c r="D258" s="377"/>
      <c r="E258" s="377"/>
      <c r="F258" s="377"/>
      <c r="G258" s="377"/>
      <c r="H258" s="377"/>
      <c r="I258" s="377"/>
      <c r="J258" s="377"/>
      <c r="K258" s="377"/>
      <c r="L258" s="377"/>
      <c r="M258" s="377"/>
      <c r="N258" s="377"/>
      <c r="O258" s="377"/>
      <c r="P258" s="377"/>
      <c r="Q258" s="377"/>
      <c r="R258" s="377"/>
      <c r="S258" s="377"/>
      <c r="T258" s="377"/>
      <c r="U258" s="377"/>
      <c r="V258" s="377"/>
      <c r="W258" s="377"/>
      <c r="X258" s="377"/>
      <c r="Y258" s="377"/>
      <c r="Z258" s="377"/>
      <c r="AA258" s="377"/>
      <c r="AB258" s="377"/>
      <c r="AC258" s="377"/>
      <c r="AD258" s="377"/>
      <c r="AE258" s="377"/>
      <c r="AF258" s="377"/>
      <c r="AG258" s="377"/>
    </row>
    <row r="259" ht="14.25" customHeight="1">
      <c r="A259" s="377"/>
      <c r="B259" s="377"/>
      <c r="C259" s="377"/>
      <c r="D259" s="377"/>
      <c r="E259" s="377"/>
      <c r="F259" s="377"/>
      <c r="G259" s="377"/>
      <c r="H259" s="377"/>
      <c r="I259" s="377"/>
      <c r="J259" s="377"/>
      <c r="K259" s="377"/>
      <c r="L259" s="377"/>
      <c r="M259" s="377"/>
      <c r="N259" s="377"/>
      <c r="O259" s="377"/>
      <c r="P259" s="377"/>
      <c r="Q259" s="377"/>
      <c r="R259" s="377"/>
      <c r="S259" s="377"/>
      <c r="T259" s="377"/>
      <c r="U259" s="377"/>
      <c r="V259" s="377"/>
      <c r="W259" s="377"/>
      <c r="X259" s="377"/>
      <c r="Y259" s="377"/>
      <c r="Z259" s="377"/>
      <c r="AA259" s="377"/>
      <c r="AB259" s="377"/>
      <c r="AC259" s="377"/>
      <c r="AD259" s="377"/>
      <c r="AE259" s="377"/>
      <c r="AF259" s="377"/>
      <c r="AG259" s="377"/>
    </row>
    <row r="260" ht="14.25" customHeight="1">
      <c r="A260" s="377"/>
      <c r="B260" s="377"/>
      <c r="C260" s="377"/>
      <c r="D260" s="377"/>
      <c r="E260" s="377"/>
      <c r="F260" s="377"/>
      <c r="G260" s="377"/>
      <c r="H260" s="377"/>
      <c r="I260" s="377"/>
      <c r="J260" s="377"/>
      <c r="K260" s="377"/>
      <c r="L260" s="377"/>
      <c r="M260" s="377"/>
      <c r="N260" s="377"/>
      <c r="O260" s="377"/>
      <c r="P260" s="377"/>
      <c r="Q260" s="377"/>
      <c r="R260" s="377"/>
      <c r="S260" s="377"/>
      <c r="T260" s="377"/>
      <c r="U260" s="377"/>
      <c r="V260" s="377"/>
      <c r="W260" s="377"/>
      <c r="X260" s="377"/>
      <c r="Y260" s="377"/>
      <c r="Z260" s="377"/>
      <c r="AA260" s="377"/>
      <c r="AB260" s="377"/>
      <c r="AC260" s="377"/>
      <c r="AD260" s="377"/>
      <c r="AE260" s="377"/>
      <c r="AF260" s="377"/>
      <c r="AG260" s="377"/>
    </row>
    <row r="261" ht="14.25" customHeight="1">
      <c r="A261" s="377"/>
      <c r="B261" s="377"/>
      <c r="C261" s="377"/>
      <c r="D261" s="377"/>
      <c r="E261" s="377"/>
      <c r="F261" s="377"/>
      <c r="G261" s="377"/>
      <c r="H261" s="377"/>
      <c r="I261" s="377"/>
      <c r="J261" s="377"/>
      <c r="K261" s="377"/>
      <c r="L261" s="377"/>
      <c r="M261" s="377"/>
      <c r="N261" s="377"/>
      <c r="O261" s="377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  <c r="Z261" s="377"/>
      <c r="AA261" s="377"/>
      <c r="AB261" s="377"/>
      <c r="AC261" s="377"/>
      <c r="AD261" s="377"/>
      <c r="AE261" s="377"/>
      <c r="AF261" s="377"/>
      <c r="AG261" s="377"/>
    </row>
    <row r="262" ht="14.25" customHeight="1">
      <c r="A262" s="377"/>
      <c r="B262" s="377"/>
      <c r="C262" s="377"/>
      <c r="D262" s="377"/>
      <c r="E262" s="377"/>
      <c r="F262" s="377"/>
      <c r="G262" s="377"/>
      <c r="H262" s="377"/>
      <c r="I262" s="377"/>
      <c r="J262" s="377"/>
      <c r="K262" s="377"/>
      <c r="L262" s="377"/>
      <c r="M262" s="377"/>
      <c r="N262" s="377"/>
      <c r="O262" s="377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  <c r="Z262" s="377"/>
      <c r="AA262" s="377"/>
      <c r="AB262" s="377"/>
      <c r="AC262" s="377"/>
      <c r="AD262" s="377"/>
      <c r="AE262" s="377"/>
      <c r="AF262" s="377"/>
      <c r="AG262" s="377"/>
    </row>
    <row r="263" ht="14.25" customHeight="1">
      <c r="A263" s="377"/>
      <c r="B263" s="377"/>
      <c r="C263" s="377"/>
      <c r="D263" s="377"/>
      <c r="E263" s="377"/>
      <c r="F263" s="377"/>
      <c r="G263" s="377"/>
      <c r="H263" s="377"/>
      <c r="I263" s="377"/>
      <c r="J263" s="377"/>
      <c r="K263" s="377"/>
      <c r="L263" s="377"/>
      <c r="M263" s="377"/>
      <c r="N263" s="377"/>
      <c r="O263" s="377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  <c r="Z263" s="377"/>
      <c r="AA263" s="377"/>
      <c r="AB263" s="377"/>
      <c r="AC263" s="377"/>
      <c r="AD263" s="377"/>
      <c r="AE263" s="377"/>
      <c r="AF263" s="377"/>
      <c r="AG263" s="377"/>
    </row>
    <row r="264" ht="14.25" customHeight="1">
      <c r="A264" s="377"/>
      <c r="B264" s="377"/>
      <c r="C264" s="377"/>
      <c r="D264" s="377"/>
      <c r="E264" s="377"/>
      <c r="F264" s="377"/>
      <c r="G264" s="377"/>
      <c r="H264" s="377"/>
      <c r="I264" s="377"/>
      <c r="J264" s="377"/>
      <c r="K264" s="377"/>
      <c r="L264" s="377"/>
      <c r="M264" s="377"/>
      <c r="N264" s="377"/>
      <c r="O264" s="377"/>
      <c r="P264" s="377"/>
      <c r="Q264" s="377"/>
      <c r="R264" s="377"/>
      <c r="S264" s="377"/>
      <c r="T264" s="377"/>
      <c r="U264" s="377"/>
      <c r="V264" s="377"/>
      <c r="W264" s="377"/>
      <c r="X264" s="377"/>
      <c r="Y264" s="377"/>
      <c r="Z264" s="377"/>
      <c r="AA264" s="377"/>
      <c r="AB264" s="377"/>
      <c r="AC264" s="377"/>
      <c r="AD264" s="377"/>
      <c r="AE264" s="377"/>
      <c r="AF264" s="377"/>
      <c r="AG264" s="377"/>
    </row>
    <row r="265" ht="14.25" customHeight="1">
      <c r="A265" s="377"/>
      <c r="B265" s="377"/>
      <c r="C265" s="377"/>
      <c r="D265" s="377"/>
      <c r="E265" s="377"/>
      <c r="F265" s="377"/>
      <c r="G265" s="377"/>
      <c r="H265" s="377"/>
      <c r="I265" s="377"/>
      <c r="J265" s="377"/>
      <c r="K265" s="377"/>
      <c r="L265" s="377"/>
      <c r="M265" s="377"/>
      <c r="N265" s="377"/>
      <c r="O265" s="377"/>
      <c r="P265" s="377"/>
      <c r="Q265" s="377"/>
      <c r="R265" s="377"/>
      <c r="S265" s="377"/>
      <c r="T265" s="377"/>
      <c r="U265" s="377"/>
      <c r="V265" s="377"/>
      <c r="W265" s="377"/>
      <c r="X265" s="377"/>
      <c r="Y265" s="377"/>
      <c r="Z265" s="377"/>
      <c r="AA265" s="377"/>
      <c r="AB265" s="377"/>
      <c r="AC265" s="377"/>
      <c r="AD265" s="377"/>
      <c r="AE265" s="377"/>
      <c r="AF265" s="377"/>
      <c r="AG265" s="377"/>
    </row>
    <row r="266" ht="14.25" customHeight="1">
      <c r="A266" s="377"/>
      <c r="B266" s="377"/>
      <c r="C266" s="377"/>
      <c r="D266" s="377"/>
      <c r="E266" s="377"/>
      <c r="F266" s="377"/>
      <c r="G266" s="377"/>
      <c r="H266" s="377"/>
      <c r="I266" s="377"/>
      <c r="J266" s="377"/>
      <c r="K266" s="377"/>
      <c r="L266" s="377"/>
      <c r="M266" s="377"/>
      <c r="N266" s="377"/>
      <c r="O266" s="377"/>
      <c r="P266" s="377"/>
      <c r="Q266" s="377"/>
      <c r="R266" s="377"/>
      <c r="S266" s="377"/>
      <c r="T266" s="377"/>
      <c r="U266" s="377"/>
      <c r="V266" s="377"/>
      <c r="W266" s="377"/>
      <c r="X266" s="377"/>
      <c r="Y266" s="377"/>
      <c r="Z266" s="377"/>
      <c r="AA266" s="377"/>
      <c r="AB266" s="377"/>
      <c r="AC266" s="377"/>
      <c r="AD266" s="377"/>
      <c r="AE266" s="377"/>
      <c r="AF266" s="377"/>
      <c r="AG266" s="377"/>
    </row>
    <row r="267" ht="14.25" customHeight="1">
      <c r="A267" s="377"/>
      <c r="B267" s="377"/>
      <c r="C267" s="377"/>
      <c r="D267" s="377"/>
      <c r="E267" s="377"/>
      <c r="F267" s="377"/>
      <c r="G267" s="377"/>
      <c r="H267" s="377"/>
      <c r="I267" s="377"/>
      <c r="J267" s="377"/>
      <c r="K267" s="377"/>
      <c r="L267" s="377"/>
      <c r="M267" s="377"/>
      <c r="N267" s="377"/>
      <c r="O267" s="377"/>
      <c r="P267" s="377"/>
      <c r="Q267" s="377"/>
      <c r="R267" s="377"/>
      <c r="S267" s="377"/>
      <c r="T267" s="377"/>
      <c r="U267" s="377"/>
      <c r="V267" s="377"/>
      <c r="W267" s="377"/>
      <c r="X267" s="377"/>
      <c r="Y267" s="377"/>
      <c r="Z267" s="377"/>
      <c r="AA267" s="377"/>
      <c r="AB267" s="377"/>
      <c r="AC267" s="377"/>
      <c r="AD267" s="377"/>
      <c r="AE267" s="377"/>
      <c r="AF267" s="377"/>
      <c r="AG267" s="377"/>
    </row>
    <row r="268" ht="14.25" customHeight="1">
      <c r="A268" s="377"/>
      <c r="B268" s="377"/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7"/>
      <c r="N268" s="377"/>
      <c r="O268" s="377"/>
      <c r="P268" s="377"/>
      <c r="Q268" s="377"/>
      <c r="R268" s="377"/>
      <c r="S268" s="377"/>
      <c r="T268" s="377"/>
      <c r="U268" s="377"/>
      <c r="V268" s="377"/>
      <c r="W268" s="377"/>
      <c r="X268" s="377"/>
      <c r="Y268" s="377"/>
      <c r="Z268" s="377"/>
      <c r="AA268" s="377"/>
      <c r="AB268" s="377"/>
      <c r="AC268" s="377"/>
      <c r="AD268" s="377"/>
      <c r="AE268" s="377"/>
      <c r="AF268" s="377"/>
      <c r="AG268" s="377"/>
    </row>
    <row r="269" ht="14.25" customHeight="1">
      <c r="A269" s="377"/>
      <c r="B269" s="377"/>
      <c r="C269" s="377"/>
      <c r="D269" s="377"/>
      <c r="E269" s="377"/>
      <c r="F269" s="377"/>
      <c r="G269" s="377"/>
      <c r="H269" s="377"/>
      <c r="I269" s="377"/>
      <c r="J269" s="377"/>
      <c r="K269" s="377"/>
      <c r="L269" s="377"/>
      <c r="M269" s="377"/>
      <c r="N269" s="377"/>
      <c r="O269" s="377"/>
      <c r="P269" s="377"/>
      <c r="Q269" s="377"/>
      <c r="R269" s="377"/>
      <c r="S269" s="377"/>
      <c r="T269" s="377"/>
      <c r="U269" s="377"/>
      <c r="V269" s="377"/>
      <c r="W269" s="377"/>
      <c r="X269" s="377"/>
      <c r="Y269" s="377"/>
      <c r="Z269" s="377"/>
      <c r="AA269" s="377"/>
      <c r="AB269" s="377"/>
      <c r="AC269" s="377"/>
      <c r="AD269" s="377"/>
      <c r="AE269" s="377"/>
      <c r="AF269" s="377"/>
      <c r="AG269" s="377"/>
    </row>
    <row r="270" ht="14.25" customHeight="1">
      <c r="A270" s="377"/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7"/>
      <c r="P270" s="377"/>
      <c r="Q270" s="377"/>
      <c r="R270" s="377"/>
      <c r="S270" s="377"/>
      <c r="T270" s="377"/>
      <c r="U270" s="377"/>
      <c r="V270" s="377"/>
      <c r="W270" s="377"/>
      <c r="X270" s="377"/>
      <c r="Y270" s="377"/>
      <c r="Z270" s="377"/>
      <c r="AA270" s="377"/>
      <c r="AB270" s="377"/>
      <c r="AC270" s="377"/>
      <c r="AD270" s="377"/>
      <c r="AE270" s="377"/>
      <c r="AF270" s="377"/>
      <c r="AG270" s="377"/>
    </row>
    <row r="271" ht="14.25" customHeight="1">
      <c r="A271" s="377"/>
      <c r="B271" s="377"/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7"/>
      <c r="N271" s="377"/>
      <c r="O271" s="377"/>
      <c r="P271" s="377"/>
      <c r="Q271" s="377"/>
      <c r="R271" s="377"/>
      <c r="S271" s="377"/>
      <c r="T271" s="377"/>
      <c r="U271" s="377"/>
      <c r="V271" s="377"/>
      <c r="W271" s="377"/>
      <c r="X271" s="377"/>
      <c r="Y271" s="377"/>
      <c r="Z271" s="377"/>
      <c r="AA271" s="377"/>
      <c r="AB271" s="377"/>
      <c r="AC271" s="377"/>
      <c r="AD271" s="377"/>
      <c r="AE271" s="377"/>
      <c r="AF271" s="377"/>
      <c r="AG271" s="377"/>
    </row>
    <row r="272" ht="14.25" customHeight="1">
      <c r="A272" s="377"/>
      <c r="B272" s="377"/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7"/>
      <c r="N272" s="377"/>
      <c r="O272" s="377"/>
      <c r="P272" s="377"/>
      <c r="Q272" s="377"/>
      <c r="R272" s="377"/>
      <c r="S272" s="377"/>
      <c r="T272" s="377"/>
      <c r="U272" s="377"/>
      <c r="V272" s="377"/>
      <c r="W272" s="377"/>
      <c r="X272" s="377"/>
      <c r="Y272" s="377"/>
      <c r="Z272" s="377"/>
      <c r="AA272" s="377"/>
      <c r="AB272" s="377"/>
      <c r="AC272" s="377"/>
      <c r="AD272" s="377"/>
      <c r="AE272" s="377"/>
      <c r="AF272" s="377"/>
      <c r="AG272" s="377"/>
    </row>
    <row r="273" ht="14.25" customHeight="1">
      <c r="A273" s="377"/>
      <c r="B273" s="377"/>
      <c r="C273" s="377"/>
      <c r="D273" s="377"/>
      <c r="E273" s="377"/>
      <c r="F273" s="377"/>
      <c r="G273" s="377"/>
      <c r="H273" s="377"/>
      <c r="I273" s="377"/>
      <c r="J273" s="377"/>
      <c r="K273" s="377"/>
      <c r="L273" s="377"/>
      <c r="M273" s="377"/>
      <c r="N273" s="377"/>
      <c r="O273" s="377"/>
      <c r="P273" s="377"/>
      <c r="Q273" s="377"/>
      <c r="R273" s="377"/>
      <c r="S273" s="377"/>
      <c r="T273" s="377"/>
      <c r="U273" s="377"/>
      <c r="V273" s="377"/>
      <c r="W273" s="377"/>
      <c r="X273" s="377"/>
      <c r="Y273" s="377"/>
      <c r="Z273" s="377"/>
      <c r="AA273" s="377"/>
      <c r="AB273" s="377"/>
      <c r="AC273" s="377"/>
      <c r="AD273" s="377"/>
      <c r="AE273" s="377"/>
      <c r="AF273" s="377"/>
      <c r="AG273" s="377"/>
    </row>
    <row r="274" ht="14.25" customHeight="1">
      <c r="A274" s="377"/>
      <c r="B274" s="377"/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7"/>
      <c r="N274" s="377"/>
      <c r="O274" s="377"/>
      <c r="P274" s="377"/>
      <c r="Q274" s="377"/>
      <c r="R274" s="377"/>
      <c r="S274" s="377"/>
      <c r="T274" s="377"/>
      <c r="U274" s="377"/>
      <c r="V274" s="377"/>
      <c r="W274" s="377"/>
      <c r="X274" s="377"/>
      <c r="Y274" s="377"/>
      <c r="Z274" s="377"/>
      <c r="AA274" s="377"/>
      <c r="AB274" s="377"/>
      <c r="AC274" s="377"/>
      <c r="AD274" s="377"/>
      <c r="AE274" s="377"/>
      <c r="AF274" s="377"/>
      <c r="AG274" s="377"/>
    </row>
    <row r="275" ht="14.25" customHeight="1">
      <c r="A275" s="377"/>
      <c r="B275" s="377"/>
      <c r="C275" s="377"/>
      <c r="D275" s="377"/>
      <c r="E275" s="377"/>
      <c r="F275" s="377"/>
      <c r="G275" s="377"/>
      <c r="H275" s="377"/>
      <c r="I275" s="377"/>
      <c r="J275" s="377"/>
      <c r="K275" s="377"/>
      <c r="L275" s="377"/>
      <c r="M275" s="377"/>
      <c r="N275" s="377"/>
      <c r="O275" s="377"/>
      <c r="P275" s="377"/>
      <c r="Q275" s="377"/>
      <c r="R275" s="377"/>
      <c r="S275" s="377"/>
      <c r="T275" s="377"/>
      <c r="U275" s="377"/>
      <c r="V275" s="377"/>
      <c r="W275" s="377"/>
      <c r="X275" s="377"/>
      <c r="Y275" s="377"/>
      <c r="Z275" s="377"/>
      <c r="AA275" s="377"/>
      <c r="AB275" s="377"/>
      <c r="AC275" s="377"/>
      <c r="AD275" s="377"/>
      <c r="AE275" s="377"/>
      <c r="AF275" s="377"/>
      <c r="AG275" s="377"/>
    </row>
    <row r="276" ht="14.25" customHeight="1">
      <c r="A276" s="377"/>
      <c r="B276" s="377"/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7"/>
      <c r="N276" s="377"/>
      <c r="O276" s="377"/>
      <c r="P276" s="377"/>
      <c r="Q276" s="377"/>
      <c r="R276" s="377"/>
      <c r="S276" s="377"/>
      <c r="T276" s="377"/>
      <c r="U276" s="377"/>
      <c r="V276" s="377"/>
      <c r="W276" s="377"/>
      <c r="X276" s="377"/>
      <c r="Y276" s="377"/>
      <c r="Z276" s="377"/>
      <c r="AA276" s="377"/>
      <c r="AB276" s="377"/>
      <c r="AC276" s="377"/>
      <c r="AD276" s="377"/>
      <c r="AE276" s="377"/>
      <c r="AF276" s="377"/>
      <c r="AG276" s="377"/>
    </row>
    <row r="277" ht="14.25" customHeight="1">
      <c r="A277" s="377"/>
      <c r="B277" s="377"/>
      <c r="C277" s="377"/>
      <c r="D277" s="377"/>
      <c r="E277" s="377"/>
      <c r="F277" s="377"/>
      <c r="G277" s="377"/>
      <c r="H277" s="377"/>
      <c r="I277" s="377"/>
      <c r="J277" s="377"/>
      <c r="K277" s="377"/>
      <c r="L277" s="377"/>
      <c r="M277" s="377"/>
      <c r="N277" s="377"/>
      <c r="O277" s="377"/>
      <c r="P277" s="377"/>
      <c r="Q277" s="377"/>
      <c r="R277" s="377"/>
      <c r="S277" s="377"/>
      <c r="T277" s="377"/>
      <c r="U277" s="377"/>
      <c r="V277" s="377"/>
      <c r="W277" s="377"/>
      <c r="X277" s="377"/>
      <c r="Y277" s="377"/>
      <c r="Z277" s="377"/>
      <c r="AA277" s="377"/>
      <c r="AB277" s="377"/>
      <c r="AC277" s="377"/>
      <c r="AD277" s="377"/>
      <c r="AE277" s="377"/>
      <c r="AF277" s="377"/>
      <c r="AG277" s="377"/>
    </row>
    <row r="278" ht="14.25" customHeight="1">
      <c r="A278" s="377"/>
      <c r="B278" s="377"/>
      <c r="C278" s="377"/>
      <c r="D278" s="377"/>
      <c r="E278" s="377"/>
      <c r="F278" s="377"/>
      <c r="G278" s="377"/>
      <c r="H278" s="377"/>
      <c r="I278" s="377"/>
      <c r="J278" s="377"/>
      <c r="K278" s="377"/>
      <c r="L278" s="377"/>
      <c r="M278" s="377"/>
      <c r="N278" s="377"/>
      <c r="O278" s="377"/>
      <c r="P278" s="377"/>
      <c r="Q278" s="377"/>
      <c r="R278" s="377"/>
      <c r="S278" s="377"/>
      <c r="T278" s="377"/>
      <c r="U278" s="377"/>
      <c r="V278" s="377"/>
      <c r="W278" s="377"/>
      <c r="X278" s="377"/>
      <c r="Y278" s="377"/>
      <c r="Z278" s="377"/>
      <c r="AA278" s="377"/>
      <c r="AB278" s="377"/>
      <c r="AC278" s="377"/>
      <c r="AD278" s="377"/>
      <c r="AE278" s="377"/>
      <c r="AF278" s="377"/>
      <c r="AG278" s="377"/>
    </row>
    <row r="279" ht="14.25" customHeight="1">
      <c r="A279" s="377"/>
      <c r="B279" s="377"/>
      <c r="C279" s="377"/>
      <c r="D279" s="377"/>
      <c r="E279" s="377"/>
      <c r="F279" s="377"/>
      <c r="G279" s="377"/>
      <c r="H279" s="377"/>
      <c r="I279" s="377"/>
      <c r="J279" s="377"/>
      <c r="K279" s="377"/>
      <c r="L279" s="377"/>
      <c r="M279" s="377"/>
      <c r="N279" s="377"/>
      <c r="O279" s="377"/>
      <c r="P279" s="377"/>
      <c r="Q279" s="377"/>
      <c r="R279" s="377"/>
      <c r="S279" s="377"/>
      <c r="T279" s="377"/>
      <c r="U279" s="377"/>
      <c r="V279" s="377"/>
      <c r="W279" s="377"/>
      <c r="X279" s="377"/>
      <c r="Y279" s="377"/>
      <c r="Z279" s="377"/>
      <c r="AA279" s="377"/>
      <c r="AB279" s="377"/>
      <c r="AC279" s="377"/>
      <c r="AD279" s="377"/>
      <c r="AE279" s="377"/>
      <c r="AF279" s="377"/>
      <c r="AG279" s="377"/>
    </row>
    <row r="280" ht="14.25" customHeight="1">
      <c r="A280" s="377"/>
      <c r="B280" s="377"/>
      <c r="C280" s="377"/>
      <c r="D280" s="377"/>
      <c r="E280" s="377"/>
      <c r="F280" s="377"/>
      <c r="G280" s="377"/>
      <c r="H280" s="377"/>
      <c r="I280" s="377"/>
      <c r="J280" s="377"/>
      <c r="K280" s="377"/>
      <c r="L280" s="377"/>
      <c r="M280" s="377"/>
      <c r="N280" s="377"/>
      <c r="O280" s="377"/>
      <c r="P280" s="377"/>
      <c r="Q280" s="377"/>
      <c r="R280" s="377"/>
      <c r="S280" s="377"/>
      <c r="T280" s="377"/>
      <c r="U280" s="377"/>
      <c r="V280" s="377"/>
      <c r="W280" s="377"/>
      <c r="X280" s="377"/>
      <c r="Y280" s="377"/>
      <c r="Z280" s="377"/>
      <c r="AA280" s="377"/>
      <c r="AB280" s="377"/>
      <c r="AC280" s="377"/>
      <c r="AD280" s="377"/>
      <c r="AE280" s="377"/>
      <c r="AF280" s="377"/>
      <c r="AG280" s="377"/>
    </row>
    <row r="281" ht="14.25" customHeight="1">
      <c r="A281" s="377"/>
      <c r="B281" s="377"/>
      <c r="C281" s="377"/>
      <c r="D281" s="377"/>
      <c r="E281" s="377"/>
      <c r="F281" s="377"/>
      <c r="G281" s="377"/>
      <c r="H281" s="377"/>
      <c r="I281" s="377"/>
      <c r="J281" s="377"/>
      <c r="K281" s="377"/>
      <c r="L281" s="377"/>
      <c r="M281" s="377"/>
      <c r="N281" s="377"/>
      <c r="O281" s="377"/>
      <c r="P281" s="377"/>
      <c r="Q281" s="377"/>
      <c r="R281" s="377"/>
      <c r="S281" s="377"/>
      <c r="T281" s="377"/>
      <c r="U281" s="377"/>
      <c r="V281" s="377"/>
      <c r="W281" s="377"/>
      <c r="X281" s="377"/>
      <c r="Y281" s="377"/>
      <c r="Z281" s="377"/>
      <c r="AA281" s="377"/>
      <c r="AB281" s="377"/>
      <c r="AC281" s="377"/>
      <c r="AD281" s="377"/>
      <c r="AE281" s="377"/>
      <c r="AF281" s="377"/>
      <c r="AG281" s="377"/>
    </row>
    <row r="282" ht="14.25" customHeight="1">
      <c r="A282" s="377"/>
      <c r="B282" s="377"/>
      <c r="C282" s="377"/>
      <c r="D282" s="377"/>
      <c r="E282" s="377"/>
      <c r="F282" s="377"/>
      <c r="G282" s="377"/>
      <c r="H282" s="377"/>
      <c r="I282" s="377"/>
      <c r="J282" s="377"/>
      <c r="K282" s="377"/>
      <c r="L282" s="377"/>
      <c r="M282" s="377"/>
      <c r="N282" s="377"/>
      <c r="O282" s="377"/>
      <c r="P282" s="377"/>
      <c r="Q282" s="377"/>
      <c r="R282" s="377"/>
      <c r="S282" s="377"/>
      <c r="T282" s="377"/>
      <c r="U282" s="377"/>
      <c r="V282" s="377"/>
      <c r="W282" s="377"/>
      <c r="X282" s="377"/>
      <c r="Y282" s="377"/>
      <c r="Z282" s="377"/>
      <c r="AA282" s="377"/>
      <c r="AB282" s="377"/>
      <c r="AC282" s="377"/>
      <c r="AD282" s="377"/>
      <c r="AE282" s="377"/>
      <c r="AF282" s="377"/>
      <c r="AG282" s="377"/>
    </row>
    <row r="283" ht="14.25" customHeight="1">
      <c r="A283" s="377"/>
      <c r="B283" s="377"/>
      <c r="C283" s="377"/>
      <c r="D283" s="377"/>
      <c r="E283" s="377"/>
      <c r="F283" s="377"/>
      <c r="G283" s="377"/>
      <c r="H283" s="377"/>
      <c r="I283" s="377"/>
      <c r="J283" s="377"/>
      <c r="K283" s="377"/>
      <c r="L283" s="377"/>
      <c r="M283" s="377"/>
      <c r="N283" s="377"/>
      <c r="O283" s="377"/>
      <c r="P283" s="377"/>
      <c r="Q283" s="377"/>
      <c r="R283" s="377"/>
      <c r="S283" s="377"/>
      <c r="T283" s="377"/>
      <c r="U283" s="377"/>
      <c r="V283" s="377"/>
      <c r="W283" s="377"/>
      <c r="X283" s="377"/>
      <c r="Y283" s="377"/>
      <c r="Z283" s="377"/>
      <c r="AA283" s="377"/>
      <c r="AB283" s="377"/>
      <c r="AC283" s="377"/>
      <c r="AD283" s="377"/>
      <c r="AE283" s="377"/>
      <c r="AF283" s="377"/>
      <c r="AG283" s="377"/>
    </row>
    <row r="284" ht="14.25" customHeight="1">
      <c r="A284" s="377"/>
      <c r="B284" s="377"/>
      <c r="C284" s="377"/>
      <c r="D284" s="377"/>
      <c r="E284" s="377"/>
      <c r="F284" s="377"/>
      <c r="G284" s="377"/>
      <c r="H284" s="377"/>
      <c r="I284" s="377"/>
      <c r="J284" s="377"/>
      <c r="K284" s="377"/>
      <c r="L284" s="377"/>
      <c r="M284" s="377"/>
      <c r="N284" s="377"/>
      <c r="O284" s="377"/>
      <c r="P284" s="377"/>
      <c r="Q284" s="377"/>
      <c r="R284" s="377"/>
      <c r="S284" s="377"/>
      <c r="T284" s="377"/>
      <c r="U284" s="377"/>
      <c r="V284" s="377"/>
      <c r="W284" s="377"/>
      <c r="X284" s="377"/>
      <c r="Y284" s="377"/>
      <c r="Z284" s="377"/>
      <c r="AA284" s="377"/>
      <c r="AB284" s="377"/>
      <c r="AC284" s="377"/>
      <c r="AD284" s="377"/>
      <c r="AE284" s="377"/>
      <c r="AF284" s="377"/>
      <c r="AG284" s="377"/>
    </row>
    <row r="285" ht="14.25" customHeight="1">
      <c r="A285" s="377"/>
      <c r="B285" s="377"/>
      <c r="C285" s="377"/>
      <c r="D285" s="377"/>
      <c r="E285" s="377"/>
      <c r="F285" s="377"/>
      <c r="G285" s="377"/>
      <c r="H285" s="377"/>
      <c r="I285" s="377"/>
      <c r="J285" s="377"/>
      <c r="K285" s="377"/>
      <c r="L285" s="377"/>
      <c r="M285" s="377"/>
      <c r="N285" s="377"/>
      <c r="O285" s="377"/>
      <c r="P285" s="377"/>
      <c r="Q285" s="377"/>
      <c r="R285" s="377"/>
      <c r="S285" s="377"/>
      <c r="T285" s="377"/>
      <c r="U285" s="377"/>
      <c r="V285" s="377"/>
      <c r="W285" s="377"/>
      <c r="X285" s="377"/>
      <c r="Y285" s="377"/>
      <c r="Z285" s="377"/>
      <c r="AA285" s="377"/>
      <c r="AB285" s="377"/>
      <c r="AC285" s="377"/>
      <c r="AD285" s="377"/>
      <c r="AE285" s="377"/>
      <c r="AF285" s="377"/>
      <c r="AG285" s="377"/>
    </row>
    <row r="286" ht="14.25" customHeight="1">
      <c r="A286" s="377"/>
      <c r="B286" s="377"/>
      <c r="C286" s="377"/>
      <c r="D286" s="377"/>
      <c r="E286" s="377"/>
      <c r="F286" s="377"/>
      <c r="G286" s="377"/>
      <c r="H286" s="377"/>
      <c r="I286" s="377"/>
      <c r="J286" s="377"/>
      <c r="K286" s="377"/>
      <c r="L286" s="377"/>
      <c r="M286" s="377"/>
      <c r="N286" s="377"/>
      <c r="O286" s="377"/>
      <c r="P286" s="377"/>
      <c r="Q286" s="377"/>
      <c r="R286" s="377"/>
      <c r="S286" s="377"/>
      <c r="T286" s="377"/>
      <c r="U286" s="377"/>
      <c r="V286" s="377"/>
      <c r="W286" s="377"/>
      <c r="X286" s="377"/>
      <c r="Y286" s="377"/>
      <c r="Z286" s="377"/>
      <c r="AA286" s="377"/>
      <c r="AB286" s="377"/>
      <c r="AC286" s="377"/>
      <c r="AD286" s="377"/>
      <c r="AE286" s="377"/>
      <c r="AF286" s="377"/>
      <c r="AG286" s="377"/>
    </row>
    <row r="287" ht="14.25" customHeight="1">
      <c r="A287" s="377"/>
      <c r="B287" s="377"/>
      <c r="C287" s="377"/>
      <c r="D287" s="377"/>
      <c r="E287" s="377"/>
      <c r="F287" s="377"/>
      <c r="G287" s="377"/>
      <c r="H287" s="377"/>
      <c r="I287" s="377"/>
      <c r="J287" s="377"/>
      <c r="K287" s="377"/>
      <c r="L287" s="377"/>
      <c r="M287" s="377"/>
      <c r="N287" s="377"/>
      <c r="O287" s="377"/>
      <c r="P287" s="377"/>
      <c r="Q287" s="377"/>
      <c r="R287" s="377"/>
      <c r="S287" s="377"/>
      <c r="T287" s="377"/>
      <c r="U287" s="377"/>
      <c r="V287" s="377"/>
      <c r="W287" s="377"/>
      <c r="X287" s="377"/>
      <c r="Y287" s="377"/>
      <c r="Z287" s="377"/>
      <c r="AA287" s="377"/>
      <c r="AB287" s="377"/>
      <c r="AC287" s="377"/>
      <c r="AD287" s="377"/>
      <c r="AE287" s="377"/>
      <c r="AF287" s="377"/>
      <c r="AG287" s="377"/>
    </row>
    <row r="288" ht="14.25" customHeight="1">
      <c r="A288" s="377"/>
      <c r="B288" s="377"/>
      <c r="C288" s="377"/>
      <c r="D288" s="377"/>
      <c r="E288" s="377"/>
      <c r="F288" s="377"/>
      <c r="G288" s="377"/>
      <c r="H288" s="377"/>
      <c r="I288" s="377"/>
      <c r="J288" s="377"/>
      <c r="K288" s="377"/>
      <c r="L288" s="377"/>
      <c r="M288" s="377"/>
      <c r="N288" s="377"/>
      <c r="O288" s="377"/>
      <c r="P288" s="377"/>
      <c r="Q288" s="377"/>
      <c r="R288" s="377"/>
      <c r="S288" s="377"/>
      <c r="T288" s="377"/>
      <c r="U288" s="377"/>
      <c r="V288" s="377"/>
      <c r="W288" s="377"/>
      <c r="X288" s="377"/>
      <c r="Y288" s="377"/>
      <c r="Z288" s="377"/>
      <c r="AA288" s="377"/>
      <c r="AB288" s="377"/>
      <c r="AC288" s="377"/>
      <c r="AD288" s="377"/>
      <c r="AE288" s="377"/>
      <c r="AF288" s="377"/>
      <c r="AG288" s="377"/>
    </row>
    <row r="289" ht="14.25" customHeight="1">
      <c r="A289" s="377"/>
      <c r="B289" s="377"/>
      <c r="C289" s="377"/>
      <c r="D289" s="377"/>
      <c r="E289" s="377"/>
      <c r="F289" s="377"/>
      <c r="G289" s="377"/>
      <c r="H289" s="377"/>
      <c r="I289" s="377"/>
      <c r="J289" s="377"/>
      <c r="K289" s="377"/>
      <c r="L289" s="377"/>
      <c r="M289" s="377"/>
      <c r="N289" s="377"/>
      <c r="O289" s="377"/>
      <c r="P289" s="377"/>
      <c r="Q289" s="377"/>
      <c r="R289" s="377"/>
      <c r="S289" s="377"/>
      <c r="T289" s="377"/>
      <c r="U289" s="377"/>
      <c r="V289" s="377"/>
      <c r="W289" s="377"/>
      <c r="X289" s="377"/>
      <c r="Y289" s="377"/>
      <c r="Z289" s="377"/>
      <c r="AA289" s="377"/>
      <c r="AB289" s="377"/>
      <c r="AC289" s="377"/>
      <c r="AD289" s="377"/>
      <c r="AE289" s="377"/>
      <c r="AF289" s="377"/>
      <c r="AG289" s="377"/>
    </row>
    <row r="290" ht="14.25" customHeight="1">
      <c r="A290" s="377"/>
      <c r="B290" s="377"/>
      <c r="C290" s="377"/>
      <c r="D290" s="377"/>
      <c r="E290" s="377"/>
      <c r="F290" s="377"/>
      <c r="G290" s="377"/>
      <c r="H290" s="377"/>
      <c r="I290" s="377"/>
      <c r="J290" s="377"/>
      <c r="K290" s="377"/>
      <c r="L290" s="377"/>
      <c r="M290" s="377"/>
      <c r="N290" s="377"/>
      <c r="O290" s="377"/>
      <c r="P290" s="377"/>
      <c r="Q290" s="377"/>
      <c r="R290" s="377"/>
      <c r="S290" s="377"/>
      <c r="T290" s="377"/>
      <c r="U290" s="377"/>
      <c r="V290" s="377"/>
      <c r="W290" s="377"/>
      <c r="X290" s="377"/>
      <c r="Y290" s="377"/>
      <c r="Z290" s="377"/>
      <c r="AA290" s="377"/>
      <c r="AB290" s="377"/>
      <c r="AC290" s="377"/>
      <c r="AD290" s="377"/>
      <c r="AE290" s="377"/>
      <c r="AF290" s="377"/>
      <c r="AG290" s="377"/>
    </row>
    <row r="291" ht="14.25" customHeight="1">
      <c r="A291" s="377"/>
      <c r="B291" s="377"/>
      <c r="C291" s="377"/>
      <c r="D291" s="377"/>
      <c r="E291" s="377"/>
      <c r="F291" s="377"/>
      <c r="G291" s="377"/>
      <c r="H291" s="377"/>
      <c r="I291" s="377"/>
      <c r="J291" s="377"/>
      <c r="K291" s="377"/>
      <c r="L291" s="377"/>
      <c r="M291" s="377"/>
      <c r="N291" s="377"/>
      <c r="O291" s="377"/>
      <c r="P291" s="377"/>
      <c r="Q291" s="377"/>
      <c r="R291" s="377"/>
      <c r="S291" s="377"/>
      <c r="T291" s="377"/>
      <c r="U291" s="377"/>
      <c r="V291" s="377"/>
      <c r="W291" s="377"/>
      <c r="X291" s="377"/>
      <c r="Y291" s="377"/>
      <c r="Z291" s="377"/>
      <c r="AA291" s="377"/>
      <c r="AB291" s="377"/>
      <c r="AC291" s="377"/>
      <c r="AD291" s="377"/>
      <c r="AE291" s="377"/>
      <c r="AF291" s="377"/>
      <c r="AG291" s="377"/>
    </row>
    <row r="292" ht="14.25" customHeight="1">
      <c r="A292" s="377"/>
      <c r="B292" s="377"/>
      <c r="C292" s="377"/>
      <c r="D292" s="377"/>
      <c r="E292" s="377"/>
      <c r="F292" s="377"/>
      <c r="G292" s="377"/>
      <c r="H292" s="377"/>
      <c r="I292" s="377"/>
      <c r="J292" s="377"/>
      <c r="K292" s="377"/>
      <c r="L292" s="377"/>
      <c r="M292" s="377"/>
      <c r="N292" s="377"/>
      <c r="O292" s="377"/>
      <c r="P292" s="377"/>
      <c r="Q292" s="377"/>
      <c r="R292" s="377"/>
      <c r="S292" s="377"/>
      <c r="T292" s="377"/>
      <c r="U292" s="377"/>
      <c r="V292" s="377"/>
      <c r="W292" s="377"/>
      <c r="X292" s="377"/>
      <c r="Y292" s="377"/>
      <c r="Z292" s="377"/>
      <c r="AA292" s="377"/>
      <c r="AB292" s="377"/>
      <c r="AC292" s="377"/>
      <c r="AD292" s="377"/>
      <c r="AE292" s="377"/>
      <c r="AF292" s="377"/>
      <c r="AG292" s="377"/>
    </row>
    <row r="293" ht="14.25" customHeight="1">
      <c r="A293" s="377"/>
      <c r="B293" s="377"/>
      <c r="C293" s="377"/>
      <c r="D293" s="377"/>
      <c r="E293" s="377"/>
      <c r="F293" s="377"/>
      <c r="G293" s="377"/>
      <c r="H293" s="377"/>
      <c r="I293" s="377"/>
      <c r="J293" s="377"/>
      <c r="K293" s="377"/>
      <c r="L293" s="377"/>
      <c r="M293" s="377"/>
      <c r="N293" s="377"/>
      <c r="O293" s="377"/>
      <c r="P293" s="377"/>
      <c r="Q293" s="377"/>
      <c r="R293" s="377"/>
      <c r="S293" s="377"/>
      <c r="T293" s="377"/>
      <c r="U293" s="377"/>
      <c r="V293" s="377"/>
      <c r="W293" s="377"/>
      <c r="X293" s="377"/>
      <c r="Y293" s="377"/>
      <c r="Z293" s="377"/>
      <c r="AA293" s="377"/>
      <c r="AB293" s="377"/>
      <c r="AC293" s="377"/>
      <c r="AD293" s="377"/>
      <c r="AE293" s="377"/>
      <c r="AF293" s="377"/>
      <c r="AG293" s="377"/>
    </row>
    <row r="294" ht="14.25" customHeight="1">
      <c r="A294" s="377"/>
      <c r="B294" s="377"/>
      <c r="C294" s="377"/>
      <c r="D294" s="377"/>
      <c r="E294" s="377"/>
      <c r="F294" s="377"/>
      <c r="G294" s="377"/>
      <c r="H294" s="377"/>
      <c r="I294" s="377"/>
      <c r="J294" s="377"/>
      <c r="K294" s="377"/>
      <c r="L294" s="377"/>
      <c r="M294" s="377"/>
      <c r="N294" s="377"/>
      <c r="O294" s="377"/>
      <c r="P294" s="377"/>
      <c r="Q294" s="377"/>
      <c r="R294" s="377"/>
      <c r="S294" s="377"/>
      <c r="T294" s="377"/>
      <c r="U294" s="377"/>
      <c r="V294" s="377"/>
      <c r="W294" s="377"/>
      <c r="X294" s="377"/>
      <c r="Y294" s="377"/>
      <c r="Z294" s="377"/>
      <c r="AA294" s="377"/>
      <c r="AB294" s="377"/>
      <c r="AC294" s="377"/>
      <c r="AD294" s="377"/>
      <c r="AE294" s="377"/>
      <c r="AF294" s="377"/>
      <c r="AG294" s="377"/>
    </row>
    <row r="295" ht="14.25" customHeight="1">
      <c r="A295" s="377"/>
      <c r="B295" s="377"/>
      <c r="C295" s="377"/>
      <c r="D295" s="377"/>
      <c r="E295" s="377"/>
      <c r="F295" s="377"/>
      <c r="G295" s="377"/>
      <c r="H295" s="377"/>
      <c r="I295" s="377"/>
      <c r="J295" s="377"/>
      <c r="K295" s="377"/>
      <c r="L295" s="377"/>
      <c r="M295" s="377"/>
      <c r="N295" s="377"/>
      <c r="O295" s="377"/>
      <c r="P295" s="377"/>
      <c r="Q295" s="377"/>
      <c r="R295" s="377"/>
      <c r="S295" s="377"/>
      <c r="T295" s="377"/>
      <c r="U295" s="377"/>
      <c r="V295" s="377"/>
      <c r="W295" s="377"/>
      <c r="X295" s="377"/>
      <c r="Y295" s="377"/>
      <c r="Z295" s="377"/>
      <c r="AA295" s="377"/>
      <c r="AB295" s="377"/>
      <c r="AC295" s="377"/>
      <c r="AD295" s="377"/>
      <c r="AE295" s="377"/>
      <c r="AF295" s="377"/>
      <c r="AG295" s="377"/>
    </row>
    <row r="296" ht="14.25" customHeight="1">
      <c r="A296" s="377"/>
      <c r="B296" s="377"/>
      <c r="C296" s="377"/>
      <c r="D296" s="377"/>
      <c r="E296" s="377"/>
      <c r="F296" s="377"/>
      <c r="G296" s="377"/>
      <c r="H296" s="377"/>
      <c r="I296" s="377"/>
      <c r="J296" s="377"/>
      <c r="K296" s="377"/>
      <c r="L296" s="377"/>
      <c r="M296" s="377"/>
      <c r="N296" s="377"/>
      <c r="O296" s="377"/>
      <c r="P296" s="377"/>
      <c r="Q296" s="377"/>
      <c r="R296" s="377"/>
      <c r="S296" s="377"/>
      <c r="T296" s="377"/>
      <c r="U296" s="377"/>
      <c r="V296" s="377"/>
      <c r="W296" s="377"/>
      <c r="X296" s="377"/>
      <c r="Y296" s="377"/>
      <c r="Z296" s="377"/>
      <c r="AA296" s="377"/>
      <c r="AB296" s="377"/>
      <c r="AC296" s="377"/>
      <c r="AD296" s="377"/>
      <c r="AE296" s="377"/>
      <c r="AF296" s="377"/>
      <c r="AG296" s="377"/>
    </row>
    <row r="297" ht="14.25" customHeight="1">
      <c r="A297" s="377"/>
      <c r="B297" s="377"/>
      <c r="C297" s="377"/>
      <c r="D297" s="377"/>
      <c r="E297" s="377"/>
      <c r="F297" s="377"/>
      <c r="G297" s="377"/>
      <c r="H297" s="377"/>
      <c r="I297" s="377"/>
      <c r="J297" s="377"/>
      <c r="K297" s="377"/>
      <c r="L297" s="377"/>
      <c r="M297" s="377"/>
      <c r="N297" s="377"/>
      <c r="O297" s="377"/>
      <c r="P297" s="377"/>
      <c r="Q297" s="377"/>
      <c r="R297" s="377"/>
      <c r="S297" s="377"/>
      <c r="T297" s="377"/>
      <c r="U297" s="377"/>
      <c r="V297" s="377"/>
      <c r="W297" s="377"/>
      <c r="X297" s="377"/>
      <c r="Y297" s="377"/>
      <c r="Z297" s="377"/>
      <c r="AA297" s="377"/>
      <c r="AB297" s="377"/>
      <c r="AC297" s="377"/>
      <c r="AD297" s="377"/>
      <c r="AE297" s="377"/>
      <c r="AF297" s="377"/>
      <c r="AG297" s="377"/>
    </row>
    <row r="298" ht="14.25" customHeight="1">
      <c r="A298" s="377"/>
      <c r="B298" s="377"/>
      <c r="C298" s="377"/>
      <c r="D298" s="377"/>
      <c r="E298" s="377"/>
      <c r="F298" s="377"/>
      <c r="G298" s="377"/>
      <c r="H298" s="377"/>
      <c r="I298" s="377"/>
      <c r="J298" s="377"/>
      <c r="K298" s="377"/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7"/>
      <c r="W298" s="377"/>
      <c r="X298" s="377"/>
      <c r="Y298" s="377"/>
      <c r="Z298" s="377"/>
      <c r="AA298" s="377"/>
      <c r="AB298" s="377"/>
      <c r="AC298" s="377"/>
      <c r="AD298" s="377"/>
      <c r="AE298" s="377"/>
      <c r="AF298" s="377"/>
      <c r="AG298" s="377"/>
    </row>
    <row r="299" ht="14.25" customHeight="1">
      <c r="A299" s="377"/>
      <c r="B299" s="377"/>
      <c r="C299" s="377"/>
      <c r="D299" s="377"/>
      <c r="E299" s="377"/>
      <c r="F299" s="377"/>
      <c r="G299" s="377"/>
      <c r="H299" s="377"/>
      <c r="I299" s="377"/>
      <c r="J299" s="377"/>
      <c r="K299" s="377"/>
      <c r="L299" s="377"/>
      <c r="M299" s="377"/>
      <c r="N299" s="377"/>
      <c r="O299" s="377"/>
      <c r="P299" s="377"/>
      <c r="Q299" s="377"/>
      <c r="R299" s="377"/>
      <c r="S299" s="377"/>
      <c r="T299" s="377"/>
      <c r="U299" s="377"/>
      <c r="V299" s="377"/>
      <c r="W299" s="377"/>
      <c r="X299" s="377"/>
      <c r="Y299" s="377"/>
      <c r="Z299" s="377"/>
      <c r="AA299" s="377"/>
      <c r="AB299" s="377"/>
      <c r="AC299" s="377"/>
      <c r="AD299" s="377"/>
      <c r="AE299" s="377"/>
      <c r="AF299" s="377"/>
      <c r="AG299" s="377"/>
    </row>
    <row r="300" ht="14.25" customHeight="1">
      <c r="A300" s="377"/>
      <c r="B300" s="377"/>
      <c r="C300" s="377"/>
      <c r="D300" s="377"/>
      <c r="E300" s="377"/>
      <c r="F300" s="377"/>
      <c r="G300" s="377"/>
      <c r="H300" s="377"/>
      <c r="I300" s="377"/>
      <c r="J300" s="377"/>
      <c r="K300" s="377"/>
      <c r="L300" s="377"/>
      <c r="M300" s="377"/>
      <c r="N300" s="377"/>
      <c r="O300" s="377"/>
      <c r="P300" s="377"/>
      <c r="Q300" s="377"/>
      <c r="R300" s="377"/>
      <c r="S300" s="377"/>
      <c r="T300" s="377"/>
      <c r="U300" s="377"/>
      <c r="V300" s="377"/>
      <c r="W300" s="377"/>
      <c r="X300" s="377"/>
      <c r="Y300" s="377"/>
      <c r="Z300" s="377"/>
      <c r="AA300" s="377"/>
      <c r="AB300" s="377"/>
      <c r="AC300" s="377"/>
      <c r="AD300" s="377"/>
      <c r="AE300" s="377"/>
      <c r="AF300" s="377"/>
      <c r="AG300" s="377"/>
    </row>
    <row r="301" ht="14.25" customHeight="1">
      <c r="A301" s="377"/>
      <c r="B301" s="377"/>
      <c r="C301" s="377"/>
      <c r="D301" s="377"/>
      <c r="E301" s="377"/>
      <c r="F301" s="377"/>
      <c r="G301" s="377"/>
      <c r="H301" s="377"/>
      <c r="I301" s="377"/>
      <c r="J301" s="377"/>
      <c r="K301" s="377"/>
      <c r="L301" s="377"/>
      <c r="M301" s="377"/>
      <c r="N301" s="377"/>
      <c r="O301" s="377"/>
      <c r="P301" s="377"/>
      <c r="Q301" s="377"/>
      <c r="R301" s="377"/>
      <c r="S301" s="377"/>
      <c r="T301" s="377"/>
      <c r="U301" s="377"/>
      <c r="V301" s="377"/>
      <c r="W301" s="377"/>
      <c r="X301" s="377"/>
      <c r="Y301" s="377"/>
      <c r="Z301" s="377"/>
      <c r="AA301" s="377"/>
      <c r="AB301" s="377"/>
      <c r="AC301" s="377"/>
      <c r="AD301" s="377"/>
      <c r="AE301" s="377"/>
      <c r="AF301" s="377"/>
      <c r="AG301" s="377"/>
    </row>
    <row r="302" ht="14.25" customHeight="1">
      <c r="A302" s="377"/>
      <c r="B302" s="377"/>
      <c r="C302" s="377"/>
      <c r="D302" s="377"/>
      <c r="E302" s="377"/>
      <c r="F302" s="377"/>
      <c r="G302" s="377"/>
      <c r="H302" s="377"/>
      <c r="I302" s="377"/>
      <c r="J302" s="377"/>
      <c r="K302" s="377"/>
      <c r="L302" s="377"/>
      <c r="M302" s="377"/>
      <c r="N302" s="377"/>
      <c r="O302" s="377"/>
      <c r="P302" s="377"/>
      <c r="Q302" s="377"/>
      <c r="R302" s="377"/>
      <c r="S302" s="377"/>
      <c r="T302" s="377"/>
      <c r="U302" s="377"/>
      <c r="V302" s="377"/>
      <c r="W302" s="377"/>
      <c r="X302" s="377"/>
      <c r="Y302" s="377"/>
      <c r="Z302" s="377"/>
      <c r="AA302" s="377"/>
      <c r="AB302" s="377"/>
      <c r="AC302" s="377"/>
      <c r="AD302" s="377"/>
      <c r="AE302" s="377"/>
      <c r="AF302" s="377"/>
      <c r="AG302" s="377"/>
    </row>
    <row r="303" ht="14.25" customHeight="1">
      <c r="A303" s="377"/>
      <c r="B303" s="377"/>
      <c r="C303" s="377"/>
      <c r="D303" s="377"/>
      <c r="E303" s="377"/>
      <c r="F303" s="377"/>
      <c r="G303" s="377"/>
      <c r="H303" s="377"/>
      <c r="I303" s="377"/>
      <c r="J303" s="377"/>
      <c r="K303" s="377"/>
      <c r="L303" s="377"/>
      <c r="M303" s="377"/>
      <c r="N303" s="377"/>
      <c r="O303" s="377"/>
      <c r="P303" s="377"/>
      <c r="Q303" s="377"/>
      <c r="R303" s="377"/>
      <c r="S303" s="377"/>
      <c r="T303" s="377"/>
      <c r="U303" s="377"/>
      <c r="V303" s="377"/>
      <c r="W303" s="377"/>
      <c r="X303" s="377"/>
      <c r="Y303" s="377"/>
      <c r="Z303" s="377"/>
      <c r="AA303" s="377"/>
      <c r="AB303" s="377"/>
      <c r="AC303" s="377"/>
      <c r="AD303" s="377"/>
      <c r="AE303" s="377"/>
      <c r="AF303" s="377"/>
      <c r="AG303" s="377"/>
    </row>
    <row r="304" ht="14.25" customHeight="1">
      <c r="A304" s="377"/>
      <c r="B304" s="377"/>
      <c r="C304" s="377"/>
      <c r="D304" s="377"/>
      <c r="E304" s="377"/>
      <c r="F304" s="377"/>
      <c r="G304" s="377"/>
      <c r="H304" s="377"/>
      <c r="I304" s="377"/>
      <c r="J304" s="377"/>
      <c r="K304" s="377"/>
      <c r="L304" s="377"/>
      <c r="M304" s="377"/>
      <c r="N304" s="377"/>
      <c r="O304" s="377"/>
      <c r="P304" s="377"/>
      <c r="Q304" s="377"/>
      <c r="R304" s="377"/>
      <c r="S304" s="377"/>
      <c r="T304" s="377"/>
      <c r="U304" s="377"/>
      <c r="V304" s="377"/>
      <c r="W304" s="377"/>
      <c r="X304" s="377"/>
      <c r="Y304" s="377"/>
      <c r="Z304" s="377"/>
      <c r="AA304" s="377"/>
      <c r="AB304" s="377"/>
      <c r="AC304" s="377"/>
      <c r="AD304" s="377"/>
      <c r="AE304" s="377"/>
      <c r="AF304" s="377"/>
      <c r="AG304" s="377"/>
    </row>
    <row r="305" ht="14.25" customHeight="1">
      <c r="A305" s="377"/>
      <c r="B305" s="377"/>
      <c r="C305" s="377"/>
      <c r="D305" s="377"/>
      <c r="E305" s="377"/>
      <c r="F305" s="377"/>
      <c r="G305" s="377"/>
      <c r="H305" s="377"/>
      <c r="I305" s="377"/>
      <c r="J305" s="377"/>
      <c r="K305" s="377"/>
      <c r="L305" s="377"/>
      <c r="M305" s="377"/>
      <c r="N305" s="377"/>
      <c r="O305" s="377"/>
      <c r="P305" s="377"/>
      <c r="Q305" s="377"/>
      <c r="R305" s="377"/>
      <c r="S305" s="377"/>
      <c r="T305" s="377"/>
      <c r="U305" s="377"/>
      <c r="V305" s="377"/>
      <c r="W305" s="377"/>
      <c r="X305" s="377"/>
      <c r="Y305" s="377"/>
      <c r="Z305" s="377"/>
      <c r="AA305" s="377"/>
      <c r="AB305" s="377"/>
      <c r="AC305" s="377"/>
      <c r="AD305" s="377"/>
      <c r="AE305" s="377"/>
      <c r="AF305" s="377"/>
      <c r="AG305" s="377"/>
    </row>
    <row r="306" ht="14.25" customHeight="1">
      <c r="A306" s="377"/>
      <c r="B306" s="377"/>
      <c r="C306" s="377"/>
      <c r="D306" s="377"/>
      <c r="E306" s="377"/>
      <c r="F306" s="377"/>
      <c r="G306" s="377"/>
      <c r="H306" s="377"/>
      <c r="I306" s="377"/>
      <c r="J306" s="377"/>
      <c r="K306" s="377"/>
      <c r="L306" s="377"/>
      <c r="M306" s="377"/>
      <c r="N306" s="377"/>
      <c r="O306" s="377"/>
      <c r="P306" s="377"/>
      <c r="Q306" s="377"/>
      <c r="R306" s="377"/>
      <c r="S306" s="377"/>
      <c r="T306" s="377"/>
      <c r="U306" s="377"/>
      <c r="V306" s="377"/>
      <c r="W306" s="377"/>
      <c r="X306" s="377"/>
      <c r="Y306" s="377"/>
      <c r="Z306" s="377"/>
      <c r="AA306" s="377"/>
      <c r="AB306" s="377"/>
      <c r="AC306" s="377"/>
      <c r="AD306" s="377"/>
      <c r="AE306" s="377"/>
      <c r="AF306" s="377"/>
      <c r="AG306" s="377"/>
    </row>
    <row r="307" ht="14.25" customHeight="1">
      <c r="A307" s="377"/>
      <c r="B307" s="377"/>
      <c r="C307" s="377"/>
      <c r="D307" s="377"/>
      <c r="E307" s="377"/>
      <c r="F307" s="377"/>
      <c r="G307" s="377"/>
      <c r="H307" s="377"/>
      <c r="I307" s="377"/>
      <c r="J307" s="377"/>
      <c r="K307" s="377"/>
      <c r="L307" s="377"/>
      <c r="M307" s="377"/>
      <c r="N307" s="377"/>
      <c r="O307" s="377"/>
      <c r="P307" s="377"/>
      <c r="Q307" s="377"/>
      <c r="R307" s="377"/>
      <c r="S307" s="377"/>
      <c r="T307" s="377"/>
      <c r="U307" s="377"/>
      <c r="V307" s="377"/>
      <c r="W307" s="377"/>
      <c r="X307" s="377"/>
      <c r="Y307" s="377"/>
      <c r="Z307" s="377"/>
      <c r="AA307" s="377"/>
      <c r="AB307" s="377"/>
      <c r="AC307" s="377"/>
      <c r="AD307" s="377"/>
      <c r="AE307" s="377"/>
      <c r="AF307" s="377"/>
      <c r="AG307" s="377"/>
    </row>
    <row r="308" ht="14.25" customHeight="1">
      <c r="A308" s="377"/>
      <c r="B308" s="377"/>
      <c r="C308" s="377"/>
      <c r="D308" s="377"/>
      <c r="E308" s="377"/>
      <c r="F308" s="377"/>
      <c r="G308" s="377"/>
      <c r="H308" s="377"/>
      <c r="I308" s="377"/>
      <c r="J308" s="377"/>
      <c r="K308" s="377"/>
      <c r="L308" s="377"/>
      <c r="M308" s="377"/>
      <c r="N308" s="377"/>
      <c r="O308" s="377"/>
      <c r="P308" s="377"/>
      <c r="Q308" s="377"/>
      <c r="R308" s="377"/>
      <c r="S308" s="377"/>
      <c r="T308" s="377"/>
      <c r="U308" s="377"/>
      <c r="V308" s="377"/>
      <c r="W308" s="377"/>
      <c r="X308" s="377"/>
      <c r="Y308" s="377"/>
      <c r="Z308" s="377"/>
      <c r="AA308" s="377"/>
      <c r="AB308" s="377"/>
      <c r="AC308" s="377"/>
      <c r="AD308" s="377"/>
      <c r="AE308" s="377"/>
      <c r="AF308" s="377"/>
      <c r="AG308" s="377"/>
    </row>
    <row r="309" ht="14.25" customHeight="1">
      <c r="A309" s="377"/>
      <c r="B309" s="377"/>
      <c r="C309" s="377"/>
      <c r="D309" s="377"/>
      <c r="E309" s="377"/>
      <c r="F309" s="377"/>
      <c r="G309" s="377"/>
      <c r="H309" s="377"/>
      <c r="I309" s="377"/>
      <c r="J309" s="377"/>
      <c r="K309" s="377"/>
      <c r="L309" s="377"/>
      <c r="M309" s="377"/>
      <c r="N309" s="377"/>
      <c r="O309" s="377"/>
      <c r="P309" s="377"/>
      <c r="Q309" s="377"/>
      <c r="R309" s="377"/>
      <c r="S309" s="377"/>
      <c r="T309" s="377"/>
      <c r="U309" s="377"/>
      <c r="V309" s="377"/>
      <c r="W309" s="377"/>
      <c r="X309" s="377"/>
      <c r="Y309" s="377"/>
      <c r="Z309" s="377"/>
      <c r="AA309" s="377"/>
      <c r="AB309" s="377"/>
      <c r="AC309" s="377"/>
      <c r="AD309" s="377"/>
      <c r="AE309" s="377"/>
      <c r="AF309" s="377"/>
      <c r="AG309" s="377"/>
    </row>
    <row r="310" ht="14.25" customHeight="1">
      <c r="A310" s="377"/>
      <c r="B310" s="377"/>
      <c r="C310" s="377"/>
      <c r="D310" s="377"/>
      <c r="E310" s="377"/>
      <c r="F310" s="377"/>
      <c r="G310" s="377"/>
      <c r="H310" s="377"/>
      <c r="I310" s="377"/>
      <c r="J310" s="377"/>
      <c r="K310" s="377"/>
      <c r="L310" s="377"/>
      <c r="M310" s="377"/>
      <c r="N310" s="377"/>
      <c r="O310" s="377"/>
      <c r="P310" s="377"/>
      <c r="Q310" s="377"/>
      <c r="R310" s="377"/>
      <c r="S310" s="377"/>
      <c r="T310" s="377"/>
      <c r="U310" s="377"/>
      <c r="V310" s="377"/>
      <c r="W310" s="377"/>
      <c r="X310" s="377"/>
      <c r="Y310" s="377"/>
      <c r="Z310" s="377"/>
      <c r="AA310" s="377"/>
      <c r="AB310" s="377"/>
      <c r="AC310" s="377"/>
      <c r="AD310" s="377"/>
      <c r="AE310" s="377"/>
      <c r="AF310" s="377"/>
      <c r="AG310" s="377"/>
    </row>
    <row r="311" ht="14.25" customHeight="1">
      <c r="A311" s="377"/>
      <c r="B311" s="377"/>
      <c r="C311" s="377"/>
      <c r="D311" s="377"/>
      <c r="E311" s="377"/>
      <c r="F311" s="377"/>
      <c r="G311" s="377"/>
      <c r="H311" s="377"/>
      <c r="I311" s="377"/>
      <c r="J311" s="377"/>
      <c r="K311" s="377"/>
      <c r="L311" s="377"/>
      <c r="M311" s="377"/>
      <c r="N311" s="377"/>
      <c r="O311" s="377"/>
      <c r="P311" s="377"/>
      <c r="Q311" s="377"/>
      <c r="R311" s="377"/>
      <c r="S311" s="377"/>
      <c r="T311" s="377"/>
      <c r="U311" s="377"/>
      <c r="V311" s="377"/>
      <c r="W311" s="377"/>
      <c r="X311" s="377"/>
      <c r="Y311" s="377"/>
      <c r="Z311" s="377"/>
      <c r="AA311" s="377"/>
      <c r="AB311" s="377"/>
      <c r="AC311" s="377"/>
      <c r="AD311" s="377"/>
      <c r="AE311" s="377"/>
      <c r="AF311" s="377"/>
      <c r="AG311" s="377"/>
    </row>
    <row r="312" ht="14.25" customHeight="1">
      <c r="A312" s="377"/>
      <c r="B312" s="377"/>
      <c r="C312" s="377"/>
      <c r="D312" s="377"/>
      <c r="E312" s="377"/>
      <c r="F312" s="377"/>
      <c r="G312" s="377"/>
      <c r="H312" s="377"/>
      <c r="I312" s="377"/>
      <c r="J312" s="377"/>
      <c r="K312" s="377"/>
      <c r="L312" s="377"/>
      <c r="M312" s="377"/>
      <c r="N312" s="377"/>
      <c r="O312" s="377"/>
      <c r="P312" s="377"/>
      <c r="Q312" s="377"/>
      <c r="R312" s="377"/>
      <c r="S312" s="377"/>
      <c r="T312" s="377"/>
      <c r="U312" s="377"/>
      <c r="V312" s="377"/>
      <c r="W312" s="377"/>
      <c r="X312" s="377"/>
      <c r="Y312" s="377"/>
      <c r="Z312" s="377"/>
      <c r="AA312" s="377"/>
      <c r="AB312" s="377"/>
      <c r="AC312" s="377"/>
      <c r="AD312" s="377"/>
      <c r="AE312" s="377"/>
      <c r="AF312" s="377"/>
      <c r="AG312" s="377"/>
    </row>
    <row r="313" ht="14.25" customHeight="1">
      <c r="A313" s="377"/>
      <c r="B313" s="377"/>
      <c r="C313" s="377"/>
      <c r="D313" s="377"/>
      <c r="E313" s="377"/>
      <c r="F313" s="377"/>
      <c r="G313" s="377"/>
      <c r="H313" s="377"/>
      <c r="I313" s="377"/>
      <c r="J313" s="377"/>
      <c r="K313" s="377"/>
      <c r="L313" s="377"/>
      <c r="M313" s="377"/>
      <c r="N313" s="377"/>
      <c r="O313" s="377"/>
      <c r="P313" s="377"/>
      <c r="Q313" s="377"/>
      <c r="R313" s="377"/>
      <c r="S313" s="377"/>
      <c r="T313" s="377"/>
      <c r="U313" s="377"/>
      <c r="V313" s="377"/>
      <c r="W313" s="377"/>
      <c r="X313" s="377"/>
      <c r="Y313" s="377"/>
      <c r="Z313" s="377"/>
      <c r="AA313" s="377"/>
      <c r="AB313" s="377"/>
      <c r="AC313" s="377"/>
      <c r="AD313" s="377"/>
      <c r="AE313" s="377"/>
      <c r="AF313" s="377"/>
      <c r="AG313" s="377"/>
    </row>
    <row r="314" ht="14.25" customHeight="1">
      <c r="A314" s="377"/>
      <c r="B314" s="377"/>
      <c r="C314" s="377"/>
      <c r="D314" s="377"/>
      <c r="E314" s="377"/>
      <c r="F314" s="377"/>
      <c r="G314" s="377"/>
      <c r="H314" s="377"/>
      <c r="I314" s="377"/>
      <c r="J314" s="377"/>
      <c r="K314" s="377"/>
      <c r="L314" s="377"/>
      <c r="M314" s="377"/>
      <c r="N314" s="377"/>
      <c r="O314" s="377"/>
      <c r="P314" s="377"/>
      <c r="Q314" s="377"/>
      <c r="R314" s="377"/>
      <c r="S314" s="377"/>
      <c r="T314" s="377"/>
      <c r="U314" s="377"/>
      <c r="V314" s="377"/>
      <c r="W314" s="377"/>
      <c r="X314" s="377"/>
      <c r="Y314" s="377"/>
      <c r="Z314" s="377"/>
      <c r="AA314" s="377"/>
      <c r="AB314" s="377"/>
      <c r="AC314" s="377"/>
      <c r="AD314" s="377"/>
      <c r="AE314" s="377"/>
      <c r="AF314" s="377"/>
      <c r="AG314" s="377"/>
    </row>
    <row r="315" ht="14.25" customHeight="1">
      <c r="A315" s="377"/>
      <c r="B315" s="377"/>
      <c r="C315" s="377"/>
      <c r="D315" s="377"/>
      <c r="E315" s="377"/>
      <c r="F315" s="377"/>
      <c r="G315" s="377"/>
      <c r="H315" s="377"/>
      <c r="I315" s="377"/>
      <c r="J315" s="377"/>
      <c r="K315" s="377"/>
      <c r="L315" s="377"/>
      <c r="M315" s="377"/>
      <c r="N315" s="377"/>
      <c r="O315" s="377"/>
      <c r="P315" s="377"/>
      <c r="Q315" s="377"/>
      <c r="R315" s="377"/>
      <c r="S315" s="377"/>
      <c r="T315" s="377"/>
      <c r="U315" s="377"/>
      <c r="V315" s="377"/>
      <c r="W315" s="377"/>
      <c r="X315" s="377"/>
      <c r="Y315" s="377"/>
      <c r="Z315" s="377"/>
      <c r="AA315" s="377"/>
      <c r="AB315" s="377"/>
      <c r="AC315" s="377"/>
      <c r="AD315" s="377"/>
      <c r="AE315" s="377"/>
      <c r="AF315" s="377"/>
      <c r="AG315" s="377"/>
    </row>
    <row r="316" ht="14.25" customHeight="1">
      <c r="A316" s="377"/>
      <c r="B316" s="377"/>
      <c r="C316" s="377"/>
      <c r="D316" s="377"/>
      <c r="E316" s="377"/>
      <c r="F316" s="377"/>
      <c r="G316" s="377"/>
      <c r="H316" s="377"/>
      <c r="I316" s="377"/>
      <c r="J316" s="377"/>
      <c r="K316" s="377"/>
      <c r="L316" s="377"/>
      <c r="M316" s="377"/>
      <c r="N316" s="377"/>
      <c r="O316" s="377"/>
      <c r="P316" s="377"/>
      <c r="Q316" s="377"/>
      <c r="R316" s="377"/>
      <c r="S316" s="377"/>
      <c r="T316" s="377"/>
      <c r="U316" s="377"/>
      <c r="V316" s="377"/>
      <c r="W316" s="377"/>
      <c r="X316" s="377"/>
      <c r="Y316" s="377"/>
      <c r="Z316" s="377"/>
      <c r="AA316" s="377"/>
      <c r="AB316" s="377"/>
      <c r="AC316" s="377"/>
      <c r="AD316" s="377"/>
      <c r="AE316" s="377"/>
      <c r="AF316" s="377"/>
      <c r="AG316" s="377"/>
    </row>
    <row r="317" ht="14.25" customHeight="1">
      <c r="A317" s="377"/>
      <c r="B317" s="377"/>
      <c r="C317" s="377"/>
      <c r="D317" s="377"/>
      <c r="E317" s="377"/>
      <c r="F317" s="377"/>
      <c r="G317" s="377"/>
      <c r="H317" s="377"/>
      <c r="I317" s="377"/>
      <c r="J317" s="377"/>
      <c r="K317" s="377"/>
      <c r="L317" s="377"/>
      <c r="M317" s="377"/>
      <c r="N317" s="377"/>
      <c r="O317" s="377"/>
      <c r="P317" s="377"/>
      <c r="Q317" s="377"/>
      <c r="R317" s="377"/>
      <c r="S317" s="377"/>
      <c r="T317" s="377"/>
      <c r="U317" s="377"/>
      <c r="V317" s="377"/>
      <c r="W317" s="377"/>
      <c r="X317" s="377"/>
      <c r="Y317" s="377"/>
      <c r="Z317" s="377"/>
      <c r="AA317" s="377"/>
      <c r="AB317" s="377"/>
      <c r="AC317" s="377"/>
      <c r="AD317" s="377"/>
      <c r="AE317" s="377"/>
      <c r="AF317" s="377"/>
      <c r="AG317" s="377"/>
    </row>
    <row r="318" ht="14.25" customHeight="1">
      <c r="A318" s="377"/>
      <c r="B318" s="377"/>
      <c r="C318" s="377"/>
      <c r="D318" s="377"/>
      <c r="E318" s="377"/>
      <c r="F318" s="377"/>
      <c r="G318" s="377"/>
      <c r="H318" s="377"/>
      <c r="I318" s="377"/>
      <c r="J318" s="377"/>
      <c r="K318" s="377"/>
      <c r="L318" s="377"/>
      <c r="M318" s="377"/>
      <c r="N318" s="377"/>
      <c r="O318" s="377"/>
      <c r="P318" s="377"/>
      <c r="Q318" s="377"/>
      <c r="R318" s="377"/>
      <c r="S318" s="377"/>
      <c r="T318" s="377"/>
      <c r="U318" s="377"/>
      <c r="V318" s="377"/>
      <c r="W318" s="377"/>
      <c r="X318" s="377"/>
      <c r="Y318" s="377"/>
      <c r="Z318" s="377"/>
      <c r="AA318" s="377"/>
      <c r="AB318" s="377"/>
      <c r="AC318" s="377"/>
      <c r="AD318" s="377"/>
      <c r="AE318" s="377"/>
      <c r="AF318" s="377"/>
      <c r="AG318" s="377"/>
    </row>
    <row r="319" ht="14.25" customHeight="1">
      <c r="A319" s="377"/>
      <c r="B319" s="377"/>
      <c r="C319" s="377"/>
      <c r="D319" s="377"/>
      <c r="E319" s="377"/>
      <c r="F319" s="377"/>
      <c r="G319" s="377"/>
      <c r="H319" s="377"/>
      <c r="I319" s="377"/>
      <c r="J319" s="377"/>
      <c r="K319" s="377"/>
      <c r="L319" s="377"/>
      <c r="M319" s="377"/>
      <c r="N319" s="377"/>
      <c r="O319" s="377"/>
      <c r="P319" s="377"/>
      <c r="Q319" s="377"/>
      <c r="R319" s="377"/>
      <c r="S319" s="377"/>
      <c r="T319" s="377"/>
      <c r="U319" s="377"/>
      <c r="V319" s="377"/>
      <c r="W319" s="377"/>
      <c r="X319" s="377"/>
      <c r="Y319" s="377"/>
      <c r="Z319" s="377"/>
      <c r="AA319" s="377"/>
      <c r="AB319" s="377"/>
      <c r="AC319" s="377"/>
      <c r="AD319" s="377"/>
      <c r="AE319" s="377"/>
      <c r="AF319" s="377"/>
      <c r="AG319" s="377"/>
    </row>
    <row r="320" ht="14.25" customHeight="1">
      <c r="A320" s="377"/>
      <c r="B320" s="377"/>
      <c r="C320" s="377"/>
      <c r="D320" s="377"/>
      <c r="E320" s="377"/>
      <c r="F320" s="377"/>
      <c r="G320" s="377"/>
      <c r="H320" s="377"/>
      <c r="I320" s="377"/>
      <c r="J320" s="377"/>
      <c r="K320" s="377"/>
      <c r="L320" s="377"/>
      <c r="M320" s="377"/>
      <c r="N320" s="377"/>
      <c r="O320" s="377"/>
      <c r="P320" s="377"/>
      <c r="Q320" s="377"/>
      <c r="R320" s="377"/>
      <c r="S320" s="377"/>
      <c r="T320" s="377"/>
      <c r="U320" s="377"/>
      <c r="V320" s="377"/>
      <c r="W320" s="377"/>
      <c r="X320" s="377"/>
      <c r="Y320" s="377"/>
      <c r="Z320" s="377"/>
      <c r="AA320" s="377"/>
      <c r="AB320" s="377"/>
      <c r="AC320" s="377"/>
      <c r="AD320" s="377"/>
      <c r="AE320" s="377"/>
      <c r="AF320" s="377"/>
      <c r="AG320" s="377"/>
    </row>
    <row r="321" ht="14.25" customHeight="1">
      <c r="A321" s="377"/>
      <c r="B321" s="377"/>
      <c r="C321" s="377"/>
      <c r="D321" s="377"/>
      <c r="E321" s="377"/>
      <c r="F321" s="377"/>
      <c r="G321" s="377"/>
      <c r="H321" s="377"/>
      <c r="I321" s="377"/>
      <c r="J321" s="377"/>
      <c r="K321" s="377"/>
      <c r="L321" s="377"/>
      <c r="M321" s="377"/>
      <c r="N321" s="377"/>
      <c r="O321" s="377"/>
      <c r="P321" s="377"/>
      <c r="Q321" s="377"/>
      <c r="R321" s="377"/>
      <c r="S321" s="377"/>
      <c r="T321" s="377"/>
      <c r="U321" s="377"/>
      <c r="V321" s="377"/>
      <c r="W321" s="377"/>
      <c r="X321" s="377"/>
      <c r="Y321" s="377"/>
      <c r="Z321" s="377"/>
      <c r="AA321" s="377"/>
      <c r="AB321" s="377"/>
      <c r="AC321" s="377"/>
      <c r="AD321" s="377"/>
      <c r="AE321" s="377"/>
      <c r="AF321" s="377"/>
      <c r="AG321" s="377"/>
    </row>
    <row r="322" ht="14.25" customHeight="1">
      <c r="A322" s="377"/>
      <c r="B322" s="377"/>
      <c r="C322" s="377"/>
      <c r="D322" s="377"/>
      <c r="E322" s="377"/>
      <c r="F322" s="377"/>
      <c r="G322" s="377"/>
      <c r="H322" s="377"/>
      <c r="I322" s="377"/>
      <c r="J322" s="377"/>
      <c r="K322" s="377"/>
      <c r="L322" s="377"/>
      <c r="M322" s="377"/>
      <c r="N322" s="377"/>
      <c r="O322" s="377"/>
      <c r="P322" s="377"/>
      <c r="Q322" s="377"/>
      <c r="R322" s="377"/>
      <c r="S322" s="377"/>
      <c r="T322" s="377"/>
      <c r="U322" s="377"/>
      <c r="V322" s="377"/>
      <c r="W322" s="377"/>
      <c r="X322" s="377"/>
      <c r="Y322" s="377"/>
      <c r="Z322" s="377"/>
      <c r="AA322" s="377"/>
      <c r="AB322" s="377"/>
      <c r="AC322" s="377"/>
      <c r="AD322" s="377"/>
      <c r="AE322" s="377"/>
      <c r="AF322" s="377"/>
      <c r="AG322" s="377"/>
    </row>
    <row r="323" ht="14.25" customHeight="1">
      <c r="A323" s="377"/>
      <c r="B323" s="377"/>
      <c r="C323" s="377"/>
      <c r="D323" s="377"/>
      <c r="E323" s="377"/>
      <c r="F323" s="377"/>
      <c r="G323" s="377"/>
      <c r="H323" s="377"/>
      <c r="I323" s="377"/>
      <c r="J323" s="377"/>
      <c r="K323" s="377"/>
      <c r="L323" s="377"/>
      <c r="M323" s="377"/>
      <c r="N323" s="377"/>
      <c r="O323" s="377"/>
      <c r="P323" s="377"/>
      <c r="Q323" s="377"/>
      <c r="R323" s="377"/>
      <c r="S323" s="377"/>
      <c r="T323" s="377"/>
      <c r="U323" s="377"/>
      <c r="V323" s="377"/>
      <c r="W323" s="377"/>
      <c r="X323" s="377"/>
      <c r="Y323" s="377"/>
      <c r="Z323" s="377"/>
      <c r="AA323" s="377"/>
      <c r="AB323" s="377"/>
      <c r="AC323" s="377"/>
      <c r="AD323" s="377"/>
      <c r="AE323" s="377"/>
      <c r="AF323" s="377"/>
      <c r="AG323" s="377"/>
    </row>
    <row r="324" ht="14.25" customHeight="1">
      <c r="A324" s="377"/>
      <c r="B324" s="377"/>
      <c r="C324" s="377"/>
      <c r="D324" s="377"/>
      <c r="E324" s="377"/>
      <c r="F324" s="377"/>
      <c r="G324" s="377"/>
      <c r="H324" s="377"/>
      <c r="I324" s="377"/>
      <c r="J324" s="377"/>
      <c r="K324" s="377"/>
      <c r="L324" s="377"/>
      <c r="M324" s="377"/>
      <c r="N324" s="377"/>
      <c r="O324" s="377"/>
      <c r="P324" s="377"/>
      <c r="Q324" s="377"/>
      <c r="R324" s="377"/>
      <c r="S324" s="377"/>
      <c r="T324" s="377"/>
      <c r="U324" s="377"/>
      <c r="V324" s="377"/>
      <c r="W324" s="377"/>
      <c r="X324" s="377"/>
      <c r="Y324" s="377"/>
      <c r="Z324" s="377"/>
      <c r="AA324" s="377"/>
      <c r="AB324" s="377"/>
      <c r="AC324" s="377"/>
      <c r="AD324" s="377"/>
      <c r="AE324" s="377"/>
      <c r="AF324" s="377"/>
      <c r="AG324" s="377"/>
    </row>
    <row r="325" ht="14.25" customHeight="1">
      <c r="A325" s="377"/>
      <c r="B325" s="377"/>
      <c r="C325" s="377"/>
      <c r="D325" s="377"/>
      <c r="E325" s="377"/>
      <c r="F325" s="377"/>
      <c r="G325" s="377"/>
      <c r="H325" s="377"/>
      <c r="I325" s="377"/>
      <c r="J325" s="377"/>
      <c r="K325" s="377"/>
      <c r="L325" s="377"/>
      <c r="M325" s="377"/>
      <c r="N325" s="377"/>
      <c r="O325" s="377"/>
      <c r="P325" s="377"/>
      <c r="Q325" s="377"/>
      <c r="R325" s="377"/>
      <c r="S325" s="377"/>
      <c r="T325" s="377"/>
      <c r="U325" s="377"/>
      <c r="V325" s="377"/>
      <c r="W325" s="377"/>
      <c r="X325" s="377"/>
      <c r="Y325" s="377"/>
      <c r="Z325" s="377"/>
      <c r="AA325" s="377"/>
      <c r="AB325" s="377"/>
      <c r="AC325" s="377"/>
      <c r="AD325" s="377"/>
      <c r="AE325" s="377"/>
      <c r="AF325" s="377"/>
      <c r="AG325" s="377"/>
    </row>
    <row r="326" ht="14.25" customHeight="1">
      <c r="A326" s="377"/>
      <c r="B326" s="377"/>
      <c r="C326" s="377"/>
      <c r="D326" s="377"/>
      <c r="E326" s="377"/>
      <c r="F326" s="377"/>
      <c r="G326" s="377"/>
      <c r="H326" s="377"/>
      <c r="I326" s="377"/>
      <c r="J326" s="377"/>
      <c r="K326" s="377"/>
      <c r="L326" s="377"/>
      <c r="M326" s="377"/>
      <c r="N326" s="377"/>
      <c r="O326" s="377"/>
      <c r="P326" s="377"/>
      <c r="Q326" s="377"/>
      <c r="R326" s="377"/>
      <c r="S326" s="377"/>
      <c r="T326" s="377"/>
      <c r="U326" s="377"/>
      <c r="V326" s="377"/>
      <c r="W326" s="377"/>
      <c r="X326" s="377"/>
      <c r="Y326" s="377"/>
      <c r="Z326" s="377"/>
      <c r="AA326" s="377"/>
      <c r="AB326" s="377"/>
      <c r="AC326" s="377"/>
      <c r="AD326" s="377"/>
      <c r="AE326" s="377"/>
      <c r="AF326" s="377"/>
      <c r="AG326" s="377"/>
    </row>
    <row r="327" ht="14.25" customHeight="1">
      <c r="A327" s="377"/>
      <c r="B327" s="377"/>
      <c r="C327" s="377"/>
      <c r="D327" s="377"/>
      <c r="E327" s="377"/>
      <c r="F327" s="377"/>
      <c r="G327" s="377"/>
      <c r="H327" s="377"/>
      <c r="I327" s="377"/>
      <c r="J327" s="377"/>
      <c r="K327" s="377"/>
      <c r="L327" s="377"/>
      <c r="M327" s="377"/>
      <c r="N327" s="377"/>
      <c r="O327" s="377"/>
      <c r="P327" s="377"/>
      <c r="Q327" s="377"/>
      <c r="R327" s="377"/>
      <c r="S327" s="377"/>
      <c r="T327" s="377"/>
      <c r="U327" s="377"/>
      <c r="V327" s="377"/>
      <c r="W327" s="377"/>
      <c r="X327" s="377"/>
      <c r="Y327" s="377"/>
      <c r="Z327" s="377"/>
      <c r="AA327" s="377"/>
      <c r="AB327" s="377"/>
      <c r="AC327" s="377"/>
      <c r="AD327" s="377"/>
      <c r="AE327" s="377"/>
      <c r="AF327" s="377"/>
      <c r="AG327" s="377"/>
    </row>
    <row r="328" ht="14.25" customHeight="1">
      <c r="A328" s="377"/>
      <c r="B328" s="377"/>
      <c r="C328" s="377"/>
      <c r="D328" s="377"/>
      <c r="E328" s="377"/>
      <c r="F328" s="377"/>
      <c r="G328" s="377"/>
      <c r="H328" s="377"/>
      <c r="I328" s="377"/>
      <c r="J328" s="377"/>
      <c r="K328" s="377"/>
      <c r="L328" s="377"/>
      <c r="M328" s="377"/>
      <c r="N328" s="377"/>
      <c r="O328" s="377"/>
      <c r="P328" s="377"/>
      <c r="Q328" s="377"/>
      <c r="R328" s="377"/>
      <c r="S328" s="377"/>
      <c r="T328" s="377"/>
      <c r="U328" s="377"/>
      <c r="V328" s="377"/>
      <c r="W328" s="377"/>
      <c r="X328" s="377"/>
      <c r="Y328" s="377"/>
      <c r="Z328" s="377"/>
      <c r="AA328" s="377"/>
      <c r="AB328" s="377"/>
      <c r="AC328" s="377"/>
      <c r="AD328" s="377"/>
      <c r="AE328" s="377"/>
      <c r="AF328" s="377"/>
      <c r="AG328" s="377"/>
    </row>
    <row r="329" ht="14.25" customHeight="1">
      <c r="A329" s="377"/>
      <c r="B329" s="377"/>
      <c r="C329" s="377"/>
      <c r="D329" s="377"/>
      <c r="E329" s="377"/>
      <c r="F329" s="377"/>
      <c r="G329" s="377"/>
      <c r="H329" s="377"/>
      <c r="I329" s="377"/>
      <c r="J329" s="377"/>
      <c r="K329" s="377"/>
      <c r="L329" s="377"/>
      <c r="M329" s="377"/>
      <c r="N329" s="377"/>
      <c r="O329" s="377"/>
      <c r="P329" s="377"/>
      <c r="Q329" s="377"/>
      <c r="R329" s="377"/>
      <c r="S329" s="377"/>
      <c r="T329" s="377"/>
      <c r="U329" s="377"/>
      <c r="V329" s="377"/>
      <c r="W329" s="377"/>
      <c r="X329" s="377"/>
      <c r="Y329" s="377"/>
      <c r="Z329" s="377"/>
      <c r="AA329" s="377"/>
      <c r="AB329" s="377"/>
      <c r="AC329" s="377"/>
      <c r="AD329" s="377"/>
      <c r="AE329" s="377"/>
      <c r="AF329" s="377"/>
      <c r="AG329" s="377"/>
    </row>
    <row r="330" ht="14.25" customHeight="1">
      <c r="A330" s="377"/>
      <c r="B330" s="377"/>
      <c r="C330" s="377"/>
      <c r="D330" s="377"/>
      <c r="E330" s="377"/>
      <c r="F330" s="377"/>
      <c r="G330" s="377"/>
      <c r="H330" s="377"/>
      <c r="I330" s="377"/>
      <c r="J330" s="377"/>
      <c r="K330" s="377"/>
      <c r="L330" s="377"/>
      <c r="M330" s="377"/>
      <c r="N330" s="377"/>
      <c r="O330" s="377"/>
      <c r="P330" s="377"/>
      <c r="Q330" s="377"/>
      <c r="R330" s="377"/>
      <c r="S330" s="377"/>
      <c r="T330" s="377"/>
      <c r="U330" s="377"/>
      <c r="V330" s="377"/>
      <c r="W330" s="377"/>
      <c r="X330" s="377"/>
      <c r="Y330" s="377"/>
      <c r="Z330" s="377"/>
      <c r="AA330" s="377"/>
      <c r="AB330" s="377"/>
      <c r="AC330" s="377"/>
      <c r="AD330" s="377"/>
      <c r="AE330" s="377"/>
      <c r="AF330" s="377"/>
      <c r="AG330" s="377"/>
    </row>
    <row r="331" ht="14.25" customHeight="1">
      <c r="A331" s="377"/>
      <c r="B331" s="377"/>
      <c r="C331" s="377"/>
      <c r="D331" s="377"/>
      <c r="E331" s="377"/>
      <c r="F331" s="377"/>
      <c r="G331" s="377"/>
      <c r="H331" s="377"/>
      <c r="I331" s="377"/>
      <c r="J331" s="377"/>
      <c r="K331" s="377"/>
      <c r="L331" s="377"/>
      <c r="M331" s="377"/>
      <c r="N331" s="377"/>
      <c r="O331" s="377"/>
      <c r="P331" s="377"/>
      <c r="Q331" s="377"/>
      <c r="R331" s="377"/>
      <c r="S331" s="377"/>
      <c r="T331" s="377"/>
      <c r="U331" s="377"/>
      <c r="V331" s="377"/>
      <c r="W331" s="377"/>
      <c r="X331" s="377"/>
      <c r="Y331" s="377"/>
      <c r="Z331" s="377"/>
      <c r="AA331" s="377"/>
      <c r="AB331" s="377"/>
      <c r="AC331" s="377"/>
      <c r="AD331" s="377"/>
      <c r="AE331" s="377"/>
      <c r="AF331" s="377"/>
      <c r="AG331" s="377"/>
    </row>
    <row r="332" ht="14.25" customHeight="1">
      <c r="A332" s="377"/>
      <c r="B332" s="377"/>
      <c r="C332" s="377"/>
      <c r="D332" s="377"/>
      <c r="E332" s="377"/>
      <c r="F332" s="377"/>
      <c r="G332" s="377"/>
      <c r="H332" s="377"/>
      <c r="I332" s="377"/>
      <c r="J332" s="377"/>
      <c r="K332" s="377"/>
      <c r="L332" s="377"/>
      <c r="M332" s="377"/>
      <c r="N332" s="377"/>
      <c r="O332" s="377"/>
      <c r="P332" s="377"/>
      <c r="Q332" s="377"/>
      <c r="R332" s="377"/>
      <c r="S332" s="377"/>
      <c r="T332" s="377"/>
      <c r="U332" s="377"/>
      <c r="V332" s="377"/>
      <c r="W332" s="377"/>
      <c r="X332" s="377"/>
      <c r="Y332" s="377"/>
      <c r="Z332" s="377"/>
      <c r="AA332" s="377"/>
      <c r="AB332" s="377"/>
      <c r="AC332" s="377"/>
      <c r="AD332" s="377"/>
      <c r="AE332" s="377"/>
      <c r="AF332" s="377"/>
      <c r="AG332" s="377"/>
    </row>
    <row r="333" ht="14.25" customHeight="1">
      <c r="A333" s="377"/>
      <c r="B333" s="377"/>
      <c r="C333" s="377"/>
      <c r="D333" s="377"/>
      <c r="E333" s="377"/>
      <c r="F333" s="377"/>
      <c r="G333" s="377"/>
      <c r="H333" s="377"/>
      <c r="I333" s="377"/>
      <c r="J333" s="377"/>
      <c r="K333" s="377"/>
      <c r="L333" s="377"/>
      <c r="M333" s="377"/>
      <c r="N333" s="377"/>
      <c r="O333" s="377"/>
      <c r="P333" s="377"/>
      <c r="Q333" s="377"/>
      <c r="R333" s="377"/>
      <c r="S333" s="377"/>
      <c r="T333" s="377"/>
      <c r="U333" s="377"/>
      <c r="V333" s="377"/>
      <c r="W333" s="377"/>
      <c r="X333" s="377"/>
      <c r="Y333" s="377"/>
      <c r="Z333" s="377"/>
      <c r="AA333" s="377"/>
      <c r="AB333" s="377"/>
      <c r="AC333" s="377"/>
      <c r="AD333" s="377"/>
      <c r="AE333" s="377"/>
      <c r="AF333" s="377"/>
      <c r="AG333" s="377"/>
    </row>
    <row r="334" ht="14.25" customHeight="1">
      <c r="A334" s="377"/>
      <c r="B334" s="377"/>
      <c r="C334" s="377"/>
      <c r="D334" s="377"/>
      <c r="E334" s="377"/>
      <c r="F334" s="377"/>
      <c r="G334" s="377"/>
      <c r="H334" s="377"/>
      <c r="I334" s="377"/>
      <c r="J334" s="377"/>
      <c r="K334" s="377"/>
      <c r="L334" s="377"/>
      <c r="M334" s="377"/>
      <c r="N334" s="377"/>
      <c r="O334" s="377"/>
      <c r="P334" s="377"/>
      <c r="Q334" s="377"/>
      <c r="R334" s="377"/>
      <c r="S334" s="377"/>
      <c r="T334" s="377"/>
      <c r="U334" s="377"/>
      <c r="V334" s="377"/>
      <c r="W334" s="377"/>
      <c r="X334" s="377"/>
      <c r="Y334" s="377"/>
      <c r="Z334" s="377"/>
      <c r="AA334" s="377"/>
      <c r="AB334" s="377"/>
      <c r="AC334" s="377"/>
      <c r="AD334" s="377"/>
      <c r="AE334" s="377"/>
      <c r="AF334" s="377"/>
      <c r="AG334" s="377"/>
    </row>
    <row r="335" ht="14.25" customHeight="1">
      <c r="A335" s="377"/>
      <c r="B335" s="377"/>
      <c r="C335" s="377"/>
      <c r="D335" s="377"/>
      <c r="E335" s="377"/>
      <c r="F335" s="377"/>
      <c r="G335" s="377"/>
      <c r="H335" s="377"/>
      <c r="I335" s="377"/>
      <c r="J335" s="377"/>
      <c r="K335" s="377"/>
      <c r="L335" s="377"/>
      <c r="M335" s="377"/>
      <c r="N335" s="377"/>
      <c r="O335" s="377"/>
      <c r="P335" s="377"/>
      <c r="Q335" s="377"/>
      <c r="R335" s="377"/>
      <c r="S335" s="377"/>
      <c r="T335" s="377"/>
      <c r="U335" s="377"/>
      <c r="V335" s="377"/>
      <c r="W335" s="377"/>
      <c r="X335" s="377"/>
      <c r="Y335" s="377"/>
      <c r="Z335" s="377"/>
      <c r="AA335" s="377"/>
      <c r="AB335" s="377"/>
      <c r="AC335" s="377"/>
      <c r="AD335" s="377"/>
      <c r="AE335" s="377"/>
      <c r="AF335" s="377"/>
      <c r="AG335" s="377"/>
    </row>
    <row r="336" ht="14.25" customHeight="1">
      <c r="A336" s="377"/>
      <c r="B336" s="377"/>
      <c r="C336" s="377"/>
      <c r="D336" s="377"/>
      <c r="E336" s="377"/>
      <c r="F336" s="377"/>
      <c r="G336" s="377"/>
      <c r="H336" s="377"/>
      <c r="I336" s="377"/>
      <c r="J336" s="377"/>
      <c r="K336" s="377"/>
      <c r="L336" s="377"/>
      <c r="M336" s="377"/>
      <c r="N336" s="377"/>
      <c r="O336" s="377"/>
      <c r="P336" s="377"/>
      <c r="Q336" s="377"/>
      <c r="R336" s="377"/>
      <c r="S336" s="377"/>
      <c r="T336" s="377"/>
      <c r="U336" s="377"/>
      <c r="V336" s="377"/>
      <c r="W336" s="377"/>
      <c r="X336" s="377"/>
      <c r="Y336" s="377"/>
      <c r="Z336" s="377"/>
      <c r="AA336" s="377"/>
      <c r="AB336" s="377"/>
      <c r="AC336" s="377"/>
      <c r="AD336" s="377"/>
      <c r="AE336" s="377"/>
      <c r="AF336" s="377"/>
      <c r="AG336" s="377"/>
    </row>
    <row r="337" ht="14.25" customHeight="1">
      <c r="A337" s="377"/>
      <c r="B337" s="377"/>
      <c r="C337" s="377"/>
      <c r="D337" s="377"/>
      <c r="E337" s="377"/>
      <c r="F337" s="377"/>
      <c r="G337" s="377"/>
      <c r="H337" s="377"/>
      <c r="I337" s="377"/>
      <c r="J337" s="377"/>
      <c r="K337" s="377"/>
      <c r="L337" s="377"/>
      <c r="M337" s="377"/>
      <c r="N337" s="377"/>
      <c r="O337" s="377"/>
      <c r="P337" s="377"/>
      <c r="Q337" s="377"/>
      <c r="R337" s="377"/>
      <c r="S337" s="377"/>
      <c r="T337" s="377"/>
      <c r="U337" s="377"/>
      <c r="V337" s="377"/>
      <c r="W337" s="377"/>
      <c r="X337" s="377"/>
      <c r="Y337" s="377"/>
      <c r="Z337" s="377"/>
      <c r="AA337" s="377"/>
      <c r="AB337" s="377"/>
      <c r="AC337" s="377"/>
      <c r="AD337" s="377"/>
      <c r="AE337" s="377"/>
      <c r="AF337" s="377"/>
      <c r="AG337" s="377"/>
    </row>
    <row r="338" ht="14.25" customHeight="1">
      <c r="A338" s="377"/>
      <c r="B338" s="377"/>
      <c r="C338" s="377"/>
      <c r="D338" s="377"/>
      <c r="E338" s="377"/>
      <c r="F338" s="377"/>
      <c r="G338" s="377"/>
      <c r="H338" s="377"/>
      <c r="I338" s="377"/>
      <c r="J338" s="377"/>
      <c r="K338" s="377"/>
      <c r="L338" s="377"/>
      <c r="M338" s="377"/>
      <c r="N338" s="377"/>
      <c r="O338" s="377"/>
      <c r="P338" s="377"/>
      <c r="Q338" s="377"/>
      <c r="R338" s="377"/>
      <c r="S338" s="377"/>
      <c r="T338" s="377"/>
      <c r="U338" s="377"/>
      <c r="V338" s="377"/>
      <c r="W338" s="377"/>
      <c r="X338" s="377"/>
      <c r="Y338" s="377"/>
      <c r="Z338" s="377"/>
      <c r="AA338" s="377"/>
      <c r="AB338" s="377"/>
      <c r="AC338" s="377"/>
      <c r="AD338" s="377"/>
      <c r="AE338" s="377"/>
      <c r="AF338" s="377"/>
      <c r="AG338" s="377"/>
    </row>
    <row r="339" ht="14.25" customHeight="1">
      <c r="A339" s="377"/>
      <c r="B339" s="377"/>
      <c r="C339" s="377"/>
      <c r="D339" s="377"/>
      <c r="E339" s="377"/>
      <c r="F339" s="377"/>
      <c r="G339" s="377"/>
      <c r="H339" s="377"/>
      <c r="I339" s="377"/>
      <c r="J339" s="377"/>
      <c r="K339" s="377"/>
      <c r="L339" s="377"/>
      <c r="M339" s="377"/>
      <c r="N339" s="377"/>
      <c r="O339" s="377"/>
      <c r="P339" s="377"/>
      <c r="Q339" s="377"/>
      <c r="R339" s="377"/>
      <c r="S339" s="377"/>
      <c r="T339" s="377"/>
      <c r="U339" s="377"/>
      <c r="V339" s="377"/>
      <c r="W339" s="377"/>
      <c r="X339" s="377"/>
      <c r="Y339" s="377"/>
      <c r="Z339" s="377"/>
      <c r="AA339" s="377"/>
      <c r="AB339" s="377"/>
      <c r="AC339" s="377"/>
      <c r="AD339" s="377"/>
      <c r="AE339" s="377"/>
      <c r="AF339" s="377"/>
      <c r="AG339" s="377"/>
    </row>
    <row r="340" ht="14.25" customHeight="1">
      <c r="A340" s="377"/>
      <c r="B340" s="377"/>
      <c r="C340" s="377"/>
      <c r="D340" s="377"/>
      <c r="E340" s="377"/>
      <c r="F340" s="377"/>
      <c r="G340" s="377"/>
      <c r="H340" s="377"/>
      <c r="I340" s="377"/>
      <c r="J340" s="377"/>
      <c r="K340" s="377"/>
      <c r="L340" s="377"/>
      <c r="M340" s="377"/>
      <c r="N340" s="377"/>
      <c r="O340" s="377"/>
      <c r="P340" s="377"/>
      <c r="Q340" s="377"/>
      <c r="R340" s="377"/>
      <c r="S340" s="377"/>
      <c r="T340" s="377"/>
      <c r="U340" s="377"/>
      <c r="V340" s="377"/>
      <c r="W340" s="377"/>
      <c r="X340" s="377"/>
      <c r="Y340" s="377"/>
      <c r="Z340" s="377"/>
      <c r="AA340" s="377"/>
      <c r="AB340" s="377"/>
      <c r="AC340" s="377"/>
      <c r="AD340" s="377"/>
      <c r="AE340" s="377"/>
      <c r="AF340" s="377"/>
      <c r="AG340" s="377"/>
    </row>
    <row r="341" ht="14.25" customHeight="1">
      <c r="A341" s="377"/>
      <c r="B341" s="377"/>
      <c r="C341" s="377"/>
      <c r="D341" s="377"/>
      <c r="E341" s="377"/>
      <c r="F341" s="377"/>
      <c r="G341" s="377"/>
      <c r="H341" s="377"/>
      <c r="I341" s="377"/>
      <c r="J341" s="377"/>
      <c r="K341" s="377"/>
      <c r="L341" s="377"/>
      <c r="M341" s="377"/>
      <c r="N341" s="377"/>
      <c r="O341" s="377"/>
      <c r="P341" s="377"/>
      <c r="Q341" s="377"/>
      <c r="R341" s="377"/>
      <c r="S341" s="377"/>
      <c r="T341" s="377"/>
      <c r="U341" s="377"/>
      <c r="V341" s="377"/>
      <c r="W341" s="377"/>
      <c r="X341" s="377"/>
      <c r="Y341" s="377"/>
      <c r="Z341" s="377"/>
      <c r="AA341" s="377"/>
      <c r="AB341" s="377"/>
      <c r="AC341" s="377"/>
      <c r="AD341" s="377"/>
      <c r="AE341" s="377"/>
      <c r="AF341" s="377"/>
      <c r="AG341" s="377"/>
    </row>
    <row r="342" ht="14.25" customHeight="1">
      <c r="A342" s="377"/>
      <c r="B342" s="377"/>
      <c r="C342" s="377"/>
      <c r="D342" s="377"/>
      <c r="E342" s="377"/>
      <c r="F342" s="377"/>
      <c r="G342" s="377"/>
      <c r="H342" s="377"/>
      <c r="I342" s="377"/>
      <c r="J342" s="377"/>
      <c r="K342" s="377"/>
      <c r="L342" s="377"/>
      <c r="M342" s="377"/>
      <c r="N342" s="377"/>
      <c r="O342" s="377"/>
      <c r="P342" s="377"/>
      <c r="Q342" s="377"/>
      <c r="R342" s="377"/>
      <c r="S342" s="377"/>
      <c r="T342" s="377"/>
      <c r="U342" s="377"/>
      <c r="V342" s="377"/>
      <c r="W342" s="377"/>
      <c r="X342" s="377"/>
      <c r="Y342" s="377"/>
      <c r="Z342" s="377"/>
      <c r="AA342" s="377"/>
      <c r="AB342" s="377"/>
      <c r="AC342" s="377"/>
      <c r="AD342" s="377"/>
      <c r="AE342" s="377"/>
      <c r="AF342" s="377"/>
      <c r="AG342" s="377"/>
    </row>
    <row r="343" ht="14.25" customHeight="1">
      <c r="A343" s="377"/>
      <c r="B343" s="377"/>
      <c r="C343" s="377"/>
      <c r="D343" s="377"/>
      <c r="E343" s="377"/>
      <c r="F343" s="377"/>
      <c r="G343" s="377"/>
      <c r="H343" s="377"/>
      <c r="I343" s="377"/>
      <c r="J343" s="377"/>
      <c r="K343" s="377"/>
      <c r="L343" s="377"/>
      <c r="M343" s="377"/>
      <c r="N343" s="377"/>
      <c r="O343" s="377"/>
      <c r="P343" s="377"/>
      <c r="Q343" s="377"/>
      <c r="R343" s="377"/>
      <c r="S343" s="377"/>
      <c r="T343" s="377"/>
      <c r="U343" s="377"/>
      <c r="V343" s="377"/>
      <c r="W343" s="377"/>
      <c r="X343" s="377"/>
      <c r="Y343" s="377"/>
      <c r="Z343" s="377"/>
      <c r="AA343" s="377"/>
      <c r="AB343" s="377"/>
      <c r="AC343" s="377"/>
      <c r="AD343" s="377"/>
      <c r="AE343" s="377"/>
      <c r="AF343" s="377"/>
      <c r="AG343" s="377"/>
    </row>
    <row r="344" ht="14.25" customHeight="1">
      <c r="A344" s="377"/>
      <c r="B344" s="377"/>
      <c r="C344" s="377"/>
      <c r="D344" s="377"/>
      <c r="E344" s="377"/>
      <c r="F344" s="377"/>
      <c r="G344" s="377"/>
      <c r="H344" s="377"/>
      <c r="I344" s="377"/>
      <c r="J344" s="377"/>
      <c r="K344" s="377"/>
      <c r="L344" s="377"/>
      <c r="M344" s="377"/>
      <c r="N344" s="377"/>
      <c r="O344" s="377"/>
      <c r="P344" s="377"/>
      <c r="Q344" s="377"/>
      <c r="R344" s="377"/>
      <c r="S344" s="377"/>
      <c r="T344" s="377"/>
      <c r="U344" s="377"/>
      <c r="V344" s="377"/>
      <c r="W344" s="377"/>
      <c r="X344" s="377"/>
      <c r="Y344" s="377"/>
      <c r="Z344" s="377"/>
      <c r="AA344" s="377"/>
      <c r="AB344" s="377"/>
      <c r="AC344" s="377"/>
      <c r="AD344" s="377"/>
      <c r="AE344" s="377"/>
      <c r="AF344" s="377"/>
      <c r="AG344" s="377"/>
    </row>
    <row r="345" ht="14.25" customHeight="1">
      <c r="A345" s="377"/>
      <c r="B345" s="377"/>
      <c r="C345" s="377"/>
      <c r="D345" s="377"/>
      <c r="E345" s="377"/>
      <c r="F345" s="377"/>
      <c r="G345" s="377"/>
      <c r="H345" s="377"/>
      <c r="I345" s="377"/>
      <c r="J345" s="377"/>
      <c r="K345" s="377"/>
      <c r="L345" s="377"/>
      <c r="M345" s="377"/>
      <c r="N345" s="377"/>
      <c r="O345" s="377"/>
      <c r="P345" s="377"/>
      <c r="Q345" s="377"/>
      <c r="R345" s="377"/>
      <c r="S345" s="377"/>
      <c r="T345" s="377"/>
      <c r="U345" s="377"/>
      <c r="V345" s="377"/>
      <c r="W345" s="377"/>
      <c r="X345" s="377"/>
      <c r="Y345" s="377"/>
      <c r="Z345" s="377"/>
      <c r="AA345" s="377"/>
      <c r="AB345" s="377"/>
      <c r="AC345" s="377"/>
      <c r="AD345" s="377"/>
      <c r="AE345" s="377"/>
      <c r="AF345" s="377"/>
      <c r="AG345" s="377"/>
    </row>
    <row r="346" ht="14.25" customHeight="1">
      <c r="A346" s="377"/>
      <c r="B346" s="377"/>
      <c r="C346" s="377"/>
      <c r="D346" s="377"/>
      <c r="E346" s="377"/>
      <c r="F346" s="377"/>
      <c r="G346" s="377"/>
      <c r="H346" s="377"/>
      <c r="I346" s="377"/>
      <c r="J346" s="377"/>
      <c r="K346" s="377"/>
      <c r="L346" s="377"/>
      <c r="M346" s="377"/>
      <c r="N346" s="377"/>
      <c r="O346" s="377"/>
      <c r="P346" s="377"/>
      <c r="Q346" s="377"/>
      <c r="R346" s="377"/>
      <c r="S346" s="377"/>
      <c r="T346" s="377"/>
      <c r="U346" s="377"/>
      <c r="V346" s="377"/>
      <c r="W346" s="377"/>
      <c r="X346" s="377"/>
      <c r="Y346" s="377"/>
      <c r="Z346" s="377"/>
      <c r="AA346" s="377"/>
      <c r="AB346" s="377"/>
      <c r="AC346" s="377"/>
      <c r="AD346" s="377"/>
      <c r="AE346" s="377"/>
      <c r="AF346" s="377"/>
      <c r="AG346" s="377"/>
    </row>
    <row r="347" ht="14.25" customHeight="1">
      <c r="A347" s="377"/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77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  <c r="Z347" s="377"/>
      <c r="AA347" s="377"/>
      <c r="AB347" s="377"/>
      <c r="AC347" s="377"/>
      <c r="AD347" s="377"/>
      <c r="AE347" s="377"/>
      <c r="AF347" s="377"/>
      <c r="AG347" s="377"/>
    </row>
    <row r="348" ht="14.25" customHeight="1">
      <c r="A348" s="377"/>
      <c r="B348" s="377"/>
      <c r="C348" s="377"/>
      <c r="D348" s="377"/>
      <c r="E348" s="377"/>
      <c r="F348" s="377"/>
      <c r="G348" s="377"/>
      <c r="H348" s="377"/>
      <c r="I348" s="377"/>
      <c r="J348" s="377"/>
      <c r="K348" s="377"/>
      <c r="L348" s="377"/>
      <c r="M348" s="377"/>
      <c r="N348" s="377"/>
      <c r="O348" s="377"/>
      <c r="P348" s="377"/>
      <c r="Q348" s="377"/>
      <c r="R348" s="377"/>
      <c r="S348" s="377"/>
      <c r="T348" s="377"/>
      <c r="U348" s="377"/>
      <c r="V348" s="377"/>
      <c r="W348" s="377"/>
      <c r="X348" s="377"/>
      <c r="Y348" s="377"/>
      <c r="Z348" s="377"/>
      <c r="AA348" s="377"/>
      <c r="AB348" s="377"/>
      <c r="AC348" s="377"/>
      <c r="AD348" s="377"/>
      <c r="AE348" s="377"/>
      <c r="AF348" s="377"/>
      <c r="AG348" s="377"/>
    </row>
    <row r="349" ht="14.25" customHeight="1">
      <c r="A349" s="377"/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7"/>
      <c r="N349" s="377"/>
      <c r="O349" s="377"/>
      <c r="P349" s="377"/>
      <c r="Q349" s="377"/>
      <c r="R349" s="377"/>
      <c r="S349" s="377"/>
      <c r="T349" s="377"/>
      <c r="U349" s="377"/>
      <c r="V349" s="377"/>
      <c r="W349" s="377"/>
      <c r="X349" s="377"/>
      <c r="Y349" s="377"/>
      <c r="Z349" s="377"/>
      <c r="AA349" s="377"/>
      <c r="AB349" s="377"/>
      <c r="AC349" s="377"/>
      <c r="AD349" s="377"/>
      <c r="AE349" s="377"/>
      <c r="AF349" s="377"/>
      <c r="AG349" s="377"/>
    </row>
    <row r="350" ht="14.25" customHeight="1">
      <c r="A350" s="377"/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7"/>
      <c r="N350" s="377"/>
      <c r="O350" s="377"/>
      <c r="P350" s="377"/>
      <c r="Q350" s="377"/>
      <c r="R350" s="377"/>
      <c r="S350" s="377"/>
      <c r="T350" s="377"/>
      <c r="U350" s="377"/>
      <c r="V350" s="377"/>
      <c r="W350" s="377"/>
      <c r="X350" s="377"/>
      <c r="Y350" s="377"/>
      <c r="Z350" s="377"/>
      <c r="AA350" s="377"/>
      <c r="AB350" s="377"/>
      <c r="AC350" s="377"/>
      <c r="AD350" s="377"/>
      <c r="AE350" s="377"/>
      <c r="AF350" s="377"/>
      <c r="AG350" s="377"/>
    </row>
    <row r="351" ht="14.25" customHeight="1">
      <c r="A351" s="377"/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7"/>
      <c r="N351" s="377"/>
      <c r="O351" s="377"/>
      <c r="P351" s="377"/>
      <c r="Q351" s="377"/>
      <c r="R351" s="377"/>
      <c r="S351" s="377"/>
      <c r="T351" s="377"/>
      <c r="U351" s="377"/>
      <c r="V351" s="377"/>
      <c r="W351" s="377"/>
      <c r="X351" s="377"/>
      <c r="Y351" s="377"/>
      <c r="Z351" s="377"/>
      <c r="AA351" s="377"/>
      <c r="AB351" s="377"/>
      <c r="AC351" s="377"/>
      <c r="AD351" s="377"/>
      <c r="AE351" s="377"/>
      <c r="AF351" s="377"/>
      <c r="AG351" s="377"/>
    </row>
    <row r="352" ht="14.25" customHeight="1">
      <c r="A352" s="377"/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  <c r="T352" s="377"/>
      <c r="U352" s="377"/>
      <c r="V352" s="377"/>
      <c r="W352" s="377"/>
      <c r="X352" s="377"/>
      <c r="Y352" s="377"/>
      <c r="Z352" s="377"/>
      <c r="AA352" s="377"/>
      <c r="AB352" s="377"/>
      <c r="AC352" s="377"/>
      <c r="AD352" s="377"/>
      <c r="AE352" s="377"/>
      <c r="AF352" s="377"/>
      <c r="AG352" s="377"/>
    </row>
    <row r="353" ht="14.25" customHeight="1">
      <c r="A353" s="377"/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7"/>
      <c r="N353" s="377"/>
      <c r="O353" s="377"/>
      <c r="P353" s="377"/>
      <c r="Q353" s="377"/>
      <c r="R353" s="377"/>
      <c r="S353" s="377"/>
      <c r="T353" s="377"/>
      <c r="U353" s="377"/>
      <c r="V353" s="377"/>
      <c r="W353" s="377"/>
      <c r="X353" s="377"/>
      <c r="Y353" s="377"/>
      <c r="Z353" s="377"/>
      <c r="AA353" s="377"/>
      <c r="AB353" s="377"/>
      <c r="AC353" s="377"/>
      <c r="AD353" s="377"/>
      <c r="AE353" s="377"/>
      <c r="AF353" s="377"/>
      <c r="AG353" s="377"/>
    </row>
    <row r="354" ht="14.25" customHeight="1">
      <c r="A354" s="377"/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7"/>
      <c r="N354" s="377"/>
      <c r="O354" s="377"/>
      <c r="P354" s="377"/>
      <c r="Q354" s="377"/>
      <c r="R354" s="377"/>
      <c r="S354" s="377"/>
      <c r="T354" s="377"/>
      <c r="U354" s="377"/>
      <c r="V354" s="377"/>
      <c r="W354" s="377"/>
      <c r="X354" s="377"/>
      <c r="Y354" s="377"/>
      <c r="Z354" s="377"/>
      <c r="AA354" s="377"/>
      <c r="AB354" s="377"/>
      <c r="AC354" s="377"/>
      <c r="AD354" s="377"/>
      <c r="AE354" s="377"/>
      <c r="AF354" s="377"/>
      <c r="AG354" s="377"/>
    </row>
    <row r="355" ht="14.25" customHeight="1">
      <c r="A355" s="377"/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7"/>
      <c r="N355" s="377"/>
      <c r="O355" s="377"/>
      <c r="P355" s="377"/>
      <c r="Q355" s="377"/>
      <c r="R355" s="377"/>
      <c r="S355" s="377"/>
      <c r="T355" s="377"/>
      <c r="U355" s="377"/>
      <c r="V355" s="377"/>
      <c r="W355" s="377"/>
      <c r="X355" s="377"/>
      <c r="Y355" s="377"/>
      <c r="Z355" s="377"/>
      <c r="AA355" s="377"/>
      <c r="AB355" s="377"/>
      <c r="AC355" s="377"/>
      <c r="AD355" s="377"/>
      <c r="AE355" s="377"/>
      <c r="AF355" s="377"/>
      <c r="AG355" s="377"/>
    </row>
    <row r="356" ht="14.25" customHeight="1">
      <c r="A356" s="377"/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7"/>
      <c r="N356" s="377"/>
      <c r="O356" s="377"/>
      <c r="P356" s="377"/>
      <c r="Q356" s="377"/>
      <c r="R356" s="377"/>
      <c r="S356" s="377"/>
      <c r="T356" s="377"/>
      <c r="U356" s="377"/>
      <c r="V356" s="377"/>
      <c r="W356" s="377"/>
      <c r="X356" s="377"/>
      <c r="Y356" s="377"/>
      <c r="Z356" s="377"/>
      <c r="AA356" s="377"/>
      <c r="AB356" s="377"/>
      <c r="AC356" s="377"/>
      <c r="AD356" s="377"/>
      <c r="AE356" s="377"/>
      <c r="AF356" s="377"/>
      <c r="AG356" s="377"/>
    </row>
    <row r="357" ht="14.25" customHeight="1">
      <c r="A357" s="377"/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377"/>
      <c r="O357" s="377"/>
      <c r="P357" s="377"/>
      <c r="Q357" s="377"/>
      <c r="R357" s="377"/>
      <c r="S357" s="377"/>
      <c r="T357" s="377"/>
      <c r="U357" s="377"/>
      <c r="V357" s="377"/>
      <c r="W357" s="377"/>
      <c r="X357" s="377"/>
      <c r="Y357" s="377"/>
      <c r="Z357" s="377"/>
      <c r="AA357" s="377"/>
      <c r="AB357" s="377"/>
      <c r="AC357" s="377"/>
      <c r="AD357" s="377"/>
      <c r="AE357" s="377"/>
      <c r="AF357" s="377"/>
      <c r="AG357" s="377"/>
    </row>
    <row r="358" ht="14.25" customHeight="1">
      <c r="A358" s="377"/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7"/>
      <c r="N358" s="377"/>
      <c r="O358" s="377"/>
      <c r="P358" s="377"/>
      <c r="Q358" s="377"/>
      <c r="R358" s="377"/>
      <c r="S358" s="377"/>
      <c r="T358" s="377"/>
      <c r="U358" s="377"/>
      <c r="V358" s="377"/>
      <c r="W358" s="377"/>
      <c r="X358" s="377"/>
      <c r="Y358" s="377"/>
      <c r="Z358" s="377"/>
      <c r="AA358" s="377"/>
      <c r="AB358" s="377"/>
      <c r="AC358" s="377"/>
      <c r="AD358" s="377"/>
      <c r="AE358" s="377"/>
      <c r="AF358" s="377"/>
      <c r="AG358" s="377"/>
    </row>
    <row r="359" ht="14.25" customHeight="1">
      <c r="A359" s="377"/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7"/>
      <c r="N359" s="377"/>
      <c r="O359" s="377"/>
      <c r="P359" s="377"/>
      <c r="Q359" s="377"/>
      <c r="R359" s="377"/>
      <c r="S359" s="377"/>
      <c r="T359" s="377"/>
      <c r="U359" s="377"/>
      <c r="V359" s="377"/>
      <c r="W359" s="377"/>
      <c r="X359" s="377"/>
      <c r="Y359" s="377"/>
      <c r="Z359" s="377"/>
      <c r="AA359" s="377"/>
      <c r="AB359" s="377"/>
      <c r="AC359" s="377"/>
      <c r="AD359" s="377"/>
      <c r="AE359" s="377"/>
      <c r="AF359" s="377"/>
      <c r="AG359" s="377"/>
    </row>
    <row r="360" ht="14.25" customHeight="1">
      <c r="A360" s="377"/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7"/>
      <c r="N360" s="377"/>
      <c r="O360" s="377"/>
      <c r="P360" s="377"/>
      <c r="Q360" s="377"/>
      <c r="R360" s="377"/>
      <c r="S360" s="377"/>
      <c r="T360" s="377"/>
      <c r="U360" s="377"/>
      <c r="V360" s="377"/>
      <c r="W360" s="377"/>
      <c r="X360" s="377"/>
      <c r="Y360" s="377"/>
      <c r="Z360" s="377"/>
      <c r="AA360" s="377"/>
      <c r="AB360" s="377"/>
      <c r="AC360" s="377"/>
      <c r="AD360" s="377"/>
      <c r="AE360" s="377"/>
      <c r="AF360" s="377"/>
      <c r="AG360" s="377"/>
    </row>
    <row r="361" ht="14.25" customHeight="1">
      <c r="A361" s="377"/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  <c r="T361" s="377"/>
      <c r="U361" s="377"/>
      <c r="V361" s="377"/>
      <c r="W361" s="377"/>
      <c r="X361" s="377"/>
      <c r="Y361" s="377"/>
      <c r="Z361" s="377"/>
      <c r="AA361" s="377"/>
      <c r="AB361" s="377"/>
      <c r="AC361" s="377"/>
      <c r="AD361" s="377"/>
      <c r="AE361" s="377"/>
      <c r="AF361" s="377"/>
      <c r="AG361" s="377"/>
    </row>
    <row r="362" ht="14.25" customHeight="1">
      <c r="A362" s="377"/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7"/>
      <c r="N362" s="377"/>
      <c r="O362" s="377"/>
      <c r="P362" s="377"/>
      <c r="Q362" s="377"/>
      <c r="R362" s="377"/>
      <c r="S362" s="377"/>
      <c r="T362" s="377"/>
      <c r="U362" s="377"/>
      <c r="V362" s="377"/>
      <c r="W362" s="377"/>
      <c r="X362" s="377"/>
      <c r="Y362" s="377"/>
      <c r="Z362" s="377"/>
      <c r="AA362" s="377"/>
      <c r="AB362" s="377"/>
      <c r="AC362" s="377"/>
      <c r="AD362" s="377"/>
      <c r="AE362" s="377"/>
      <c r="AF362" s="377"/>
      <c r="AG362" s="377"/>
    </row>
    <row r="363" ht="14.25" customHeight="1">
      <c r="A363" s="377"/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7"/>
      <c r="N363" s="377"/>
      <c r="O363" s="377"/>
      <c r="P363" s="377"/>
      <c r="Q363" s="377"/>
      <c r="R363" s="377"/>
      <c r="S363" s="377"/>
      <c r="T363" s="377"/>
      <c r="U363" s="377"/>
      <c r="V363" s="377"/>
      <c r="W363" s="377"/>
      <c r="X363" s="377"/>
      <c r="Y363" s="377"/>
      <c r="Z363" s="377"/>
      <c r="AA363" s="377"/>
      <c r="AB363" s="377"/>
      <c r="AC363" s="377"/>
      <c r="AD363" s="377"/>
      <c r="AE363" s="377"/>
      <c r="AF363" s="377"/>
      <c r="AG363" s="377"/>
    </row>
    <row r="364" ht="14.25" customHeight="1">
      <c r="A364" s="377"/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7"/>
      <c r="N364" s="377"/>
      <c r="O364" s="377"/>
      <c r="P364" s="377"/>
      <c r="Q364" s="377"/>
      <c r="R364" s="377"/>
      <c r="S364" s="377"/>
      <c r="T364" s="377"/>
      <c r="U364" s="377"/>
      <c r="V364" s="377"/>
      <c r="W364" s="377"/>
      <c r="X364" s="377"/>
      <c r="Y364" s="377"/>
      <c r="Z364" s="377"/>
      <c r="AA364" s="377"/>
      <c r="AB364" s="377"/>
      <c r="AC364" s="377"/>
      <c r="AD364" s="377"/>
      <c r="AE364" s="377"/>
      <c r="AF364" s="377"/>
      <c r="AG364" s="377"/>
    </row>
    <row r="365" ht="14.25" customHeight="1">
      <c r="A365" s="377"/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7"/>
      <c r="N365" s="377"/>
      <c r="O365" s="377"/>
      <c r="P365" s="377"/>
      <c r="Q365" s="377"/>
      <c r="R365" s="377"/>
      <c r="S365" s="377"/>
      <c r="T365" s="377"/>
      <c r="U365" s="377"/>
      <c r="V365" s="377"/>
      <c r="W365" s="377"/>
      <c r="X365" s="377"/>
      <c r="Y365" s="377"/>
      <c r="Z365" s="377"/>
      <c r="AA365" s="377"/>
      <c r="AB365" s="377"/>
      <c r="AC365" s="377"/>
      <c r="AD365" s="377"/>
      <c r="AE365" s="377"/>
      <c r="AF365" s="377"/>
      <c r="AG365" s="377"/>
    </row>
    <row r="366" ht="14.25" customHeight="1">
      <c r="A366" s="377"/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  <c r="Z366" s="377"/>
      <c r="AA366" s="377"/>
      <c r="AB366" s="377"/>
      <c r="AC366" s="377"/>
      <c r="AD366" s="377"/>
      <c r="AE366" s="377"/>
      <c r="AF366" s="377"/>
      <c r="AG366" s="377"/>
    </row>
    <row r="367" ht="14.25" customHeight="1">
      <c r="A367" s="377"/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7"/>
      <c r="N367" s="377"/>
      <c r="O367" s="377"/>
      <c r="P367" s="377"/>
      <c r="Q367" s="377"/>
      <c r="R367" s="377"/>
      <c r="S367" s="377"/>
      <c r="T367" s="377"/>
      <c r="U367" s="377"/>
      <c r="V367" s="377"/>
      <c r="W367" s="377"/>
      <c r="X367" s="377"/>
      <c r="Y367" s="377"/>
      <c r="Z367" s="377"/>
      <c r="AA367" s="377"/>
      <c r="AB367" s="377"/>
      <c r="AC367" s="377"/>
      <c r="AD367" s="377"/>
      <c r="AE367" s="377"/>
      <c r="AF367" s="377"/>
      <c r="AG367" s="377"/>
    </row>
    <row r="368" ht="14.25" customHeight="1">
      <c r="A368" s="377"/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7"/>
      <c r="N368" s="377"/>
      <c r="O368" s="377"/>
      <c r="P368" s="377"/>
      <c r="Q368" s="377"/>
      <c r="R368" s="377"/>
      <c r="S368" s="377"/>
      <c r="T368" s="377"/>
      <c r="U368" s="377"/>
      <c r="V368" s="377"/>
      <c r="W368" s="377"/>
      <c r="X368" s="377"/>
      <c r="Y368" s="377"/>
      <c r="Z368" s="377"/>
      <c r="AA368" s="377"/>
      <c r="AB368" s="377"/>
      <c r="AC368" s="377"/>
      <c r="AD368" s="377"/>
      <c r="AE368" s="377"/>
      <c r="AF368" s="377"/>
      <c r="AG368" s="377"/>
    </row>
    <row r="369" ht="14.25" customHeight="1">
      <c r="A369" s="377"/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7"/>
      <c r="N369" s="377"/>
      <c r="O369" s="377"/>
      <c r="P369" s="377"/>
      <c r="Q369" s="377"/>
      <c r="R369" s="377"/>
      <c r="S369" s="377"/>
      <c r="T369" s="377"/>
      <c r="U369" s="377"/>
      <c r="V369" s="377"/>
      <c r="W369" s="377"/>
      <c r="X369" s="377"/>
      <c r="Y369" s="377"/>
      <c r="Z369" s="377"/>
      <c r="AA369" s="377"/>
      <c r="AB369" s="377"/>
      <c r="AC369" s="377"/>
      <c r="AD369" s="377"/>
      <c r="AE369" s="377"/>
      <c r="AF369" s="377"/>
      <c r="AG369" s="377"/>
    </row>
    <row r="370" ht="14.25" customHeight="1">
      <c r="A370" s="377"/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7"/>
      <c r="N370" s="377"/>
      <c r="O370" s="377"/>
      <c r="P370" s="377"/>
      <c r="Q370" s="377"/>
      <c r="R370" s="377"/>
      <c r="S370" s="377"/>
      <c r="T370" s="377"/>
      <c r="U370" s="377"/>
      <c r="V370" s="377"/>
      <c r="W370" s="377"/>
      <c r="X370" s="377"/>
      <c r="Y370" s="377"/>
      <c r="Z370" s="377"/>
      <c r="AA370" s="377"/>
      <c r="AB370" s="377"/>
      <c r="AC370" s="377"/>
      <c r="AD370" s="377"/>
      <c r="AE370" s="377"/>
      <c r="AF370" s="377"/>
      <c r="AG370" s="377"/>
    </row>
    <row r="371" ht="14.25" customHeight="1">
      <c r="A371" s="377"/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7"/>
      <c r="N371" s="377"/>
      <c r="O371" s="377"/>
      <c r="P371" s="377"/>
      <c r="Q371" s="377"/>
      <c r="R371" s="377"/>
      <c r="S371" s="377"/>
      <c r="T371" s="377"/>
      <c r="U371" s="377"/>
      <c r="V371" s="377"/>
      <c r="W371" s="377"/>
      <c r="X371" s="377"/>
      <c r="Y371" s="377"/>
      <c r="Z371" s="377"/>
      <c r="AA371" s="377"/>
      <c r="AB371" s="377"/>
      <c r="AC371" s="377"/>
      <c r="AD371" s="377"/>
      <c r="AE371" s="377"/>
      <c r="AF371" s="377"/>
      <c r="AG371" s="377"/>
    </row>
    <row r="372" ht="14.25" customHeight="1">
      <c r="A372" s="377"/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7"/>
      <c r="N372" s="377"/>
      <c r="O372" s="377"/>
      <c r="P372" s="377"/>
      <c r="Q372" s="377"/>
      <c r="R372" s="377"/>
      <c r="S372" s="377"/>
      <c r="T372" s="377"/>
      <c r="U372" s="377"/>
      <c r="V372" s="377"/>
      <c r="W372" s="377"/>
      <c r="X372" s="377"/>
      <c r="Y372" s="377"/>
      <c r="Z372" s="377"/>
      <c r="AA372" s="377"/>
      <c r="AB372" s="377"/>
      <c r="AC372" s="377"/>
      <c r="AD372" s="377"/>
      <c r="AE372" s="377"/>
      <c r="AF372" s="377"/>
      <c r="AG372" s="377"/>
    </row>
    <row r="373" ht="14.25" customHeight="1">
      <c r="A373" s="377"/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7"/>
      <c r="N373" s="377"/>
      <c r="O373" s="377"/>
      <c r="P373" s="377"/>
      <c r="Q373" s="377"/>
      <c r="R373" s="377"/>
      <c r="S373" s="377"/>
      <c r="T373" s="377"/>
      <c r="U373" s="377"/>
      <c r="V373" s="377"/>
      <c r="W373" s="377"/>
      <c r="X373" s="377"/>
      <c r="Y373" s="377"/>
      <c r="Z373" s="377"/>
      <c r="AA373" s="377"/>
      <c r="AB373" s="377"/>
      <c r="AC373" s="377"/>
      <c r="AD373" s="377"/>
      <c r="AE373" s="377"/>
      <c r="AF373" s="377"/>
      <c r="AG373" s="377"/>
    </row>
    <row r="374" ht="14.25" customHeight="1">
      <c r="A374" s="377"/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7"/>
      <c r="N374" s="377"/>
      <c r="O374" s="377"/>
      <c r="P374" s="377"/>
      <c r="Q374" s="377"/>
      <c r="R374" s="377"/>
      <c r="S374" s="377"/>
      <c r="T374" s="377"/>
      <c r="U374" s="377"/>
      <c r="V374" s="377"/>
      <c r="W374" s="377"/>
      <c r="X374" s="377"/>
      <c r="Y374" s="377"/>
      <c r="Z374" s="377"/>
      <c r="AA374" s="377"/>
      <c r="AB374" s="377"/>
      <c r="AC374" s="377"/>
      <c r="AD374" s="377"/>
      <c r="AE374" s="377"/>
      <c r="AF374" s="377"/>
      <c r="AG374" s="377"/>
    </row>
    <row r="375" ht="14.25" customHeight="1">
      <c r="A375" s="377"/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7"/>
      <c r="N375" s="377"/>
      <c r="O375" s="377"/>
      <c r="P375" s="377"/>
      <c r="Q375" s="377"/>
      <c r="R375" s="377"/>
      <c r="S375" s="377"/>
      <c r="T375" s="377"/>
      <c r="U375" s="377"/>
      <c r="V375" s="377"/>
      <c r="W375" s="377"/>
      <c r="X375" s="377"/>
      <c r="Y375" s="377"/>
      <c r="Z375" s="377"/>
      <c r="AA375" s="377"/>
      <c r="AB375" s="377"/>
      <c r="AC375" s="377"/>
      <c r="AD375" s="377"/>
      <c r="AE375" s="377"/>
      <c r="AF375" s="377"/>
      <c r="AG375" s="377"/>
    </row>
    <row r="376" ht="14.25" customHeight="1">
      <c r="A376" s="377"/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7"/>
      <c r="N376" s="377"/>
      <c r="O376" s="377"/>
      <c r="P376" s="377"/>
      <c r="Q376" s="377"/>
      <c r="R376" s="377"/>
      <c r="S376" s="377"/>
      <c r="T376" s="377"/>
      <c r="U376" s="377"/>
      <c r="V376" s="377"/>
      <c r="W376" s="377"/>
      <c r="X376" s="377"/>
      <c r="Y376" s="377"/>
      <c r="Z376" s="377"/>
      <c r="AA376" s="377"/>
      <c r="AB376" s="377"/>
      <c r="AC376" s="377"/>
      <c r="AD376" s="377"/>
      <c r="AE376" s="377"/>
      <c r="AF376" s="377"/>
      <c r="AG376" s="377"/>
    </row>
    <row r="377" ht="14.25" customHeight="1">
      <c r="A377" s="377"/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7"/>
      <c r="N377" s="377"/>
      <c r="O377" s="377"/>
      <c r="P377" s="377"/>
      <c r="Q377" s="377"/>
      <c r="R377" s="377"/>
      <c r="S377" s="377"/>
      <c r="T377" s="377"/>
      <c r="U377" s="377"/>
      <c r="V377" s="377"/>
      <c r="W377" s="377"/>
      <c r="X377" s="377"/>
      <c r="Y377" s="377"/>
      <c r="Z377" s="377"/>
      <c r="AA377" s="377"/>
      <c r="AB377" s="377"/>
      <c r="AC377" s="377"/>
      <c r="AD377" s="377"/>
      <c r="AE377" s="377"/>
      <c r="AF377" s="377"/>
      <c r="AG377" s="377"/>
    </row>
    <row r="378" ht="14.25" customHeight="1">
      <c r="A378" s="377"/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7"/>
      <c r="N378" s="377"/>
      <c r="O378" s="377"/>
      <c r="P378" s="377"/>
      <c r="Q378" s="377"/>
      <c r="R378" s="377"/>
      <c r="S378" s="377"/>
      <c r="T378" s="377"/>
      <c r="U378" s="377"/>
      <c r="V378" s="377"/>
      <c r="W378" s="377"/>
      <c r="X378" s="377"/>
      <c r="Y378" s="377"/>
      <c r="Z378" s="377"/>
      <c r="AA378" s="377"/>
      <c r="AB378" s="377"/>
      <c r="AC378" s="377"/>
      <c r="AD378" s="377"/>
      <c r="AE378" s="377"/>
      <c r="AF378" s="377"/>
      <c r="AG378" s="377"/>
    </row>
    <row r="379" ht="14.25" customHeight="1">
      <c r="A379" s="377"/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7"/>
      <c r="N379" s="377"/>
      <c r="O379" s="377"/>
      <c r="P379" s="377"/>
      <c r="Q379" s="377"/>
      <c r="R379" s="377"/>
      <c r="S379" s="377"/>
      <c r="T379" s="377"/>
      <c r="U379" s="377"/>
      <c r="V379" s="377"/>
      <c r="W379" s="377"/>
      <c r="X379" s="377"/>
      <c r="Y379" s="377"/>
      <c r="Z379" s="377"/>
      <c r="AA379" s="377"/>
      <c r="AB379" s="377"/>
      <c r="AC379" s="377"/>
      <c r="AD379" s="377"/>
      <c r="AE379" s="377"/>
      <c r="AF379" s="377"/>
      <c r="AG379" s="377"/>
    </row>
    <row r="380" ht="14.25" customHeight="1">
      <c r="A380" s="377"/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7"/>
      <c r="N380" s="377"/>
      <c r="O380" s="377"/>
      <c r="P380" s="377"/>
      <c r="Q380" s="377"/>
      <c r="R380" s="377"/>
      <c r="S380" s="377"/>
      <c r="T380" s="377"/>
      <c r="U380" s="377"/>
      <c r="V380" s="377"/>
      <c r="W380" s="377"/>
      <c r="X380" s="377"/>
      <c r="Y380" s="377"/>
      <c r="Z380" s="377"/>
      <c r="AA380" s="377"/>
      <c r="AB380" s="377"/>
      <c r="AC380" s="377"/>
      <c r="AD380" s="377"/>
      <c r="AE380" s="377"/>
      <c r="AF380" s="377"/>
      <c r="AG380" s="377"/>
    </row>
    <row r="381" ht="14.25" customHeight="1">
      <c r="A381" s="377"/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7"/>
      <c r="N381" s="377"/>
      <c r="O381" s="377"/>
      <c r="P381" s="377"/>
      <c r="Q381" s="377"/>
      <c r="R381" s="377"/>
      <c r="S381" s="377"/>
      <c r="T381" s="377"/>
      <c r="U381" s="377"/>
      <c r="V381" s="377"/>
      <c r="W381" s="377"/>
      <c r="X381" s="377"/>
      <c r="Y381" s="377"/>
      <c r="Z381" s="377"/>
      <c r="AA381" s="377"/>
      <c r="AB381" s="377"/>
      <c r="AC381" s="377"/>
      <c r="AD381" s="377"/>
      <c r="AE381" s="377"/>
      <c r="AF381" s="377"/>
      <c r="AG381" s="377"/>
    </row>
    <row r="382" ht="14.25" customHeight="1">
      <c r="A382" s="377"/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7"/>
      <c r="N382" s="377"/>
      <c r="O382" s="377"/>
      <c r="P382" s="377"/>
      <c r="Q382" s="377"/>
      <c r="R382" s="377"/>
      <c r="S382" s="377"/>
      <c r="T382" s="377"/>
      <c r="U382" s="377"/>
      <c r="V382" s="377"/>
      <c r="W382" s="377"/>
      <c r="X382" s="377"/>
      <c r="Y382" s="377"/>
      <c r="Z382" s="377"/>
      <c r="AA382" s="377"/>
      <c r="AB382" s="377"/>
      <c r="AC382" s="377"/>
      <c r="AD382" s="377"/>
      <c r="AE382" s="377"/>
      <c r="AF382" s="377"/>
      <c r="AG382" s="377"/>
    </row>
    <row r="383" ht="14.25" customHeight="1">
      <c r="A383" s="377"/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7"/>
      <c r="N383" s="377"/>
      <c r="O383" s="377"/>
      <c r="P383" s="377"/>
      <c r="Q383" s="377"/>
      <c r="R383" s="377"/>
      <c r="S383" s="377"/>
      <c r="T383" s="377"/>
      <c r="U383" s="377"/>
      <c r="V383" s="377"/>
      <c r="W383" s="377"/>
      <c r="X383" s="377"/>
      <c r="Y383" s="377"/>
      <c r="Z383" s="377"/>
      <c r="AA383" s="377"/>
      <c r="AB383" s="377"/>
      <c r="AC383" s="377"/>
      <c r="AD383" s="377"/>
      <c r="AE383" s="377"/>
      <c r="AF383" s="377"/>
      <c r="AG383" s="377"/>
    </row>
    <row r="384" ht="14.25" customHeight="1">
      <c r="A384" s="377"/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7"/>
      <c r="N384" s="377"/>
      <c r="O384" s="377"/>
      <c r="P384" s="377"/>
      <c r="Q384" s="377"/>
      <c r="R384" s="377"/>
      <c r="S384" s="377"/>
      <c r="T384" s="377"/>
      <c r="U384" s="377"/>
      <c r="V384" s="377"/>
      <c r="W384" s="377"/>
      <c r="X384" s="377"/>
      <c r="Y384" s="377"/>
      <c r="Z384" s="377"/>
      <c r="AA384" s="377"/>
      <c r="AB384" s="377"/>
      <c r="AC384" s="377"/>
      <c r="AD384" s="377"/>
      <c r="AE384" s="377"/>
      <c r="AF384" s="377"/>
      <c r="AG384" s="377"/>
    </row>
    <row r="385" ht="14.25" customHeight="1">
      <c r="A385" s="377"/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7"/>
      <c r="N385" s="377"/>
      <c r="O385" s="377"/>
      <c r="P385" s="377"/>
      <c r="Q385" s="377"/>
      <c r="R385" s="377"/>
      <c r="S385" s="377"/>
      <c r="T385" s="377"/>
      <c r="U385" s="377"/>
      <c r="V385" s="377"/>
      <c r="W385" s="377"/>
      <c r="X385" s="377"/>
      <c r="Y385" s="377"/>
      <c r="Z385" s="377"/>
      <c r="AA385" s="377"/>
      <c r="AB385" s="377"/>
      <c r="AC385" s="377"/>
      <c r="AD385" s="377"/>
      <c r="AE385" s="377"/>
      <c r="AF385" s="377"/>
      <c r="AG385" s="377"/>
    </row>
    <row r="386" ht="14.25" customHeight="1">
      <c r="A386" s="377"/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7"/>
      <c r="N386" s="377"/>
      <c r="O386" s="377"/>
      <c r="P386" s="377"/>
      <c r="Q386" s="377"/>
      <c r="R386" s="377"/>
      <c r="S386" s="377"/>
      <c r="T386" s="377"/>
      <c r="U386" s="377"/>
      <c r="V386" s="377"/>
      <c r="W386" s="377"/>
      <c r="X386" s="377"/>
      <c r="Y386" s="377"/>
      <c r="Z386" s="377"/>
      <c r="AA386" s="377"/>
      <c r="AB386" s="377"/>
      <c r="AC386" s="377"/>
      <c r="AD386" s="377"/>
      <c r="AE386" s="377"/>
      <c r="AF386" s="377"/>
      <c r="AG386" s="377"/>
    </row>
    <row r="387" ht="14.25" customHeight="1">
      <c r="A387" s="377"/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7"/>
      <c r="N387" s="377"/>
      <c r="O387" s="377"/>
      <c r="P387" s="377"/>
      <c r="Q387" s="377"/>
      <c r="R387" s="377"/>
      <c r="S387" s="377"/>
      <c r="T387" s="377"/>
      <c r="U387" s="377"/>
      <c r="V387" s="377"/>
      <c r="W387" s="377"/>
      <c r="X387" s="377"/>
      <c r="Y387" s="377"/>
      <c r="Z387" s="377"/>
      <c r="AA387" s="377"/>
      <c r="AB387" s="377"/>
      <c r="AC387" s="377"/>
      <c r="AD387" s="377"/>
      <c r="AE387" s="377"/>
      <c r="AF387" s="377"/>
      <c r="AG387" s="377"/>
    </row>
    <row r="388" ht="14.25" customHeight="1">
      <c r="A388" s="377"/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7"/>
      <c r="N388" s="377"/>
      <c r="O388" s="377"/>
      <c r="P388" s="377"/>
      <c r="Q388" s="377"/>
      <c r="R388" s="377"/>
      <c r="S388" s="377"/>
      <c r="T388" s="377"/>
      <c r="U388" s="377"/>
      <c r="V388" s="377"/>
      <c r="W388" s="377"/>
      <c r="X388" s="377"/>
      <c r="Y388" s="377"/>
      <c r="Z388" s="377"/>
      <c r="AA388" s="377"/>
      <c r="AB388" s="377"/>
      <c r="AC388" s="377"/>
      <c r="AD388" s="377"/>
      <c r="AE388" s="377"/>
      <c r="AF388" s="377"/>
      <c r="AG388" s="377"/>
    </row>
    <row r="389" ht="14.25" customHeight="1">
      <c r="A389" s="377"/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7"/>
      <c r="N389" s="377"/>
      <c r="O389" s="377"/>
      <c r="P389" s="377"/>
      <c r="Q389" s="377"/>
      <c r="R389" s="377"/>
      <c r="S389" s="377"/>
      <c r="T389" s="377"/>
      <c r="U389" s="377"/>
      <c r="V389" s="377"/>
      <c r="W389" s="377"/>
      <c r="X389" s="377"/>
      <c r="Y389" s="377"/>
      <c r="Z389" s="377"/>
      <c r="AA389" s="377"/>
      <c r="AB389" s="377"/>
      <c r="AC389" s="377"/>
      <c r="AD389" s="377"/>
      <c r="AE389" s="377"/>
      <c r="AF389" s="377"/>
      <c r="AG389" s="377"/>
    </row>
    <row r="390" ht="14.25" customHeight="1">
      <c r="A390" s="377"/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7"/>
      <c r="N390" s="377"/>
      <c r="O390" s="377"/>
      <c r="P390" s="377"/>
      <c r="Q390" s="377"/>
      <c r="R390" s="377"/>
      <c r="S390" s="377"/>
      <c r="T390" s="377"/>
      <c r="U390" s="377"/>
      <c r="V390" s="377"/>
      <c r="W390" s="377"/>
      <c r="X390" s="377"/>
      <c r="Y390" s="377"/>
      <c r="Z390" s="377"/>
      <c r="AA390" s="377"/>
      <c r="AB390" s="377"/>
      <c r="AC390" s="377"/>
      <c r="AD390" s="377"/>
      <c r="AE390" s="377"/>
      <c r="AF390" s="377"/>
      <c r="AG390" s="377"/>
    </row>
    <row r="391" ht="14.25" customHeight="1">
      <c r="A391" s="377"/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7"/>
      <c r="N391" s="377"/>
      <c r="O391" s="377"/>
      <c r="P391" s="377"/>
      <c r="Q391" s="377"/>
      <c r="R391" s="377"/>
      <c r="S391" s="377"/>
      <c r="T391" s="377"/>
      <c r="U391" s="377"/>
      <c r="V391" s="377"/>
      <c r="W391" s="377"/>
      <c r="X391" s="377"/>
      <c r="Y391" s="377"/>
      <c r="Z391" s="377"/>
      <c r="AA391" s="377"/>
      <c r="AB391" s="377"/>
      <c r="AC391" s="377"/>
      <c r="AD391" s="377"/>
      <c r="AE391" s="377"/>
      <c r="AF391" s="377"/>
      <c r="AG391" s="377"/>
    </row>
    <row r="392" ht="14.25" customHeight="1">
      <c r="A392" s="377"/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7"/>
      <c r="N392" s="377"/>
      <c r="O392" s="377"/>
      <c r="P392" s="377"/>
      <c r="Q392" s="377"/>
      <c r="R392" s="377"/>
      <c r="S392" s="377"/>
      <c r="T392" s="377"/>
      <c r="U392" s="377"/>
      <c r="V392" s="377"/>
      <c r="W392" s="377"/>
      <c r="X392" s="377"/>
      <c r="Y392" s="377"/>
      <c r="Z392" s="377"/>
      <c r="AA392" s="377"/>
      <c r="AB392" s="377"/>
      <c r="AC392" s="377"/>
      <c r="AD392" s="377"/>
      <c r="AE392" s="377"/>
      <c r="AF392" s="377"/>
      <c r="AG392" s="377"/>
    </row>
    <row r="393" ht="14.25" customHeight="1">
      <c r="A393" s="377"/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7"/>
      <c r="N393" s="377"/>
      <c r="O393" s="377"/>
      <c r="P393" s="377"/>
      <c r="Q393" s="377"/>
      <c r="R393" s="377"/>
      <c r="S393" s="377"/>
      <c r="T393" s="377"/>
      <c r="U393" s="377"/>
      <c r="V393" s="377"/>
      <c r="W393" s="377"/>
      <c r="X393" s="377"/>
      <c r="Y393" s="377"/>
      <c r="Z393" s="377"/>
      <c r="AA393" s="377"/>
      <c r="AB393" s="377"/>
      <c r="AC393" s="377"/>
      <c r="AD393" s="377"/>
      <c r="AE393" s="377"/>
      <c r="AF393" s="377"/>
      <c r="AG393" s="377"/>
    </row>
    <row r="394" ht="14.25" customHeight="1">
      <c r="A394" s="377"/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7"/>
      <c r="N394" s="377"/>
      <c r="O394" s="377"/>
      <c r="P394" s="377"/>
      <c r="Q394" s="377"/>
      <c r="R394" s="377"/>
      <c r="S394" s="377"/>
      <c r="T394" s="377"/>
      <c r="U394" s="377"/>
      <c r="V394" s="377"/>
      <c r="W394" s="377"/>
      <c r="X394" s="377"/>
      <c r="Y394" s="377"/>
      <c r="Z394" s="377"/>
      <c r="AA394" s="377"/>
      <c r="AB394" s="377"/>
      <c r="AC394" s="377"/>
      <c r="AD394" s="377"/>
      <c r="AE394" s="377"/>
      <c r="AF394" s="377"/>
      <c r="AG394" s="377"/>
    </row>
    <row r="395" ht="14.25" customHeight="1">
      <c r="A395" s="377"/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7"/>
      <c r="N395" s="377"/>
      <c r="O395" s="377"/>
      <c r="P395" s="377"/>
      <c r="Q395" s="377"/>
      <c r="R395" s="377"/>
      <c r="S395" s="377"/>
      <c r="T395" s="377"/>
      <c r="U395" s="377"/>
      <c r="V395" s="377"/>
      <c r="W395" s="377"/>
      <c r="X395" s="377"/>
      <c r="Y395" s="377"/>
      <c r="Z395" s="377"/>
      <c r="AA395" s="377"/>
      <c r="AB395" s="377"/>
      <c r="AC395" s="377"/>
      <c r="AD395" s="377"/>
      <c r="AE395" s="377"/>
      <c r="AF395" s="377"/>
      <c r="AG395" s="377"/>
    </row>
    <row r="396" ht="14.25" customHeight="1">
      <c r="A396" s="377"/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7"/>
      <c r="N396" s="377"/>
      <c r="O396" s="377"/>
      <c r="P396" s="377"/>
      <c r="Q396" s="377"/>
      <c r="R396" s="377"/>
      <c r="S396" s="377"/>
      <c r="T396" s="377"/>
      <c r="U396" s="377"/>
      <c r="V396" s="377"/>
      <c r="W396" s="377"/>
      <c r="X396" s="377"/>
      <c r="Y396" s="377"/>
      <c r="Z396" s="377"/>
      <c r="AA396" s="377"/>
      <c r="AB396" s="377"/>
      <c r="AC396" s="377"/>
      <c r="AD396" s="377"/>
      <c r="AE396" s="377"/>
      <c r="AF396" s="377"/>
      <c r="AG396" s="377"/>
    </row>
    <row r="397" ht="14.25" customHeight="1">
      <c r="A397" s="377"/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7"/>
      <c r="N397" s="377"/>
      <c r="O397" s="377"/>
      <c r="P397" s="377"/>
      <c r="Q397" s="377"/>
      <c r="R397" s="377"/>
      <c r="S397" s="377"/>
      <c r="T397" s="377"/>
      <c r="U397" s="377"/>
      <c r="V397" s="377"/>
      <c r="W397" s="377"/>
      <c r="X397" s="377"/>
      <c r="Y397" s="377"/>
      <c r="Z397" s="377"/>
      <c r="AA397" s="377"/>
      <c r="AB397" s="377"/>
      <c r="AC397" s="377"/>
      <c r="AD397" s="377"/>
      <c r="AE397" s="377"/>
      <c r="AF397" s="377"/>
      <c r="AG397" s="377"/>
    </row>
    <row r="398" ht="14.25" customHeight="1">
      <c r="A398" s="377"/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7"/>
      <c r="N398" s="377"/>
      <c r="O398" s="377"/>
      <c r="P398" s="377"/>
      <c r="Q398" s="377"/>
      <c r="R398" s="377"/>
      <c r="S398" s="377"/>
      <c r="T398" s="377"/>
      <c r="U398" s="377"/>
      <c r="V398" s="377"/>
      <c r="W398" s="377"/>
      <c r="X398" s="377"/>
      <c r="Y398" s="377"/>
      <c r="Z398" s="377"/>
      <c r="AA398" s="377"/>
      <c r="AB398" s="377"/>
      <c r="AC398" s="377"/>
      <c r="AD398" s="377"/>
      <c r="AE398" s="377"/>
      <c r="AF398" s="377"/>
      <c r="AG398" s="377"/>
    </row>
    <row r="399" ht="14.25" customHeight="1">
      <c r="A399" s="377"/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7"/>
      <c r="N399" s="377"/>
      <c r="O399" s="377"/>
      <c r="P399" s="377"/>
      <c r="Q399" s="377"/>
      <c r="R399" s="377"/>
      <c r="S399" s="377"/>
      <c r="T399" s="377"/>
      <c r="U399" s="377"/>
      <c r="V399" s="377"/>
      <c r="W399" s="377"/>
      <c r="X399" s="377"/>
      <c r="Y399" s="377"/>
      <c r="Z399" s="377"/>
      <c r="AA399" s="377"/>
      <c r="AB399" s="377"/>
      <c r="AC399" s="377"/>
      <c r="AD399" s="377"/>
      <c r="AE399" s="377"/>
      <c r="AF399" s="377"/>
      <c r="AG399" s="377"/>
    </row>
    <row r="400" ht="14.25" customHeight="1">
      <c r="A400" s="377"/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7"/>
      <c r="N400" s="377"/>
      <c r="O400" s="377"/>
      <c r="P400" s="377"/>
      <c r="Q400" s="377"/>
      <c r="R400" s="377"/>
      <c r="S400" s="377"/>
      <c r="T400" s="377"/>
      <c r="U400" s="377"/>
      <c r="V400" s="377"/>
      <c r="W400" s="377"/>
      <c r="X400" s="377"/>
      <c r="Y400" s="377"/>
      <c r="Z400" s="377"/>
      <c r="AA400" s="377"/>
      <c r="AB400" s="377"/>
      <c r="AC400" s="377"/>
      <c r="AD400" s="377"/>
      <c r="AE400" s="377"/>
      <c r="AF400" s="377"/>
      <c r="AG400" s="377"/>
    </row>
    <row r="401" ht="14.25" customHeight="1">
      <c r="A401" s="377"/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7"/>
      <c r="N401" s="377"/>
      <c r="O401" s="377"/>
      <c r="P401" s="377"/>
      <c r="Q401" s="377"/>
      <c r="R401" s="377"/>
      <c r="S401" s="377"/>
      <c r="T401" s="377"/>
      <c r="U401" s="377"/>
      <c r="V401" s="377"/>
      <c r="W401" s="377"/>
      <c r="X401" s="377"/>
      <c r="Y401" s="377"/>
      <c r="Z401" s="377"/>
      <c r="AA401" s="377"/>
      <c r="AB401" s="377"/>
      <c r="AC401" s="377"/>
      <c r="AD401" s="377"/>
      <c r="AE401" s="377"/>
      <c r="AF401" s="377"/>
      <c r="AG401" s="377"/>
    </row>
    <row r="402" ht="14.25" customHeight="1">
      <c r="A402" s="377"/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7"/>
      <c r="N402" s="377"/>
      <c r="O402" s="377"/>
      <c r="P402" s="377"/>
      <c r="Q402" s="377"/>
      <c r="R402" s="377"/>
      <c r="S402" s="377"/>
      <c r="T402" s="377"/>
      <c r="U402" s="377"/>
      <c r="V402" s="377"/>
      <c r="W402" s="377"/>
      <c r="X402" s="377"/>
      <c r="Y402" s="377"/>
      <c r="Z402" s="377"/>
      <c r="AA402" s="377"/>
      <c r="AB402" s="377"/>
      <c r="AC402" s="377"/>
      <c r="AD402" s="377"/>
      <c r="AE402" s="377"/>
      <c r="AF402" s="377"/>
      <c r="AG402" s="377"/>
    </row>
    <row r="403" ht="14.25" customHeight="1">
      <c r="A403" s="377"/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  <c r="Z403" s="377"/>
      <c r="AA403" s="377"/>
      <c r="AB403" s="377"/>
      <c r="AC403" s="377"/>
      <c r="AD403" s="377"/>
      <c r="AE403" s="377"/>
      <c r="AF403" s="377"/>
      <c r="AG403" s="377"/>
    </row>
    <row r="404" ht="14.25" customHeight="1">
      <c r="A404" s="377"/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  <c r="Z404" s="377"/>
      <c r="AA404" s="377"/>
      <c r="AB404" s="377"/>
      <c r="AC404" s="377"/>
      <c r="AD404" s="377"/>
      <c r="AE404" s="377"/>
      <c r="AF404" s="377"/>
      <c r="AG404" s="377"/>
    </row>
    <row r="405" ht="14.25" customHeight="1">
      <c r="A405" s="377"/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  <c r="Z405" s="377"/>
      <c r="AA405" s="377"/>
      <c r="AB405" s="377"/>
      <c r="AC405" s="377"/>
      <c r="AD405" s="377"/>
      <c r="AE405" s="377"/>
      <c r="AF405" s="377"/>
      <c r="AG405" s="377"/>
    </row>
    <row r="406" ht="14.25" customHeight="1">
      <c r="A406" s="377"/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7"/>
      <c r="N406" s="377"/>
      <c r="O406" s="377"/>
      <c r="P406" s="377"/>
      <c r="Q406" s="377"/>
      <c r="R406" s="377"/>
      <c r="S406" s="377"/>
      <c r="T406" s="377"/>
      <c r="U406" s="377"/>
      <c r="V406" s="377"/>
      <c r="W406" s="377"/>
      <c r="X406" s="377"/>
      <c r="Y406" s="377"/>
      <c r="Z406" s="377"/>
      <c r="AA406" s="377"/>
      <c r="AB406" s="377"/>
      <c r="AC406" s="377"/>
      <c r="AD406" s="377"/>
      <c r="AE406" s="377"/>
      <c r="AF406" s="377"/>
      <c r="AG406" s="377"/>
    </row>
    <row r="407" ht="14.25" customHeight="1">
      <c r="A407" s="377"/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7"/>
      <c r="N407" s="377"/>
      <c r="O407" s="377"/>
      <c r="P407" s="377"/>
      <c r="Q407" s="377"/>
      <c r="R407" s="377"/>
      <c r="S407" s="377"/>
      <c r="T407" s="377"/>
      <c r="U407" s="377"/>
      <c r="V407" s="377"/>
      <c r="W407" s="377"/>
      <c r="X407" s="377"/>
      <c r="Y407" s="377"/>
      <c r="Z407" s="377"/>
      <c r="AA407" s="377"/>
      <c r="AB407" s="377"/>
      <c r="AC407" s="377"/>
      <c r="AD407" s="377"/>
      <c r="AE407" s="377"/>
      <c r="AF407" s="377"/>
      <c r="AG407" s="377"/>
    </row>
    <row r="408" ht="14.25" customHeight="1">
      <c r="A408" s="377"/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7"/>
      <c r="N408" s="377"/>
      <c r="O408" s="377"/>
      <c r="P408" s="377"/>
      <c r="Q408" s="377"/>
      <c r="R408" s="377"/>
      <c r="S408" s="377"/>
      <c r="T408" s="377"/>
      <c r="U408" s="377"/>
      <c r="V408" s="377"/>
      <c r="W408" s="377"/>
      <c r="X408" s="377"/>
      <c r="Y408" s="377"/>
      <c r="Z408" s="377"/>
      <c r="AA408" s="377"/>
      <c r="AB408" s="377"/>
      <c r="AC408" s="377"/>
      <c r="AD408" s="377"/>
      <c r="AE408" s="377"/>
      <c r="AF408" s="377"/>
      <c r="AG408" s="377"/>
    </row>
    <row r="409" ht="14.25" customHeight="1">
      <c r="A409" s="377"/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7"/>
      <c r="N409" s="377"/>
      <c r="O409" s="377"/>
      <c r="P409" s="377"/>
      <c r="Q409" s="377"/>
      <c r="R409" s="377"/>
      <c r="S409" s="377"/>
      <c r="T409" s="377"/>
      <c r="U409" s="377"/>
      <c r="V409" s="377"/>
      <c r="W409" s="377"/>
      <c r="X409" s="377"/>
      <c r="Y409" s="377"/>
      <c r="Z409" s="377"/>
      <c r="AA409" s="377"/>
      <c r="AB409" s="377"/>
      <c r="AC409" s="377"/>
      <c r="AD409" s="377"/>
      <c r="AE409" s="377"/>
      <c r="AF409" s="377"/>
      <c r="AG409" s="377"/>
    </row>
    <row r="410" ht="14.25" customHeight="1">
      <c r="A410" s="377"/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7"/>
      <c r="N410" s="377"/>
      <c r="O410" s="377"/>
      <c r="P410" s="377"/>
      <c r="Q410" s="377"/>
      <c r="R410" s="377"/>
      <c r="S410" s="377"/>
      <c r="T410" s="377"/>
      <c r="U410" s="377"/>
      <c r="V410" s="377"/>
      <c r="W410" s="377"/>
      <c r="X410" s="377"/>
      <c r="Y410" s="377"/>
      <c r="Z410" s="377"/>
      <c r="AA410" s="377"/>
      <c r="AB410" s="377"/>
      <c r="AC410" s="377"/>
      <c r="AD410" s="377"/>
      <c r="AE410" s="377"/>
      <c r="AF410" s="377"/>
      <c r="AG410" s="377"/>
    </row>
    <row r="411" ht="14.25" customHeight="1">
      <c r="A411" s="377"/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7"/>
      <c r="N411" s="377"/>
      <c r="O411" s="377"/>
      <c r="P411" s="377"/>
      <c r="Q411" s="377"/>
      <c r="R411" s="377"/>
      <c r="S411" s="377"/>
      <c r="T411" s="377"/>
      <c r="U411" s="377"/>
      <c r="V411" s="377"/>
      <c r="W411" s="377"/>
      <c r="X411" s="377"/>
      <c r="Y411" s="377"/>
      <c r="Z411" s="377"/>
      <c r="AA411" s="377"/>
      <c r="AB411" s="377"/>
      <c r="AC411" s="377"/>
      <c r="AD411" s="377"/>
      <c r="AE411" s="377"/>
      <c r="AF411" s="377"/>
      <c r="AG411" s="377"/>
    </row>
    <row r="412" ht="14.25" customHeight="1">
      <c r="A412" s="377"/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7"/>
      <c r="N412" s="377"/>
      <c r="O412" s="377"/>
      <c r="P412" s="377"/>
      <c r="Q412" s="377"/>
      <c r="R412" s="377"/>
      <c r="S412" s="377"/>
      <c r="T412" s="377"/>
      <c r="U412" s="377"/>
      <c r="V412" s="377"/>
      <c r="W412" s="377"/>
      <c r="X412" s="377"/>
      <c r="Y412" s="377"/>
      <c r="Z412" s="377"/>
      <c r="AA412" s="377"/>
      <c r="AB412" s="377"/>
      <c r="AC412" s="377"/>
      <c r="AD412" s="377"/>
      <c r="AE412" s="377"/>
      <c r="AF412" s="377"/>
      <c r="AG412" s="377"/>
    </row>
    <row r="413" ht="14.25" customHeight="1">
      <c r="A413" s="377"/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7"/>
      <c r="N413" s="377"/>
      <c r="O413" s="377"/>
      <c r="P413" s="377"/>
      <c r="Q413" s="377"/>
      <c r="R413" s="377"/>
      <c r="S413" s="377"/>
      <c r="T413" s="377"/>
      <c r="U413" s="377"/>
      <c r="V413" s="377"/>
      <c r="W413" s="377"/>
      <c r="X413" s="377"/>
      <c r="Y413" s="377"/>
      <c r="Z413" s="377"/>
      <c r="AA413" s="377"/>
      <c r="AB413" s="377"/>
      <c r="AC413" s="377"/>
      <c r="AD413" s="377"/>
      <c r="AE413" s="377"/>
      <c r="AF413" s="377"/>
      <c r="AG413" s="377"/>
    </row>
    <row r="414" ht="14.25" customHeight="1">
      <c r="A414" s="377"/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7"/>
      <c r="N414" s="377"/>
      <c r="O414" s="377"/>
      <c r="P414" s="377"/>
      <c r="Q414" s="377"/>
      <c r="R414" s="377"/>
      <c r="S414" s="377"/>
      <c r="T414" s="377"/>
      <c r="U414" s="377"/>
      <c r="V414" s="377"/>
      <c r="W414" s="377"/>
      <c r="X414" s="377"/>
      <c r="Y414" s="377"/>
      <c r="Z414" s="377"/>
      <c r="AA414" s="377"/>
      <c r="AB414" s="377"/>
      <c r="AC414" s="377"/>
      <c r="AD414" s="377"/>
      <c r="AE414" s="377"/>
      <c r="AF414" s="377"/>
      <c r="AG414" s="377"/>
    </row>
    <row r="415" ht="14.25" customHeight="1">
      <c r="A415" s="377"/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7"/>
      <c r="N415" s="377"/>
      <c r="O415" s="377"/>
      <c r="P415" s="377"/>
      <c r="Q415" s="377"/>
      <c r="R415" s="377"/>
      <c r="S415" s="377"/>
      <c r="T415" s="377"/>
      <c r="U415" s="377"/>
      <c r="V415" s="377"/>
      <c r="W415" s="377"/>
      <c r="X415" s="377"/>
      <c r="Y415" s="377"/>
      <c r="Z415" s="377"/>
      <c r="AA415" s="377"/>
      <c r="AB415" s="377"/>
      <c r="AC415" s="377"/>
      <c r="AD415" s="377"/>
      <c r="AE415" s="377"/>
      <c r="AF415" s="377"/>
      <c r="AG415" s="377"/>
    </row>
    <row r="416" ht="14.25" customHeight="1">
      <c r="A416" s="377"/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7"/>
      <c r="N416" s="377"/>
      <c r="O416" s="377"/>
      <c r="P416" s="377"/>
      <c r="Q416" s="377"/>
      <c r="R416" s="377"/>
      <c r="S416" s="377"/>
      <c r="T416" s="377"/>
      <c r="U416" s="377"/>
      <c r="V416" s="377"/>
      <c r="W416" s="377"/>
      <c r="X416" s="377"/>
      <c r="Y416" s="377"/>
      <c r="Z416" s="377"/>
      <c r="AA416" s="377"/>
      <c r="AB416" s="377"/>
      <c r="AC416" s="377"/>
      <c r="AD416" s="377"/>
      <c r="AE416" s="377"/>
      <c r="AF416" s="377"/>
      <c r="AG416" s="377"/>
    </row>
    <row r="417" ht="14.25" customHeight="1">
      <c r="A417" s="377"/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7"/>
      <c r="N417" s="377"/>
      <c r="O417" s="377"/>
      <c r="P417" s="377"/>
      <c r="Q417" s="377"/>
      <c r="R417" s="377"/>
      <c r="S417" s="377"/>
      <c r="T417" s="377"/>
      <c r="U417" s="377"/>
      <c r="V417" s="377"/>
      <c r="W417" s="377"/>
      <c r="X417" s="377"/>
      <c r="Y417" s="377"/>
      <c r="Z417" s="377"/>
      <c r="AA417" s="377"/>
      <c r="AB417" s="377"/>
      <c r="AC417" s="377"/>
      <c r="AD417" s="377"/>
      <c r="AE417" s="377"/>
      <c r="AF417" s="377"/>
      <c r="AG417" s="377"/>
    </row>
    <row r="418" ht="14.25" customHeight="1">
      <c r="A418" s="377"/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7"/>
      <c r="N418" s="377"/>
      <c r="O418" s="377"/>
      <c r="P418" s="377"/>
      <c r="Q418" s="377"/>
      <c r="R418" s="377"/>
      <c r="S418" s="377"/>
      <c r="T418" s="377"/>
      <c r="U418" s="377"/>
      <c r="V418" s="377"/>
      <c r="W418" s="377"/>
      <c r="X418" s="377"/>
      <c r="Y418" s="377"/>
      <c r="Z418" s="377"/>
      <c r="AA418" s="377"/>
      <c r="AB418" s="377"/>
      <c r="AC418" s="377"/>
      <c r="AD418" s="377"/>
      <c r="AE418" s="377"/>
      <c r="AF418" s="377"/>
      <c r="AG418" s="377"/>
    </row>
    <row r="419" ht="14.25" customHeight="1">
      <c r="A419" s="377"/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7"/>
      <c r="N419" s="377"/>
      <c r="O419" s="377"/>
      <c r="P419" s="377"/>
      <c r="Q419" s="377"/>
      <c r="R419" s="377"/>
      <c r="S419" s="377"/>
      <c r="T419" s="377"/>
      <c r="U419" s="377"/>
      <c r="V419" s="377"/>
      <c r="W419" s="377"/>
      <c r="X419" s="377"/>
      <c r="Y419" s="377"/>
      <c r="Z419" s="377"/>
      <c r="AA419" s="377"/>
      <c r="AB419" s="377"/>
      <c r="AC419" s="377"/>
      <c r="AD419" s="377"/>
      <c r="AE419" s="377"/>
      <c r="AF419" s="377"/>
      <c r="AG419" s="377"/>
    </row>
    <row r="420" ht="14.25" customHeight="1">
      <c r="A420" s="377"/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7"/>
      <c r="N420" s="377"/>
      <c r="O420" s="377"/>
      <c r="P420" s="377"/>
      <c r="Q420" s="377"/>
      <c r="R420" s="377"/>
      <c r="S420" s="377"/>
      <c r="T420" s="377"/>
      <c r="U420" s="377"/>
      <c r="V420" s="377"/>
      <c r="W420" s="377"/>
      <c r="X420" s="377"/>
      <c r="Y420" s="377"/>
      <c r="Z420" s="377"/>
      <c r="AA420" s="377"/>
      <c r="AB420" s="377"/>
      <c r="AC420" s="377"/>
      <c r="AD420" s="377"/>
      <c r="AE420" s="377"/>
      <c r="AF420" s="377"/>
      <c r="AG420" s="377"/>
    </row>
    <row r="421" ht="14.25" customHeight="1">
      <c r="A421" s="377"/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7"/>
      <c r="N421" s="377"/>
      <c r="O421" s="377"/>
      <c r="P421" s="377"/>
      <c r="Q421" s="377"/>
      <c r="R421" s="377"/>
      <c r="S421" s="377"/>
      <c r="T421" s="377"/>
      <c r="U421" s="377"/>
      <c r="V421" s="377"/>
      <c r="W421" s="377"/>
      <c r="X421" s="377"/>
      <c r="Y421" s="377"/>
      <c r="Z421" s="377"/>
      <c r="AA421" s="377"/>
      <c r="AB421" s="377"/>
      <c r="AC421" s="377"/>
      <c r="AD421" s="377"/>
      <c r="AE421" s="377"/>
      <c r="AF421" s="377"/>
      <c r="AG421" s="377"/>
    </row>
    <row r="422" ht="14.25" customHeight="1">
      <c r="A422" s="377"/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7"/>
      <c r="N422" s="377"/>
      <c r="O422" s="377"/>
      <c r="P422" s="377"/>
      <c r="Q422" s="377"/>
      <c r="R422" s="377"/>
      <c r="S422" s="377"/>
      <c r="T422" s="377"/>
      <c r="U422" s="377"/>
      <c r="V422" s="377"/>
      <c r="W422" s="377"/>
      <c r="X422" s="377"/>
      <c r="Y422" s="377"/>
      <c r="Z422" s="377"/>
      <c r="AA422" s="377"/>
      <c r="AB422" s="377"/>
      <c r="AC422" s="377"/>
      <c r="AD422" s="377"/>
      <c r="AE422" s="377"/>
      <c r="AF422" s="377"/>
      <c r="AG422" s="377"/>
    </row>
    <row r="423" ht="14.25" customHeight="1">
      <c r="A423" s="377"/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7"/>
      <c r="N423" s="377"/>
      <c r="O423" s="377"/>
      <c r="P423" s="377"/>
      <c r="Q423" s="377"/>
      <c r="R423" s="377"/>
      <c r="S423" s="377"/>
      <c r="T423" s="377"/>
      <c r="U423" s="377"/>
      <c r="V423" s="377"/>
      <c r="W423" s="377"/>
      <c r="X423" s="377"/>
      <c r="Y423" s="377"/>
      <c r="Z423" s="377"/>
      <c r="AA423" s="377"/>
      <c r="AB423" s="377"/>
      <c r="AC423" s="377"/>
      <c r="AD423" s="377"/>
      <c r="AE423" s="377"/>
      <c r="AF423" s="377"/>
      <c r="AG423" s="377"/>
    </row>
    <row r="424" ht="14.25" customHeight="1">
      <c r="A424" s="377"/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7"/>
      <c r="N424" s="377"/>
      <c r="O424" s="377"/>
      <c r="P424" s="377"/>
      <c r="Q424" s="377"/>
      <c r="R424" s="377"/>
      <c r="S424" s="377"/>
      <c r="T424" s="377"/>
      <c r="U424" s="377"/>
      <c r="V424" s="377"/>
      <c r="W424" s="377"/>
      <c r="X424" s="377"/>
      <c r="Y424" s="377"/>
      <c r="Z424" s="377"/>
      <c r="AA424" s="377"/>
      <c r="AB424" s="377"/>
      <c r="AC424" s="377"/>
      <c r="AD424" s="377"/>
      <c r="AE424" s="377"/>
      <c r="AF424" s="377"/>
      <c r="AG424" s="377"/>
    </row>
    <row r="425" ht="14.25" customHeight="1">
      <c r="A425" s="377"/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7"/>
      <c r="N425" s="377"/>
      <c r="O425" s="377"/>
      <c r="P425" s="377"/>
      <c r="Q425" s="377"/>
      <c r="R425" s="377"/>
      <c r="S425" s="377"/>
      <c r="T425" s="377"/>
      <c r="U425" s="377"/>
      <c r="V425" s="377"/>
      <c r="W425" s="377"/>
      <c r="X425" s="377"/>
      <c r="Y425" s="377"/>
      <c r="Z425" s="377"/>
      <c r="AA425" s="377"/>
      <c r="AB425" s="377"/>
      <c r="AC425" s="377"/>
      <c r="AD425" s="377"/>
      <c r="AE425" s="377"/>
      <c r="AF425" s="377"/>
      <c r="AG425" s="377"/>
    </row>
    <row r="426" ht="14.25" customHeight="1">
      <c r="A426" s="377"/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7"/>
      <c r="N426" s="377"/>
      <c r="O426" s="377"/>
      <c r="P426" s="377"/>
      <c r="Q426" s="377"/>
      <c r="R426" s="377"/>
      <c r="S426" s="377"/>
      <c r="T426" s="377"/>
      <c r="U426" s="377"/>
      <c r="V426" s="377"/>
      <c r="W426" s="377"/>
      <c r="X426" s="377"/>
      <c r="Y426" s="377"/>
      <c r="Z426" s="377"/>
      <c r="AA426" s="377"/>
      <c r="AB426" s="377"/>
      <c r="AC426" s="377"/>
      <c r="AD426" s="377"/>
      <c r="AE426" s="377"/>
      <c r="AF426" s="377"/>
      <c r="AG426" s="377"/>
    </row>
    <row r="427" ht="14.25" customHeight="1">
      <c r="A427" s="377"/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7"/>
      <c r="N427" s="377"/>
      <c r="O427" s="377"/>
      <c r="P427" s="377"/>
      <c r="Q427" s="377"/>
      <c r="R427" s="377"/>
      <c r="S427" s="377"/>
      <c r="T427" s="377"/>
      <c r="U427" s="377"/>
      <c r="V427" s="377"/>
      <c r="W427" s="377"/>
      <c r="X427" s="377"/>
      <c r="Y427" s="377"/>
      <c r="Z427" s="377"/>
      <c r="AA427" s="377"/>
      <c r="AB427" s="377"/>
      <c r="AC427" s="377"/>
      <c r="AD427" s="377"/>
      <c r="AE427" s="377"/>
      <c r="AF427" s="377"/>
      <c r="AG427" s="377"/>
    </row>
    <row r="428" ht="14.25" customHeight="1">
      <c r="A428" s="377"/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7"/>
      <c r="N428" s="377"/>
      <c r="O428" s="377"/>
      <c r="P428" s="377"/>
      <c r="Q428" s="377"/>
      <c r="R428" s="377"/>
      <c r="S428" s="377"/>
      <c r="T428" s="377"/>
      <c r="U428" s="377"/>
      <c r="V428" s="377"/>
      <c r="W428" s="377"/>
      <c r="X428" s="377"/>
      <c r="Y428" s="377"/>
      <c r="Z428" s="377"/>
      <c r="AA428" s="377"/>
      <c r="AB428" s="377"/>
      <c r="AC428" s="377"/>
      <c r="AD428" s="377"/>
      <c r="AE428" s="377"/>
      <c r="AF428" s="377"/>
      <c r="AG428" s="377"/>
    </row>
    <row r="429" ht="14.25" customHeight="1">
      <c r="A429" s="377"/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7"/>
      <c r="N429" s="377"/>
      <c r="O429" s="377"/>
      <c r="P429" s="377"/>
      <c r="Q429" s="377"/>
      <c r="R429" s="377"/>
      <c r="S429" s="377"/>
      <c r="T429" s="377"/>
      <c r="U429" s="377"/>
      <c r="V429" s="377"/>
      <c r="W429" s="377"/>
      <c r="X429" s="377"/>
      <c r="Y429" s="377"/>
      <c r="Z429" s="377"/>
      <c r="AA429" s="377"/>
      <c r="AB429" s="377"/>
      <c r="AC429" s="377"/>
      <c r="AD429" s="377"/>
      <c r="AE429" s="377"/>
      <c r="AF429" s="377"/>
      <c r="AG429" s="377"/>
    </row>
    <row r="430" ht="14.25" customHeight="1">
      <c r="A430" s="377"/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7"/>
      <c r="N430" s="377"/>
      <c r="O430" s="377"/>
      <c r="P430" s="377"/>
      <c r="Q430" s="377"/>
      <c r="R430" s="377"/>
      <c r="S430" s="377"/>
      <c r="T430" s="377"/>
      <c r="U430" s="377"/>
      <c r="V430" s="377"/>
      <c r="W430" s="377"/>
      <c r="X430" s="377"/>
      <c r="Y430" s="377"/>
      <c r="Z430" s="377"/>
      <c r="AA430" s="377"/>
      <c r="AB430" s="377"/>
      <c r="AC430" s="377"/>
      <c r="AD430" s="377"/>
      <c r="AE430" s="377"/>
      <c r="AF430" s="377"/>
      <c r="AG430" s="377"/>
    </row>
    <row r="431" ht="14.25" customHeight="1">
      <c r="A431" s="377"/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7"/>
      <c r="N431" s="377"/>
      <c r="O431" s="377"/>
      <c r="P431" s="377"/>
      <c r="Q431" s="377"/>
      <c r="R431" s="377"/>
      <c r="S431" s="377"/>
      <c r="T431" s="377"/>
      <c r="U431" s="377"/>
      <c r="V431" s="377"/>
      <c r="W431" s="377"/>
      <c r="X431" s="377"/>
      <c r="Y431" s="377"/>
      <c r="Z431" s="377"/>
      <c r="AA431" s="377"/>
      <c r="AB431" s="377"/>
      <c r="AC431" s="377"/>
      <c r="AD431" s="377"/>
      <c r="AE431" s="377"/>
      <c r="AF431" s="377"/>
      <c r="AG431" s="377"/>
    </row>
    <row r="432" ht="14.25" customHeight="1">
      <c r="A432" s="377"/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7"/>
      <c r="N432" s="377"/>
      <c r="O432" s="377"/>
      <c r="P432" s="377"/>
      <c r="Q432" s="377"/>
      <c r="R432" s="377"/>
      <c r="S432" s="377"/>
      <c r="T432" s="377"/>
      <c r="U432" s="377"/>
      <c r="V432" s="377"/>
      <c r="W432" s="377"/>
      <c r="X432" s="377"/>
      <c r="Y432" s="377"/>
      <c r="Z432" s="377"/>
      <c r="AA432" s="377"/>
      <c r="AB432" s="377"/>
      <c r="AC432" s="377"/>
      <c r="AD432" s="377"/>
      <c r="AE432" s="377"/>
      <c r="AF432" s="377"/>
      <c r="AG432" s="377"/>
    </row>
    <row r="433" ht="14.25" customHeight="1">
      <c r="A433" s="377"/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7"/>
      <c r="N433" s="377"/>
      <c r="O433" s="377"/>
      <c r="P433" s="377"/>
      <c r="Q433" s="377"/>
      <c r="R433" s="377"/>
      <c r="S433" s="377"/>
      <c r="T433" s="377"/>
      <c r="U433" s="377"/>
      <c r="V433" s="377"/>
      <c r="W433" s="377"/>
      <c r="X433" s="377"/>
      <c r="Y433" s="377"/>
      <c r="Z433" s="377"/>
      <c r="AA433" s="377"/>
      <c r="AB433" s="377"/>
      <c r="AC433" s="377"/>
      <c r="AD433" s="377"/>
      <c r="AE433" s="377"/>
      <c r="AF433" s="377"/>
      <c r="AG433" s="377"/>
    </row>
    <row r="434" ht="14.25" customHeight="1">
      <c r="A434" s="377"/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7"/>
      <c r="N434" s="377"/>
      <c r="O434" s="377"/>
      <c r="P434" s="377"/>
      <c r="Q434" s="377"/>
      <c r="R434" s="377"/>
      <c r="S434" s="377"/>
      <c r="T434" s="377"/>
      <c r="U434" s="377"/>
      <c r="V434" s="377"/>
      <c r="W434" s="377"/>
      <c r="X434" s="377"/>
      <c r="Y434" s="377"/>
      <c r="Z434" s="377"/>
      <c r="AA434" s="377"/>
      <c r="AB434" s="377"/>
      <c r="AC434" s="377"/>
      <c r="AD434" s="377"/>
      <c r="AE434" s="377"/>
      <c r="AF434" s="377"/>
      <c r="AG434" s="377"/>
    </row>
    <row r="435" ht="14.25" customHeight="1">
      <c r="A435" s="377"/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7"/>
      <c r="N435" s="377"/>
      <c r="O435" s="377"/>
      <c r="P435" s="377"/>
      <c r="Q435" s="377"/>
      <c r="R435" s="377"/>
      <c r="S435" s="377"/>
      <c r="T435" s="377"/>
      <c r="U435" s="377"/>
      <c r="V435" s="377"/>
      <c r="W435" s="377"/>
      <c r="X435" s="377"/>
      <c r="Y435" s="377"/>
      <c r="Z435" s="377"/>
      <c r="AA435" s="377"/>
      <c r="AB435" s="377"/>
      <c r="AC435" s="377"/>
      <c r="AD435" s="377"/>
      <c r="AE435" s="377"/>
      <c r="AF435" s="377"/>
      <c r="AG435" s="377"/>
    </row>
    <row r="436" ht="14.25" customHeight="1">
      <c r="A436" s="377"/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7"/>
      <c r="Y436" s="377"/>
      <c r="Z436" s="377"/>
      <c r="AA436" s="377"/>
      <c r="AB436" s="377"/>
      <c r="AC436" s="377"/>
      <c r="AD436" s="377"/>
      <c r="AE436" s="377"/>
      <c r="AF436" s="377"/>
      <c r="AG436" s="377"/>
    </row>
    <row r="437" ht="14.25" customHeight="1">
      <c r="A437" s="377"/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7"/>
      <c r="Y437" s="377"/>
      <c r="Z437" s="377"/>
      <c r="AA437" s="377"/>
      <c r="AB437" s="377"/>
      <c r="AC437" s="377"/>
      <c r="AD437" s="377"/>
      <c r="AE437" s="377"/>
      <c r="AF437" s="377"/>
      <c r="AG437" s="377"/>
    </row>
    <row r="438" ht="14.25" customHeight="1">
      <c r="A438" s="377"/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7"/>
      <c r="Y438" s="377"/>
      <c r="Z438" s="377"/>
      <c r="AA438" s="377"/>
      <c r="AB438" s="377"/>
      <c r="AC438" s="377"/>
      <c r="AD438" s="377"/>
      <c r="AE438" s="377"/>
      <c r="AF438" s="377"/>
      <c r="AG438" s="377"/>
    </row>
    <row r="439" ht="14.25" customHeight="1">
      <c r="A439" s="377"/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7"/>
      <c r="Y439" s="377"/>
      <c r="Z439" s="377"/>
      <c r="AA439" s="377"/>
      <c r="AB439" s="377"/>
      <c r="AC439" s="377"/>
      <c r="AD439" s="377"/>
      <c r="AE439" s="377"/>
      <c r="AF439" s="377"/>
      <c r="AG439" s="377"/>
    </row>
    <row r="440" ht="14.25" customHeight="1">
      <c r="A440" s="377"/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7"/>
      <c r="Y440" s="377"/>
      <c r="Z440" s="377"/>
      <c r="AA440" s="377"/>
      <c r="AB440" s="377"/>
      <c r="AC440" s="377"/>
      <c r="AD440" s="377"/>
      <c r="AE440" s="377"/>
      <c r="AF440" s="377"/>
      <c r="AG440" s="377"/>
    </row>
    <row r="441" ht="14.25" customHeight="1">
      <c r="A441" s="377"/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7"/>
      <c r="N441" s="377"/>
      <c r="O441" s="377"/>
      <c r="P441" s="377"/>
      <c r="Q441" s="377"/>
      <c r="R441" s="377"/>
      <c r="S441" s="377"/>
      <c r="T441" s="377"/>
      <c r="U441" s="377"/>
      <c r="V441" s="377"/>
      <c r="W441" s="377"/>
      <c r="X441" s="377"/>
      <c r="Y441" s="377"/>
      <c r="Z441" s="377"/>
      <c r="AA441" s="377"/>
      <c r="AB441" s="377"/>
      <c r="AC441" s="377"/>
      <c r="AD441" s="377"/>
      <c r="AE441" s="377"/>
      <c r="AF441" s="377"/>
      <c r="AG441" s="377"/>
    </row>
    <row r="442" ht="14.25" customHeight="1">
      <c r="A442" s="377"/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7"/>
      <c r="N442" s="377"/>
      <c r="O442" s="377"/>
      <c r="P442" s="377"/>
      <c r="Q442" s="377"/>
      <c r="R442" s="377"/>
      <c r="S442" s="377"/>
      <c r="T442" s="377"/>
      <c r="U442" s="377"/>
      <c r="V442" s="377"/>
      <c r="W442" s="377"/>
      <c r="X442" s="377"/>
      <c r="Y442" s="377"/>
      <c r="Z442" s="377"/>
      <c r="AA442" s="377"/>
      <c r="AB442" s="377"/>
      <c r="AC442" s="377"/>
      <c r="AD442" s="377"/>
      <c r="AE442" s="377"/>
      <c r="AF442" s="377"/>
      <c r="AG442" s="377"/>
    </row>
    <row r="443" ht="14.25" customHeight="1">
      <c r="A443" s="377"/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7"/>
      <c r="N443" s="377"/>
      <c r="O443" s="377"/>
      <c r="P443" s="377"/>
      <c r="Q443" s="377"/>
      <c r="R443" s="377"/>
      <c r="S443" s="377"/>
      <c r="T443" s="377"/>
      <c r="U443" s="377"/>
      <c r="V443" s="377"/>
      <c r="W443" s="377"/>
      <c r="X443" s="377"/>
      <c r="Y443" s="377"/>
      <c r="Z443" s="377"/>
      <c r="AA443" s="377"/>
      <c r="AB443" s="377"/>
      <c r="AC443" s="377"/>
      <c r="AD443" s="377"/>
      <c r="AE443" s="377"/>
      <c r="AF443" s="377"/>
      <c r="AG443" s="377"/>
    </row>
    <row r="444" ht="14.25" customHeight="1">
      <c r="A444" s="377"/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7"/>
      <c r="N444" s="377"/>
      <c r="O444" s="377"/>
      <c r="P444" s="377"/>
      <c r="Q444" s="377"/>
      <c r="R444" s="377"/>
      <c r="S444" s="377"/>
      <c r="T444" s="377"/>
      <c r="U444" s="377"/>
      <c r="V444" s="377"/>
      <c r="W444" s="377"/>
      <c r="X444" s="377"/>
      <c r="Y444" s="377"/>
      <c r="Z444" s="377"/>
      <c r="AA444" s="377"/>
      <c r="AB444" s="377"/>
      <c r="AC444" s="377"/>
      <c r="AD444" s="377"/>
      <c r="AE444" s="377"/>
      <c r="AF444" s="377"/>
      <c r="AG444" s="377"/>
    </row>
    <row r="445" ht="14.25" customHeight="1">
      <c r="A445" s="377"/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7"/>
      <c r="N445" s="377"/>
      <c r="O445" s="377"/>
      <c r="P445" s="377"/>
      <c r="Q445" s="377"/>
      <c r="R445" s="377"/>
      <c r="S445" s="377"/>
      <c r="T445" s="377"/>
      <c r="U445" s="377"/>
      <c r="V445" s="377"/>
      <c r="W445" s="377"/>
      <c r="X445" s="377"/>
      <c r="Y445" s="377"/>
      <c r="Z445" s="377"/>
      <c r="AA445" s="377"/>
      <c r="AB445" s="377"/>
      <c r="AC445" s="377"/>
      <c r="AD445" s="377"/>
      <c r="AE445" s="377"/>
      <c r="AF445" s="377"/>
      <c r="AG445" s="377"/>
    </row>
    <row r="446" ht="14.25" customHeight="1">
      <c r="A446" s="377"/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377"/>
      <c r="O446" s="377"/>
      <c r="P446" s="377"/>
      <c r="Q446" s="377"/>
      <c r="R446" s="377"/>
      <c r="S446" s="377"/>
      <c r="T446" s="377"/>
      <c r="U446" s="377"/>
      <c r="V446" s="377"/>
      <c r="W446" s="377"/>
      <c r="X446" s="377"/>
      <c r="Y446" s="377"/>
      <c r="Z446" s="377"/>
      <c r="AA446" s="377"/>
      <c r="AB446" s="377"/>
      <c r="AC446" s="377"/>
      <c r="AD446" s="377"/>
      <c r="AE446" s="377"/>
      <c r="AF446" s="377"/>
      <c r="AG446" s="377"/>
    </row>
    <row r="447" ht="14.25" customHeight="1">
      <c r="A447" s="377"/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7"/>
      <c r="N447" s="377"/>
      <c r="O447" s="377"/>
      <c r="P447" s="377"/>
      <c r="Q447" s="377"/>
      <c r="R447" s="377"/>
      <c r="S447" s="377"/>
      <c r="T447" s="377"/>
      <c r="U447" s="377"/>
      <c r="V447" s="377"/>
      <c r="W447" s="377"/>
      <c r="X447" s="377"/>
      <c r="Y447" s="377"/>
      <c r="Z447" s="377"/>
      <c r="AA447" s="377"/>
      <c r="AB447" s="377"/>
      <c r="AC447" s="377"/>
      <c r="AD447" s="377"/>
      <c r="AE447" s="377"/>
      <c r="AF447" s="377"/>
      <c r="AG447" s="377"/>
    </row>
    <row r="448" ht="14.25" customHeight="1">
      <c r="A448" s="377"/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7"/>
      <c r="N448" s="377"/>
      <c r="O448" s="377"/>
      <c r="P448" s="377"/>
      <c r="Q448" s="377"/>
      <c r="R448" s="377"/>
      <c r="S448" s="377"/>
      <c r="T448" s="377"/>
      <c r="U448" s="377"/>
      <c r="V448" s="377"/>
      <c r="W448" s="377"/>
      <c r="X448" s="377"/>
      <c r="Y448" s="377"/>
      <c r="Z448" s="377"/>
      <c r="AA448" s="377"/>
      <c r="AB448" s="377"/>
      <c r="AC448" s="377"/>
      <c r="AD448" s="377"/>
      <c r="AE448" s="377"/>
      <c r="AF448" s="377"/>
      <c r="AG448" s="377"/>
    </row>
    <row r="449" ht="14.25" customHeight="1">
      <c r="A449" s="377"/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7"/>
      <c r="N449" s="377"/>
      <c r="O449" s="377"/>
      <c r="P449" s="377"/>
      <c r="Q449" s="377"/>
      <c r="R449" s="377"/>
      <c r="S449" s="377"/>
      <c r="T449" s="377"/>
      <c r="U449" s="377"/>
      <c r="V449" s="377"/>
      <c r="W449" s="377"/>
      <c r="X449" s="377"/>
      <c r="Y449" s="377"/>
      <c r="Z449" s="377"/>
      <c r="AA449" s="377"/>
      <c r="AB449" s="377"/>
      <c r="AC449" s="377"/>
      <c r="AD449" s="377"/>
      <c r="AE449" s="377"/>
      <c r="AF449" s="377"/>
      <c r="AG449" s="377"/>
    </row>
    <row r="450" ht="14.25" customHeight="1">
      <c r="A450" s="377"/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7"/>
      <c r="N450" s="377"/>
      <c r="O450" s="377"/>
      <c r="P450" s="377"/>
      <c r="Q450" s="377"/>
      <c r="R450" s="377"/>
      <c r="S450" s="377"/>
      <c r="T450" s="377"/>
      <c r="U450" s="377"/>
      <c r="V450" s="377"/>
      <c r="W450" s="377"/>
      <c r="X450" s="377"/>
      <c r="Y450" s="377"/>
      <c r="Z450" s="377"/>
      <c r="AA450" s="377"/>
      <c r="AB450" s="377"/>
      <c r="AC450" s="377"/>
      <c r="AD450" s="377"/>
      <c r="AE450" s="377"/>
      <c r="AF450" s="377"/>
      <c r="AG450" s="377"/>
    </row>
    <row r="451" ht="14.25" customHeight="1">
      <c r="A451" s="377"/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7"/>
      <c r="N451" s="377"/>
      <c r="O451" s="377"/>
      <c r="P451" s="377"/>
      <c r="Q451" s="377"/>
      <c r="R451" s="377"/>
      <c r="S451" s="377"/>
      <c r="T451" s="377"/>
      <c r="U451" s="377"/>
      <c r="V451" s="377"/>
      <c r="W451" s="377"/>
      <c r="X451" s="377"/>
      <c r="Y451" s="377"/>
      <c r="Z451" s="377"/>
      <c r="AA451" s="377"/>
      <c r="AB451" s="377"/>
      <c r="AC451" s="377"/>
      <c r="AD451" s="377"/>
      <c r="AE451" s="377"/>
      <c r="AF451" s="377"/>
      <c r="AG451" s="377"/>
    </row>
    <row r="452" ht="14.25" customHeight="1">
      <c r="A452" s="377"/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7"/>
      <c r="N452" s="377"/>
      <c r="O452" s="377"/>
      <c r="P452" s="377"/>
      <c r="Q452" s="377"/>
      <c r="R452" s="377"/>
      <c r="S452" s="377"/>
      <c r="T452" s="377"/>
      <c r="U452" s="377"/>
      <c r="V452" s="377"/>
      <c r="W452" s="377"/>
      <c r="X452" s="377"/>
      <c r="Y452" s="377"/>
      <c r="Z452" s="377"/>
      <c r="AA452" s="377"/>
      <c r="AB452" s="377"/>
      <c r="AC452" s="377"/>
      <c r="AD452" s="377"/>
      <c r="AE452" s="377"/>
      <c r="AF452" s="377"/>
      <c r="AG452" s="377"/>
    </row>
    <row r="453" ht="14.25" customHeight="1">
      <c r="A453" s="377"/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7"/>
      <c r="N453" s="377"/>
      <c r="O453" s="377"/>
      <c r="P453" s="377"/>
      <c r="Q453" s="377"/>
      <c r="R453" s="377"/>
      <c r="S453" s="377"/>
      <c r="T453" s="377"/>
      <c r="U453" s="377"/>
      <c r="V453" s="377"/>
      <c r="W453" s="377"/>
      <c r="X453" s="377"/>
      <c r="Y453" s="377"/>
      <c r="Z453" s="377"/>
      <c r="AA453" s="377"/>
      <c r="AB453" s="377"/>
      <c r="AC453" s="377"/>
      <c r="AD453" s="377"/>
      <c r="AE453" s="377"/>
      <c r="AF453" s="377"/>
      <c r="AG453" s="377"/>
    </row>
    <row r="454" ht="14.25" customHeight="1">
      <c r="A454" s="377"/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  <c r="T454" s="377"/>
      <c r="U454" s="377"/>
      <c r="V454" s="377"/>
      <c r="W454" s="377"/>
      <c r="X454" s="377"/>
      <c r="Y454" s="377"/>
      <c r="Z454" s="377"/>
      <c r="AA454" s="377"/>
      <c r="AB454" s="377"/>
      <c r="AC454" s="377"/>
      <c r="AD454" s="377"/>
      <c r="AE454" s="377"/>
      <c r="AF454" s="377"/>
      <c r="AG454" s="377"/>
    </row>
    <row r="455" ht="14.25" customHeight="1">
      <c r="A455" s="377"/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  <c r="T455" s="377"/>
      <c r="U455" s="377"/>
      <c r="V455" s="377"/>
      <c r="W455" s="377"/>
      <c r="X455" s="377"/>
      <c r="Y455" s="377"/>
      <c r="Z455" s="377"/>
      <c r="AA455" s="377"/>
      <c r="AB455" s="377"/>
      <c r="AC455" s="377"/>
      <c r="AD455" s="377"/>
      <c r="AE455" s="377"/>
      <c r="AF455" s="377"/>
      <c r="AG455" s="377"/>
    </row>
    <row r="456" ht="14.25" customHeight="1">
      <c r="A456" s="377"/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  <c r="T456" s="377"/>
      <c r="U456" s="377"/>
      <c r="V456" s="377"/>
      <c r="W456" s="377"/>
      <c r="X456" s="377"/>
      <c r="Y456" s="377"/>
      <c r="Z456" s="377"/>
      <c r="AA456" s="377"/>
      <c r="AB456" s="377"/>
      <c r="AC456" s="377"/>
      <c r="AD456" s="377"/>
      <c r="AE456" s="377"/>
      <c r="AF456" s="377"/>
      <c r="AG456" s="377"/>
    </row>
    <row r="457" ht="14.25" customHeight="1">
      <c r="A457" s="377"/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  <c r="T457" s="377"/>
      <c r="U457" s="377"/>
      <c r="V457" s="377"/>
      <c r="W457" s="377"/>
      <c r="X457" s="377"/>
      <c r="Y457" s="377"/>
      <c r="Z457" s="377"/>
      <c r="AA457" s="377"/>
      <c r="AB457" s="377"/>
      <c r="AC457" s="377"/>
      <c r="AD457" s="377"/>
      <c r="AE457" s="377"/>
      <c r="AF457" s="377"/>
      <c r="AG457" s="377"/>
    </row>
    <row r="458" ht="14.25" customHeight="1">
      <c r="A458" s="377"/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7"/>
      <c r="N458" s="377"/>
      <c r="O458" s="377"/>
      <c r="P458" s="377"/>
      <c r="Q458" s="377"/>
      <c r="R458" s="377"/>
      <c r="S458" s="377"/>
      <c r="T458" s="377"/>
      <c r="U458" s="377"/>
      <c r="V458" s="377"/>
      <c r="W458" s="377"/>
      <c r="X458" s="377"/>
      <c r="Y458" s="377"/>
      <c r="Z458" s="377"/>
      <c r="AA458" s="377"/>
      <c r="AB458" s="377"/>
      <c r="AC458" s="377"/>
      <c r="AD458" s="377"/>
      <c r="AE458" s="377"/>
      <c r="AF458" s="377"/>
      <c r="AG458" s="377"/>
    </row>
    <row r="459" ht="14.25" customHeight="1">
      <c r="A459" s="377"/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7"/>
      <c r="N459" s="377"/>
      <c r="O459" s="377"/>
      <c r="P459" s="377"/>
      <c r="Q459" s="377"/>
      <c r="R459" s="377"/>
      <c r="S459" s="377"/>
      <c r="T459" s="377"/>
      <c r="U459" s="377"/>
      <c r="V459" s="377"/>
      <c r="W459" s="377"/>
      <c r="X459" s="377"/>
      <c r="Y459" s="377"/>
      <c r="Z459" s="377"/>
      <c r="AA459" s="377"/>
      <c r="AB459" s="377"/>
      <c r="AC459" s="377"/>
      <c r="AD459" s="377"/>
      <c r="AE459" s="377"/>
      <c r="AF459" s="377"/>
      <c r="AG459" s="377"/>
    </row>
    <row r="460" ht="14.25" customHeight="1">
      <c r="A460" s="377"/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7"/>
      <c r="N460" s="377"/>
      <c r="O460" s="377"/>
      <c r="P460" s="377"/>
      <c r="Q460" s="377"/>
      <c r="R460" s="377"/>
      <c r="S460" s="377"/>
      <c r="T460" s="377"/>
      <c r="U460" s="377"/>
      <c r="V460" s="377"/>
      <c r="W460" s="377"/>
      <c r="X460" s="377"/>
      <c r="Y460" s="377"/>
      <c r="Z460" s="377"/>
      <c r="AA460" s="377"/>
      <c r="AB460" s="377"/>
      <c r="AC460" s="377"/>
      <c r="AD460" s="377"/>
      <c r="AE460" s="377"/>
      <c r="AF460" s="377"/>
      <c r="AG460" s="377"/>
    </row>
    <row r="461" ht="14.25" customHeight="1">
      <c r="A461" s="377"/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7"/>
      <c r="N461" s="377"/>
      <c r="O461" s="377"/>
      <c r="P461" s="377"/>
      <c r="Q461" s="377"/>
      <c r="R461" s="377"/>
      <c r="S461" s="377"/>
      <c r="T461" s="377"/>
      <c r="U461" s="377"/>
      <c r="V461" s="377"/>
      <c r="W461" s="377"/>
      <c r="X461" s="377"/>
      <c r="Y461" s="377"/>
      <c r="Z461" s="377"/>
      <c r="AA461" s="377"/>
      <c r="AB461" s="377"/>
      <c r="AC461" s="377"/>
      <c r="AD461" s="377"/>
      <c r="AE461" s="377"/>
      <c r="AF461" s="377"/>
      <c r="AG461" s="377"/>
    </row>
    <row r="462" ht="14.25" customHeight="1">
      <c r="A462" s="377"/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7"/>
      <c r="N462" s="377"/>
      <c r="O462" s="377"/>
      <c r="P462" s="377"/>
      <c r="Q462" s="377"/>
      <c r="R462" s="377"/>
      <c r="S462" s="377"/>
      <c r="T462" s="377"/>
      <c r="U462" s="377"/>
      <c r="V462" s="377"/>
      <c r="W462" s="377"/>
      <c r="X462" s="377"/>
      <c r="Y462" s="377"/>
      <c r="Z462" s="377"/>
      <c r="AA462" s="377"/>
      <c r="AB462" s="377"/>
      <c r="AC462" s="377"/>
      <c r="AD462" s="377"/>
      <c r="AE462" s="377"/>
      <c r="AF462" s="377"/>
      <c r="AG462" s="377"/>
    </row>
    <row r="463" ht="14.25" customHeight="1">
      <c r="A463" s="377"/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7"/>
      <c r="N463" s="377"/>
      <c r="O463" s="377"/>
      <c r="P463" s="377"/>
      <c r="Q463" s="377"/>
      <c r="R463" s="377"/>
      <c r="S463" s="377"/>
      <c r="T463" s="377"/>
      <c r="U463" s="377"/>
      <c r="V463" s="377"/>
      <c r="W463" s="377"/>
      <c r="X463" s="377"/>
      <c r="Y463" s="377"/>
      <c r="Z463" s="377"/>
      <c r="AA463" s="377"/>
      <c r="AB463" s="377"/>
      <c r="AC463" s="377"/>
      <c r="AD463" s="377"/>
      <c r="AE463" s="377"/>
      <c r="AF463" s="377"/>
      <c r="AG463" s="377"/>
    </row>
    <row r="464" ht="14.25" customHeight="1">
      <c r="A464" s="377"/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7"/>
      <c r="N464" s="377"/>
      <c r="O464" s="377"/>
      <c r="P464" s="377"/>
      <c r="Q464" s="377"/>
      <c r="R464" s="377"/>
      <c r="S464" s="377"/>
      <c r="T464" s="377"/>
      <c r="U464" s="377"/>
      <c r="V464" s="377"/>
      <c r="W464" s="377"/>
      <c r="X464" s="377"/>
      <c r="Y464" s="377"/>
      <c r="Z464" s="377"/>
      <c r="AA464" s="377"/>
      <c r="AB464" s="377"/>
      <c r="AC464" s="377"/>
      <c r="AD464" s="377"/>
      <c r="AE464" s="377"/>
      <c r="AF464" s="377"/>
      <c r="AG464" s="377"/>
    </row>
    <row r="465" ht="14.25" customHeight="1">
      <c r="A465" s="377"/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7"/>
      <c r="N465" s="377"/>
      <c r="O465" s="377"/>
      <c r="P465" s="377"/>
      <c r="Q465" s="377"/>
      <c r="R465" s="377"/>
      <c r="S465" s="377"/>
      <c r="T465" s="377"/>
      <c r="U465" s="377"/>
      <c r="V465" s="377"/>
      <c r="W465" s="377"/>
      <c r="X465" s="377"/>
      <c r="Y465" s="377"/>
      <c r="Z465" s="377"/>
      <c r="AA465" s="377"/>
      <c r="AB465" s="377"/>
      <c r="AC465" s="377"/>
      <c r="AD465" s="377"/>
      <c r="AE465" s="377"/>
      <c r="AF465" s="377"/>
      <c r="AG465" s="377"/>
    </row>
    <row r="466" ht="14.25" customHeight="1">
      <c r="A466" s="377"/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7"/>
      <c r="N466" s="377"/>
      <c r="O466" s="377"/>
      <c r="P466" s="377"/>
      <c r="Q466" s="377"/>
      <c r="R466" s="377"/>
      <c r="S466" s="377"/>
      <c r="T466" s="377"/>
      <c r="U466" s="377"/>
      <c r="V466" s="377"/>
      <c r="W466" s="377"/>
      <c r="X466" s="377"/>
      <c r="Y466" s="377"/>
      <c r="Z466" s="377"/>
      <c r="AA466" s="377"/>
      <c r="AB466" s="377"/>
      <c r="AC466" s="377"/>
      <c r="AD466" s="377"/>
      <c r="AE466" s="377"/>
      <c r="AF466" s="377"/>
      <c r="AG466" s="377"/>
    </row>
    <row r="467" ht="14.25" customHeight="1">
      <c r="A467" s="377"/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7"/>
      <c r="N467" s="377"/>
      <c r="O467" s="377"/>
      <c r="P467" s="377"/>
      <c r="Q467" s="377"/>
      <c r="R467" s="377"/>
      <c r="S467" s="377"/>
      <c r="T467" s="377"/>
      <c r="U467" s="377"/>
      <c r="V467" s="377"/>
      <c r="W467" s="377"/>
      <c r="X467" s="377"/>
      <c r="Y467" s="377"/>
      <c r="Z467" s="377"/>
      <c r="AA467" s="377"/>
      <c r="AB467" s="377"/>
      <c r="AC467" s="377"/>
      <c r="AD467" s="377"/>
      <c r="AE467" s="377"/>
      <c r="AF467" s="377"/>
      <c r="AG467" s="377"/>
    </row>
    <row r="468" ht="14.25" customHeight="1">
      <c r="A468" s="377"/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7"/>
      <c r="N468" s="377"/>
      <c r="O468" s="377"/>
      <c r="P468" s="377"/>
      <c r="Q468" s="377"/>
      <c r="R468" s="377"/>
      <c r="S468" s="377"/>
      <c r="T468" s="377"/>
      <c r="U468" s="377"/>
      <c r="V468" s="377"/>
      <c r="W468" s="377"/>
      <c r="X468" s="377"/>
      <c r="Y468" s="377"/>
      <c r="Z468" s="377"/>
      <c r="AA468" s="377"/>
      <c r="AB468" s="377"/>
      <c r="AC468" s="377"/>
      <c r="AD468" s="377"/>
      <c r="AE468" s="377"/>
      <c r="AF468" s="377"/>
      <c r="AG468" s="377"/>
    </row>
    <row r="469" ht="14.25" customHeight="1">
      <c r="A469" s="377"/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7"/>
      <c r="N469" s="377"/>
      <c r="O469" s="377"/>
      <c r="P469" s="377"/>
      <c r="Q469" s="377"/>
      <c r="R469" s="377"/>
      <c r="S469" s="377"/>
      <c r="T469" s="377"/>
      <c r="U469" s="377"/>
      <c r="V469" s="377"/>
      <c r="W469" s="377"/>
      <c r="X469" s="377"/>
      <c r="Y469" s="377"/>
      <c r="Z469" s="377"/>
      <c r="AA469" s="377"/>
      <c r="AB469" s="377"/>
      <c r="AC469" s="377"/>
      <c r="AD469" s="377"/>
      <c r="AE469" s="377"/>
      <c r="AF469" s="377"/>
      <c r="AG469" s="377"/>
    </row>
    <row r="470" ht="14.25" customHeight="1">
      <c r="A470" s="377"/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7"/>
      <c r="N470" s="377"/>
      <c r="O470" s="377"/>
      <c r="P470" s="377"/>
      <c r="Q470" s="377"/>
      <c r="R470" s="377"/>
      <c r="S470" s="377"/>
      <c r="T470" s="377"/>
      <c r="U470" s="377"/>
      <c r="V470" s="377"/>
      <c r="W470" s="377"/>
      <c r="X470" s="377"/>
      <c r="Y470" s="377"/>
      <c r="Z470" s="377"/>
      <c r="AA470" s="377"/>
      <c r="AB470" s="377"/>
      <c r="AC470" s="377"/>
      <c r="AD470" s="377"/>
      <c r="AE470" s="377"/>
      <c r="AF470" s="377"/>
      <c r="AG470" s="377"/>
    </row>
    <row r="471" ht="14.25" customHeight="1">
      <c r="A471" s="377"/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7"/>
      <c r="N471" s="377"/>
      <c r="O471" s="377"/>
      <c r="P471" s="377"/>
      <c r="Q471" s="377"/>
      <c r="R471" s="377"/>
      <c r="S471" s="377"/>
      <c r="T471" s="377"/>
      <c r="U471" s="377"/>
      <c r="V471" s="377"/>
      <c r="W471" s="377"/>
      <c r="X471" s="377"/>
      <c r="Y471" s="377"/>
      <c r="Z471" s="377"/>
      <c r="AA471" s="377"/>
      <c r="AB471" s="377"/>
      <c r="AC471" s="377"/>
      <c r="AD471" s="377"/>
      <c r="AE471" s="377"/>
      <c r="AF471" s="377"/>
      <c r="AG471" s="377"/>
    </row>
    <row r="472" ht="14.25" customHeight="1">
      <c r="A472" s="377"/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7"/>
      <c r="N472" s="377"/>
      <c r="O472" s="377"/>
      <c r="P472" s="377"/>
      <c r="Q472" s="377"/>
      <c r="R472" s="377"/>
      <c r="S472" s="377"/>
      <c r="T472" s="377"/>
      <c r="U472" s="377"/>
      <c r="V472" s="377"/>
      <c r="W472" s="377"/>
      <c r="X472" s="377"/>
      <c r="Y472" s="377"/>
      <c r="Z472" s="377"/>
      <c r="AA472" s="377"/>
      <c r="AB472" s="377"/>
      <c r="AC472" s="377"/>
      <c r="AD472" s="377"/>
      <c r="AE472" s="377"/>
      <c r="AF472" s="377"/>
      <c r="AG472" s="377"/>
    </row>
    <row r="473" ht="14.25" customHeight="1">
      <c r="A473" s="377"/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7"/>
      <c r="N473" s="377"/>
      <c r="O473" s="377"/>
      <c r="P473" s="377"/>
      <c r="Q473" s="377"/>
      <c r="R473" s="377"/>
      <c r="S473" s="377"/>
      <c r="T473" s="377"/>
      <c r="U473" s="377"/>
      <c r="V473" s="377"/>
      <c r="W473" s="377"/>
      <c r="X473" s="377"/>
      <c r="Y473" s="377"/>
      <c r="Z473" s="377"/>
      <c r="AA473" s="377"/>
      <c r="AB473" s="377"/>
      <c r="AC473" s="377"/>
      <c r="AD473" s="377"/>
      <c r="AE473" s="377"/>
      <c r="AF473" s="377"/>
      <c r="AG473" s="377"/>
    </row>
    <row r="474" ht="14.25" customHeight="1">
      <c r="A474" s="377"/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7"/>
      <c r="N474" s="377"/>
      <c r="O474" s="377"/>
      <c r="P474" s="377"/>
      <c r="Q474" s="377"/>
      <c r="R474" s="377"/>
      <c r="S474" s="377"/>
      <c r="T474" s="377"/>
      <c r="U474" s="377"/>
      <c r="V474" s="377"/>
      <c r="W474" s="377"/>
      <c r="X474" s="377"/>
      <c r="Y474" s="377"/>
      <c r="Z474" s="377"/>
      <c r="AA474" s="377"/>
      <c r="AB474" s="377"/>
      <c r="AC474" s="377"/>
      <c r="AD474" s="377"/>
      <c r="AE474" s="377"/>
      <c r="AF474" s="377"/>
      <c r="AG474" s="377"/>
    </row>
    <row r="475" ht="14.25" customHeight="1">
      <c r="A475" s="377"/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  <c r="Z475" s="377"/>
      <c r="AA475" s="377"/>
      <c r="AB475" s="377"/>
      <c r="AC475" s="377"/>
      <c r="AD475" s="377"/>
      <c r="AE475" s="377"/>
      <c r="AF475" s="377"/>
      <c r="AG475" s="377"/>
    </row>
    <row r="476" ht="14.25" customHeight="1">
      <c r="A476" s="377"/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7"/>
      <c r="N476" s="377"/>
      <c r="O476" s="377"/>
      <c r="P476" s="377"/>
      <c r="Q476" s="377"/>
      <c r="R476" s="377"/>
      <c r="S476" s="377"/>
      <c r="T476" s="377"/>
      <c r="U476" s="377"/>
      <c r="V476" s="377"/>
      <c r="W476" s="377"/>
      <c r="X476" s="377"/>
      <c r="Y476" s="377"/>
      <c r="Z476" s="377"/>
      <c r="AA476" s="377"/>
      <c r="AB476" s="377"/>
      <c r="AC476" s="377"/>
      <c r="AD476" s="377"/>
      <c r="AE476" s="377"/>
      <c r="AF476" s="377"/>
      <c r="AG476" s="377"/>
    </row>
    <row r="477" ht="14.25" customHeight="1">
      <c r="A477" s="377"/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7"/>
      <c r="N477" s="377"/>
      <c r="O477" s="377"/>
      <c r="P477" s="377"/>
      <c r="Q477" s="377"/>
      <c r="R477" s="377"/>
      <c r="S477" s="377"/>
      <c r="T477" s="377"/>
      <c r="U477" s="377"/>
      <c r="V477" s="377"/>
      <c r="W477" s="377"/>
      <c r="X477" s="377"/>
      <c r="Y477" s="377"/>
      <c r="Z477" s="377"/>
      <c r="AA477" s="377"/>
      <c r="AB477" s="377"/>
      <c r="AC477" s="377"/>
      <c r="AD477" s="377"/>
      <c r="AE477" s="377"/>
      <c r="AF477" s="377"/>
      <c r="AG477" s="377"/>
    </row>
    <row r="478" ht="14.25" customHeight="1">
      <c r="A478" s="377"/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7"/>
      <c r="N478" s="377"/>
      <c r="O478" s="377"/>
      <c r="P478" s="377"/>
      <c r="Q478" s="377"/>
      <c r="R478" s="377"/>
      <c r="S478" s="377"/>
      <c r="T478" s="377"/>
      <c r="U478" s="377"/>
      <c r="V478" s="377"/>
      <c r="W478" s="377"/>
      <c r="X478" s="377"/>
      <c r="Y478" s="377"/>
      <c r="Z478" s="377"/>
      <c r="AA478" s="377"/>
      <c r="AB478" s="377"/>
      <c r="AC478" s="377"/>
      <c r="AD478" s="377"/>
      <c r="AE478" s="377"/>
      <c r="AF478" s="377"/>
      <c r="AG478" s="377"/>
    </row>
    <row r="479" ht="14.25" customHeight="1">
      <c r="A479" s="377"/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  <c r="Z479" s="377"/>
      <c r="AA479" s="377"/>
      <c r="AB479" s="377"/>
      <c r="AC479" s="377"/>
      <c r="AD479" s="377"/>
      <c r="AE479" s="377"/>
      <c r="AF479" s="377"/>
      <c r="AG479" s="377"/>
    </row>
    <row r="480" ht="14.25" customHeight="1">
      <c r="A480" s="377"/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7"/>
      <c r="N480" s="377"/>
      <c r="O480" s="377"/>
      <c r="P480" s="377"/>
      <c r="Q480" s="377"/>
      <c r="R480" s="377"/>
      <c r="S480" s="377"/>
      <c r="T480" s="377"/>
      <c r="U480" s="377"/>
      <c r="V480" s="377"/>
      <c r="W480" s="377"/>
      <c r="X480" s="377"/>
      <c r="Y480" s="377"/>
      <c r="Z480" s="377"/>
      <c r="AA480" s="377"/>
      <c r="AB480" s="377"/>
      <c r="AC480" s="377"/>
      <c r="AD480" s="377"/>
      <c r="AE480" s="377"/>
      <c r="AF480" s="377"/>
      <c r="AG480" s="377"/>
    </row>
    <row r="481" ht="14.25" customHeight="1">
      <c r="A481" s="377"/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7"/>
      <c r="N481" s="377"/>
      <c r="O481" s="377"/>
      <c r="P481" s="377"/>
      <c r="Q481" s="377"/>
      <c r="R481" s="377"/>
      <c r="S481" s="377"/>
      <c r="T481" s="377"/>
      <c r="U481" s="377"/>
      <c r="V481" s="377"/>
      <c r="W481" s="377"/>
      <c r="X481" s="377"/>
      <c r="Y481" s="377"/>
      <c r="Z481" s="377"/>
      <c r="AA481" s="377"/>
      <c r="AB481" s="377"/>
      <c r="AC481" s="377"/>
      <c r="AD481" s="377"/>
      <c r="AE481" s="377"/>
      <c r="AF481" s="377"/>
      <c r="AG481" s="377"/>
    </row>
    <row r="482" ht="14.25" customHeight="1">
      <c r="A482" s="377"/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7"/>
      <c r="N482" s="377"/>
      <c r="O482" s="377"/>
      <c r="P482" s="377"/>
      <c r="Q482" s="377"/>
      <c r="R482" s="377"/>
      <c r="S482" s="377"/>
      <c r="T482" s="377"/>
      <c r="U482" s="377"/>
      <c r="V482" s="377"/>
      <c r="W482" s="377"/>
      <c r="X482" s="377"/>
      <c r="Y482" s="377"/>
      <c r="Z482" s="377"/>
      <c r="AA482" s="377"/>
      <c r="AB482" s="377"/>
      <c r="AC482" s="377"/>
      <c r="AD482" s="377"/>
      <c r="AE482" s="377"/>
      <c r="AF482" s="377"/>
      <c r="AG482" s="377"/>
    </row>
    <row r="483" ht="14.25" customHeight="1">
      <c r="A483" s="377"/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7"/>
      <c r="N483" s="377"/>
      <c r="O483" s="377"/>
      <c r="P483" s="377"/>
      <c r="Q483" s="377"/>
      <c r="R483" s="377"/>
      <c r="S483" s="377"/>
      <c r="T483" s="377"/>
      <c r="U483" s="377"/>
      <c r="V483" s="377"/>
      <c r="W483" s="377"/>
      <c r="X483" s="377"/>
      <c r="Y483" s="377"/>
      <c r="Z483" s="377"/>
      <c r="AA483" s="377"/>
      <c r="AB483" s="377"/>
      <c r="AC483" s="377"/>
      <c r="AD483" s="377"/>
      <c r="AE483" s="377"/>
      <c r="AF483" s="377"/>
      <c r="AG483" s="377"/>
    </row>
    <row r="484" ht="14.25" customHeight="1">
      <c r="A484" s="377"/>
      <c r="B484" s="377"/>
      <c r="C484" s="377"/>
      <c r="D484" s="377"/>
      <c r="E484" s="377"/>
      <c r="F484" s="377"/>
      <c r="G484" s="377"/>
      <c r="H484" s="377"/>
      <c r="I484" s="377"/>
      <c r="J484" s="377"/>
      <c r="K484" s="377"/>
      <c r="L484" s="377"/>
      <c r="M484" s="377"/>
      <c r="N484" s="377"/>
      <c r="O484" s="377"/>
      <c r="P484" s="377"/>
      <c r="Q484" s="377"/>
      <c r="R484" s="377"/>
      <c r="S484" s="377"/>
      <c r="T484" s="377"/>
      <c r="U484" s="377"/>
      <c r="V484" s="377"/>
      <c r="W484" s="377"/>
      <c r="X484" s="377"/>
      <c r="Y484" s="377"/>
      <c r="Z484" s="377"/>
      <c r="AA484" s="377"/>
      <c r="AB484" s="377"/>
      <c r="AC484" s="377"/>
      <c r="AD484" s="377"/>
      <c r="AE484" s="377"/>
      <c r="AF484" s="377"/>
      <c r="AG484" s="377"/>
    </row>
    <row r="485" ht="14.25" customHeight="1">
      <c r="A485" s="377"/>
      <c r="B485" s="377"/>
      <c r="C485" s="377"/>
      <c r="D485" s="377"/>
      <c r="E485" s="377"/>
      <c r="F485" s="377"/>
      <c r="G485" s="377"/>
      <c r="H485" s="377"/>
      <c r="I485" s="377"/>
      <c r="J485" s="377"/>
      <c r="K485" s="377"/>
      <c r="L485" s="377"/>
      <c r="M485" s="377"/>
      <c r="N485" s="377"/>
      <c r="O485" s="377"/>
      <c r="P485" s="377"/>
      <c r="Q485" s="377"/>
      <c r="R485" s="377"/>
      <c r="S485" s="377"/>
      <c r="T485" s="377"/>
      <c r="U485" s="377"/>
      <c r="V485" s="377"/>
      <c r="W485" s="377"/>
      <c r="X485" s="377"/>
      <c r="Y485" s="377"/>
      <c r="Z485" s="377"/>
      <c r="AA485" s="377"/>
      <c r="AB485" s="377"/>
      <c r="AC485" s="377"/>
      <c r="AD485" s="377"/>
      <c r="AE485" s="377"/>
      <c r="AF485" s="377"/>
      <c r="AG485" s="377"/>
    </row>
    <row r="486" ht="14.25" customHeight="1">
      <c r="A486" s="377"/>
      <c r="B486" s="377"/>
      <c r="C486" s="377"/>
      <c r="D486" s="377"/>
      <c r="E486" s="377"/>
      <c r="F486" s="377"/>
      <c r="G486" s="377"/>
      <c r="H486" s="377"/>
      <c r="I486" s="377"/>
      <c r="J486" s="377"/>
      <c r="K486" s="377"/>
      <c r="L486" s="377"/>
      <c r="M486" s="377"/>
      <c r="N486" s="377"/>
      <c r="O486" s="377"/>
      <c r="P486" s="377"/>
      <c r="Q486" s="377"/>
      <c r="R486" s="377"/>
      <c r="S486" s="377"/>
      <c r="T486" s="377"/>
      <c r="U486" s="377"/>
      <c r="V486" s="377"/>
      <c r="W486" s="377"/>
      <c r="X486" s="377"/>
      <c r="Y486" s="377"/>
      <c r="Z486" s="377"/>
      <c r="AA486" s="377"/>
      <c r="AB486" s="377"/>
      <c r="AC486" s="377"/>
      <c r="AD486" s="377"/>
      <c r="AE486" s="377"/>
      <c r="AF486" s="377"/>
      <c r="AG486" s="377"/>
    </row>
    <row r="487" ht="14.25" customHeight="1">
      <c r="A487" s="377"/>
      <c r="B487" s="377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  <c r="P487" s="377"/>
      <c r="Q487" s="377"/>
      <c r="R487" s="377"/>
      <c r="S487" s="377"/>
      <c r="T487" s="377"/>
      <c r="U487" s="377"/>
      <c r="V487" s="377"/>
      <c r="W487" s="377"/>
      <c r="X487" s="377"/>
      <c r="Y487" s="377"/>
      <c r="Z487" s="377"/>
      <c r="AA487" s="377"/>
      <c r="AB487" s="377"/>
      <c r="AC487" s="377"/>
      <c r="AD487" s="377"/>
      <c r="AE487" s="377"/>
      <c r="AF487" s="377"/>
      <c r="AG487" s="377"/>
    </row>
    <row r="488" ht="14.25" customHeight="1">
      <c r="A488" s="377"/>
      <c r="B488" s="377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  <c r="Z488" s="377"/>
      <c r="AA488" s="377"/>
      <c r="AB488" s="377"/>
      <c r="AC488" s="377"/>
      <c r="AD488" s="377"/>
      <c r="AE488" s="377"/>
      <c r="AF488" s="377"/>
      <c r="AG488" s="377"/>
    </row>
    <row r="489" ht="14.25" customHeight="1">
      <c r="A489" s="377"/>
      <c r="B489" s="377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  <c r="Z489" s="377"/>
      <c r="AA489" s="377"/>
      <c r="AB489" s="377"/>
      <c r="AC489" s="377"/>
      <c r="AD489" s="377"/>
      <c r="AE489" s="377"/>
      <c r="AF489" s="377"/>
      <c r="AG489" s="377"/>
    </row>
    <row r="490" ht="14.25" customHeight="1">
      <c r="A490" s="377"/>
      <c r="B490" s="377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  <c r="Z490" s="377"/>
      <c r="AA490" s="377"/>
      <c r="AB490" s="377"/>
      <c r="AC490" s="377"/>
      <c r="AD490" s="377"/>
      <c r="AE490" s="377"/>
      <c r="AF490" s="377"/>
      <c r="AG490" s="377"/>
    </row>
    <row r="491" ht="14.25" customHeight="1">
      <c r="A491" s="377"/>
      <c r="B491" s="377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  <c r="Z491" s="377"/>
      <c r="AA491" s="377"/>
      <c r="AB491" s="377"/>
      <c r="AC491" s="377"/>
      <c r="AD491" s="377"/>
      <c r="AE491" s="377"/>
      <c r="AF491" s="377"/>
      <c r="AG491" s="377"/>
    </row>
    <row r="492" ht="14.25" customHeight="1">
      <c r="A492" s="377"/>
      <c r="B492" s="377"/>
      <c r="C492" s="377"/>
      <c r="D492" s="377"/>
      <c r="E492" s="377"/>
      <c r="F492" s="377"/>
      <c r="G492" s="377"/>
      <c r="H492" s="377"/>
      <c r="I492" s="377"/>
      <c r="J492" s="377"/>
      <c r="K492" s="377"/>
      <c r="L492" s="377"/>
      <c r="M492" s="377"/>
      <c r="N492" s="377"/>
      <c r="O492" s="377"/>
      <c r="P492" s="377"/>
      <c r="Q492" s="377"/>
      <c r="R492" s="377"/>
      <c r="S492" s="377"/>
      <c r="T492" s="377"/>
      <c r="U492" s="377"/>
      <c r="V492" s="377"/>
      <c r="W492" s="377"/>
      <c r="X492" s="377"/>
      <c r="Y492" s="377"/>
      <c r="Z492" s="377"/>
      <c r="AA492" s="377"/>
      <c r="AB492" s="377"/>
      <c r="AC492" s="377"/>
      <c r="AD492" s="377"/>
      <c r="AE492" s="377"/>
      <c r="AF492" s="377"/>
      <c r="AG492" s="377"/>
    </row>
    <row r="493" ht="14.25" customHeight="1">
      <c r="A493" s="377"/>
      <c r="B493" s="377"/>
      <c r="C493" s="377"/>
      <c r="D493" s="377"/>
      <c r="E493" s="377"/>
      <c r="F493" s="377"/>
      <c r="G493" s="377"/>
      <c r="H493" s="377"/>
      <c r="I493" s="377"/>
      <c r="J493" s="377"/>
      <c r="K493" s="377"/>
      <c r="L493" s="377"/>
      <c r="M493" s="377"/>
      <c r="N493" s="377"/>
      <c r="O493" s="377"/>
      <c r="P493" s="377"/>
      <c r="Q493" s="377"/>
      <c r="R493" s="377"/>
      <c r="S493" s="377"/>
      <c r="T493" s="377"/>
      <c r="U493" s="377"/>
      <c r="V493" s="377"/>
      <c r="W493" s="377"/>
      <c r="X493" s="377"/>
      <c r="Y493" s="377"/>
      <c r="Z493" s="377"/>
      <c r="AA493" s="377"/>
      <c r="AB493" s="377"/>
      <c r="AC493" s="377"/>
      <c r="AD493" s="377"/>
      <c r="AE493" s="377"/>
      <c r="AF493" s="377"/>
      <c r="AG493" s="377"/>
    </row>
    <row r="494" ht="14.25" customHeight="1">
      <c r="A494" s="377"/>
      <c r="B494" s="377"/>
      <c r="C494" s="377"/>
      <c r="D494" s="377"/>
      <c r="E494" s="377"/>
      <c r="F494" s="377"/>
      <c r="G494" s="377"/>
      <c r="H494" s="377"/>
      <c r="I494" s="377"/>
      <c r="J494" s="377"/>
      <c r="K494" s="377"/>
      <c r="L494" s="377"/>
      <c r="M494" s="377"/>
      <c r="N494" s="377"/>
      <c r="O494" s="377"/>
      <c r="P494" s="377"/>
      <c r="Q494" s="377"/>
      <c r="R494" s="377"/>
      <c r="S494" s="377"/>
      <c r="T494" s="377"/>
      <c r="U494" s="377"/>
      <c r="V494" s="377"/>
      <c r="W494" s="377"/>
      <c r="X494" s="377"/>
      <c r="Y494" s="377"/>
      <c r="Z494" s="377"/>
      <c r="AA494" s="377"/>
      <c r="AB494" s="377"/>
      <c r="AC494" s="377"/>
      <c r="AD494" s="377"/>
      <c r="AE494" s="377"/>
      <c r="AF494" s="377"/>
      <c r="AG494" s="377"/>
    </row>
    <row r="495" ht="14.25" customHeight="1">
      <c r="A495" s="377"/>
      <c r="B495" s="377"/>
      <c r="C495" s="377"/>
      <c r="D495" s="377"/>
      <c r="E495" s="377"/>
      <c r="F495" s="377"/>
      <c r="G495" s="377"/>
      <c r="H495" s="377"/>
      <c r="I495" s="377"/>
      <c r="J495" s="377"/>
      <c r="K495" s="377"/>
      <c r="L495" s="377"/>
      <c r="M495" s="377"/>
      <c r="N495" s="377"/>
      <c r="O495" s="377"/>
      <c r="P495" s="377"/>
      <c r="Q495" s="377"/>
      <c r="R495" s="377"/>
      <c r="S495" s="377"/>
      <c r="T495" s="377"/>
      <c r="U495" s="377"/>
      <c r="V495" s="377"/>
      <c r="W495" s="377"/>
      <c r="X495" s="377"/>
      <c r="Y495" s="377"/>
      <c r="Z495" s="377"/>
      <c r="AA495" s="377"/>
      <c r="AB495" s="377"/>
      <c r="AC495" s="377"/>
      <c r="AD495" s="377"/>
      <c r="AE495" s="377"/>
      <c r="AF495" s="377"/>
      <c r="AG495" s="377"/>
    </row>
    <row r="496" ht="14.25" customHeight="1">
      <c r="A496" s="377"/>
      <c r="B496" s="377"/>
      <c r="C496" s="377"/>
      <c r="D496" s="377"/>
      <c r="E496" s="377"/>
      <c r="F496" s="377"/>
      <c r="G496" s="377"/>
      <c r="H496" s="377"/>
      <c r="I496" s="377"/>
      <c r="J496" s="377"/>
      <c r="K496" s="377"/>
      <c r="L496" s="377"/>
      <c r="M496" s="377"/>
      <c r="N496" s="377"/>
      <c r="O496" s="377"/>
      <c r="P496" s="377"/>
      <c r="Q496" s="377"/>
      <c r="R496" s="377"/>
      <c r="S496" s="377"/>
      <c r="T496" s="377"/>
      <c r="U496" s="377"/>
      <c r="V496" s="377"/>
      <c r="W496" s="377"/>
      <c r="X496" s="377"/>
      <c r="Y496" s="377"/>
      <c r="Z496" s="377"/>
      <c r="AA496" s="377"/>
      <c r="AB496" s="377"/>
      <c r="AC496" s="377"/>
      <c r="AD496" s="377"/>
      <c r="AE496" s="377"/>
      <c r="AF496" s="377"/>
      <c r="AG496" s="377"/>
    </row>
    <row r="497" ht="14.25" customHeight="1">
      <c r="A497" s="377"/>
      <c r="B497" s="377"/>
      <c r="C497" s="377"/>
      <c r="D497" s="377"/>
      <c r="E497" s="377"/>
      <c r="F497" s="377"/>
      <c r="G497" s="377"/>
      <c r="H497" s="377"/>
      <c r="I497" s="377"/>
      <c r="J497" s="377"/>
      <c r="K497" s="377"/>
      <c r="L497" s="377"/>
      <c r="M497" s="377"/>
      <c r="N497" s="377"/>
      <c r="O497" s="377"/>
      <c r="P497" s="377"/>
      <c r="Q497" s="377"/>
      <c r="R497" s="377"/>
      <c r="S497" s="377"/>
      <c r="T497" s="377"/>
      <c r="U497" s="377"/>
      <c r="V497" s="377"/>
      <c r="W497" s="377"/>
      <c r="X497" s="377"/>
      <c r="Y497" s="377"/>
      <c r="Z497" s="377"/>
      <c r="AA497" s="377"/>
      <c r="AB497" s="377"/>
      <c r="AC497" s="377"/>
      <c r="AD497" s="377"/>
      <c r="AE497" s="377"/>
      <c r="AF497" s="377"/>
      <c r="AG497" s="377"/>
    </row>
    <row r="498" ht="14.25" customHeight="1">
      <c r="A498" s="377"/>
      <c r="B498" s="377"/>
      <c r="C498" s="377"/>
      <c r="D498" s="377"/>
      <c r="E498" s="377"/>
      <c r="F498" s="377"/>
      <c r="G498" s="377"/>
      <c r="H498" s="377"/>
      <c r="I498" s="377"/>
      <c r="J498" s="377"/>
      <c r="K498" s="377"/>
      <c r="L498" s="377"/>
      <c r="M498" s="377"/>
      <c r="N498" s="377"/>
      <c r="O498" s="377"/>
      <c r="P498" s="377"/>
      <c r="Q498" s="377"/>
      <c r="R498" s="377"/>
      <c r="S498" s="377"/>
      <c r="T498" s="377"/>
      <c r="U498" s="377"/>
      <c r="V498" s="377"/>
      <c r="W498" s="377"/>
      <c r="X498" s="377"/>
      <c r="Y498" s="377"/>
      <c r="Z498" s="377"/>
      <c r="AA498" s="377"/>
      <c r="AB498" s="377"/>
      <c r="AC498" s="377"/>
      <c r="AD498" s="377"/>
      <c r="AE498" s="377"/>
      <c r="AF498" s="377"/>
      <c r="AG498" s="377"/>
    </row>
    <row r="499" ht="14.25" customHeight="1">
      <c r="A499" s="377"/>
      <c r="B499" s="377"/>
      <c r="C499" s="377"/>
      <c r="D499" s="377"/>
      <c r="E499" s="377"/>
      <c r="F499" s="377"/>
      <c r="G499" s="377"/>
      <c r="H499" s="377"/>
      <c r="I499" s="377"/>
      <c r="J499" s="377"/>
      <c r="K499" s="377"/>
      <c r="L499" s="377"/>
      <c r="M499" s="377"/>
      <c r="N499" s="377"/>
      <c r="O499" s="377"/>
      <c r="P499" s="377"/>
      <c r="Q499" s="377"/>
      <c r="R499" s="377"/>
      <c r="S499" s="377"/>
      <c r="T499" s="377"/>
      <c r="U499" s="377"/>
      <c r="V499" s="377"/>
      <c r="W499" s="377"/>
      <c r="X499" s="377"/>
      <c r="Y499" s="377"/>
      <c r="Z499" s="377"/>
      <c r="AA499" s="377"/>
      <c r="AB499" s="377"/>
      <c r="AC499" s="377"/>
      <c r="AD499" s="377"/>
      <c r="AE499" s="377"/>
      <c r="AF499" s="377"/>
      <c r="AG499" s="377"/>
    </row>
    <row r="500" ht="14.25" customHeight="1">
      <c r="A500" s="377"/>
      <c r="B500" s="377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  <c r="Z500" s="377"/>
      <c r="AA500" s="377"/>
      <c r="AB500" s="377"/>
      <c r="AC500" s="377"/>
      <c r="AD500" s="377"/>
      <c r="AE500" s="377"/>
      <c r="AF500" s="377"/>
      <c r="AG500" s="377"/>
    </row>
    <row r="501" ht="14.25" customHeight="1">
      <c r="A501" s="377"/>
      <c r="B501" s="377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  <c r="Z501" s="377"/>
      <c r="AA501" s="377"/>
      <c r="AB501" s="377"/>
      <c r="AC501" s="377"/>
      <c r="AD501" s="377"/>
      <c r="AE501" s="377"/>
      <c r="AF501" s="377"/>
      <c r="AG501" s="377"/>
    </row>
    <row r="502" ht="14.25" customHeight="1">
      <c r="A502" s="377"/>
      <c r="B502" s="377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  <c r="Z502" s="377"/>
      <c r="AA502" s="377"/>
      <c r="AB502" s="377"/>
      <c r="AC502" s="377"/>
      <c r="AD502" s="377"/>
      <c r="AE502" s="377"/>
      <c r="AF502" s="377"/>
      <c r="AG502" s="377"/>
    </row>
    <row r="503" ht="14.25" customHeight="1">
      <c r="A503" s="377"/>
      <c r="B503" s="377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  <c r="Z503" s="377"/>
      <c r="AA503" s="377"/>
      <c r="AB503" s="377"/>
      <c r="AC503" s="377"/>
      <c r="AD503" s="377"/>
      <c r="AE503" s="377"/>
      <c r="AF503" s="377"/>
      <c r="AG503" s="377"/>
    </row>
    <row r="504" ht="14.25" customHeight="1">
      <c r="A504" s="377"/>
      <c r="B504" s="377"/>
      <c r="C504" s="377"/>
      <c r="D504" s="377"/>
      <c r="E504" s="377"/>
      <c r="F504" s="377"/>
      <c r="G504" s="377"/>
      <c r="H504" s="377"/>
      <c r="I504" s="377"/>
      <c r="J504" s="377"/>
      <c r="K504" s="377"/>
      <c r="L504" s="377"/>
      <c r="M504" s="377"/>
      <c r="N504" s="377"/>
      <c r="O504" s="377"/>
      <c r="P504" s="377"/>
      <c r="Q504" s="377"/>
      <c r="R504" s="377"/>
      <c r="S504" s="377"/>
      <c r="T504" s="377"/>
      <c r="U504" s="377"/>
      <c r="V504" s="377"/>
      <c r="W504" s="377"/>
      <c r="X504" s="377"/>
      <c r="Y504" s="377"/>
      <c r="Z504" s="377"/>
      <c r="AA504" s="377"/>
      <c r="AB504" s="377"/>
      <c r="AC504" s="377"/>
      <c r="AD504" s="377"/>
      <c r="AE504" s="377"/>
      <c r="AF504" s="377"/>
      <c r="AG504" s="377"/>
    </row>
    <row r="505" ht="14.25" customHeight="1">
      <c r="A505" s="377"/>
      <c r="B505" s="377"/>
      <c r="C505" s="377"/>
      <c r="D505" s="377"/>
      <c r="E505" s="377"/>
      <c r="F505" s="377"/>
      <c r="G505" s="377"/>
      <c r="H505" s="377"/>
      <c r="I505" s="377"/>
      <c r="J505" s="377"/>
      <c r="K505" s="377"/>
      <c r="L505" s="377"/>
      <c r="M505" s="377"/>
      <c r="N505" s="377"/>
      <c r="O505" s="377"/>
      <c r="P505" s="377"/>
      <c r="Q505" s="377"/>
      <c r="R505" s="377"/>
      <c r="S505" s="377"/>
      <c r="T505" s="377"/>
      <c r="U505" s="377"/>
      <c r="V505" s="377"/>
      <c r="W505" s="377"/>
      <c r="X505" s="377"/>
      <c r="Y505" s="377"/>
      <c r="Z505" s="377"/>
      <c r="AA505" s="377"/>
      <c r="AB505" s="377"/>
      <c r="AC505" s="377"/>
      <c r="AD505" s="377"/>
      <c r="AE505" s="377"/>
      <c r="AF505" s="377"/>
      <c r="AG505" s="377"/>
    </row>
    <row r="506" ht="14.25" customHeight="1">
      <c r="A506" s="377"/>
      <c r="B506" s="377"/>
      <c r="C506" s="377"/>
      <c r="D506" s="377"/>
      <c r="E506" s="377"/>
      <c r="F506" s="377"/>
      <c r="G506" s="377"/>
      <c r="H506" s="377"/>
      <c r="I506" s="377"/>
      <c r="J506" s="377"/>
      <c r="K506" s="377"/>
      <c r="L506" s="377"/>
      <c r="M506" s="377"/>
      <c r="N506" s="377"/>
      <c r="O506" s="377"/>
      <c r="P506" s="377"/>
      <c r="Q506" s="377"/>
      <c r="R506" s="377"/>
      <c r="S506" s="377"/>
      <c r="T506" s="377"/>
      <c r="U506" s="377"/>
      <c r="V506" s="377"/>
      <c r="W506" s="377"/>
      <c r="X506" s="377"/>
      <c r="Y506" s="377"/>
      <c r="Z506" s="377"/>
      <c r="AA506" s="377"/>
      <c r="AB506" s="377"/>
      <c r="AC506" s="377"/>
      <c r="AD506" s="377"/>
      <c r="AE506" s="377"/>
      <c r="AF506" s="377"/>
      <c r="AG506" s="377"/>
    </row>
    <row r="507" ht="14.25" customHeight="1">
      <c r="A507" s="377"/>
      <c r="B507" s="377"/>
      <c r="C507" s="377"/>
      <c r="D507" s="377"/>
      <c r="E507" s="377"/>
      <c r="F507" s="377"/>
      <c r="G507" s="377"/>
      <c r="H507" s="377"/>
      <c r="I507" s="377"/>
      <c r="J507" s="377"/>
      <c r="K507" s="377"/>
      <c r="L507" s="377"/>
      <c r="M507" s="377"/>
      <c r="N507" s="377"/>
      <c r="O507" s="377"/>
      <c r="P507" s="377"/>
      <c r="Q507" s="377"/>
      <c r="R507" s="377"/>
      <c r="S507" s="377"/>
      <c r="T507" s="377"/>
      <c r="U507" s="377"/>
      <c r="V507" s="377"/>
      <c r="W507" s="377"/>
      <c r="X507" s="377"/>
      <c r="Y507" s="377"/>
      <c r="Z507" s="377"/>
      <c r="AA507" s="377"/>
      <c r="AB507" s="377"/>
      <c r="AC507" s="377"/>
      <c r="AD507" s="377"/>
      <c r="AE507" s="377"/>
      <c r="AF507" s="377"/>
      <c r="AG507" s="377"/>
    </row>
    <row r="508" ht="14.25" customHeight="1">
      <c r="A508" s="377"/>
      <c r="B508" s="377"/>
      <c r="C508" s="377"/>
      <c r="D508" s="377"/>
      <c r="E508" s="377"/>
      <c r="F508" s="377"/>
      <c r="G508" s="377"/>
      <c r="H508" s="377"/>
      <c r="I508" s="377"/>
      <c r="J508" s="377"/>
      <c r="K508" s="377"/>
      <c r="L508" s="377"/>
      <c r="M508" s="377"/>
      <c r="N508" s="377"/>
      <c r="O508" s="377"/>
      <c r="P508" s="377"/>
      <c r="Q508" s="377"/>
      <c r="R508" s="377"/>
      <c r="S508" s="377"/>
      <c r="T508" s="377"/>
      <c r="U508" s="377"/>
      <c r="V508" s="377"/>
      <c r="W508" s="377"/>
      <c r="X508" s="377"/>
      <c r="Y508" s="377"/>
      <c r="Z508" s="377"/>
      <c r="AA508" s="377"/>
      <c r="AB508" s="377"/>
      <c r="AC508" s="377"/>
      <c r="AD508" s="377"/>
      <c r="AE508" s="377"/>
      <c r="AF508" s="377"/>
      <c r="AG508" s="377"/>
    </row>
    <row r="509" ht="14.25" customHeight="1">
      <c r="A509" s="377"/>
      <c r="B509" s="377"/>
      <c r="C509" s="377"/>
      <c r="D509" s="377"/>
      <c r="E509" s="377"/>
      <c r="F509" s="377"/>
      <c r="G509" s="377"/>
      <c r="H509" s="377"/>
      <c r="I509" s="377"/>
      <c r="J509" s="377"/>
      <c r="K509" s="377"/>
      <c r="L509" s="377"/>
      <c r="M509" s="377"/>
      <c r="N509" s="377"/>
      <c r="O509" s="377"/>
      <c r="P509" s="377"/>
      <c r="Q509" s="377"/>
      <c r="R509" s="377"/>
      <c r="S509" s="377"/>
      <c r="T509" s="377"/>
      <c r="U509" s="377"/>
      <c r="V509" s="377"/>
      <c r="W509" s="377"/>
      <c r="X509" s="377"/>
      <c r="Y509" s="377"/>
      <c r="Z509" s="377"/>
      <c r="AA509" s="377"/>
      <c r="AB509" s="377"/>
      <c r="AC509" s="377"/>
      <c r="AD509" s="377"/>
      <c r="AE509" s="377"/>
      <c r="AF509" s="377"/>
      <c r="AG509" s="377"/>
    </row>
    <row r="510" ht="14.25" customHeight="1">
      <c r="A510" s="377"/>
      <c r="B510" s="377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  <c r="P510" s="377"/>
      <c r="Q510" s="377"/>
      <c r="R510" s="377"/>
      <c r="S510" s="377"/>
      <c r="T510" s="377"/>
      <c r="U510" s="377"/>
      <c r="V510" s="377"/>
      <c r="W510" s="377"/>
      <c r="X510" s="377"/>
      <c r="Y510" s="377"/>
      <c r="Z510" s="377"/>
      <c r="AA510" s="377"/>
      <c r="AB510" s="377"/>
      <c r="AC510" s="377"/>
      <c r="AD510" s="377"/>
      <c r="AE510" s="377"/>
      <c r="AF510" s="377"/>
      <c r="AG510" s="377"/>
    </row>
    <row r="511" ht="14.25" customHeight="1">
      <c r="A511" s="377"/>
      <c r="B511" s="377"/>
      <c r="C511" s="377"/>
      <c r="D511" s="377"/>
      <c r="E511" s="377"/>
      <c r="F511" s="377"/>
      <c r="G511" s="377"/>
      <c r="H511" s="377"/>
      <c r="I511" s="377"/>
      <c r="J511" s="377"/>
      <c r="K511" s="377"/>
      <c r="L511" s="377"/>
      <c r="M511" s="377"/>
      <c r="N511" s="377"/>
      <c r="O511" s="377"/>
      <c r="P511" s="377"/>
      <c r="Q511" s="377"/>
      <c r="R511" s="377"/>
      <c r="S511" s="377"/>
      <c r="T511" s="377"/>
      <c r="U511" s="377"/>
      <c r="V511" s="377"/>
      <c r="W511" s="377"/>
      <c r="X511" s="377"/>
      <c r="Y511" s="377"/>
      <c r="Z511" s="377"/>
      <c r="AA511" s="377"/>
      <c r="AB511" s="377"/>
      <c r="AC511" s="377"/>
      <c r="AD511" s="377"/>
      <c r="AE511" s="377"/>
      <c r="AF511" s="377"/>
      <c r="AG511" s="377"/>
    </row>
    <row r="512" ht="14.25" customHeight="1">
      <c r="A512" s="377"/>
      <c r="B512" s="377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  <c r="Z512" s="377"/>
      <c r="AA512" s="377"/>
      <c r="AB512" s="377"/>
      <c r="AC512" s="377"/>
      <c r="AD512" s="377"/>
      <c r="AE512" s="377"/>
      <c r="AF512" s="377"/>
      <c r="AG512" s="377"/>
    </row>
    <row r="513" ht="14.25" customHeight="1">
      <c r="A513" s="377"/>
      <c r="B513" s="377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  <c r="Z513" s="377"/>
      <c r="AA513" s="377"/>
      <c r="AB513" s="377"/>
      <c r="AC513" s="377"/>
      <c r="AD513" s="377"/>
      <c r="AE513" s="377"/>
      <c r="AF513" s="377"/>
      <c r="AG513" s="377"/>
    </row>
    <row r="514" ht="14.25" customHeight="1">
      <c r="A514" s="377"/>
      <c r="B514" s="377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  <c r="Z514" s="377"/>
      <c r="AA514" s="377"/>
      <c r="AB514" s="377"/>
      <c r="AC514" s="377"/>
      <c r="AD514" s="377"/>
      <c r="AE514" s="377"/>
      <c r="AF514" s="377"/>
      <c r="AG514" s="377"/>
    </row>
    <row r="515" ht="14.25" customHeight="1">
      <c r="A515" s="377"/>
      <c r="B515" s="377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  <c r="Z515" s="377"/>
      <c r="AA515" s="377"/>
      <c r="AB515" s="377"/>
      <c r="AC515" s="377"/>
      <c r="AD515" s="377"/>
      <c r="AE515" s="377"/>
      <c r="AF515" s="377"/>
      <c r="AG515" s="377"/>
    </row>
    <row r="516" ht="14.25" customHeight="1">
      <c r="A516" s="377"/>
      <c r="B516" s="377"/>
      <c r="C516" s="377"/>
      <c r="D516" s="377"/>
      <c r="E516" s="377"/>
      <c r="F516" s="377"/>
      <c r="G516" s="377"/>
      <c r="H516" s="377"/>
      <c r="I516" s="377"/>
      <c r="J516" s="377"/>
      <c r="K516" s="377"/>
      <c r="L516" s="377"/>
      <c r="M516" s="377"/>
      <c r="N516" s="377"/>
      <c r="O516" s="377"/>
      <c r="P516" s="377"/>
      <c r="Q516" s="377"/>
      <c r="R516" s="377"/>
      <c r="S516" s="377"/>
      <c r="T516" s="377"/>
      <c r="U516" s="377"/>
      <c r="V516" s="377"/>
      <c r="W516" s="377"/>
      <c r="X516" s="377"/>
      <c r="Y516" s="377"/>
      <c r="Z516" s="377"/>
      <c r="AA516" s="377"/>
      <c r="AB516" s="377"/>
      <c r="AC516" s="377"/>
      <c r="AD516" s="377"/>
      <c r="AE516" s="377"/>
      <c r="AF516" s="377"/>
      <c r="AG516" s="377"/>
    </row>
    <row r="517" ht="14.25" customHeight="1">
      <c r="A517" s="377"/>
      <c r="B517" s="377"/>
      <c r="C517" s="377"/>
      <c r="D517" s="377"/>
      <c r="E517" s="377"/>
      <c r="F517" s="377"/>
      <c r="G517" s="377"/>
      <c r="H517" s="377"/>
      <c r="I517" s="377"/>
      <c r="J517" s="377"/>
      <c r="K517" s="377"/>
      <c r="L517" s="377"/>
      <c r="M517" s="377"/>
      <c r="N517" s="377"/>
      <c r="O517" s="377"/>
      <c r="P517" s="377"/>
      <c r="Q517" s="377"/>
      <c r="R517" s="377"/>
      <c r="S517" s="377"/>
      <c r="T517" s="377"/>
      <c r="U517" s="377"/>
      <c r="V517" s="377"/>
      <c r="W517" s="377"/>
      <c r="X517" s="377"/>
      <c r="Y517" s="377"/>
      <c r="Z517" s="377"/>
      <c r="AA517" s="377"/>
      <c r="AB517" s="377"/>
      <c r="AC517" s="377"/>
      <c r="AD517" s="377"/>
      <c r="AE517" s="377"/>
      <c r="AF517" s="377"/>
      <c r="AG517" s="377"/>
    </row>
    <row r="518" ht="14.25" customHeight="1">
      <c r="A518" s="377"/>
      <c r="B518" s="377"/>
      <c r="C518" s="377"/>
      <c r="D518" s="377"/>
      <c r="E518" s="377"/>
      <c r="F518" s="377"/>
      <c r="G518" s="377"/>
      <c r="H518" s="377"/>
      <c r="I518" s="377"/>
      <c r="J518" s="377"/>
      <c r="K518" s="377"/>
      <c r="L518" s="377"/>
      <c r="M518" s="377"/>
      <c r="N518" s="377"/>
      <c r="O518" s="377"/>
      <c r="P518" s="377"/>
      <c r="Q518" s="377"/>
      <c r="R518" s="377"/>
      <c r="S518" s="377"/>
      <c r="T518" s="377"/>
      <c r="U518" s="377"/>
      <c r="V518" s="377"/>
      <c r="W518" s="377"/>
      <c r="X518" s="377"/>
      <c r="Y518" s="377"/>
      <c r="Z518" s="377"/>
      <c r="AA518" s="377"/>
      <c r="AB518" s="377"/>
      <c r="AC518" s="377"/>
      <c r="AD518" s="377"/>
      <c r="AE518" s="377"/>
      <c r="AF518" s="377"/>
      <c r="AG518" s="377"/>
    </row>
    <row r="519" ht="14.25" customHeight="1">
      <c r="A519" s="377"/>
      <c r="B519" s="377"/>
      <c r="C519" s="377"/>
      <c r="D519" s="377"/>
      <c r="E519" s="377"/>
      <c r="F519" s="377"/>
      <c r="G519" s="377"/>
      <c r="H519" s="377"/>
      <c r="I519" s="377"/>
      <c r="J519" s="377"/>
      <c r="K519" s="377"/>
      <c r="L519" s="377"/>
      <c r="M519" s="377"/>
      <c r="N519" s="377"/>
      <c r="O519" s="377"/>
      <c r="P519" s="377"/>
      <c r="Q519" s="377"/>
      <c r="R519" s="377"/>
      <c r="S519" s="377"/>
      <c r="T519" s="377"/>
      <c r="U519" s="377"/>
      <c r="V519" s="377"/>
      <c r="W519" s="377"/>
      <c r="X519" s="377"/>
      <c r="Y519" s="377"/>
      <c r="Z519" s="377"/>
      <c r="AA519" s="377"/>
      <c r="AB519" s="377"/>
      <c r="AC519" s="377"/>
      <c r="AD519" s="377"/>
      <c r="AE519" s="377"/>
      <c r="AF519" s="377"/>
      <c r="AG519" s="377"/>
    </row>
    <row r="520" ht="14.25" customHeight="1">
      <c r="A520" s="377"/>
      <c r="B520" s="377"/>
      <c r="C520" s="377"/>
      <c r="D520" s="377"/>
      <c r="E520" s="377"/>
      <c r="F520" s="377"/>
      <c r="G520" s="377"/>
      <c r="H520" s="377"/>
      <c r="I520" s="377"/>
      <c r="J520" s="377"/>
      <c r="K520" s="377"/>
      <c r="L520" s="377"/>
      <c r="M520" s="377"/>
      <c r="N520" s="377"/>
      <c r="O520" s="377"/>
      <c r="P520" s="377"/>
      <c r="Q520" s="377"/>
      <c r="R520" s="377"/>
      <c r="S520" s="377"/>
      <c r="T520" s="377"/>
      <c r="U520" s="377"/>
      <c r="V520" s="377"/>
      <c r="W520" s="377"/>
      <c r="X520" s="377"/>
      <c r="Y520" s="377"/>
      <c r="Z520" s="377"/>
      <c r="AA520" s="377"/>
      <c r="AB520" s="377"/>
      <c r="AC520" s="377"/>
      <c r="AD520" s="377"/>
      <c r="AE520" s="377"/>
      <c r="AF520" s="377"/>
      <c r="AG520" s="377"/>
    </row>
    <row r="521" ht="14.25" customHeight="1">
      <c r="A521" s="377"/>
      <c r="B521" s="377"/>
      <c r="C521" s="377"/>
      <c r="D521" s="377"/>
      <c r="E521" s="377"/>
      <c r="F521" s="377"/>
      <c r="G521" s="377"/>
      <c r="H521" s="377"/>
      <c r="I521" s="377"/>
      <c r="J521" s="377"/>
      <c r="K521" s="377"/>
      <c r="L521" s="377"/>
      <c r="M521" s="377"/>
      <c r="N521" s="377"/>
      <c r="O521" s="377"/>
      <c r="P521" s="377"/>
      <c r="Q521" s="377"/>
      <c r="R521" s="377"/>
      <c r="S521" s="377"/>
      <c r="T521" s="377"/>
      <c r="U521" s="377"/>
      <c r="V521" s="377"/>
      <c r="W521" s="377"/>
      <c r="X521" s="377"/>
      <c r="Y521" s="377"/>
      <c r="Z521" s="377"/>
      <c r="AA521" s="377"/>
      <c r="AB521" s="377"/>
      <c r="AC521" s="377"/>
      <c r="AD521" s="377"/>
      <c r="AE521" s="377"/>
      <c r="AF521" s="377"/>
      <c r="AG521" s="377"/>
    </row>
    <row r="522" ht="14.25" customHeight="1">
      <c r="A522" s="377"/>
      <c r="B522" s="377"/>
      <c r="C522" s="377"/>
      <c r="D522" s="377"/>
      <c r="E522" s="377"/>
      <c r="F522" s="377"/>
      <c r="G522" s="377"/>
      <c r="H522" s="377"/>
      <c r="I522" s="377"/>
      <c r="J522" s="377"/>
      <c r="K522" s="377"/>
      <c r="L522" s="377"/>
      <c r="M522" s="377"/>
      <c r="N522" s="377"/>
      <c r="O522" s="377"/>
      <c r="P522" s="377"/>
      <c r="Q522" s="377"/>
      <c r="R522" s="377"/>
      <c r="S522" s="377"/>
      <c r="T522" s="377"/>
      <c r="U522" s="377"/>
      <c r="V522" s="377"/>
      <c r="W522" s="377"/>
      <c r="X522" s="377"/>
      <c r="Y522" s="377"/>
      <c r="Z522" s="377"/>
      <c r="AA522" s="377"/>
      <c r="AB522" s="377"/>
      <c r="AC522" s="377"/>
      <c r="AD522" s="377"/>
      <c r="AE522" s="377"/>
      <c r="AF522" s="377"/>
      <c r="AG522" s="377"/>
    </row>
    <row r="523" ht="14.25" customHeight="1">
      <c r="A523" s="377"/>
      <c r="B523" s="377"/>
      <c r="C523" s="377"/>
      <c r="D523" s="377"/>
      <c r="E523" s="377"/>
      <c r="F523" s="377"/>
      <c r="G523" s="377"/>
      <c r="H523" s="377"/>
      <c r="I523" s="377"/>
      <c r="J523" s="377"/>
      <c r="K523" s="377"/>
      <c r="L523" s="377"/>
      <c r="M523" s="377"/>
      <c r="N523" s="377"/>
      <c r="O523" s="377"/>
      <c r="P523" s="377"/>
      <c r="Q523" s="377"/>
      <c r="R523" s="377"/>
      <c r="S523" s="377"/>
      <c r="T523" s="377"/>
      <c r="U523" s="377"/>
      <c r="V523" s="377"/>
      <c r="W523" s="377"/>
      <c r="X523" s="377"/>
      <c r="Y523" s="377"/>
      <c r="Z523" s="377"/>
      <c r="AA523" s="377"/>
      <c r="AB523" s="377"/>
      <c r="AC523" s="377"/>
      <c r="AD523" s="377"/>
      <c r="AE523" s="377"/>
      <c r="AF523" s="377"/>
      <c r="AG523" s="377"/>
    </row>
    <row r="524" ht="14.25" customHeight="1">
      <c r="A524" s="377"/>
      <c r="B524" s="377"/>
      <c r="C524" s="377"/>
      <c r="D524" s="377"/>
      <c r="E524" s="377"/>
      <c r="F524" s="377"/>
      <c r="G524" s="377"/>
      <c r="H524" s="377"/>
      <c r="I524" s="377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  <c r="T524" s="377"/>
      <c r="U524" s="377"/>
      <c r="V524" s="377"/>
      <c r="W524" s="377"/>
      <c r="X524" s="377"/>
      <c r="Y524" s="377"/>
      <c r="Z524" s="377"/>
      <c r="AA524" s="377"/>
      <c r="AB524" s="377"/>
      <c r="AC524" s="377"/>
      <c r="AD524" s="377"/>
      <c r="AE524" s="377"/>
      <c r="AF524" s="377"/>
      <c r="AG524" s="377"/>
    </row>
    <row r="525" ht="14.25" customHeight="1">
      <c r="A525" s="377"/>
      <c r="B525" s="377"/>
      <c r="C525" s="377"/>
      <c r="D525" s="377"/>
      <c r="E525" s="377"/>
      <c r="F525" s="377"/>
      <c r="G525" s="377"/>
      <c r="H525" s="377"/>
      <c r="I525" s="377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  <c r="T525" s="377"/>
      <c r="U525" s="377"/>
      <c r="V525" s="377"/>
      <c r="W525" s="377"/>
      <c r="X525" s="377"/>
      <c r="Y525" s="377"/>
      <c r="Z525" s="377"/>
      <c r="AA525" s="377"/>
      <c r="AB525" s="377"/>
      <c r="AC525" s="377"/>
      <c r="AD525" s="377"/>
      <c r="AE525" s="377"/>
      <c r="AF525" s="377"/>
      <c r="AG525" s="377"/>
    </row>
    <row r="526" ht="14.25" customHeight="1">
      <c r="A526" s="377"/>
      <c r="B526" s="377"/>
      <c r="C526" s="377"/>
      <c r="D526" s="377"/>
      <c r="E526" s="377"/>
      <c r="F526" s="377"/>
      <c r="G526" s="377"/>
      <c r="H526" s="377"/>
      <c r="I526" s="377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  <c r="T526" s="377"/>
      <c r="U526" s="377"/>
      <c r="V526" s="377"/>
      <c r="W526" s="377"/>
      <c r="X526" s="377"/>
      <c r="Y526" s="377"/>
      <c r="Z526" s="377"/>
      <c r="AA526" s="377"/>
      <c r="AB526" s="377"/>
      <c r="AC526" s="377"/>
      <c r="AD526" s="377"/>
      <c r="AE526" s="377"/>
      <c r="AF526" s="377"/>
      <c r="AG526" s="377"/>
    </row>
    <row r="527" ht="14.25" customHeight="1">
      <c r="A527" s="377"/>
      <c r="B527" s="377"/>
      <c r="C527" s="377"/>
      <c r="D527" s="377"/>
      <c r="E527" s="377"/>
      <c r="F527" s="377"/>
      <c r="G527" s="377"/>
      <c r="H527" s="377"/>
      <c r="I527" s="377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  <c r="T527" s="377"/>
      <c r="U527" s="377"/>
      <c r="V527" s="377"/>
      <c r="W527" s="377"/>
      <c r="X527" s="377"/>
      <c r="Y527" s="377"/>
      <c r="Z527" s="377"/>
      <c r="AA527" s="377"/>
      <c r="AB527" s="377"/>
      <c r="AC527" s="377"/>
      <c r="AD527" s="377"/>
      <c r="AE527" s="377"/>
      <c r="AF527" s="377"/>
      <c r="AG527" s="377"/>
    </row>
    <row r="528" ht="14.25" customHeight="1">
      <c r="A528" s="377"/>
      <c r="B528" s="377"/>
      <c r="C528" s="377"/>
      <c r="D528" s="377"/>
      <c r="E528" s="377"/>
      <c r="F528" s="377"/>
      <c r="G528" s="377"/>
      <c r="H528" s="377"/>
      <c r="I528" s="377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  <c r="T528" s="377"/>
      <c r="U528" s="377"/>
      <c r="V528" s="377"/>
      <c r="W528" s="377"/>
      <c r="X528" s="377"/>
      <c r="Y528" s="377"/>
      <c r="Z528" s="377"/>
      <c r="AA528" s="377"/>
      <c r="AB528" s="377"/>
      <c r="AC528" s="377"/>
      <c r="AD528" s="377"/>
      <c r="AE528" s="377"/>
      <c r="AF528" s="377"/>
      <c r="AG528" s="377"/>
    </row>
    <row r="529" ht="14.25" customHeight="1">
      <c r="A529" s="377"/>
      <c r="B529" s="377"/>
      <c r="C529" s="377"/>
      <c r="D529" s="377"/>
      <c r="E529" s="377"/>
      <c r="F529" s="377"/>
      <c r="G529" s="377"/>
      <c r="H529" s="377"/>
      <c r="I529" s="377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  <c r="T529" s="377"/>
      <c r="U529" s="377"/>
      <c r="V529" s="377"/>
      <c r="W529" s="377"/>
      <c r="X529" s="377"/>
      <c r="Y529" s="377"/>
      <c r="Z529" s="377"/>
      <c r="AA529" s="377"/>
      <c r="AB529" s="377"/>
      <c r="AC529" s="377"/>
      <c r="AD529" s="377"/>
      <c r="AE529" s="377"/>
      <c r="AF529" s="377"/>
      <c r="AG529" s="377"/>
    </row>
    <row r="530" ht="14.25" customHeight="1">
      <c r="A530" s="377"/>
      <c r="B530" s="377"/>
      <c r="C530" s="377"/>
      <c r="D530" s="377"/>
      <c r="E530" s="377"/>
      <c r="F530" s="377"/>
      <c r="G530" s="377"/>
      <c r="H530" s="377"/>
      <c r="I530" s="377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  <c r="T530" s="377"/>
      <c r="U530" s="377"/>
      <c r="V530" s="377"/>
      <c r="W530" s="377"/>
      <c r="X530" s="377"/>
      <c r="Y530" s="377"/>
      <c r="Z530" s="377"/>
      <c r="AA530" s="377"/>
      <c r="AB530" s="377"/>
      <c r="AC530" s="377"/>
      <c r="AD530" s="377"/>
      <c r="AE530" s="377"/>
      <c r="AF530" s="377"/>
      <c r="AG530" s="377"/>
    </row>
    <row r="531" ht="14.25" customHeight="1">
      <c r="A531" s="377"/>
      <c r="B531" s="377"/>
      <c r="C531" s="377"/>
      <c r="D531" s="377"/>
      <c r="E531" s="377"/>
      <c r="F531" s="377"/>
      <c r="G531" s="377"/>
      <c r="H531" s="377"/>
      <c r="I531" s="377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  <c r="T531" s="377"/>
      <c r="U531" s="377"/>
      <c r="V531" s="377"/>
      <c r="W531" s="377"/>
      <c r="X531" s="377"/>
      <c r="Y531" s="377"/>
      <c r="Z531" s="377"/>
      <c r="AA531" s="377"/>
      <c r="AB531" s="377"/>
      <c r="AC531" s="377"/>
      <c r="AD531" s="377"/>
      <c r="AE531" s="377"/>
      <c r="AF531" s="377"/>
      <c r="AG531" s="377"/>
    </row>
    <row r="532" ht="14.25" customHeight="1">
      <c r="A532" s="377"/>
      <c r="B532" s="377"/>
      <c r="C532" s="377"/>
      <c r="D532" s="377"/>
      <c r="E532" s="377"/>
      <c r="F532" s="377"/>
      <c r="G532" s="377"/>
      <c r="H532" s="377"/>
      <c r="I532" s="377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  <c r="T532" s="377"/>
      <c r="U532" s="377"/>
      <c r="V532" s="377"/>
      <c r="W532" s="377"/>
      <c r="X532" s="377"/>
      <c r="Y532" s="377"/>
      <c r="Z532" s="377"/>
      <c r="AA532" s="377"/>
      <c r="AB532" s="377"/>
      <c r="AC532" s="377"/>
      <c r="AD532" s="377"/>
      <c r="AE532" s="377"/>
      <c r="AF532" s="377"/>
      <c r="AG532" s="377"/>
    </row>
    <row r="533" ht="14.25" customHeight="1">
      <c r="A533" s="377"/>
      <c r="B533" s="377"/>
      <c r="C533" s="377"/>
      <c r="D533" s="377"/>
      <c r="E533" s="377"/>
      <c r="F533" s="377"/>
      <c r="G533" s="377"/>
      <c r="H533" s="377"/>
      <c r="I533" s="377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  <c r="T533" s="377"/>
      <c r="U533" s="377"/>
      <c r="V533" s="377"/>
      <c r="W533" s="377"/>
      <c r="X533" s="377"/>
      <c r="Y533" s="377"/>
      <c r="Z533" s="377"/>
      <c r="AA533" s="377"/>
      <c r="AB533" s="377"/>
      <c r="AC533" s="377"/>
      <c r="AD533" s="377"/>
      <c r="AE533" s="377"/>
      <c r="AF533" s="377"/>
      <c r="AG533" s="377"/>
    </row>
    <row r="534" ht="14.25" customHeight="1">
      <c r="A534" s="377"/>
      <c r="B534" s="377"/>
      <c r="C534" s="377"/>
      <c r="D534" s="377"/>
      <c r="E534" s="377"/>
      <c r="F534" s="377"/>
      <c r="G534" s="377"/>
      <c r="H534" s="377"/>
      <c r="I534" s="377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  <c r="T534" s="377"/>
      <c r="U534" s="377"/>
      <c r="V534" s="377"/>
      <c r="W534" s="377"/>
      <c r="X534" s="377"/>
      <c r="Y534" s="377"/>
      <c r="Z534" s="377"/>
      <c r="AA534" s="377"/>
      <c r="AB534" s="377"/>
      <c r="AC534" s="377"/>
      <c r="AD534" s="377"/>
      <c r="AE534" s="377"/>
      <c r="AF534" s="377"/>
      <c r="AG534" s="377"/>
    </row>
    <row r="535" ht="14.25" customHeight="1">
      <c r="A535" s="377"/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  <c r="T535" s="377"/>
      <c r="U535" s="377"/>
      <c r="V535" s="377"/>
      <c r="W535" s="377"/>
      <c r="X535" s="377"/>
      <c r="Y535" s="377"/>
      <c r="Z535" s="377"/>
      <c r="AA535" s="377"/>
      <c r="AB535" s="377"/>
      <c r="AC535" s="377"/>
      <c r="AD535" s="377"/>
      <c r="AE535" s="377"/>
      <c r="AF535" s="377"/>
      <c r="AG535" s="377"/>
    </row>
    <row r="536" ht="14.25" customHeight="1">
      <c r="A536" s="377"/>
      <c r="B536" s="377"/>
      <c r="C536" s="377"/>
      <c r="D536" s="377"/>
      <c r="E536" s="377"/>
      <c r="F536" s="377"/>
      <c r="G536" s="377"/>
      <c r="H536" s="377"/>
      <c r="I536" s="377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  <c r="T536" s="377"/>
      <c r="U536" s="377"/>
      <c r="V536" s="377"/>
      <c r="W536" s="377"/>
      <c r="X536" s="377"/>
      <c r="Y536" s="377"/>
      <c r="Z536" s="377"/>
      <c r="AA536" s="377"/>
      <c r="AB536" s="377"/>
      <c r="AC536" s="377"/>
      <c r="AD536" s="377"/>
      <c r="AE536" s="377"/>
      <c r="AF536" s="377"/>
      <c r="AG536" s="377"/>
    </row>
    <row r="537" ht="14.25" customHeight="1">
      <c r="A537" s="377"/>
      <c r="B537" s="377"/>
      <c r="C537" s="377"/>
      <c r="D537" s="377"/>
      <c r="E537" s="377"/>
      <c r="F537" s="377"/>
      <c r="G537" s="377"/>
      <c r="H537" s="377"/>
      <c r="I537" s="377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  <c r="T537" s="377"/>
      <c r="U537" s="377"/>
      <c r="V537" s="377"/>
      <c r="W537" s="377"/>
      <c r="X537" s="377"/>
      <c r="Y537" s="377"/>
      <c r="Z537" s="377"/>
      <c r="AA537" s="377"/>
      <c r="AB537" s="377"/>
      <c r="AC537" s="377"/>
      <c r="AD537" s="377"/>
      <c r="AE537" s="377"/>
      <c r="AF537" s="377"/>
      <c r="AG537" s="377"/>
    </row>
    <row r="538" ht="14.25" customHeight="1">
      <c r="A538" s="377"/>
      <c r="B538" s="377"/>
      <c r="C538" s="377"/>
      <c r="D538" s="377"/>
      <c r="E538" s="377"/>
      <c r="F538" s="377"/>
      <c r="G538" s="377"/>
      <c r="H538" s="377"/>
      <c r="I538" s="377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  <c r="T538" s="377"/>
      <c r="U538" s="377"/>
      <c r="V538" s="377"/>
      <c r="W538" s="377"/>
      <c r="X538" s="377"/>
      <c r="Y538" s="377"/>
      <c r="Z538" s="377"/>
      <c r="AA538" s="377"/>
      <c r="AB538" s="377"/>
      <c r="AC538" s="377"/>
      <c r="AD538" s="377"/>
      <c r="AE538" s="377"/>
      <c r="AF538" s="377"/>
      <c r="AG538" s="377"/>
    </row>
    <row r="539" ht="14.25" customHeight="1">
      <c r="A539" s="377"/>
      <c r="B539" s="377"/>
      <c r="C539" s="377"/>
      <c r="D539" s="377"/>
      <c r="E539" s="377"/>
      <c r="F539" s="377"/>
      <c r="G539" s="377"/>
      <c r="H539" s="377"/>
      <c r="I539" s="377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  <c r="T539" s="377"/>
      <c r="U539" s="377"/>
      <c r="V539" s="377"/>
      <c r="W539" s="377"/>
      <c r="X539" s="377"/>
      <c r="Y539" s="377"/>
      <c r="Z539" s="377"/>
      <c r="AA539" s="377"/>
      <c r="AB539" s="377"/>
      <c r="AC539" s="377"/>
      <c r="AD539" s="377"/>
      <c r="AE539" s="377"/>
      <c r="AF539" s="377"/>
      <c r="AG539" s="377"/>
    </row>
    <row r="540" ht="14.25" customHeight="1">
      <c r="A540" s="377"/>
      <c r="B540" s="377"/>
      <c r="C540" s="377"/>
      <c r="D540" s="377"/>
      <c r="E540" s="377"/>
      <c r="F540" s="377"/>
      <c r="G540" s="377"/>
      <c r="H540" s="377"/>
      <c r="I540" s="377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  <c r="T540" s="377"/>
      <c r="U540" s="377"/>
      <c r="V540" s="377"/>
      <c r="W540" s="377"/>
      <c r="X540" s="377"/>
      <c r="Y540" s="377"/>
      <c r="Z540" s="377"/>
      <c r="AA540" s="377"/>
      <c r="AB540" s="377"/>
      <c r="AC540" s="377"/>
      <c r="AD540" s="377"/>
      <c r="AE540" s="377"/>
      <c r="AF540" s="377"/>
      <c r="AG540" s="377"/>
    </row>
    <row r="541" ht="14.25" customHeight="1">
      <c r="A541" s="377"/>
      <c r="B541" s="377"/>
      <c r="C541" s="377"/>
      <c r="D541" s="377"/>
      <c r="E541" s="377"/>
      <c r="F541" s="377"/>
      <c r="G541" s="377"/>
      <c r="H541" s="377"/>
      <c r="I541" s="377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  <c r="Z541" s="377"/>
      <c r="AA541" s="377"/>
      <c r="AB541" s="377"/>
      <c r="AC541" s="377"/>
      <c r="AD541" s="377"/>
      <c r="AE541" s="377"/>
      <c r="AF541" s="377"/>
      <c r="AG541" s="377"/>
    </row>
    <row r="542" ht="14.25" customHeight="1">
      <c r="A542" s="377"/>
      <c r="B542" s="377"/>
      <c r="C542" s="377"/>
      <c r="D542" s="377"/>
      <c r="E542" s="377"/>
      <c r="F542" s="377"/>
      <c r="G542" s="377"/>
      <c r="H542" s="377"/>
      <c r="I542" s="377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  <c r="Z542" s="377"/>
      <c r="AA542" s="377"/>
      <c r="AB542" s="377"/>
      <c r="AC542" s="377"/>
      <c r="AD542" s="377"/>
      <c r="AE542" s="377"/>
      <c r="AF542" s="377"/>
      <c r="AG542" s="377"/>
    </row>
    <row r="543" ht="14.25" customHeight="1">
      <c r="A543" s="377"/>
      <c r="B543" s="377"/>
      <c r="C543" s="377"/>
      <c r="D543" s="377"/>
      <c r="E543" s="377"/>
      <c r="F543" s="377"/>
      <c r="G543" s="377"/>
      <c r="H543" s="377"/>
      <c r="I543" s="377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  <c r="Z543" s="377"/>
      <c r="AA543" s="377"/>
      <c r="AB543" s="377"/>
      <c r="AC543" s="377"/>
      <c r="AD543" s="377"/>
      <c r="AE543" s="377"/>
      <c r="AF543" s="377"/>
      <c r="AG543" s="377"/>
    </row>
    <row r="544" ht="14.25" customHeight="1">
      <c r="A544" s="377"/>
      <c r="B544" s="377"/>
      <c r="C544" s="377"/>
      <c r="D544" s="377"/>
      <c r="E544" s="377"/>
      <c r="F544" s="377"/>
      <c r="G544" s="377"/>
      <c r="H544" s="377"/>
      <c r="I544" s="377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  <c r="Z544" s="377"/>
      <c r="AA544" s="377"/>
      <c r="AB544" s="377"/>
      <c r="AC544" s="377"/>
      <c r="AD544" s="377"/>
      <c r="AE544" s="377"/>
      <c r="AF544" s="377"/>
      <c r="AG544" s="377"/>
    </row>
    <row r="545" ht="14.25" customHeight="1">
      <c r="A545" s="377"/>
      <c r="B545" s="377"/>
      <c r="C545" s="377"/>
      <c r="D545" s="377"/>
      <c r="E545" s="377"/>
      <c r="F545" s="377"/>
      <c r="G545" s="377"/>
      <c r="H545" s="377"/>
      <c r="I545" s="377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  <c r="Z545" s="377"/>
      <c r="AA545" s="377"/>
      <c r="AB545" s="377"/>
      <c r="AC545" s="377"/>
      <c r="AD545" s="377"/>
      <c r="AE545" s="377"/>
      <c r="AF545" s="377"/>
      <c r="AG545" s="377"/>
    </row>
    <row r="546" ht="14.25" customHeight="1">
      <c r="A546" s="377"/>
      <c r="B546" s="377"/>
      <c r="C546" s="377"/>
      <c r="D546" s="377"/>
      <c r="E546" s="377"/>
      <c r="F546" s="377"/>
      <c r="G546" s="377"/>
      <c r="H546" s="377"/>
      <c r="I546" s="377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  <c r="T546" s="377"/>
      <c r="U546" s="377"/>
      <c r="V546" s="377"/>
      <c r="W546" s="377"/>
      <c r="X546" s="377"/>
      <c r="Y546" s="377"/>
      <c r="Z546" s="377"/>
      <c r="AA546" s="377"/>
      <c r="AB546" s="377"/>
      <c r="AC546" s="377"/>
      <c r="AD546" s="377"/>
      <c r="AE546" s="377"/>
      <c r="AF546" s="377"/>
      <c r="AG546" s="377"/>
    </row>
    <row r="547" ht="14.25" customHeight="1">
      <c r="A547" s="377"/>
      <c r="B547" s="377"/>
      <c r="C547" s="377"/>
      <c r="D547" s="377"/>
      <c r="E547" s="377"/>
      <c r="F547" s="377"/>
      <c r="G547" s="377"/>
      <c r="H547" s="377"/>
      <c r="I547" s="377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  <c r="T547" s="377"/>
      <c r="U547" s="377"/>
      <c r="V547" s="377"/>
      <c r="W547" s="377"/>
      <c r="X547" s="377"/>
      <c r="Y547" s="377"/>
      <c r="Z547" s="377"/>
      <c r="AA547" s="377"/>
      <c r="AB547" s="377"/>
      <c r="AC547" s="377"/>
      <c r="AD547" s="377"/>
      <c r="AE547" s="377"/>
      <c r="AF547" s="377"/>
      <c r="AG547" s="377"/>
    </row>
    <row r="548" ht="14.25" customHeight="1">
      <c r="A548" s="377"/>
      <c r="B548" s="377"/>
      <c r="C548" s="377"/>
      <c r="D548" s="377"/>
      <c r="E548" s="377"/>
      <c r="F548" s="377"/>
      <c r="G548" s="377"/>
      <c r="H548" s="377"/>
      <c r="I548" s="377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  <c r="T548" s="377"/>
      <c r="U548" s="377"/>
      <c r="V548" s="377"/>
      <c r="W548" s="377"/>
      <c r="X548" s="377"/>
      <c r="Y548" s="377"/>
      <c r="Z548" s="377"/>
      <c r="AA548" s="377"/>
      <c r="AB548" s="377"/>
      <c r="AC548" s="377"/>
      <c r="AD548" s="377"/>
      <c r="AE548" s="377"/>
      <c r="AF548" s="377"/>
      <c r="AG548" s="377"/>
    </row>
    <row r="549" ht="14.25" customHeight="1">
      <c r="A549" s="377"/>
      <c r="B549" s="377"/>
      <c r="C549" s="377"/>
      <c r="D549" s="377"/>
      <c r="E549" s="377"/>
      <c r="F549" s="377"/>
      <c r="G549" s="377"/>
      <c r="H549" s="377"/>
      <c r="I549" s="377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  <c r="T549" s="377"/>
      <c r="U549" s="377"/>
      <c r="V549" s="377"/>
      <c r="W549" s="377"/>
      <c r="X549" s="377"/>
      <c r="Y549" s="377"/>
      <c r="Z549" s="377"/>
      <c r="AA549" s="377"/>
      <c r="AB549" s="377"/>
      <c r="AC549" s="377"/>
      <c r="AD549" s="377"/>
      <c r="AE549" s="377"/>
      <c r="AF549" s="377"/>
      <c r="AG549" s="377"/>
    </row>
    <row r="550" ht="14.25" customHeight="1">
      <c r="A550" s="377"/>
      <c r="B550" s="377"/>
      <c r="C550" s="377"/>
      <c r="D550" s="377"/>
      <c r="E550" s="377"/>
      <c r="F550" s="377"/>
      <c r="G550" s="377"/>
      <c r="H550" s="377"/>
      <c r="I550" s="377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  <c r="T550" s="377"/>
      <c r="U550" s="377"/>
      <c r="V550" s="377"/>
      <c r="W550" s="377"/>
      <c r="X550" s="377"/>
      <c r="Y550" s="377"/>
      <c r="Z550" s="377"/>
      <c r="AA550" s="377"/>
      <c r="AB550" s="377"/>
      <c r="AC550" s="377"/>
      <c r="AD550" s="377"/>
      <c r="AE550" s="377"/>
      <c r="AF550" s="377"/>
      <c r="AG550" s="377"/>
    </row>
    <row r="551" ht="14.25" customHeight="1">
      <c r="A551" s="377"/>
      <c r="B551" s="377"/>
      <c r="C551" s="377"/>
      <c r="D551" s="377"/>
      <c r="E551" s="377"/>
      <c r="F551" s="377"/>
      <c r="G551" s="377"/>
      <c r="H551" s="377"/>
      <c r="I551" s="377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  <c r="T551" s="377"/>
      <c r="U551" s="377"/>
      <c r="V551" s="377"/>
      <c r="W551" s="377"/>
      <c r="X551" s="377"/>
      <c r="Y551" s="377"/>
      <c r="Z551" s="377"/>
      <c r="AA551" s="377"/>
      <c r="AB551" s="377"/>
      <c r="AC551" s="377"/>
      <c r="AD551" s="377"/>
      <c r="AE551" s="377"/>
      <c r="AF551" s="377"/>
      <c r="AG551" s="377"/>
    </row>
    <row r="552" ht="14.25" customHeight="1">
      <c r="A552" s="377"/>
      <c r="B552" s="377"/>
      <c r="C552" s="377"/>
      <c r="D552" s="377"/>
      <c r="E552" s="377"/>
      <c r="F552" s="377"/>
      <c r="G552" s="377"/>
      <c r="H552" s="377"/>
      <c r="I552" s="377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  <c r="T552" s="377"/>
      <c r="U552" s="377"/>
      <c r="V552" s="377"/>
      <c r="W552" s="377"/>
      <c r="X552" s="377"/>
      <c r="Y552" s="377"/>
      <c r="Z552" s="377"/>
      <c r="AA552" s="377"/>
      <c r="AB552" s="377"/>
      <c r="AC552" s="377"/>
      <c r="AD552" s="377"/>
      <c r="AE552" s="377"/>
      <c r="AF552" s="377"/>
      <c r="AG552" s="377"/>
    </row>
    <row r="553" ht="14.25" customHeight="1">
      <c r="A553" s="377"/>
      <c r="B553" s="377"/>
      <c r="C553" s="377"/>
      <c r="D553" s="377"/>
      <c r="E553" s="377"/>
      <c r="F553" s="377"/>
      <c r="G553" s="377"/>
      <c r="H553" s="377"/>
      <c r="I553" s="377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  <c r="T553" s="377"/>
      <c r="U553" s="377"/>
      <c r="V553" s="377"/>
      <c r="W553" s="377"/>
      <c r="X553" s="377"/>
      <c r="Y553" s="377"/>
      <c r="Z553" s="377"/>
      <c r="AA553" s="377"/>
      <c r="AB553" s="377"/>
      <c r="AC553" s="377"/>
      <c r="AD553" s="377"/>
      <c r="AE553" s="377"/>
      <c r="AF553" s="377"/>
      <c r="AG553" s="377"/>
    </row>
    <row r="554" ht="14.25" customHeight="1">
      <c r="A554" s="377"/>
      <c r="B554" s="377"/>
      <c r="C554" s="377"/>
      <c r="D554" s="377"/>
      <c r="E554" s="377"/>
      <c r="F554" s="377"/>
      <c r="G554" s="377"/>
      <c r="H554" s="377"/>
      <c r="I554" s="377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  <c r="T554" s="377"/>
      <c r="U554" s="377"/>
      <c r="V554" s="377"/>
      <c r="W554" s="377"/>
      <c r="X554" s="377"/>
      <c r="Y554" s="377"/>
      <c r="Z554" s="377"/>
      <c r="AA554" s="377"/>
      <c r="AB554" s="377"/>
      <c r="AC554" s="377"/>
      <c r="AD554" s="377"/>
      <c r="AE554" s="377"/>
      <c r="AF554" s="377"/>
      <c r="AG554" s="377"/>
    </row>
    <row r="555" ht="14.25" customHeight="1">
      <c r="A555" s="377"/>
      <c r="B555" s="377"/>
      <c r="C555" s="377"/>
      <c r="D555" s="377"/>
      <c r="E555" s="377"/>
      <c r="F555" s="377"/>
      <c r="G555" s="377"/>
      <c r="H555" s="377"/>
      <c r="I555" s="377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  <c r="T555" s="377"/>
      <c r="U555" s="377"/>
      <c r="V555" s="377"/>
      <c r="W555" s="377"/>
      <c r="X555" s="377"/>
      <c r="Y555" s="377"/>
      <c r="Z555" s="377"/>
      <c r="AA555" s="377"/>
      <c r="AB555" s="377"/>
      <c r="AC555" s="377"/>
      <c r="AD555" s="377"/>
      <c r="AE555" s="377"/>
      <c r="AF555" s="377"/>
      <c r="AG555" s="377"/>
    </row>
    <row r="556" ht="14.25" customHeight="1">
      <c r="A556" s="377"/>
      <c r="B556" s="377"/>
      <c r="C556" s="377"/>
      <c r="D556" s="377"/>
      <c r="E556" s="377"/>
      <c r="F556" s="377"/>
      <c r="G556" s="377"/>
      <c r="H556" s="377"/>
      <c r="I556" s="377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  <c r="T556" s="377"/>
      <c r="U556" s="377"/>
      <c r="V556" s="377"/>
      <c r="W556" s="377"/>
      <c r="X556" s="377"/>
      <c r="Y556" s="377"/>
      <c r="Z556" s="377"/>
      <c r="AA556" s="377"/>
      <c r="AB556" s="377"/>
      <c r="AC556" s="377"/>
      <c r="AD556" s="377"/>
      <c r="AE556" s="377"/>
      <c r="AF556" s="377"/>
      <c r="AG556" s="377"/>
    </row>
    <row r="557" ht="14.25" customHeight="1">
      <c r="A557" s="377"/>
      <c r="B557" s="377"/>
      <c r="C557" s="377"/>
      <c r="D557" s="377"/>
      <c r="E557" s="377"/>
      <c r="F557" s="377"/>
      <c r="G557" s="377"/>
      <c r="H557" s="377"/>
      <c r="I557" s="377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  <c r="T557" s="377"/>
      <c r="U557" s="377"/>
      <c r="V557" s="377"/>
      <c r="W557" s="377"/>
      <c r="X557" s="377"/>
      <c r="Y557" s="377"/>
      <c r="Z557" s="377"/>
      <c r="AA557" s="377"/>
      <c r="AB557" s="377"/>
      <c r="AC557" s="377"/>
      <c r="AD557" s="377"/>
      <c r="AE557" s="377"/>
      <c r="AF557" s="377"/>
      <c r="AG557" s="377"/>
    </row>
    <row r="558" ht="14.25" customHeight="1">
      <c r="A558" s="377"/>
      <c r="B558" s="377"/>
      <c r="C558" s="377"/>
      <c r="D558" s="377"/>
      <c r="E558" s="377"/>
      <c r="F558" s="377"/>
      <c r="G558" s="377"/>
      <c r="H558" s="377"/>
      <c r="I558" s="377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  <c r="T558" s="377"/>
      <c r="U558" s="377"/>
      <c r="V558" s="377"/>
      <c r="W558" s="377"/>
      <c r="X558" s="377"/>
      <c r="Y558" s="377"/>
      <c r="Z558" s="377"/>
      <c r="AA558" s="377"/>
      <c r="AB558" s="377"/>
      <c r="AC558" s="377"/>
      <c r="AD558" s="377"/>
      <c r="AE558" s="377"/>
      <c r="AF558" s="377"/>
      <c r="AG558" s="377"/>
    </row>
    <row r="559" ht="14.25" customHeight="1">
      <c r="A559" s="377"/>
      <c r="B559" s="377"/>
      <c r="C559" s="377"/>
      <c r="D559" s="377"/>
      <c r="E559" s="377"/>
      <c r="F559" s="377"/>
      <c r="G559" s="377"/>
      <c r="H559" s="377"/>
      <c r="I559" s="377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  <c r="T559" s="377"/>
      <c r="U559" s="377"/>
      <c r="V559" s="377"/>
      <c r="W559" s="377"/>
      <c r="X559" s="377"/>
      <c r="Y559" s="377"/>
      <c r="Z559" s="377"/>
      <c r="AA559" s="377"/>
      <c r="AB559" s="377"/>
      <c r="AC559" s="377"/>
      <c r="AD559" s="377"/>
      <c r="AE559" s="377"/>
      <c r="AF559" s="377"/>
      <c r="AG559" s="377"/>
    </row>
    <row r="560" ht="14.25" customHeight="1">
      <c r="A560" s="377"/>
      <c r="B560" s="377"/>
      <c r="C560" s="377"/>
      <c r="D560" s="377"/>
      <c r="E560" s="377"/>
      <c r="F560" s="377"/>
      <c r="G560" s="377"/>
      <c r="H560" s="377"/>
      <c r="I560" s="377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  <c r="T560" s="377"/>
      <c r="U560" s="377"/>
      <c r="V560" s="377"/>
      <c r="W560" s="377"/>
      <c r="X560" s="377"/>
      <c r="Y560" s="377"/>
      <c r="Z560" s="377"/>
      <c r="AA560" s="377"/>
      <c r="AB560" s="377"/>
      <c r="AC560" s="377"/>
      <c r="AD560" s="377"/>
      <c r="AE560" s="377"/>
      <c r="AF560" s="377"/>
      <c r="AG560" s="377"/>
    </row>
    <row r="561" ht="14.25" customHeight="1">
      <c r="A561" s="377"/>
      <c r="B561" s="377"/>
      <c r="C561" s="377"/>
      <c r="D561" s="377"/>
      <c r="E561" s="377"/>
      <c r="F561" s="377"/>
      <c r="G561" s="377"/>
      <c r="H561" s="377"/>
      <c r="I561" s="377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  <c r="T561" s="377"/>
      <c r="U561" s="377"/>
      <c r="V561" s="377"/>
      <c r="W561" s="377"/>
      <c r="X561" s="377"/>
      <c r="Y561" s="377"/>
      <c r="Z561" s="377"/>
      <c r="AA561" s="377"/>
      <c r="AB561" s="377"/>
      <c r="AC561" s="377"/>
      <c r="AD561" s="377"/>
      <c r="AE561" s="377"/>
      <c r="AF561" s="377"/>
      <c r="AG561" s="377"/>
    </row>
    <row r="562" ht="14.25" customHeight="1">
      <c r="A562" s="377"/>
      <c r="B562" s="377"/>
      <c r="C562" s="377"/>
      <c r="D562" s="377"/>
      <c r="E562" s="377"/>
      <c r="F562" s="377"/>
      <c r="G562" s="377"/>
      <c r="H562" s="377"/>
      <c r="I562" s="377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  <c r="T562" s="377"/>
      <c r="U562" s="377"/>
      <c r="V562" s="377"/>
      <c r="W562" s="377"/>
      <c r="X562" s="377"/>
      <c r="Y562" s="377"/>
      <c r="Z562" s="377"/>
      <c r="AA562" s="377"/>
      <c r="AB562" s="377"/>
      <c r="AC562" s="377"/>
      <c r="AD562" s="377"/>
      <c r="AE562" s="377"/>
      <c r="AF562" s="377"/>
      <c r="AG562" s="377"/>
    </row>
    <row r="563" ht="14.25" customHeight="1">
      <c r="A563" s="377"/>
      <c r="B563" s="377"/>
      <c r="C563" s="377"/>
      <c r="D563" s="377"/>
      <c r="E563" s="377"/>
      <c r="F563" s="377"/>
      <c r="G563" s="377"/>
      <c r="H563" s="377"/>
      <c r="I563" s="377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  <c r="T563" s="377"/>
      <c r="U563" s="377"/>
      <c r="V563" s="377"/>
      <c r="W563" s="377"/>
      <c r="X563" s="377"/>
      <c r="Y563" s="377"/>
      <c r="Z563" s="377"/>
      <c r="AA563" s="377"/>
      <c r="AB563" s="377"/>
      <c r="AC563" s="377"/>
      <c r="AD563" s="377"/>
      <c r="AE563" s="377"/>
      <c r="AF563" s="377"/>
      <c r="AG563" s="377"/>
    </row>
    <row r="564" ht="14.25" customHeight="1">
      <c r="A564" s="377"/>
      <c r="B564" s="377"/>
      <c r="C564" s="377"/>
      <c r="D564" s="377"/>
      <c r="E564" s="377"/>
      <c r="F564" s="377"/>
      <c r="G564" s="377"/>
      <c r="H564" s="377"/>
      <c r="I564" s="377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  <c r="T564" s="377"/>
      <c r="U564" s="377"/>
      <c r="V564" s="377"/>
      <c r="W564" s="377"/>
      <c r="X564" s="377"/>
      <c r="Y564" s="377"/>
      <c r="Z564" s="377"/>
      <c r="AA564" s="377"/>
      <c r="AB564" s="377"/>
      <c r="AC564" s="377"/>
      <c r="AD564" s="377"/>
      <c r="AE564" s="377"/>
      <c r="AF564" s="377"/>
      <c r="AG564" s="377"/>
    </row>
    <row r="565" ht="14.25" customHeight="1">
      <c r="A565" s="377"/>
      <c r="B565" s="377"/>
      <c r="C565" s="377"/>
      <c r="D565" s="377"/>
      <c r="E565" s="377"/>
      <c r="F565" s="377"/>
      <c r="G565" s="377"/>
      <c r="H565" s="377"/>
      <c r="I565" s="377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  <c r="T565" s="377"/>
      <c r="U565" s="377"/>
      <c r="V565" s="377"/>
      <c r="W565" s="377"/>
      <c r="X565" s="377"/>
      <c r="Y565" s="377"/>
      <c r="Z565" s="377"/>
      <c r="AA565" s="377"/>
      <c r="AB565" s="377"/>
      <c r="AC565" s="377"/>
      <c r="AD565" s="377"/>
      <c r="AE565" s="377"/>
      <c r="AF565" s="377"/>
      <c r="AG565" s="377"/>
    </row>
    <row r="566" ht="14.25" customHeight="1">
      <c r="A566" s="377"/>
      <c r="B566" s="377"/>
      <c r="C566" s="377"/>
      <c r="D566" s="377"/>
      <c r="E566" s="377"/>
      <c r="F566" s="377"/>
      <c r="G566" s="377"/>
      <c r="H566" s="377"/>
      <c r="I566" s="377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  <c r="T566" s="377"/>
      <c r="U566" s="377"/>
      <c r="V566" s="377"/>
      <c r="W566" s="377"/>
      <c r="X566" s="377"/>
      <c r="Y566" s="377"/>
      <c r="Z566" s="377"/>
      <c r="AA566" s="377"/>
      <c r="AB566" s="377"/>
      <c r="AC566" s="377"/>
      <c r="AD566" s="377"/>
      <c r="AE566" s="377"/>
      <c r="AF566" s="377"/>
      <c r="AG566" s="377"/>
    </row>
    <row r="567" ht="14.25" customHeight="1">
      <c r="A567" s="377"/>
      <c r="B567" s="377"/>
      <c r="C567" s="377"/>
      <c r="D567" s="377"/>
      <c r="E567" s="377"/>
      <c r="F567" s="377"/>
      <c r="G567" s="377"/>
      <c r="H567" s="377"/>
      <c r="I567" s="377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  <c r="T567" s="377"/>
      <c r="U567" s="377"/>
      <c r="V567" s="377"/>
      <c r="W567" s="377"/>
      <c r="X567" s="377"/>
      <c r="Y567" s="377"/>
      <c r="Z567" s="377"/>
      <c r="AA567" s="377"/>
      <c r="AB567" s="377"/>
      <c r="AC567" s="377"/>
      <c r="AD567" s="377"/>
      <c r="AE567" s="377"/>
      <c r="AF567" s="377"/>
      <c r="AG567" s="377"/>
    </row>
    <row r="568" ht="14.25" customHeight="1">
      <c r="A568" s="377"/>
      <c r="B568" s="377"/>
      <c r="C568" s="377"/>
      <c r="D568" s="377"/>
      <c r="E568" s="377"/>
      <c r="F568" s="377"/>
      <c r="G568" s="377"/>
      <c r="H568" s="377"/>
      <c r="I568" s="377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  <c r="T568" s="377"/>
      <c r="U568" s="377"/>
      <c r="V568" s="377"/>
      <c r="W568" s="377"/>
      <c r="X568" s="377"/>
      <c r="Y568" s="377"/>
      <c r="Z568" s="377"/>
      <c r="AA568" s="377"/>
      <c r="AB568" s="377"/>
      <c r="AC568" s="377"/>
      <c r="AD568" s="377"/>
      <c r="AE568" s="377"/>
      <c r="AF568" s="377"/>
      <c r="AG568" s="377"/>
    </row>
    <row r="569" ht="14.25" customHeight="1">
      <c r="A569" s="377"/>
      <c r="B569" s="377"/>
      <c r="C569" s="377"/>
      <c r="D569" s="377"/>
      <c r="E569" s="377"/>
      <c r="F569" s="377"/>
      <c r="G569" s="377"/>
      <c r="H569" s="377"/>
      <c r="I569" s="377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  <c r="T569" s="377"/>
      <c r="U569" s="377"/>
      <c r="V569" s="377"/>
      <c r="W569" s="377"/>
      <c r="X569" s="377"/>
      <c r="Y569" s="377"/>
      <c r="Z569" s="377"/>
      <c r="AA569" s="377"/>
      <c r="AB569" s="377"/>
      <c r="AC569" s="377"/>
      <c r="AD569" s="377"/>
      <c r="AE569" s="377"/>
      <c r="AF569" s="377"/>
      <c r="AG569" s="377"/>
    </row>
    <row r="570" ht="14.25" customHeight="1">
      <c r="A570" s="377"/>
      <c r="B570" s="377"/>
      <c r="C570" s="377"/>
      <c r="D570" s="377"/>
      <c r="E570" s="377"/>
      <c r="F570" s="377"/>
      <c r="G570" s="377"/>
      <c r="H570" s="377"/>
      <c r="I570" s="377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  <c r="T570" s="377"/>
      <c r="U570" s="377"/>
      <c r="V570" s="377"/>
      <c r="W570" s="377"/>
      <c r="X570" s="377"/>
      <c r="Y570" s="377"/>
      <c r="Z570" s="377"/>
      <c r="AA570" s="377"/>
      <c r="AB570" s="377"/>
      <c r="AC570" s="377"/>
      <c r="AD570" s="377"/>
      <c r="AE570" s="377"/>
      <c r="AF570" s="377"/>
      <c r="AG570" s="377"/>
    </row>
    <row r="571" ht="14.25" customHeight="1">
      <c r="A571" s="377"/>
      <c r="B571" s="377"/>
      <c r="C571" s="377"/>
      <c r="D571" s="377"/>
      <c r="E571" s="377"/>
      <c r="F571" s="377"/>
      <c r="G571" s="377"/>
      <c r="H571" s="377"/>
      <c r="I571" s="377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  <c r="T571" s="377"/>
      <c r="U571" s="377"/>
      <c r="V571" s="377"/>
      <c r="W571" s="377"/>
      <c r="X571" s="377"/>
      <c r="Y571" s="377"/>
      <c r="Z571" s="377"/>
      <c r="AA571" s="377"/>
      <c r="AB571" s="377"/>
      <c r="AC571" s="377"/>
      <c r="AD571" s="377"/>
      <c r="AE571" s="377"/>
      <c r="AF571" s="377"/>
      <c r="AG571" s="377"/>
    </row>
    <row r="572" ht="14.25" customHeight="1">
      <c r="A572" s="377"/>
      <c r="B572" s="377"/>
      <c r="C572" s="377"/>
      <c r="D572" s="377"/>
      <c r="E572" s="377"/>
      <c r="F572" s="377"/>
      <c r="G572" s="377"/>
      <c r="H572" s="377"/>
      <c r="I572" s="377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  <c r="T572" s="377"/>
      <c r="U572" s="377"/>
      <c r="V572" s="377"/>
      <c r="W572" s="377"/>
      <c r="X572" s="377"/>
      <c r="Y572" s="377"/>
      <c r="Z572" s="377"/>
      <c r="AA572" s="377"/>
      <c r="AB572" s="377"/>
      <c r="AC572" s="377"/>
      <c r="AD572" s="377"/>
      <c r="AE572" s="377"/>
      <c r="AF572" s="377"/>
      <c r="AG572" s="377"/>
    </row>
    <row r="573" ht="14.25" customHeight="1">
      <c r="A573" s="377"/>
      <c r="B573" s="377"/>
      <c r="C573" s="377"/>
      <c r="D573" s="377"/>
      <c r="E573" s="377"/>
      <c r="F573" s="377"/>
      <c r="G573" s="377"/>
      <c r="H573" s="377"/>
      <c r="I573" s="377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  <c r="T573" s="377"/>
      <c r="U573" s="377"/>
      <c r="V573" s="377"/>
      <c r="W573" s="377"/>
      <c r="X573" s="377"/>
      <c r="Y573" s="377"/>
      <c r="Z573" s="377"/>
      <c r="AA573" s="377"/>
      <c r="AB573" s="377"/>
      <c r="AC573" s="377"/>
      <c r="AD573" s="377"/>
      <c r="AE573" s="377"/>
      <c r="AF573" s="377"/>
      <c r="AG573" s="377"/>
    </row>
    <row r="574" ht="14.25" customHeight="1">
      <c r="A574" s="377"/>
      <c r="B574" s="377"/>
      <c r="C574" s="377"/>
      <c r="D574" s="377"/>
      <c r="E574" s="377"/>
      <c r="F574" s="377"/>
      <c r="G574" s="377"/>
      <c r="H574" s="377"/>
      <c r="I574" s="377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  <c r="T574" s="377"/>
      <c r="U574" s="377"/>
      <c r="V574" s="377"/>
      <c r="W574" s="377"/>
      <c r="X574" s="377"/>
      <c r="Y574" s="377"/>
      <c r="Z574" s="377"/>
      <c r="AA574" s="377"/>
      <c r="AB574" s="377"/>
      <c r="AC574" s="377"/>
      <c r="AD574" s="377"/>
      <c r="AE574" s="377"/>
      <c r="AF574" s="377"/>
      <c r="AG574" s="377"/>
    </row>
    <row r="575" ht="14.25" customHeight="1">
      <c r="A575" s="377"/>
      <c r="B575" s="377"/>
      <c r="C575" s="377"/>
      <c r="D575" s="377"/>
      <c r="E575" s="377"/>
      <c r="F575" s="377"/>
      <c r="G575" s="377"/>
      <c r="H575" s="377"/>
      <c r="I575" s="377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  <c r="T575" s="377"/>
      <c r="U575" s="377"/>
      <c r="V575" s="377"/>
      <c r="W575" s="377"/>
      <c r="X575" s="377"/>
      <c r="Y575" s="377"/>
      <c r="Z575" s="377"/>
      <c r="AA575" s="377"/>
      <c r="AB575" s="377"/>
      <c r="AC575" s="377"/>
      <c r="AD575" s="377"/>
      <c r="AE575" s="377"/>
      <c r="AF575" s="377"/>
      <c r="AG575" s="377"/>
    </row>
    <row r="576" ht="14.25" customHeight="1">
      <c r="A576" s="377"/>
      <c r="B576" s="377"/>
      <c r="C576" s="377"/>
      <c r="D576" s="377"/>
      <c r="E576" s="377"/>
      <c r="F576" s="377"/>
      <c r="G576" s="377"/>
      <c r="H576" s="377"/>
      <c r="I576" s="377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  <c r="Z576" s="377"/>
      <c r="AA576" s="377"/>
      <c r="AB576" s="377"/>
      <c r="AC576" s="377"/>
      <c r="AD576" s="377"/>
      <c r="AE576" s="377"/>
      <c r="AF576" s="377"/>
      <c r="AG576" s="377"/>
    </row>
    <row r="577" ht="14.25" customHeight="1">
      <c r="A577" s="377"/>
      <c r="B577" s="377"/>
      <c r="C577" s="377"/>
      <c r="D577" s="377"/>
      <c r="E577" s="377"/>
      <c r="F577" s="377"/>
      <c r="G577" s="377"/>
      <c r="H577" s="377"/>
      <c r="I577" s="377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  <c r="Z577" s="377"/>
      <c r="AA577" s="377"/>
      <c r="AB577" s="377"/>
      <c r="AC577" s="377"/>
      <c r="AD577" s="377"/>
      <c r="AE577" s="377"/>
      <c r="AF577" s="377"/>
      <c r="AG577" s="377"/>
    </row>
    <row r="578" ht="14.25" customHeight="1">
      <c r="A578" s="377"/>
      <c r="B578" s="377"/>
      <c r="C578" s="377"/>
      <c r="D578" s="377"/>
      <c r="E578" s="377"/>
      <c r="F578" s="377"/>
      <c r="G578" s="377"/>
      <c r="H578" s="377"/>
      <c r="I578" s="377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  <c r="Z578" s="377"/>
      <c r="AA578" s="377"/>
      <c r="AB578" s="377"/>
      <c r="AC578" s="377"/>
      <c r="AD578" s="377"/>
      <c r="AE578" s="377"/>
      <c r="AF578" s="377"/>
      <c r="AG578" s="377"/>
    </row>
    <row r="579" ht="14.25" customHeight="1">
      <c r="A579" s="377"/>
      <c r="B579" s="377"/>
      <c r="C579" s="377"/>
      <c r="D579" s="377"/>
      <c r="E579" s="377"/>
      <c r="F579" s="377"/>
      <c r="G579" s="377"/>
      <c r="H579" s="377"/>
      <c r="I579" s="377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  <c r="Z579" s="377"/>
      <c r="AA579" s="377"/>
      <c r="AB579" s="377"/>
      <c r="AC579" s="377"/>
      <c r="AD579" s="377"/>
      <c r="AE579" s="377"/>
      <c r="AF579" s="377"/>
      <c r="AG579" s="377"/>
    </row>
    <row r="580" ht="14.25" customHeight="1">
      <c r="A580" s="377"/>
      <c r="B580" s="377"/>
      <c r="C580" s="377"/>
      <c r="D580" s="377"/>
      <c r="E580" s="377"/>
      <c r="F580" s="377"/>
      <c r="G580" s="377"/>
      <c r="H580" s="377"/>
      <c r="I580" s="377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  <c r="Z580" s="377"/>
      <c r="AA580" s="377"/>
      <c r="AB580" s="377"/>
      <c r="AC580" s="377"/>
      <c r="AD580" s="377"/>
      <c r="AE580" s="377"/>
      <c r="AF580" s="377"/>
      <c r="AG580" s="377"/>
    </row>
    <row r="581" ht="14.25" customHeight="1">
      <c r="A581" s="377"/>
      <c r="B581" s="377"/>
      <c r="C581" s="377"/>
      <c r="D581" s="377"/>
      <c r="E581" s="377"/>
      <c r="F581" s="377"/>
      <c r="G581" s="377"/>
      <c r="H581" s="377"/>
      <c r="I581" s="377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  <c r="T581" s="377"/>
      <c r="U581" s="377"/>
      <c r="V581" s="377"/>
      <c r="W581" s="377"/>
      <c r="X581" s="377"/>
      <c r="Y581" s="377"/>
      <c r="Z581" s="377"/>
      <c r="AA581" s="377"/>
      <c r="AB581" s="377"/>
      <c r="AC581" s="377"/>
      <c r="AD581" s="377"/>
      <c r="AE581" s="377"/>
      <c r="AF581" s="377"/>
      <c r="AG581" s="377"/>
    </row>
    <row r="582" ht="14.25" customHeight="1">
      <c r="A582" s="377"/>
      <c r="B582" s="377"/>
      <c r="C582" s="377"/>
      <c r="D582" s="377"/>
      <c r="E582" s="377"/>
      <c r="F582" s="377"/>
      <c r="G582" s="377"/>
      <c r="H582" s="377"/>
      <c r="I582" s="377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  <c r="T582" s="377"/>
      <c r="U582" s="377"/>
      <c r="V582" s="377"/>
      <c r="W582" s="377"/>
      <c r="X582" s="377"/>
      <c r="Y582" s="377"/>
      <c r="Z582" s="377"/>
      <c r="AA582" s="377"/>
      <c r="AB582" s="377"/>
      <c r="AC582" s="377"/>
      <c r="AD582" s="377"/>
      <c r="AE582" s="377"/>
      <c r="AF582" s="377"/>
      <c r="AG582" s="377"/>
    </row>
    <row r="583" ht="14.25" customHeight="1">
      <c r="A583" s="377"/>
      <c r="B583" s="377"/>
      <c r="C583" s="377"/>
      <c r="D583" s="377"/>
      <c r="E583" s="377"/>
      <c r="F583" s="377"/>
      <c r="G583" s="377"/>
      <c r="H583" s="377"/>
      <c r="I583" s="377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  <c r="T583" s="377"/>
      <c r="U583" s="377"/>
      <c r="V583" s="377"/>
      <c r="W583" s="377"/>
      <c r="X583" s="377"/>
      <c r="Y583" s="377"/>
      <c r="Z583" s="377"/>
      <c r="AA583" s="377"/>
      <c r="AB583" s="377"/>
      <c r="AC583" s="377"/>
      <c r="AD583" s="377"/>
      <c r="AE583" s="377"/>
      <c r="AF583" s="377"/>
      <c r="AG583" s="377"/>
    </row>
    <row r="584" ht="14.25" customHeight="1">
      <c r="A584" s="377"/>
      <c r="B584" s="377"/>
      <c r="C584" s="377"/>
      <c r="D584" s="377"/>
      <c r="E584" s="377"/>
      <c r="F584" s="377"/>
      <c r="G584" s="377"/>
      <c r="H584" s="377"/>
      <c r="I584" s="377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  <c r="T584" s="377"/>
      <c r="U584" s="377"/>
      <c r="V584" s="377"/>
      <c r="W584" s="377"/>
      <c r="X584" s="377"/>
      <c r="Y584" s="377"/>
      <c r="Z584" s="377"/>
      <c r="AA584" s="377"/>
      <c r="AB584" s="377"/>
      <c r="AC584" s="377"/>
      <c r="AD584" s="377"/>
      <c r="AE584" s="377"/>
      <c r="AF584" s="377"/>
      <c r="AG584" s="377"/>
    </row>
    <row r="585" ht="14.25" customHeight="1">
      <c r="A585" s="377"/>
      <c r="B585" s="377"/>
      <c r="C585" s="377"/>
      <c r="D585" s="377"/>
      <c r="E585" s="377"/>
      <c r="F585" s="377"/>
      <c r="G585" s="377"/>
      <c r="H585" s="377"/>
      <c r="I585" s="377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  <c r="T585" s="377"/>
      <c r="U585" s="377"/>
      <c r="V585" s="377"/>
      <c r="W585" s="377"/>
      <c r="X585" s="377"/>
      <c r="Y585" s="377"/>
      <c r="Z585" s="377"/>
      <c r="AA585" s="377"/>
      <c r="AB585" s="377"/>
      <c r="AC585" s="377"/>
      <c r="AD585" s="377"/>
      <c r="AE585" s="377"/>
      <c r="AF585" s="377"/>
      <c r="AG585" s="377"/>
    </row>
    <row r="586" ht="14.25" customHeight="1">
      <c r="A586" s="377"/>
      <c r="B586" s="377"/>
      <c r="C586" s="377"/>
      <c r="D586" s="377"/>
      <c r="E586" s="377"/>
      <c r="F586" s="377"/>
      <c r="G586" s="377"/>
      <c r="H586" s="377"/>
      <c r="I586" s="377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  <c r="T586" s="377"/>
      <c r="U586" s="377"/>
      <c r="V586" s="377"/>
      <c r="W586" s="377"/>
      <c r="X586" s="377"/>
      <c r="Y586" s="377"/>
      <c r="Z586" s="377"/>
      <c r="AA586" s="377"/>
      <c r="AB586" s="377"/>
      <c r="AC586" s="377"/>
      <c r="AD586" s="377"/>
      <c r="AE586" s="377"/>
      <c r="AF586" s="377"/>
      <c r="AG586" s="377"/>
    </row>
    <row r="587" ht="14.25" customHeight="1">
      <c r="A587" s="377"/>
      <c r="B587" s="377"/>
      <c r="C587" s="377"/>
      <c r="D587" s="377"/>
      <c r="E587" s="377"/>
      <c r="F587" s="377"/>
      <c r="G587" s="377"/>
      <c r="H587" s="377"/>
      <c r="I587" s="377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  <c r="T587" s="377"/>
      <c r="U587" s="377"/>
      <c r="V587" s="377"/>
      <c r="W587" s="377"/>
      <c r="X587" s="377"/>
      <c r="Y587" s="377"/>
      <c r="Z587" s="377"/>
      <c r="AA587" s="377"/>
      <c r="AB587" s="377"/>
      <c r="AC587" s="377"/>
      <c r="AD587" s="377"/>
      <c r="AE587" s="377"/>
      <c r="AF587" s="377"/>
      <c r="AG587" s="377"/>
    </row>
    <row r="588" ht="14.25" customHeight="1">
      <c r="A588" s="377"/>
      <c r="B588" s="377"/>
      <c r="C588" s="377"/>
      <c r="D588" s="377"/>
      <c r="E588" s="377"/>
      <c r="F588" s="377"/>
      <c r="G588" s="377"/>
      <c r="H588" s="377"/>
      <c r="I588" s="377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  <c r="T588" s="377"/>
      <c r="U588" s="377"/>
      <c r="V588" s="377"/>
      <c r="W588" s="377"/>
      <c r="X588" s="377"/>
      <c r="Y588" s="377"/>
      <c r="Z588" s="377"/>
      <c r="AA588" s="377"/>
      <c r="AB588" s="377"/>
      <c r="AC588" s="377"/>
      <c r="AD588" s="377"/>
      <c r="AE588" s="377"/>
      <c r="AF588" s="377"/>
      <c r="AG588" s="377"/>
    </row>
    <row r="589" ht="14.25" customHeight="1">
      <c r="A589" s="377"/>
      <c r="B589" s="377"/>
      <c r="C589" s="377"/>
      <c r="D589" s="377"/>
      <c r="E589" s="377"/>
      <c r="F589" s="377"/>
      <c r="G589" s="377"/>
      <c r="H589" s="377"/>
      <c r="I589" s="377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  <c r="T589" s="377"/>
      <c r="U589" s="377"/>
      <c r="V589" s="377"/>
      <c r="W589" s="377"/>
      <c r="X589" s="377"/>
      <c r="Y589" s="377"/>
      <c r="Z589" s="377"/>
      <c r="AA589" s="377"/>
      <c r="AB589" s="377"/>
      <c r="AC589" s="377"/>
      <c r="AD589" s="377"/>
      <c r="AE589" s="377"/>
      <c r="AF589" s="377"/>
      <c r="AG589" s="377"/>
    </row>
    <row r="590" ht="14.25" customHeight="1">
      <c r="A590" s="377"/>
      <c r="B590" s="377"/>
      <c r="C590" s="377"/>
      <c r="D590" s="377"/>
      <c r="E590" s="377"/>
      <c r="F590" s="377"/>
      <c r="G590" s="377"/>
      <c r="H590" s="377"/>
      <c r="I590" s="377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  <c r="T590" s="377"/>
      <c r="U590" s="377"/>
      <c r="V590" s="377"/>
      <c r="W590" s="377"/>
      <c r="X590" s="377"/>
      <c r="Y590" s="377"/>
      <c r="Z590" s="377"/>
      <c r="AA590" s="377"/>
      <c r="AB590" s="377"/>
      <c r="AC590" s="377"/>
      <c r="AD590" s="377"/>
      <c r="AE590" s="377"/>
      <c r="AF590" s="377"/>
      <c r="AG590" s="377"/>
    </row>
    <row r="591" ht="14.25" customHeight="1">
      <c r="A591" s="377"/>
      <c r="B591" s="377"/>
      <c r="C591" s="377"/>
      <c r="D591" s="377"/>
      <c r="E591" s="377"/>
      <c r="F591" s="377"/>
      <c r="G591" s="377"/>
      <c r="H591" s="377"/>
      <c r="I591" s="377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  <c r="T591" s="377"/>
      <c r="U591" s="377"/>
      <c r="V591" s="377"/>
      <c r="W591" s="377"/>
      <c r="X591" s="377"/>
      <c r="Y591" s="377"/>
      <c r="Z591" s="377"/>
      <c r="AA591" s="377"/>
      <c r="AB591" s="377"/>
      <c r="AC591" s="377"/>
      <c r="AD591" s="377"/>
      <c r="AE591" s="377"/>
      <c r="AF591" s="377"/>
      <c r="AG591" s="377"/>
    </row>
    <row r="592" ht="14.25" customHeight="1">
      <c r="A592" s="377"/>
      <c r="B592" s="377"/>
      <c r="C592" s="377"/>
      <c r="D592" s="377"/>
      <c r="E592" s="377"/>
      <c r="F592" s="377"/>
      <c r="G592" s="377"/>
      <c r="H592" s="377"/>
      <c r="I592" s="377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  <c r="T592" s="377"/>
      <c r="U592" s="377"/>
      <c r="V592" s="377"/>
      <c r="W592" s="377"/>
      <c r="X592" s="377"/>
      <c r="Y592" s="377"/>
      <c r="Z592" s="377"/>
      <c r="AA592" s="377"/>
      <c r="AB592" s="377"/>
      <c r="AC592" s="377"/>
      <c r="AD592" s="377"/>
      <c r="AE592" s="377"/>
      <c r="AF592" s="377"/>
      <c r="AG592" s="377"/>
    </row>
    <row r="593" ht="14.25" customHeight="1">
      <c r="A593" s="377"/>
      <c r="B593" s="377"/>
      <c r="C593" s="377"/>
      <c r="D593" s="377"/>
      <c r="E593" s="377"/>
      <c r="F593" s="377"/>
      <c r="G593" s="377"/>
      <c r="H593" s="377"/>
      <c r="I593" s="377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  <c r="T593" s="377"/>
      <c r="U593" s="377"/>
      <c r="V593" s="377"/>
      <c r="W593" s="377"/>
      <c r="X593" s="377"/>
      <c r="Y593" s="377"/>
      <c r="Z593" s="377"/>
      <c r="AA593" s="377"/>
      <c r="AB593" s="377"/>
      <c r="AC593" s="377"/>
      <c r="AD593" s="377"/>
      <c r="AE593" s="377"/>
      <c r="AF593" s="377"/>
      <c r="AG593" s="377"/>
    </row>
    <row r="594" ht="14.25" customHeight="1">
      <c r="A594" s="377"/>
      <c r="B594" s="377"/>
      <c r="C594" s="377"/>
      <c r="D594" s="377"/>
      <c r="E594" s="377"/>
      <c r="F594" s="377"/>
      <c r="G594" s="377"/>
      <c r="H594" s="377"/>
      <c r="I594" s="377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  <c r="T594" s="377"/>
      <c r="U594" s="377"/>
      <c r="V594" s="377"/>
      <c r="W594" s="377"/>
      <c r="X594" s="377"/>
      <c r="Y594" s="377"/>
      <c r="Z594" s="377"/>
      <c r="AA594" s="377"/>
      <c r="AB594" s="377"/>
      <c r="AC594" s="377"/>
      <c r="AD594" s="377"/>
      <c r="AE594" s="377"/>
      <c r="AF594" s="377"/>
      <c r="AG594" s="377"/>
    </row>
    <row r="595" ht="14.25" customHeight="1">
      <c r="A595" s="377"/>
      <c r="B595" s="377"/>
      <c r="C595" s="377"/>
      <c r="D595" s="377"/>
      <c r="E595" s="377"/>
      <c r="F595" s="377"/>
      <c r="G595" s="377"/>
      <c r="H595" s="377"/>
      <c r="I595" s="377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  <c r="T595" s="377"/>
      <c r="U595" s="377"/>
      <c r="V595" s="377"/>
      <c r="W595" s="377"/>
      <c r="X595" s="377"/>
      <c r="Y595" s="377"/>
      <c r="Z595" s="377"/>
      <c r="AA595" s="377"/>
      <c r="AB595" s="377"/>
      <c r="AC595" s="377"/>
      <c r="AD595" s="377"/>
      <c r="AE595" s="377"/>
      <c r="AF595" s="377"/>
      <c r="AG595" s="377"/>
    </row>
    <row r="596" ht="14.25" customHeight="1">
      <c r="A596" s="377"/>
      <c r="B596" s="377"/>
      <c r="C596" s="377"/>
      <c r="D596" s="377"/>
      <c r="E596" s="377"/>
      <c r="F596" s="377"/>
      <c r="G596" s="377"/>
      <c r="H596" s="377"/>
      <c r="I596" s="377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  <c r="T596" s="377"/>
      <c r="U596" s="377"/>
      <c r="V596" s="377"/>
      <c r="W596" s="377"/>
      <c r="X596" s="377"/>
      <c r="Y596" s="377"/>
      <c r="Z596" s="377"/>
      <c r="AA596" s="377"/>
      <c r="AB596" s="377"/>
      <c r="AC596" s="377"/>
      <c r="AD596" s="377"/>
      <c r="AE596" s="377"/>
      <c r="AF596" s="377"/>
      <c r="AG596" s="377"/>
    </row>
    <row r="597" ht="14.25" customHeight="1">
      <c r="A597" s="377"/>
      <c r="B597" s="377"/>
      <c r="C597" s="377"/>
      <c r="D597" s="377"/>
      <c r="E597" s="377"/>
      <c r="F597" s="377"/>
      <c r="G597" s="377"/>
      <c r="H597" s="377"/>
      <c r="I597" s="377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  <c r="T597" s="377"/>
      <c r="U597" s="377"/>
      <c r="V597" s="377"/>
      <c r="W597" s="377"/>
      <c r="X597" s="377"/>
      <c r="Y597" s="377"/>
      <c r="Z597" s="377"/>
      <c r="AA597" s="377"/>
      <c r="AB597" s="377"/>
      <c r="AC597" s="377"/>
      <c r="AD597" s="377"/>
      <c r="AE597" s="377"/>
      <c r="AF597" s="377"/>
      <c r="AG597" s="377"/>
    </row>
    <row r="598" ht="14.25" customHeight="1">
      <c r="A598" s="377"/>
      <c r="B598" s="377"/>
      <c r="C598" s="377"/>
      <c r="D598" s="377"/>
      <c r="E598" s="377"/>
      <c r="F598" s="377"/>
      <c r="G598" s="377"/>
      <c r="H598" s="377"/>
      <c r="I598" s="377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  <c r="T598" s="377"/>
      <c r="U598" s="377"/>
      <c r="V598" s="377"/>
      <c r="W598" s="377"/>
      <c r="X598" s="377"/>
      <c r="Y598" s="377"/>
      <c r="Z598" s="377"/>
      <c r="AA598" s="377"/>
      <c r="AB598" s="377"/>
      <c r="AC598" s="377"/>
      <c r="AD598" s="377"/>
      <c r="AE598" s="377"/>
      <c r="AF598" s="377"/>
      <c r="AG598" s="377"/>
    </row>
    <row r="599" ht="14.25" customHeight="1">
      <c r="A599" s="377"/>
      <c r="B599" s="377"/>
      <c r="C599" s="377"/>
      <c r="D599" s="377"/>
      <c r="E599" s="377"/>
      <c r="F599" s="377"/>
      <c r="G599" s="377"/>
      <c r="H599" s="377"/>
      <c r="I599" s="377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  <c r="T599" s="377"/>
      <c r="U599" s="377"/>
      <c r="V599" s="377"/>
      <c r="W599" s="377"/>
      <c r="X599" s="377"/>
      <c r="Y599" s="377"/>
      <c r="Z599" s="377"/>
      <c r="AA599" s="377"/>
      <c r="AB599" s="377"/>
      <c r="AC599" s="377"/>
      <c r="AD599" s="377"/>
      <c r="AE599" s="377"/>
      <c r="AF599" s="377"/>
      <c r="AG599" s="377"/>
    </row>
    <row r="600" ht="14.25" customHeight="1">
      <c r="A600" s="377"/>
      <c r="B600" s="377"/>
      <c r="C600" s="377"/>
      <c r="D600" s="377"/>
      <c r="E600" s="377"/>
      <c r="F600" s="377"/>
      <c r="G600" s="377"/>
      <c r="H600" s="377"/>
      <c r="I600" s="377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  <c r="T600" s="377"/>
      <c r="U600" s="377"/>
      <c r="V600" s="377"/>
      <c r="W600" s="377"/>
      <c r="X600" s="377"/>
      <c r="Y600" s="377"/>
      <c r="Z600" s="377"/>
      <c r="AA600" s="377"/>
      <c r="AB600" s="377"/>
      <c r="AC600" s="377"/>
      <c r="AD600" s="377"/>
      <c r="AE600" s="377"/>
      <c r="AF600" s="377"/>
      <c r="AG600" s="377"/>
    </row>
    <row r="601" ht="14.25" customHeight="1">
      <c r="A601" s="377"/>
      <c r="B601" s="377"/>
      <c r="C601" s="377"/>
      <c r="D601" s="377"/>
      <c r="E601" s="377"/>
      <c r="F601" s="377"/>
      <c r="G601" s="377"/>
      <c r="H601" s="377"/>
      <c r="I601" s="377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  <c r="T601" s="377"/>
      <c r="U601" s="377"/>
      <c r="V601" s="377"/>
      <c r="W601" s="377"/>
      <c r="X601" s="377"/>
      <c r="Y601" s="377"/>
      <c r="Z601" s="377"/>
      <c r="AA601" s="377"/>
      <c r="AB601" s="377"/>
      <c r="AC601" s="377"/>
      <c r="AD601" s="377"/>
      <c r="AE601" s="377"/>
      <c r="AF601" s="377"/>
      <c r="AG601" s="377"/>
    </row>
    <row r="602" ht="14.25" customHeight="1">
      <c r="A602" s="377"/>
      <c r="B602" s="377"/>
      <c r="C602" s="377"/>
      <c r="D602" s="377"/>
      <c r="E602" s="377"/>
      <c r="F602" s="377"/>
      <c r="G602" s="377"/>
      <c r="H602" s="377"/>
      <c r="I602" s="377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  <c r="T602" s="377"/>
      <c r="U602" s="377"/>
      <c r="V602" s="377"/>
      <c r="W602" s="377"/>
      <c r="X602" s="377"/>
      <c r="Y602" s="377"/>
      <c r="Z602" s="377"/>
      <c r="AA602" s="377"/>
      <c r="AB602" s="377"/>
      <c r="AC602" s="377"/>
      <c r="AD602" s="377"/>
      <c r="AE602" s="377"/>
      <c r="AF602" s="377"/>
      <c r="AG602" s="377"/>
    </row>
    <row r="603" ht="14.25" customHeight="1">
      <c r="A603" s="377"/>
      <c r="B603" s="377"/>
      <c r="C603" s="377"/>
      <c r="D603" s="377"/>
      <c r="E603" s="377"/>
      <c r="F603" s="377"/>
      <c r="G603" s="377"/>
      <c r="H603" s="377"/>
      <c r="I603" s="377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  <c r="T603" s="377"/>
      <c r="U603" s="377"/>
      <c r="V603" s="377"/>
      <c r="W603" s="377"/>
      <c r="X603" s="377"/>
      <c r="Y603" s="377"/>
      <c r="Z603" s="377"/>
      <c r="AA603" s="377"/>
      <c r="AB603" s="377"/>
      <c r="AC603" s="377"/>
      <c r="AD603" s="377"/>
      <c r="AE603" s="377"/>
      <c r="AF603" s="377"/>
      <c r="AG603" s="377"/>
    </row>
    <row r="604" ht="14.25" customHeight="1">
      <c r="A604" s="377"/>
      <c r="B604" s="377"/>
      <c r="C604" s="377"/>
      <c r="D604" s="377"/>
      <c r="E604" s="377"/>
      <c r="F604" s="377"/>
      <c r="G604" s="377"/>
      <c r="H604" s="377"/>
      <c r="I604" s="377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  <c r="T604" s="377"/>
      <c r="U604" s="377"/>
      <c r="V604" s="377"/>
      <c r="W604" s="377"/>
      <c r="X604" s="377"/>
      <c r="Y604" s="377"/>
      <c r="Z604" s="377"/>
      <c r="AA604" s="377"/>
      <c r="AB604" s="377"/>
      <c r="AC604" s="377"/>
      <c r="AD604" s="377"/>
      <c r="AE604" s="377"/>
      <c r="AF604" s="377"/>
      <c r="AG604" s="377"/>
    </row>
    <row r="605" ht="14.25" customHeight="1">
      <c r="A605" s="377"/>
      <c r="B605" s="377"/>
      <c r="C605" s="377"/>
      <c r="D605" s="377"/>
      <c r="E605" s="377"/>
      <c r="F605" s="377"/>
      <c r="G605" s="377"/>
      <c r="H605" s="377"/>
      <c r="I605" s="377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  <c r="T605" s="377"/>
      <c r="U605" s="377"/>
      <c r="V605" s="377"/>
      <c r="W605" s="377"/>
      <c r="X605" s="377"/>
      <c r="Y605" s="377"/>
      <c r="Z605" s="377"/>
      <c r="AA605" s="377"/>
      <c r="AB605" s="377"/>
      <c r="AC605" s="377"/>
      <c r="AD605" s="377"/>
      <c r="AE605" s="377"/>
      <c r="AF605" s="377"/>
      <c r="AG605" s="377"/>
    </row>
    <row r="606" ht="14.25" customHeight="1">
      <c r="A606" s="377"/>
      <c r="B606" s="377"/>
      <c r="C606" s="377"/>
      <c r="D606" s="377"/>
      <c r="E606" s="377"/>
      <c r="F606" s="377"/>
      <c r="G606" s="377"/>
      <c r="H606" s="377"/>
      <c r="I606" s="377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  <c r="T606" s="377"/>
      <c r="U606" s="377"/>
      <c r="V606" s="377"/>
      <c r="W606" s="377"/>
      <c r="X606" s="377"/>
      <c r="Y606" s="377"/>
      <c r="Z606" s="377"/>
      <c r="AA606" s="377"/>
      <c r="AB606" s="377"/>
      <c r="AC606" s="377"/>
      <c r="AD606" s="377"/>
      <c r="AE606" s="377"/>
      <c r="AF606" s="377"/>
      <c r="AG606" s="377"/>
    </row>
    <row r="607" ht="14.25" customHeight="1">
      <c r="A607" s="377"/>
      <c r="B607" s="377"/>
      <c r="C607" s="377"/>
      <c r="D607" s="377"/>
      <c r="E607" s="377"/>
      <c r="F607" s="377"/>
      <c r="G607" s="377"/>
      <c r="H607" s="377"/>
      <c r="I607" s="377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  <c r="T607" s="377"/>
      <c r="U607" s="377"/>
      <c r="V607" s="377"/>
      <c r="W607" s="377"/>
      <c r="X607" s="377"/>
      <c r="Y607" s="377"/>
      <c r="Z607" s="377"/>
      <c r="AA607" s="377"/>
      <c r="AB607" s="377"/>
      <c r="AC607" s="377"/>
      <c r="AD607" s="377"/>
      <c r="AE607" s="377"/>
      <c r="AF607" s="377"/>
      <c r="AG607" s="377"/>
    </row>
    <row r="608" ht="14.25" customHeight="1">
      <c r="A608" s="377"/>
      <c r="B608" s="377"/>
      <c r="C608" s="377"/>
      <c r="D608" s="377"/>
      <c r="E608" s="377"/>
      <c r="F608" s="377"/>
      <c r="G608" s="377"/>
      <c r="H608" s="377"/>
      <c r="I608" s="377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  <c r="T608" s="377"/>
      <c r="U608" s="377"/>
      <c r="V608" s="377"/>
      <c r="W608" s="377"/>
      <c r="X608" s="377"/>
      <c r="Y608" s="377"/>
      <c r="Z608" s="377"/>
      <c r="AA608" s="377"/>
      <c r="AB608" s="377"/>
      <c r="AC608" s="377"/>
      <c r="AD608" s="377"/>
      <c r="AE608" s="377"/>
      <c r="AF608" s="377"/>
      <c r="AG608" s="377"/>
    </row>
    <row r="609" ht="14.25" customHeight="1">
      <c r="A609" s="377"/>
      <c r="B609" s="377"/>
      <c r="C609" s="377"/>
      <c r="D609" s="377"/>
      <c r="E609" s="377"/>
      <c r="F609" s="377"/>
      <c r="G609" s="377"/>
      <c r="H609" s="377"/>
      <c r="I609" s="377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  <c r="T609" s="377"/>
      <c r="U609" s="377"/>
      <c r="V609" s="377"/>
      <c r="W609" s="377"/>
      <c r="X609" s="377"/>
      <c r="Y609" s="377"/>
      <c r="Z609" s="377"/>
      <c r="AA609" s="377"/>
      <c r="AB609" s="377"/>
      <c r="AC609" s="377"/>
      <c r="AD609" s="377"/>
      <c r="AE609" s="377"/>
      <c r="AF609" s="377"/>
      <c r="AG609" s="377"/>
    </row>
    <row r="610" ht="14.25" customHeight="1">
      <c r="A610" s="377"/>
      <c r="B610" s="377"/>
      <c r="C610" s="377"/>
      <c r="D610" s="377"/>
      <c r="E610" s="377"/>
      <c r="F610" s="377"/>
      <c r="G610" s="377"/>
      <c r="H610" s="377"/>
      <c r="I610" s="377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  <c r="T610" s="377"/>
      <c r="U610" s="377"/>
      <c r="V610" s="377"/>
      <c r="W610" s="377"/>
      <c r="X610" s="377"/>
      <c r="Y610" s="377"/>
      <c r="Z610" s="377"/>
      <c r="AA610" s="377"/>
      <c r="AB610" s="377"/>
      <c r="AC610" s="377"/>
      <c r="AD610" s="377"/>
      <c r="AE610" s="377"/>
      <c r="AF610" s="377"/>
      <c r="AG610" s="377"/>
    </row>
    <row r="611" ht="14.25" customHeight="1">
      <c r="A611" s="377"/>
      <c r="B611" s="377"/>
      <c r="C611" s="377"/>
      <c r="D611" s="377"/>
      <c r="E611" s="377"/>
      <c r="F611" s="377"/>
      <c r="G611" s="377"/>
      <c r="H611" s="377"/>
      <c r="I611" s="377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  <c r="Z611" s="377"/>
      <c r="AA611" s="377"/>
      <c r="AB611" s="377"/>
      <c r="AC611" s="377"/>
      <c r="AD611" s="377"/>
      <c r="AE611" s="377"/>
      <c r="AF611" s="377"/>
      <c r="AG611" s="377"/>
    </row>
    <row r="612" ht="14.25" customHeight="1">
      <c r="A612" s="377"/>
      <c r="B612" s="377"/>
      <c r="C612" s="377"/>
      <c r="D612" s="377"/>
      <c r="E612" s="377"/>
      <c r="F612" s="377"/>
      <c r="G612" s="377"/>
      <c r="H612" s="377"/>
      <c r="I612" s="377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  <c r="Z612" s="377"/>
      <c r="AA612" s="377"/>
      <c r="AB612" s="377"/>
      <c r="AC612" s="377"/>
      <c r="AD612" s="377"/>
      <c r="AE612" s="377"/>
      <c r="AF612" s="377"/>
      <c r="AG612" s="377"/>
    </row>
    <row r="613" ht="14.25" customHeight="1">
      <c r="A613" s="377"/>
      <c r="B613" s="377"/>
      <c r="C613" s="377"/>
      <c r="D613" s="377"/>
      <c r="E613" s="377"/>
      <c r="F613" s="377"/>
      <c r="G613" s="377"/>
      <c r="H613" s="377"/>
      <c r="I613" s="377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  <c r="Z613" s="377"/>
      <c r="AA613" s="377"/>
      <c r="AB613" s="377"/>
      <c r="AC613" s="377"/>
      <c r="AD613" s="377"/>
      <c r="AE613" s="377"/>
      <c r="AF613" s="377"/>
      <c r="AG613" s="377"/>
    </row>
    <row r="614" ht="14.25" customHeight="1">
      <c r="A614" s="377"/>
      <c r="B614" s="377"/>
      <c r="C614" s="377"/>
      <c r="D614" s="377"/>
      <c r="E614" s="377"/>
      <c r="F614" s="377"/>
      <c r="G614" s="377"/>
      <c r="H614" s="377"/>
      <c r="I614" s="377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  <c r="Z614" s="377"/>
      <c r="AA614" s="377"/>
      <c r="AB614" s="377"/>
      <c r="AC614" s="377"/>
      <c r="AD614" s="377"/>
      <c r="AE614" s="377"/>
      <c r="AF614" s="377"/>
      <c r="AG614" s="377"/>
    </row>
    <row r="615" ht="14.25" customHeight="1">
      <c r="A615" s="377"/>
      <c r="B615" s="377"/>
      <c r="C615" s="377"/>
      <c r="D615" s="377"/>
      <c r="E615" s="377"/>
      <c r="F615" s="377"/>
      <c r="G615" s="377"/>
      <c r="H615" s="377"/>
      <c r="I615" s="377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  <c r="Z615" s="377"/>
      <c r="AA615" s="377"/>
      <c r="AB615" s="377"/>
      <c r="AC615" s="377"/>
      <c r="AD615" s="377"/>
      <c r="AE615" s="377"/>
      <c r="AF615" s="377"/>
      <c r="AG615" s="377"/>
    </row>
    <row r="616" ht="14.25" customHeight="1">
      <c r="A616" s="377"/>
      <c r="B616" s="377"/>
      <c r="C616" s="377"/>
      <c r="D616" s="377"/>
      <c r="E616" s="377"/>
      <c r="F616" s="377"/>
      <c r="G616" s="377"/>
      <c r="H616" s="377"/>
      <c r="I616" s="377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  <c r="T616" s="377"/>
      <c r="U616" s="377"/>
      <c r="V616" s="377"/>
      <c r="W616" s="377"/>
      <c r="X616" s="377"/>
      <c r="Y616" s="377"/>
      <c r="Z616" s="377"/>
      <c r="AA616" s="377"/>
      <c r="AB616" s="377"/>
      <c r="AC616" s="377"/>
      <c r="AD616" s="377"/>
      <c r="AE616" s="377"/>
      <c r="AF616" s="377"/>
      <c r="AG616" s="377"/>
    </row>
    <row r="617" ht="14.25" customHeight="1">
      <c r="A617" s="377"/>
      <c r="B617" s="377"/>
      <c r="C617" s="377"/>
      <c r="D617" s="377"/>
      <c r="E617" s="377"/>
      <c r="F617" s="377"/>
      <c r="G617" s="377"/>
      <c r="H617" s="377"/>
      <c r="I617" s="377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  <c r="T617" s="377"/>
      <c r="U617" s="377"/>
      <c r="V617" s="377"/>
      <c r="W617" s="377"/>
      <c r="X617" s="377"/>
      <c r="Y617" s="377"/>
      <c r="Z617" s="377"/>
      <c r="AA617" s="377"/>
      <c r="AB617" s="377"/>
      <c r="AC617" s="377"/>
      <c r="AD617" s="377"/>
      <c r="AE617" s="377"/>
      <c r="AF617" s="377"/>
      <c r="AG617" s="377"/>
    </row>
    <row r="618" ht="14.25" customHeight="1">
      <c r="A618" s="377"/>
      <c r="B618" s="377"/>
      <c r="C618" s="377"/>
      <c r="D618" s="377"/>
      <c r="E618" s="377"/>
      <c r="F618" s="377"/>
      <c r="G618" s="377"/>
      <c r="H618" s="377"/>
      <c r="I618" s="377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  <c r="T618" s="377"/>
      <c r="U618" s="377"/>
      <c r="V618" s="377"/>
      <c r="W618" s="377"/>
      <c r="X618" s="377"/>
      <c r="Y618" s="377"/>
      <c r="Z618" s="377"/>
      <c r="AA618" s="377"/>
      <c r="AB618" s="377"/>
      <c r="AC618" s="377"/>
      <c r="AD618" s="377"/>
      <c r="AE618" s="377"/>
      <c r="AF618" s="377"/>
      <c r="AG618" s="377"/>
    </row>
    <row r="619" ht="14.25" customHeight="1">
      <c r="A619" s="377"/>
      <c r="B619" s="377"/>
      <c r="C619" s="377"/>
      <c r="D619" s="377"/>
      <c r="E619" s="377"/>
      <c r="F619" s="377"/>
      <c r="G619" s="377"/>
      <c r="H619" s="377"/>
      <c r="I619" s="377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  <c r="T619" s="377"/>
      <c r="U619" s="377"/>
      <c r="V619" s="377"/>
      <c r="W619" s="377"/>
      <c r="X619" s="377"/>
      <c r="Y619" s="377"/>
      <c r="Z619" s="377"/>
      <c r="AA619" s="377"/>
      <c r="AB619" s="377"/>
      <c r="AC619" s="377"/>
      <c r="AD619" s="377"/>
      <c r="AE619" s="377"/>
      <c r="AF619" s="377"/>
      <c r="AG619" s="377"/>
    </row>
    <row r="620" ht="14.25" customHeight="1">
      <c r="A620" s="377"/>
      <c r="B620" s="377"/>
      <c r="C620" s="377"/>
      <c r="D620" s="377"/>
      <c r="E620" s="377"/>
      <c r="F620" s="377"/>
      <c r="G620" s="377"/>
      <c r="H620" s="377"/>
      <c r="I620" s="377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  <c r="T620" s="377"/>
      <c r="U620" s="377"/>
      <c r="V620" s="377"/>
      <c r="W620" s="377"/>
      <c r="X620" s="377"/>
      <c r="Y620" s="377"/>
      <c r="Z620" s="377"/>
      <c r="AA620" s="377"/>
      <c r="AB620" s="377"/>
      <c r="AC620" s="377"/>
      <c r="AD620" s="377"/>
      <c r="AE620" s="377"/>
      <c r="AF620" s="377"/>
      <c r="AG620" s="377"/>
    </row>
    <row r="621" ht="14.25" customHeight="1">
      <c r="A621" s="377"/>
      <c r="B621" s="377"/>
      <c r="C621" s="377"/>
      <c r="D621" s="377"/>
      <c r="E621" s="377"/>
      <c r="F621" s="377"/>
      <c r="G621" s="377"/>
      <c r="H621" s="377"/>
      <c r="I621" s="377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  <c r="T621" s="377"/>
      <c r="U621" s="377"/>
      <c r="V621" s="377"/>
      <c r="W621" s="377"/>
      <c r="X621" s="377"/>
      <c r="Y621" s="377"/>
      <c r="Z621" s="377"/>
      <c r="AA621" s="377"/>
      <c r="AB621" s="377"/>
      <c r="AC621" s="377"/>
      <c r="AD621" s="377"/>
      <c r="AE621" s="377"/>
      <c r="AF621" s="377"/>
      <c r="AG621" s="377"/>
    </row>
    <row r="622" ht="14.25" customHeight="1">
      <c r="A622" s="377"/>
      <c r="B622" s="377"/>
      <c r="C622" s="377"/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  <c r="T622" s="377"/>
      <c r="U622" s="377"/>
      <c r="V622" s="377"/>
      <c r="W622" s="377"/>
      <c r="X622" s="377"/>
      <c r="Y622" s="377"/>
      <c r="Z622" s="377"/>
      <c r="AA622" s="377"/>
      <c r="AB622" s="377"/>
      <c r="AC622" s="377"/>
      <c r="AD622" s="377"/>
      <c r="AE622" s="377"/>
      <c r="AF622" s="377"/>
      <c r="AG622" s="377"/>
    </row>
    <row r="623" ht="14.25" customHeight="1">
      <c r="A623" s="377"/>
      <c r="B623" s="377"/>
      <c r="C623" s="377"/>
      <c r="D623" s="377"/>
      <c r="E623" s="377"/>
      <c r="F623" s="377"/>
      <c r="G623" s="377"/>
      <c r="H623" s="377"/>
      <c r="I623" s="377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  <c r="T623" s="377"/>
      <c r="U623" s="377"/>
      <c r="V623" s="377"/>
      <c r="W623" s="377"/>
      <c r="X623" s="377"/>
      <c r="Y623" s="377"/>
      <c r="Z623" s="377"/>
      <c r="AA623" s="377"/>
      <c r="AB623" s="377"/>
      <c r="AC623" s="377"/>
      <c r="AD623" s="377"/>
      <c r="AE623" s="377"/>
      <c r="AF623" s="377"/>
      <c r="AG623" s="377"/>
    </row>
    <row r="624" ht="14.25" customHeight="1">
      <c r="A624" s="377"/>
      <c r="B624" s="377"/>
      <c r="C624" s="377"/>
      <c r="D624" s="377"/>
      <c r="E624" s="377"/>
      <c r="F624" s="377"/>
      <c r="G624" s="377"/>
      <c r="H624" s="377"/>
      <c r="I624" s="377"/>
      <c r="J624" s="377"/>
      <c r="K624" s="377"/>
      <c r="L624" s="377"/>
      <c r="M624" s="377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  <c r="Z624" s="377"/>
      <c r="AA624" s="377"/>
      <c r="AB624" s="377"/>
      <c r="AC624" s="377"/>
      <c r="AD624" s="377"/>
      <c r="AE624" s="377"/>
      <c r="AF624" s="377"/>
      <c r="AG624" s="377"/>
    </row>
    <row r="625" ht="14.25" customHeight="1">
      <c r="A625" s="377"/>
      <c r="B625" s="377"/>
      <c r="C625" s="377"/>
      <c r="D625" s="377"/>
      <c r="E625" s="377"/>
      <c r="F625" s="377"/>
      <c r="G625" s="377"/>
      <c r="H625" s="377"/>
      <c r="I625" s="377"/>
      <c r="J625" s="377"/>
      <c r="K625" s="377"/>
      <c r="L625" s="377"/>
      <c r="M625" s="377"/>
      <c r="N625" s="377"/>
      <c r="O625" s="377"/>
      <c r="P625" s="377"/>
      <c r="Q625" s="377"/>
      <c r="R625" s="377"/>
      <c r="S625" s="377"/>
      <c r="T625" s="377"/>
      <c r="U625" s="377"/>
      <c r="V625" s="377"/>
      <c r="W625" s="377"/>
      <c r="X625" s="377"/>
      <c r="Y625" s="377"/>
      <c r="Z625" s="377"/>
      <c r="AA625" s="377"/>
      <c r="AB625" s="377"/>
      <c r="AC625" s="377"/>
      <c r="AD625" s="377"/>
      <c r="AE625" s="377"/>
      <c r="AF625" s="377"/>
      <c r="AG625" s="377"/>
    </row>
    <row r="626" ht="14.25" customHeight="1">
      <c r="A626" s="377"/>
      <c r="B626" s="377"/>
      <c r="C626" s="377"/>
      <c r="D626" s="377"/>
      <c r="E626" s="377"/>
      <c r="F626" s="377"/>
      <c r="G626" s="377"/>
      <c r="H626" s="377"/>
      <c r="I626" s="377"/>
      <c r="J626" s="377"/>
      <c r="K626" s="377"/>
      <c r="L626" s="377"/>
      <c r="M626" s="377"/>
      <c r="N626" s="377"/>
      <c r="O626" s="377"/>
      <c r="P626" s="377"/>
      <c r="Q626" s="377"/>
      <c r="R626" s="377"/>
      <c r="S626" s="377"/>
      <c r="T626" s="377"/>
      <c r="U626" s="377"/>
      <c r="V626" s="377"/>
      <c r="W626" s="377"/>
      <c r="X626" s="377"/>
      <c r="Y626" s="377"/>
      <c r="Z626" s="377"/>
      <c r="AA626" s="377"/>
      <c r="AB626" s="377"/>
      <c r="AC626" s="377"/>
      <c r="AD626" s="377"/>
      <c r="AE626" s="377"/>
      <c r="AF626" s="377"/>
      <c r="AG626" s="377"/>
    </row>
    <row r="627" ht="14.25" customHeight="1">
      <c r="A627" s="377"/>
      <c r="B627" s="377"/>
      <c r="C627" s="377"/>
      <c r="D627" s="377"/>
      <c r="E627" s="377"/>
      <c r="F627" s="377"/>
      <c r="G627" s="377"/>
      <c r="H627" s="377"/>
      <c r="I627" s="377"/>
      <c r="J627" s="377"/>
      <c r="K627" s="377"/>
      <c r="L627" s="377"/>
      <c r="M627" s="377"/>
      <c r="N627" s="377"/>
      <c r="O627" s="377"/>
      <c r="P627" s="377"/>
      <c r="Q627" s="377"/>
      <c r="R627" s="377"/>
      <c r="S627" s="377"/>
      <c r="T627" s="377"/>
      <c r="U627" s="377"/>
      <c r="V627" s="377"/>
      <c r="W627" s="377"/>
      <c r="X627" s="377"/>
      <c r="Y627" s="377"/>
      <c r="Z627" s="377"/>
      <c r="AA627" s="377"/>
      <c r="AB627" s="377"/>
      <c r="AC627" s="377"/>
      <c r="AD627" s="377"/>
      <c r="AE627" s="377"/>
      <c r="AF627" s="377"/>
      <c r="AG627" s="377"/>
    </row>
    <row r="628" ht="14.25" customHeight="1">
      <c r="A628" s="377"/>
      <c r="B628" s="377"/>
      <c r="C628" s="377"/>
      <c r="D628" s="377"/>
      <c r="E628" s="377"/>
      <c r="F628" s="377"/>
      <c r="G628" s="377"/>
      <c r="H628" s="377"/>
      <c r="I628" s="377"/>
      <c r="J628" s="377"/>
      <c r="K628" s="377"/>
      <c r="L628" s="377"/>
      <c r="M628" s="377"/>
      <c r="N628" s="377"/>
      <c r="O628" s="377"/>
      <c r="P628" s="377"/>
      <c r="Q628" s="377"/>
      <c r="R628" s="377"/>
      <c r="S628" s="377"/>
      <c r="T628" s="377"/>
      <c r="U628" s="377"/>
      <c r="V628" s="377"/>
      <c r="W628" s="377"/>
      <c r="X628" s="377"/>
      <c r="Y628" s="377"/>
      <c r="Z628" s="377"/>
      <c r="AA628" s="377"/>
      <c r="AB628" s="377"/>
      <c r="AC628" s="377"/>
      <c r="AD628" s="377"/>
      <c r="AE628" s="377"/>
      <c r="AF628" s="377"/>
      <c r="AG628" s="377"/>
    </row>
    <row r="629" ht="14.25" customHeight="1">
      <c r="A629" s="377"/>
      <c r="B629" s="377"/>
      <c r="C629" s="377"/>
      <c r="D629" s="377"/>
      <c r="E629" s="377"/>
      <c r="F629" s="377"/>
      <c r="G629" s="377"/>
      <c r="H629" s="377"/>
      <c r="I629" s="377"/>
      <c r="J629" s="377"/>
      <c r="K629" s="377"/>
      <c r="L629" s="377"/>
      <c r="M629" s="377"/>
      <c r="N629" s="377"/>
      <c r="O629" s="377"/>
      <c r="P629" s="377"/>
      <c r="Q629" s="377"/>
      <c r="R629" s="377"/>
      <c r="S629" s="377"/>
      <c r="T629" s="377"/>
      <c r="U629" s="377"/>
      <c r="V629" s="377"/>
      <c r="W629" s="377"/>
      <c r="X629" s="377"/>
      <c r="Y629" s="377"/>
      <c r="Z629" s="377"/>
      <c r="AA629" s="377"/>
      <c r="AB629" s="377"/>
      <c r="AC629" s="377"/>
      <c r="AD629" s="377"/>
      <c r="AE629" s="377"/>
      <c r="AF629" s="377"/>
      <c r="AG629" s="377"/>
    </row>
    <row r="630" ht="14.25" customHeight="1">
      <c r="A630" s="377"/>
      <c r="B630" s="377"/>
      <c r="C630" s="377"/>
      <c r="D630" s="377"/>
      <c r="E630" s="377"/>
      <c r="F630" s="377"/>
      <c r="G630" s="377"/>
      <c r="H630" s="377"/>
      <c r="I630" s="377"/>
      <c r="J630" s="377"/>
      <c r="K630" s="377"/>
      <c r="L630" s="377"/>
      <c r="M630" s="377"/>
      <c r="N630" s="377"/>
      <c r="O630" s="377"/>
      <c r="P630" s="377"/>
      <c r="Q630" s="377"/>
      <c r="R630" s="377"/>
      <c r="S630" s="377"/>
      <c r="T630" s="377"/>
      <c r="U630" s="377"/>
      <c r="V630" s="377"/>
      <c r="W630" s="377"/>
      <c r="X630" s="377"/>
      <c r="Y630" s="377"/>
      <c r="Z630" s="377"/>
      <c r="AA630" s="377"/>
      <c r="AB630" s="377"/>
      <c r="AC630" s="377"/>
      <c r="AD630" s="377"/>
      <c r="AE630" s="377"/>
      <c r="AF630" s="377"/>
      <c r="AG630" s="377"/>
    </row>
    <row r="631" ht="14.25" customHeight="1">
      <c r="A631" s="377"/>
      <c r="B631" s="377"/>
      <c r="C631" s="377"/>
      <c r="D631" s="377"/>
      <c r="E631" s="377"/>
      <c r="F631" s="377"/>
      <c r="G631" s="377"/>
      <c r="H631" s="377"/>
      <c r="I631" s="377"/>
      <c r="J631" s="377"/>
      <c r="K631" s="377"/>
      <c r="L631" s="377"/>
      <c r="M631" s="377"/>
      <c r="N631" s="377"/>
      <c r="O631" s="377"/>
      <c r="P631" s="377"/>
      <c r="Q631" s="377"/>
      <c r="R631" s="377"/>
      <c r="S631" s="377"/>
      <c r="T631" s="377"/>
      <c r="U631" s="377"/>
      <c r="V631" s="377"/>
      <c r="W631" s="377"/>
      <c r="X631" s="377"/>
      <c r="Y631" s="377"/>
      <c r="Z631" s="377"/>
      <c r="AA631" s="377"/>
      <c r="AB631" s="377"/>
      <c r="AC631" s="377"/>
      <c r="AD631" s="377"/>
      <c r="AE631" s="377"/>
      <c r="AF631" s="377"/>
      <c r="AG631" s="377"/>
    </row>
    <row r="632" ht="14.25" customHeight="1">
      <c r="A632" s="377"/>
      <c r="B632" s="377"/>
      <c r="C632" s="377"/>
      <c r="D632" s="377"/>
      <c r="E632" s="377"/>
      <c r="F632" s="377"/>
      <c r="G632" s="377"/>
      <c r="H632" s="377"/>
      <c r="I632" s="377"/>
      <c r="J632" s="377"/>
      <c r="K632" s="377"/>
      <c r="L632" s="377"/>
      <c r="M632" s="377"/>
      <c r="N632" s="377"/>
      <c r="O632" s="377"/>
      <c r="P632" s="377"/>
      <c r="Q632" s="377"/>
      <c r="R632" s="377"/>
      <c r="S632" s="377"/>
      <c r="T632" s="377"/>
      <c r="U632" s="377"/>
      <c r="V632" s="377"/>
      <c r="W632" s="377"/>
      <c r="X632" s="377"/>
      <c r="Y632" s="377"/>
      <c r="Z632" s="377"/>
      <c r="AA632" s="377"/>
      <c r="AB632" s="377"/>
      <c r="AC632" s="377"/>
      <c r="AD632" s="377"/>
      <c r="AE632" s="377"/>
      <c r="AF632" s="377"/>
      <c r="AG632" s="377"/>
    </row>
    <row r="633" ht="14.25" customHeight="1">
      <c r="A633" s="377"/>
      <c r="B633" s="377"/>
      <c r="C633" s="377"/>
      <c r="D633" s="377"/>
      <c r="E633" s="377"/>
      <c r="F633" s="377"/>
      <c r="G633" s="377"/>
      <c r="H633" s="377"/>
      <c r="I633" s="377"/>
      <c r="J633" s="377"/>
      <c r="K633" s="377"/>
      <c r="L633" s="377"/>
      <c r="M633" s="377"/>
      <c r="N633" s="377"/>
      <c r="O633" s="377"/>
      <c r="P633" s="377"/>
      <c r="Q633" s="377"/>
      <c r="R633" s="377"/>
      <c r="S633" s="377"/>
      <c r="T633" s="377"/>
      <c r="U633" s="377"/>
      <c r="V633" s="377"/>
      <c r="W633" s="377"/>
      <c r="X633" s="377"/>
      <c r="Y633" s="377"/>
      <c r="Z633" s="377"/>
      <c r="AA633" s="377"/>
      <c r="AB633" s="377"/>
      <c r="AC633" s="377"/>
      <c r="AD633" s="377"/>
      <c r="AE633" s="377"/>
      <c r="AF633" s="377"/>
      <c r="AG633" s="377"/>
    </row>
    <row r="634" ht="14.25" customHeight="1">
      <c r="A634" s="377"/>
      <c r="B634" s="377"/>
      <c r="C634" s="377"/>
      <c r="D634" s="377"/>
      <c r="E634" s="377"/>
      <c r="F634" s="377"/>
      <c r="G634" s="377"/>
      <c r="H634" s="377"/>
      <c r="I634" s="377"/>
      <c r="J634" s="377"/>
      <c r="K634" s="377"/>
      <c r="L634" s="377"/>
      <c r="M634" s="377"/>
      <c r="N634" s="377"/>
      <c r="O634" s="377"/>
      <c r="P634" s="377"/>
      <c r="Q634" s="377"/>
      <c r="R634" s="377"/>
      <c r="S634" s="377"/>
      <c r="T634" s="377"/>
      <c r="U634" s="377"/>
      <c r="V634" s="377"/>
      <c r="W634" s="377"/>
      <c r="X634" s="377"/>
      <c r="Y634" s="377"/>
      <c r="Z634" s="377"/>
      <c r="AA634" s="377"/>
      <c r="AB634" s="377"/>
      <c r="AC634" s="377"/>
      <c r="AD634" s="377"/>
      <c r="AE634" s="377"/>
      <c r="AF634" s="377"/>
      <c r="AG634" s="377"/>
    </row>
    <row r="635" ht="14.25" customHeight="1">
      <c r="A635" s="377"/>
      <c r="B635" s="377"/>
      <c r="C635" s="377"/>
      <c r="D635" s="377"/>
      <c r="E635" s="377"/>
      <c r="F635" s="377"/>
      <c r="G635" s="377"/>
      <c r="H635" s="377"/>
      <c r="I635" s="377"/>
      <c r="J635" s="377"/>
      <c r="K635" s="377"/>
      <c r="L635" s="377"/>
      <c r="M635" s="377"/>
      <c r="N635" s="377"/>
      <c r="O635" s="377"/>
      <c r="P635" s="377"/>
      <c r="Q635" s="377"/>
      <c r="R635" s="377"/>
      <c r="S635" s="377"/>
      <c r="T635" s="377"/>
      <c r="U635" s="377"/>
      <c r="V635" s="377"/>
      <c r="W635" s="377"/>
      <c r="X635" s="377"/>
      <c r="Y635" s="377"/>
      <c r="Z635" s="377"/>
      <c r="AA635" s="377"/>
      <c r="AB635" s="377"/>
      <c r="AC635" s="377"/>
      <c r="AD635" s="377"/>
      <c r="AE635" s="377"/>
      <c r="AF635" s="377"/>
      <c r="AG635" s="377"/>
    </row>
    <row r="636" ht="14.25" customHeight="1">
      <c r="A636" s="377"/>
      <c r="B636" s="377"/>
      <c r="C636" s="377"/>
      <c r="D636" s="377"/>
      <c r="E636" s="377"/>
      <c r="F636" s="377"/>
      <c r="G636" s="377"/>
      <c r="H636" s="377"/>
      <c r="I636" s="377"/>
      <c r="J636" s="377"/>
      <c r="K636" s="377"/>
      <c r="L636" s="377"/>
      <c r="M636" s="377"/>
      <c r="N636" s="377"/>
      <c r="O636" s="377"/>
      <c r="P636" s="377"/>
      <c r="Q636" s="377"/>
      <c r="R636" s="377"/>
      <c r="S636" s="377"/>
      <c r="T636" s="377"/>
      <c r="U636" s="377"/>
      <c r="V636" s="377"/>
      <c r="W636" s="377"/>
      <c r="X636" s="377"/>
      <c r="Y636" s="377"/>
      <c r="Z636" s="377"/>
      <c r="AA636" s="377"/>
      <c r="AB636" s="377"/>
      <c r="AC636" s="377"/>
      <c r="AD636" s="377"/>
      <c r="AE636" s="377"/>
      <c r="AF636" s="377"/>
      <c r="AG636" s="377"/>
    </row>
    <row r="637" ht="14.25" customHeight="1">
      <c r="A637" s="377"/>
      <c r="B637" s="377"/>
      <c r="C637" s="377"/>
      <c r="D637" s="377"/>
      <c r="E637" s="377"/>
      <c r="F637" s="377"/>
      <c r="G637" s="377"/>
      <c r="H637" s="377"/>
      <c r="I637" s="377"/>
      <c r="J637" s="377"/>
      <c r="K637" s="377"/>
      <c r="L637" s="377"/>
      <c r="M637" s="377"/>
      <c r="N637" s="377"/>
      <c r="O637" s="377"/>
      <c r="P637" s="377"/>
      <c r="Q637" s="377"/>
      <c r="R637" s="377"/>
      <c r="S637" s="377"/>
      <c r="T637" s="377"/>
      <c r="U637" s="377"/>
      <c r="V637" s="377"/>
      <c r="W637" s="377"/>
      <c r="X637" s="377"/>
      <c r="Y637" s="377"/>
      <c r="Z637" s="377"/>
      <c r="AA637" s="377"/>
      <c r="AB637" s="377"/>
      <c r="AC637" s="377"/>
      <c r="AD637" s="377"/>
      <c r="AE637" s="377"/>
      <c r="AF637" s="377"/>
      <c r="AG637" s="377"/>
    </row>
    <row r="638" ht="14.25" customHeight="1">
      <c r="A638" s="377"/>
      <c r="B638" s="377"/>
      <c r="C638" s="377"/>
      <c r="D638" s="377"/>
      <c r="E638" s="377"/>
      <c r="F638" s="377"/>
      <c r="G638" s="377"/>
      <c r="H638" s="377"/>
      <c r="I638" s="377"/>
      <c r="J638" s="377"/>
      <c r="K638" s="377"/>
      <c r="L638" s="377"/>
      <c r="M638" s="377"/>
      <c r="N638" s="377"/>
      <c r="O638" s="377"/>
      <c r="P638" s="377"/>
      <c r="Q638" s="377"/>
      <c r="R638" s="377"/>
      <c r="S638" s="377"/>
      <c r="T638" s="377"/>
      <c r="U638" s="377"/>
      <c r="V638" s="377"/>
      <c r="W638" s="377"/>
      <c r="X638" s="377"/>
      <c r="Y638" s="377"/>
      <c r="Z638" s="377"/>
      <c r="AA638" s="377"/>
      <c r="AB638" s="377"/>
      <c r="AC638" s="377"/>
      <c r="AD638" s="377"/>
      <c r="AE638" s="377"/>
      <c r="AF638" s="377"/>
      <c r="AG638" s="377"/>
    </row>
    <row r="639" ht="14.25" customHeight="1">
      <c r="A639" s="377"/>
      <c r="B639" s="377"/>
      <c r="C639" s="377"/>
      <c r="D639" s="377"/>
      <c r="E639" s="377"/>
      <c r="F639" s="377"/>
      <c r="G639" s="377"/>
      <c r="H639" s="377"/>
      <c r="I639" s="377"/>
      <c r="J639" s="377"/>
      <c r="K639" s="377"/>
      <c r="L639" s="377"/>
      <c r="M639" s="377"/>
      <c r="N639" s="377"/>
      <c r="O639" s="377"/>
      <c r="P639" s="377"/>
      <c r="Q639" s="377"/>
      <c r="R639" s="377"/>
      <c r="S639" s="377"/>
      <c r="T639" s="377"/>
      <c r="U639" s="377"/>
      <c r="V639" s="377"/>
      <c r="W639" s="377"/>
      <c r="X639" s="377"/>
      <c r="Y639" s="377"/>
      <c r="Z639" s="377"/>
      <c r="AA639" s="377"/>
      <c r="AB639" s="377"/>
      <c r="AC639" s="377"/>
      <c r="AD639" s="377"/>
      <c r="AE639" s="377"/>
      <c r="AF639" s="377"/>
      <c r="AG639" s="377"/>
    </row>
    <row r="640" ht="14.25" customHeight="1">
      <c r="A640" s="377"/>
      <c r="B640" s="377"/>
      <c r="C640" s="377"/>
      <c r="D640" s="377"/>
      <c r="E640" s="377"/>
      <c r="F640" s="377"/>
      <c r="G640" s="377"/>
      <c r="H640" s="377"/>
      <c r="I640" s="377"/>
      <c r="J640" s="377"/>
      <c r="K640" s="377"/>
      <c r="L640" s="377"/>
      <c r="M640" s="377"/>
      <c r="N640" s="377"/>
      <c r="O640" s="377"/>
      <c r="P640" s="377"/>
      <c r="Q640" s="377"/>
      <c r="R640" s="377"/>
      <c r="S640" s="377"/>
      <c r="T640" s="377"/>
      <c r="U640" s="377"/>
      <c r="V640" s="377"/>
      <c r="W640" s="377"/>
      <c r="X640" s="377"/>
      <c r="Y640" s="377"/>
      <c r="Z640" s="377"/>
      <c r="AA640" s="377"/>
      <c r="AB640" s="377"/>
      <c r="AC640" s="377"/>
      <c r="AD640" s="377"/>
      <c r="AE640" s="377"/>
      <c r="AF640" s="377"/>
      <c r="AG640" s="377"/>
    </row>
    <row r="641" ht="14.25" customHeight="1">
      <c r="A641" s="377"/>
      <c r="B641" s="377"/>
      <c r="C641" s="377"/>
      <c r="D641" s="377"/>
      <c r="E641" s="377"/>
      <c r="F641" s="377"/>
      <c r="G641" s="377"/>
      <c r="H641" s="377"/>
      <c r="I641" s="377"/>
      <c r="J641" s="377"/>
      <c r="K641" s="377"/>
      <c r="L641" s="377"/>
      <c r="M641" s="377"/>
      <c r="N641" s="377"/>
      <c r="O641" s="377"/>
      <c r="P641" s="377"/>
      <c r="Q641" s="377"/>
      <c r="R641" s="377"/>
      <c r="S641" s="377"/>
      <c r="T641" s="377"/>
      <c r="U641" s="377"/>
      <c r="V641" s="377"/>
      <c r="W641" s="377"/>
      <c r="X641" s="377"/>
      <c r="Y641" s="377"/>
      <c r="Z641" s="377"/>
      <c r="AA641" s="377"/>
      <c r="AB641" s="377"/>
      <c r="AC641" s="377"/>
      <c r="AD641" s="377"/>
      <c r="AE641" s="377"/>
      <c r="AF641" s="377"/>
      <c r="AG641" s="377"/>
    </row>
    <row r="642" ht="14.25" customHeight="1">
      <c r="A642" s="377"/>
      <c r="B642" s="377"/>
      <c r="C642" s="377"/>
      <c r="D642" s="377"/>
      <c r="E642" s="377"/>
      <c r="F642" s="377"/>
      <c r="G642" s="377"/>
      <c r="H642" s="377"/>
      <c r="I642" s="377"/>
      <c r="J642" s="377"/>
      <c r="K642" s="377"/>
      <c r="L642" s="377"/>
      <c r="M642" s="377"/>
      <c r="N642" s="377"/>
      <c r="O642" s="377"/>
      <c r="P642" s="377"/>
      <c r="Q642" s="377"/>
      <c r="R642" s="377"/>
      <c r="S642" s="377"/>
      <c r="T642" s="377"/>
      <c r="U642" s="377"/>
      <c r="V642" s="377"/>
      <c r="W642" s="377"/>
      <c r="X642" s="377"/>
      <c r="Y642" s="377"/>
      <c r="Z642" s="377"/>
      <c r="AA642" s="377"/>
      <c r="AB642" s="377"/>
      <c r="AC642" s="377"/>
      <c r="AD642" s="377"/>
      <c r="AE642" s="377"/>
      <c r="AF642" s="377"/>
      <c r="AG642" s="377"/>
    </row>
    <row r="643" ht="14.25" customHeight="1">
      <c r="A643" s="377"/>
      <c r="B643" s="377"/>
      <c r="C643" s="377"/>
      <c r="D643" s="377"/>
      <c r="E643" s="377"/>
      <c r="F643" s="377"/>
      <c r="G643" s="377"/>
      <c r="H643" s="377"/>
      <c r="I643" s="377"/>
      <c r="J643" s="377"/>
      <c r="K643" s="377"/>
      <c r="L643" s="377"/>
      <c r="M643" s="377"/>
      <c r="N643" s="377"/>
      <c r="O643" s="377"/>
      <c r="P643" s="377"/>
      <c r="Q643" s="377"/>
      <c r="R643" s="377"/>
      <c r="S643" s="377"/>
      <c r="T643" s="377"/>
      <c r="U643" s="377"/>
      <c r="V643" s="377"/>
      <c r="W643" s="377"/>
      <c r="X643" s="377"/>
      <c r="Y643" s="377"/>
      <c r="Z643" s="377"/>
      <c r="AA643" s="377"/>
      <c r="AB643" s="377"/>
      <c r="AC643" s="377"/>
      <c r="AD643" s="377"/>
      <c r="AE643" s="377"/>
      <c r="AF643" s="377"/>
      <c r="AG643" s="377"/>
    </row>
    <row r="644" ht="14.25" customHeight="1">
      <c r="A644" s="377"/>
      <c r="B644" s="377"/>
      <c r="C644" s="377"/>
      <c r="D644" s="377"/>
      <c r="E644" s="377"/>
      <c r="F644" s="377"/>
      <c r="G644" s="377"/>
      <c r="H644" s="377"/>
      <c r="I644" s="377"/>
      <c r="J644" s="377"/>
      <c r="K644" s="377"/>
      <c r="L644" s="377"/>
      <c r="M644" s="377"/>
      <c r="N644" s="377"/>
      <c r="O644" s="377"/>
      <c r="P644" s="377"/>
      <c r="Q644" s="377"/>
      <c r="R644" s="377"/>
      <c r="S644" s="377"/>
      <c r="T644" s="377"/>
      <c r="U644" s="377"/>
      <c r="V644" s="377"/>
      <c r="W644" s="377"/>
      <c r="X644" s="377"/>
      <c r="Y644" s="377"/>
      <c r="Z644" s="377"/>
      <c r="AA644" s="377"/>
      <c r="AB644" s="377"/>
      <c r="AC644" s="377"/>
      <c r="AD644" s="377"/>
      <c r="AE644" s="377"/>
      <c r="AF644" s="377"/>
      <c r="AG644" s="377"/>
    </row>
    <row r="645" ht="14.25" customHeight="1">
      <c r="A645" s="377"/>
      <c r="B645" s="377"/>
      <c r="C645" s="377"/>
      <c r="D645" s="377"/>
      <c r="E645" s="377"/>
      <c r="F645" s="377"/>
      <c r="G645" s="377"/>
      <c r="H645" s="377"/>
      <c r="I645" s="377"/>
      <c r="J645" s="377"/>
      <c r="K645" s="377"/>
      <c r="L645" s="377"/>
      <c r="M645" s="377"/>
      <c r="N645" s="377"/>
      <c r="O645" s="377"/>
      <c r="P645" s="377"/>
      <c r="Q645" s="377"/>
      <c r="R645" s="377"/>
      <c r="S645" s="377"/>
      <c r="T645" s="377"/>
      <c r="U645" s="377"/>
      <c r="V645" s="377"/>
      <c r="W645" s="377"/>
      <c r="X645" s="377"/>
      <c r="Y645" s="377"/>
      <c r="Z645" s="377"/>
      <c r="AA645" s="377"/>
      <c r="AB645" s="377"/>
      <c r="AC645" s="377"/>
      <c r="AD645" s="377"/>
      <c r="AE645" s="377"/>
      <c r="AF645" s="377"/>
      <c r="AG645" s="377"/>
    </row>
    <row r="646" ht="14.25" customHeight="1">
      <c r="A646" s="377"/>
      <c r="B646" s="377"/>
      <c r="C646" s="377"/>
      <c r="D646" s="377"/>
      <c r="E646" s="377"/>
      <c r="F646" s="377"/>
      <c r="G646" s="377"/>
      <c r="H646" s="377"/>
      <c r="I646" s="377"/>
      <c r="J646" s="377"/>
      <c r="K646" s="377"/>
      <c r="L646" s="377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  <c r="Z646" s="377"/>
      <c r="AA646" s="377"/>
      <c r="AB646" s="377"/>
      <c r="AC646" s="377"/>
      <c r="AD646" s="377"/>
      <c r="AE646" s="377"/>
      <c r="AF646" s="377"/>
      <c r="AG646" s="377"/>
    </row>
    <row r="647" ht="14.25" customHeight="1">
      <c r="A647" s="377"/>
      <c r="B647" s="377"/>
      <c r="C647" s="377"/>
      <c r="D647" s="377"/>
      <c r="E647" s="377"/>
      <c r="F647" s="377"/>
      <c r="G647" s="377"/>
      <c r="H647" s="377"/>
      <c r="I647" s="377"/>
      <c r="J647" s="377"/>
      <c r="K647" s="377"/>
      <c r="L647" s="377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  <c r="Z647" s="377"/>
      <c r="AA647" s="377"/>
      <c r="AB647" s="377"/>
      <c r="AC647" s="377"/>
      <c r="AD647" s="377"/>
      <c r="AE647" s="377"/>
      <c r="AF647" s="377"/>
      <c r="AG647" s="377"/>
    </row>
    <row r="648" ht="14.25" customHeight="1">
      <c r="A648" s="377"/>
      <c r="B648" s="377"/>
      <c r="C648" s="377"/>
      <c r="D648" s="377"/>
      <c r="E648" s="377"/>
      <c r="F648" s="377"/>
      <c r="G648" s="377"/>
      <c r="H648" s="377"/>
      <c r="I648" s="377"/>
      <c r="J648" s="377"/>
      <c r="K648" s="377"/>
      <c r="L648" s="377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  <c r="Z648" s="377"/>
      <c r="AA648" s="377"/>
      <c r="AB648" s="377"/>
      <c r="AC648" s="377"/>
      <c r="AD648" s="377"/>
      <c r="AE648" s="377"/>
      <c r="AF648" s="377"/>
      <c r="AG648" s="377"/>
    </row>
    <row r="649" ht="14.25" customHeight="1">
      <c r="A649" s="377"/>
      <c r="B649" s="377"/>
      <c r="C649" s="377"/>
      <c r="D649" s="377"/>
      <c r="E649" s="377"/>
      <c r="F649" s="377"/>
      <c r="G649" s="377"/>
      <c r="H649" s="377"/>
      <c r="I649" s="377"/>
      <c r="J649" s="377"/>
      <c r="K649" s="377"/>
      <c r="L649" s="377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  <c r="Z649" s="377"/>
      <c r="AA649" s="377"/>
      <c r="AB649" s="377"/>
      <c r="AC649" s="377"/>
      <c r="AD649" s="377"/>
      <c r="AE649" s="377"/>
      <c r="AF649" s="377"/>
      <c r="AG649" s="377"/>
    </row>
    <row r="650" ht="14.25" customHeight="1">
      <c r="A650" s="377"/>
      <c r="B650" s="377"/>
      <c r="C650" s="377"/>
      <c r="D650" s="377"/>
      <c r="E650" s="377"/>
      <c r="F650" s="377"/>
      <c r="G650" s="377"/>
      <c r="H650" s="377"/>
      <c r="I650" s="377"/>
      <c r="J650" s="377"/>
      <c r="K650" s="377"/>
      <c r="L650" s="377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  <c r="Z650" s="377"/>
      <c r="AA650" s="377"/>
      <c r="AB650" s="377"/>
      <c r="AC650" s="377"/>
      <c r="AD650" s="377"/>
      <c r="AE650" s="377"/>
      <c r="AF650" s="377"/>
      <c r="AG650" s="377"/>
    </row>
    <row r="651" ht="14.25" customHeight="1">
      <c r="A651" s="377"/>
      <c r="B651" s="377"/>
      <c r="C651" s="377"/>
      <c r="D651" s="377"/>
      <c r="E651" s="377"/>
      <c r="F651" s="377"/>
      <c r="G651" s="377"/>
      <c r="H651" s="377"/>
      <c r="I651" s="377"/>
      <c r="J651" s="377"/>
      <c r="K651" s="377"/>
      <c r="L651" s="377"/>
      <c r="M651" s="377"/>
      <c r="N651" s="377"/>
      <c r="O651" s="377"/>
      <c r="P651" s="377"/>
      <c r="Q651" s="377"/>
      <c r="R651" s="377"/>
      <c r="S651" s="377"/>
      <c r="T651" s="377"/>
      <c r="U651" s="377"/>
      <c r="V651" s="377"/>
      <c r="W651" s="377"/>
      <c r="X651" s="377"/>
      <c r="Y651" s="377"/>
      <c r="Z651" s="377"/>
      <c r="AA651" s="377"/>
      <c r="AB651" s="377"/>
      <c r="AC651" s="377"/>
      <c r="AD651" s="377"/>
      <c r="AE651" s="377"/>
      <c r="AF651" s="377"/>
      <c r="AG651" s="377"/>
    </row>
    <row r="652" ht="14.25" customHeight="1">
      <c r="A652" s="377"/>
      <c r="B652" s="377"/>
      <c r="C652" s="377"/>
      <c r="D652" s="377"/>
      <c r="E652" s="377"/>
      <c r="F652" s="377"/>
      <c r="G652" s="377"/>
      <c r="H652" s="377"/>
      <c r="I652" s="377"/>
      <c r="J652" s="377"/>
      <c r="K652" s="377"/>
      <c r="L652" s="377"/>
      <c r="M652" s="377"/>
      <c r="N652" s="377"/>
      <c r="O652" s="377"/>
      <c r="P652" s="377"/>
      <c r="Q652" s="377"/>
      <c r="R652" s="377"/>
      <c r="S652" s="377"/>
      <c r="T652" s="377"/>
      <c r="U652" s="377"/>
      <c r="V652" s="377"/>
      <c r="W652" s="377"/>
      <c r="X652" s="377"/>
      <c r="Y652" s="377"/>
      <c r="Z652" s="377"/>
      <c r="AA652" s="377"/>
      <c r="AB652" s="377"/>
      <c r="AC652" s="377"/>
      <c r="AD652" s="377"/>
      <c r="AE652" s="377"/>
      <c r="AF652" s="377"/>
      <c r="AG652" s="377"/>
    </row>
    <row r="653" ht="14.25" customHeight="1">
      <c r="A653" s="377"/>
      <c r="B653" s="377"/>
      <c r="C653" s="377"/>
      <c r="D653" s="377"/>
      <c r="E653" s="377"/>
      <c r="F653" s="377"/>
      <c r="G653" s="377"/>
      <c r="H653" s="377"/>
      <c r="I653" s="377"/>
      <c r="J653" s="377"/>
      <c r="K653" s="377"/>
      <c r="L653" s="377"/>
      <c r="M653" s="377"/>
      <c r="N653" s="377"/>
      <c r="O653" s="377"/>
      <c r="P653" s="377"/>
      <c r="Q653" s="377"/>
      <c r="R653" s="377"/>
      <c r="S653" s="377"/>
      <c r="T653" s="377"/>
      <c r="U653" s="377"/>
      <c r="V653" s="377"/>
      <c r="W653" s="377"/>
      <c r="X653" s="377"/>
      <c r="Y653" s="377"/>
      <c r="Z653" s="377"/>
      <c r="AA653" s="377"/>
      <c r="AB653" s="377"/>
      <c r="AC653" s="377"/>
      <c r="AD653" s="377"/>
      <c r="AE653" s="377"/>
      <c r="AF653" s="377"/>
      <c r="AG653" s="377"/>
    </row>
    <row r="654" ht="14.25" customHeight="1">
      <c r="A654" s="377"/>
      <c r="B654" s="377"/>
      <c r="C654" s="377"/>
      <c r="D654" s="377"/>
      <c r="E654" s="377"/>
      <c r="F654" s="377"/>
      <c r="G654" s="377"/>
      <c r="H654" s="377"/>
      <c r="I654" s="377"/>
      <c r="J654" s="377"/>
      <c r="K654" s="377"/>
      <c r="L654" s="377"/>
      <c r="M654" s="377"/>
      <c r="N654" s="377"/>
      <c r="O654" s="377"/>
      <c r="P654" s="377"/>
      <c r="Q654" s="377"/>
      <c r="R654" s="377"/>
      <c r="S654" s="377"/>
      <c r="T654" s="377"/>
      <c r="U654" s="377"/>
      <c r="V654" s="377"/>
      <c r="W654" s="377"/>
      <c r="X654" s="377"/>
      <c r="Y654" s="377"/>
      <c r="Z654" s="377"/>
      <c r="AA654" s="377"/>
      <c r="AB654" s="377"/>
      <c r="AC654" s="377"/>
      <c r="AD654" s="377"/>
      <c r="AE654" s="377"/>
      <c r="AF654" s="377"/>
      <c r="AG654" s="377"/>
    </row>
    <row r="655" ht="14.25" customHeight="1">
      <c r="A655" s="377"/>
      <c r="B655" s="377"/>
      <c r="C655" s="377"/>
      <c r="D655" s="377"/>
      <c r="E655" s="377"/>
      <c r="F655" s="377"/>
      <c r="G655" s="377"/>
      <c r="H655" s="377"/>
      <c r="I655" s="377"/>
      <c r="J655" s="377"/>
      <c r="K655" s="377"/>
      <c r="L655" s="377"/>
      <c r="M655" s="377"/>
      <c r="N655" s="377"/>
      <c r="O655" s="377"/>
      <c r="P655" s="377"/>
      <c r="Q655" s="377"/>
      <c r="R655" s="377"/>
      <c r="S655" s="377"/>
      <c r="T655" s="377"/>
      <c r="U655" s="377"/>
      <c r="V655" s="377"/>
      <c r="W655" s="377"/>
      <c r="X655" s="377"/>
      <c r="Y655" s="377"/>
      <c r="Z655" s="377"/>
      <c r="AA655" s="377"/>
      <c r="AB655" s="377"/>
      <c r="AC655" s="377"/>
      <c r="AD655" s="377"/>
      <c r="AE655" s="377"/>
      <c r="AF655" s="377"/>
      <c r="AG655" s="377"/>
    </row>
    <row r="656" ht="14.25" customHeight="1">
      <c r="A656" s="377"/>
      <c r="B656" s="377"/>
      <c r="C656" s="377"/>
      <c r="D656" s="377"/>
      <c r="E656" s="377"/>
      <c r="F656" s="377"/>
      <c r="G656" s="377"/>
      <c r="H656" s="377"/>
      <c r="I656" s="377"/>
      <c r="J656" s="377"/>
      <c r="K656" s="377"/>
      <c r="L656" s="377"/>
      <c r="M656" s="377"/>
      <c r="N656" s="377"/>
      <c r="O656" s="377"/>
      <c r="P656" s="377"/>
      <c r="Q656" s="377"/>
      <c r="R656" s="377"/>
      <c r="S656" s="377"/>
      <c r="T656" s="377"/>
      <c r="U656" s="377"/>
      <c r="V656" s="377"/>
      <c r="W656" s="377"/>
      <c r="X656" s="377"/>
      <c r="Y656" s="377"/>
      <c r="Z656" s="377"/>
      <c r="AA656" s="377"/>
      <c r="AB656" s="377"/>
      <c r="AC656" s="377"/>
      <c r="AD656" s="377"/>
      <c r="AE656" s="377"/>
      <c r="AF656" s="377"/>
      <c r="AG656" s="377"/>
    </row>
    <row r="657" ht="14.25" customHeight="1">
      <c r="A657" s="377"/>
      <c r="B657" s="377"/>
      <c r="C657" s="377"/>
      <c r="D657" s="377"/>
      <c r="E657" s="377"/>
      <c r="F657" s="377"/>
      <c r="G657" s="377"/>
      <c r="H657" s="377"/>
      <c r="I657" s="377"/>
      <c r="J657" s="377"/>
      <c r="K657" s="377"/>
      <c r="L657" s="377"/>
      <c r="M657" s="377"/>
      <c r="N657" s="377"/>
      <c r="O657" s="377"/>
      <c r="P657" s="377"/>
      <c r="Q657" s="377"/>
      <c r="R657" s="377"/>
      <c r="S657" s="377"/>
      <c r="T657" s="377"/>
      <c r="U657" s="377"/>
      <c r="V657" s="377"/>
      <c r="W657" s="377"/>
      <c r="X657" s="377"/>
      <c r="Y657" s="377"/>
      <c r="Z657" s="377"/>
      <c r="AA657" s="377"/>
      <c r="AB657" s="377"/>
      <c r="AC657" s="377"/>
      <c r="AD657" s="377"/>
      <c r="AE657" s="377"/>
      <c r="AF657" s="377"/>
      <c r="AG657" s="377"/>
    </row>
    <row r="658" ht="14.25" customHeight="1">
      <c r="A658" s="377"/>
      <c r="B658" s="377"/>
      <c r="C658" s="377"/>
      <c r="D658" s="377"/>
      <c r="E658" s="377"/>
      <c r="F658" s="377"/>
      <c r="G658" s="377"/>
      <c r="H658" s="377"/>
      <c r="I658" s="377"/>
      <c r="J658" s="377"/>
      <c r="K658" s="377"/>
      <c r="L658" s="377"/>
      <c r="M658" s="377"/>
      <c r="N658" s="377"/>
      <c r="O658" s="377"/>
      <c r="P658" s="377"/>
      <c r="Q658" s="377"/>
      <c r="R658" s="377"/>
      <c r="S658" s="377"/>
      <c r="T658" s="377"/>
      <c r="U658" s="377"/>
      <c r="V658" s="377"/>
      <c r="W658" s="377"/>
      <c r="X658" s="377"/>
      <c r="Y658" s="377"/>
      <c r="Z658" s="377"/>
      <c r="AA658" s="377"/>
      <c r="AB658" s="377"/>
      <c r="AC658" s="377"/>
      <c r="AD658" s="377"/>
      <c r="AE658" s="377"/>
      <c r="AF658" s="377"/>
      <c r="AG658" s="377"/>
    </row>
    <row r="659" ht="14.25" customHeight="1">
      <c r="A659" s="377"/>
      <c r="B659" s="377"/>
      <c r="C659" s="377"/>
      <c r="D659" s="377"/>
      <c r="E659" s="377"/>
      <c r="F659" s="377"/>
      <c r="G659" s="377"/>
      <c r="H659" s="377"/>
      <c r="I659" s="377"/>
      <c r="J659" s="377"/>
      <c r="K659" s="377"/>
      <c r="L659" s="377"/>
      <c r="M659" s="377"/>
      <c r="N659" s="377"/>
      <c r="O659" s="377"/>
      <c r="P659" s="377"/>
      <c r="Q659" s="377"/>
      <c r="R659" s="377"/>
      <c r="S659" s="377"/>
      <c r="T659" s="377"/>
      <c r="U659" s="377"/>
      <c r="V659" s="377"/>
      <c r="W659" s="377"/>
      <c r="X659" s="377"/>
      <c r="Y659" s="377"/>
      <c r="Z659" s="377"/>
      <c r="AA659" s="377"/>
      <c r="AB659" s="377"/>
      <c r="AC659" s="377"/>
      <c r="AD659" s="377"/>
      <c r="AE659" s="377"/>
      <c r="AF659" s="377"/>
      <c r="AG659" s="377"/>
    </row>
    <row r="660" ht="14.25" customHeight="1">
      <c r="A660" s="377"/>
      <c r="B660" s="377"/>
      <c r="C660" s="377"/>
      <c r="D660" s="377"/>
      <c r="E660" s="377"/>
      <c r="F660" s="377"/>
      <c r="G660" s="377"/>
      <c r="H660" s="377"/>
      <c r="I660" s="377"/>
      <c r="J660" s="377"/>
      <c r="K660" s="377"/>
      <c r="L660" s="377"/>
      <c r="M660" s="377"/>
      <c r="N660" s="377"/>
      <c r="O660" s="377"/>
      <c r="P660" s="377"/>
      <c r="Q660" s="377"/>
      <c r="R660" s="377"/>
      <c r="S660" s="377"/>
      <c r="T660" s="377"/>
      <c r="U660" s="377"/>
      <c r="V660" s="377"/>
      <c r="W660" s="377"/>
      <c r="X660" s="377"/>
      <c r="Y660" s="377"/>
      <c r="Z660" s="377"/>
      <c r="AA660" s="377"/>
      <c r="AB660" s="377"/>
      <c r="AC660" s="377"/>
      <c r="AD660" s="377"/>
      <c r="AE660" s="377"/>
      <c r="AF660" s="377"/>
      <c r="AG660" s="377"/>
    </row>
    <row r="661" ht="14.25" customHeight="1">
      <c r="A661" s="377"/>
      <c r="B661" s="377"/>
      <c r="C661" s="377"/>
      <c r="D661" s="377"/>
      <c r="E661" s="377"/>
      <c r="F661" s="377"/>
      <c r="G661" s="377"/>
      <c r="H661" s="377"/>
      <c r="I661" s="377"/>
      <c r="J661" s="377"/>
      <c r="K661" s="377"/>
      <c r="L661" s="377"/>
      <c r="M661" s="377"/>
      <c r="N661" s="377"/>
      <c r="O661" s="377"/>
      <c r="P661" s="377"/>
      <c r="Q661" s="377"/>
      <c r="R661" s="377"/>
      <c r="S661" s="377"/>
      <c r="T661" s="377"/>
      <c r="U661" s="377"/>
      <c r="V661" s="377"/>
      <c r="W661" s="377"/>
      <c r="X661" s="377"/>
      <c r="Y661" s="377"/>
      <c r="Z661" s="377"/>
      <c r="AA661" s="377"/>
      <c r="AB661" s="377"/>
      <c r="AC661" s="377"/>
      <c r="AD661" s="377"/>
      <c r="AE661" s="377"/>
      <c r="AF661" s="377"/>
      <c r="AG661" s="377"/>
    </row>
    <row r="662" ht="14.25" customHeight="1">
      <c r="A662" s="377"/>
      <c r="B662" s="377"/>
      <c r="C662" s="377"/>
      <c r="D662" s="377"/>
      <c r="E662" s="377"/>
      <c r="F662" s="377"/>
      <c r="G662" s="377"/>
      <c r="H662" s="377"/>
      <c r="I662" s="377"/>
      <c r="J662" s="377"/>
      <c r="K662" s="377"/>
      <c r="L662" s="377"/>
      <c r="M662" s="377"/>
      <c r="N662" s="377"/>
      <c r="O662" s="377"/>
      <c r="P662" s="377"/>
      <c r="Q662" s="377"/>
      <c r="R662" s="377"/>
      <c r="S662" s="377"/>
      <c r="T662" s="377"/>
      <c r="U662" s="377"/>
      <c r="V662" s="377"/>
      <c r="W662" s="377"/>
      <c r="X662" s="377"/>
      <c r="Y662" s="377"/>
      <c r="Z662" s="377"/>
      <c r="AA662" s="377"/>
      <c r="AB662" s="377"/>
      <c r="AC662" s="377"/>
      <c r="AD662" s="377"/>
      <c r="AE662" s="377"/>
      <c r="AF662" s="377"/>
      <c r="AG662" s="377"/>
    </row>
    <row r="663" ht="14.25" customHeight="1">
      <c r="A663" s="377"/>
      <c r="B663" s="377"/>
      <c r="C663" s="377"/>
      <c r="D663" s="377"/>
      <c r="E663" s="377"/>
      <c r="F663" s="377"/>
      <c r="G663" s="377"/>
      <c r="H663" s="377"/>
      <c r="I663" s="377"/>
      <c r="J663" s="377"/>
      <c r="K663" s="377"/>
      <c r="L663" s="377"/>
      <c r="M663" s="377"/>
      <c r="N663" s="377"/>
      <c r="O663" s="377"/>
      <c r="P663" s="377"/>
      <c r="Q663" s="377"/>
      <c r="R663" s="377"/>
      <c r="S663" s="377"/>
      <c r="T663" s="377"/>
      <c r="U663" s="377"/>
      <c r="V663" s="377"/>
      <c r="W663" s="377"/>
      <c r="X663" s="377"/>
      <c r="Y663" s="377"/>
      <c r="Z663" s="377"/>
      <c r="AA663" s="377"/>
      <c r="AB663" s="377"/>
      <c r="AC663" s="377"/>
      <c r="AD663" s="377"/>
      <c r="AE663" s="377"/>
      <c r="AF663" s="377"/>
      <c r="AG663" s="377"/>
    </row>
    <row r="664" ht="14.25" customHeight="1">
      <c r="A664" s="377"/>
      <c r="B664" s="377"/>
      <c r="C664" s="377"/>
      <c r="D664" s="377"/>
      <c r="E664" s="377"/>
      <c r="F664" s="377"/>
      <c r="G664" s="377"/>
      <c r="H664" s="377"/>
      <c r="I664" s="377"/>
      <c r="J664" s="377"/>
      <c r="K664" s="377"/>
      <c r="L664" s="377"/>
      <c r="M664" s="377"/>
      <c r="N664" s="377"/>
      <c r="O664" s="377"/>
      <c r="P664" s="377"/>
      <c r="Q664" s="377"/>
      <c r="R664" s="377"/>
      <c r="S664" s="377"/>
      <c r="T664" s="377"/>
      <c r="U664" s="377"/>
      <c r="V664" s="377"/>
      <c r="W664" s="377"/>
      <c r="X664" s="377"/>
      <c r="Y664" s="377"/>
      <c r="Z664" s="377"/>
      <c r="AA664" s="377"/>
      <c r="AB664" s="377"/>
      <c r="AC664" s="377"/>
      <c r="AD664" s="377"/>
      <c r="AE664" s="377"/>
      <c r="AF664" s="377"/>
      <c r="AG664" s="377"/>
    </row>
    <row r="665" ht="14.25" customHeight="1">
      <c r="A665" s="377"/>
      <c r="B665" s="377"/>
      <c r="C665" s="377"/>
      <c r="D665" s="377"/>
      <c r="E665" s="377"/>
      <c r="F665" s="377"/>
      <c r="G665" s="377"/>
      <c r="H665" s="377"/>
      <c r="I665" s="377"/>
      <c r="J665" s="377"/>
      <c r="K665" s="377"/>
      <c r="L665" s="377"/>
      <c r="M665" s="377"/>
      <c r="N665" s="377"/>
      <c r="O665" s="377"/>
      <c r="P665" s="377"/>
      <c r="Q665" s="377"/>
      <c r="R665" s="377"/>
      <c r="S665" s="377"/>
      <c r="T665" s="377"/>
      <c r="U665" s="377"/>
      <c r="V665" s="377"/>
      <c r="W665" s="377"/>
      <c r="X665" s="377"/>
      <c r="Y665" s="377"/>
      <c r="Z665" s="377"/>
      <c r="AA665" s="377"/>
      <c r="AB665" s="377"/>
      <c r="AC665" s="377"/>
      <c r="AD665" s="377"/>
      <c r="AE665" s="377"/>
      <c r="AF665" s="377"/>
      <c r="AG665" s="377"/>
    </row>
    <row r="666" ht="14.25" customHeight="1">
      <c r="A666" s="377"/>
      <c r="B666" s="377"/>
      <c r="C666" s="377"/>
      <c r="D666" s="377"/>
      <c r="E666" s="377"/>
      <c r="F666" s="377"/>
      <c r="G666" s="377"/>
      <c r="H666" s="377"/>
      <c r="I666" s="377"/>
      <c r="J666" s="377"/>
      <c r="K666" s="377"/>
      <c r="L666" s="377"/>
      <c r="M666" s="377"/>
      <c r="N666" s="377"/>
      <c r="O666" s="377"/>
      <c r="P666" s="377"/>
      <c r="Q666" s="377"/>
      <c r="R666" s="377"/>
      <c r="S666" s="377"/>
      <c r="T666" s="377"/>
      <c r="U666" s="377"/>
      <c r="V666" s="377"/>
      <c r="W666" s="377"/>
      <c r="X666" s="377"/>
      <c r="Y666" s="377"/>
      <c r="Z666" s="377"/>
      <c r="AA666" s="377"/>
      <c r="AB666" s="377"/>
      <c r="AC666" s="377"/>
      <c r="AD666" s="377"/>
      <c r="AE666" s="377"/>
      <c r="AF666" s="377"/>
      <c r="AG666" s="377"/>
    </row>
    <row r="667" ht="14.25" customHeight="1">
      <c r="A667" s="377"/>
      <c r="B667" s="377"/>
      <c r="C667" s="377"/>
      <c r="D667" s="377"/>
      <c r="E667" s="377"/>
      <c r="F667" s="377"/>
      <c r="G667" s="377"/>
      <c r="H667" s="377"/>
      <c r="I667" s="377"/>
      <c r="J667" s="377"/>
      <c r="K667" s="377"/>
      <c r="L667" s="377"/>
      <c r="M667" s="377"/>
      <c r="N667" s="377"/>
      <c r="O667" s="377"/>
      <c r="P667" s="377"/>
      <c r="Q667" s="377"/>
      <c r="R667" s="377"/>
      <c r="S667" s="377"/>
      <c r="T667" s="377"/>
      <c r="U667" s="377"/>
      <c r="V667" s="377"/>
      <c r="W667" s="377"/>
      <c r="X667" s="377"/>
      <c r="Y667" s="377"/>
      <c r="Z667" s="377"/>
      <c r="AA667" s="377"/>
      <c r="AB667" s="377"/>
      <c r="AC667" s="377"/>
      <c r="AD667" s="377"/>
      <c r="AE667" s="377"/>
      <c r="AF667" s="377"/>
      <c r="AG667" s="377"/>
    </row>
    <row r="668" ht="14.25" customHeight="1">
      <c r="A668" s="377"/>
      <c r="B668" s="377"/>
      <c r="C668" s="377"/>
      <c r="D668" s="377"/>
      <c r="E668" s="377"/>
      <c r="F668" s="377"/>
      <c r="G668" s="377"/>
      <c r="H668" s="377"/>
      <c r="I668" s="377"/>
      <c r="J668" s="377"/>
      <c r="K668" s="377"/>
      <c r="L668" s="377"/>
      <c r="M668" s="377"/>
      <c r="N668" s="377"/>
      <c r="O668" s="377"/>
      <c r="P668" s="377"/>
      <c r="Q668" s="377"/>
      <c r="R668" s="377"/>
      <c r="S668" s="377"/>
      <c r="T668" s="377"/>
      <c r="U668" s="377"/>
      <c r="V668" s="377"/>
      <c r="W668" s="377"/>
      <c r="X668" s="377"/>
      <c r="Y668" s="377"/>
      <c r="Z668" s="377"/>
      <c r="AA668" s="377"/>
      <c r="AB668" s="377"/>
      <c r="AC668" s="377"/>
      <c r="AD668" s="377"/>
      <c r="AE668" s="377"/>
      <c r="AF668" s="377"/>
      <c r="AG668" s="377"/>
    </row>
    <row r="669" ht="14.25" customHeight="1">
      <c r="A669" s="377"/>
      <c r="B669" s="377"/>
      <c r="C669" s="377"/>
      <c r="D669" s="377"/>
      <c r="E669" s="377"/>
      <c r="F669" s="377"/>
      <c r="G669" s="377"/>
      <c r="H669" s="377"/>
      <c r="I669" s="377"/>
      <c r="J669" s="377"/>
      <c r="K669" s="377"/>
      <c r="L669" s="377"/>
      <c r="M669" s="377"/>
      <c r="N669" s="377"/>
      <c r="O669" s="377"/>
      <c r="P669" s="377"/>
      <c r="Q669" s="377"/>
      <c r="R669" s="377"/>
      <c r="S669" s="377"/>
      <c r="T669" s="377"/>
      <c r="U669" s="377"/>
      <c r="V669" s="377"/>
      <c r="W669" s="377"/>
      <c r="X669" s="377"/>
      <c r="Y669" s="377"/>
      <c r="Z669" s="377"/>
      <c r="AA669" s="377"/>
      <c r="AB669" s="377"/>
      <c r="AC669" s="377"/>
      <c r="AD669" s="377"/>
      <c r="AE669" s="377"/>
      <c r="AF669" s="377"/>
      <c r="AG669" s="377"/>
    </row>
    <row r="670" ht="14.25" customHeight="1">
      <c r="A670" s="377"/>
      <c r="B670" s="377"/>
      <c r="C670" s="377"/>
      <c r="D670" s="377"/>
      <c r="E670" s="377"/>
      <c r="F670" s="377"/>
      <c r="G670" s="377"/>
      <c r="H670" s="377"/>
      <c r="I670" s="377"/>
      <c r="J670" s="377"/>
      <c r="K670" s="377"/>
      <c r="L670" s="377"/>
      <c r="M670" s="377"/>
      <c r="N670" s="377"/>
      <c r="O670" s="377"/>
      <c r="P670" s="377"/>
      <c r="Q670" s="377"/>
      <c r="R670" s="377"/>
      <c r="S670" s="377"/>
      <c r="T670" s="377"/>
      <c r="U670" s="377"/>
      <c r="V670" s="377"/>
      <c r="W670" s="377"/>
      <c r="X670" s="377"/>
      <c r="Y670" s="377"/>
      <c r="Z670" s="377"/>
      <c r="AA670" s="377"/>
      <c r="AB670" s="377"/>
      <c r="AC670" s="377"/>
      <c r="AD670" s="377"/>
      <c r="AE670" s="377"/>
      <c r="AF670" s="377"/>
      <c r="AG670" s="377"/>
    </row>
    <row r="671" ht="14.25" customHeight="1">
      <c r="A671" s="377"/>
      <c r="B671" s="377"/>
      <c r="C671" s="377"/>
      <c r="D671" s="377"/>
      <c r="E671" s="377"/>
      <c r="F671" s="377"/>
      <c r="G671" s="377"/>
      <c r="H671" s="377"/>
      <c r="I671" s="377"/>
      <c r="J671" s="377"/>
      <c r="K671" s="377"/>
      <c r="L671" s="377"/>
      <c r="M671" s="377"/>
      <c r="N671" s="377"/>
      <c r="O671" s="377"/>
      <c r="P671" s="377"/>
      <c r="Q671" s="377"/>
      <c r="R671" s="377"/>
      <c r="S671" s="377"/>
      <c r="T671" s="377"/>
      <c r="U671" s="377"/>
      <c r="V671" s="377"/>
      <c r="W671" s="377"/>
      <c r="X671" s="377"/>
      <c r="Y671" s="377"/>
      <c r="Z671" s="377"/>
      <c r="AA671" s="377"/>
      <c r="AB671" s="377"/>
      <c r="AC671" s="377"/>
      <c r="AD671" s="377"/>
      <c r="AE671" s="377"/>
      <c r="AF671" s="377"/>
      <c r="AG671" s="377"/>
    </row>
    <row r="672" ht="14.25" customHeight="1">
      <c r="A672" s="377"/>
      <c r="B672" s="377"/>
      <c r="C672" s="377"/>
      <c r="D672" s="377"/>
      <c r="E672" s="377"/>
      <c r="F672" s="377"/>
      <c r="G672" s="377"/>
      <c r="H672" s="377"/>
      <c r="I672" s="377"/>
      <c r="J672" s="377"/>
      <c r="K672" s="377"/>
      <c r="L672" s="377"/>
      <c r="M672" s="377"/>
      <c r="N672" s="377"/>
      <c r="O672" s="377"/>
      <c r="P672" s="377"/>
      <c r="Q672" s="377"/>
      <c r="R672" s="377"/>
      <c r="S672" s="377"/>
      <c r="T672" s="377"/>
      <c r="U672" s="377"/>
      <c r="V672" s="377"/>
      <c r="W672" s="377"/>
      <c r="X672" s="377"/>
      <c r="Y672" s="377"/>
      <c r="Z672" s="377"/>
      <c r="AA672" s="377"/>
      <c r="AB672" s="377"/>
      <c r="AC672" s="377"/>
      <c r="AD672" s="377"/>
      <c r="AE672" s="377"/>
      <c r="AF672" s="377"/>
      <c r="AG672" s="377"/>
    </row>
    <row r="673" ht="14.25" customHeight="1">
      <c r="A673" s="377"/>
      <c r="B673" s="377"/>
      <c r="C673" s="377"/>
      <c r="D673" s="377"/>
      <c r="E673" s="377"/>
      <c r="F673" s="377"/>
      <c r="G673" s="377"/>
      <c r="H673" s="377"/>
      <c r="I673" s="377"/>
      <c r="J673" s="377"/>
      <c r="K673" s="377"/>
      <c r="L673" s="377"/>
      <c r="M673" s="377"/>
      <c r="N673" s="377"/>
      <c r="O673" s="377"/>
      <c r="P673" s="377"/>
      <c r="Q673" s="377"/>
      <c r="R673" s="377"/>
      <c r="S673" s="377"/>
      <c r="T673" s="377"/>
      <c r="U673" s="377"/>
      <c r="V673" s="377"/>
      <c r="W673" s="377"/>
      <c r="X673" s="377"/>
      <c r="Y673" s="377"/>
      <c r="Z673" s="377"/>
      <c r="AA673" s="377"/>
      <c r="AB673" s="377"/>
      <c r="AC673" s="377"/>
      <c r="AD673" s="377"/>
      <c r="AE673" s="377"/>
      <c r="AF673" s="377"/>
      <c r="AG673" s="377"/>
    </row>
    <row r="674" ht="14.25" customHeight="1">
      <c r="A674" s="377"/>
      <c r="B674" s="377"/>
      <c r="C674" s="377"/>
      <c r="D674" s="377"/>
      <c r="E674" s="377"/>
      <c r="F674" s="377"/>
      <c r="G674" s="377"/>
      <c r="H674" s="377"/>
      <c r="I674" s="377"/>
      <c r="J674" s="377"/>
      <c r="K674" s="377"/>
      <c r="L674" s="377"/>
      <c r="M674" s="377"/>
      <c r="N674" s="377"/>
      <c r="O674" s="377"/>
      <c r="P674" s="377"/>
      <c r="Q674" s="377"/>
      <c r="R674" s="377"/>
      <c r="S674" s="377"/>
      <c r="T674" s="377"/>
      <c r="U674" s="377"/>
      <c r="V674" s="377"/>
      <c r="W674" s="377"/>
      <c r="X674" s="377"/>
      <c r="Y674" s="377"/>
      <c r="Z674" s="377"/>
      <c r="AA674" s="377"/>
      <c r="AB674" s="377"/>
      <c r="AC674" s="377"/>
      <c r="AD674" s="377"/>
      <c r="AE674" s="377"/>
      <c r="AF674" s="377"/>
      <c r="AG674" s="377"/>
    </row>
    <row r="675" ht="14.25" customHeight="1">
      <c r="A675" s="377"/>
      <c r="B675" s="377"/>
      <c r="C675" s="377"/>
      <c r="D675" s="377"/>
      <c r="E675" s="377"/>
      <c r="F675" s="377"/>
      <c r="G675" s="377"/>
      <c r="H675" s="377"/>
      <c r="I675" s="377"/>
      <c r="J675" s="377"/>
      <c r="K675" s="377"/>
      <c r="L675" s="377"/>
      <c r="M675" s="377"/>
      <c r="N675" s="377"/>
      <c r="O675" s="377"/>
      <c r="P675" s="377"/>
      <c r="Q675" s="377"/>
      <c r="R675" s="377"/>
      <c r="S675" s="377"/>
      <c r="T675" s="377"/>
      <c r="U675" s="377"/>
      <c r="V675" s="377"/>
      <c r="W675" s="377"/>
      <c r="X675" s="377"/>
      <c r="Y675" s="377"/>
      <c r="Z675" s="377"/>
      <c r="AA675" s="377"/>
      <c r="AB675" s="377"/>
      <c r="AC675" s="377"/>
      <c r="AD675" s="377"/>
      <c r="AE675" s="377"/>
      <c r="AF675" s="377"/>
      <c r="AG675" s="377"/>
    </row>
    <row r="676" ht="14.25" customHeight="1">
      <c r="A676" s="377"/>
      <c r="B676" s="377"/>
      <c r="C676" s="377"/>
      <c r="D676" s="377"/>
      <c r="E676" s="377"/>
      <c r="F676" s="377"/>
      <c r="G676" s="377"/>
      <c r="H676" s="377"/>
      <c r="I676" s="377"/>
      <c r="J676" s="377"/>
      <c r="K676" s="377"/>
      <c r="L676" s="377"/>
      <c r="M676" s="377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  <c r="Z676" s="377"/>
      <c r="AA676" s="377"/>
      <c r="AB676" s="377"/>
      <c r="AC676" s="377"/>
      <c r="AD676" s="377"/>
      <c r="AE676" s="377"/>
      <c r="AF676" s="377"/>
      <c r="AG676" s="377"/>
    </row>
    <row r="677" ht="14.25" customHeight="1">
      <c r="A677" s="377"/>
      <c r="B677" s="377"/>
      <c r="C677" s="377"/>
      <c r="D677" s="377"/>
      <c r="E677" s="377"/>
      <c r="F677" s="377"/>
      <c r="G677" s="377"/>
      <c r="H677" s="377"/>
      <c r="I677" s="377"/>
      <c r="J677" s="377"/>
      <c r="K677" s="377"/>
      <c r="L677" s="377"/>
      <c r="M677" s="377"/>
      <c r="N677" s="377"/>
      <c r="O677" s="377"/>
      <c r="P677" s="377"/>
      <c r="Q677" s="377"/>
      <c r="R677" s="377"/>
      <c r="S677" s="377"/>
      <c r="T677" s="377"/>
      <c r="U677" s="377"/>
      <c r="V677" s="377"/>
      <c r="W677" s="377"/>
      <c r="X677" s="377"/>
      <c r="Y677" s="377"/>
      <c r="Z677" s="377"/>
      <c r="AA677" s="377"/>
      <c r="AB677" s="377"/>
      <c r="AC677" s="377"/>
      <c r="AD677" s="377"/>
      <c r="AE677" s="377"/>
      <c r="AF677" s="377"/>
      <c r="AG677" s="377"/>
    </row>
    <row r="678" ht="14.25" customHeight="1">
      <c r="A678" s="377"/>
      <c r="B678" s="377"/>
      <c r="C678" s="377"/>
      <c r="D678" s="377"/>
      <c r="E678" s="377"/>
      <c r="F678" s="377"/>
      <c r="G678" s="377"/>
      <c r="H678" s="377"/>
      <c r="I678" s="377"/>
      <c r="J678" s="377"/>
      <c r="K678" s="377"/>
      <c r="L678" s="377"/>
      <c r="M678" s="377"/>
      <c r="N678" s="377"/>
      <c r="O678" s="377"/>
      <c r="P678" s="377"/>
      <c r="Q678" s="377"/>
      <c r="R678" s="377"/>
      <c r="S678" s="377"/>
      <c r="T678" s="377"/>
      <c r="U678" s="377"/>
      <c r="V678" s="377"/>
      <c r="W678" s="377"/>
      <c r="X678" s="377"/>
      <c r="Y678" s="377"/>
      <c r="Z678" s="377"/>
      <c r="AA678" s="377"/>
      <c r="AB678" s="377"/>
      <c r="AC678" s="377"/>
      <c r="AD678" s="377"/>
      <c r="AE678" s="377"/>
      <c r="AF678" s="377"/>
      <c r="AG678" s="377"/>
    </row>
    <row r="679" ht="14.25" customHeight="1">
      <c r="A679" s="377"/>
      <c r="B679" s="377"/>
      <c r="C679" s="377"/>
      <c r="D679" s="377"/>
      <c r="E679" s="377"/>
      <c r="F679" s="377"/>
      <c r="G679" s="377"/>
      <c r="H679" s="377"/>
      <c r="I679" s="377"/>
      <c r="J679" s="377"/>
      <c r="K679" s="377"/>
      <c r="L679" s="377"/>
      <c r="M679" s="377"/>
      <c r="N679" s="377"/>
      <c r="O679" s="377"/>
      <c r="P679" s="377"/>
      <c r="Q679" s="377"/>
      <c r="R679" s="377"/>
      <c r="S679" s="377"/>
      <c r="T679" s="377"/>
      <c r="U679" s="377"/>
      <c r="V679" s="377"/>
      <c r="W679" s="377"/>
      <c r="X679" s="377"/>
      <c r="Y679" s="377"/>
      <c r="Z679" s="377"/>
      <c r="AA679" s="377"/>
      <c r="AB679" s="377"/>
      <c r="AC679" s="377"/>
      <c r="AD679" s="377"/>
      <c r="AE679" s="377"/>
      <c r="AF679" s="377"/>
      <c r="AG679" s="377"/>
    </row>
    <row r="680" ht="14.25" customHeight="1">
      <c r="A680" s="377"/>
      <c r="B680" s="377"/>
      <c r="C680" s="377"/>
      <c r="D680" s="377"/>
      <c r="E680" s="377"/>
      <c r="F680" s="377"/>
      <c r="G680" s="377"/>
      <c r="H680" s="377"/>
      <c r="I680" s="377"/>
      <c r="J680" s="377"/>
      <c r="K680" s="377"/>
      <c r="L680" s="377"/>
      <c r="M680" s="377"/>
      <c r="N680" s="377"/>
      <c r="O680" s="377"/>
      <c r="P680" s="377"/>
      <c r="Q680" s="377"/>
      <c r="R680" s="377"/>
      <c r="S680" s="377"/>
      <c r="T680" s="377"/>
      <c r="U680" s="377"/>
      <c r="V680" s="377"/>
      <c r="W680" s="377"/>
      <c r="X680" s="377"/>
      <c r="Y680" s="377"/>
      <c r="Z680" s="377"/>
      <c r="AA680" s="377"/>
      <c r="AB680" s="377"/>
      <c r="AC680" s="377"/>
      <c r="AD680" s="377"/>
      <c r="AE680" s="377"/>
      <c r="AF680" s="377"/>
      <c r="AG680" s="377"/>
    </row>
    <row r="681" ht="14.25" customHeight="1">
      <c r="A681" s="377"/>
      <c r="B681" s="377"/>
      <c r="C681" s="377"/>
      <c r="D681" s="377"/>
      <c r="E681" s="377"/>
      <c r="F681" s="377"/>
      <c r="G681" s="377"/>
      <c r="H681" s="377"/>
      <c r="I681" s="377"/>
      <c r="J681" s="377"/>
      <c r="K681" s="377"/>
      <c r="L681" s="377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  <c r="Z681" s="377"/>
      <c r="AA681" s="377"/>
      <c r="AB681" s="377"/>
      <c r="AC681" s="377"/>
      <c r="AD681" s="377"/>
      <c r="AE681" s="377"/>
      <c r="AF681" s="377"/>
      <c r="AG681" s="377"/>
    </row>
    <row r="682" ht="14.25" customHeight="1">
      <c r="A682" s="377"/>
      <c r="B682" s="377"/>
      <c r="C682" s="377"/>
      <c r="D682" s="377"/>
      <c r="E682" s="377"/>
      <c r="F682" s="377"/>
      <c r="G682" s="377"/>
      <c r="H682" s="377"/>
      <c r="I682" s="377"/>
      <c r="J682" s="377"/>
      <c r="K682" s="377"/>
      <c r="L682" s="377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  <c r="Z682" s="377"/>
      <c r="AA682" s="377"/>
      <c r="AB682" s="377"/>
      <c r="AC682" s="377"/>
      <c r="AD682" s="377"/>
      <c r="AE682" s="377"/>
      <c r="AF682" s="377"/>
      <c r="AG682" s="377"/>
    </row>
    <row r="683" ht="14.25" customHeight="1">
      <c r="A683" s="377"/>
      <c r="B683" s="377"/>
      <c r="C683" s="377"/>
      <c r="D683" s="377"/>
      <c r="E683" s="377"/>
      <c r="F683" s="377"/>
      <c r="G683" s="377"/>
      <c r="H683" s="377"/>
      <c r="I683" s="377"/>
      <c r="J683" s="377"/>
      <c r="K683" s="377"/>
      <c r="L683" s="377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  <c r="Z683" s="377"/>
      <c r="AA683" s="377"/>
      <c r="AB683" s="377"/>
      <c r="AC683" s="377"/>
      <c r="AD683" s="377"/>
      <c r="AE683" s="377"/>
      <c r="AF683" s="377"/>
      <c r="AG683" s="377"/>
    </row>
    <row r="684" ht="14.25" customHeight="1">
      <c r="A684" s="377"/>
      <c r="B684" s="377"/>
      <c r="C684" s="377"/>
      <c r="D684" s="377"/>
      <c r="E684" s="377"/>
      <c r="F684" s="377"/>
      <c r="G684" s="377"/>
      <c r="H684" s="377"/>
      <c r="I684" s="377"/>
      <c r="J684" s="377"/>
      <c r="K684" s="377"/>
      <c r="L684" s="377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  <c r="Z684" s="377"/>
      <c r="AA684" s="377"/>
      <c r="AB684" s="377"/>
      <c r="AC684" s="377"/>
      <c r="AD684" s="377"/>
      <c r="AE684" s="377"/>
      <c r="AF684" s="377"/>
      <c r="AG684" s="377"/>
    </row>
    <row r="685" ht="14.25" customHeight="1">
      <c r="A685" s="377"/>
      <c r="B685" s="377"/>
      <c r="C685" s="377"/>
      <c r="D685" s="377"/>
      <c r="E685" s="377"/>
      <c r="F685" s="377"/>
      <c r="G685" s="377"/>
      <c r="H685" s="377"/>
      <c r="I685" s="377"/>
      <c r="J685" s="377"/>
      <c r="K685" s="377"/>
      <c r="L685" s="377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  <c r="Z685" s="377"/>
      <c r="AA685" s="377"/>
      <c r="AB685" s="377"/>
      <c r="AC685" s="377"/>
      <c r="AD685" s="377"/>
      <c r="AE685" s="377"/>
      <c r="AF685" s="377"/>
      <c r="AG685" s="377"/>
    </row>
    <row r="686" ht="14.25" customHeight="1">
      <c r="A686" s="377"/>
      <c r="B686" s="377"/>
      <c r="C686" s="377"/>
      <c r="D686" s="377"/>
      <c r="E686" s="377"/>
      <c r="F686" s="377"/>
      <c r="G686" s="377"/>
      <c r="H686" s="377"/>
      <c r="I686" s="377"/>
      <c r="J686" s="377"/>
      <c r="K686" s="377"/>
      <c r="L686" s="377"/>
      <c r="M686" s="377"/>
      <c r="N686" s="377"/>
      <c r="O686" s="377"/>
      <c r="P686" s="377"/>
      <c r="Q686" s="377"/>
      <c r="R686" s="377"/>
      <c r="S686" s="377"/>
      <c r="T686" s="377"/>
      <c r="U686" s="377"/>
      <c r="V686" s="377"/>
      <c r="W686" s="377"/>
      <c r="X686" s="377"/>
      <c r="Y686" s="377"/>
      <c r="Z686" s="377"/>
      <c r="AA686" s="377"/>
      <c r="AB686" s="377"/>
      <c r="AC686" s="377"/>
      <c r="AD686" s="377"/>
      <c r="AE686" s="377"/>
      <c r="AF686" s="377"/>
      <c r="AG686" s="377"/>
    </row>
    <row r="687" ht="14.25" customHeight="1">
      <c r="A687" s="377"/>
      <c r="B687" s="377"/>
      <c r="C687" s="377"/>
      <c r="D687" s="377"/>
      <c r="E687" s="377"/>
      <c r="F687" s="377"/>
      <c r="G687" s="377"/>
      <c r="H687" s="377"/>
      <c r="I687" s="377"/>
      <c r="J687" s="377"/>
      <c r="K687" s="377"/>
      <c r="L687" s="377"/>
      <c r="M687" s="377"/>
      <c r="N687" s="377"/>
      <c r="O687" s="377"/>
      <c r="P687" s="377"/>
      <c r="Q687" s="377"/>
      <c r="R687" s="377"/>
      <c r="S687" s="377"/>
      <c r="T687" s="377"/>
      <c r="U687" s="377"/>
      <c r="V687" s="377"/>
      <c r="W687" s="377"/>
      <c r="X687" s="377"/>
      <c r="Y687" s="377"/>
      <c r="Z687" s="377"/>
      <c r="AA687" s="377"/>
      <c r="AB687" s="377"/>
      <c r="AC687" s="377"/>
      <c r="AD687" s="377"/>
      <c r="AE687" s="377"/>
      <c r="AF687" s="377"/>
      <c r="AG687" s="377"/>
    </row>
    <row r="688" ht="14.25" customHeight="1">
      <c r="A688" s="377"/>
      <c r="B688" s="377"/>
      <c r="C688" s="377"/>
      <c r="D688" s="377"/>
      <c r="E688" s="377"/>
      <c r="F688" s="377"/>
      <c r="G688" s="377"/>
      <c r="H688" s="377"/>
      <c r="I688" s="377"/>
      <c r="J688" s="377"/>
      <c r="K688" s="377"/>
      <c r="L688" s="377"/>
      <c r="M688" s="377"/>
      <c r="N688" s="377"/>
      <c r="O688" s="377"/>
      <c r="P688" s="377"/>
      <c r="Q688" s="377"/>
      <c r="R688" s="377"/>
      <c r="S688" s="377"/>
      <c r="T688" s="377"/>
      <c r="U688" s="377"/>
      <c r="V688" s="377"/>
      <c r="W688" s="377"/>
      <c r="X688" s="377"/>
      <c r="Y688" s="377"/>
      <c r="Z688" s="377"/>
      <c r="AA688" s="377"/>
      <c r="AB688" s="377"/>
      <c r="AC688" s="377"/>
      <c r="AD688" s="377"/>
      <c r="AE688" s="377"/>
      <c r="AF688" s="377"/>
      <c r="AG688" s="377"/>
    </row>
    <row r="689" ht="14.25" customHeight="1">
      <c r="A689" s="377"/>
      <c r="B689" s="377"/>
      <c r="C689" s="377"/>
      <c r="D689" s="377"/>
      <c r="E689" s="377"/>
      <c r="F689" s="377"/>
      <c r="G689" s="377"/>
      <c r="H689" s="377"/>
      <c r="I689" s="377"/>
      <c r="J689" s="377"/>
      <c r="K689" s="377"/>
      <c r="L689" s="377"/>
      <c r="M689" s="377"/>
      <c r="N689" s="377"/>
      <c r="O689" s="377"/>
      <c r="P689" s="377"/>
      <c r="Q689" s="377"/>
      <c r="R689" s="377"/>
      <c r="S689" s="377"/>
      <c r="T689" s="377"/>
      <c r="U689" s="377"/>
      <c r="V689" s="377"/>
      <c r="W689" s="377"/>
      <c r="X689" s="377"/>
      <c r="Y689" s="377"/>
      <c r="Z689" s="377"/>
      <c r="AA689" s="377"/>
      <c r="AB689" s="377"/>
      <c r="AC689" s="377"/>
      <c r="AD689" s="377"/>
      <c r="AE689" s="377"/>
      <c r="AF689" s="377"/>
      <c r="AG689" s="377"/>
    </row>
    <row r="690" ht="14.25" customHeight="1">
      <c r="A690" s="377"/>
      <c r="B690" s="377"/>
      <c r="C690" s="377"/>
      <c r="D690" s="377"/>
      <c r="E690" s="377"/>
      <c r="F690" s="377"/>
      <c r="G690" s="377"/>
      <c r="H690" s="377"/>
      <c r="I690" s="377"/>
      <c r="J690" s="377"/>
      <c r="K690" s="377"/>
      <c r="L690" s="377"/>
      <c r="M690" s="377"/>
      <c r="N690" s="377"/>
      <c r="O690" s="377"/>
      <c r="P690" s="377"/>
      <c r="Q690" s="377"/>
      <c r="R690" s="377"/>
      <c r="S690" s="377"/>
      <c r="T690" s="377"/>
      <c r="U690" s="377"/>
      <c r="V690" s="377"/>
      <c r="W690" s="377"/>
      <c r="X690" s="377"/>
      <c r="Y690" s="377"/>
      <c r="Z690" s="377"/>
      <c r="AA690" s="377"/>
      <c r="AB690" s="377"/>
      <c r="AC690" s="377"/>
      <c r="AD690" s="377"/>
      <c r="AE690" s="377"/>
      <c r="AF690" s="377"/>
      <c r="AG690" s="377"/>
    </row>
    <row r="691" ht="14.25" customHeight="1">
      <c r="A691" s="377"/>
      <c r="B691" s="377"/>
      <c r="C691" s="377"/>
      <c r="D691" s="377"/>
      <c r="E691" s="377"/>
      <c r="F691" s="377"/>
      <c r="G691" s="377"/>
      <c r="H691" s="377"/>
      <c r="I691" s="377"/>
      <c r="J691" s="377"/>
      <c r="K691" s="377"/>
      <c r="L691" s="377"/>
      <c r="M691" s="377"/>
      <c r="N691" s="377"/>
      <c r="O691" s="377"/>
      <c r="P691" s="377"/>
      <c r="Q691" s="377"/>
      <c r="R691" s="377"/>
      <c r="S691" s="377"/>
      <c r="T691" s="377"/>
      <c r="U691" s="377"/>
      <c r="V691" s="377"/>
      <c r="W691" s="377"/>
      <c r="X691" s="377"/>
      <c r="Y691" s="377"/>
      <c r="Z691" s="377"/>
      <c r="AA691" s="377"/>
      <c r="AB691" s="377"/>
      <c r="AC691" s="377"/>
      <c r="AD691" s="377"/>
      <c r="AE691" s="377"/>
      <c r="AF691" s="377"/>
      <c r="AG691" s="377"/>
    </row>
    <row r="692" ht="14.25" customHeight="1">
      <c r="A692" s="377"/>
      <c r="B692" s="377"/>
      <c r="C692" s="377"/>
      <c r="D692" s="377"/>
      <c r="E692" s="377"/>
      <c r="F692" s="377"/>
      <c r="G692" s="377"/>
      <c r="H692" s="377"/>
      <c r="I692" s="377"/>
      <c r="J692" s="377"/>
      <c r="K692" s="377"/>
      <c r="L692" s="377"/>
      <c r="M692" s="377"/>
      <c r="N692" s="377"/>
      <c r="O692" s="377"/>
      <c r="P692" s="377"/>
      <c r="Q692" s="377"/>
      <c r="R692" s="377"/>
      <c r="S692" s="377"/>
      <c r="T692" s="377"/>
      <c r="U692" s="377"/>
      <c r="V692" s="377"/>
      <c r="W692" s="377"/>
      <c r="X692" s="377"/>
      <c r="Y692" s="377"/>
      <c r="Z692" s="377"/>
      <c r="AA692" s="377"/>
      <c r="AB692" s="377"/>
      <c r="AC692" s="377"/>
      <c r="AD692" s="377"/>
      <c r="AE692" s="377"/>
      <c r="AF692" s="377"/>
      <c r="AG692" s="377"/>
    </row>
    <row r="693" ht="14.25" customHeight="1">
      <c r="A693" s="377"/>
      <c r="B693" s="377"/>
      <c r="C693" s="377"/>
      <c r="D693" s="377"/>
      <c r="E693" s="377"/>
      <c r="F693" s="377"/>
      <c r="G693" s="377"/>
      <c r="H693" s="377"/>
      <c r="I693" s="377"/>
      <c r="J693" s="377"/>
      <c r="K693" s="377"/>
      <c r="L693" s="377"/>
      <c r="M693" s="377"/>
      <c r="N693" s="377"/>
      <c r="O693" s="377"/>
      <c r="P693" s="377"/>
      <c r="Q693" s="377"/>
      <c r="R693" s="377"/>
      <c r="S693" s="377"/>
      <c r="T693" s="377"/>
      <c r="U693" s="377"/>
      <c r="V693" s="377"/>
      <c r="W693" s="377"/>
      <c r="X693" s="377"/>
      <c r="Y693" s="377"/>
      <c r="Z693" s="377"/>
      <c r="AA693" s="377"/>
      <c r="AB693" s="377"/>
      <c r="AC693" s="377"/>
      <c r="AD693" s="377"/>
      <c r="AE693" s="377"/>
      <c r="AF693" s="377"/>
      <c r="AG693" s="377"/>
    </row>
    <row r="694" ht="14.25" customHeight="1">
      <c r="A694" s="377"/>
      <c r="B694" s="377"/>
      <c r="C694" s="377"/>
      <c r="D694" s="377"/>
      <c r="E694" s="377"/>
      <c r="F694" s="377"/>
      <c r="G694" s="377"/>
      <c r="H694" s="377"/>
      <c r="I694" s="377"/>
      <c r="J694" s="377"/>
      <c r="K694" s="377"/>
      <c r="L694" s="377"/>
      <c r="M694" s="377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  <c r="Z694" s="377"/>
      <c r="AA694" s="377"/>
      <c r="AB694" s="377"/>
      <c r="AC694" s="377"/>
      <c r="AD694" s="377"/>
      <c r="AE694" s="377"/>
      <c r="AF694" s="377"/>
      <c r="AG694" s="377"/>
    </row>
    <row r="695" ht="14.25" customHeight="1">
      <c r="A695" s="377"/>
      <c r="B695" s="377"/>
      <c r="C695" s="377"/>
      <c r="D695" s="377"/>
      <c r="E695" s="377"/>
      <c r="F695" s="377"/>
      <c r="G695" s="377"/>
      <c r="H695" s="377"/>
      <c r="I695" s="377"/>
      <c r="J695" s="377"/>
      <c r="K695" s="377"/>
      <c r="L695" s="377"/>
      <c r="M695" s="377"/>
      <c r="N695" s="377"/>
      <c r="O695" s="377"/>
      <c r="P695" s="377"/>
      <c r="Q695" s="377"/>
      <c r="R695" s="377"/>
      <c r="S695" s="377"/>
      <c r="T695" s="377"/>
      <c r="U695" s="377"/>
      <c r="V695" s="377"/>
      <c r="W695" s="377"/>
      <c r="X695" s="377"/>
      <c r="Y695" s="377"/>
      <c r="Z695" s="377"/>
      <c r="AA695" s="377"/>
      <c r="AB695" s="377"/>
      <c r="AC695" s="377"/>
      <c r="AD695" s="377"/>
      <c r="AE695" s="377"/>
      <c r="AF695" s="377"/>
      <c r="AG695" s="377"/>
    </row>
    <row r="696" ht="14.25" customHeight="1">
      <c r="A696" s="377"/>
      <c r="B696" s="377"/>
      <c r="C696" s="377"/>
      <c r="D696" s="377"/>
      <c r="E696" s="377"/>
      <c r="F696" s="377"/>
      <c r="G696" s="377"/>
      <c r="H696" s="377"/>
      <c r="I696" s="377"/>
      <c r="J696" s="377"/>
      <c r="K696" s="377"/>
      <c r="L696" s="377"/>
      <c r="M696" s="377"/>
      <c r="N696" s="377"/>
      <c r="O696" s="377"/>
      <c r="P696" s="377"/>
      <c r="Q696" s="377"/>
      <c r="R696" s="377"/>
      <c r="S696" s="377"/>
      <c r="T696" s="377"/>
      <c r="U696" s="377"/>
      <c r="V696" s="377"/>
      <c r="W696" s="377"/>
      <c r="X696" s="377"/>
      <c r="Y696" s="377"/>
      <c r="Z696" s="377"/>
      <c r="AA696" s="377"/>
      <c r="AB696" s="377"/>
      <c r="AC696" s="377"/>
      <c r="AD696" s="377"/>
      <c r="AE696" s="377"/>
      <c r="AF696" s="377"/>
      <c r="AG696" s="377"/>
    </row>
    <row r="697" ht="14.25" customHeight="1">
      <c r="A697" s="377"/>
      <c r="B697" s="377"/>
      <c r="C697" s="377"/>
      <c r="D697" s="377"/>
      <c r="E697" s="377"/>
      <c r="F697" s="377"/>
      <c r="G697" s="377"/>
      <c r="H697" s="377"/>
      <c r="I697" s="377"/>
      <c r="J697" s="377"/>
      <c r="K697" s="377"/>
      <c r="L697" s="377"/>
      <c r="M697" s="377"/>
      <c r="N697" s="377"/>
      <c r="O697" s="377"/>
      <c r="P697" s="377"/>
      <c r="Q697" s="377"/>
      <c r="R697" s="377"/>
      <c r="S697" s="377"/>
      <c r="T697" s="377"/>
      <c r="U697" s="377"/>
      <c r="V697" s="377"/>
      <c r="W697" s="377"/>
      <c r="X697" s="377"/>
      <c r="Y697" s="377"/>
      <c r="Z697" s="377"/>
      <c r="AA697" s="377"/>
      <c r="AB697" s="377"/>
      <c r="AC697" s="377"/>
      <c r="AD697" s="377"/>
      <c r="AE697" s="377"/>
      <c r="AF697" s="377"/>
      <c r="AG697" s="377"/>
    </row>
    <row r="698" ht="14.25" customHeight="1">
      <c r="A698" s="377"/>
      <c r="B698" s="377"/>
      <c r="C698" s="377"/>
      <c r="D698" s="377"/>
      <c r="E698" s="377"/>
      <c r="F698" s="377"/>
      <c r="G698" s="377"/>
      <c r="H698" s="377"/>
      <c r="I698" s="377"/>
      <c r="J698" s="377"/>
      <c r="K698" s="377"/>
      <c r="L698" s="377"/>
      <c r="M698" s="377"/>
      <c r="N698" s="377"/>
      <c r="O698" s="377"/>
      <c r="P698" s="377"/>
      <c r="Q698" s="377"/>
      <c r="R698" s="377"/>
      <c r="S698" s="377"/>
      <c r="T698" s="377"/>
      <c r="U698" s="377"/>
      <c r="V698" s="377"/>
      <c r="W698" s="377"/>
      <c r="X698" s="377"/>
      <c r="Y698" s="377"/>
      <c r="Z698" s="377"/>
      <c r="AA698" s="377"/>
      <c r="AB698" s="377"/>
      <c r="AC698" s="377"/>
      <c r="AD698" s="377"/>
      <c r="AE698" s="377"/>
      <c r="AF698" s="377"/>
      <c r="AG698" s="377"/>
    </row>
    <row r="699" ht="14.25" customHeight="1">
      <c r="A699" s="377"/>
      <c r="B699" s="377"/>
      <c r="C699" s="377"/>
      <c r="D699" s="377"/>
      <c r="E699" s="377"/>
      <c r="F699" s="377"/>
      <c r="G699" s="377"/>
      <c r="H699" s="377"/>
      <c r="I699" s="377"/>
      <c r="J699" s="377"/>
      <c r="K699" s="377"/>
      <c r="L699" s="377"/>
      <c r="M699" s="377"/>
      <c r="N699" s="377"/>
      <c r="O699" s="377"/>
      <c r="P699" s="377"/>
      <c r="Q699" s="377"/>
      <c r="R699" s="377"/>
      <c r="S699" s="377"/>
      <c r="T699" s="377"/>
      <c r="U699" s="377"/>
      <c r="V699" s="377"/>
      <c r="W699" s="377"/>
      <c r="X699" s="377"/>
      <c r="Y699" s="377"/>
      <c r="Z699" s="377"/>
      <c r="AA699" s="377"/>
      <c r="AB699" s="377"/>
      <c r="AC699" s="377"/>
      <c r="AD699" s="377"/>
      <c r="AE699" s="377"/>
      <c r="AF699" s="377"/>
      <c r="AG699" s="377"/>
    </row>
    <row r="700" ht="14.25" customHeight="1">
      <c r="A700" s="377"/>
      <c r="B700" s="377"/>
      <c r="C700" s="377"/>
      <c r="D700" s="377"/>
      <c r="E700" s="377"/>
      <c r="F700" s="377"/>
      <c r="G700" s="377"/>
      <c r="H700" s="377"/>
      <c r="I700" s="377"/>
      <c r="J700" s="377"/>
      <c r="K700" s="377"/>
      <c r="L700" s="377"/>
      <c r="M700" s="377"/>
      <c r="N700" s="377"/>
      <c r="O700" s="377"/>
      <c r="P700" s="377"/>
      <c r="Q700" s="377"/>
      <c r="R700" s="377"/>
      <c r="S700" s="377"/>
      <c r="T700" s="377"/>
      <c r="U700" s="377"/>
      <c r="V700" s="377"/>
      <c r="W700" s="377"/>
      <c r="X700" s="377"/>
      <c r="Y700" s="377"/>
      <c r="Z700" s="377"/>
      <c r="AA700" s="377"/>
      <c r="AB700" s="377"/>
      <c r="AC700" s="377"/>
      <c r="AD700" s="377"/>
      <c r="AE700" s="377"/>
      <c r="AF700" s="377"/>
      <c r="AG700" s="377"/>
    </row>
    <row r="701" ht="14.25" customHeight="1">
      <c r="A701" s="377"/>
      <c r="B701" s="377"/>
      <c r="C701" s="377"/>
      <c r="D701" s="377"/>
      <c r="E701" s="377"/>
      <c r="F701" s="377"/>
      <c r="G701" s="377"/>
      <c r="H701" s="377"/>
      <c r="I701" s="377"/>
      <c r="J701" s="377"/>
      <c r="K701" s="377"/>
      <c r="L701" s="377"/>
      <c r="M701" s="377"/>
      <c r="N701" s="377"/>
      <c r="O701" s="377"/>
      <c r="P701" s="377"/>
      <c r="Q701" s="377"/>
      <c r="R701" s="377"/>
      <c r="S701" s="377"/>
      <c r="T701" s="377"/>
      <c r="U701" s="377"/>
      <c r="V701" s="377"/>
      <c r="W701" s="377"/>
      <c r="X701" s="377"/>
      <c r="Y701" s="377"/>
      <c r="Z701" s="377"/>
      <c r="AA701" s="377"/>
      <c r="AB701" s="377"/>
      <c r="AC701" s="377"/>
      <c r="AD701" s="377"/>
      <c r="AE701" s="377"/>
      <c r="AF701" s="377"/>
      <c r="AG701" s="377"/>
    </row>
    <row r="702" ht="14.25" customHeight="1">
      <c r="A702" s="377"/>
      <c r="B702" s="377"/>
      <c r="C702" s="377"/>
      <c r="D702" s="377"/>
      <c r="E702" s="377"/>
      <c r="F702" s="377"/>
      <c r="G702" s="377"/>
      <c r="H702" s="377"/>
      <c r="I702" s="377"/>
      <c r="J702" s="377"/>
      <c r="K702" s="377"/>
      <c r="L702" s="377"/>
      <c r="M702" s="377"/>
      <c r="N702" s="377"/>
      <c r="O702" s="377"/>
      <c r="P702" s="377"/>
      <c r="Q702" s="377"/>
      <c r="R702" s="377"/>
      <c r="S702" s="377"/>
      <c r="T702" s="377"/>
      <c r="U702" s="377"/>
      <c r="V702" s="377"/>
      <c r="W702" s="377"/>
      <c r="X702" s="377"/>
      <c r="Y702" s="377"/>
      <c r="Z702" s="377"/>
      <c r="AA702" s="377"/>
      <c r="AB702" s="377"/>
      <c r="AC702" s="377"/>
      <c r="AD702" s="377"/>
      <c r="AE702" s="377"/>
      <c r="AF702" s="377"/>
      <c r="AG702" s="377"/>
    </row>
    <row r="703" ht="14.25" customHeight="1">
      <c r="A703" s="377"/>
      <c r="B703" s="377"/>
      <c r="C703" s="377"/>
      <c r="D703" s="377"/>
      <c r="E703" s="377"/>
      <c r="F703" s="377"/>
      <c r="G703" s="377"/>
      <c r="H703" s="377"/>
      <c r="I703" s="377"/>
      <c r="J703" s="377"/>
      <c r="K703" s="377"/>
      <c r="L703" s="377"/>
      <c r="M703" s="377"/>
      <c r="N703" s="377"/>
      <c r="O703" s="377"/>
      <c r="P703" s="377"/>
      <c r="Q703" s="377"/>
      <c r="R703" s="377"/>
      <c r="S703" s="377"/>
      <c r="T703" s="377"/>
      <c r="U703" s="377"/>
      <c r="V703" s="377"/>
      <c r="W703" s="377"/>
      <c r="X703" s="377"/>
      <c r="Y703" s="377"/>
      <c r="Z703" s="377"/>
      <c r="AA703" s="377"/>
      <c r="AB703" s="377"/>
      <c r="AC703" s="377"/>
      <c r="AD703" s="377"/>
      <c r="AE703" s="377"/>
      <c r="AF703" s="377"/>
      <c r="AG703" s="377"/>
    </row>
    <row r="704" ht="14.25" customHeight="1">
      <c r="A704" s="377"/>
      <c r="B704" s="377"/>
      <c r="C704" s="377"/>
      <c r="D704" s="377"/>
      <c r="E704" s="377"/>
      <c r="F704" s="377"/>
      <c r="G704" s="377"/>
      <c r="H704" s="377"/>
      <c r="I704" s="377"/>
      <c r="J704" s="377"/>
      <c r="K704" s="377"/>
      <c r="L704" s="377"/>
      <c r="M704" s="377"/>
      <c r="N704" s="377"/>
      <c r="O704" s="377"/>
      <c r="P704" s="377"/>
      <c r="Q704" s="377"/>
      <c r="R704" s="377"/>
      <c r="S704" s="377"/>
      <c r="T704" s="377"/>
      <c r="U704" s="377"/>
      <c r="V704" s="377"/>
      <c r="W704" s="377"/>
      <c r="X704" s="377"/>
      <c r="Y704" s="377"/>
      <c r="Z704" s="377"/>
      <c r="AA704" s="377"/>
      <c r="AB704" s="377"/>
      <c r="AC704" s="377"/>
      <c r="AD704" s="377"/>
      <c r="AE704" s="377"/>
      <c r="AF704" s="377"/>
      <c r="AG704" s="377"/>
    </row>
    <row r="705" ht="14.25" customHeight="1">
      <c r="A705" s="377"/>
      <c r="B705" s="377"/>
      <c r="C705" s="377"/>
      <c r="D705" s="377"/>
      <c r="E705" s="377"/>
      <c r="F705" s="377"/>
      <c r="G705" s="377"/>
      <c r="H705" s="377"/>
      <c r="I705" s="377"/>
      <c r="J705" s="377"/>
      <c r="K705" s="377"/>
      <c r="L705" s="377"/>
      <c r="M705" s="377"/>
      <c r="N705" s="377"/>
      <c r="O705" s="377"/>
      <c r="P705" s="377"/>
      <c r="Q705" s="377"/>
      <c r="R705" s="377"/>
      <c r="S705" s="377"/>
      <c r="T705" s="377"/>
      <c r="U705" s="377"/>
      <c r="V705" s="377"/>
      <c r="W705" s="377"/>
      <c r="X705" s="377"/>
      <c r="Y705" s="377"/>
      <c r="Z705" s="377"/>
      <c r="AA705" s="377"/>
      <c r="AB705" s="377"/>
      <c r="AC705" s="377"/>
      <c r="AD705" s="377"/>
      <c r="AE705" s="377"/>
      <c r="AF705" s="377"/>
      <c r="AG705" s="377"/>
    </row>
    <row r="706" ht="14.25" customHeight="1">
      <c r="A706" s="377"/>
      <c r="B706" s="377"/>
      <c r="C706" s="377"/>
      <c r="D706" s="377"/>
      <c r="E706" s="377"/>
      <c r="F706" s="377"/>
      <c r="G706" s="377"/>
      <c r="H706" s="377"/>
      <c r="I706" s="377"/>
      <c r="J706" s="377"/>
      <c r="K706" s="377"/>
      <c r="L706" s="377"/>
      <c r="M706" s="377"/>
      <c r="N706" s="377"/>
      <c r="O706" s="377"/>
      <c r="P706" s="377"/>
      <c r="Q706" s="377"/>
      <c r="R706" s="377"/>
      <c r="S706" s="377"/>
      <c r="T706" s="377"/>
      <c r="U706" s="377"/>
      <c r="V706" s="377"/>
      <c r="W706" s="377"/>
      <c r="X706" s="377"/>
      <c r="Y706" s="377"/>
      <c r="Z706" s="377"/>
      <c r="AA706" s="377"/>
      <c r="AB706" s="377"/>
      <c r="AC706" s="377"/>
      <c r="AD706" s="377"/>
      <c r="AE706" s="377"/>
      <c r="AF706" s="377"/>
      <c r="AG706" s="377"/>
    </row>
    <row r="707" ht="14.25" customHeight="1">
      <c r="A707" s="377"/>
      <c r="B707" s="377"/>
      <c r="C707" s="377"/>
      <c r="D707" s="377"/>
      <c r="E707" s="377"/>
      <c r="F707" s="377"/>
      <c r="G707" s="377"/>
      <c r="H707" s="377"/>
      <c r="I707" s="377"/>
      <c r="J707" s="377"/>
      <c r="K707" s="377"/>
      <c r="L707" s="377"/>
      <c r="M707" s="377"/>
      <c r="N707" s="377"/>
      <c r="O707" s="377"/>
      <c r="P707" s="377"/>
      <c r="Q707" s="377"/>
      <c r="R707" s="377"/>
      <c r="S707" s="377"/>
      <c r="T707" s="377"/>
      <c r="U707" s="377"/>
      <c r="V707" s="377"/>
      <c r="W707" s="377"/>
      <c r="X707" s="377"/>
      <c r="Y707" s="377"/>
      <c r="Z707" s="377"/>
      <c r="AA707" s="377"/>
      <c r="AB707" s="377"/>
      <c r="AC707" s="377"/>
      <c r="AD707" s="377"/>
      <c r="AE707" s="377"/>
      <c r="AF707" s="377"/>
      <c r="AG707" s="377"/>
    </row>
    <row r="708" ht="14.25" customHeight="1">
      <c r="A708" s="377"/>
      <c r="B708" s="377"/>
      <c r="C708" s="377"/>
      <c r="D708" s="377"/>
      <c r="E708" s="377"/>
      <c r="F708" s="377"/>
      <c r="G708" s="377"/>
      <c r="H708" s="377"/>
      <c r="I708" s="377"/>
      <c r="J708" s="377"/>
      <c r="K708" s="377"/>
      <c r="L708" s="377"/>
      <c r="M708" s="377"/>
      <c r="N708" s="377"/>
      <c r="O708" s="377"/>
      <c r="P708" s="377"/>
      <c r="Q708" s="377"/>
      <c r="R708" s="377"/>
      <c r="S708" s="377"/>
      <c r="T708" s="377"/>
      <c r="U708" s="377"/>
      <c r="V708" s="377"/>
      <c r="W708" s="377"/>
      <c r="X708" s="377"/>
      <c r="Y708" s="377"/>
      <c r="Z708" s="377"/>
      <c r="AA708" s="377"/>
      <c r="AB708" s="377"/>
      <c r="AC708" s="377"/>
      <c r="AD708" s="377"/>
      <c r="AE708" s="377"/>
      <c r="AF708" s="377"/>
      <c r="AG708" s="377"/>
    </row>
    <row r="709" ht="14.25" customHeight="1">
      <c r="A709" s="377"/>
      <c r="B709" s="377"/>
      <c r="C709" s="377"/>
      <c r="D709" s="377"/>
      <c r="E709" s="377"/>
      <c r="F709" s="377"/>
      <c r="G709" s="377"/>
      <c r="H709" s="377"/>
      <c r="I709" s="377"/>
      <c r="J709" s="377"/>
      <c r="K709" s="377"/>
      <c r="L709" s="377"/>
      <c r="M709" s="377"/>
      <c r="N709" s="377"/>
      <c r="O709" s="377"/>
      <c r="P709" s="377"/>
      <c r="Q709" s="377"/>
      <c r="R709" s="377"/>
      <c r="S709" s="377"/>
      <c r="T709" s="377"/>
      <c r="U709" s="377"/>
      <c r="V709" s="377"/>
      <c r="W709" s="377"/>
      <c r="X709" s="377"/>
      <c r="Y709" s="377"/>
      <c r="Z709" s="377"/>
      <c r="AA709" s="377"/>
      <c r="AB709" s="377"/>
      <c r="AC709" s="377"/>
      <c r="AD709" s="377"/>
      <c r="AE709" s="377"/>
      <c r="AF709" s="377"/>
      <c r="AG709" s="377"/>
    </row>
    <row r="710" ht="14.25" customHeight="1">
      <c r="A710" s="377"/>
      <c r="B710" s="377"/>
      <c r="C710" s="377"/>
      <c r="D710" s="377"/>
      <c r="E710" s="377"/>
      <c r="F710" s="377"/>
      <c r="G710" s="377"/>
      <c r="H710" s="377"/>
      <c r="I710" s="377"/>
      <c r="J710" s="377"/>
      <c r="K710" s="377"/>
      <c r="L710" s="377"/>
      <c r="M710" s="377"/>
      <c r="N710" s="377"/>
      <c r="O710" s="377"/>
      <c r="P710" s="377"/>
      <c r="Q710" s="377"/>
      <c r="R710" s="377"/>
      <c r="S710" s="377"/>
      <c r="T710" s="377"/>
      <c r="U710" s="377"/>
      <c r="V710" s="377"/>
      <c r="W710" s="377"/>
      <c r="X710" s="377"/>
      <c r="Y710" s="377"/>
      <c r="Z710" s="377"/>
      <c r="AA710" s="377"/>
      <c r="AB710" s="377"/>
      <c r="AC710" s="377"/>
      <c r="AD710" s="377"/>
      <c r="AE710" s="377"/>
      <c r="AF710" s="377"/>
      <c r="AG710" s="377"/>
    </row>
    <row r="711" ht="14.25" customHeight="1">
      <c r="A711" s="377"/>
      <c r="B711" s="377"/>
      <c r="C711" s="377"/>
      <c r="D711" s="377"/>
      <c r="E711" s="377"/>
      <c r="F711" s="377"/>
      <c r="G711" s="377"/>
      <c r="H711" s="377"/>
      <c r="I711" s="377"/>
      <c r="J711" s="377"/>
      <c r="K711" s="377"/>
      <c r="L711" s="377"/>
      <c r="M711" s="377"/>
      <c r="N711" s="377"/>
      <c r="O711" s="377"/>
      <c r="P711" s="377"/>
      <c r="Q711" s="377"/>
      <c r="R711" s="377"/>
      <c r="S711" s="377"/>
      <c r="T711" s="377"/>
      <c r="U711" s="377"/>
      <c r="V711" s="377"/>
      <c r="W711" s="377"/>
      <c r="X711" s="377"/>
      <c r="Y711" s="377"/>
      <c r="Z711" s="377"/>
      <c r="AA711" s="377"/>
      <c r="AB711" s="377"/>
      <c r="AC711" s="377"/>
      <c r="AD711" s="377"/>
      <c r="AE711" s="377"/>
      <c r="AF711" s="377"/>
      <c r="AG711" s="377"/>
    </row>
    <row r="712" ht="14.25" customHeight="1">
      <c r="A712" s="377"/>
      <c r="B712" s="377"/>
      <c r="C712" s="377"/>
      <c r="D712" s="377"/>
      <c r="E712" s="377"/>
      <c r="F712" s="377"/>
      <c r="G712" s="377"/>
      <c r="H712" s="377"/>
      <c r="I712" s="377"/>
      <c r="J712" s="377"/>
      <c r="K712" s="377"/>
      <c r="L712" s="377"/>
      <c r="M712" s="377"/>
      <c r="N712" s="377"/>
      <c r="O712" s="377"/>
      <c r="P712" s="377"/>
      <c r="Q712" s="377"/>
      <c r="R712" s="377"/>
      <c r="S712" s="377"/>
      <c r="T712" s="377"/>
      <c r="U712" s="377"/>
      <c r="V712" s="377"/>
      <c r="W712" s="377"/>
      <c r="X712" s="377"/>
      <c r="Y712" s="377"/>
      <c r="Z712" s="377"/>
      <c r="AA712" s="377"/>
      <c r="AB712" s="377"/>
      <c r="AC712" s="377"/>
      <c r="AD712" s="377"/>
      <c r="AE712" s="377"/>
      <c r="AF712" s="377"/>
      <c r="AG712" s="377"/>
    </row>
    <row r="713" ht="14.25" customHeight="1">
      <c r="A713" s="377"/>
      <c r="B713" s="377"/>
      <c r="C713" s="377"/>
      <c r="D713" s="377"/>
      <c r="E713" s="377"/>
      <c r="F713" s="377"/>
      <c r="G713" s="377"/>
      <c r="H713" s="377"/>
      <c r="I713" s="377"/>
      <c r="J713" s="377"/>
      <c r="K713" s="377"/>
      <c r="L713" s="377"/>
      <c r="M713" s="377"/>
      <c r="N713" s="377"/>
      <c r="O713" s="377"/>
      <c r="P713" s="377"/>
      <c r="Q713" s="377"/>
      <c r="R713" s="377"/>
      <c r="S713" s="377"/>
      <c r="T713" s="377"/>
      <c r="U713" s="377"/>
      <c r="V713" s="377"/>
      <c r="W713" s="377"/>
      <c r="X713" s="377"/>
      <c r="Y713" s="377"/>
      <c r="Z713" s="377"/>
      <c r="AA713" s="377"/>
      <c r="AB713" s="377"/>
      <c r="AC713" s="377"/>
      <c r="AD713" s="377"/>
      <c r="AE713" s="377"/>
      <c r="AF713" s="377"/>
      <c r="AG713" s="377"/>
    </row>
    <row r="714" ht="14.25" customHeight="1">
      <c r="A714" s="377"/>
      <c r="B714" s="377"/>
      <c r="C714" s="377"/>
      <c r="D714" s="377"/>
      <c r="E714" s="377"/>
      <c r="F714" s="377"/>
      <c r="G714" s="377"/>
      <c r="H714" s="377"/>
      <c r="I714" s="377"/>
      <c r="J714" s="377"/>
      <c r="K714" s="377"/>
      <c r="L714" s="377"/>
      <c r="M714" s="377"/>
      <c r="N714" s="377"/>
      <c r="O714" s="377"/>
      <c r="P714" s="377"/>
      <c r="Q714" s="377"/>
      <c r="R714" s="377"/>
      <c r="S714" s="377"/>
      <c r="T714" s="377"/>
      <c r="U714" s="377"/>
      <c r="V714" s="377"/>
      <c r="W714" s="377"/>
      <c r="X714" s="377"/>
      <c r="Y714" s="377"/>
      <c r="Z714" s="377"/>
      <c r="AA714" s="377"/>
      <c r="AB714" s="377"/>
      <c r="AC714" s="377"/>
      <c r="AD714" s="377"/>
      <c r="AE714" s="377"/>
      <c r="AF714" s="377"/>
      <c r="AG714" s="377"/>
    </row>
    <row r="715" ht="14.25" customHeight="1">
      <c r="A715" s="377"/>
      <c r="B715" s="377"/>
      <c r="C715" s="377"/>
      <c r="D715" s="377"/>
      <c r="E715" s="377"/>
      <c r="F715" s="377"/>
      <c r="G715" s="377"/>
      <c r="H715" s="377"/>
      <c r="I715" s="377"/>
      <c r="J715" s="377"/>
      <c r="K715" s="377"/>
      <c r="L715" s="377"/>
      <c r="M715" s="377"/>
      <c r="N715" s="377"/>
      <c r="O715" s="377"/>
      <c r="P715" s="377"/>
      <c r="Q715" s="377"/>
      <c r="R715" s="377"/>
      <c r="S715" s="377"/>
      <c r="T715" s="377"/>
      <c r="U715" s="377"/>
      <c r="V715" s="377"/>
      <c r="W715" s="377"/>
      <c r="X715" s="377"/>
      <c r="Y715" s="377"/>
      <c r="Z715" s="377"/>
      <c r="AA715" s="377"/>
      <c r="AB715" s="377"/>
      <c r="AC715" s="377"/>
      <c r="AD715" s="377"/>
      <c r="AE715" s="377"/>
      <c r="AF715" s="377"/>
      <c r="AG715" s="377"/>
    </row>
    <row r="716" ht="14.25" customHeight="1">
      <c r="A716" s="377"/>
      <c r="B716" s="377"/>
      <c r="C716" s="377"/>
      <c r="D716" s="377"/>
      <c r="E716" s="377"/>
      <c r="F716" s="377"/>
      <c r="G716" s="377"/>
      <c r="H716" s="377"/>
      <c r="I716" s="377"/>
      <c r="J716" s="377"/>
      <c r="K716" s="377"/>
      <c r="L716" s="377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  <c r="Z716" s="377"/>
      <c r="AA716" s="377"/>
      <c r="AB716" s="377"/>
      <c r="AC716" s="377"/>
      <c r="AD716" s="377"/>
      <c r="AE716" s="377"/>
      <c r="AF716" s="377"/>
      <c r="AG716" s="377"/>
    </row>
    <row r="717" ht="14.25" customHeight="1">
      <c r="A717" s="377"/>
      <c r="B717" s="377"/>
      <c r="C717" s="377"/>
      <c r="D717" s="377"/>
      <c r="E717" s="377"/>
      <c r="F717" s="377"/>
      <c r="G717" s="377"/>
      <c r="H717" s="377"/>
      <c r="I717" s="377"/>
      <c r="J717" s="377"/>
      <c r="K717" s="377"/>
      <c r="L717" s="377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  <c r="Z717" s="377"/>
      <c r="AA717" s="377"/>
      <c r="AB717" s="377"/>
      <c r="AC717" s="377"/>
      <c r="AD717" s="377"/>
      <c r="AE717" s="377"/>
      <c r="AF717" s="377"/>
      <c r="AG717" s="377"/>
    </row>
    <row r="718" ht="14.25" customHeight="1">
      <c r="A718" s="377"/>
      <c r="B718" s="377"/>
      <c r="C718" s="377"/>
      <c r="D718" s="377"/>
      <c r="E718" s="377"/>
      <c r="F718" s="377"/>
      <c r="G718" s="377"/>
      <c r="H718" s="377"/>
      <c r="I718" s="377"/>
      <c r="J718" s="377"/>
      <c r="K718" s="377"/>
      <c r="L718" s="377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  <c r="Z718" s="377"/>
      <c r="AA718" s="377"/>
      <c r="AB718" s="377"/>
      <c r="AC718" s="377"/>
      <c r="AD718" s="377"/>
      <c r="AE718" s="377"/>
      <c r="AF718" s="377"/>
      <c r="AG718" s="377"/>
    </row>
    <row r="719" ht="14.25" customHeight="1">
      <c r="A719" s="377"/>
      <c r="B719" s="377"/>
      <c r="C719" s="377"/>
      <c r="D719" s="377"/>
      <c r="E719" s="377"/>
      <c r="F719" s="377"/>
      <c r="G719" s="377"/>
      <c r="H719" s="377"/>
      <c r="I719" s="377"/>
      <c r="J719" s="377"/>
      <c r="K719" s="377"/>
      <c r="L719" s="377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  <c r="Z719" s="377"/>
      <c r="AA719" s="377"/>
      <c r="AB719" s="377"/>
      <c r="AC719" s="377"/>
      <c r="AD719" s="377"/>
      <c r="AE719" s="377"/>
      <c r="AF719" s="377"/>
      <c r="AG719" s="377"/>
    </row>
    <row r="720" ht="14.25" customHeight="1">
      <c r="A720" s="377"/>
      <c r="B720" s="377"/>
      <c r="C720" s="377"/>
      <c r="D720" s="377"/>
      <c r="E720" s="377"/>
      <c r="F720" s="377"/>
      <c r="G720" s="377"/>
      <c r="H720" s="377"/>
      <c r="I720" s="377"/>
      <c r="J720" s="377"/>
      <c r="K720" s="377"/>
      <c r="L720" s="377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  <c r="Z720" s="377"/>
      <c r="AA720" s="377"/>
      <c r="AB720" s="377"/>
      <c r="AC720" s="377"/>
      <c r="AD720" s="377"/>
      <c r="AE720" s="377"/>
      <c r="AF720" s="377"/>
      <c r="AG720" s="377"/>
    </row>
    <row r="721" ht="14.25" customHeight="1">
      <c r="A721" s="377"/>
      <c r="B721" s="377"/>
      <c r="C721" s="377"/>
      <c r="D721" s="377"/>
      <c r="E721" s="377"/>
      <c r="F721" s="377"/>
      <c r="G721" s="377"/>
      <c r="H721" s="377"/>
      <c r="I721" s="377"/>
      <c r="J721" s="377"/>
      <c r="K721" s="377"/>
      <c r="L721" s="377"/>
      <c r="M721" s="377"/>
      <c r="N721" s="377"/>
      <c r="O721" s="377"/>
      <c r="P721" s="377"/>
      <c r="Q721" s="377"/>
      <c r="R721" s="377"/>
      <c r="S721" s="377"/>
      <c r="T721" s="377"/>
      <c r="U721" s="377"/>
      <c r="V721" s="377"/>
      <c r="W721" s="377"/>
      <c r="X721" s="377"/>
      <c r="Y721" s="377"/>
      <c r="Z721" s="377"/>
      <c r="AA721" s="377"/>
      <c r="AB721" s="377"/>
      <c r="AC721" s="377"/>
      <c r="AD721" s="377"/>
      <c r="AE721" s="377"/>
      <c r="AF721" s="377"/>
      <c r="AG721" s="377"/>
    </row>
    <row r="722" ht="14.25" customHeight="1">
      <c r="A722" s="377"/>
      <c r="B722" s="377"/>
      <c r="C722" s="377"/>
      <c r="D722" s="377"/>
      <c r="E722" s="377"/>
      <c r="F722" s="377"/>
      <c r="G722" s="377"/>
      <c r="H722" s="377"/>
      <c r="I722" s="377"/>
      <c r="J722" s="377"/>
      <c r="K722" s="377"/>
      <c r="L722" s="377"/>
      <c r="M722" s="377"/>
      <c r="N722" s="377"/>
      <c r="O722" s="377"/>
      <c r="P722" s="377"/>
      <c r="Q722" s="377"/>
      <c r="R722" s="377"/>
      <c r="S722" s="377"/>
      <c r="T722" s="377"/>
      <c r="U722" s="377"/>
      <c r="V722" s="377"/>
      <c r="W722" s="377"/>
      <c r="X722" s="377"/>
      <c r="Y722" s="377"/>
      <c r="Z722" s="377"/>
      <c r="AA722" s="377"/>
      <c r="AB722" s="377"/>
      <c r="AC722" s="377"/>
      <c r="AD722" s="377"/>
      <c r="AE722" s="377"/>
      <c r="AF722" s="377"/>
      <c r="AG722" s="377"/>
    </row>
    <row r="723" ht="14.25" customHeight="1">
      <c r="A723" s="377"/>
      <c r="B723" s="377"/>
      <c r="C723" s="377"/>
      <c r="D723" s="377"/>
      <c r="E723" s="377"/>
      <c r="F723" s="377"/>
      <c r="G723" s="377"/>
      <c r="H723" s="377"/>
      <c r="I723" s="377"/>
      <c r="J723" s="377"/>
      <c r="K723" s="377"/>
      <c r="L723" s="377"/>
      <c r="M723" s="377"/>
      <c r="N723" s="377"/>
      <c r="O723" s="377"/>
      <c r="P723" s="377"/>
      <c r="Q723" s="377"/>
      <c r="R723" s="377"/>
      <c r="S723" s="377"/>
      <c r="T723" s="377"/>
      <c r="U723" s="377"/>
      <c r="V723" s="377"/>
      <c r="W723" s="377"/>
      <c r="X723" s="377"/>
      <c r="Y723" s="377"/>
      <c r="Z723" s="377"/>
      <c r="AA723" s="377"/>
      <c r="AB723" s="377"/>
      <c r="AC723" s="377"/>
      <c r="AD723" s="377"/>
      <c r="AE723" s="377"/>
      <c r="AF723" s="377"/>
      <c r="AG723" s="377"/>
    </row>
    <row r="724" ht="14.25" customHeight="1">
      <c r="A724" s="377"/>
      <c r="B724" s="377"/>
      <c r="C724" s="377"/>
      <c r="D724" s="377"/>
      <c r="E724" s="377"/>
      <c r="F724" s="377"/>
      <c r="G724" s="377"/>
      <c r="H724" s="377"/>
      <c r="I724" s="377"/>
      <c r="J724" s="377"/>
      <c r="K724" s="377"/>
      <c r="L724" s="377"/>
      <c r="M724" s="377"/>
      <c r="N724" s="377"/>
      <c r="O724" s="377"/>
      <c r="P724" s="377"/>
      <c r="Q724" s="377"/>
      <c r="R724" s="377"/>
      <c r="S724" s="377"/>
      <c r="T724" s="377"/>
      <c r="U724" s="377"/>
      <c r="V724" s="377"/>
      <c r="W724" s="377"/>
      <c r="X724" s="377"/>
      <c r="Y724" s="377"/>
      <c r="Z724" s="377"/>
      <c r="AA724" s="377"/>
      <c r="AB724" s="377"/>
      <c r="AC724" s="377"/>
      <c r="AD724" s="377"/>
      <c r="AE724" s="377"/>
      <c r="AF724" s="377"/>
      <c r="AG724" s="377"/>
    </row>
    <row r="725" ht="14.25" customHeight="1">
      <c r="A725" s="377"/>
      <c r="B725" s="377"/>
      <c r="C725" s="377"/>
      <c r="D725" s="377"/>
      <c r="E725" s="377"/>
      <c r="F725" s="377"/>
      <c r="G725" s="377"/>
      <c r="H725" s="377"/>
      <c r="I725" s="377"/>
      <c r="J725" s="377"/>
      <c r="K725" s="377"/>
      <c r="L725" s="377"/>
      <c r="M725" s="377"/>
      <c r="N725" s="377"/>
      <c r="O725" s="377"/>
      <c r="P725" s="377"/>
      <c r="Q725" s="377"/>
      <c r="R725" s="377"/>
      <c r="S725" s="377"/>
      <c r="T725" s="377"/>
      <c r="U725" s="377"/>
      <c r="V725" s="377"/>
      <c r="W725" s="377"/>
      <c r="X725" s="377"/>
      <c r="Y725" s="377"/>
      <c r="Z725" s="377"/>
      <c r="AA725" s="377"/>
      <c r="AB725" s="377"/>
      <c r="AC725" s="377"/>
      <c r="AD725" s="377"/>
      <c r="AE725" s="377"/>
      <c r="AF725" s="377"/>
      <c r="AG725" s="377"/>
    </row>
    <row r="726" ht="14.25" customHeight="1">
      <c r="A726" s="377"/>
      <c r="B726" s="377"/>
      <c r="C726" s="377"/>
      <c r="D726" s="377"/>
      <c r="E726" s="377"/>
      <c r="F726" s="377"/>
      <c r="G726" s="377"/>
      <c r="H726" s="377"/>
      <c r="I726" s="377"/>
      <c r="J726" s="377"/>
      <c r="K726" s="377"/>
      <c r="L726" s="377"/>
      <c r="M726" s="377"/>
      <c r="N726" s="377"/>
      <c r="O726" s="377"/>
      <c r="P726" s="377"/>
      <c r="Q726" s="377"/>
      <c r="R726" s="377"/>
      <c r="S726" s="377"/>
      <c r="T726" s="377"/>
      <c r="U726" s="377"/>
      <c r="V726" s="377"/>
      <c r="W726" s="377"/>
      <c r="X726" s="377"/>
      <c r="Y726" s="377"/>
      <c r="Z726" s="377"/>
      <c r="AA726" s="377"/>
      <c r="AB726" s="377"/>
      <c r="AC726" s="377"/>
      <c r="AD726" s="377"/>
      <c r="AE726" s="377"/>
      <c r="AF726" s="377"/>
      <c r="AG726" s="377"/>
    </row>
    <row r="727" ht="14.25" customHeight="1">
      <c r="A727" s="377"/>
      <c r="B727" s="377"/>
      <c r="C727" s="377"/>
      <c r="D727" s="377"/>
      <c r="E727" s="377"/>
      <c r="F727" s="377"/>
      <c r="G727" s="377"/>
      <c r="H727" s="377"/>
      <c r="I727" s="377"/>
      <c r="J727" s="377"/>
      <c r="K727" s="377"/>
      <c r="L727" s="377"/>
      <c r="M727" s="377"/>
      <c r="N727" s="377"/>
      <c r="O727" s="377"/>
      <c r="P727" s="377"/>
      <c r="Q727" s="377"/>
      <c r="R727" s="377"/>
      <c r="S727" s="377"/>
      <c r="T727" s="377"/>
      <c r="U727" s="377"/>
      <c r="V727" s="377"/>
      <c r="W727" s="377"/>
      <c r="X727" s="377"/>
      <c r="Y727" s="377"/>
      <c r="Z727" s="377"/>
      <c r="AA727" s="377"/>
      <c r="AB727" s="377"/>
      <c r="AC727" s="377"/>
      <c r="AD727" s="377"/>
      <c r="AE727" s="377"/>
      <c r="AF727" s="377"/>
      <c r="AG727" s="377"/>
    </row>
    <row r="728" ht="14.25" customHeight="1">
      <c r="A728" s="377"/>
      <c r="B728" s="377"/>
      <c r="C728" s="377"/>
      <c r="D728" s="377"/>
      <c r="E728" s="377"/>
      <c r="F728" s="377"/>
      <c r="G728" s="377"/>
      <c r="H728" s="377"/>
      <c r="I728" s="377"/>
      <c r="J728" s="377"/>
      <c r="K728" s="377"/>
      <c r="L728" s="377"/>
      <c r="M728" s="377"/>
      <c r="N728" s="377"/>
      <c r="O728" s="377"/>
      <c r="P728" s="377"/>
      <c r="Q728" s="377"/>
      <c r="R728" s="377"/>
      <c r="S728" s="377"/>
      <c r="T728" s="377"/>
      <c r="U728" s="377"/>
      <c r="V728" s="377"/>
      <c r="W728" s="377"/>
      <c r="X728" s="377"/>
      <c r="Y728" s="377"/>
      <c r="Z728" s="377"/>
      <c r="AA728" s="377"/>
      <c r="AB728" s="377"/>
      <c r="AC728" s="377"/>
      <c r="AD728" s="377"/>
      <c r="AE728" s="377"/>
      <c r="AF728" s="377"/>
      <c r="AG728" s="377"/>
    </row>
    <row r="729" ht="14.25" customHeight="1">
      <c r="A729" s="377"/>
      <c r="B729" s="377"/>
      <c r="C729" s="377"/>
      <c r="D729" s="377"/>
      <c r="E729" s="377"/>
      <c r="F729" s="377"/>
      <c r="G729" s="377"/>
      <c r="H729" s="377"/>
      <c r="I729" s="377"/>
      <c r="J729" s="377"/>
      <c r="K729" s="377"/>
      <c r="L729" s="377"/>
      <c r="M729" s="377"/>
      <c r="N729" s="377"/>
      <c r="O729" s="377"/>
      <c r="P729" s="377"/>
      <c r="Q729" s="377"/>
      <c r="R729" s="377"/>
      <c r="S729" s="377"/>
      <c r="T729" s="377"/>
      <c r="U729" s="377"/>
      <c r="V729" s="377"/>
      <c r="W729" s="377"/>
      <c r="X729" s="377"/>
      <c r="Y729" s="377"/>
      <c r="Z729" s="377"/>
      <c r="AA729" s="377"/>
      <c r="AB729" s="377"/>
      <c r="AC729" s="377"/>
      <c r="AD729" s="377"/>
      <c r="AE729" s="377"/>
      <c r="AF729" s="377"/>
      <c r="AG729" s="377"/>
    </row>
    <row r="730" ht="14.25" customHeight="1">
      <c r="A730" s="377"/>
      <c r="B730" s="377"/>
      <c r="C730" s="377"/>
      <c r="D730" s="377"/>
      <c r="E730" s="377"/>
      <c r="F730" s="377"/>
      <c r="G730" s="377"/>
      <c r="H730" s="377"/>
      <c r="I730" s="377"/>
      <c r="J730" s="377"/>
      <c r="K730" s="377"/>
      <c r="L730" s="377"/>
      <c r="M730" s="377"/>
      <c r="N730" s="377"/>
      <c r="O730" s="377"/>
      <c r="P730" s="377"/>
      <c r="Q730" s="377"/>
      <c r="R730" s="377"/>
      <c r="S730" s="377"/>
      <c r="T730" s="377"/>
      <c r="U730" s="377"/>
      <c r="V730" s="377"/>
      <c r="W730" s="377"/>
      <c r="X730" s="377"/>
      <c r="Y730" s="377"/>
      <c r="Z730" s="377"/>
      <c r="AA730" s="377"/>
      <c r="AB730" s="377"/>
      <c r="AC730" s="377"/>
      <c r="AD730" s="377"/>
      <c r="AE730" s="377"/>
      <c r="AF730" s="377"/>
      <c r="AG730" s="377"/>
    </row>
    <row r="731" ht="14.25" customHeight="1">
      <c r="A731" s="377"/>
      <c r="B731" s="377"/>
      <c r="C731" s="377"/>
      <c r="D731" s="377"/>
      <c r="E731" s="377"/>
      <c r="F731" s="377"/>
      <c r="G731" s="377"/>
      <c r="H731" s="377"/>
      <c r="I731" s="377"/>
      <c r="J731" s="377"/>
      <c r="K731" s="377"/>
      <c r="L731" s="377"/>
      <c r="M731" s="377"/>
      <c r="N731" s="377"/>
      <c r="O731" s="377"/>
      <c r="P731" s="377"/>
      <c r="Q731" s="377"/>
      <c r="R731" s="377"/>
      <c r="S731" s="377"/>
      <c r="T731" s="377"/>
      <c r="U731" s="377"/>
      <c r="V731" s="377"/>
      <c r="W731" s="377"/>
      <c r="X731" s="377"/>
      <c r="Y731" s="377"/>
      <c r="Z731" s="377"/>
      <c r="AA731" s="377"/>
      <c r="AB731" s="377"/>
      <c r="AC731" s="377"/>
      <c r="AD731" s="377"/>
      <c r="AE731" s="377"/>
      <c r="AF731" s="377"/>
      <c r="AG731" s="377"/>
    </row>
    <row r="732" ht="14.25" customHeight="1">
      <c r="A732" s="377"/>
      <c r="B732" s="377"/>
      <c r="C732" s="377"/>
      <c r="D732" s="377"/>
      <c r="E732" s="377"/>
      <c r="F732" s="377"/>
      <c r="G732" s="377"/>
      <c r="H732" s="377"/>
      <c r="I732" s="377"/>
      <c r="J732" s="377"/>
      <c r="K732" s="377"/>
      <c r="L732" s="377"/>
      <c r="M732" s="377"/>
      <c r="N732" s="377"/>
      <c r="O732" s="377"/>
      <c r="P732" s="377"/>
      <c r="Q732" s="377"/>
      <c r="R732" s="377"/>
      <c r="S732" s="377"/>
      <c r="T732" s="377"/>
      <c r="U732" s="377"/>
      <c r="V732" s="377"/>
      <c r="W732" s="377"/>
      <c r="X732" s="377"/>
      <c r="Y732" s="377"/>
      <c r="Z732" s="377"/>
      <c r="AA732" s="377"/>
      <c r="AB732" s="377"/>
      <c r="AC732" s="377"/>
      <c r="AD732" s="377"/>
      <c r="AE732" s="377"/>
      <c r="AF732" s="377"/>
      <c r="AG732" s="377"/>
    </row>
    <row r="733" ht="14.25" customHeight="1">
      <c r="A733" s="377"/>
      <c r="B733" s="377"/>
      <c r="C733" s="377"/>
      <c r="D733" s="377"/>
      <c r="E733" s="377"/>
      <c r="F733" s="377"/>
      <c r="G733" s="377"/>
      <c r="H733" s="377"/>
      <c r="I733" s="377"/>
      <c r="J733" s="377"/>
      <c r="K733" s="377"/>
      <c r="L733" s="377"/>
      <c r="M733" s="377"/>
      <c r="N733" s="377"/>
      <c r="O733" s="377"/>
      <c r="P733" s="377"/>
      <c r="Q733" s="377"/>
      <c r="R733" s="377"/>
      <c r="S733" s="377"/>
      <c r="T733" s="377"/>
      <c r="U733" s="377"/>
      <c r="V733" s="377"/>
      <c r="W733" s="377"/>
      <c r="X733" s="377"/>
      <c r="Y733" s="377"/>
      <c r="Z733" s="377"/>
      <c r="AA733" s="377"/>
      <c r="AB733" s="377"/>
      <c r="AC733" s="377"/>
      <c r="AD733" s="377"/>
      <c r="AE733" s="377"/>
      <c r="AF733" s="377"/>
      <c r="AG733" s="377"/>
    </row>
    <row r="734" ht="14.25" customHeight="1">
      <c r="A734" s="377"/>
      <c r="B734" s="377"/>
      <c r="C734" s="377"/>
      <c r="D734" s="377"/>
      <c r="E734" s="377"/>
      <c r="F734" s="377"/>
      <c r="G734" s="377"/>
      <c r="H734" s="377"/>
      <c r="I734" s="377"/>
      <c r="J734" s="377"/>
      <c r="K734" s="377"/>
      <c r="L734" s="377"/>
      <c r="M734" s="377"/>
      <c r="N734" s="377"/>
      <c r="O734" s="377"/>
      <c r="P734" s="377"/>
      <c r="Q734" s="377"/>
      <c r="R734" s="377"/>
      <c r="S734" s="377"/>
      <c r="T734" s="377"/>
      <c r="U734" s="377"/>
      <c r="V734" s="377"/>
      <c r="W734" s="377"/>
      <c r="X734" s="377"/>
      <c r="Y734" s="377"/>
      <c r="Z734" s="377"/>
      <c r="AA734" s="377"/>
      <c r="AB734" s="377"/>
      <c r="AC734" s="377"/>
      <c r="AD734" s="377"/>
      <c r="AE734" s="377"/>
      <c r="AF734" s="377"/>
      <c r="AG734" s="377"/>
    </row>
    <row r="735" ht="14.25" customHeight="1">
      <c r="A735" s="377"/>
      <c r="B735" s="377"/>
      <c r="C735" s="377"/>
      <c r="D735" s="377"/>
      <c r="E735" s="377"/>
      <c r="F735" s="377"/>
      <c r="G735" s="377"/>
      <c r="H735" s="377"/>
      <c r="I735" s="377"/>
      <c r="J735" s="377"/>
      <c r="K735" s="377"/>
      <c r="L735" s="377"/>
      <c r="M735" s="377"/>
      <c r="N735" s="377"/>
      <c r="O735" s="377"/>
      <c r="P735" s="377"/>
      <c r="Q735" s="377"/>
      <c r="R735" s="377"/>
      <c r="S735" s="377"/>
      <c r="T735" s="377"/>
      <c r="U735" s="377"/>
      <c r="V735" s="377"/>
      <c r="W735" s="377"/>
      <c r="X735" s="377"/>
      <c r="Y735" s="377"/>
      <c r="Z735" s="377"/>
      <c r="AA735" s="377"/>
      <c r="AB735" s="377"/>
      <c r="AC735" s="377"/>
      <c r="AD735" s="377"/>
      <c r="AE735" s="377"/>
      <c r="AF735" s="377"/>
      <c r="AG735" s="377"/>
    </row>
    <row r="736" ht="14.25" customHeight="1">
      <c r="A736" s="377"/>
      <c r="B736" s="377"/>
      <c r="C736" s="377"/>
      <c r="D736" s="377"/>
      <c r="E736" s="377"/>
      <c r="F736" s="377"/>
      <c r="G736" s="377"/>
      <c r="H736" s="377"/>
      <c r="I736" s="377"/>
      <c r="J736" s="377"/>
      <c r="K736" s="377"/>
      <c r="L736" s="377"/>
      <c r="M736" s="377"/>
      <c r="N736" s="377"/>
      <c r="O736" s="377"/>
      <c r="P736" s="377"/>
      <c r="Q736" s="377"/>
      <c r="R736" s="377"/>
      <c r="S736" s="377"/>
      <c r="T736" s="377"/>
      <c r="U736" s="377"/>
      <c r="V736" s="377"/>
      <c r="W736" s="377"/>
      <c r="X736" s="377"/>
      <c r="Y736" s="377"/>
      <c r="Z736" s="377"/>
      <c r="AA736" s="377"/>
      <c r="AB736" s="377"/>
      <c r="AC736" s="377"/>
      <c r="AD736" s="377"/>
      <c r="AE736" s="377"/>
      <c r="AF736" s="377"/>
      <c r="AG736" s="377"/>
    </row>
    <row r="737" ht="14.25" customHeight="1">
      <c r="A737" s="377"/>
      <c r="B737" s="377"/>
      <c r="C737" s="377"/>
      <c r="D737" s="377"/>
      <c r="E737" s="377"/>
      <c r="F737" s="377"/>
      <c r="G737" s="377"/>
      <c r="H737" s="377"/>
      <c r="I737" s="377"/>
      <c r="J737" s="377"/>
      <c r="K737" s="377"/>
      <c r="L737" s="377"/>
      <c r="M737" s="377"/>
      <c r="N737" s="377"/>
      <c r="O737" s="377"/>
      <c r="P737" s="377"/>
      <c r="Q737" s="377"/>
      <c r="R737" s="377"/>
      <c r="S737" s="377"/>
      <c r="T737" s="377"/>
      <c r="U737" s="377"/>
      <c r="V737" s="377"/>
      <c r="W737" s="377"/>
      <c r="X737" s="377"/>
      <c r="Y737" s="377"/>
      <c r="Z737" s="377"/>
      <c r="AA737" s="377"/>
      <c r="AB737" s="377"/>
      <c r="AC737" s="377"/>
      <c r="AD737" s="377"/>
      <c r="AE737" s="377"/>
      <c r="AF737" s="377"/>
      <c r="AG737" s="377"/>
    </row>
    <row r="738" ht="14.25" customHeight="1">
      <c r="A738" s="377"/>
      <c r="B738" s="377"/>
      <c r="C738" s="377"/>
      <c r="D738" s="377"/>
      <c r="E738" s="377"/>
      <c r="F738" s="377"/>
      <c r="G738" s="377"/>
      <c r="H738" s="377"/>
      <c r="I738" s="377"/>
      <c r="J738" s="377"/>
      <c r="K738" s="377"/>
      <c r="L738" s="377"/>
      <c r="M738" s="377"/>
      <c r="N738" s="377"/>
      <c r="O738" s="377"/>
      <c r="P738" s="377"/>
      <c r="Q738" s="377"/>
      <c r="R738" s="377"/>
      <c r="S738" s="377"/>
      <c r="T738" s="377"/>
      <c r="U738" s="377"/>
      <c r="V738" s="377"/>
      <c r="W738" s="377"/>
      <c r="X738" s="377"/>
      <c r="Y738" s="377"/>
      <c r="Z738" s="377"/>
      <c r="AA738" s="377"/>
      <c r="AB738" s="377"/>
      <c r="AC738" s="377"/>
      <c r="AD738" s="377"/>
      <c r="AE738" s="377"/>
      <c r="AF738" s="377"/>
      <c r="AG738" s="377"/>
    </row>
    <row r="739" ht="14.25" customHeight="1">
      <c r="A739" s="377"/>
      <c r="B739" s="377"/>
      <c r="C739" s="377"/>
      <c r="D739" s="377"/>
      <c r="E739" s="377"/>
      <c r="F739" s="377"/>
      <c r="G739" s="377"/>
      <c r="H739" s="377"/>
      <c r="I739" s="377"/>
      <c r="J739" s="377"/>
      <c r="K739" s="377"/>
      <c r="L739" s="377"/>
      <c r="M739" s="377"/>
      <c r="N739" s="377"/>
      <c r="O739" s="377"/>
      <c r="P739" s="377"/>
      <c r="Q739" s="377"/>
      <c r="R739" s="377"/>
      <c r="S739" s="377"/>
      <c r="T739" s="377"/>
      <c r="U739" s="377"/>
      <c r="V739" s="377"/>
      <c r="W739" s="377"/>
      <c r="X739" s="377"/>
      <c r="Y739" s="377"/>
      <c r="Z739" s="377"/>
      <c r="AA739" s="377"/>
      <c r="AB739" s="377"/>
      <c r="AC739" s="377"/>
      <c r="AD739" s="377"/>
      <c r="AE739" s="377"/>
      <c r="AF739" s="377"/>
      <c r="AG739" s="377"/>
    </row>
    <row r="740" ht="14.25" customHeight="1">
      <c r="A740" s="377"/>
      <c r="B740" s="377"/>
      <c r="C740" s="377"/>
      <c r="D740" s="377"/>
      <c r="E740" s="377"/>
      <c r="F740" s="377"/>
      <c r="G740" s="377"/>
      <c r="H740" s="377"/>
      <c r="I740" s="377"/>
      <c r="J740" s="377"/>
      <c r="K740" s="377"/>
      <c r="L740" s="377"/>
      <c r="M740" s="377"/>
      <c r="N740" s="377"/>
      <c r="O740" s="377"/>
      <c r="P740" s="377"/>
      <c r="Q740" s="377"/>
      <c r="R740" s="377"/>
      <c r="S740" s="377"/>
      <c r="T740" s="377"/>
      <c r="U740" s="377"/>
      <c r="V740" s="377"/>
      <c r="W740" s="377"/>
      <c r="X740" s="377"/>
      <c r="Y740" s="377"/>
      <c r="Z740" s="377"/>
      <c r="AA740" s="377"/>
      <c r="AB740" s="377"/>
      <c r="AC740" s="377"/>
      <c r="AD740" s="377"/>
      <c r="AE740" s="377"/>
      <c r="AF740" s="377"/>
      <c r="AG740" s="377"/>
    </row>
    <row r="741" ht="14.25" customHeight="1">
      <c r="A741" s="377"/>
      <c r="B741" s="377"/>
      <c r="C741" s="377"/>
      <c r="D741" s="377"/>
      <c r="E741" s="377"/>
      <c r="F741" s="377"/>
      <c r="G741" s="377"/>
      <c r="H741" s="377"/>
      <c r="I741" s="377"/>
      <c r="J741" s="377"/>
      <c r="K741" s="377"/>
      <c r="L741" s="377"/>
      <c r="M741" s="377"/>
      <c r="N741" s="377"/>
      <c r="O741" s="377"/>
      <c r="P741" s="377"/>
      <c r="Q741" s="377"/>
      <c r="R741" s="377"/>
      <c r="S741" s="377"/>
      <c r="T741" s="377"/>
      <c r="U741" s="377"/>
      <c r="V741" s="377"/>
      <c r="W741" s="377"/>
      <c r="X741" s="377"/>
      <c r="Y741" s="377"/>
      <c r="Z741" s="377"/>
      <c r="AA741" s="377"/>
      <c r="AB741" s="377"/>
      <c r="AC741" s="377"/>
      <c r="AD741" s="377"/>
      <c r="AE741" s="377"/>
      <c r="AF741" s="377"/>
      <c r="AG741" s="377"/>
    </row>
    <row r="742" ht="14.25" customHeight="1">
      <c r="A742" s="377"/>
      <c r="B742" s="377"/>
      <c r="C742" s="377"/>
      <c r="D742" s="377"/>
      <c r="E742" s="377"/>
      <c r="F742" s="377"/>
      <c r="G742" s="377"/>
      <c r="H742" s="377"/>
      <c r="I742" s="377"/>
      <c r="J742" s="377"/>
      <c r="K742" s="377"/>
      <c r="L742" s="377"/>
      <c r="M742" s="377"/>
      <c r="N742" s="377"/>
      <c r="O742" s="377"/>
      <c r="P742" s="377"/>
      <c r="Q742" s="377"/>
      <c r="R742" s="377"/>
      <c r="S742" s="377"/>
      <c r="T742" s="377"/>
      <c r="U742" s="377"/>
      <c r="V742" s="377"/>
      <c r="W742" s="377"/>
      <c r="X742" s="377"/>
      <c r="Y742" s="377"/>
      <c r="Z742" s="377"/>
      <c r="AA742" s="377"/>
      <c r="AB742" s="377"/>
      <c r="AC742" s="377"/>
      <c r="AD742" s="377"/>
      <c r="AE742" s="377"/>
      <c r="AF742" s="377"/>
      <c r="AG742" s="377"/>
    </row>
    <row r="743" ht="14.25" customHeight="1">
      <c r="A743" s="377"/>
      <c r="B743" s="377"/>
      <c r="C743" s="377"/>
      <c r="D743" s="377"/>
      <c r="E743" s="377"/>
      <c r="F743" s="377"/>
      <c r="G743" s="377"/>
      <c r="H743" s="377"/>
      <c r="I743" s="377"/>
      <c r="J743" s="377"/>
      <c r="K743" s="377"/>
      <c r="L743" s="377"/>
      <c r="M743" s="377"/>
      <c r="N743" s="377"/>
      <c r="O743" s="377"/>
      <c r="P743" s="377"/>
      <c r="Q743" s="377"/>
      <c r="R743" s="377"/>
      <c r="S743" s="377"/>
      <c r="T743" s="377"/>
      <c r="U743" s="377"/>
      <c r="V743" s="377"/>
      <c r="W743" s="377"/>
      <c r="X743" s="377"/>
      <c r="Y743" s="377"/>
      <c r="Z743" s="377"/>
      <c r="AA743" s="377"/>
      <c r="AB743" s="377"/>
      <c r="AC743" s="377"/>
      <c r="AD743" s="377"/>
      <c r="AE743" s="377"/>
      <c r="AF743" s="377"/>
      <c r="AG743" s="377"/>
    </row>
    <row r="744" ht="14.25" customHeight="1">
      <c r="A744" s="377"/>
      <c r="B744" s="377"/>
      <c r="C744" s="377"/>
      <c r="D744" s="377"/>
      <c r="E744" s="377"/>
      <c r="F744" s="377"/>
      <c r="G744" s="377"/>
      <c r="H744" s="377"/>
      <c r="I744" s="377"/>
      <c r="J744" s="377"/>
      <c r="K744" s="377"/>
      <c r="L744" s="377"/>
      <c r="M744" s="377"/>
      <c r="N744" s="377"/>
      <c r="O744" s="377"/>
      <c r="P744" s="377"/>
      <c r="Q744" s="377"/>
      <c r="R744" s="377"/>
      <c r="S744" s="377"/>
      <c r="T744" s="377"/>
      <c r="U744" s="377"/>
      <c r="V744" s="377"/>
      <c r="W744" s="377"/>
      <c r="X744" s="377"/>
      <c r="Y744" s="377"/>
      <c r="Z744" s="377"/>
      <c r="AA744" s="377"/>
      <c r="AB744" s="377"/>
      <c r="AC744" s="377"/>
      <c r="AD744" s="377"/>
      <c r="AE744" s="377"/>
      <c r="AF744" s="377"/>
      <c r="AG744" s="377"/>
    </row>
    <row r="745" ht="14.25" customHeight="1">
      <c r="A745" s="377"/>
      <c r="B745" s="377"/>
      <c r="C745" s="377"/>
      <c r="D745" s="377"/>
      <c r="E745" s="377"/>
      <c r="F745" s="377"/>
      <c r="G745" s="377"/>
      <c r="H745" s="377"/>
      <c r="I745" s="377"/>
      <c r="J745" s="377"/>
      <c r="K745" s="377"/>
      <c r="L745" s="377"/>
      <c r="M745" s="377"/>
      <c r="N745" s="377"/>
      <c r="O745" s="377"/>
      <c r="P745" s="377"/>
      <c r="Q745" s="377"/>
      <c r="R745" s="377"/>
      <c r="S745" s="377"/>
      <c r="T745" s="377"/>
      <c r="U745" s="377"/>
      <c r="V745" s="377"/>
      <c r="W745" s="377"/>
      <c r="X745" s="377"/>
      <c r="Y745" s="377"/>
      <c r="Z745" s="377"/>
      <c r="AA745" s="377"/>
      <c r="AB745" s="377"/>
      <c r="AC745" s="377"/>
      <c r="AD745" s="377"/>
      <c r="AE745" s="377"/>
      <c r="AF745" s="377"/>
      <c r="AG745" s="377"/>
    </row>
    <row r="746" ht="14.25" customHeight="1">
      <c r="A746" s="377"/>
      <c r="B746" s="377"/>
      <c r="C746" s="377"/>
      <c r="D746" s="377"/>
      <c r="E746" s="377"/>
      <c r="F746" s="377"/>
      <c r="G746" s="377"/>
      <c r="H746" s="377"/>
      <c r="I746" s="377"/>
      <c r="J746" s="377"/>
      <c r="K746" s="377"/>
      <c r="L746" s="377"/>
      <c r="M746" s="377"/>
      <c r="N746" s="377"/>
      <c r="O746" s="377"/>
      <c r="P746" s="377"/>
      <c r="Q746" s="377"/>
      <c r="R746" s="377"/>
      <c r="S746" s="377"/>
      <c r="T746" s="377"/>
      <c r="U746" s="377"/>
      <c r="V746" s="377"/>
      <c r="W746" s="377"/>
      <c r="X746" s="377"/>
      <c r="Y746" s="377"/>
      <c r="Z746" s="377"/>
      <c r="AA746" s="377"/>
      <c r="AB746" s="377"/>
      <c r="AC746" s="377"/>
      <c r="AD746" s="377"/>
      <c r="AE746" s="377"/>
      <c r="AF746" s="377"/>
      <c r="AG746" s="377"/>
    </row>
    <row r="747" ht="14.25" customHeight="1">
      <c r="A747" s="377"/>
      <c r="B747" s="377"/>
      <c r="C747" s="377"/>
      <c r="D747" s="377"/>
      <c r="E747" s="377"/>
      <c r="F747" s="377"/>
      <c r="G747" s="377"/>
      <c r="H747" s="377"/>
      <c r="I747" s="377"/>
      <c r="J747" s="377"/>
      <c r="K747" s="377"/>
      <c r="L747" s="377"/>
      <c r="M747" s="377"/>
      <c r="N747" s="377"/>
      <c r="O747" s="377"/>
      <c r="P747" s="377"/>
      <c r="Q747" s="377"/>
      <c r="R747" s="377"/>
      <c r="S747" s="377"/>
      <c r="T747" s="377"/>
      <c r="U747" s="377"/>
      <c r="V747" s="377"/>
      <c r="W747" s="377"/>
      <c r="X747" s="377"/>
      <c r="Y747" s="377"/>
      <c r="Z747" s="377"/>
      <c r="AA747" s="377"/>
      <c r="AB747" s="377"/>
      <c r="AC747" s="377"/>
      <c r="AD747" s="377"/>
      <c r="AE747" s="377"/>
      <c r="AF747" s="377"/>
      <c r="AG747" s="377"/>
    </row>
    <row r="748" ht="14.25" customHeight="1">
      <c r="A748" s="377"/>
      <c r="B748" s="377"/>
      <c r="C748" s="377"/>
      <c r="D748" s="377"/>
      <c r="E748" s="377"/>
      <c r="F748" s="377"/>
      <c r="G748" s="377"/>
      <c r="H748" s="377"/>
      <c r="I748" s="377"/>
      <c r="J748" s="377"/>
      <c r="K748" s="377"/>
      <c r="L748" s="377"/>
      <c r="M748" s="377"/>
      <c r="N748" s="377"/>
      <c r="O748" s="377"/>
      <c r="P748" s="377"/>
      <c r="Q748" s="377"/>
      <c r="R748" s="377"/>
      <c r="S748" s="377"/>
      <c r="T748" s="377"/>
      <c r="U748" s="377"/>
      <c r="V748" s="377"/>
      <c r="W748" s="377"/>
      <c r="X748" s="377"/>
      <c r="Y748" s="377"/>
      <c r="Z748" s="377"/>
      <c r="AA748" s="377"/>
      <c r="AB748" s="377"/>
      <c r="AC748" s="377"/>
      <c r="AD748" s="377"/>
      <c r="AE748" s="377"/>
      <c r="AF748" s="377"/>
      <c r="AG748" s="377"/>
    </row>
    <row r="749" ht="14.25" customHeight="1">
      <c r="A749" s="377"/>
      <c r="B749" s="377"/>
      <c r="C749" s="377"/>
      <c r="D749" s="377"/>
      <c r="E749" s="377"/>
      <c r="F749" s="377"/>
      <c r="G749" s="377"/>
      <c r="H749" s="377"/>
      <c r="I749" s="377"/>
      <c r="J749" s="377"/>
      <c r="K749" s="377"/>
      <c r="L749" s="377"/>
      <c r="M749" s="377"/>
      <c r="N749" s="377"/>
      <c r="O749" s="377"/>
      <c r="P749" s="377"/>
      <c r="Q749" s="377"/>
      <c r="R749" s="377"/>
      <c r="S749" s="377"/>
      <c r="T749" s="377"/>
      <c r="U749" s="377"/>
      <c r="V749" s="377"/>
      <c r="W749" s="377"/>
      <c r="X749" s="377"/>
      <c r="Y749" s="377"/>
      <c r="Z749" s="377"/>
      <c r="AA749" s="377"/>
      <c r="AB749" s="377"/>
      <c r="AC749" s="377"/>
      <c r="AD749" s="377"/>
      <c r="AE749" s="377"/>
      <c r="AF749" s="377"/>
      <c r="AG749" s="377"/>
    </row>
    <row r="750" ht="14.25" customHeight="1">
      <c r="A750" s="377"/>
      <c r="B750" s="377"/>
      <c r="C750" s="377"/>
      <c r="D750" s="377"/>
      <c r="E750" s="377"/>
      <c r="F750" s="377"/>
      <c r="G750" s="377"/>
      <c r="H750" s="377"/>
      <c r="I750" s="377"/>
      <c r="J750" s="377"/>
      <c r="K750" s="377"/>
      <c r="L750" s="377"/>
      <c r="M750" s="377"/>
      <c r="N750" s="377"/>
      <c r="O750" s="377"/>
      <c r="P750" s="377"/>
      <c r="Q750" s="377"/>
      <c r="R750" s="377"/>
      <c r="S750" s="377"/>
      <c r="T750" s="377"/>
      <c r="U750" s="377"/>
      <c r="V750" s="377"/>
      <c r="W750" s="377"/>
      <c r="X750" s="377"/>
      <c r="Y750" s="377"/>
      <c r="Z750" s="377"/>
      <c r="AA750" s="377"/>
      <c r="AB750" s="377"/>
      <c r="AC750" s="377"/>
      <c r="AD750" s="377"/>
      <c r="AE750" s="377"/>
      <c r="AF750" s="377"/>
      <c r="AG750" s="377"/>
    </row>
    <row r="751" ht="14.25" customHeight="1">
      <c r="A751" s="377"/>
      <c r="B751" s="377"/>
      <c r="C751" s="377"/>
      <c r="D751" s="377"/>
      <c r="E751" s="377"/>
      <c r="F751" s="377"/>
      <c r="G751" s="377"/>
      <c r="H751" s="377"/>
      <c r="I751" s="377"/>
      <c r="J751" s="377"/>
      <c r="K751" s="377"/>
      <c r="L751" s="377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  <c r="Z751" s="377"/>
      <c r="AA751" s="377"/>
      <c r="AB751" s="377"/>
      <c r="AC751" s="377"/>
      <c r="AD751" s="377"/>
      <c r="AE751" s="377"/>
      <c r="AF751" s="377"/>
      <c r="AG751" s="377"/>
    </row>
    <row r="752" ht="14.25" customHeight="1">
      <c r="A752" s="377"/>
      <c r="B752" s="377"/>
      <c r="C752" s="377"/>
      <c r="D752" s="377"/>
      <c r="E752" s="377"/>
      <c r="F752" s="377"/>
      <c r="G752" s="377"/>
      <c r="H752" s="377"/>
      <c r="I752" s="377"/>
      <c r="J752" s="377"/>
      <c r="K752" s="377"/>
      <c r="L752" s="377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  <c r="Z752" s="377"/>
      <c r="AA752" s="377"/>
      <c r="AB752" s="377"/>
      <c r="AC752" s="377"/>
      <c r="AD752" s="377"/>
      <c r="AE752" s="377"/>
      <c r="AF752" s="377"/>
      <c r="AG752" s="377"/>
    </row>
    <row r="753" ht="14.25" customHeight="1">
      <c r="A753" s="377"/>
      <c r="B753" s="377"/>
      <c r="C753" s="377"/>
      <c r="D753" s="377"/>
      <c r="E753" s="377"/>
      <c r="F753" s="377"/>
      <c r="G753" s="377"/>
      <c r="H753" s="377"/>
      <c r="I753" s="377"/>
      <c r="J753" s="377"/>
      <c r="K753" s="377"/>
      <c r="L753" s="377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  <c r="Z753" s="377"/>
      <c r="AA753" s="377"/>
      <c r="AB753" s="377"/>
      <c r="AC753" s="377"/>
      <c r="AD753" s="377"/>
      <c r="AE753" s="377"/>
      <c r="AF753" s="377"/>
      <c r="AG753" s="377"/>
    </row>
    <row r="754" ht="14.25" customHeight="1">
      <c r="A754" s="377"/>
      <c r="B754" s="377"/>
      <c r="C754" s="377"/>
      <c r="D754" s="377"/>
      <c r="E754" s="377"/>
      <c r="F754" s="377"/>
      <c r="G754" s="377"/>
      <c r="H754" s="377"/>
      <c r="I754" s="377"/>
      <c r="J754" s="377"/>
      <c r="K754" s="377"/>
      <c r="L754" s="377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  <c r="Z754" s="377"/>
      <c r="AA754" s="377"/>
      <c r="AB754" s="377"/>
      <c r="AC754" s="377"/>
      <c r="AD754" s="377"/>
      <c r="AE754" s="377"/>
      <c r="AF754" s="377"/>
      <c r="AG754" s="377"/>
    </row>
    <row r="755" ht="14.25" customHeight="1">
      <c r="A755" s="377"/>
      <c r="B755" s="377"/>
      <c r="C755" s="377"/>
      <c r="D755" s="377"/>
      <c r="E755" s="377"/>
      <c r="F755" s="377"/>
      <c r="G755" s="377"/>
      <c r="H755" s="377"/>
      <c r="I755" s="377"/>
      <c r="J755" s="377"/>
      <c r="K755" s="377"/>
      <c r="L755" s="377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  <c r="Z755" s="377"/>
      <c r="AA755" s="377"/>
      <c r="AB755" s="377"/>
      <c r="AC755" s="377"/>
      <c r="AD755" s="377"/>
      <c r="AE755" s="377"/>
      <c r="AF755" s="377"/>
      <c r="AG755" s="377"/>
    </row>
    <row r="756" ht="14.25" customHeight="1">
      <c r="A756" s="377"/>
      <c r="B756" s="377"/>
      <c r="C756" s="377"/>
      <c r="D756" s="377"/>
      <c r="E756" s="377"/>
      <c r="F756" s="377"/>
      <c r="G756" s="377"/>
      <c r="H756" s="377"/>
      <c r="I756" s="377"/>
      <c r="J756" s="377"/>
      <c r="K756" s="377"/>
      <c r="L756" s="377"/>
      <c r="M756" s="377"/>
      <c r="N756" s="377"/>
      <c r="O756" s="377"/>
      <c r="P756" s="377"/>
      <c r="Q756" s="377"/>
      <c r="R756" s="377"/>
      <c r="S756" s="377"/>
      <c r="T756" s="377"/>
      <c r="U756" s="377"/>
      <c r="V756" s="377"/>
      <c r="W756" s="377"/>
      <c r="X756" s="377"/>
      <c r="Y756" s="377"/>
      <c r="Z756" s="377"/>
      <c r="AA756" s="377"/>
      <c r="AB756" s="377"/>
      <c r="AC756" s="377"/>
      <c r="AD756" s="377"/>
      <c r="AE756" s="377"/>
      <c r="AF756" s="377"/>
      <c r="AG756" s="377"/>
    </row>
    <row r="757" ht="14.25" customHeight="1">
      <c r="A757" s="377"/>
      <c r="B757" s="377"/>
      <c r="C757" s="377"/>
      <c r="D757" s="377"/>
      <c r="E757" s="377"/>
      <c r="F757" s="377"/>
      <c r="G757" s="377"/>
      <c r="H757" s="377"/>
      <c r="I757" s="377"/>
      <c r="J757" s="377"/>
      <c r="K757" s="377"/>
      <c r="L757" s="377"/>
      <c r="M757" s="377"/>
      <c r="N757" s="377"/>
      <c r="O757" s="377"/>
      <c r="P757" s="377"/>
      <c r="Q757" s="377"/>
      <c r="R757" s="377"/>
      <c r="S757" s="377"/>
      <c r="T757" s="377"/>
      <c r="U757" s="377"/>
      <c r="V757" s="377"/>
      <c r="W757" s="377"/>
      <c r="X757" s="377"/>
      <c r="Y757" s="377"/>
      <c r="Z757" s="377"/>
      <c r="AA757" s="377"/>
      <c r="AB757" s="377"/>
      <c r="AC757" s="377"/>
      <c r="AD757" s="377"/>
      <c r="AE757" s="377"/>
      <c r="AF757" s="377"/>
      <c r="AG757" s="377"/>
    </row>
    <row r="758" ht="14.25" customHeight="1">
      <c r="A758" s="377"/>
      <c r="B758" s="377"/>
      <c r="C758" s="377"/>
      <c r="D758" s="377"/>
      <c r="E758" s="377"/>
      <c r="F758" s="377"/>
      <c r="G758" s="377"/>
      <c r="H758" s="377"/>
      <c r="I758" s="377"/>
      <c r="J758" s="377"/>
      <c r="K758" s="377"/>
      <c r="L758" s="377"/>
      <c r="M758" s="377"/>
      <c r="N758" s="377"/>
      <c r="O758" s="377"/>
      <c r="P758" s="377"/>
      <c r="Q758" s="377"/>
      <c r="R758" s="377"/>
      <c r="S758" s="377"/>
      <c r="T758" s="377"/>
      <c r="U758" s="377"/>
      <c r="V758" s="377"/>
      <c r="W758" s="377"/>
      <c r="X758" s="377"/>
      <c r="Y758" s="377"/>
      <c r="Z758" s="377"/>
      <c r="AA758" s="377"/>
      <c r="AB758" s="377"/>
      <c r="AC758" s="377"/>
      <c r="AD758" s="377"/>
      <c r="AE758" s="377"/>
      <c r="AF758" s="377"/>
      <c r="AG758" s="377"/>
    </row>
    <row r="759" ht="14.25" customHeight="1">
      <c r="A759" s="377"/>
      <c r="B759" s="377"/>
      <c r="C759" s="377"/>
      <c r="D759" s="377"/>
      <c r="E759" s="377"/>
      <c r="F759" s="377"/>
      <c r="G759" s="377"/>
      <c r="H759" s="377"/>
      <c r="I759" s="377"/>
      <c r="J759" s="377"/>
      <c r="K759" s="377"/>
      <c r="L759" s="377"/>
      <c r="M759" s="377"/>
      <c r="N759" s="377"/>
      <c r="O759" s="377"/>
      <c r="P759" s="377"/>
      <c r="Q759" s="377"/>
      <c r="R759" s="377"/>
      <c r="S759" s="377"/>
      <c r="T759" s="377"/>
      <c r="U759" s="377"/>
      <c r="V759" s="377"/>
      <c r="W759" s="377"/>
      <c r="X759" s="377"/>
      <c r="Y759" s="377"/>
      <c r="Z759" s="377"/>
      <c r="AA759" s="377"/>
      <c r="AB759" s="377"/>
      <c r="AC759" s="377"/>
      <c r="AD759" s="377"/>
      <c r="AE759" s="377"/>
      <c r="AF759" s="377"/>
      <c r="AG759" s="377"/>
    </row>
    <row r="760" ht="14.25" customHeight="1">
      <c r="A760" s="377"/>
      <c r="B760" s="377"/>
      <c r="C760" s="377"/>
      <c r="D760" s="377"/>
      <c r="E760" s="377"/>
      <c r="F760" s="377"/>
      <c r="G760" s="377"/>
      <c r="H760" s="377"/>
      <c r="I760" s="377"/>
      <c r="J760" s="377"/>
      <c r="K760" s="377"/>
      <c r="L760" s="377"/>
      <c r="M760" s="377"/>
      <c r="N760" s="377"/>
      <c r="O760" s="377"/>
      <c r="P760" s="377"/>
      <c r="Q760" s="377"/>
      <c r="R760" s="377"/>
      <c r="S760" s="377"/>
      <c r="T760" s="377"/>
      <c r="U760" s="377"/>
      <c r="V760" s="377"/>
      <c r="W760" s="377"/>
      <c r="X760" s="377"/>
      <c r="Y760" s="377"/>
      <c r="Z760" s="377"/>
      <c r="AA760" s="377"/>
      <c r="AB760" s="377"/>
      <c r="AC760" s="377"/>
      <c r="AD760" s="377"/>
      <c r="AE760" s="377"/>
      <c r="AF760" s="377"/>
      <c r="AG760" s="377"/>
    </row>
    <row r="761" ht="14.25" customHeight="1">
      <c r="A761" s="377"/>
      <c r="B761" s="377"/>
      <c r="C761" s="377"/>
      <c r="D761" s="377"/>
      <c r="E761" s="377"/>
      <c r="F761" s="377"/>
      <c r="G761" s="377"/>
      <c r="H761" s="377"/>
      <c r="I761" s="377"/>
      <c r="J761" s="377"/>
      <c r="K761" s="377"/>
      <c r="L761" s="377"/>
      <c r="M761" s="377"/>
      <c r="N761" s="377"/>
      <c r="O761" s="377"/>
      <c r="P761" s="377"/>
      <c r="Q761" s="377"/>
      <c r="R761" s="377"/>
      <c r="S761" s="377"/>
      <c r="T761" s="377"/>
      <c r="U761" s="377"/>
      <c r="V761" s="377"/>
      <c r="W761" s="377"/>
      <c r="X761" s="377"/>
      <c r="Y761" s="377"/>
      <c r="Z761" s="377"/>
      <c r="AA761" s="377"/>
      <c r="AB761" s="377"/>
      <c r="AC761" s="377"/>
      <c r="AD761" s="377"/>
      <c r="AE761" s="377"/>
      <c r="AF761" s="377"/>
      <c r="AG761" s="377"/>
    </row>
    <row r="762" ht="14.25" customHeight="1">
      <c r="A762" s="377"/>
      <c r="B762" s="377"/>
      <c r="C762" s="377"/>
      <c r="D762" s="377"/>
      <c r="E762" s="377"/>
      <c r="F762" s="377"/>
      <c r="G762" s="377"/>
      <c r="H762" s="377"/>
      <c r="I762" s="377"/>
      <c r="J762" s="377"/>
      <c r="K762" s="377"/>
      <c r="L762" s="377"/>
      <c r="M762" s="377"/>
      <c r="N762" s="377"/>
      <c r="O762" s="377"/>
      <c r="P762" s="377"/>
      <c r="Q762" s="377"/>
      <c r="R762" s="377"/>
      <c r="S762" s="377"/>
      <c r="T762" s="377"/>
      <c r="U762" s="377"/>
      <c r="V762" s="377"/>
      <c r="W762" s="377"/>
      <c r="X762" s="377"/>
      <c r="Y762" s="377"/>
      <c r="Z762" s="377"/>
      <c r="AA762" s="377"/>
      <c r="AB762" s="377"/>
      <c r="AC762" s="377"/>
      <c r="AD762" s="377"/>
      <c r="AE762" s="377"/>
      <c r="AF762" s="377"/>
      <c r="AG762" s="377"/>
    </row>
    <row r="763" ht="14.25" customHeight="1">
      <c r="A763" s="377"/>
      <c r="B763" s="377"/>
      <c r="C763" s="377"/>
      <c r="D763" s="377"/>
      <c r="E763" s="377"/>
      <c r="F763" s="377"/>
      <c r="G763" s="377"/>
      <c r="H763" s="377"/>
      <c r="I763" s="377"/>
      <c r="J763" s="377"/>
      <c r="K763" s="377"/>
      <c r="L763" s="377"/>
      <c r="M763" s="377"/>
      <c r="N763" s="377"/>
      <c r="O763" s="377"/>
      <c r="P763" s="377"/>
      <c r="Q763" s="377"/>
      <c r="R763" s="377"/>
      <c r="S763" s="377"/>
      <c r="T763" s="377"/>
      <c r="U763" s="377"/>
      <c r="V763" s="377"/>
      <c r="W763" s="377"/>
      <c r="X763" s="377"/>
      <c r="Y763" s="377"/>
      <c r="Z763" s="377"/>
      <c r="AA763" s="377"/>
      <c r="AB763" s="377"/>
      <c r="AC763" s="377"/>
      <c r="AD763" s="377"/>
      <c r="AE763" s="377"/>
      <c r="AF763" s="377"/>
      <c r="AG763" s="377"/>
    </row>
    <row r="764" ht="14.25" customHeight="1">
      <c r="A764" s="377"/>
      <c r="B764" s="377"/>
      <c r="C764" s="377"/>
      <c r="D764" s="377"/>
      <c r="E764" s="377"/>
      <c r="F764" s="377"/>
      <c r="G764" s="377"/>
      <c r="H764" s="377"/>
      <c r="I764" s="377"/>
      <c r="J764" s="377"/>
      <c r="K764" s="377"/>
      <c r="L764" s="377"/>
      <c r="M764" s="377"/>
      <c r="N764" s="377"/>
      <c r="O764" s="377"/>
      <c r="P764" s="377"/>
      <c r="Q764" s="377"/>
      <c r="R764" s="377"/>
      <c r="S764" s="377"/>
      <c r="T764" s="377"/>
      <c r="U764" s="377"/>
      <c r="V764" s="377"/>
      <c r="W764" s="377"/>
      <c r="X764" s="377"/>
      <c r="Y764" s="377"/>
      <c r="Z764" s="377"/>
      <c r="AA764" s="377"/>
      <c r="AB764" s="377"/>
      <c r="AC764" s="377"/>
      <c r="AD764" s="377"/>
      <c r="AE764" s="377"/>
      <c r="AF764" s="377"/>
      <c r="AG764" s="377"/>
    </row>
    <row r="765" ht="14.25" customHeight="1">
      <c r="A765" s="377"/>
      <c r="B765" s="377"/>
      <c r="C765" s="377"/>
      <c r="D765" s="377"/>
      <c r="E765" s="377"/>
      <c r="F765" s="377"/>
      <c r="G765" s="377"/>
      <c r="H765" s="377"/>
      <c r="I765" s="377"/>
      <c r="J765" s="377"/>
      <c r="K765" s="377"/>
      <c r="L765" s="377"/>
      <c r="M765" s="377"/>
      <c r="N765" s="377"/>
      <c r="O765" s="377"/>
      <c r="P765" s="377"/>
      <c r="Q765" s="377"/>
      <c r="R765" s="377"/>
      <c r="S765" s="377"/>
      <c r="T765" s="377"/>
      <c r="U765" s="377"/>
      <c r="V765" s="377"/>
      <c r="W765" s="377"/>
      <c r="X765" s="377"/>
      <c r="Y765" s="377"/>
      <c r="Z765" s="377"/>
      <c r="AA765" s="377"/>
      <c r="AB765" s="377"/>
      <c r="AC765" s="377"/>
      <c r="AD765" s="377"/>
      <c r="AE765" s="377"/>
      <c r="AF765" s="377"/>
      <c r="AG765" s="377"/>
    </row>
    <row r="766" ht="14.25" customHeight="1">
      <c r="A766" s="377"/>
      <c r="B766" s="377"/>
      <c r="C766" s="377"/>
      <c r="D766" s="377"/>
      <c r="E766" s="377"/>
      <c r="F766" s="377"/>
      <c r="G766" s="377"/>
      <c r="H766" s="377"/>
      <c r="I766" s="377"/>
      <c r="J766" s="377"/>
      <c r="K766" s="377"/>
      <c r="L766" s="377"/>
      <c r="M766" s="377"/>
      <c r="N766" s="377"/>
      <c r="O766" s="377"/>
      <c r="P766" s="377"/>
      <c r="Q766" s="377"/>
      <c r="R766" s="377"/>
      <c r="S766" s="377"/>
      <c r="T766" s="377"/>
      <c r="U766" s="377"/>
      <c r="V766" s="377"/>
      <c r="W766" s="377"/>
      <c r="X766" s="377"/>
      <c r="Y766" s="377"/>
      <c r="Z766" s="377"/>
      <c r="AA766" s="377"/>
      <c r="AB766" s="377"/>
      <c r="AC766" s="377"/>
      <c r="AD766" s="377"/>
      <c r="AE766" s="377"/>
      <c r="AF766" s="377"/>
      <c r="AG766" s="377"/>
    </row>
    <row r="767" ht="14.25" customHeight="1">
      <c r="A767" s="377"/>
      <c r="B767" s="377"/>
      <c r="C767" s="377"/>
      <c r="D767" s="377"/>
      <c r="E767" s="377"/>
      <c r="F767" s="377"/>
      <c r="G767" s="377"/>
      <c r="H767" s="377"/>
      <c r="I767" s="377"/>
      <c r="J767" s="377"/>
      <c r="K767" s="377"/>
      <c r="L767" s="377"/>
      <c r="M767" s="377"/>
      <c r="N767" s="377"/>
      <c r="O767" s="377"/>
      <c r="P767" s="377"/>
      <c r="Q767" s="377"/>
      <c r="R767" s="377"/>
      <c r="S767" s="377"/>
      <c r="T767" s="377"/>
      <c r="U767" s="377"/>
      <c r="V767" s="377"/>
      <c r="W767" s="377"/>
      <c r="X767" s="377"/>
      <c r="Y767" s="377"/>
      <c r="Z767" s="377"/>
      <c r="AA767" s="377"/>
      <c r="AB767" s="377"/>
      <c r="AC767" s="377"/>
      <c r="AD767" s="377"/>
      <c r="AE767" s="377"/>
      <c r="AF767" s="377"/>
      <c r="AG767" s="377"/>
    </row>
    <row r="768" ht="14.25" customHeight="1">
      <c r="A768" s="377"/>
      <c r="B768" s="377"/>
      <c r="C768" s="377"/>
      <c r="D768" s="377"/>
      <c r="E768" s="377"/>
      <c r="F768" s="377"/>
      <c r="G768" s="377"/>
      <c r="H768" s="377"/>
      <c r="I768" s="377"/>
      <c r="J768" s="377"/>
      <c r="K768" s="377"/>
      <c r="L768" s="377"/>
      <c r="M768" s="377"/>
      <c r="N768" s="377"/>
      <c r="O768" s="377"/>
      <c r="P768" s="377"/>
      <c r="Q768" s="377"/>
      <c r="R768" s="377"/>
      <c r="S768" s="377"/>
      <c r="T768" s="377"/>
      <c r="U768" s="377"/>
      <c r="V768" s="377"/>
      <c r="W768" s="377"/>
      <c r="X768" s="377"/>
      <c r="Y768" s="377"/>
      <c r="Z768" s="377"/>
      <c r="AA768" s="377"/>
      <c r="AB768" s="377"/>
      <c r="AC768" s="377"/>
      <c r="AD768" s="377"/>
      <c r="AE768" s="377"/>
      <c r="AF768" s="377"/>
      <c r="AG768" s="377"/>
    </row>
    <row r="769" ht="14.25" customHeight="1">
      <c r="A769" s="377"/>
      <c r="B769" s="377"/>
      <c r="C769" s="377"/>
      <c r="D769" s="377"/>
      <c r="E769" s="377"/>
      <c r="F769" s="377"/>
      <c r="G769" s="377"/>
      <c r="H769" s="377"/>
      <c r="I769" s="377"/>
      <c r="J769" s="377"/>
      <c r="K769" s="377"/>
      <c r="L769" s="377"/>
      <c r="M769" s="377"/>
      <c r="N769" s="377"/>
      <c r="O769" s="377"/>
      <c r="P769" s="377"/>
      <c r="Q769" s="377"/>
      <c r="R769" s="377"/>
      <c r="S769" s="377"/>
      <c r="T769" s="377"/>
      <c r="U769" s="377"/>
      <c r="V769" s="377"/>
      <c r="W769" s="377"/>
      <c r="X769" s="377"/>
      <c r="Y769" s="377"/>
      <c r="Z769" s="377"/>
      <c r="AA769" s="377"/>
      <c r="AB769" s="377"/>
      <c r="AC769" s="377"/>
      <c r="AD769" s="377"/>
      <c r="AE769" s="377"/>
      <c r="AF769" s="377"/>
      <c r="AG769" s="377"/>
    </row>
    <row r="770" ht="14.25" customHeight="1">
      <c r="A770" s="377"/>
      <c r="B770" s="377"/>
      <c r="C770" s="377"/>
      <c r="D770" s="377"/>
      <c r="E770" s="377"/>
      <c r="F770" s="377"/>
      <c r="G770" s="377"/>
      <c r="H770" s="377"/>
      <c r="I770" s="377"/>
      <c r="J770" s="377"/>
      <c r="K770" s="377"/>
      <c r="L770" s="377"/>
      <c r="M770" s="377"/>
      <c r="N770" s="377"/>
      <c r="O770" s="377"/>
      <c r="P770" s="377"/>
      <c r="Q770" s="377"/>
      <c r="R770" s="377"/>
      <c r="S770" s="377"/>
      <c r="T770" s="377"/>
      <c r="U770" s="377"/>
      <c r="V770" s="377"/>
      <c r="W770" s="377"/>
      <c r="X770" s="377"/>
      <c r="Y770" s="377"/>
      <c r="Z770" s="377"/>
      <c r="AA770" s="377"/>
      <c r="AB770" s="377"/>
      <c r="AC770" s="377"/>
      <c r="AD770" s="377"/>
      <c r="AE770" s="377"/>
      <c r="AF770" s="377"/>
      <c r="AG770" s="377"/>
    </row>
    <row r="771" ht="14.25" customHeight="1">
      <c r="A771" s="377"/>
      <c r="B771" s="377"/>
      <c r="C771" s="377"/>
      <c r="D771" s="377"/>
      <c r="E771" s="377"/>
      <c r="F771" s="377"/>
      <c r="G771" s="377"/>
      <c r="H771" s="377"/>
      <c r="I771" s="377"/>
      <c r="J771" s="377"/>
      <c r="K771" s="377"/>
      <c r="L771" s="377"/>
      <c r="M771" s="377"/>
      <c r="N771" s="377"/>
      <c r="O771" s="377"/>
      <c r="P771" s="377"/>
      <c r="Q771" s="377"/>
      <c r="R771" s="377"/>
      <c r="S771" s="377"/>
      <c r="T771" s="377"/>
      <c r="U771" s="377"/>
      <c r="V771" s="377"/>
      <c r="W771" s="377"/>
      <c r="X771" s="377"/>
      <c r="Y771" s="377"/>
      <c r="Z771" s="377"/>
      <c r="AA771" s="377"/>
      <c r="AB771" s="377"/>
      <c r="AC771" s="377"/>
      <c r="AD771" s="377"/>
      <c r="AE771" s="377"/>
      <c r="AF771" s="377"/>
      <c r="AG771" s="377"/>
    </row>
    <row r="772" ht="14.25" customHeight="1">
      <c r="A772" s="377"/>
      <c r="B772" s="377"/>
      <c r="C772" s="377"/>
      <c r="D772" s="377"/>
      <c r="E772" s="377"/>
      <c r="F772" s="377"/>
      <c r="G772" s="377"/>
      <c r="H772" s="377"/>
      <c r="I772" s="377"/>
      <c r="J772" s="377"/>
      <c r="K772" s="377"/>
      <c r="L772" s="377"/>
      <c r="M772" s="377"/>
      <c r="N772" s="377"/>
      <c r="O772" s="377"/>
      <c r="P772" s="377"/>
      <c r="Q772" s="377"/>
      <c r="R772" s="377"/>
      <c r="S772" s="377"/>
      <c r="T772" s="377"/>
      <c r="U772" s="377"/>
      <c r="V772" s="377"/>
      <c r="W772" s="377"/>
      <c r="X772" s="377"/>
      <c r="Y772" s="377"/>
      <c r="Z772" s="377"/>
      <c r="AA772" s="377"/>
      <c r="AB772" s="377"/>
      <c r="AC772" s="377"/>
      <c r="AD772" s="377"/>
      <c r="AE772" s="377"/>
      <c r="AF772" s="377"/>
      <c r="AG772" s="377"/>
    </row>
    <row r="773" ht="14.25" customHeight="1">
      <c r="A773" s="377"/>
      <c r="B773" s="377"/>
      <c r="C773" s="377"/>
      <c r="D773" s="377"/>
      <c r="E773" s="377"/>
      <c r="F773" s="377"/>
      <c r="G773" s="377"/>
      <c r="H773" s="377"/>
      <c r="I773" s="377"/>
      <c r="J773" s="377"/>
      <c r="K773" s="377"/>
      <c r="L773" s="377"/>
      <c r="M773" s="377"/>
      <c r="N773" s="377"/>
      <c r="O773" s="377"/>
      <c r="P773" s="377"/>
      <c r="Q773" s="377"/>
      <c r="R773" s="377"/>
      <c r="S773" s="377"/>
      <c r="T773" s="377"/>
      <c r="U773" s="377"/>
      <c r="V773" s="377"/>
      <c r="W773" s="377"/>
      <c r="X773" s="377"/>
      <c r="Y773" s="377"/>
      <c r="Z773" s="377"/>
      <c r="AA773" s="377"/>
      <c r="AB773" s="377"/>
      <c r="AC773" s="377"/>
      <c r="AD773" s="377"/>
      <c r="AE773" s="377"/>
      <c r="AF773" s="377"/>
      <c r="AG773" s="377"/>
    </row>
    <row r="774" ht="14.25" customHeight="1">
      <c r="A774" s="377"/>
      <c r="B774" s="377"/>
      <c r="C774" s="377"/>
      <c r="D774" s="377"/>
      <c r="E774" s="377"/>
      <c r="F774" s="377"/>
      <c r="G774" s="377"/>
      <c r="H774" s="377"/>
      <c r="I774" s="377"/>
      <c r="J774" s="377"/>
      <c r="K774" s="377"/>
      <c r="L774" s="377"/>
      <c r="M774" s="377"/>
      <c r="N774" s="377"/>
      <c r="O774" s="377"/>
      <c r="P774" s="377"/>
      <c r="Q774" s="377"/>
      <c r="R774" s="377"/>
      <c r="S774" s="377"/>
      <c r="T774" s="377"/>
      <c r="U774" s="377"/>
      <c r="V774" s="377"/>
      <c r="W774" s="377"/>
      <c r="X774" s="377"/>
      <c r="Y774" s="377"/>
      <c r="Z774" s="377"/>
      <c r="AA774" s="377"/>
      <c r="AB774" s="377"/>
      <c r="AC774" s="377"/>
      <c r="AD774" s="377"/>
      <c r="AE774" s="377"/>
      <c r="AF774" s="377"/>
      <c r="AG774" s="377"/>
    </row>
    <row r="775" ht="14.25" customHeight="1">
      <c r="A775" s="377"/>
      <c r="B775" s="377"/>
      <c r="C775" s="377"/>
      <c r="D775" s="377"/>
      <c r="E775" s="377"/>
      <c r="F775" s="377"/>
      <c r="G775" s="377"/>
      <c r="H775" s="377"/>
      <c r="I775" s="377"/>
      <c r="J775" s="377"/>
      <c r="K775" s="377"/>
      <c r="L775" s="377"/>
      <c r="M775" s="377"/>
      <c r="N775" s="377"/>
      <c r="O775" s="377"/>
      <c r="P775" s="377"/>
      <c r="Q775" s="377"/>
      <c r="R775" s="377"/>
      <c r="S775" s="377"/>
      <c r="T775" s="377"/>
      <c r="U775" s="377"/>
      <c r="V775" s="377"/>
      <c r="W775" s="377"/>
      <c r="X775" s="377"/>
      <c r="Y775" s="377"/>
      <c r="Z775" s="377"/>
      <c r="AA775" s="377"/>
      <c r="AB775" s="377"/>
      <c r="AC775" s="377"/>
      <c r="AD775" s="377"/>
      <c r="AE775" s="377"/>
      <c r="AF775" s="377"/>
      <c r="AG775" s="377"/>
    </row>
    <row r="776" ht="14.25" customHeight="1">
      <c r="A776" s="377"/>
      <c r="B776" s="377"/>
      <c r="C776" s="377"/>
      <c r="D776" s="377"/>
      <c r="E776" s="377"/>
      <c r="F776" s="377"/>
      <c r="G776" s="377"/>
      <c r="H776" s="377"/>
      <c r="I776" s="377"/>
      <c r="J776" s="377"/>
      <c r="K776" s="377"/>
      <c r="L776" s="377"/>
      <c r="M776" s="377"/>
      <c r="N776" s="377"/>
      <c r="O776" s="377"/>
      <c r="P776" s="377"/>
      <c r="Q776" s="377"/>
      <c r="R776" s="377"/>
      <c r="S776" s="377"/>
      <c r="T776" s="377"/>
      <c r="U776" s="377"/>
      <c r="V776" s="377"/>
      <c r="W776" s="377"/>
      <c r="X776" s="377"/>
      <c r="Y776" s="377"/>
      <c r="Z776" s="377"/>
      <c r="AA776" s="377"/>
      <c r="AB776" s="377"/>
      <c r="AC776" s="377"/>
      <c r="AD776" s="377"/>
      <c r="AE776" s="377"/>
      <c r="AF776" s="377"/>
      <c r="AG776" s="377"/>
    </row>
    <row r="777" ht="14.25" customHeight="1">
      <c r="A777" s="377"/>
      <c r="B777" s="377"/>
      <c r="C777" s="377"/>
      <c r="D777" s="377"/>
      <c r="E777" s="377"/>
      <c r="F777" s="377"/>
      <c r="G777" s="377"/>
      <c r="H777" s="377"/>
      <c r="I777" s="377"/>
      <c r="J777" s="377"/>
      <c r="K777" s="377"/>
      <c r="L777" s="377"/>
      <c r="M777" s="377"/>
      <c r="N777" s="377"/>
      <c r="O777" s="377"/>
      <c r="P777" s="377"/>
      <c r="Q777" s="377"/>
      <c r="R777" s="377"/>
      <c r="S777" s="377"/>
      <c r="T777" s="377"/>
      <c r="U777" s="377"/>
      <c r="V777" s="377"/>
      <c r="W777" s="377"/>
      <c r="X777" s="377"/>
      <c r="Y777" s="377"/>
      <c r="Z777" s="377"/>
      <c r="AA777" s="377"/>
      <c r="AB777" s="377"/>
      <c r="AC777" s="377"/>
      <c r="AD777" s="377"/>
      <c r="AE777" s="377"/>
      <c r="AF777" s="377"/>
      <c r="AG777" s="377"/>
    </row>
    <row r="778" ht="14.25" customHeight="1">
      <c r="A778" s="377"/>
      <c r="B778" s="377"/>
      <c r="C778" s="377"/>
      <c r="D778" s="377"/>
      <c r="E778" s="377"/>
      <c r="F778" s="377"/>
      <c r="G778" s="377"/>
      <c r="H778" s="377"/>
      <c r="I778" s="377"/>
      <c r="J778" s="377"/>
      <c r="K778" s="377"/>
      <c r="L778" s="377"/>
      <c r="M778" s="377"/>
      <c r="N778" s="377"/>
      <c r="O778" s="377"/>
      <c r="P778" s="377"/>
      <c r="Q778" s="377"/>
      <c r="R778" s="377"/>
      <c r="S778" s="377"/>
      <c r="T778" s="377"/>
      <c r="U778" s="377"/>
      <c r="V778" s="377"/>
      <c r="W778" s="377"/>
      <c r="X778" s="377"/>
      <c r="Y778" s="377"/>
      <c r="Z778" s="377"/>
      <c r="AA778" s="377"/>
      <c r="AB778" s="377"/>
      <c r="AC778" s="377"/>
      <c r="AD778" s="377"/>
      <c r="AE778" s="377"/>
      <c r="AF778" s="377"/>
      <c r="AG778" s="377"/>
    </row>
    <row r="779" ht="14.25" customHeight="1">
      <c r="A779" s="377"/>
      <c r="B779" s="377"/>
      <c r="C779" s="377"/>
      <c r="D779" s="377"/>
      <c r="E779" s="377"/>
      <c r="F779" s="377"/>
      <c r="G779" s="377"/>
      <c r="H779" s="377"/>
      <c r="I779" s="377"/>
      <c r="J779" s="377"/>
      <c r="K779" s="377"/>
      <c r="L779" s="377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  <c r="Z779" s="377"/>
      <c r="AA779" s="377"/>
      <c r="AB779" s="377"/>
      <c r="AC779" s="377"/>
      <c r="AD779" s="377"/>
      <c r="AE779" s="377"/>
      <c r="AF779" s="377"/>
      <c r="AG779" s="377"/>
    </row>
    <row r="780" ht="14.25" customHeight="1">
      <c r="A780" s="377"/>
      <c r="B780" s="377"/>
      <c r="C780" s="377"/>
      <c r="D780" s="377"/>
      <c r="E780" s="377"/>
      <c r="F780" s="377"/>
      <c r="G780" s="377"/>
      <c r="H780" s="377"/>
      <c r="I780" s="377"/>
      <c r="J780" s="377"/>
      <c r="K780" s="377"/>
      <c r="L780" s="377"/>
      <c r="M780" s="377"/>
      <c r="N780" s="377"/>
      <c r="O780" s="377"/>
      <c r="P780" s="377"/>
      <c r="Q780" s="377"/>
      <c r="R780" s="377"/>
      <c r="S780" s="377"/>
      <c r="T780" s="377"/>
      <c r="U780" s="377"/>
      <c r="V780" s="377"/>
      <c r="W780" s="377"/>
      <c r="X780" s="377"/>
      <c r="Y780" s="377"/>
      <c r="Z780" s="377"/>
      <c r="AA780" s="377"/>
      <c r="AB780" s="377"/>
      <c r="AC780" s="377"/>
      <c r="AD780" s="377"/>
      <c r="AE780" s="377"/>
      <c r="AF780" s="377"/>
      <c r="AG780" s="377"/>
    </row>
    <row r="781" ht="14.25" customHeight="1">
      <c r="A781" s="377"/>
      <c r="B781" s="377"/>
      <c r="C781" s="377"/>
      <c r="D781" s="377"/>
      <c r="E781" s="377"/>
      <c r="F781" s="377"/>
      <c r="G781" s="377"/>
      <c r="H781" s="377"/>
      <c r="I781" s="377"/>
      <c r="J781" s="377"/>
      <c r="K781" s="377"/>
      <c r="L781" s="377"/>
      <c r="M781" s="377"/>
      <c r="N781" s="377"/>
      <c r="O781" s="377"/>
      <c r="P781" s="377"/>
      <c r="Q781" s="377"/>
      <c r="R781" s="377"/>
      <c r="S781" s="377"/>
      <c r="T781" s="377"/>
      <c r="U781" s="377"/>
      <c r="V781" s="377"/>
      <c r="W781" s="377"/>
      <c r="X781" s="377"/>
      <c r="Y781" s="377"/>
      <c r="Z781" s="377"/>
      <c r="AA781" s="377"/>
      <c r="AB781" s="377"/>
      <c r="AC781" s="377"/>
      <c r="AD781" s="377"/>
      <c r="AE781" s="377"/>
      <c r="AF781" s="377"/>
      <c r="AG781" s="377"/>
    </row>
    <row r="782" ht="14.25" customHeight="1">
      <c r="A782" s="377"/>
      <c r="B782" s="377"/>
      <c r="C782" s="377"/>
      <c r="D782" s="377"/>
      <c r="E782" s="377"/>
      <c r="F782" s="377"/>
      <c r="G782" s="377"/>
      <c r="H782" s="377"/>
      <c r="I782" s="377"/>
      <c r="J782" s="377"/>
      <c r="K782" s="377"/>
      <c r="L782" s="377"/>
      <c r="M782" s="377"/>
      <c r="N782" s="377"/>
      <c r="O782" s="377"/>
      <c r="P782" s="377"/>
      <c r="Q782" s="377"/>
      <c r="R782" s="377"/>
      <c r="S782" s="377"/>
      <c r="T782" s="377"/>
      <c r="U782" s="377"/>
      <c r="V782" s="377"/>
      <c r="W782" s="377"/>
      <c r="X782" s="377"/>
      <c r="Y782" s="377"/>
      <c r="Z782" s="377"/>
      <c r="AA782" s="377"/>
      <c r="AB782" s="377"/>
      <c r="AC782" s="377"/>
      <c r="AD782" s="377"/>
      <c r="AE782" s="377"/>
      <c r="AF782" s="377"/>
      <c r="AG782" s="377"/>
    </row>
    <row r="783" ht="14.25" customHeight="1">
      <c r="A783" s="377"/>
      <c r="B783" s="377"/>
      <c r="C783" s="377"/>
      <c r="D783" s="377"/>
      <c r="E783" s="377"/>
      <c r="F783" s="377"/>
      <c r="G783" s="377"/>
      <c r="H783" s="377"/>
      <c r="I783" s="377"/>
      <c r="J783" s="377"/>
      <c r="K783" s="377"/>
      <c r="L783" s="377"/>
      <c r="M783" s="377"/>
      <c r="N783" s="377"/>
      <c r="O783" s="377"/>
      <c r="P783" s="377"/>
      <c r="Q783" s="377"/>
      <c r="R783" s="377"/>
      <c r="S783" s="377"/>
      <c r="T783" s="377"/>
      <c r="U783" s="377"/>
      <c r="V783" s="377"/>
      <c r="W783" s="377"/>
      <c r="X783" s="377"/>
      <c r="Y783" s="377"/>
      <c r="Z783" s="377"/>
      <c r="AA783" s="377"/>
      <c r="AB783" s="377"/>
      <c r="AC783" s="377"/>
      <c r="AD783" s="377"/>
      <c r="AE783" s="377"/>
      <c r="AF783" s="377"/>
      <c r="AG783" s="377"/>
    </row>
    <row r="784" ht="14.25" customHeight="1">
      <c r="A784" s="377"/>
      <c r="B784" s="377"/>
      <c r="C784" s="377"/>
      <c r="D784" s="377"/>
      <c r="E784" s="377"/>
      <c r="F784" s="377"/>
      <c r="G784" s="377"/>
      <c r="H784" s="377"/>
      <c r="I784" s="377"/>
      <c r="J784" s="377"/>
      <c r="K784" s="377"/>
      <c r="L784" s="377"/>
      <c r="M784" s="377"/>
      <c r="N784" s="377"/>
      <c r="O784" s="377"/>
      <c r="P784" s="377"/>
      <c r="Q784" s="377"/>
      <c r="R784" s="377"/>
      <c r="S784" s="377"/>
      <c r="T784" s="377"/>
      <c r="U784" s="377"/>
      <c r="V784" s="377"/>
      <c r="W784" s="377"/>
      <c r="X784" s="377"/>
      <c r="Y784" s="377"/>
      <c r="Z784" s="377"/>
      <c r="AA784" s="377"/>
      <c r="AB784" s="377"/>
      <c r="AC784" s="377"/>
      <c r="AD784" s="377"/>
      <c r="AE784" s="377"/>
      <c r="AF784" s="377"/>
      <c r="AG784" s="377"/>
    </row>
    <row r="785" ht="14.25" customHeight="1">
      <c r="A785" s="377"/>
      <c r="B785" s="377"/>
      <c r="C785" s="377"/>
      <c r="D785" s="377"/>
      <c r="E785" s="377"/>
      <c r="F785" s="377"/>
      <c r="G785" s="377"/>
      <c r="H785" s="377"/>
      <c r="I785" s="377"/>
      <c r="J785" s="377"/>
      <c r="K785" s="377"/>
      <c r="L785" s="377"/>
      <c r="M785" s="377"/>
      <c r="N785" s="377"/>
      <c r="O785" s="377"/>
      <c r="P785" s="377"/>
      <c r="Q785" s="377"/>
      <c r="R785" s="377"/>
      <c r="S785" s="377"/>
      <c r="T785" s="377"/>
      <c r="U785" s="377"/>
      <c r="V785" s="377"/>
      <c r="W785" s="377"/>
      <c r="X785" s="377"/>
      <c r="Y785" s="377"/>
      <c r="Z785" s="377"/>
      <c r="AA785" s="377"/>
      <c r="AB785" s="377"/>
      <c r="AC785" s="377"/>
      <c r="AD785" s="377"/>
      <c r="AE785" s="377"/>
      <c r="AF785" s="377"/>
      <c r="AG785" s="377"/>
    </row>
    <row r="786" ht="14.25" customHeight="1">
      <c r="A786" s="377"/>
      <c r="B786" s="377"/>
      <c r="C786" s="377"/>
      <c r="D786" s="377"/>
      <c r="E786" s="377"/>
      <c r="F786" s="377"/>
      <c r="G786" s="377"/>
      <c r="H786" s="377"/>
      <c r="I786" s="377"/>
      <c r="J786" s="377"/>
      <c r="K786" s="377"/>
      <c r="L786" s="377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  <c r="Z786" s="377"/>
      <c r="AA786" s="377"/>
      <c r="AB786" s="377"/>
      <c r="AC786" s="377"/>
      <c r="AD786" s="377"/>
      <c r="AE786" s="377"/>
      <c r="AF786" s="377"/>
      <c r="AG786" s="377"/>
    </row>
    <row r="787" ht="14.25" customHeight="1">
      <c r="A787" s="377"/>
      <c r="B787" s="377"/>
      <c r="C787" s="377"/>
      <c r="D787" s="377"/>
      <c r="E787" s="377"/>
      <c r="F787" s="377"/>
      <c r="G787" s="377"/>
      <c r="H787" s="377"/>
      <c r="I787" s="377"/>
      <c r="J787" s="377"/>
      <c r="K787" s="377"/>
      <c r="L787" s="377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  <c r="Z787" s="377"/>
      <c r="AA787" s="377"/>
      <c r="AB787" s="377"/>
      <c r="AC787" s="377"/>
      <c r="AD787" s="377"/>
      <c r="AE787" s="377"/>
      <c r="AF787" s="377"/>
      <c r="AG787" s="377"/>
    </row>
    <row r="788" ht="14.25" customHeight="1">
      <c r="A788" s="377"/>
      <c r="B788" s="377"/>
      <c r="C788" s="377"/>
      <c r="D788" s="377"/>
      <c r="E788" s="377"/>
      <c r="F788" s="377"/>
      <c r="G788" s="377"/>
      <c r="H788" s="377"/>
      <c r="I788" s="377"/>
      <c r="J788" s="377"/>
      <c r="K788" s="377"/>
      <c r="L788" s="377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  <c r="Z788" s="377"/>
      <c r="AA788" s="377"/>
      <c r="AB788" s="377"/>
      <c r="AC788" s="377"/>
      <c r="AD788" s="377"/>
      <c r="AE788" s="377"/>
      <c r="AF788" s="377"/>
      <c r="AG788" s="377"/>
    </row>
    <row r="789" ht="14.25" customHeight="1">
      <c r="A789" s="377"/>
      <c r="B789" s="377"/>
      <c r="C789" s="377"/>
      <c r="D789" s="377"/>
      <c r="E789" s="377"/>
      <c r="F789" s="377"/>
      <c r="G789" s="377"/>
      <c r="H789" s="377"/>
      <c r="I789" s="377"/>
      <c r="J789" s="377"/>
      <c r="K789" s="377"/>
      <c r="L789" s="377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  <c r="Z789" s="377"/>
      <c r="AA789" s="377"/>
      <c r="AB789" s="377"/>
      <c r="AC789" s="377"/>
      <c r="AD789" s="377"/>
      <c r="AE789" s="377"/>
      <c r="AF789" s="377"/>
      <c r="AG789" s="377"/>
    </row>
    <row r="790" ht="14.25" customHeight="1">
      <c r="A790" s="377"/>
      <c r="B790" s="377"/>
      <c r="C790" s="377"/>
      <c r="D790" s="377"/>
      <c r="E790" s="377"/>
      <c r="F790" s="377"/>
      <c r="G790" s="377"/>
      <c r="H790" s="377"/>
      <c r="I790" s="377"/>
      <c r="J790" s="377"/>
      <c r="K790" s="377"/>
      <c r="L790" s="377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  <c r="Z790" s="377"/>
      <c r="AA790" s="377"/>
      <c r="AB790" s="377"/>
      <c r="AC790" s="377"/>
      <c r="AD790" s="377"/>
      <c r="AE790" s="377"/>
      <c r="AF790" s="377"/>
      <c r="AG790" s="377"/>
    </row>
    <row r="791" ht="14.25" customHeight="1">
      <c r="A791" s="377"/>
      <c r="B791" s="377"/>
      <c r="C791" s="377"/>
      <c r="D791" s="377"/>
      <c r="E791" s="377"/>
      <c r="F791" s="377"/>
      <c r="G791" s="377"/>
      <c r="H791" s="377"/>
      <c r="I791" s="377"/>
      <c r="J791" s="377"/>
      <c r="K791" s="377"/>
      <c r="L791" s="377"/>
      <c r="M791" s="377"/>
      <c r="N791" s="377"/>
      <c r="O791" s="377"/>
      <c r="P791" s="377"/>
      <c r="Q791" s="377"/>
      <c r="R791" s="377"/>
      <c r="S791" s="377"/>
      <c r="T791" s="377"/>
      <c r="U791" s="377"/>
      <c r="V791" s="377"/>
      <c r="W791" s="377"/>
      <c r="X791" s="377"/>
      <c r="Y791" s="377"/>
      <c r="Z791" s="377"/>
      <c r="AA791" s="377"/>
      <c r="AB791" s="377"/>
      <c r="AC791" s="377"/>
      <c r="AD791" s="377"/>
      <c r="AE791" s="377"/>
      <c r="AF791" s="377"/>
      <c r="AG791" s="377"/>
    </row>
    <row r="792" ht="14.25" customHeight="1">
      <c r="A792" s="377"/>
      <c r="B792" s="377"/>
      <c r="C792" s="377"/>
      <c r="D792" s="377"/>
      <c r="E792" s="377"/>
      <c r="F792" s="377"/>
      <c r="G792" s="377"/>
      <c r="H792" s="377"/>
      <c r="I792" s="377"/>
      <c r="J792" s="377"/>
      <c r="K792" s="377"/>
      <c r="L792" s="377"/>
      <c r="M792" s="377"/>
      <c r="N792" s="377"/>
      <c r="O792" s="377"/>
      <c r="P792" s="377"/>
      <c r="Q792" s="377"/>
      <c r="R792" s="377"/>
      <c r="S792" s="377"/>
      <c r="T792" s="377"/>
      <c r="U792" s="377"/>
      <c r="V792" s="377"/>
      <c r="W792" s="377"/>
      <c r="X792" s="377"/>
      <c r="Y792" s="377"/>
      <c r="Z792" s="377"/>
      <c r="AA792" s="377"/>
      <c r="AB792" s="377"/>
      <c r="AC792" s="377"/>
      <c r="AD792" s="377"/>
      <c r="AE792" s="377"/>
      <c r="AF792" s="377"/>
      <c r="AG792" s="377"/>
    </row>
    <row r="793" ht="14.25" customHeight="1">
      <c r="A793" s="377"/>
      <c r="B793" s="377"/>
      <c r="C793" s="377"/>
      <c r="D793" s="377"/>
      <c r="E793" s="377"/>
      <c r="F793" s="377"/>
      <c r="G793" s="377"/>
      <c r="H793" s="377"/>
      <c r="I793" s="377"/>
      <c r="J793" s="377"/>
      <c r="K793" s="377"/>
      <c r="L793" s="377"/>
      <c r="M793" s="377"/>
      <c r="N793" s="377"/>
      <c r="O793" s="377"/>
      <c r="P793" s="377"/>
      <c r="Q793" s="377"/>
      <c r="R793" s="377"/>
      <c r="S793" s="377"/>
      <c r="T793" s="377"/>
      <c r="U793" s="377"/>
      <c r="V793" s="377"/>
      <c r="W793" s="377"/>
      <c r="X793" s="377"/>
      <c r="Y793" s="377"/>
      <c r="Z793" s="377"/>
      <c r="AA793" s="377"/>
      <c r="AB793" s="377"/>
      <c r="AC793" s="377"/>
      <c r="AD793" s="377"/>
      <c r="AE793" s="377"/>
      <c r="AF793" s="377"/>
      <c r="AG793" s="377"/>
    </row>
    <row r="794" ht="14.25" customHeight="1">
      <c r="A794" s="377"/>
      <c r="B794" s="377"/>
      <c r="C794" s="377"/>
      <c r="D794" s="377"/>
      <c r="E794" s="377"/>
      <c r="F794" s="377"/>
      <c r="G794" s="377"/>
      <c r="H794" s="377"/>
      <c r="I794" s="377"/>
      <c r="J794" s="377"/>
      <c r="K794" s="377"/>
      <c r="L794" s="377"/>
      <c r="M794" s="377"/>
      <c r="N794" s="377"/>
      <c r="O794" s="377"/>
      <c r="P794" s="377"/>
      <c r="Q794" s="377"/>
      <c r="R794" s="377"/>
      <c r="S794" s="377"/>
      <c r="T794" s="377"/>
      <c r="U794" s="377"/>
      <c r="V794" s="377"/>
      <c r="W794" s="377"/>
      <c r="X794" s="377"/>
      <c r="Y794" s="377"/>
      <c r="Z794" s="377"/>
      <c r="AA794" s="377"/>
      <c r="AB794" s="377"/>
      <c r="AC794" s="377"/>
      <c r="AD794" s="377"/>
      <c r="AE794" s="377"/>
      <c r="AF794" s="377"/>
      <c r="AG794" s="377"/>
    </row>
    <row r="795" ht="14.25" customHeight="1">
      <c r="A795" s="377"/>
      <c r="B795" s="377"/>
      <c r="C795" s="377"/>
      <c r="D795" s="377"/>
      <c r="E795" s="377"/>
      <c r="F795" s="377"/>
      <c r="G795" s="377"/>
      <c r="H795" s="377"/>
      <c r="I795" s="377"/>
      <c r="J795" s="377"/>
      <c r="K795" s="377"/>
      <c r="L795" s="377"/>
      <c r="M795" s="377"/>
      <c r="N795" s="377"/>
      <c r="O795" s="377"/>
      <c r="P795" s="377"/>
      <c r="Q795" s="377"/>
      <c r="R795" s="377"/>
      <c r="S795" s="377"/>
      <c r="T795" s="377"/>
      <c r="U795" s="377"/>
      <c r="V795" s="377"/>
      <c r="W795" s="377"/>
      <c r="X795" s="377"/>
      <c r="Y795" s="377"/>
      <c r="Z795" s="377"/>
      <c r="AA795" s="377"/>
      <c r="AB795" s="377"/>
      <c r="AC795" s="377"/>
      <c r="AD795" s="377"/>
      <c r="AE795" s="377"/>
      <c r="AF795" s="377"/>
      <c r="AG795" s="377"/>
    </row>
    <row r="796" ht="14.25" customHeight="1">
      <c r="A796" s="377"/>
      <c r="B796" s="377"/>
      <c r="C796" s="377"/>
      <c r="D796" s="377"/>
      <c r="E796" s="377"/>
      <c r="F796" s="377"/>
      <c r="G796" s="377"/>
      <c r="H796" s="377"/>
      <c r="I796" s="377"/>
      <c r="J796" s="377"/>
      <c r="K796" s="377"/>
      <c r="L796" s="377"/>
      <c r="M796" s="377"/>
      <c r="N796" s="377"/>
      <c r="O796" s="377"/>
      <c r="P796" s="377"/>
      <c r="Q796" s="377"/>
      <c r="R796" s="377"/>
      <c r="S796" s="377"/>
      <c r="T796" s="377"/>
      <c r="U796" s="377"/>
      <c r="V796" s="377"/>
      <c r="W796" s="377"/>
      <c r="X796" s="377"/>
      <c r="Y796" s="377"/>
      <c r="Z796" s="377"/>
      <c r="AA796" s="377"/>
      <c r="AB796" s="377"/>
      <c r="AC796" s="377"/>
      <c r="AD796" s="377"/>
      <c r="AE796" s="377"/>
      <c r="AF796" s="377"/>
      <c r="AG796" s="377"/>
    </row>
    <row r="797" ht="14.25" customHeight="1">
      <c r="A797" s="377"/>
      <c r="B797" s="377"/>
      <c r="C797" s="377"/>
      <c r="D797" s="377"/>
      <c r="E797" s="377"/>
      <c r="F797" s="377"/>
      <c r="G797" s="377"/>
      <c r="H797" s="377"/>
      <c r="I797" s="377"/>
      <c r="J797" s="377"/>
      <c r="K797" s="377"/>
      <c r="L797" s="377"/>
      <c r="M797" s="377"/>
      <c r="N797" s="377"/>
      <c r="O797" s="377"/>
      <c r="P797" s="377"/>
      <c r="Q797" s="377"/>
      <c r="R797" s="377"/>
      <c r="S797" s="377"/>
      <c r="T797" s="377"/>
      <c r="U797" s="377"/>
      <c r="V797" s="377"/>
      <c r="W797" s="377"/>
      <c r="X797" s="377"/>
      <c r="Y797" s="377"/>
      <c r="Z797" s="377"/>
      <c r="AA797" s="377"/>
      <c r="AB797" s="377"/>
      <c r="AC797" s="377"/>
      <c r="AD797" s="377"/>
      <c r="AE797" s="377"/>
      <c r="AF797" s="377"/>
      <c r="AG797" s="377"/>
    </row>
    <row r="798" ht="14.25" customHeight="1">
      <c r="A798" s="377"/>
      <c r="B798" s="377"/>
      <c r="C798" s="377"/>
      <c r="D798" s="377"/>
      <c r="E798" s="377"/>
      <c r="F798" s="377"/>
      <c r="G798" s="377"/>
      <c r="H798" s="377"/>
      <c r="I798" s="377"/>
      <c r="J798" s="377"/>
      <c r="K798" s="377"/>
      <c r="L798" s="377"/>
      <c r="M798" s="377"/>
      <c r="N798" s="377"/>
      <c r="O798" s="377"/>
      <c r="P798" s="377"/>
      <c r="Q798" s="377"/>
      <c r="R798" s="377"/>
      <c r="S798" s="377"/>
      <c r="T798" s="377"/>
      <c r="U798" s="377"/>
      <c r="V798" s="377"/>
      <c r="W798" s="377"/>
      <c r="X798" s="377"/>
      <c r="Y798" s="377"/>
      <c r="Z798" s="377"/>
      <c r="AA798" s="377"/>
      <c r="AB798" s="377"/>
      <c r="AC798" s="377"/>
      <c r="AD798" s="377"/>
      <c r="AE798" s="377"/>
      <c r="AF798" s="377"/>
      <c r="AG798" s="377"/>
    </row>
    <row r="799" ht="14.25" customHeight="1">
      <c r="A799" s="377"/>
      <c r="B799" s="377"/>
      <c r="C799" s="377"/>
      <c r="D799" s="377"/>
      <c r="E799" s="377"/>
      <c r="F799" s="377"/>
      <c r="G799" s="377"/>
      <c r="H799" s="377"/>
      <c r="I799" s="377"/>
      <c r="J799" s="377"/>
      <c r="K799" s="377"/>
      <c r="L799" s="377"/>
      <c r="M799" s="377"/>
      <c r="N799" s="377"/>
      <c r="O799" s="377"/>
      <c r="P799" s="377"/>
      <c r="Q799" s="377"/>
      <c r="R799" s="377"/>
      <c r="S799" s="377"/>
      <c r="T799" s="377"/>
      <c r="U799" s="377"/>
      <c r="V799" s="377"/>
      <c r="W799" s="377"/>
      <c r="X799" s="377"/>
      <c r="Y799" s="377"/>
      <c r="Z799" s="377"/>
      <c r="AA799" s="377"/>
      <c r="AB799" s="377"/>
      <c r="AC799" s="377"/>
      <c r="AD799" s="377"/>
      <c r="AE799" s="377"/>
      <c r="AF799" s="377"/>
      <c r="AG799" s="377"/>
    </row>
    <row r="800" ht="14.25" customHeight="1">
      <c r="A800" s="377"/>
      <c r="B800" s="377"/>
      <c r="C800" s="377"/>
      <c r="D800" s="377"/>
      <c r="E800" s="377"/>
      <c r="F800" s="377"/>
      <c r="G800" s="377"/>
      <c r="H800" s="377"/>
      <c r="I800" s="377"/>
      <c r="J800" s="377"/>
      <c r="K800" s="377"/>
      <c r="L800" s="377"/>
      <c r="M800" s="377"/>
      <c r="N800" s="377"/>
      <c r="O800" s="377"/>
      <c r="P800" s="377"/>
      <c r="Q800" s="377"/>
      <c r="R800" s="377"/>
      <c r="S800" s="377"/>
      <c r="T800" s="377"/>
      <c r="U800" s="377"/>
      <c r="V800" s="377"/>
      <c r="W800" s="377"/>
      <c r="X800" s="377"/>
      <c r="Y800" s="377"/>
      <c r="Z800" s="377"/>
      <c r="AA800" s="377"/>
      <c r="AB800" s="377"/>
      <c r="AC800" s="377"/>
      <c r="AD800" s="377"/>
      <c r="AE800" s="377"/>
      <c r="AF800" s="377"/>
      <c r="AG800" s="377"/>
    </row>
    <row r="801" ht="14.25" customHeight="1">
      <c r="A801" s="377"/>
      <c r="B801" s="377"/>
      <c r="C801" s="377"/>
      <c r="D801" s="377"/>
      <c r="E801" s="377"/>
      <c r="F801" s="377"/>
      <c r="G801" s="377"/>
      <c r="H801" s="377"/>
      <c r="I801" s="377"/>
      <c r="J801" s="377"/>
      <c r="K801" s="377"/>
      <c r="L801" s="377"/>
      <c r="M801" s="377"/>
      <c r="N801" s="377"/>
      <c r="O801" s="377"/>
      <c r="P801" s="377"/>
      <c r="Q801" s="377"/>
      <c r="R801" s="377"/>
      <c r="S801" s="377"/>
      <c r="T801" s="377"/>
      <c r="U801" s="377"/>
      <c r="V801" s="377"/>
      <c r="W801" s="377"/>
      <c r="X801" s="377"/>
      <c r="Y801" s="377"/>
      <c r="Z801" s="377"/>
      <c r="AA801" s="377"/>
      <c r="AB801" s="377"/>
      <c r="AC801" s="377"/>
      <c r="AD801" s="377"/>
      <c r="AE801" s="377"/>
      <c r="AF801" s="377"/>
      <c r="AG801" s="377"/>
    </row>
    <row r="802" ht="14.25" customHeight="1">
      <c r="A802" s="377"/>
      <c r="B802" s="377"/>
      <c r="C802" s="377"/>
      <c r="D802" s="377"/>
      <c r="E802" s="377"/>
      <c r="F802" s="377"/>
      <c r="G802" s="377"/>
      <c r="H802" s="377"/>
      <c r="I802" s="377"/>
      <c r="J802" s="377"/>
      <c r="K802" s="377"/>
      <c r="L802" s="377"/>
      <c r="M802" s="377"/>
      <c r="N802" s="377"/>
      <c r="O802" s="377"/>
      <c r="P802" s="377"/>
      <c r="Q802" s="377"/>
      <c r="R802" s="377"/>
      <c r="S802" s="377"/>
      <c r="T802" s="377"/>
      <c r="U802" s="377"/>
      <c r="V802" s="377"/>
      <c r="W802" s="377"/>
      <c r="X802" s="377"/>
      <c r="Y802" s="377"/>
      <c r="Z802" s="377"/>
      <c r="AA802" s="377"/>
      <c r="AB802" s="377"/>
      <c r="AC802" s="377"/>
      <c r="AD802" s="377"/>
      <c r="AE802" s="377"/>
      <c r="AF802" s="377"/>
      <c r="AG802" s="377"/>
    </row>
    <row r="803" ht="14.25" customHeight="1">
      <c r="A803" s="377"/>
      <c r="B803" s="377"/>
      <c r="C803" s="377"/>
      <c r="D803" s="377"/>
      <c r="E803" s="377"/>
      <c r="F803" s="377"/>
      <c r="G803" s="377"/>
      <c r="H803" s="377"/>
      <c r="I803" s="377"/>
      <c r="J803" s="377"/>
      <c r="K803" s="377"/>
      <c r="L803" s="377"/>
      <c r="M803" s="377"/>
      <c r="N803" s="377"/>
      <c r="O803" s="377"/>
      <c r="P803" s="377"/>
      <c r="Q803" s="377"/>
      <c r="R803" s="377"/>
      <c r="S803" s="377"/>
      <c r="T803" s="377"/>
      <c r="U803" s="377"/>
      <c r="V803" s="377"/>
      <c r="W803" s="377"/>
      <c r="X803" s="377"/>
      <c r="Y803" s="377"/>
      <c r="Z803" s="377"/>
      <c r="AA803" s="377"/>
      <c r="AB803" s="377"/>
      <c r="AC803" s="377"/>
      <c r="AD803" s="377"/>
      <c r="AE803" s="377"/>
      <c r="AF803" s="377"/>
      <c r="AG803" s="377"/>
    </row>
    <row r="804" ht="14.25" customHeight="1">
      <c r="A804" s="377"/>
      <c r="B804" s="377"/>
      <c r="C804" s="377"/>
      <c r="D804" s="377"/>
      <c r="E804" s="377"/>
      <c r="F804" s="377"/>
      <c r="G804" s="377"/>
      <c r="H804" s="377"/>
      <c r="I804" s="377"/>
      <c r="J804" s="377"/>
      <c r="K804" s="377"/>
      <c r="L804" s="377"/>
      <c r="M804" s="377"/>
      <c r="N804" s="377"/>
      <c r="O804" s="377"/>
      <c r="P804" s="377"/>
      <c r="Q804" s="377"/>
      <c r="R804" s="377"/>
      <c r="S804" s="377"/>
      <c r="T804" s="377"/>
      <c r="U804" s="377"/>
      <c r="V804" s="377"/>
      <c r="W804" s="377"/>
      <c r="X804" s="377"/>
      <c r="Y804" s="377"/>
      <c r="Z804" s="377"/>
      <c r="AA804" s="377"/>
      <c r="AB804" s="377"/>
      <c r="AC804" s="377"/>
      <c r="AD804" s="377"/>
      <c r="AE804" s="377"/>
      <c r="AF804" s="377"/>
      <c r="AG804" s="377"/>
    </row>
    <row r="805" ht="14.25" customHeight="1">
      <c r="A805" s="377"/>
      <c r="B805" s="377"/>
      <c r="C805" s="377"/>
      <c r="D805" s="377"/>
      <c r="E805" s="377"/>
      <c r="F805" s="377"/>
      <c r="G805" s="377"/>
      <c r="H805" s="377"/>
      <c r="I805" s="377"/>
      <c r="J805" s="377"/>
      <c r="K805" s="377"/>
      <c r="L805" s="377"/>
      <c r="M805" s="377"/>
      <c r="N805" s="377"/>
      <c r="O805" s="377"/>
      <c r="P805" s="377"/>
      <c r="Q805" s="377"/>
      <c r="R805" s="377"/>
      <c r="S805" s="377"/>
      <c r="T805" s="377"/>
      <c r="U805" s="377"/>
      <c r="V805" s="377"/>
      <c r="W805" s="377"/>
      <c r="X805" s="377"/>
      <c r="Y805" s="377"/>
      <c r="Z805" s="377"/>
      <c r="AA805" s="377"/>
      <c r="AB805" s="377"/>
      <c r="AC805" s="377"/>
      <c r="AD805" s="377"/>
      <c r="AE805" s="377"/>
      <c r="AF805" s="377"/>
      <c r="AG805" s="377"/>
    </row>
    <row r="806" ht="14.25" customHeight="1">
      <c r="A806" s="377"/>
      <c r="B806" s="377"/>
      <c r="C806" s="377"/>
      <c r="D806" s="377"/>
      <c r="E806" s="377"/>
      <c r="F806" s="377"/>
      <c r="G806" s="377"/>
      <c r="H806" s="377"/>
      <c r="I806" s="377"/>
      <c r="J806" s="377"/>
      <c r="K806" s="377"/>
      <c r="L806" s="377"/>
      <c r="M806" s="377"/>
      <c r="N806" s="377"/>
      <c r="O806" s="377"/>
      <c r="P806" s="377"/>
      <c r="Q806" s="377"/>
      <c r="R806" s="377"/>
      <c r="S806" s="377"/>
      <c r="T806" s="377"/>
      <c r="U806" s="377"/>
      <c r="V806" s="377"/>
      <c r="W806" s="377"/>
      <c r="X806" s="377"/>
      <c r="Y806" s="377"/>
      <c r="Z806" s="377"/>
      <c r="AA806" s="377"/>
      <c r="AB806" s="377"/>
      <c r="AC806" s="377"/>
      <c r="AD806" s="377"/>
      <c r="AE806" s="377"/>
      <c r="AF806" s="377"/>
      <c r="AG806" s="377"/>
    </row>
    <row r="807" ht="14.25" customHeight="1">
      <c r="A807" s="377"/>
      <c r="B807" s="377"/>
      <c r="C807" s="377"/>
      <c r="D807" s="377"/>
      <c r="E807" s="377"/>
      <c r="F807" s="377"/>
      <c r="G807" s="377"/>
      <c r="H807" s="377"/>
      <c r="I807" s="377"/>
      <c r="J807" s="377"/>
      <c r="K807" s="377"/>
      <c r="L807" s="377"/>
      <c r="M807" s="377"/>
      <c r="N807" s="377"/>
      <c r="O807" s="377"/>
      <c r="P807" s="377"/>
      <c r="Q807" s="377"/>
      <c r="R807" s="377"/>
      <c r="S807" s="377"/>
      <c r="T807" s="377"/>
      <c r="U807" s="377"/>
      <c r="V807" s="377"/>
      <c r="W807" s="377"/>
      <c r="X807" s="377"/>
      <c r="Y807" s="377"/>
      <c r="Z807" s="377"/>
      <c r="AA807" s="377"/>
      <c r="AB807" s="377"/>
      <c r="AC807" s="377"/>
      <c r="AD807" s="377"/>
      <c r="AE807" s="377"/>
      <c r="AF807" s="377"/>
      <c r="AG807" s="377"/>
    </row>
    <row r="808" ht="14.25" customHeight="1">
      <c r="A808" s="377"/>
      <c r="B808" s="377"/>
      <c r="C808" s="377"/>
      <c r="D808" s="377"/>
      <c r="E808" s="377"/>
      <c r="F808" s="377"/>
      <c r="G808" s="377"/>
      <c r="H808" s="377"/>
      <c r="I808" s="377"/>
      <c r="J808" s="377"/>
      <c r="K808" s="377"/>
      <c r="L808" s="377"/>
      <c r="M808" s="377"/>
      <c r="N808" s="377"/>
      <c r="O808" s="377"/>
      <c r="P808" s="377"/>
      <c r="Q808" s="377"/>
      <c r="R808" s="377"/>
      <c r="S808" s="377"/>
      <c r="T808" s="377"/>
      <c r="U808" s="377"/>
      <c r="V808" s="377"/>
      <c r="W808" s="377"/>
      <c r="X808" s="377"/>
      <c r="Y808" s="377"/>
      <c r="Z808" s="377"/>
      <c r="AA808" s="377"/>
      <c r="AB808" s="377"/>
      <c r="AC808" s="377"/>
      <c r="AD808" s="377"/>
      <c r="AE808" s="377"/>
      <c r="AF808" s="377"/>
      <c r="AG808" s="377"/>
    </row>
    <row r="809" ht="14.25" customHeight="1">
      <c r="A809" s="377"/>
      <c r="B809" s="377"/>
      <c r="C809" s="377"/>
      <c r="D809" s="377"/>
      <c r="E809" s="377"/>
      <c r="F809" s="377"/>
      <c r="G809" s="377"/>
      <c r="H809" s="377"/>
      <c r="I809" s="377"/>
      <c r="J809" s="377"/>
      <c r="K809" s="377"/>
      <c r="L809" s="377"/>
      <c r="M809" s="377"/>
      <c r="N809" s="377"/>
      <c r="O809" s="377"/>
      <c r="P809" s="377"/>
      <c r="Q809" s="377"/>
      <c r="R809" s="377"/>
      <c r="S809" s="377"/>
      <c r="T809" s="377"/>
      <c r="U809" s="377"/>
      <c r="V809" s="377"/>
      <c r="W809" s="377"/>
      <c r="X809" s="377"/>
      <c r="Y809" s="377"/>
      <c r="Z809" s="377"/>
      <c r="AA809" s="377"/>
      <c r="AB809" s="377"/>
      <c r="AC809" s="377"/>
      <c r="AD809" s="377"/>
      <c r="AE809" s="377"/>
      <c r="AF809" s="377"/>
      <c r="AG809" s="377"/>
    </row>
    <row r="810" ht="14.25" customHeight="1">
      <c r="A810" s="377"/>
      <c r="B810" s="377"/>
      <c r="C810" s="377"/>
      <c r="D810" s="377"/>
      <c r="E810" s="377"/>
      <c r="F810" s="377"/>
      <c r="G810" s="377"/>
      <c r="H810" s="377"/>
      <c r="I810" s="377"/>
      <c r="J810" s="377"/>
      <c r="K810" s="377"/>
      <c r="L810" s="377"/>
      <c r="M810" s="377"/>
      <c r="N810" s="377"/>
      <c r="O810" s="377"/>
      <c r="P810" s="377"/>
      <c r="Q810" s="377"/>
      <c r="R810" s="377"/>
      <c r="S810" s="377"/>
      <c r="T810" s="377"/>
      <c r="U810" s="377"/>
      <c r="V810" s="377"/>
      <c r="W810" s="377"/>
      <c r="X810" s="377"/>
      <c r="Y810" s="377"/>
      <c r="Z810" s="377"/>
      <c r="AA810" s="377"/>
      <c r="AB810" s="377"/>
      <c r="AC810" s="377"/>
      <c r="AD810" s="377"/>
      <c r="AE810" s="377"/>
      <c r="AF810" s="377"/>
      <c r="AG810" s="377"/>
    </row>
    <row r="811" ht="14.25" customHeight="1">
      <c r="A811" s="377"/>
      <c r="B811" s="377"/>
      <c r="C811" s="377"/>
      <c r="D811" s="377"/>
      <c r="E811" s="377"/>
      <c r="F811" s="377"/>
      <c r="G811" s="377"/>
      <c r="H811" s="377"/>
      <c r="I811" s="377"/>
      <c r="J811" s="377"/>
      <c r="K811" s="377"/>
      <c r="L811" s="377"/>
      <c r="M811" s="377"/>
      <c r="N811" s="377"/>
      <c r="O811" s="377"/>
      <c r="P811" s="377"/>
      <c r="Q811" s="377"/>
      <c r="R811" s="377"/>
      <c r="S811" s="377"/>
      <c r="T811" s="377"/>
      <c r="U811" s="377"/>
      <c r="V811" s="377"/>
      <c r="W811" s="377"/>
      <c r="X811" s="377"/>
      <c r="Y811" s="377"/>
      <c r="Z811" s="377"/>
      <c r="AA811" s="377"/>
      <c r="AB811" s="377"/>
      <c r="AC811" s="377"/>
      <c r="AD811" s="377"/>
      <c r="AE811" s="377"/>
      <c r="AF811" s="377"/>
      <c r="AG811" s="377"/>
    </row>
    <row r="812" ht="14.25" customHeight="1">
      <c r="A812" s="377"/>
      <c r="B812" s="377"/>
      <c r="C812" s="377"/>
      <c r="D812" s="377"/>
      <c r="E812" s="377"/>
      <c r="F812" s="377"/>
      <c r="G812" s="377"/>
      <c r="H812" s="377"/>
      <c r="I812" s="377"/>
      <c r="J812" s="377"/>
      <c r="K812" s="377"/>
      <c r="L812" s="377"/>
      <c r="M812" s="377"/>
      <c r="N812" s="377"/>
      <c r="O812" s="377"/>
      <c r="P812" s="377"/>
      <c r="Q812" s="377"/>
      <c r="R812" s="377"/>
      <c r="S812" s="377"/>
      <c r="T812" s="377"/>
      <c r="U812" s="377"/>
      <c r="V812" s="377"/>
      <c r="W812" s="377"/>
      <c r="X812" s="377"/>
      <c r="Y812" s="377"/>
      <c r="Z812" s="377"/>
      <c r="AA812" s="377"/>
      <c r="AB812" s="377"/>
      <c r="AC812" s="377"/>
      <c r="AD812" s="377"/>
      <c r="AE812" s="377"/>
      <c r="AF812" s="377"/>
      <c r="AG812" s="377"/>
    </row>
    <row r="813" ht="14.25" customHeight="1">
      <c r="A813" s="377"/>
      <c r="B813" s="377"/>
      <c r="C813" s="377"/>
      <c r="D813" s="377"/>
      <c r="E813" s="377"/>
      <c r="F813" s="377"/>
      <c r="G813" s="377"/>
      <c r="H813" s="377"/>
      <c r="I813" s="377"/>
      <c r="J813" s="377"/>
      <c r="K813" s="377"/>
      <c r="L813" s="377"/>
      <c r="M813" s="377"/>
      <c r="N813" s="377"/>
      <c r="O813" s="377"/>
      <c r="P813" s="377"/>
      <c r="Q813" s="377"/>
      <c r="R813" s="377"/>
      <c r="S813" s="377"/>
      <c r="T813" s="377"/>
      <c r="U813" s="377"/>
      <c r="V813" s="377"/>
      <c r="W813" s="377"/>
      <c r="X813" s="377"/>
      <c r="Y813" s="377"/>
      <c r="Z813" s="377"/>
      <c r="AA813" s="377"/>
      <c r="AB813" s="377"/>
      <c r="AC813" s="377"/>
      <c r="AD813" s="377"/>
      <c r="AE813" s="377"/>
      <c r="AF813" s="377"/>
      <c r="AG813" s="377"/>
    </row>
    <row r="814" ht="14.25" customHeight="1">
      <c r="A814" s="377"/>
      <c r="B814" s="377"/>
      <c r="C814" s="377"/>
      <c r="D814" s="377"/>
      <c r="E814" s="377"/>
      <c r="F814" s="377"/>
      <c r="G814" s="377"/>
      <c r="H814" s="377"/>
      <c r="I814" s="377"/>
      <c r="J814" s="377"/>
      <c r="K814" s="377"/>
      <c r="L814" s="377"/>
      <c r="M814" s="377"/>
      <c r="N814" s="377"/>
      <c r="O814" s="377"/>
      <c r="P814" s="377"/>
      <c r="Q814" s="377"/>
      <c r="R814" s="377"/>
      <c r="S814" s="377"/>
      <c r="T814" s="377"/>
      <c r="U814" s="377"/>
      <c r="V814" s="377"/>
      <c r="W814" s="377"/>
      <c r="X814" s="377"/>
      <c r="Y814" s="377"/>
      <c r="Z814" s="377"/>
      <c r="AA814" s="377"/>
      <c r="AB814" s="377"/>
      <c r="AC814" s="377"/>
      <c r="AD814" s="377"/>
      <c r="AE814" s="377"/>
      <c r="AF814" s="377"/>
      <c r="AG814" s="377"/>
    </row>
    <row r="815" ht="14.25" customHeight="1">
      <c r="A815" s="377"/>
      <c r="B815" s="377"/>
      <c r="C815" s="377"/>
      <c r="D815" s="377"/>
      <c r="E815" s="377"/>
      <c r="F815" s="377"/>
      <c r="G815" s="377"/>
      <c r="H815" s="377"/>
      <c r="I815" s="377"/>
      <c r="J815" s="377"/>
      <c r="K815" s="377"/>
      <c r="L815" s="377"/>
      <c r="M815" s="377"/>
      <c r="N815" s="377"/>
      <c r="O815" s="377"/>
      <c r="P815" s="377"/>
      <c r="Q815" s="377"/>
      <c r="R815" s="377"/>
      <c r="S815" s="377"/>
      <c r="T815" s="377"/>
      <c r="U815" s="377"/>
      <c r="V815" s="377"/>
      <c r="W815" s="377"/>
      <c r="X815" s="377"/>
      <c r="Y815" s="377"/>
      <c r="Z815" s="377"/>
      <c r="AA815" s="377"/>
      <c r="AB815" s="377"/>
      <c r="AC815" s="377"/>
      <c r="AD815" s="377"/>
      <c r="AE815" s="377"/>
      <c r="AF815" s="377"/>
      <c r="AG815" s="377"/>
    </row>
    <row r="816" ht="14.25" customHeight="1">
      <c r="A816" s="377"/>
      <c r="B816" s="377"/>
      <c r="C816" s="377"/>
      <c r="D816" s="377"/>
      <c r="E816" s="377"/>
      <c r="F816" s="377"/>
      <c r="G816" s="377"/>
      <c r="H816" s="377"/>
      <c r="I816" s="377"/>
      <c r="J816" s="377"/>
      <c r="K816" s="377"/>
      <c r="L816" s="377"/>
      <c r="M816" s="377"/>
      <c r="N816" s="377"/>
      <c r="O816" s="377"/>
      <c r="P816" s="377"/>
      <c r="Q816" s="377"/>
      <c r="R816" s="377"/>
      <c r="S816" s="377"/>
      <c r="T816" s="377"/>
      <c r="U816" s="377"/>
      <c r="V816" s="377"/>
      <c r="W816" s="377"/>
      <c r="X816" s="377"/>
      <c r="Y816" s="377"/>
      <c r="Z816" s="377"/>
      <c r="AA816" s="377"/>
      <c r="AB816" s="377"/>
      <c r="AC816" s="377"/>
      <c r="AD816" s="377"/>
      <c r="AE816" s="377"/>
      <c r="AF816" s="377"/>
      <c r="AG816" s="377"/>
    </row>
    <row r="817" ht="14.25" customHeight="1">
      <c r="A817" s="377"/>
      <c r="B817" s="377"/>
      <c r="C817" s="377"/>
      <c r="D817" s="377"/>
      <c r="E817" s="377"/>
      <c r="F817" s="377"/>
      <c r="G817" s="377"/>
      <c r="H817" s="377"/>
      <c r="I817" s="377"/>
      <c r="J817" s="377"/>
      <c r="K817" s="377"/>
      <c r="L817" s="377"/>
      <c r="M817" s="377"/>
      <c r="N817" s="377"/>
      <c r="O817" s="377"/>
      <c r="P817" s="377"/>
      <c r="Q817" s="377"/>
      <c r="R817" s="377"/>
      <c r="S817" s="377"/>
      <c r="T817" s="377"/>
      <c r="U817" s="377"/>
      <c r="V817" s="377"/>
      <c r="W817" s="377"/>
      <c r="X817" s="377"/>
      <c r="Y817" s="377"/>
      <c r="Z817" s="377"/>
      <c r="AA817" s="377"/>
      <c r="AB817" s="377"/>
      <c r="AC817" s="377"/>
      <c r="AD817" s="377"/>
      <c r="AE817" s="377"/>
      <c r="AF817" s="377"/>
      <c r="AG817" s="377"/>
    </row>
    <row r="818" ht="14.25" customHeight="1">
      <c r="A818" s="377"/>
      <c r="B818" s="377"/>
      <c r="C818" s="377"/>
      <c r="D818" s="377"/>
      <c r="E818" s="377"/>
      <c r="F818" s="377"/>
      <c r="G818" s="377"/>
      <c r="H818" s="377"/>
      <c r="I818" s="377"/>
      <c r="J818" s="377"/>
      <c r="K818" s="377"/>
      <c r="L818" s="377"/>
      <c r="M818" s="377"/>
      <c r="N818" s="377"/>
      <c r="O818" s="377"/>
      <c r="P818" s="377"/>
      <c r="Q818" s="377"/>
      <c r="R818" s="377"/>
      <c r="S818" s="377"/>
      <c r="T818" s="377"/>
      <c r="U818" s="377"/>
      <c r="V818" s="377"/>
      <c r="W818" s="377"/>
      <c r="X818" s="377"/>
      <c r="Y818" s="377"/>
      <c r="Z818" s="377"/>
      <c r="AA818" s="377"/>
      <c r="AB818" s="377"/>
      <c r="AC818" s="377"/>
      <c r="AD818" s="377"/>
      <c r="AE818" s="377"/>
      <c r="AF818" s="377"/>
      <c r="AG818" s="377"/>
    </row>
    <row r="819" ht="14.25" customHeight="1">
      <c r="A819" s="377"/>
      <c r="B819" s="377"/>
      <c r="C819" s="377"/>
      <c r="D819" s="377"/>
      <c r="E819" s="377"/>
      <c r="F819" s="377"/>
      <c r="G819" s="377"/>
      <c r="H819" s="377"/>
      <c r="I819" s="377"/>
      <c r="J819" s="377"/>
      <c r="K819" s="377"/>
      <c r="L819" s="377"/>
      <c r="M819" s="377"/>
      <c r="N819" s="377"/>
      <c r="O819" s="377"/>
      <c r="P819" s="377"/>
      <c r="Q819" s="377"/>
      <c r="R819" s="377"/>
      <c r="S819" s="377"/>
      <c r="T819" s="377"/>
      <c r="U819" s="377"/>
      <c r="V819" s="377"/>
      <c r="W819" s="377"/>
      <c r="X819" s="377"/>
      <c r="Y819" s="377"/>
      <c r="Z819" s="377"/>
      <c r="AA819" s="377"/>
      <c r="AB819" s="377"/>
      <c r="AC819" s="377"/>
      <c r="AD819" s="377"/>
      <c r="AE819" s="377"/>
      <c r="AF819" s="377"/>
      <c r="AG819" s="377"/>
    </row>
    <row r="820" ht="14.25" customHeight="1">
      <c r="A820" s="377"/>
      <c r="B820" s="377"/>
      <c r="C820" s="377"/>
      <c r="D820" s="377"/>
      <c r="E820" s="377"/>
      <c r="F820" s="377"/>
      <c r="G820" s="377"/>
      <c r="H820" s="377"/>
      <c r="I820" s="377"/>
      <c r="J820" s="377"/>
      <c r="K820" s="377"/>
      <c r="L820" s="377"/>
      <c r="M820" s="377"/>
      <c r="N820" s="377"/>
      <c r="O820" s="377"/>
      <c r="P820" s="377"/>
      <c r="Q820" s="377"/>
      <c r="R820" s="377"/>
      <c r="S820" s="377"/>
      <c r="T820" s="377"/>
      <c r="U820" s="377"/>
      <c r="V820" s="377"/>
      <c r="W820" s="377"/>
      <c r="X820" s="377"/>
      <c r="Y820" s="377"/>
      <c r="Z820" s="377"/>
      <c r="AA820" s="377"/>
      <c r="AB820" s="377"/>
      <c r="AC820" s="377"/>
      <c r="AD820" s="377"/>
      <c r="AE820" s="377"/>
      <c r="AF820" s="377"/>
      <c r="AG820" s="377"/>
    </row>
    <row r="821" ht="14.25" customHeight="1">
      <c r="A821" s="377"/>
      <c r="B821" s="377"/>
      <c r="C821" s="377"/>
      <c r="D821" s="377"/>
      <c r="E821" s="377"/>
      <c r="F821" s="377"/>
      <c r="G821" s="377"/>
      <c r="H821" s="377"/>
      <c r="I821" s="377"/>
      <c r="J821" s="377"/>
      <c r="K821" s="377"/>
      <c r="L821" s="377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  <c r="Z821" s="377"/>
      <c r="AA821" s="377"/>
      <c r="AB821" s="377"/>
      <c r="AC821" s="377"/>
      <c r="AD821" s="377"/>
      <c r="AE821" s="377"/>
      <c r="AF821" s="377"/>
      <c r="AG821" s="377"/>
    </row>
    <row r="822" ht="14.25" customHeight="1">
      <c r="A822" s="377"/>
      <c r="B822" s="377"/>
      <c r="C822" s="377"/>
      <c r="D822" s="377"/>
      <c r="E822" s="377"/>
      <c r="F822" s="377"/>
      <c r="G822" s="377"/>
      <c r="H822" s="377"/>
      <c r="I822" s="377"/>
      <c r="J822" s="377"/>
      <c r="K822" s="377"/>
      <c r="L822" s="377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  <c r="Z822" s="377"/>
      <c r="AA822" s="377"/>
      <c r="AB822" s="377"/>
      <c r="AC822" s="377"/>
      <c r="AD822" s="377"/>
      <c r="AE822" s="377"/>
      <c r="AF822" s="377"/>
      <c r="AG822" s="377"/>
    </row>
    <row r="823" ht="14.25" customHeight="1">
      <c r="A823" s="377"/>
      <c r="B823" s="377"/>
      <c r="C823" s="377"/>
      <c r="D823" s="377"/>
      <c r="E823" s="377"/>
      <c r="F823" s="377"/>
      <c r="G823" s="377"/>
      <c r="H823" s="377"/>
      <c r="I823" s="377"/>
      <c r="J823" s="377"/>
      <c r="K823" s="377"/>
      <c r="L823" s="377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  <c r="Z823" s="377"/>
      <c r="AA823" s="377"/>
      <c r="AB823" s="377"/>
      <c r="AC823" s="377"/>
      <c r="AD823" s="377"/>
      <c r="AE823" s="377"/>
      <c r="AF823" s="377"/>
      <c r="AG823" s="377"/>
    </row>
    <row r="824" ht="14.25" customHeight="1">
      <c r="A824" s="377"/>
      <c r="B824" s="377"/>
      <c r="C824" s="377"/>
      <c r="D824" s="377"/>
      <c r="E824" s="377"/>
      <c r="F824" s="377"/>
      <c r="G824" s="377"/>
      <c r="H824" s="377"/>
      <c r="I824" s="377"/>
      <c r="J824" s="377"/>
      <c r="K824" s="377"/>
      <c r="L824" s="377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  <c r="Z824" s="377"/>
      <c r="AA824" s="377"/>
      <c r="AB824" s="377"/>
      <c r="AC824" s="377"/>
      <c r="AD824" s="377"/>
      <c r="AE824" s="377"/>
      <c r="AF824" s="377"/>
      <c r="AG824" s="377"/>
    </row>
    <row r="825" ht="14.25" customHeight="1">
      <c r="A825" s="377"/>
      <c r="B825" s="377"/>
      <c r="C825" s="377"/>
      <c r="D825" s="377"/>
      <c r="E825" s="377"/>
      <c r="F825" s="377"/>
      <c r="G825" s="377"/>
      <c r="H825" s="377"/>
      <c r="I825" s="377"/>
      <c r="J825" s="377"/>
      <c r="K825" s="377"/>
      <c r="L825" s="377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  <c r="Z825" s="377"/>
      <c r="AA825" s="377"/>
      <c r="AB825" s="377"/>
      <c r="AC825" s="377"/>
      <c r="AD825" s="377"/>
      <c r="AE825" s="377"/>
      <c r="AF825" s="377"/>
      <c r="AG825" s="377"/>
    </row>
    <row r="826" ht="14.25" customHeight="1">
      <c r="A826" s="377"/>
      <c r="B826" s="377"/>
      <c r="C826" s="377"/>
      <c r="D826" s="377"/>
      <c r="E826" s="377"/>
      <c r="F826" s="377"/>
      <c r="G826" s="377"/>
      <c r="H826" s="377"/>
      <c r="I826" s="377"/>
      <c r="J826" s="377"/>
      <c r="K826" s="377"/>
      <c r="L826" s="377"/>
      <c r="M826" s="377"/>
      <c r="N826" s="377"/>
      <c r="O826" s="377"/>
      <c r="P826" s="377"/>
      <c r="Q826" s="377"/>
      <c r="R826" s="377"/>
      <c r="S826" s="377"/>
      <c r="T826" s="377"/>
      <c r="U826" s="377"/>
      <c r="V826" s="377"/>
      <c r="W826" s="377"/>
      <c r="X826" s="377"/>
      <c r="Y826" s="377"/>
      <c r="Z826" s="377"/>
      <c r="AA826" s="377"/>
      <c r="AB826" s="377"/>
      <c r="AC826" s="377"/>
      <c r="AD826" s="377"/>
      <c r="AE826" s="377"/>
      <c r="AF826" s="377"/>
      <c r="AG826" s="377"/>
    </row>
    <row r="827" ht="14.25" customHeight="1">
      <c r="A827" s="377"/>
      <c r="B827" s="377"/>
      <c r="C827" s="377"/>
      <c r="D827" s="377"/>
      <c r="E827" s="377"/>
      <c r="F827" s="377"/>
      <c r="G827" s="377"/>
      <c r="H827" s="377"/>
      <c r="I827" s="377"/>
      <c r="J827" s="377"/>
      <c r="K827" s="377"/>
      <c r="L827" s="377"/>
      <c r="M827" s="377"/>
      <c r="N827" s="377"/>
      <c r="O827" s="377"/>
      <c r="P827" s="377"/>
      <c r="Q827" s="377"/>
      <c r="R827" s="377"/>
      <c r="S827" s="377"/>
      <c r="T827" s="377"/>
      <c r="U827" s="377"/>
      <c r="V827" s="377"/>
      <c r="W827" s="377"/>
      <c r="X827" s="377"/>
      <c r="Y827" s="377"/>
      <c r="Z827" s="377"/>
      <c r="AA827" s="377"/>
      <c r="AB827" s="377"/>
      <c r="AC827" s="377"/>
      <c r="AD827" s="377"/>
      <c r="AE827" s="377"/>
      <c r="AF827" s="377"/>
      <c r="AG827" s="377"/>
    </row>
    <row r="828" ht="14.25" customHeight="1">
      <c r="A828" s="377"/>
      <c r="B828" s="377"/>
      <c r="C828" s="377"/>
      <c r="D828" s="377"/>
      <c r="E828" s="377"/>
      <c r="F828" s="377"/>
      <c r="G828" s="377"/>
      <c r="H828" s="377"/>
      <c r="I828" s="377"/>
      <c r="J828" s="377"/>
      <c r="K828" s="377"/>
      <c r="L828" s="377"/>
      <c r="M828" s="377"/>
      <c r="N828" s="377"/>
      <c r="O828" s="377"/>
      <c r="P828" s="377"/>
      <c r="Q828" s="377"/>
      <c r="R828" s="377"/>
      <c r="S828" s="377"/>
      <c r="T828" s="377"/>
      <c r="U828" s="377"/>
      <c r="V828" s="377"/>
      <c r="W828" s="377"/>
      <c r="X828" s="377"/>
      <c r="Y828" s="377"/>
      <c r="Z828" s="377"/>
      <c r="AA828" s="377"/>
      <c r="AB828" s="377"/>
      <c r="AC828" s="377"/>
      <c r="AD828" s="377"/>
      <c r="AE828" s="377"/>
      <c r="AF828" s="377"/>
      <c r="AG828" s="377"/>
    </row>
    <row r="829" ht="14.25" customHeight="1">
      <c r="A829" s="377"/>
      <c r="B829" s="377"/>
      <c r="C829" s="377"/>
      <c r="D829" s="377"/>
      <c r="E829" s="377"/>
      <c r="F829" s="377"/>
      <c r="G829" s="377"/>
      <c r="H829" s="377"/>
      <c r="I829" s="377"/>
      <c r="J829" s="377"/>
      <c r="K829" s="377"/>
      <c r="L829" s="377"/>
      <c r="M829" s="377"/>
      <c r="N829" s="377"/>
      <c r="O829" s="377"/>
      <c r="P829" s="377"/>
      <c r="Q829" s="377"/>
      <c r="R829" s="377"/>
      <c r="S829" s="377"/>
      <c r="T829" s="377"/>
      <c r="U829" s="377"/>
      <c r="V829" s="377"/>
      <c r="W829" s="377"/>
      <c r="X829" s="377"/>
      <c r="Y829" s="377"/>
      <c r="Z829" s="377"/>
      <c r="AA829" s="377"/>
      <c r="AB829" s="377"/>
      <c r="AC829" s="377"/>
      <c r="AD829" s="377"/>
      <c r="AE829" s="377"/>
      <c r="AF829" s="377"/>
      <c r="AG829" s="377"/>
    </row>
    <row r="830" ht="14.25" customHeight="1">
      <c r="A830" s="377"/>
      <c r="B830" s="377"/>
      <c r="C830" s="377"/>
      <c r="D830" s="377"/>
      <c r="E830" s="377"/>
      <c r="F830" s="377"/>
      <c r="G830" s="377"/>
      <c r="H830" s="377"/>
      <c r="I830" s="377"/>
      <c r="J830" s="377"/>
      <c r="K830" s="377"/>
      <c r="L830" s="377"/>
      <c r="M830" s="377"/>
      <c r="N830" s="377"/>
      <c r="O830" s="377"/>
      <c r="P830" s="377"/>
      <c r="Q830" s="377"/>
      <c r="R830" s="377"/>
      <c r="S830" s="377"/>
      <c r="T830" s="377"/>
      <c r="U830" s="377"/>
      <c r="V830" s="377"/>
      <c r="W830" s="377"/>
      <c r="X830" s="377"/>
      <c r="Y830" s="377"/>
      <c r="Z830" s="377"/>
      <c r="AA830" s="377"/>
      <c r="AB830" s="377"/>
      <c r="AC830" s="377"/>
      <c r="AD830" s="377"/>
      <c r="AE830" s="377"/>
      <c r="AF830" s="377"/>
      <c r="AG830" s="377"/>
    </row>
    <row r="831" ht="14.25" customHeight="1">
      <c r="A831" s="377"/>
      <c r="B831" s="377"/>
      <c r="C831" s="377"/>
      <c r="D831" s="377"/>
      <c r="E831" s="377"/>
      <c r="F831" s="377"/>
      <c r="G831" s="377"/>
      <c r="H831" s="377"/>
      <c r="I831" s="377"/>
      <c r="J831" s="377"/>
      <c r="K831" s="377"/>
      <c r="L831" s="377"/>
      <c r="M831" s="377"/>
      <c r="N831" s="377"/>
      <c r="O831" s="377"/>
      <c r="P831" s="377"/>
      <c r="Q831" s="377"/>
      <c r="R831" s="377"/>
      <c r="S831" s="377"/>
      <c r="T831" s="377"/>
      <c r="U831" s="377"/>
      <c r="V831" s="377"/>
      <c r="W831" s="377"/>
      <c r="X831" s="377"/>
      <c r="Y831" s="377"/>
      <c r="Z831" s="377"/>
      <c r="AA831" s="377"/>
      <c r="AB831" s="377"/>
      <c r="AC831" s="377"/>
      <c r="AD831" s="377"/>
      <c r="AE831" s="377"/>
      <c r="AF831" s="377"/>
      <c r="AG831" s="377"/>
    </row>
    <row r="832" ht="14.25" customHeight="1">
      <c r="A832" s="377"/>
      <c r="B832" s="377"/>
      <c r="C832" s="377"/>
      <c r="D832" s="377"/>
      <c r="E832" s="377"/>
      <c r="F832" s="377"/>
      <c r="G832" s="377"/>
      <c r="H832" s="377"/>
      <c r="I832" s="377"/>
      <c r="J832" s="377"/>
      <c r="K832" s="377"/>
      <c r="L832" s="377"/>
      <c r="M832" s="377"/>
      <c r="N832" s="377"/>
      <c r="O832" s="377"/>
      <c r="P832" s="377"/>
      <c r="Q832" s="377"/>
      <c r="R832" s="377"/>
      <c r="S832" s="377"/>
      <c r="T832" s="377"/>
      <c r="U832" s="377"/>
      <c r="V832" s="377"/>
      <c r="W832" s="377"/>
      <c r="X832" s="377"/>
      <c r="Y832" s="377"/>
      <c r="Z832" s="377"/>
      <c r="AA832" s="377"/>
      <c r="AB832" s="377"/>
      <c r="AC832" s="377"/>
      <c r="AD832" s="377"/>
      <c r="AE832" s="377"/>
      <c r="AF832" s="377"/>
      <c r="AG832" s="377"/>
    </row>
    <row r="833" ht="14.25" customHeight="1">
      <c r="A833" s="377"/>
      <c r="B833" s="377"/>
      <c r="C833" s="377"/>
      <c r="D833" s="377"/>
      <c r="E833" s="377"/>
      <c r="F833" s="377"/>
      <c r="G833" s="377"/>
      <c r="H833" s="377"/>
      <c r="I833" s="377"/>
      <c r="J833" s="377"/>
      <c r="K833" s="377"/>
      <c r="L833" s="377"/>
      <c r="M833" s="377"/>
      <c r="N833" s="377"/>
      <c r="O833" s="377"/>
      <c r="P833" s="377"/>
      <c r="Q833" s="377"/>
      <c r="R833" s="377"/>
      <c r="S833" s="377"/>
      <c r="T833" s="377"/>
      <c r="U833" s="377"/>
      <c r="V833" s="377"/>
      <c r="W833" s="377"/>
      <c r="X833" s="377"/>
      <c r="Y833" s="377"/>
      <c r="Z833" s="377"/>
      <c r="AA833" s="377"/>
      <c r="AB833" s="377"/>
      <c r="AC833" s="377"/>
      <c r="AD833" s="377"/>
      <c r="AE833" s="377"/>
      <c r="AF833" s="377"/>
      <c r="AG833" s="377"/>
    </row>
    <row r="834" ht="14.25" customHeight="1">
      <c r="A834" s="377"/>
      <c r="B834" s="377"/>
      <c r="C834" s="377"/>
      <c r="D834" s="377"/>
      <c r="E834" s="377"/>
      <c r="F834" s="377"/>
      <c r="G834" s="377"/>
      <c r="H834" s="377"/>
      <c r="I834" s="377"/>
      <c r="J834" s="377"/>
      <c r="K834" s="377"/>
      <c r="L834" s="377"/>
      <c r="M834" s="377"/>
      <c r="N834" s="377"/>
      <c r="O834" s="377"/>
      <c r="P834" s="377"/>
      <c r="Q834" s="377"/>
      <c r="R834" s="377"/>
      <c r="S834" s="377"/>
      <c r="T834" s="377"/>
      <c r="U834" s="377"/>
      <c r="V834" s="377"/>
      <c r="W834" s="377"/>
      <c r="X834" s="377"/>
      <c r="Y834" s="377"/>
      <c r="Z834" s="377"/>
      <c r="AA834" s="377"/>
      <c r="AB834" s="377"/>
      <c r="AC834" s="377"/>
      <c r="AD834" s="377"/>
      <c r="AE834" s="377"/>
      <c r="AF834" s="377"/>
      <c r="AG834" s="377"/>
    </row>
    <row r="835" ht="14.25" customHeight="1">
      <c r="A835" s="377"/>
      <c r="B835" s="377"/>
      <c r="C835" s="377"/>
      <c r="D835" s="377"/>
      <c r="E835" s="377"/>
      <c r="F835" s="377"/>
      <c r="G835" s="377"/>
      <c r="H835" s="377"/>
      <c r="I835" s="377"/>
      <c r="J835" s="377"/>
      <c r="K835" s="377"/>
      <c r="L835" s="377"/>
      <c r="M835" s="377"/>
      <c r="N835" s="377"/>
      <c r="O835" s="377"/>
      <c r="P835" s="377"/>
      <c r="Q835" s="377"/>
      <c r="R835" s="377"/>
      <c r="S835" s="377"/>
      <c r="T835" s="377"/>
      <c r="U835" s="377"/>
      <c r="V835" s="377"/>
      <c r="W835" s="377"/>
      <c r="X835" s="377"/>
      <c r="Y835" s="377"/>
      <c r="Z835" s="377"/>
      <c r="AA835" s="377"/>
      <c r="AB835" s="377"/>
      <c r="AC835" s="377"/>
      <c r="AD835" s="377"/>
      <c r="AE835" s="377"/>
      <c r="AF835" s="377"/>
      <c r="AG835" s="377"/>
    </row>
    <row r="836" ht="14.25" customHeight="1">
      <c r="A836" s="377"/>
      <c r="B836" s="377"/>
      <c r="C836" s="377"/>
      <c r="D836" s="377"/>
      <c r="E836" s="377"/>
      <c r="F836" s="377"/>
      <c r="G836" s="377"/>
      <c r="H836" s="377"/>
      <c r="I836" s="377"/>
      <c r="J836" s="377"/>
      <c r="K836" s="377"/>
      <c r="L836" s="377"/>
      <c r="M836" s="377"/>
      <c r="N836" s="377"/>
      <c r="O836" s="377"/>
      <c r="P836" s="377"/>
      <c r="Q836" s="377"/>
      <c r="R836" s="377"/>
      <c r="S836" s="377"/>
      <c r="T836" s="377"/>
      <c r="U836" s="377"/>
      <c r="V836" s="377"/>
      <c r="W836" s="377"/>
      <c r="X836" s="377"/>
      <c r="Y836" s="377"/>
      <c r="Z836" s="377"/>
      <c r="AA836" s="377"/>
      <c r="AB836" s="377"/>
      <c r="AC836" s="377"/>
      <c r="AD836" s="377"/>
      <c r="AE836" s="377"/>
      <c r="AF836" s="377"/>
      <c r="AG836" s="377"/>
    </row>
    <row r="837" ht="14.25" customHeight="1">
      <c r="A837" s="377"/>
      <c r="B837" s="377"/>
      <c r="C837" s="377"/>
      <c r="D837" s="377"/>
      <c r="E837" s="377"/>
      <c r="F837" s="377"/>
      <c r="G837" s="377"/>
      <c r="H837" s="377"/>
      <c r="I837" s="377"/>
      <c r="J837" s="377"/>
      <c r="K837" s="377"/>
      <c r="L837" s="377"/>
      <c r="M837" s="377"/>
      <c r="N837" s="377"/>
      <c r="O837" s="377"/>
      <c r="P837" s="377"/>
      <c r="Q837" s="377"/>
      <c r="R837" s="377"/>
      <c r="S837" s="377"/>
      <c r="T837" s="377"/>
      <c r="U837" s="377"/>
      <c r="V837" s="377"/>
      <c r="W837" s="377"/>
      <c r="X837" s="377"/>
      <c r="Y837" s="377"/>
      <c r="Z837" s="377"/>
      <c r="AA837" s="377"/>
      <c r="AB837" s="377"/>
      <c r="AC837" s="377"/>
      <c r="AD837" s="377"/>
      <c r="AE837" s="377"/>
      <c r="AF837" s="377"/>
      <c r="AG837" s="377"/>
    </row>
    <row r="838" ht="14.25" customHeight="1">
      <c r="A838" s="377"/>
      <c r="B838" s="377"/>
      <c r="C838" s="377"/>
      <c r="D838" s="377"/>
      <c r="E838" s="377"/>
      <c r="F838" s="377"/>
      <c r="G838" s="377"/>
      <c r="H838" s="377"/>
      <c r="I838" s="377"/>
      <c r="J838" s="377"/>
      <c r="K838" s="377"/>
      <c r="L838" s="377"/>
      <c r="M838" s="377"/>
      <c r="N838" s="377"/>
      <c r="O838" s="377"/>
      <c r="P838" s="377"/>
      <c r="Q838" s="377"/>
      <c r="R838" s="377"/>
      <c r="S838" s="377"/>
      <c r="T838" s="377"/>
      <c r="U838" s="377"/>
      <c r="V838" s="377"/>
      <c r="W838" s="377"/>
      <c r="X838" s="377"/>
      <c r="Y838" s="377"/>
      <c r="Z838" s="377"/>
      <c r="AA838" s="377"/>
      <c r="AB838" s="377"/>
      <c r="AC838" s="377"/>
      <c r="AD838" s="377"/>
      <c r="AE838" s="377"/>
      <c r="AF838" s="377"/>
      <c r="AG838" s="377"/>
    </row>
    <row r="839" ht="14.25" customHeight="1">
      <c r="A839" s="377"/>
      <c r="B839" s="377"/>
      <c r="C839" s="377"/>
      <c r="D839" s="377"/>
      <c r="E839" s="377"/>
      <c r="F839" s="377"/>
      <c r="G839" s="377"/>
      <c r="H839" s="377"/>
      <c r="I839" s="377"/>
      <c r="J839" s="377"/>
      <c r="K839" s="377"/>
      <c r="L839" s="377"/>
      <c r="M839" s="377"/>
      <c r="N839" s="377"/>
      <c r="O839" s="377"/>
      <c r="P839" s="377"/>
      <c r="Q839" s="377"/>
      <c r="R839" s="377"/>
      <c r="S839" s="377"/>
      <c r="T839" s="377"/>
      <c r="U839" s="377"/>
      <c r="V839" s="377"/>
      <c r="W839" s="377"/>
      <c r="X839" s="377"/>
      <c r="Y839" s="377"/>
      <c r="Z839" s="377"/>
      <c r="AA839" s="377"/>
      <c r="AB839" s="377"/>
      <c r="AC839" s="377"/>
      <c r="AD839" s="377"/>
      <c r="AE839" s="377"/>
      <c r="AF839" s="377"/>
      <c r="AG839" s="377"/>
    </row>
    <row r="840" ht="14.25" customHeight="1">
      <c r="A840" s="377"/>
      <c r="B840" s="377"/>
      <c r="C840" s="377"/>
      <c r="D840" s="377"/>
      <c r="E840" s="377"/>
      <c r="F840" s="377"/>
      <c r="G840" s="377"/>
      <c r="H840" s="377"/>
      <c r="I840" s="377"/>
      <c r="J840" s="377"/>
      <c r="K840" s="377"/>
      <c r="L840" s="377"/>
      <c r="M840" s="377"/>
      <c r="N840" s="377"/>
      <c r="O840" s="377"/>
      <c r="P840" s="377"/>
      <c r="Q840" s="377"/>
      <c r="R840" s="377"/>
      <c r="S840" s="377"/>
      <c r="T840" s="377"/>
      <c r="U840" s="377"/>
      <c r="V840" s="377"/>
      <c r="W840" s="377"/>
      <c r="X840" s="377"/>
      <c r="Y840" s="377"/>
      <c r="Z840" s="377"/>
      <c r="AA840" s="377"/>
      <c r="AB840" s="377"/>
      <c r="AC840" s="377"/>
      <c r="AD840" s="377"/>
      <c r="AE840" s="377"/>
      <c r="AF840" s="377"/>
      <c r="AG840" s="377"/>
    </row>
    <row r="841" ht="14.25" customHeight="1">
      <c r="A841" s="377"/>
      <c r="B841" s="377"/>
      <c r="C841" s="377"/>
      <c r="D841" s="377"/>
      <c r="E841" s="377"/>
      <c r="F841" s="377"/>
      <c r="G841" s="377"/>
      <c r="H841" s="377"/>
      <c r="I841" s="377"/>
      <c r="J841" s="377"/>
      <c r="K841" s="377"/>
      <c r="L841" s="377"/>
      <c r="M841" s="377"/>
      <c r="N841" s="377"/>
      <c r="O841" s="377"/>
      <c r="P841" s="377"/>
      <c r="Q841" s="377"/>
      <c r="R841" s="377"/>
      <c r="S841" s="377"/>
      <c r="T841" s="377"/>
      <c r="U841" s="377"/>
      <c r="V841" s="377"/>
      <c r="W841" s="377"/>
      <c r="X841" s="377"/>
      <c r="Y841" s="377"/>
      <c r="Z841" s="377"/>
      <c r="AA841" s="377"/>
      <c r="AB841" s="377"/>
      <c r="AC841" s="377"/>
      <c r="AD841" s="377"/>
      <c r="AE841" s="377"/>
      <c r="AF841" s="377"/>
      <c r="AG841" s="377"/>
    </row>
    <row r="842" ht="14.25" customHeight="1">
      <c r="A842" s="377"/>
      <c r="B842" s="377"/>
      <c r="C842" s="377"/>
      <c r="D842" s="377"/>
      <c r="E842" s="377"/>
      <c r="F842" s="377"/>
      <c r="G842" s="377"/>
      <c r="H842" s="377"/>
      <c r="I842" s="377"/>
      <c r="J842" s="377"/>
      <c r="K842" s="377"/>
      <c r="L842" s="377"/>
      <c r="M842" s="377"/>
      <c r="N842" s="377"/>
      <c r="O842" s="377"/>
      <c r="P842" s="377"/>
      <c r="Q842" s="377"/>
      <c r="R842" s="377"/>
      <c r="S842" s="377"/>
      <c r="T842" s="377"/>
      <c r="U842" s="377"/>
      <c r="V842" s="377"/>
      <c r="W842" s="377"/>
      <c r="X842" s="377"/>
      <c r="Y842" s="377"/>
      <c r="Z842" s="377"/>
      <c r="AA842" s="377"/>
      <c r="AB842" s="377"/>
      <c r="AC842" s="377"/>
      <c r="AD842" s="377"/>
      <c r="AE842" s="377"/>
      <c r="AF842" s="377"/>
      <c r="AG842" s="377"/>
    </row>
    <row r="843" ht="14.25" customHeight="1">
      <c r="A843" s="377"/>
      <c r="B843" s="377"/>
      <c r="C843" s="377"/>
      <c r="D843" s="377"/>
      <c r="E843" s="377"/>
      <c r="F843" s="377"/>
      <c r="G843" s="377"/>
      <c r="H843" s="377"/>
      <c r="I843" s="377"/>
      <c r="J843" s="377"/>
      <c r="K843" s="377"/>
      <c r="L843" s="377"/>
      <c r="M843" s="377"/>
      <c r="N843" s="377"/>
      <c r="O843" s="377"/>
      <c r="P843" s="377"/>
      <c r="Q843" s="377"/>
      <c r="R843" s="377"/>
      <c r="S843" s="377"/>
      <c r="T843" s="377"/>
      <c r="U843" s="377"/>
      <c r="V843" s="377"/>
      <c r="W843" s="377"/>
      <c r="X843" s="377"/>
      <c r="Y843" s="377"/>
      <c r="Z843" s="377"/>
      <c r="AA843" s="377"/>
      <c r="AB843" s="377"/>
      <c r="AC843" s="377"/>
      <c r="AD843" s="377"/>
      <c r="AE843" s="377"/>
      <c r="AF843" s="377"/>
      <c r="AG843" s="377"/>
    </row>
    <row r="844" ht="14.25" customHeight="1">
      <c r="A844" s="377"/>
      <c r="B844" s="377"/>
      <c r="C844" s="377"/>
      <c r="D844" s="377"/>
      <c r="E844" s="377"/>
      <c r="F844" s="377"/>
      <c r="G844" s="377"/>
      <c r="H844" s="377"/>
      <c r="I844" s="377"/>
      <c r="J844" s="377"/>
      <c r="K844" s="377"/>
      <c r="L844" s="377"/>
      <c r="M844" s="377"/>
      <c r="N844" s="377"/>
      <c r="O844" s="377"/>
      <c r="P844" s="377"/>
      <c r="Q844" s="377"/>
      <c r="R844" s="377"/>
      <c r="S844" s="377"/>
      <c r="T844" s="377"/>
      <c r="U844" s="377"/>
      <c r="V844" s="377"/>
      <c r="W844" s="377"/>
      <c r="X844" s="377"/>
      <c r="Y844" s="377"/>
      <c r="Z844" s="377"/>
      <c r="AA844" s="377"/>
      <c r="AB844" s="377"/>
      <c r="AC844" s="377"/>
      <c r="AD844" s="377"/>
      <c r="AE844" s="377"/>
      <c r="AF844" s="377"/>
      <c r="AG844" s="377"/>
    </row>
    <row r="845" ht="14.25" customHeight="1">
      <c r="A845" s="377"/>
      <c r="B845" s="377"/>
      <c r="C845" s="377"/>
      <c r="D845" s="377"/>
      <c r="E845" s="377"/>
      <c r="F845" s="377"/>
      <c r="G845" s="377"/>
      <c r="H845" s="377"/>
      <c r="I845" s="377"/>
      <c r="J845" s="377"/>
      <c r="K845" s="377"/>
      <c r="L845" s="377"/>
      <c r="M845" s="377"/>
      <c r="N845" s="377"/>
      <c r="O845" s="377"/>
      <c r="P845" s="377"/>
      <c r="Q845" s="377"/>
      <c r="R845" s="377"/>
      <c r="S845" s="377"/>
      <c r="T845" s="377"/>
      <c r="U845" s="377"/>
      <c r="V845" s="377"/>
      <c r="W845" s="377"/>
      <c r="X845" s="377"/>
      <c r="Y845" s="377"/>
      <c r="Z845" s="377"/>
      <c r="AA845" s="377"/>
      <c r="AB845" s="377"/>
      <c r="AC845" s="377"/>
      <c r="AD845" s="377"/>
      <c r="AE845" s="377"/>
      <c r="AF845" s="377"/>
      <c r="AG845" s="377"/>
    </row>
    <row r="846" ht="14.25" customHeight="1">
      <c r="A846" s="377"/>
      <c r="B846" s="377"/>
      <c r="C846" s="377"/>
      <c r="D846" s="377"/>
      <c r="E846" s="377"/>
      <c r="F846" s="377"/>
      <c r="G846" s="377"/>
      <c r="H846" s="377"/>
      <c r="I846" s="377"/>
      <c r="J846" s="377"/>
      <c r="K846" s="377"/>
      <c r="L846" s="377"/>
      <c r="M846" s="377"/>
      <c r="N846" s="377"/>
      <c r="O846" s="377"/>
      <c r="P846" s="377"/>
      <c r="Q846" s="377"/>
      <c r="R846" s="377"/>
      <c r="S846" s="377"/>
      <c r="T846" s="377"/>
      <c r="U846" s="377"/>
      <c r="V846" s="377"/>
      <c r="W846" s="377"/>
      <c r="X846" s="377"/>
      <c r="Y846" s="377"/>
      <c r="Z846" s="377"/>
      <c r="AA846" s="377"/>
      <c r="AB846" s="377"/>
      <c r="AC846" s="377"/>
      <c r="AD846" s="377"/>
      <c r="AE846" s="377"/>
      <c r="AF846" s="377"/>
      <c r="AG846" s="377"/>
    </row>
    <row r="847" ht="14.25" customHeight="1">
      <c r="A847" s="377"/>
      <c r="B847" s="377"/>
      <c r="C847" s="377"/>
      <c r="D847" s="377"/>
      <c r="E847" s="377"/>
      <c r="F847" s="377"/>
      <c r="G847" s="377"/>
      <c r="H847" s="377"/>
      <c r="I847" s="377"/>
      <c r="J847" s="377"/>
      <c r="K847" s="377"/>
      <c r="L847" s="377"/>
      <c r="M847" s="377"/>
      <c r="N847" s="377"/>
      <c r="O847" s="377"/>
      <c r="P847" s="377"/>
      <c r="Q847" s="377"/>
      <c r="R847" s="377"/>
      <c r="S847" s="377"/>
      <c r="T847" s="377"/>
      <c r="U847" s="377"/>
      <c r="V847" s="377"/>
      <c r="W847" s="377"/>
      <c r="X847" s="377"/>
      <c r="Y847" s="377"/>
      <c r="Z847" s="377"/>
      <c r="AA847" s="377"/>
      <c r="AB847" s="377"/>
      <c r="AC847" s="377"/>
      <c r="AD847" s="377"/>
      <c r="AE847" s="377"/>
      <c r="AF847" s="377"/>
      <c r="AG847" s="377"/>
    </row>
    <row r="848" ht="14.25" customHeight="1">
      <c r="A848" s="377"/>
      <c r="B848" s="377"/>
      <c r="C848" s="377"/>
      <c r="D848" s="377"/>
      <c r="E848" s="377"/>
      <c r="F848" s="377"/>
      <c r="G848" s="377"/>
      <c r="H848" s="377"/>
      <c r="I848" s="377"/>
      <c r="J848" s="377"/>
      <c r="K848" s="377"/>
      <c r="L848" s="377"/>
      <c r="M848" s="377"/>
      <c r="N848" s="377"/>
      <c r="O848" s="377"/>
      <c r="P848" s="377"/>
      <c r="Q848" s="377"/>
      <c r="R848" s="377"/>
      <c r="S848" s="377"/>
      <c r="T848" s="377"/>
      <c r="U848" s="377"/>
      <c r="V848" s="377"/>
      <c r="W848" s="377"/>
      <c r="X848" s="377"/>
      <c r="Y848" s="377"/>
      <c r="Z848" s="377"/>
      <c r="AA848" s="377"/>
      <c r="AB848" s="377"/>
      <c r="AC848" s="377"/>
      <c r="AD848" s="377"/>
      <c r="AE848" s="377"/>
      <c r="AF848" s="377"/>
      <c r="AG848" s="377"/>
    </row>
    <row r="849" ht="14.25" customHeight="1">
      <c r="A849" s="377"/>
      <c r="B849" s="377"/>
      <c r="C849" s="377"/>
      <c r="D849" s="377"/>
      <c r="E849" s="377"/>
      <c r="F849" s="377"/>
      <c r="G849" s="377"/>
      <c r="H849" s="377"/>
      <c r="I849" s="377"/>
      <c r="J849" s="377"/>
      <c r="K849" s="377"/>
      <c r="L849" s="377"/>
      <c r="M849" s="377"/>
      <c r="N849" s="377"/>
      <c r="O849" s="377"/>
      <c r="P849" s="377"/>
      <c r="Q849" s="377"/>
      <c r="R849" s="377"/>
      <c r="S849" s="377"/>
      <c r="T849" s="377"/>
      <c r="U849" s="377"/>
      <c r="V849" s="377"/>
      <c r="W849" s="377"/>
      <c r="X849" s="377"/>
      <c r="Y849" s="377"/>
      <c r="Z849" s="377"/>
      <c r="AA849" s="377"/>
      <c r="AB849" s="377"/>
      <c r="AC849" s="377"/>
      <c r="AD849" s="377"/>
      <c r="AE849" s="377"/>
      <c r="AF849" s="377"/>
      <c r="AG849" s="377"/>
    </row>
    <row r="850" ht="14.25" customHeight="1">
      <c r="A850" s="377"/>
      <c r="B850" s="377"/>
      <c r="C850" s="377"/>
      <c r="D850" s="377"/>
      <c r="E850" s="377"/>
      <c r="F850" s="377"/>
      <c r="G850" s="377"/>
      <c r="H850" s="377"/>
      <c r="I850" s="377"/>
      <c r="J850" s="377"/>
      <c r="K850" s="377"/>
      <c r="L850" s="377"/>
      <c r="M850" s="377"/>
      <c r="N850" s="377"/>
      <c r="O850" s="377"/>
      <c r="P850" s="377"/>
      <c r="Q850" s="377"/>
      <c r="R850" s="377"/>
      <c r="S850" s="377"/>
      <c r="T850" s="377"/>
      <c r="U850" s="377"/>
      <c r="V850" s="377"/>
      <c r="W850" s="377"/>
      <c r="X850" s="377"/>
      <c r="Y850" s="377"/>
      <c r="Z850" s="377"/>
      <c r="AA850" s="377"/>
      <c r="AB850" s="377"/>
      <c r="AC850" s="377"/>
      <c r="AD850" s="377"/>
      <c r="AE850" s="377"/>
      <c r="AF850" s="377"/>
      <c r="AG850" s="377"/>
    </row>
    <row r="851" ht="14.25" customHeight="1">
      <c r="A851" s="377"/>
      <c r="B851" s="377"/>
      <c r="C851" s="377"/>
      <c r="D851" s="377"/>
      <c r="E851" s="377"/>
      <c r="F851" s="377"/>
      <c r="G851" s="377"/>
      <c r="H851" s="377"/>
      <c r="I851" s="377"/>
      <c r="J851" s="377"/>
      <c r="K851" s="377"/>
      <c r="L851" s="377"/>
      <c r="M851" s="377"/>
      <c r="N851" s="377"/>
      <c r="O851" s="377"/>
      <c r="P851" s="377"/>
      <c r="Q851" s="377"/>
      <c r="R851" s="377"/>
      <c r="S851" s="377"/>
      <c r="T851" s="377"/>
      <c r="U851" s="377"/>
      <c r="V851" s="377"/>
      <c r="W851" s="377"/>
      <c r="X851" s="377"/>
      <c r="Y851" s="377"/>
      <c r="Z851" s="377"/>
      <c r="AA851" s="377"/>
      <c r="AB851" s="377"/>
      <c r="AC851" s="377"/>
      <c r="AD851" s="377"/>
      <c r="AE851" s="377"/>
      <c r="AF851" s="377"/>
      <c r="AG851" s="377"/>
    </row>
    <row r="852" ht="14.25" customHeight="1">
      <c r="A852" s="377"/>
      <c r="B852" s="377"/>
      <c r="C852" s="377"/>
      <c r="D852" s="377"/>
      <c r="E852" s="377"/>
      <c r="F852" s="377"/>
      <c r="G852" s="377"/>
      <c r="H852" s="377"/>
      <c r="I852" s="377"/>
      <c r="J852" s="377"/>
      <c r="K852" s="377"/>
      <c r="L852" s="377"/>
      <c r="M852" s="377"/>
      <c r="N852" s="377"/>
      <c r="O852" s="377"/>
      <c r="P852" s="377"/>
      <c r="Q852" s="377"/>
      <c r="R852" s="377"/>
      <c r="S852" s="377"/>
      <c r="T852" s="377"/>
      <c r="U852" s="377"/>
      <c r="V852" s="377"/>
      <c r="W852" s="377"/>
      <c r="X852" s="377"/>
      <c r="Y852" s="377"/>
      <c r="Z852" s="377"/>
      <c r="AA852" s="377"/>
      <c r="AB852" s="377"/>
      <c r="AC852" s="377"/>
      <c r="AD852" s="377"/>
      <c r="AE852" s="377"/>
      <c r="AF852" s="377"/>
      <c r="AG852" s="377"/>
    </row>
    <row r="853" ht="14.25" customHeight="1">
      <c r="A853" s="377"/>
      <c r="B853" s="377"/>
      <c r="C853" s="377"/>
      <c r="D853" s="377"/>
      <c r="E853" s="377"/>
      <c r="F853" s="377"/>
      <c r="G853" s="377"/>
      <c r="H853" s="377"/>
      <c r="I853" s="377"/>
      <c r="J853" s="377"/>
      <c r="K853" s="377"/>
      <c r="L853" s="377"/>
      <c r="M853" s="377"/>
      <c r="N853" s="377"/>
      <c r="O853" s="377"/>
      <c r="P853" s="377"/>
      <c r="Q853" s="377"/>
      <c r="R853" s="377"/>
      <c r="S853" s="377"/>
      <c r="T853" s="377"/>
      <c r="U853" s="377"/>
      <c r="V853" s="377"/>
      <c r="W853" s="377"/>
      <c r="X853" s="377"/>
      <c r="Y853" s="377"/>
      <c r="Z853" s="377"/>
      <c r="AA853" s="377"/>
      <c r="AB853" s="377"/>
      <c r="AC853" s="377"/>
      <c r="AD853" s="377"/>
      <c r="AE853" s="377"/>
      <c r="AF853" s="377"/>
      <c r="AG853" s="377"/>
    </row>
    <row r="854" ht="14.25" customHeight="1">
      <c r="A854" s="377"/>
      <c r="B854" s="377"/>
      <c r="C854" s="377"/>
      <c r="D854" s="377"/>
      <c r="E854" s="377"/>
      <c r="F854" s="377"/>
      <c r="G854" s="377"/>
      <c r="H854" s="377"/>
      <c r="I854" s="377"/>
      <c r="J854" s="377"/>
      <c r="K854" s="377"/>
      <c r="L854" s="377"/>
      <c r="M854" s="377"/>
      <c r="N854" s="377"/>
      <c r="O854" s="377"/>
      <c r="P854" s="377"/>
      <c r="Q854" s="377"/>
      <c r="R854" s="377"/>
      <c r="S854" s="377"/>
      <c r="T854" s="377"/>
      <c r="U854" s="377"/>
      <c r="V854" s="377"/>
      <c r="W854" s="377"/>
      <c r="X854" s="377"/>
      <c r="Y854" s="377"/>
      <c r="Z854" s="377"/>
      <c r="AA854" s="377"/>
      <c r="AB854" s="377"/>
      <c r="AC854" s="377"/>
      <c r="AD854" s="377"/>
      <c r="AE854" s="377"/>
      <c r="AF854" s="377"/>
      <c r="AG854" s="377"/>
    </row>
    <row r="855" ht="14.25" customHeight="1">
      <c r="A855" s="377"/>
      <c r="B855" s="377"/>
      <c r="C855" s="377"/>
      <c r="D855" s="377"/>
      <c r="E855" s="377"/>
      <c r="F855" s="377"/>
      <c r="G855" s="377"/>
      <c r="H855" s="377"/>
      <c r="I855" s="377"/>
      <c r="J855" s="377"/>
      <c r="K855" s="377"/>
      <c r="L855" s="377"/>
      <c r="M855" s="377"/>
      <c r="N855" s="377"/>
      <c r="O855" s="377"/>
      <c r="P855" s="377"/>
      <c r="Q855" s="377"/>
      <c r="R855" s="377"/>
      <c r="S855" s="377"/>
      <c r="T855" s="377"/>
      <c r="U855" s="377"/>
      <c r="V855" s="377"/>
      <c r="W855" s="377"/>
      <c r="X855" s="377"/>
      <c r="Y855" s="377"/>
      <c r="Z855" s="377"/>
      <c r="AA855" s="377"/>
      <c r="AB855" s="377"/>
      <c r="AC855" s="377"/>
      <c r="AD855" s="377"/>
      <c r="AE855" s="377"/>
      <c r="AF855" s="377"/>
      <c r="AG855" s="377"/>
    </row>
    <row r="856" ht="14.25" customHeight="1">
      <c r="A856" s="377"/>
      <c r="B856" s="377"/>
      <c r="C856" s="377"/>
      <c r="D856" s="377"/>
      <c r="E856" s="377"/>
      <c r="F856" s="377"/>
      <c r="G856" s="377"/>
      <c r="H856" s="377"/>
      <c r="I856" s="377"/>
      <c r="J856" s="377"/>
      <c r="K856" s="377"/>
      <c r="L856" s="377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  <c r="Z856" s="377"/>
      <c r="AA856" s="377"/>
      <c r="AB856" s="377"/>
      <c r="AC856" s="377"/>
      <c r="AD856" s="377"/>
      <c r="AE856" s="377"/>
      <c r="AF856" s="377"/>
      <c r="AG856" s="377"/>
    </row>
    <row r="857" ht="14.25" customHeight="1">
      <c r="A857" s="377"/>
      <c r="B857" s="377"/>
      <c r="C857" s="377"/>
      <c r="D857" s="377"/>
      <c r="E857" s="377"/>
      <c r="F857" s="377"/>
      <c r="G857" s="377"/>
      <c r="H857" s="377"/>
      <c r="I857" s="377"/>
      <c r="J857" s="377"/>
      <c r="K857" s="377"/>
      <c r="L857" s="377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  <c r="Z857" s="377"/>
      <c r="AA857" s="377"/>
      <c r="AB857" s="377"/>
      <c r="AC857" s="377"/>
      <c r="AD857" s="377"/>
      <c r="AE857" s="377"/>
      <c r="AF857" s="377"/>
      <c r="AG857" s="377"/>
    </row>
    <row r="858" ht="14.25" customHeight="1">
      <c r="A858" s="377"/>
      <c r="B858" s="377"/>
      <c r="C858" s="377"/>
      <c r="D858" s="377"/>
      <c r="E858" s="377"/>
      <c r="F858" s="377"/>
      <c r="G858" s="377"/>
      <c r="H858" s="377"/>
      <c r="I858" s="377"/>
      <c r="J858" s="377"/>
      <c r="K858" s="377"/>
      <c r="L858" s="377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  <c r="Z858" s="377"/>
      <c r="AA858" s="377"/>
      <c r="AB858" s="377"/>
      <c r="AC858" s="377"/>
      <c r="AD858" s="377"/>
      <c r="AE858" s="377"/>
      <c r="AF858" s="377"/>
      <c r="AG858" s="377"/>
    </row>
    <row r="859" ht="14.25" customHeight="1">
      <c r="A859" s="377"/>
      <c r="B859" s="377"/>
      <c r="C859" s="377"/>
      <c r="D859" s="377"/>
      <c r="E859" s="377"/>
      <c r="F859" s="377"/>
      <c r="G859" s="377"/>
      <c r="H859" s="377"/>
      <c r="I859" s="377"/>
      <c r="J859" s="377"/>
      <c r="K859" s="377"/>
      <c r="L859" s="377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  <c r="Z859" s="377"/>
      <c r="AA859" s="377"/>
      <c r="AB859" s="377"/>
      <c r="AC859" s="377"/>
      <c r="AD859" s="377"/>
      <c r="AE859" s="377"/>
      <c r="AF859" s="377"/>
      <c r="AG859" s="377"/>
    </row>
    <row r="860" ht="14.25" customHeight="1">
      <c r="A860" s="377"/>
      <c r="B860" s="377"/>
      <c r="C860" s="377"/>
      <c r="D860" s="377"/>
      <c r="E860" s="377"/>
      <c r="F860" s="377"/>
      <c r="G860" s="377"/>
      <c r="H860" s="377"/>
      <c r="I860" s="377"/>
      <c r="J860" s="377"/>
      <c r="K860" s="377"/>
      <c r="L860" s="377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  <c r="Z860" s="377"/>
      <c r="AA860" s="377"/>
      <c r="AB860" s="377"/>
      <c r="AC860" s="377"/>
      <c r="AD860" s="377"/>
      <c r="AE860" s="377"/>
      <c r="AF860" s="377"/>
      <c r="AG860" s="377"/>
    </row>
    <row r="861" ht="14.25" customHeight="1">
      <c r="A861" s="377"/>
      <c r="B861" s="377"/>
      <c r="C861" s="377"/>
      <c r="D861" s="377"/>
      <c r="E861" s="377"/>
      <c r="F861" s="377"/>
      <c r="G861" s="377"/>
      <c r="H861" s="377"/>
      <c r="I861" s="377"/>
      <c r="J861" s="377"/>
      <c r="K861" s="377"/>
      <c r="L861" s="377"/>
      <c r="M861" s="377"/>
      <c r="N861" s="377"/>
      <c r="O861" s="377"/>
      <c r="P861" s="377"/>
      <c r="Q861" s="377"/>
      <c r="R861" s="377"/>
      <c r="S861" s="377"/>
      <c r="T861" s="377"/>
      <c r="U861" s="377"/>
      <c r="V861" s="377"/>
      <c r="W861" s="377"/>
      <c r="X861" s="377"/>
      <c r="Y861" s="377"/>
      <c r="Z861" s="377"/>
      <c r="AA861" s="377"/>
      <c r="AB861" s="377"/>
      <c r="AC861" s="377"/>
      <c r="AD861" s="377"/>
      <c r="AE861" s="377"/>
      <c r="AF861" s="377"/>
      <c r="AG861" s="377"/>
    </row>
    <row r="862" ht="14.25" customHeight="1">
      <c r="A862" s="377"/>
      <c r="B862" s="377"/>
      <c r="C862" s="377"/>
      <c r="D862" s="377"/>
      <c r="E862" s="377"/>
      <c r="F862" s="377"/>
      <c r="G862" s="377"/>
      <c r="H862" s="377"/>
      <c r="I862" s="377"/>
      <c r="J862" s="377"/>
      <c r="K862" s="377"/>
      <c r="L862" s="377"/>
      <c r="M862" s="377"/>
      <c r="N862" s="377"/>
      <c r="O862" s="377"/>
      <c r="P862" s="377"/>
      <c r="Q862" s="377"/>
      <c r="R862" s="377"/>
      <c r="S862" s="377"/>
      <c r="T862" s="377"/>
      <c r="U862" s="377"/>
      <c r="V862" s="377"/>
      <c r="W862" s="377"/>
      <c r="X862" s="377"/>
      <c r="Y862" s="377"/>
      <c r="Z862" s="377"/>
      <c r="AA862" s="377"/>
      <c r="AB862" s="377"/>
      <c r="AC862" s="377"/>
      <c r="AD862" s="377"/>
      <c r="AE862" s="377"/>
      <c r="AF862" s="377"/>
      <c r="AG862" s="377"/>
    </row>
    <row r="863" ht="14.25" customHeight="1">
      <c r="A863" s="377"/>
      <c r="B863" s="377"/>
      <c r="C863" s="377"/>
      <c r="D863" s="377"/>
      <c r="E863" s="377"/>
      <c r="F863" s="377"/>
      <c r="G863" s="377"/>
      <c r="H863" s="377"/>
      <c r="I863" s="377"/>
      <c r="J863" s="377"/>
      <c r="K863" s="377"/>
      <c r="L863" s="377"/>
      <c r="M863" s="377"/>
      <c r="N863" s="377"/>
      <c r="O863" s="377"/>
      <c r="P863" s="377"/>
      <c r="Q863" s="377"/>
      <c r="R863" s="377"/>
      <c r="S863" s="377"/>
      <c r="T863" s="377"/>
      <c r="U863" s="377"/>
      <c r="V863" s="377"/>
      <c r="W863" s="377"/>
      <c r="X863" s="377"/>
      <c r="Y863" s="377"/>
      <c r="Z863" s="377"/>
      <c r="AA863" s="377"/>
      <c r="AB863" s="377"/>
      <c r="AC863" s="377"/>
      <c r="AD863" s="377"/>
      <c r="AE863" s="377"/>
      <c r="AF863" s="377"/>
      <c r="AG863" s="377"/>
    </row>
    <row r="864" ht="14.25" customHeight="1">
      <c r="A864" s="377"/>
      <c r="B864" s="377"/>
      <c r="C864" s="377"/>
      <c r="D864" s="377"/>
      <c r="E864" s="377"/>
      <c r="F864" s="377"/>
      <c r="G864" s="377"/>
      <c r="H864" s="377"/>
      <c r="I864" s="377"/>
      <c r="J864" s="377"/>
      <c r="K864" s="377"/>
      <c r="L864" s="377"/>
      <c r="M864" s="377"/>
      <c r="N864" s="377"/>
      <c r="O864" s="377"/>
      <c r="P864" s="377"/>
      <c r="Q864" s="377"/>
      <c r="R864" s="377"/>
      <c r="S864" s="377"/>
      <c r="T864" s="377"/>
      <c r="U864" s="377"/>
      <c r="V864" s="377"/>
      <c r="W864" s="377"/>
      <c r="X864" s="377"/>
      <c r="Y864" s="377"/>
      <c r="Z864" s="377"/>
      <c r="AA864" s="377"/>
      <c r="AB864" s="377"/>
      <c r="AC864" s="377"/>
      <c r="AD864" s="377"/>
      <c r="AE864" s="377"/>
      <c r="AF864" s="377"/>
      <c r="AG864" s="377"/>
    </row>
    <row r="865" ht="14.25" customHeight="1">
      <c r="A865" s="377"/>
      <c r="B865" s="377"/>
      <c r="C865" s="377"/>
      <c r="D865" s="377"/>
      <c r="E865" s="377"/>
      <c r="F865" s="377"/>
      <c r="G865" s="377"/>
      <c r="H865" s="377"/>
      <c r="I865" s="377"/>
      <c r="J865" s="377"/>
      <c r="K865" s="377"/>
      <c r="L865" s="377"/>
      <c r="M865" s="377"/>
      <c r="N865" s="377"/>
      <c r="O865" s="377"/>
      <c r="P865" s="377"/>
      <c r="Q865" s="377"/>
      <c r="R865" s="377"/>
      <c r="S865" s="377"/>
      <c r="T865" s="377"/>
      <c r="U865" s="377"/>
      <c r="V865" s="377"/>
      <c r="W865" s="377"/>
      <c r="X865" s="377"/>
      <c r="Y865" s="377"/>
      <c r="Z865" s="377"/>
      <c r="AA865" s="377"/>
      <c r="AB865" s="377"/>
      <c r="AC865" s="377"/>
      <c r="AD865" s="377"/>
      <c r="AE865" s="377"/>
      <c r="AF865" s="377"/>
      <c r="AG865" s="377"/>
    </row>
    <row r="866" ht="14.25" customHeight="1">
      <c r="A866" s="377"/>
      <c r="B866" s="377"/>
      <c r="C866" s="377"/>
      <c r="D866" s="377"/>
      <c r="E866" s="377"/>
      <c r="F866" s="377"/>
      <c r="G866" s="377"/>
      <c r="H866" s="377"/>
      <c r="I866" s="377"/>
      <c r="J866" s="377"/>
      <c r="K866" s="377"/>
      <c r="L866" s="377"/>
      <c r="M866" s="377"/>
      <c r="N866" s="377"/>
      <c r="O866" s="377"/>
      <c r="P866" s="377"/>
      <c r="Q866" s="377"/>
      <c r="R866" s="377"/>
      <c r="S866" s="377"/>
      <c r="T866" s="377"/>
      <c r="U866" s="377"/>
      <c r="V866" s="377"/>
      <c r="W866" s="377"/>
      <c r="X866" s="377"/>
      <c r="Y866" s="377"/>
      <c r="Z866" s="377"/>
      <c r="AA866" s="377"/>
      <c r="AB866" s="377"/>
      <c r="AC866" s="377"/>
      <c r="AD866" s="377"/>
      <c r="AE866" s="377"/>
      <c r="AF866" s="377"/>
      <c r="AG866" s="377"/>
    </row>
    <row r="867" ht="14.25" customHeight="1">
      <c r="A867" s="377"/>
      <c r="B867" s="377"/>
      <c r="C867" s="377"/>
      <c r="D867" s="377"/>
      <c r="E867" s="377"/>
      <c r="F867" s="377"/>
      <c r="G867" s="377"/>
      <c r="H867" s="377"/>
      <c r="I867" s="377"/>
      <c r="J867" s="377"/>
      <c r="K867" s="377"/>
      <c r="L867" s="377"/>
      <c r="M867" s="377"/>
      <c r="N867" s="377"/>
      <c r="O867" s="377"/>
      <c r="P867" s="377"/>
      <c r="Q867" s="377"/>
      <c r="R867" s="377"/>
      <c r="S867" s="377"/>
      <c r="T867" s="377"/>
      <c r="U867" s="377"/>
      <c r="V867" s="377"/>
      <c r="W867" s="377"/>
      <c r="X867" s="377"/>
      <c r="Y867" s="377"/>
      <c r="Z867" s="377"/>
      <c r="AA867" s="377"/>
      <c r="AB867" s="377"/>
      <c r="AC867" s="377"/>
      <c r="AD867" s="377"/>
      <c r="AE867" s="377"/>
      <c r="AF867" s="377"/>
      <c r="AG867" s="377"/>
    </row>
    <row r="868" ht="14.25" customHeight="1">
      <c r="A868" s="377"/>
      <c r="B868" s="377"/>
      <c r="C868" s="377"/>
      <c r="D868" s="377"/>
      <c r="E868" s="377"/>
      <c r="F868" s="377"/>
      <c r="G868" s="377"/>
      <c r="H868" s="377"/>
      <c r="I868" s="377"/>
      <c r="J868" s="377"/>
      <c r="K868" s="377"/>
      <c r="L868" s="377"/>
      <c r="M868" s="377"/>
      <c r="N868" s="377"/>
      <c r="O868" s="377"/>
      <c r="P868" s="377"/>
      <c r="Q868" s="377"/>
      <c r="R868" s="377"/>
      <c r="S868" s="377"/>
      <c r="T868" s="377"/>
      <c r="U868" s="377"/>
      <c r="V868" s="377"/>
      <c r="W868" s="377"/>
      <c r="X868" s="377"/>
      <c r="Y868" s="377"/>
      <c r="Z868" s="377"/>
      <c r="AA868" s="377"/>
      <c r="AB868" s="377"/>
      <c r="AC868" s="377"/>
      <c r="AD868" s="377"/>
      <c r="AE868" s="377"/>
      <c r="AF868" s="377"/>
      <c r="AG868" s="377"/>
    </row>
    <row r="869" ht="14.25" customHeight="1">
      <c r="A869" s="377"/>
      <c r="B869" s="377"/>
      <c r="C869" s="377"/>
      <c r="D869" s="377"/>
      <c r="E869" s="377"/>
      <c r="F869" s="377"/>
      <c r="G869" s="377"/>
      <c r="H869" s="377"/>
      <c r="I869" s="377"/>
      <c r="J869" s="377"/>
      <c r="K869" s="377"/>
      <c r="L869" s="377"/>
      <c r="M869" s="377"/>
      <c r="N869" s="377"/>
      <c r="O869" s="377"/>
      <c r="P869" s="377"/>
      <c r="Q869" s="377"/>
      <c r="R869" s="377"/>
      <c r="S869" s="377"/>
      <c r="T869" s="377"/>
      <c r="U869" s="377"/>
      <c r="V869" s="377"/>
      <c r="W869" s="377"/>
      <c r="X869" s="377"/>
      <c r="Y869" s="377"/>
      <c r="Z869" s="377"/>
      <c r="AA869" s="377"/>
      <c r="AB869" s="377"/>
      <c r="AC869" s="377"/>
      <c r="AD869" s="377"/>
      <c r="AE869" s="377"/>
      <c r="AF869" s="377"/>
      <c r="AG869" s="377"/>
    </row>
    <row r="870" ht="14.25" customHeight="1">
      <c r="A870" s="377"/>
      <c r="B870" s="377"/>
      <c r="C870" s="377"/>
      <c r="D870" s="377"/>
      <c r="E870" s="377"/>
      <c r="F870" s="377"/>
      <c r="G870" s="377"/>
      <c r="H870" s="377"/>
      <c r="I870" s="377"/>
      <c r="J870" s="377"/>
      <c r="K870" s="377"/>
      <c r="L870" s="377"/>
      <c r="M870" s="377"/>
      <c r="N870" s="377"/>
      <c r="O870" s="377"/>
      <c r="P870" s="377"/>
      <c r="Q870" s="377"/>
      <c r="R870" s="377"/>
      <c r="S870" s="377"/>
      <c r="T870" s="377"/>
      <c r="U870" s="377"/>
      <c r="V870" s="377"/>
      <c r="W870" s="377"/>
      <c r="X870" s="377"/>
      <c r="Y870" s="377"/>
      <c r="Z870" s="377"/>
      <c r="AA870" s="377"/>
      <c r="AB870" s="377"/>
      <c r="AC870" s="377"/>
      <c r="AD870" s="377"/>
      <c r="AE870" s="377"/>
      <c r="AF870" s="377"/>
      <c r="AG870" s="377"/>
    </row>
    <row r="871" ht="14.25" customHeight="1">
      <c r="A871" s="377"/>
      <c r="B871" s="377"/>
      <c r="C871" s="377"/>
      <c r="D871" s="377"/>
      <c r="E871" s="377"/>
      <c r="F871" s="377"/>
      <c r="G871" s="377"/>
      <c r="H871" s="377"/>
      <c r="I871" s="377"/>
      <c r="J871" s="377"/>
      <c r="K871" s="377"/>
      <c r="L871" s="377"/>
      <c r="M871" s="377"/>
      <c r="N871" s="377"/>
      <c r="O871" s="377"/>
      <c r="P871" s="377"/>
      <c r="Q871" s="377"/>
      <c r="R871" s="377"/>
      <c r="S871" s="377"/>
      <c r="T871" s="377"/>
      <c r="U871" s="377"/>
      <c r="V871" s="377"/>
      <c r="W871" s="377"/>
      <c r="X871" s="377"/>
      <c r="Y871" s="377"/>
      <c r="Z871" s="377"/>
      <c r="AA871" s="377"/>
      <c r="AB871" s="377"/>
      <c r="AC871" s="377"/>
      <c r="AD871" s="377"/>
      <c r="AE871" s="377"/>
      <c r="AF871" s="377"/>
      <c r="AG871" s="377"/>
    </row>
    <row r="872" ht="14.25" customHeight="1">
      <c r="A872" s="377"/>
      <c r="B872" s="377"/>
      <c r="C872" s="377"/>
      <c r="D872" s="377"/>
      <c r="E872" s="377"/>
      <c r="F872" s="377"/>
      <c r="G872" s="377"/>
      <c r="H872" s="377"/>
      <c r="I872" s="377"/>
      <c r="J872" s="377"/>
      <c r="K872" s="377"/>
      <c r="L872" s="377"/>
      <c r="M872" s="377"/>
      <c r="N872" s="377"/>
      <c r="O872" s="377"/>
      <c r="P872" s="377"/>
      <c r="Q872" s="377"/>
      <c r="R872" s="377"/>
      <c r="S872" s="377"/>
      <c r="T872" s="377"/>
      <c r="U872" s="377"/>
      <c r="V872" s="377"/>
      <c r="W872" s="377"/>
      <c r="X872" s="377"/>
      <c r="Y872" s="377"/>
      <c r="Z872" s="377"/>
      <c r="AA872" s="377"/>
      <c r="AB872" s="377"/>
      <c r="AC872" s="377"/>
      <c r="AD872" s="377"/>
      <c r="AE872" s="377"/>
      <c r="AF872" s="377"/>
      <c r="AG872" s="377"/>
    </row>
    <row r="873" ht="14.25" customHeight="1">
      <c r="A873" s="377"/>
      <c r="B873" s="377"/>
      <c r="C873" s="377"/>
      <c r="D873" s="377"/>
      <c r="E873" s="377"/>
      <c r="F873" s="377"/>
      <c r="G873" s="377"/>
      <c r="H873" s="377"/>
      <c r="I873" s="377"/>
      <c r="J873" s="377"/>
      <c r="K873" s="377"/>
      <c r="L873" s="377"/>
      <c r="M873" s="377"/>
      <c r="N873" s="377"/>
      <c r="O873" s="377"/>
      <c r="P873" s="377"/>
      <c r="Q873" s="377"/>
      <c r="R873" s="377"/>
      <c r="S873" s="377"/>
      <c r="T873" s="377"/>
      <c r="U873" s="377"/>
      <c r="V873" s="377"/>
      <c r="W873" s="377"/>
      <c r="X873" s="377"/>
      <c r="Y873" s="377"/>
      <c r="Z873" s="377"/>
      <c r="AA873" s="377"/>
      <c r="AB873" s="377"/>
      <c r="AC873" s="377"/>
      <c r="AD873" s="377"/>
      <c r="AE873" s="377"/>
      <c r="AF873" s="377"/>
      <c r="AG873" s="377"/>
    </row>
    <row r="874" ht="14.25" customHeight="1">
      <c r="A874" s="377"/>
      <c r="B874" s="377"/>
      <c r="C874" s="377"/>
      <c r="D874" s="377"/>
      <c r="E874" s="377"/>
      <c r="F874" s="377"/>
      <c r="G874" s="377"/>
      <c r="H874" s="377"/>
      <c r="I874" s="377"/>
      <c r="J874" s="377"/>
      <c r="K874" s="377"/>
      <c r="L874" s="377"/>
      <c r="M874" s="377"/>
      <c r="N874" s="377"/>
      <c r="O874" s="377"/>
      <c r="P874" s="377"/>
      <c r="Q874" s="377"/>
      <c r="R874" s="377"/>
      <c r="S874" s="377"/>
      <c r="T874" s="377"/>
      <c r="U874" s="377"/>
      <c r="V874" s="377"/>
      <c r="W874" s="377"/>
      <c r="X874" s="377"/>
      <c r="Y874" s="377"/>
      <c r="Z874" s="377"/>
      <c r="AA874" s="377"/>
      <c r="AB874" s="377"/>
      <c r="AC874" s="377"/>
      <c r="AD874" s="377"/>
      <c r="AE874" s="377"/>
      <c r="AF874" s="377"/>
      <c r="AG874" s="377"/>
    </row>
    <row r="875" ht="14.25" customHeight="1">
      <c r="A875" s="377"/>
      <c r="B875" s="377"/>
      <c r="C875" s="377"/>
      <c r="D875" s="377"/>
      <c r="E875" s="377"/>
      <c r="F875" s="377"/>
      <c r="G875" s="377"/>
      <c r="H875" s="377"/>
      <c r="I875" s="377"/>
      <c r="J875" s="377"/>
      <c r="K875" s="377"/>
      <c r="L875" s="377"/>
      <c r="M875" s="377"/>
      <c r="N875" s="377"/>
      <c r="O875" s="377"/>
      <c r="P875" s="377"/>
      <c r="Q875" s="377"/>
      <c r="R875" s="377"/>
      <c r="S875" s="377"/>
      <c r="T875" s="377"/>
      <c r="U875" s="377"/>
      <c r="V875" s="377"/>
      <c r="W875" s="377"/>
      <c r="X875" s="377"/>
      <c r="Y875" s="377"/>
      <c r="Z875" s="377"/>
      <c r="AA875" s="377"/>
      <c r="AB875" s="377"/>
      <c r="AC875" s="377"/>
      <c r="AD875" s="377"/>
      <c r="AE875" s="377"/>
      <c r="AF875" s="377"/>
      <c r="AG875" s="377"/>
    </row>
    <row r="876" ht="14.25" customHeight="1">
      <c r="A876" s="377"/>
      <c r="B876" s="377"/>
      <c r="C876" s="377"/>
      <c r="D876" s="377"/>
      <c r="E876" s="377"/>
      <c r="F876" s="377"/>
      <c r="G876" s="377"/>
      <c r="H876" s="377"/>
      <c r="I876" s="377"/>
      <c r="J876" s="377"/>
      <c r="K876" s="377"/>
      <c r="L876" s="377"/>
      <c r="M876" s="377"/>
      <c r="N876" s="377"/>
      <c r="O876" s="377"/>
      <c r="P876" s="377"/>
      <c r="Q876" s="377"/>
      <c r="R876" s="377"/>
      <c r="S876" s="377"/>
      <c r="T876" s="377"/>
      <c r="U876" s="377"/>
      <c r="V876" s="377"/>
      <c r="W876" s="377"/>
      <c r="X876" s="377"/>
      <c r="Y876" s="377"/>
      <c r="Z876" s="377"/>
      <c r="AA876" s="377"/>
      <c r="AB876" s="377"/>
      <c r="AC876" s="377"/>
      <c r="AD876" s="377"/>
      <c r="AE876" s="377"/>
      <c r="AF876" s="377"/>
      <c r="AG876" s="377"/>
    </row>
    <row r="877" ht="14.25" customHeight="1">
      <c r="A877" s="377"/>
      <c r="B877" s="377"/>
      <c r="C877" s="377"/>
      <c r="D877" s="377"/>
      <c r="E877" s="377"/>
      <c r="F877" s="377"/>
      <c r="G877" s="377"/>
      <c r="H877" s="377"/>
      <c r="I877" s="377"/>
      <c r="J877" s="377"/>
      <c r="K877" s="377"/>
      <c r="L877" s="377"/>
      <c r="M877" s="377"/>
      <c r="N877" s="377"/>
      <c r="O877" s="377"/>
      <c r="P877" s="377"/>
      <c r="Q877" s="377"/>
      <c r="R877" s="377"/>
      <c r="S877" s="377"/>
      <c r="T877" s="377"/>
      <c r="U877" s="377"/>
      <c r="V877" s="377"/>
      <c r="W877" s="377"/>
      <c r="X877" s="377"/>
      <c r="Y877" s="377"/>
      <c r="Z877" s="377"/>
      <c r="AA877" s="377"/>
      <c r="AB877" s="377"/>
      <c r="AC877" s="377"/>
      <c r="AD877" s="377"/>
      <c r="AE877" s="377"/>
      <c r="AF877" s="377"/>
      <c r="AG877" s="377"/>
    </row>
    <row r="878" ht="14.25" customHeight="1">
      <c r="A878" s="377"/>
      <c r="B878" s="377"/>
      <c r="C878" s="377"/>
      <c r="D878" s="377"/>
      <c r="E878" s="377"/>
      <c r="F878" s="377"/>
      <c r="G878" s="377"/>
      <c r="H878" s="377"/>
      <c r="I878" s="377"/>
      <c r="J878" s="377"/>
      <c r="K878" s="377"/>
      <c r="L878" s="377"/>
      <c r="M878" s="377"/>
      <c r="N878" s="377"/>
      <c r="O878" s="377"/>
      <c r="P878" s="377"/>
      <c r="Q878" s="377"/>
      <c r="R878" s="377"/>
      <c r="S878" s="377"/>
      <c r="T878" s="377"/>
      <c r="U878" s="377"/>
      <c r="V878" s="377"/>
      <c r="W878" s="377"/>
      <c r="X878" s="377"/>
      <c r="Y878" s="377"/>
      <c r="Z878" s="377"/>
      <c r="AA878" s="377"/>
      <c r="AB878" s="377"/>
      <c r="AC878" s="377"/>
      <c r="AD878" s="377"/>
      <c r="AE878" s="377"/>
      <c r="AF878" s="377"/>
      <c r="AG878" s="377"/>
    </row>
    <row r="879" ht="14.25" customHeight="1">
      <c r="A879" s="377"/>
      <c r="B879" s="377"/>
      <c r="C879" s="377"/>
      <c r="D879" s="377"/>
      <c r="E879" s="377"/>
      <c r="F879" s="377"/>
      <c r="G879" s="377"/>
      <c r="H879" s="377"/>
      <c r="I879" s="377"/>
      <c r="J879" s="377"/>
      <c r="K879" s="377"/>
      <c r="L879" s="377"/>
      <c r="M879" s="377"/>
      <c r="N879" s="377"/>
      <c r="O879" s="377"/>
      <c r="P879" s="377"/>
      <c r="Q879" s="377"/>
      <c r="R879" s="377"/>
      <c r="S879" s="377"/>
      <c r="T879" s="377"/>
      <c r="U879" s="377"/>
      <c r="V879" s="377"/>
      <c r="W879" s="377"/>
      <c r="X879" s="377"/>
      <c r="Y879" s="377"/>
      <c r="Z879" s="377"/>
      <c r="AA879" s="377"/>
      <c r="AB879" s="377"/>
      <c r="AC879" s="377"/>
      <c r="AD879" s="377"/>
      <c r="AE879" s="377"/>
      <c r="AF879" s="377"/>
      <c r="AG879" s="377"/>
    </row>
    <row r="880" ht="14.25" customHeight="1">
      <c r="A880" s="377"/>
      <c r="B880" s="377"/>
      <c r="C880" s="377"/>
      <c r="D880" s="377"/>
      <c r="E880" s="377"/>
      <c r="F880" s="377"/>
      <c r="G880" s="377"/>
      <c r="H880" s="377"/>
      <c r="I880" s="377"/>
      <c r="J880" s="377"/>
      <c r="K880" s="377"/>
      <c r="L880" s="377"/>
      <c r="M880" s="377"/>
      <c r="N880" s="377"/>
      <c r="O880" s="377"/>
      <c r="P880" s="377"/>
      <c r="Q880" s="377"/>
      <c r="R880" s="377"/>
      <c r="S880" s="377"/>
      <c r="T880" s="377"/>
      <c r="U880" s="377"/>
      <c r="V880" s="377"/>
      <c r="W880" s="377"/>
      <c r="X880" s="377"/>
      <c r="Y880" s="377"/>
      <c r="Z880" s="377"/>
      <c r="AA880" s="377"/>
      <c r="AB880" s="377"/>
      <c r="AC880" s="377"/>
      <c r="AD880" s="377"/>
      <c r="AE880" s="377"/>
      <c r="AF880" s="377"/>
      <c r="AG880" s="377"/>
    </row>
    <row r="881" ht="14.25" customHeight="1">
      <c r="A881" s="377"/>
      <c r="B881" s="377"/>
      <c r="C881" s="377"/>
      <c r="D881" s="377"/>
      <c r="E881" s="377"/>
      <c r="F881" s="377"/>
      <c r="G881" s="377"/>
      <c r="H881" s="377"/>
      <c r="I881" s="377"/>
      <c r="J881" s="377"/>
      <c r="K881" s="377"/>
      <c r="L881" s="377"/>
      <c r="M881" s="377"/>
      <c r="N881" s="377"/>
      <c r="O881" s="377"/>
      <c r="P881" s="377"/>
      <c r="Q881" s="377"/>
      <c r="R881" s="377"/>
      <c r="S881" s="377"/>
      <c r="T881" s="377"/>
      <c r="U881" s="377"/>
      <c r="V881" s="377"/>
      <c r="W881" s="377"/>
      <c r="X881" s="377"/>
      <c r="Y881" s="377"/>
      <c r="Z881" s="377"/>
      <c r="AA881" s="377"/>
      <c r="AB881" s="377"/>
      <c r="AC881" s="377"/>
      <c r="AD881" s="377"/>
      <c r="AE881" s="377"/>
      <c r="AF881" s="377"/>
      <c r="AG881" s="377"/>
    </row>
    <row r="882" ht="14.25" customHeight="1">
      <c r="A882" s="377"/>
      <c r="B882" s="377"/>
      <c r="C882" s="377"/>
      <c r="D882" s="377"/>
      <c r="E882" s="377"/>
      <c r="F882" s="377"/>
      <c r="G882" s="377"/>
      <c r="H882" s="377"/>
      <c r="I882" s="377"/>
      <c r="J882" s="377"/>
      <c r="K882" s="377"/>
      <c r="L882" s="377"/>
      <c r="M882" s="377"/>
      <c r="N882" s="377"/>
      <c r="O882" s="377"/>
      <c r="P882" s="377"/>
      <c r="Q882" s="377"/>
      <c r="R882" s="377"/>
      <c r="S882" s="377"/>
      <c r="T882" s="377"/>
      <c r="U882" s="377"/>
      <c r="V882" s="377"/>
      <c r="W882" s="377"/>
      <c r="X882" s="377"/>
      <c r="Y882" s="377"/>
      <c r="Z882" s="377"/>
      <c r="AA882" s="377"/>
      <c r="AB882" s="377"/>
      <c r="AC882" s="377"/>
      <c r="AD882" s="377"/>
      <c r="AE882" s="377"/>
      <c r="AF882" s="377"/>
      <c r="AG882" s="377"/>
    </row>
    <row r="883" ht="14.25" customHeight="1">
      <c r="A883" s="377"/>
      <c r="B883" s="377"/>
      <c r="C883" s="377"/>
      <c r="D883" s="377"/>
      <c r="E883" s="377"/>
      <c r="F883" s="377"/>
      <c r="G883" s="377"/>
      <c r="H883" s="377"/>
      <c r="I883" s="377"/>
      <c r="J883" s="377"/>
      <c r="K883" s="377"/>
      <c r="L883" s="377"/>
      <c r="M883" s="377"/>
      <c r="N883" s="377"/>
      <c r="O883" s="377"/>
      <c r="P883" s="377"/>
      <c r="Q883" s="377"/>
      <c r="R883" s="377"/>
      <c r="S883" s="377"/>
      <c r="T883" s="377"/>
      <c r="U883" s="377"/>
      <c r="V883" s="377"/>
      <c r="W883" s="377"/>
      <c r="X883" s="377"/>
      <c r="Y883" s="377"/>
      <c r="Z883" s="377"/>
      <c r="AA883" s="377"/>
      <c r="AB883" s="377"/>
      <c r="AC883" s="377"/>
      <c r="AD883" s="377"/>
      <c r="AE883" s="377"/>
      <c r="AF883" s="377"/>
      <c r="AG883" s="377"/>
    </row>
    <row r="884" ht="14.25" customHeight="1">
      <c r="A884" s="377"/>
      <c r="B884" s="377"/>
      <c r="C884" s="377"/>
      <c r="D884" s="377"/>
      <c r="E884" s="377"/>
      <c r="F884" s="377"/>
      <c r="G884" s="377"/>
      <c r="H884" s="377"/>
      <c r="I884" s="377"/>
      <c r="J884" s="377"/>
      <c r="K884" s="377"/>
      <c r="L884" s="377"/>
      <c r="M884" s="377"/>
      <c r="N884" s="377"/>
      <c r="O884" s="377"/>
      <c r="P884" s="377"/>
      <c r="Q884" s="377"/>
      <c r="R884" s="377"/>
      <c r="S884" s="377"/>
      <c r="T884" s="377"/>
      <c r="U884" s="377"/>
      <c r="V884" s="377"/>
      <c r="W884" s="377"/>
      <c r="X884" s="377"/>
      <c r="Y884" s="377"/>
      <c r="Z884" s="377"/>
      <c r="AA884" s="377"/>
      <c r="AB884" s="377"/>
      <c r="AC884" s="377"/>
      <c r="AD884" s="377"/>
      <c r="AE884" s="377"/>
      <c r="AF884" s="377"/>
      <c r="AG884" s="377"/>
    </row>
    <row r="885" ht="14.25" customHeight="1">
      <c r="A885" s="377"/>
      <c r="B885" s="377"/>
      <c r="C885" s="377"/>
      <c r="D885" s="377"/>
      <c r="E885" s="377"/>
      <c r="F885" s="377"/>
      <c r="G885" s="377"/>
      <c r="H885" s="377"/>
      <c r="I885" s="377"/>
      <c r="J885" s="377"/>
      <c r="K885" s="377"/>
      <c r="L885" s="377"/>
      <c r="M885" s="377"/>
      <c r="N885" s="377"/>
      <c r="O885" s="377"/>
      <c r="P885" s="377"/>
      <c r="Q885" s="377"/>
      <c r="R885" s="377"/>
      <c r="S885" s="377"/>
      <c r="T885" s="377"/>
      <c r="U885" s="377"/>
      <c r="V885" s="377"/>
      <c r="W885" s="377"/>
      <c r="X885" s="377"/>
      <c r="Y885" s="377"/>
      <c r="Z885" s="377"/>
      <c r="AA885" s="377"/>
      <c r="AB885" s="377"/>
      <c r="AC885" s="377"/>
      <c r="AD885" s="377"/>
      <c r="AE885" s="377"/>
      <c r="AF885" s="377"/>
      <c r="AG885" s="377"/>
    </row>
    <row r="886" ht="14.25" customHeight="1">
      <c r="A886" s="377"/>
      <c r="B886" s="377"/>
      <c r="C886" s="377"/>
      <c r="D886" s="377"/>
      <c r="E886" s="377"/>
      <c r="F886" s="377"/>
      <c r="G886" s="377"/>
      <c r="H886" s="377"/>
      <c r="I886" s="377"/>
      <c r="J886" s="377"/>
      <c r="K886" s="377"/>
      <c r="L886" s="377"/>
      <c r="M886" s="377"/>
      <c r="N886" s="377"/>
      <c r="O886" s="377"/>
      <c r="P886" s="377"/>
      <c r="Q886" s="377"/>
      <c r="R886" s="377"/>
      <c r="S886" s="377"/>
      <c r="T886" s="377"/>
      <c r="U886" s="377"/>
      <c r="V886" s="377"/>
      <c r="W886" s="377"/>
      <c r="X886" s="377"/>
      <c r="Y886" s="377"/>
      <c r="Z886" s="377"/>
      <c r="AA886" s="377"/>
      <c r="AB886" s="377"/>
      <c r="AC886" s="377"/>
      <c r="AD886" s="377"/>
      <c r="AE886" s="377"/>
      <c r="AF886" s="377"/>
      <c r="AG886" s="377"/>
    </row>
    <row r="887" ht="14.25" customHeight="1">
      <c r="A887" s="377"/>
      <c r="B887" s="377"/>
      <c r="C887" s="377"/>
      <c r="D887" s="377"/>
      <c r="E887" s="377"/>
      <c r="F887" s="377"/>
      <c r="G887" s="377"/>
      <c r="H887" s="377"/>
      <c r="I887" s="377"/>
      <c r="J887" s="377"/>
      <c r="K887" s="377"/>
      <c r="L887" s="377"/>
      <c r="M887" s="377"/>
      <c r="N887" s="377"/>
      <c r="O887" s="377"/>
      <c r="P887" s="377"/>
      <c r="Q887" s="377"/>
      <c r="R887" s="377"/>
      <c r="S887" s="377"/>
      <c r="T887" s="377"/>
      <c r="U887" s="377"/>
      <c r="V887" s="377"/>
      <c r="W887" s="377"/>
      <c r="X887" s="377"/>
      <c r="Y887" s="377"/>
      <c r="Z887" s="377"/>
      <c r="AA887" s="377"/>
      <c r="AB887" s="377"/>
      <c r="AC887" s="377"/>
      <c r="AD887" s="377"/>
      <c r="AE887" s="377"/>
      <c r="AF887" s="377"/>
      <c r="AG887" s="377"/>
    </row>
    <row r="888" ht="14.25" customHeight="1">
      <c r="A888" s="377"/>
      <c r="B888" s="377"/>
      <c r="C888" s="377"/>
      <c r="D888" s="377"/>
      <c r="E888" s="377"/>
      <c r="F888" s="377"/>
      <c r="G888" s="377"/>
      <c r="H888" s="377"/>
      <c r="I888" s="377"/>
      <c r="J888" s="377"/>
      <c r="K888" s="377"/>
      <c r="L888" s="377"/>
      <c r="M888" s="377"/>
      <c r="N888" s="377"/>
      <c r="O888" s="377"/>
      <c r="P888" s="377"/>
      <c r="Q888" s="377"/>
      <c r="R888" s="377"/>
      <c r="S888" s="377"/>
      <c r="T888" s="377"/>
      <c r="U888" s="377"/>
      <c r="V888" s="377"/>
      <c r="W888" s="377"/>
      <c r="X888" s="377"/>
      <c r="Y888" s="377"/>
      <c r="Z888" s="377"/>
      <c r="AA888" s="377"/>
      <c r="AB888" s="377"/>
      <c r="AC888" s="377"/>
      <c r="AD888" s="377"/>
      <c r="AE888" s="377"/>
      <c r="AF888" s="377"/>
      <c r="AG888" s="377"/>
    </row>
    <row r="889" ht="14.25" customHeight="1">
      <c r="A889" s="377"/>
      <c r="B889" s="377"/>
      <c r="C889" s="377"/>
      <c r="D889" s="377"/>
      <c r="E889" s="377"/>
      <c r="F889" s="377"/>
      <c r="G889" s="377"/>
      <c r="H889" s="377"/>
      <c r="I889" s="377"/>
      <c r="J889" s="377"/>
      <c r="K889" s="377"/>
      <c r="L889" s="377"/>
      <c r="M889" s="377"/>
      <c r="N889" s="377"/>
      <c r="O889" s="377"/>
      <c r="P889" s="377"/>
      <c r="Q889" s="377"/>
      <c r="R889" s="377"/>
      <c r="S889" s="377"/>
      <c r="T889" s="377"/>
      <c r="U889" s="377"/>
      <c r="V889" s="377"/>
      <c r="W889" s="377"/>
      <c r="X889" s="377"/>
      <c r="Y889" s="377"/>
      <c r="Z889" s="377"/>
      <c r="AA889" s="377"/>
      <c r="AB889" s="377"/>
      <c r="AC889" s="377"/>
      <c r="AD889" s="377"/>
      <c r="AE889" s="377"/>
      <c r="AF889" s="377"/>
      <c r="AG889" s="377"/>
    </row>
    <row r="890" ht="14.25" customHeight="1">
      <c r="A890" s="377"/>
      <c r="B890" s="377"/>
      <c r="C890" s="377"/>
      <c r="D890" s="377"/>
      <c r="E890" s="377"/>
      <c r="F890" s="377"/>
      <c r="G890" s="377"/>
      <c r="H890" s="377"/>
      <c r="I890" s="377"/>
      <c r="J890" s="377"/>
      <c r="K890" s="377"/>
      <c r="L890" s="377"/>
      <c r="M890" s="377"/>
      <c r="N890" s="377"/>
      <c r="O890" s="377"/>
      <c r="P890" s="377"/>
      <c r="Q890" s="377"/>
      <c r="R890" s="377"/>
      <c r="S890" s="377"/>
      <c r="T890" s="377"/>
      <c r="U890" s="377"/>
      <c r="V890" s="377"/>
      <c r="W890" s="377"/>
      <c r="X890" s="377"/>
      <c r="Y890" s="377"/>
      <c r="Z890" s="377"/>
      <c r="AA890" s="377"/>
      <c r="AB890" s="377"/>
      <c r="AC890" s="377"/>
      <c r="AD890" s="377"/>
      <c r="AE890" s="377"/>
      <c r="AF890" s="377"/>
      <c r="AG890" s="377"/>
    </row>
    <row r="891" ht="14.25" customHeight="1">
      <c r="A891" s="377"/>
      <c r="B891" s="377"/>
      <c r="C891" s="377"/>
      <c r="D891" s="377"/>
      <c r="E891" s="377"/>
      <c r="F891" s="377"/>
      <c r="G891" s="377"/>
      <c r="H891" s="377"/>
      <c r="I891" s="377"/>
      <c r="J891" s="377"/>
      <c r="K891" s="377"/>
      <c r="L891" s="377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  <c r="Z891" s="377"/>
      <c r="AA891" s="377"/>
      <c r="AB891" s="377"/>
      <c r="AC891" s="377"/>
      <c r="AD891" s="377"/>
      <c r="AE891" s="377"/>
      <c r="AF891" s="377"/>
      <c r="AG891" s="377"/>
    </row>
    <row r="892" ht="14.25" customHeight="1">
      <c r="A892" s="377"/>
      <c r="B892" s="377"/>
      <c r="C892" s="377"/>
      <c r="D892" s="377"/>
      <c r="E892" s="377"/>
      <c r="F892" s="377"/>
      <c r="G892" s="377"/>
      <c r="H892" s="377"/>
      <c r="I892" s="377"/>
      <c r="J892" s="377"/>
      <c r="K892" s="377"/>
      <c r="L892" s="377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  <c r="Z892" s="377"/>
      <c r="AA892" s="377"/>
      <c r="AB892" s="377"/>
      <c r="AC892" s="377"/>
      <c r="AD892" s="377"/>
      <c r="AE892" s="377"/>
      <c r="AF892" s="377"/>
      <c r="AG892" s="377"/>
    </row>
    <row r="893" ht="14.25" customHeight="1">
      <c r="A893" s="377"/>
      <c r="B893" s="377"/>
      <c r="C893" s="377"/>
      <c r="D893" s="377"/>
      <c r="E893" s="377"/>
      <c r="F893" s="377"/>
      <c r="G893" s="377"/>
      <c r="H893" s="377"/>
      <c r="I893" s="377"/>
      <c r="J893" s="377"/>
      <c r="K893" s="377"/>
      <c r="L893" s="377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  <c r="Z893" s="377"/>
      <c r="AA893" s="377"/>
      <c r="AB893" s="377"/>
      <c r="AC893" s="377"/>
      <c r="AD893" s="377"/>
      <c r="AE893" s="377"/>
      <c r="AF893" s="377"/>
      <c r="AG893" s="377"/>
    </row>
    <row r="894" ht="14.25" customHeight="1">
      <c r="A894" s="377"/>
      <c r="B894" s="377"/>
      <c r="C894" s="377"/>
      <c r="D894" s="377"/>
      <c r="E894" s="377"/>
      <c r="F894" s="377"/>
      <c r="G894" s="377"/>
      <c r="H894" s="377"/>
      <c r="I894" s="377"/>
      <c r="J894" s="377"/>
      <c r="K894" s="377"/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  <c r="Z894" s="377"/>
      <c r="AA894" s="377"/>
      <c r="AB894" s="377"/>
      <c r="AC894" s="377"/>
      <c r="AD894" s="377"/>
      <c r="AE894" s="377"/>
      <c r="AF894" s="377"/>
      <c r="AG894" s="377"/>
    </row>
    <row r="895" ht="14.25" customHeight="1">
      <c r="A895" s="377"/>
      <c r="B895" s="377"/>
      <c r="C895" s="377"/>
      <c r="D895" s="377"/>
      <c r="E895" s="377"/>
      <c r="F895" s="377"/>
      <c r="G895" s="377"/>
      <c r="H895" s="377"/>
      <c r="I895" s="377"/>
      <c r="J895" s="377"/>
      <c r="K895" s="377"/>
      <c r="L895" s="377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  <c r="Z895" s="377"/>
      <c r="AA895" s="377"/>
      <c r="AB895" s="377"/>
      <c r="AC895" s="377"/>
      <c r="AD895" s="377"/>
      <c r="AE895" s="377"/>
      <c r="AF895" s="377"/>
      <c r="AG895" s="377"/>
    </row>
    <row r="896" ht="14.25" customHeight="1">
      <c r="A896" s="377"/>
      <c r="B896" s="377"/>
      <c r="C896" s="377"/>
      <c r="D896" s="377"/>
      <c r="E896" s="377"/>
      <c r="F896" s="377"/>
      <c r="G896" s="377"/>
      <c r="H896" s="377"/>
      <c r="I896" s="377"/>
      <c r="J896" s="377"/>
      <c r="K896" s="377"/>
      <c r="L896" s="377"/>
      <c r="M896" s="377"/>
      <c r="N896" s="377"/>
      <c r="O896" s="377"/>
      <c r="P896" s="377"/>
      <c r="Q896" s="377"/>
      <c r="R896" s="377"/>
      <c r="S896" s="377"/>
      <c r="T896" s="377"/>
      <c r="U896" s="377"/>
      <c r="V896" s="377"/>
      <c r="W896" s="377"/>
      <c r="X896" s="377"/>
      <c r="Y896" s="377"/>
      <c r="Z896" s="377"/>
      <c r="AA896" s="377"/>
      <c r="AB896" s="377"/>
      <c r="AC896" s="377"/>
      <c r="AD896" s="377"/>
      <c r="AE896" s="377"/>
      <c r="AF896" s="377"/>
      <c r="AG896" s="377"/>
    </row>
    <row r="897" ht="14.25" customHeight="1">
      <c r="A897" s="377"/>
      <c r="B897" s="377"/>
      <c r="C897" s="377"/>
      <c r="D897" s="377"/>
      <c r="E897" s="377"/>
      <c r="F897" s="377"/>
      <c r="G897" s="377"/>
      <c r="H897" s="377"/>
      <c r="I897" s="377"/>
      <c r="J897" s="377"/>
      <c r="K897" s="377"/>
      <c r="L897" s="377"/>
      <c r="M897" s="377"/>
      <c r="N897" s="377"/>
      <c r="O897" s="377"/>
      <c r="P897" s="377"/>
      <c r="Q897" s="377"/>
      <c r="R897" s="377"/>
      <c r="S897" s="377"/>
      <c r="T897" s="377"/>
      <c r="U897" s="377"/>
      <c r="V897" s="377"/>
      <c r="W897" s="377"/>
      <c r="X897" s="377"/>
      <c r="Y897" s="377"/>
      <c r="Z897" s="377"/>
      <c r="AA897" s="377"/>
      <c r="AB897" s="377"/>
      <c r="AC897" s="377"/>
      <c r="AD897" s="377"/>
      <c r="AE897" s="377"/>
      <c r="AF897" s="377"/>
      <c r="AG897" s="377"/>
    </row>
    <row r="898" ht="14.25" customHeight="1">
      <c r="A898" s="377"/>
      <c r="B898" s="377"/>
      <c r="C898" s="377"/>
      <c r="D898" s="377"/>
      <c r="E898" s="377"/>
      <c r="F898" s="377"/>
      <c r="G898" s="377"/>
      <c r="H898" s="377"/>
      <c r="I898" s="377"/>
      <c r="J898" s="377"/>
      <c r="K898" s="377"/>
      <c r="L898" s="377"/>
      <c r="M898" s="377"/>
      <c r="N898" s="377"/>
      <c r="O898" s="377"/>
      <c r="P898" s="377"/>
      <c r="Q898" s="377"/>
      <c r="R898" s="377"/>
      <c r="S898" s="377"/>
      <c r="T898" s="377"/>
      <c r="U898" s="377"/>
      <c r="V898" s="377"/>
      <c r="W898" s="377"/>
      <c r="X898" s="377"/>
      <c r="Y898" s="377"/>
      <c r="Z898" s="377"/>
      <c r="AA898" s="377"/>
      <c r="AB898" s="377"/>
      <c r="AC898" s="377"/>
      <c r="AD898" s="377"/>
      <c r="AE898" s="377"/>
      <c r="AF898" s="377"/>
      <c r="AG898" s="377"/>
    </row>
    <row r="899" ht="14.25" customHeight="1">
      <c r="A899" s="377"/>
      <c r="B899" s="377"/>
      <c r="C899" s="377"/>
      <c r="D899" s="377"/>
      <c r="E899" s="377"/>
      <c r="F899" s="377"/>
      <c r="G899" s="377"/>
      <c r="H899" s="377"/>
      <c r="I899" s="377"/>
      <c r="J899" s="377"/>
      <c r="K899" s="377"/>
      <c r="L899" s="377"/>
      <c r="M899" s="377"/>
      <c r="N899" s="377"/>
      <c r="O899" s="377"/>
      <c r="P899" s="377"/>
      <c r="Q899" s="377"/>
      <c r="R899" s="377"/>
      <c r="S899" s="377"/>
      <c r="T899" s="377"/>
      <c r="U899" s="377"/>
      <c r="V899" s="377"/>
      <c r="W899" s="377"/>
      <c r="X899" s="377"/>
      <c r="Y899" s="377"/>
      <c r="Z899" s="377"/>
      <c r="AA899" s="377"/>
      <c r="AB899" s="377"/>
      <c r="AC899" s="377"/>
      <c r="AD899" s="377"/>
      <c r="AE899" s="377"/>
      <c r="AF899" s="377"/>
      <c r="AG899" s="377"/>
    </row>
    <row r="900" ht="14.25" customHeight="1">
      <c r="A900" s="377"/>
      <c r="B900" s="377"/>
      <c r="C900" s="377"/>
      <c r="D900" s="377"/>
      <c r="E900" s="377"/>
      <c r="F900" s="377"/>
      <c r="G900" s="377"/>
      <c r="H900" s="377"/>
      <c r="I900" s="377"/>
      <c r="J900" s="377"/>
      <c r="K900" s="377"/>
      <c r="L900" s="377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7"/>
      <c r="Y900" s="377"/>
      <c r="Z900" s="377"/>
      <c r="AA900" s="377"/>
      <c r="AB900" s="377"/>
      <c r="AC900" s="377"/>
      <c r="AD900" s="377"/>
      <c r="AE900" s="377"/>
      <c r="AF900" s="377"/>
      <c r="AG900" s="377"/>
    </row>
    <row r="901" ht="14.25" customHeight="1">
      <c r="A901" s="377"/>
      <c r="B901" s="377"/>
      <c r="C901" s="377"/>
      <c r="D901" s="377"/>
      <c r="E901" s="377"/>
      <c r="F901" s="377"/>
      <c r="G901" s="377"/>
      <c r="H901" s="377"/>
      <c r="I901" s="377"/>
      <c r="J901" s="377"/>
      <c r="K901" s="377"/>
      <c r="L901" s="377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7"/>
      <c r="Y901" s="377"/>
      <c r="Z901" s="377"/>
      <c r="AA901" s="377"/>
      <c r="AB901" s="377"/>
      <c r="AC901" s="377"/>
      <c r="AD901" s="377"/>
      <c r="AE901" s="377"/>
      <c r="AF901" s="377"/>
      <c r="AG901" s="377"/>
    </row>
    <row r="902" ht="14.25" customHeight="1">
      <c r="A902" s="377"/>
      <c r="B902" s="377"/>
      <c r="C902" s="377"/>
      <c r="D902" s="377"/>
      <c r="E902" s="377"/>
      <c r="F902" s="377"/>
      <c r="G902" s="377"/>
      <c r="H902" s="377"/>
      <c r="I902" s="377"/>
      <c r="J902" s="377"/>
      <c r="K902" s="377"/>
      <c r="L902" s="377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7"/>
      <c r="Y902" s="377"/>
      <c r="Z902" s="377"/>
      <c r="AA902" s="377"/>
      <c r="AB902" s="377"/>
      <c r="AC902" s="377"/>
      <c r="AD902" s="377"/>
      <c r="AE902" s="377"/>
      <c r="AF902" s="377"/>
      <c r="AG902" s="377"/>
    </row>
    <row r="903" ht="14.25" customHeight="1">
      <c r="A903" s="377"/>
      <c r="B903" s="377"/>
      <c r="C903" s="377"/>
      <c r="D903" s="377"/>
      <c r="E903" s="377"/>
      <c r="F903" s="377"/>
      <c r="G903" s="377"/>
      <c r="H903" s="377"/>
      <c r="I903" s="377"/>
      <c r="J903" s="377"/>
      <c r="K903" s="377"/>
      <c r="L903" s="377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7"/>
      <c r="Y903" s="377"/>
      <c r="Z903" s="377"/>
      <c r="AA903" s="377"/>
      <c r="AB903" s="377"/>
      <c r="AC903" s="377"/>
      <c r="AD903" s="377"/>
      <c r="AE903" s="377"/>
      <c r="AF903" s="377"/>
      <c r="AG903" s="377"/>
    </row>
    <row r="904" ht="14.25" customHeight="1">
      <c r="A904" s="377"/>
      <c r="B904" s="377"/>
      <c r="C904" s="377"/>
      <c r="D904" s="377"/>
      <c r="E904" s="377"/>
      <c r="F904" s="377"/>
      <c r="G904" s="377"/>
      <c r="H904" s="377"/>
      <c r="I904" s="377"/>
      <c r="J904" s="377"/>
      <c r="K904" s="377"/>
      <c r="L904" s="377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7"/>
      <c r="Y904" s="377"/>
      <c r="Z904" s="377"/>
      <c r="AA904" s="377"/>
      <c r="AB904" s="377"/>
      <c r="AC904" s="377"/>
      <c r="AD904" s="377"/>
      <c r="AE904" s="377"/>
      <c r="AF904" s="377"/>
      <c r="AG904" s="377"/>
    </row>
    <row r="905" ht="14.25" customHeight="1">
      <c r="A905" s="377"/>
      <c r="B905" s="377"/>
      <c r="C905" s="377"/>
      <c r="D905" s="377"/>
      <c r="E905" s="377"/>
      <c r="F905" s="377"/>
      <c r="G905" s="377"/>
      <c r="H905" s="377"/>
      <c r="I905" s="377"/>
      <c r="J905" s="377"/>
      <c r="K905" s="377"/>
      <c r="L905" s="377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7"/>
      <c r="Y905" s="377"/>
      <c r="Z905" s="377"/>
      <c r="AA905" s="377"/>
      <c r="AB905" s="377"/>
      <c r="AC905" s="377"/>
      <c r="AD905" s="377"/>
      <c r="AE905" s="377"/>
      <c r="AF905" s="377"/>
      <c r="AG905" s="377"/>
    </row>
    <row r="906" ht="14.25" customHeight="1">
      <c r="A906" s="377"/>
      <c r="B906" s="377"/>
      <c r="C906" s="377"/>
      <c r="D906" s="377"/>
      <c r="E906" s="377"/>
      <c r="F906" s="377"/>
      <c r="G906" s="377"/>
      <c r="H906" s="377"/>
      <c r="I906" s="377"/>
      <c r="J906" s="377"/>
      <c r="K906" s="377"/>
      <c r="L906" s="377"/>
      <c r="M906" s="377"/>
      <c r="N906" s="377"/>
      <c r="O906" s="377"/>
      <c r="P906" s="377"/>
      <c r="Q906" s="377"/>
      <c r="R906" s="377"/>
      <c r="S906" s="377"/>
      <c r="T906" s="377"/>
      <c r="U906" s="377"/>
      <c r="V906" s="377"/>
      <c r="W906" s="377"/>
      <c r="X906" s="377"/>
      <c r="Y906" s="377"/>
      <c r="Z906" s="377"/>
      <c r="AA906" s="377"/>
      <c r="AB906" s="377"/>
      <c r="AC906" s="377"/>
      <c r="AD906" s="377"/>
      <c r="AE906" s="377"/>
      <c r="AF906" s="377"/>
      <c r="AG906" s="377"/>
    </row>
    <row r="907" ht="14.25" customHeight="1">
      <c r="A907" s="377"/>
      <c r="B907" s="377"/>
      <c r="C907" s="377"/>
      <c r="D907" s="377"/>
      <c r="E907" s="377"/>
      <c r="F907" s="377"/>
      <c r="G907" s="377"/>
      <c r="H907" s="377"/>
      <c r="I907" s="377"/>
      <c r="J907" s="377"/>
      <c r="K907" s="377"/>
      <c r="L907" s="377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  <c r="Z907" s="377"/>
      <c r="AA907" s="377"/>
      <c r="AB907" s="377"/>
      <c r="AC907" s="377"/>
      <c r="AD907" s="377"/>
      <c r="AE907" s="377"/>
      <c r="AF907" s="377"/>
      <c r="AG907" s="377"/>
    </row>
    <row r="908" ht="14.25" customHeight="1">
      <c r="A908" s="377"/>
      <c r="B908" s="377"/>
      <c r="C908" s="377"/>
      <c r="D908" s="377"/>
      <c r="E908" s="377"/>
      <c r="F908" s="377"/>
      <c r="G908" s="377"/>
      <c r="H908" s="377"/>
      <c r="I908" s="377"/>
      <c r="J908" s="377"/>
      <c r="K908" s="377"/>
      <c r="L908" s="377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7"/>
      <c r="Y908" s="377"/>
      <c r="Z908" s="377"/>
      <c r="AA908" s="377"/>
      <c r="AB908" s="377"/>
      <c r="AC908" s="377"/>
      <c r="AD908" s="377"/>
      <c r="AE908" s="377"/>
      <c r="AF908" s="377"/>
      <c r="AG908" s="377"/>
    </row>
    <row r="909" ht="14.25" customHeight="1">
      <c r="A909" s="377"/>
      <c r="B909" s="377"/>
      <c r="C909" s="377"/>
      <c r="D909" s="377"/>
      <c r="E909" s="377"/>
      <c r="F909" s="377"/>
      <c r="G909" s="377"/>
      <c r="H909" s="377"/>
      <c r="I909" s="377"/>
      <c r="J909" s="377"/>
      <c r="K909" s="377"/>
      <c r="L909" s="377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7"/>
      <c r="Y909" s="377"/>
      <c r="Z909" s="377"/>
      <c r="AA909" s="377"/>
      <c r="AB909" s="377"/>
      <c r="AC909" s="377"/>
      <c r="AD909" s="377"/>
      <c r="AE909" s="377"/>
      <c r="AF909" s="377"/>
      <c r="AG909" s="377"/>
    </row>
    <row r="910" ht="14.25" customHeight="1">
      <c r="A910" s="377"/>
      <c r="B910" s="377"/>
      <c r="C910" s="377"/>
      <c r="D910" s="377"/>
      <c r="E910" s="377"/>
      <c r="F910" s="377"/>
      <c r="G910" s="377"/>
      <c r="H910" s="377"/>
      <c r="I910" s="377"/>
      <c r="J910" s="377"/>
      <c r="K910" s="377"/>
      <c r="L910" s="377"/>
      <c r="M910" s="377"/>
      <c r="N910" s="377"/>
      <c r="O910" s="377"/>
      <c r="P910" s="377"/>
      <c r="Q910" s="377"/>
      <c r="R910" s="377"/>
      <c r="S910" s="377"/>
      <c r="T910" s="377"/>
      <c r="U910" s="377"/>
      <c r="V910" s="377"/>
      <c r="W910" s="377"/>
      <c r="X910" s="377"/>
      <c r="Y910" s="377"/>
      <c r="Z910" s="377"/>
      <c r="AA910" s="377"/>
      <c r="AB910" s="377"/>
      <c r="AC910" s="377"/>
      <c r="AD910" s="377"/>
      <c r="AE910" s="377"/>
      <c r="AF910" s="377"/>
      <c r="AG910" s="377"/>
    </row>
    <row r="911" ht="14.25" customHeight="1">
      <c r="A911" s="377"/>
      <c r="B911" s="377"/>
      <c r="C911" s="377"/>
      <c r="D911" s="377"/>
      <c r="E911" s="377"/>
      <c r="F911" s="377"/>
      <c r="G911" s="377"/>
      <c r="H911" s="377"/>
      <c r="I911" s="377"/>
      <c r="J911" s="377"/>
      <c r="K911" s="377"/>
      <c r="L911" s="377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  <c r="Z911" s="377"/>
      <c r="AA911" s="377"/>
      <c r="AB911" s="377"/>
      <c r="AC911" s="377"/>
      <c r="AD911" s="377"/>
      <c r="AE911" s="377"/>
      <c r="AF911" s="377"/>
      <c r="AG911" s="377"/>
    </row>
    <row r="912" ht="14.25" customHeight="1">
      <c r="A912" s="377"/>
      <c r="B912" s="377"/>
      <c r="C912" s="377"/>
      <c r="D912" s="377"/>
      <c r="E912" s="377"/>
      <c r="F912" s="377"/>
      <c r="G912" s="377"/>
      <c r="H912" s="377"/>
      <c r="I912" s="377"/>
      <c r="J912" s="377"/>
      <c r="K912" s="377"/>
      <c r="L912" s="377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7"/>
      <c r="Y912" s="377"/>
      <c r="Z912" s="377"/>
      <c r="AA912" s="377"/>
      <c r="AB912" s="377"/>
      <c r="AC912" s="377"/>
      <c r="AD912" s="377"/>
      <c r="AE912" s="377"/>
      <c r="AF912" s="377"/>
      <c r="AG912" s="377"/>
    </row>
    <row r="913" ht="14.25" customHeight="1">
      <c r="A913" s="377"/>
      <c r="B913" s="377"/>
      <c r="C913" s="377"/>
      <c r="D913" s="377"/>
      <c r="E913" s="377"/>
      <c r="F913" s="377"/>
      <c r="G913" s="377"/>
      <c r="H913" s="377"/>
      <c r="I913" s="377"/>
      <c r="J913" s="377"/>
      <c r="K913" s="377"/>
      <c r="L913" s="377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7"/>
      <c r="Y913" s="377"/>
      <c r="Z913" s="377"/>
      <c r="AA913" s="377"/>
      <c r="AB913" s="377"/>
      <c r="AC913" s="377"/>
      <c r="AD913" s="377"/>
      <c r="AE913" s="377"/>
      <c r="AF913" s="377"/>
      <c r="AG913" s="377"/>
    </row>
    <row r="914" ht="14.25" customHeight="1">
      <c r="A914" s="377"/>
      <c r="B914" s="377"/>
      <c r="C914" s="377"/>
      <c r="D914" s="377"/>
      <c r="E914" s="377"/>
      <c r="F914" s="377"/>
      <c r="G914" s="377"/>
      <c r="H914" s="377"/>
      <c r="I914" s="377"/>
      <c r="J914" s="377"/>
      <c r="K914" s="377"/>
      <c r="L914" s="377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7"/>
      <c r="Y914" s="377"/>
      <c r="Z914" s="377"/>
      <c r="AA914" s="377"/>
      <c r="AB914" s="377"/>
      <c r="AC914" s="377"/>
      <c r="AD914" s="377"/>
      <c r="AE914" s="377"/>
      <c r="AF914" s="377"/>
      <c r="AG914" s="377"/>
    </row>
    <row r="915" ht="14.25" customHeight="1">
      <c r="A915" s="377"/>
      <c r="B915" s="377"/>
      <c r="C915" s="377"/>
      <c r="D915" s="377"/>
      <c r="E915" s="377"/>
      <c r="F915" s="377"/>
      <c r="G915" s="377"/>
      <c r="H915" s="377"/>
      <c r="I915" s="377"/>
      <c r="J915" s="377"/>
      <c r="K915" s="377"/>
      <c r="L915" s="377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  <c r="Z915" s="377"/>
      <c r="AA915" s="377"/>
      <c r="AB915" s="377"/>
      <c r="AC915" s="377"/>
      <c r="AD915" s="377"/>
      <c r="AE915" s="377"/>
      <c r="AF915" s="377"/>
      <c r="AG915" s="377"/>
    </row>
    <row r="916" ht="14.25" customHeight="1">
      <c r="A916" s="377"/>
      <c r="B916" s="377"/>
      <c r="C916" s="377"/>
      <c r="D916" s="377"/>
      <c r="E916" s="377"/>
      <c r="F916" s="377"/>
      <c r="G916" s="377"/>
      <c r="H916" s="377"/>
      <c r="I916" s="377"/>
      <c r="J916" s="377"/>
      <c r="K916" s="377"/>
      <c r="L916" s="377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7"/>
      <c r="Y916" s="377"/>
      <c r="Z916" s="377"/>
      <c r="AA916" s="377"/>
      <c r="AB916" s="377"/>
      <c r="AC916" s="377"/>
      <c r="AD916" s="377"/>
      <c r="AE916" s="377"/>
      <c r="AF916" s="377"/>
      <c r="AG916" s="377"/>
    </row>
    <row r="917" ht="14.25" customHeight="1">
      <c r="A917" s="377"/>
      <c r="B917" s="377"/>
      <c r="C917" s="377"/>
      <c r="D917" s="377"/>
      <c r="E917" s="377"/>
      <c r="F917" s="377"/>
      <c r="G917" s="377"/>
      <c r="H917" s="377"/>
      <c r="I917" s="377"/>
      <c r="J917" s="377"/>
      <c r="K917" s="377"/>
      <c r="L917" s="377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7"/>
      <c r="Y917" s="377"/>
      <c r="Z917" s="377"/>
      <c r="AA917" s="377"/>
      <c r="AB917" s="377"/>
      <c r="AC917" s="377"/>
      <c r="AD917" s="377"/>
      <c r="AE917" s="377"/>
      <c r="AF917" s="377"/>
      <c r="AG917" s="377"/>
    </row>
    <row r="918" ht="14.25" customHeight="1">
      <c r="A918" s="377"/>
      <c r="B918" s="377"/>
      <c r="C918" s="377"/>
      <c r="D918" s="377"/>
      <c r="E918" s="377"/>
      <c r="F918" s="377"/>
      <c r="G918" s="377"/>
      <c r="H918" s="377"/>
      <c r="I918" s="377"/>
      <c r="J918" s="377"/>
      <c r="K918" s="377"/>
      <c r="L918" s="377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7"/>
      <c r="Y918" s="377"/>
      <c r="Z918" s="377"/>
      <c r="AA918" s="377"/>
      <c r="AB918" s="377"/>
      <c r="AC918" s="377"/>
      <c r="AD918" s="377"/>
      <c r="AE918" s="377"/>
      <c r="AF918" s="377"/>
      <c r="AG918" s="377"/>
    </row>
    <row r="919" ht="14.25" customHeight="1">
      <c r="A919" s="377"/>
      <c r="B919" s="377"/>
      <c r="C919" s="377"/>
      <c r="D919" s="377"/>
      <c r="E919" s="377"/>
      <c r="F919" s="377"/>
      <c r="G919" s="377"/>
      <c r="H919" s="377"/>
      <c r="I919" s="377"/>
      <c r="J919" s="377"/>
      <c r="K919" s="377"/>
      <c r="L919" s="377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  <c r="Z919" s="377"/>
      <c r="AA919" s="377"/>
      <c r="AB919" s="377"/>
      <c r="AC919" s="377"/>
      <c r="AD919" s="377"/>
      <c r="AE919" s="377"/>
      <c r="AF919" s="377"/>
      <c r="AG919" s="377"/>
    </row>
    <row r="920" ht="14.25" customHeight="1">
      <c r="A920" s="377"/>
      <c r="B920" s="377"/>
      <c r="C920" s="377"/>
      <c r="D920" s="377"/>
      <c r="E920" s="377"/>
      <c r="F920" s="377"/>
      <c r="G920" s="377"/>
      <c r="H920" s="377"/>
      <c r="I920" s="377"/>
      <c r="J920" s="377"/>
      <c r="K920" s="377"/>
      <c r="L920" s="377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7"/>
      <c r="Y920" s="377"/>
      <c r="Z920" s="377"/>
      <c r="AA920" s="377"/>
      <c r="AB920" s="377"/>
      <c r="AC920" s="377"/>
      <c r="AD920" s="377"/>
      <c r="AE920" s="377"/>
      <c r="AF920" s="377"/>
      <c r="AG920" s="377"/>
    </row>
    <row r="921" ht="14.25" customHeight="1">
      <c r="A921" s="377"/>
      <c r="B921" s="377"/>
      <c r="C921" s="377"/>
      <c r="D921" s="377"/>
      <c r="E921" s="377"/>
      <c r="F921" s="377"/>
      <c r="G921" s="377"/>
      <c r="H921" s="377"/>
      <c r="I921" s="377"/>
      <c r="J921" s="377"/>
      <c r="K921" s="377"/>
      <c r="L921" s="377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7"/>
      <c r="Y921" s="377"/>
      <c r="Z921" s="377"/>
      <c r="AA921" s="377"/>
      <c r="AB921" s="377"/>
      <c r="AC921" s="377"/>
      <c r="AD921" s="377"/>
      <c r="AE921" s="377"/>
      <c r="AF921" s="377"/>
      <c r="AG921" s="377"/>
    </row>
    <row r="922" ht="14.25" customHeight="1">
      <c r="A922" s="377"/>
      <c r="B922" s="377"/>
      <c r="C922" s="377"/>
      <c r="D922" s="377"/>
      <c r="E922" s="377"/>
      <c r="F922" s="377"/>
      <c r="G922" s="377"/>
      <c r="H922" s="377"/>
      <c r="I922" s="377"/>
      <c r="J922" s="377"/>
      <c r="K922" s="377"/>
      <c r="L922" s="377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7"/>
      <c r="Y922" s="377"/>
      <c r="Z922" s="377"/>
      <c r="AA922" s="377"/>
      <c r="AB922" s="377"/>
      <c r="AC922" s="377"/>
      <c r="AD922" s="377"/>
      <c r="AE922" s="377"/>
      <c r="AF922" s="377"/>
      <c r="AG922" s="377"/>
    </row>
    <row r="923" ht="14.25" customHeight="1">
      <c r="A923" s="377"/>
      <c r="B923" s="377"/>
      <c r="C923" s="377"/>
      <c r="D923" s="377"/>
      <c r="E923" s="377"/>
      <c r="F923" s="377"/>
      <c r="G923" s="377"/>
      <c r="H923" s="377"/>
      <c r="I923" s="377"/>
      <c r="J923" s="377"/>
      <c r="K923" s="377"/>
      <c r="L923" s="377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7"/>
      <c r="Y923" s="377"/>
      <c r="Z923" s="377"/>
      <c r="AA923" s="377"/>
      <c r="AB923" s="377"/>
      <c r="AC923" s="377"/>
      <c r="AD923" s="377"/>
      <c r="AE923" s="377"/>
      <c r="AF923" s="377"/>
      <c r="AG923" s="377"/>
    </row>
    <row r="924" ht="14.25" customHeight="1">
      <c r="A924" s="377"/>
      <c r="B924" s="377"/>
      <c r="C924" s="377"/>
      <c r="D924" s="377"/>
      <c r="E924" s="377"/>
      <c r="F924" s="377"/>
      <c r="G924" s="377"/>
      <c r="H924" s="377"/>
      <c r="I924" s="377"/>
      <c r="J924" s="377"/>
      <c r="K924" s="377"/>
      <c r="L924" s="377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7"/>
      <c r="Y924" s="377"/>
      <c r="Z924" s="377"/>
      <c r="AA924" s="377"/>
      <c r="AB924" s="377"/>
      <c r="AC924" s="377"/>
      <c r="AD924" s="377"/>
      <c r="AE924" s="377"/>
      <c r="AF924" s="377"/>
      <c r="AG924" s="377"/>
    </row>
    <row r="925" ht="14.25" customHeight="1">
      <c r="A925" s="377"/>
      <c r="B925" s="377"/>
      <c r="C925" s="377"/>
      <c r="D925" s="377"/>
      <c r="E925" s="377"/>
      <c r="F925" s="377"/>
      <c r="G925" s="377"/>
      <c r="H925" s="377"/>
      <c r="I925" s="377"/>
      <c r="J925" s="377"/>
      <c r="K925" s="377"/>
      <c r="L925" s="377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7"/>
      <c r="Y925" s="377"/>
      <c r="Z925" s="377"/>
      <c r="AA925" s="377"/>
      <c r="AB925" s="377"/>
      <c r="AC925" s="377"/>
      <c r="AD925" s="377"/>
      <c r="AE925" s="377"/>
      <c r="AF925" s="377"/>
      <c r="AG925" s="377"/>
    </row>
    <row r="926" ht="14.25" customHeight="1">
      <c r="A926" s="377"/>
      <c r="B926" s="377"/>
      <c r="C926" s="377"/>
      <c r="D926" s="377"/>
      <c r="E926" s="377"/>
      <c r="F926" s="377"/>
      <c r="G926" s="377"/>
      <c r="H926" s="377"/>
      <c r="I926" s="377"/>
      <c r="J926" s="377"/>
      <c r="K926" s="377"/>
      <c r="L926" s="377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  <c r="Z926" s="377"/>
      <c r="AA926" s="377"/>
      <c r="AB926" s="377"/>
      <c r="AC926" s="377"/>
      <c r="AD926" s="377"/>
      <c r="AE926" s="377"/>
      <c r="AF926" s="377"/>
      <c r="AG926" s="377"/>
    </row>
    <row r="927" ht="14.25" customHeight="1">
      <c r="A927" s="377"/>
      <c r="B927" s="377"/>
      <c r="C927" s="377"/>
      <c r="D927" s="377"/>
      <c r="E927" s="377"/>
      <c r="F927" s="377"/>
      <c r="G927" s="377"/>
      <c r="H927" s="377"/>
      <c r="I927" s="377"/>
      <c r="J927" s="377"/>
      <c r="K927" s="377"/>
      <c r="L927" s="377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  <c r="Z927" s="377"/>
      <c r="AA927" s="377"/>
      <c r="AB927" s="377"/>
      <c r="AC927" s="377"/>
      <c r="AD927" s="377"/>
      <c r="AE927" s="377"/>
      <c r="AF927" s="377"/>
      <c r="AG927" s="377"/>
    </row>
    <row r="928" ht="14.25" customHeight="1">
      <c r="A928" s="377"/>
      <c r="B928" s="377"/>
      <c r="C928" s="377"/>
      <c r="D928" s="377"/>
      <c r="E928" s="377"/>
      <c r="F928" s="377"/>
      <c r="G928" s="377"/>
      <c r="H928" s="377"/>
      <c r="I928" s="377"/>
      <c r="J928" s="377"/>
      <c r="K928" s="377"/>
      <c r="L928" s="377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  <c r="Z928" s="377"/>
      <c r="AA928" s="377"/>
      <c r="AB928" s="377"/>
      <c r="AC928" s="377"/>
      <c r="AD928" s="377"/>
      <c r="AE928" s="377"/>
      <c r="AF928" s="377"/>
      <c r="AG928" s="377"/>
    </row>
    <row r="929" ht="14.25" customHeight="1">
      <c r="A929" s="377"/>
      <c r="B929" s="377"/>
      <c r="C929" s="377"/>
      <c r="D929" s="377"/>
      <c r="E929" s="377"/>
      <c r="F929" s="377"/>
      <c r="G929" s="377"/>
      <c r="H929" s="377"/>
      <c r="I929" s="377"/>
      <c r="J929" s="377"/>
      <c r="K929" s="377"/>
      <c r="L929" s="377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  <c r="Z929" s="377"/>
      <c r="AA929" s="377"/>
      <c r="AB929" s="377"/>
      <c r="AC929" s="377"/>
      <c r="AD929" s="377"/>
      <c r="AE929" s="377"/>
      <c r="AF929" s="377"/>
      <c r="AG929" s="377"/>
    </row>
    <row r="930" ht="14.25" customHeight="1">
      <c r="A930" s="377"/>
      <c r="B930" s="377"/>
      <c r="C930" s="377"/>
      <c r="D930" s="377"/>
      <c r="E930" s="377"/>
      <c r="F930" s="377"/>
      <c r="G930" s="377"/>
      <c r="H930" s="377"/>
      <c r="I930" s="377"/>
      <c r="J930" s="377"/>
      <c r="K930" s="377"/>
      <c r="L930" s="377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  <c r="Z930" s="377"/>
      <c r="AA930" s="377"/>
      <c r="AB930" s="377"/>
      <c r="AC930" s="377"/>
      <c r="AD930" s="377"/>
      <c r="AE930" s="377"/>
      <c r="AF930" s="377"/>
      <c r="AG930" s="377"/>
    </row>
    <row r="931" ht="14.25" customHeight="1">
      <c r="A931" s="377"/>
      <c r="B931" s="377"/>
      <c r="C931" s="377"/>
      <c r="D931" s="377"/>
      <c r="E931" s="377"/>
      <c r="F931" s="377"/>
      <c r="G931" s="377"/>
      <c r="H931" s="377"/>
      <c r="I931" s="377"/>
      <c r="J931" s="377"/>
      <c r="K931" s="377"/>
      <c r="L931" s="377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7"/>
      <c r="Y931" s="377"/>
      <c r="Z931" s="377"/>
      <c r="AA931" s="377"/>
      <c r="AB931" s="377"/>
      <c r="AC931" s="377"/>
      <c r="AD931" s="377"/>
      <c r="AE931" s="377"/>
      <c r="AF931" s="377"/>
      <c r="AG931" s="377"/>
    </row>
    <row r="932" ht="14.25" customHeight="1">
      <c r="A932" s="377"/>
      <c r="B932" s="377"/>
      <c r="C932" s="377"/>
      <c r="D932" s="377"/>
      <c r="E932" s="377"/>
      <c r="F932" s="377"/>
      <c r="G932" s="377"/>
      <c r="H932" s="377"/>
      <c r="I932" s="377"/>
      <c r="J932" s="377"/>
      <c r="K932" s="377"/>
      <c r="L932" s="377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7"/>
      <c r="Y932" s="377"/>
      <c r="Z932" s="377"/>
      <c r="AA932" s="377"/>
      <c r="AB932" s="377"/>
      <c r="AC932" s="377"/>
      <c r="AD932" s="377"/>
      <c r="AE932" s="377"/>
      <c r="AF932" s="377"/>
      <c r="AG932" s="377"/>
    </row>
    <row r="933" ht="14.25" customHeight="1">
      <c r="A933" s="377"/>
      <c r="B933" s="377"/>
      <c r="C933" s="377"/>
      <c r="D933" s="377"/>
      <c r="E933" s="377"/>
      <c r="F933" s="377"/>
      <c r="G933" s="377"/>
      <c r="H933" s="377"/>
      <c r="I933" s="377"/>
      <c r="J933" s="377"/>
      <c r="K933" s="377"/>
      <c r="L933" s="377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7"/>
      <c r="Y933" s="377"/>
      <c r="Z933" s="377"/>
      <c r="AA933" s="377"/>
      <c r="AB933" s="377"/>
      <c r="AC933" s="377"/>
      <c r="AD933" s="377"/>
      <c r="AE933" s="377"/>
      <c r="AF933" s="377"/>
      <c r="AG933" s="377"/>
    </row>
    <row r="934" ht="14.25" customHeight="1">
      <c r="A934" s="377"/>
      <c r="B934" s="377"/>
      <c r="C934" s="377"/>
      <c r="D934" s="377"/>
      <c r="E934" s="377"/>
      <c r="F934" s="377"/>
      <c r="G934" s="377"/>
      <c r="H934" s="377"/>
      <c r="I934" s="377"/>
      <c r="J934" s="377"/>
      <c r="K934" s="377"/>
      <c r="L934" s="377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7"/>
      <c r="Y934" s="377"/>
      <c r="Z934" s="377"/>
      <c r="AA934" s="377"/>
      <c r="AB934" s="377"/>
      <c r="AC934" s="377"/>
      <c r="AD934" s="377"/>
      <c r="AE934" s="377"/>
      <c r="AF934" s="377"/>
      <c r="AG934" s="377"/>
    </row>
    <row r="935" ht="14.25" customHeight="1">
      <c r="A935" s="377"/>
      <c r="B935" s="377"/>
      <c r="C935" s="377"/>
      <c r="D935" s="377"/>
      <c r="E935" s="377"/>
      <c r="F935" s="377"/>
      <c r="G935" s="377"/>
      <c r="H935" s="377"/>
      <c r="I935" s="377"/>
      <c r="J935" s="377"/>
      <c r="K935" s="377"/>
      <c r="L935" s="377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7"/>
      <c r="Y935" s="377"/>
      <c r="Z935" s="377"/>
      <c r="AA935" s="377"/>
      <c r="AB935" s="377"/>
      <c r="AC935" s="377"/>
      <c r="AD935" s="377"/>
      <c r="AE935" s="377"/>
      <c r="AF935" s="377"/>
      <c r="AG935" s="377"/>
    </row>
    <row r="936" ht="14.25" customHeight="1">
      <c r="A936" s="377"/>
      <c r="B936" s="377"/>
      <c r="C936" s="377"/>
      <c r="D936" s="377"/>
      <c r="E936" s="377"/>
      <c r="F936" s="377"/>
      <c r="G936" s="377"/>
      <c r="H936" s="377"/>
      <c r="I936" s="377"/>
      <c r="J936" s="377"/>
      <c r="K936" s="377"/>
      <c r="L936" s="377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7"/>
      <c r="Y936" s="377"/>
      <c r="Z936" s="377"/>
      <c r="AA936" s="377"/>
      <c r="AB936" s="377"/>
      <c r="AC936" s="377"/>
      <c r="AD936" s="377"/>
      <c r="AE936" s="377"/>
      <c r="AF936" s="377"/>
      <c r="AG936" s="377"/>
    </row>
    <row r="937" ht="14.25" customHeight="1">
      <c r="A937" s="377"/>
      <c r="B937" s="377"/>
      <c r="C937" s="377"/>
      <c r="D937" s="377"/>
      <c r="E937" s="377"/>
      <c r="F937" s="377"/>
      <c r="G937" s="377"/>
      <c r="H937" s="377"/>
      <c r="I937" s="377"/>
      <c r="J937" s="377"/>
      <c r="K937" s="377"/>
      <c r="L937" s="377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7"/>
      <c r="Y937" s="377"/>
      <c r="Z937" s="377"/>
      <c r="AA937" s="377"/>
      <c r="AB937" s="377"/>
      <c r="AC937" s="377"/>
      <c r="AD937" s="377"/>
      <c r="AE937" s="377"/>
      <c r="AF937" s="377"/>
      <c r="AG937" s="377"/>
    </row>
    <row r="938" ht="14.25" customHeight="1">
      <c r="A938" s="377"/>
      <c r="B938" s="377"/>
      <c r="C938" s="377"/>
      <c r="D938" s="377"/>
      <c r="E938" s="377"/>
      <c r="F938" s="377"/>
      <c r="G938" s="377"/>
      <c r="H938" s="377"/>
      <c r="I938" s="377"/>
      <c r="J938" s="377"/>
      <c r="K938" s="377"/>
      <c r="L938" s="377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7"/>
      <c r="Y938" s="377"/>
      <c r="Z938" s="377"/>
      <c r="AA938" s="377"/>
      <c r="AB938" s="377"/>
      <c r="AC938" s="377"/>
      <c r="AD938" s="377"/>
      <c r="AE938" s="377"/>
      <c r="AF938" s="377"/>
      <c r="AG938" s="377"/>
    </row>
    <row r="939" ht="14.25" customHeight="1">
      <c r="A939" s="377"/>
      <c r="B939" s="377"/>
      <c r="C939" s="377"/>
      <c r="D939" s="377"/>
      <c r="E939" s="377"/>
      <c r="F939" s="377"/>
      <c r="G939" s="377"/>
      <c r="H939" s="377"/>
      <c r="I939" s="377"/>
      <c r="J939" s="377"/>
      <c r="K939" s="377"/>
      <c r="L939" s="377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7"/>
      <c r="Y939" s="377"/>
      <c r="Z939" s="377"/>
      <c r="AA939" s="377"/>
      <c r="AB939" s="377"/>
      <c r="AC939" s="377"/>
      <c r="AD939" s="377"/>
      <c r="AE939" s="377"/>
      <c r="AF939" s="377"/>
      <c r="AG939" s="377"/>
    </row>
    <row r="940" ht="14.25" customHeight="1">
      <c r="A940" s="377"/>
      <c r="B940" s="377"/>
      <c r="C940" s="377"/>
      <c r="D940" s="377"/>
      <c r="E940" s="377"/>
      <c r="F940" s="377"/>
      <c r="G940" s="377"/>
      <c r="H940" s="377"/>
      <c r="I940" s="377"/>
      <c r="J940" s="377"/>
      <c r="K940" s="377"/>
      <c r="L940" s="377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7"/>
      <c r="Y940" s="377"/>
      <c r="Z940" s="377"/>
      <c r="AA940" s="377"/>
      <c r="AB940" s="377"/>
      <c r="AC940" s="377"/>
      <c r="AD940" s="377"/>
      <c r="AE940" s="377"/>
      <c r="AF940" s="377"/>
      <c r="AG940" s="377"/>
    </row>
    <row r="941" ht="14.25" customHeight="1">
      <c r="A941" s="377"/>
      <c r="B941" s="377"/>
      <c r="C941" s="377"/>
      <c r="D941" s="377"/>
      <c r="E941" s="377"/>
      <c r="F941" s="377"/>
      <c r="G941" s="377"/>
      <c r="H941" s="377"/>
      <c r="I941" s="377"/>
      <c r="J941" s="377"/>
      <c r="K941" s="377"/>
      <c r="L941" s="377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7"/>
      <c r="Y941" s="377"/>
      <c r="Z941" s="377"/>
      <c r="AA941" s="377"/>
      <c r="AB941" s="377"/>
      <c r="AC941" s="377"/>
      <c r="AD941" s="377"/>
      <c r="AE941" s="377"/>
      <c r="AF941" s="377"/>
      <c r="AG941" s="377"/>
    </row>
    <row r="942" ht="14.25" customHeight="1">
      <c r="A942" s="377"/>
      <c r="B942" s="377"/>
      <c r="C942" s="377"/>
      <c r="D942" s="377"/>
      <c r="E942" s="377"/>
      <c r="F942" s="377"/>
      <c r="G942" s="377"/>
      <c r="H942" s="377"/>
      <c r="I942" s="377"/>
      <c r="J942" s="377"/>
      <c r="K942" s="377"/>
      <c r="L942" s="377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7"/>
      <c r="Y942" s="377"/>
      <c r="Z942" s="377"/>
      <c r="AA942" s="377"/>
      <c r="AB942" s="377"/>
      <c r="AC942" s="377"/>
      <c r="AD942" s="377"/>
      <c r="AE942" s="377"/>
      <c r="AF942" s="377"/>
      <c r="AG942" s="377"/>
    </row>
    <row r="943" ht="14.25" customHeight="1">
      <c r="A943" s="377"/>
      <c r="B943" s="377"/>
      <c r="C943" s="377"/>
      <c r="D943" s="377"/>
      <c r="E943" s="377"/>
      <c r="F943" s="377"/>
      <c r="G943" s="377"/>
      <c r="H943" s="377"/>
      <c r="I943" s="377"/>
      <c r="J943" s="377"/>
      <c r="K943" s="377"/>
      <c r="L943" s="377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7"/>
      <c r="Y943" s="377"/>
      <c r="Z943" s="377"/>
      <c r="AA943" s="377"/>
      <c r="AB943" s="377"/>
      <c r="AC943" s="377"/>
      <c r="AD943" s="377"/>
      <c r="AE943" s="377"/>
      <c r="AF943" s="377"/>
      <c r="AG943" s="377"/>
    </row>
    <row r="944" ht="14.25" customHeight="1">
      <c r="A944" s="377"/>
      <c r="B944" s="377"/>
      <c r="C944" s="377"/>
      <c r="D944" s="377"/>
      <c r="E944" s="377"/>
      <c r="F944" s="377"/>
      <c r="G944" s="377"/>
      <c r="H944" s="377"/>
      <c r="I944" s="377"/>
      <c r="J944" s="377"/>
      <c r="K944" s="377"/>
      <c r="L944" s="377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7"/>
      <c r="Y944" s="377"/>
      <c r="Z944" s="377"/>
      <c r="AA944" s="377"/>
      <c r="AB944" s="377"/>
      <c r="AC944" s="377"/>
      <c r="AD944" s="377"/>
      <c r="AE944" s="377"/>
      <c r="AF944" s="377"/>
      <c r="AG944" s="377"/>
    </row>
    <row r="945" ht="14.25" customHeight="1">
      <c r="A945" s="377"/>
      <c r="B945" s="377"/>
      <c r="C945" s="377"/>
      <c r="D945" s="377"/>
      <c r="E945" s="377"/>
      <c r="F945" s="377"/>
      <c r="G945" s="377"/>
      <c r="H945" s="377"/>
      <c r="I945" s="377"/>
      <c r="J945" s="377"/>
      <c r="K945" s="377"/>
      <c r="L945" s="377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7"/>
      <c r="Y945" s="377"/>
      <c r="Z945" s="377"/>
      <c r="AA945" s="377"/>
      <c r="AB945" s="377"/>
      <c r="AC945" s="377"/>
      <c r="AD945" s="377"/>
      <c r="AE945" s="377"/>
      <c r="AF945" s="377"/>
      <c r="AG945" s="377"/>
    </row>
    <row r="946" ht="14.25" customHeight="1">
      <c r="A946" s="377"/>
      <c r="B946" s="377"/>
      <c r="C946" s="377"/>
      <c r="D946" s="377"/>
      <c r="E946" s="377"/>
      <c r="F946" s="377"/>
      <c r="G946" s="377"/>
      <c r="H946" s="377"/>
      <c r="I946" s="377"/>
      <c r="J946" s="377"/>
      <c r="K946" s="377"/>
      <c r="L946" s="377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7"/>
      <c r="Y946" s="377"/>
      <c r="Z946" s="377"/>
      <c r="AA946" s="377"/>
      <c r="AB946" s="377"/>
      <c r="AC946" s="377"/>
      <c r="AD946" s="377"/>
      <c r="AE946" s="377"/>
      <c r="AF946" s="377"/>
      <c r="AG946" s="377"/>
    </row>
    <row r="947" ht="14.25" customHeight="1">
      <c r="A947" s="377"/>
      <c r="B947" s="377"/>
      <c r="C947" s="377"/>
      <c r="D947" s="377"/>
      <c r="E947" s="377"/>
      <c r="F947" s="377"/>
      <c r="G947" s="377"/>
      <c r="H947" s="377"/>
      <c r="I947" s="377"/>
      <c r="J947" s="377"/>
      <c r="K947" s="377"/>
      <c r="L947" s="377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7"/>
      <c r="Y947" s="377"/>
      <c r="Z947" s="377"/>
      <c r="AA947" s="377"/>
      <c r="AB947" s="377"/>
      <c r="AC947" s="377"/>
      <c r="AD947" s="377"/>
      <c r="AE947" s="377"/>
      <c r="AF947" s="377"/>
      <c r="AG947" s="377"/>
    </row>
    <row r="948" ht="14.25" customHeight="1">
      <c r="A948" s="377"/>
      <c r="B948" s="377"/>
      <c r="C948" s="377"/>
      <c r="D948" s="377"/>
      <c r="E948" s="377"/>
      <c r="F948" s="377"/>
      <c r="G948" s="377"/>
      <c r="H948" s="377"/>
      <c r="I948" s="377"/>
      <c r="J948" s="377"/>
      <c r="K948" s="377"/>
      <c r="L948" s="377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7"/>
      <c r="Y948" s="377"/>
      <c r="Z948" s="377"/>
      <c r="AA948" s="377"/>
      <c r="AB948" s="377"/>
      <c r="AC948" s="377"/>
      <c r="AD948" s="377"/>
      <c r="AE948" s="377"/>
      <c r="AF948" s="377"/>
      <c r="AG948" s="377"/>
    </row>
    <row r="949" ht="14.25" customHeight="1">
      <c r="A949" s="377"/>
      <c r="B949" s="377"/>
      <c r="C949" s="377"/>
      <c r="D949" s="377"/>
      <c r="E949" s="377"/>
      <c r="F949" s="377"/>
      <c r="G949" s="377"/>
      <c r="H949" s="377"/>
      <c r="I949" s="377"/>
      <c r="J949" s="377"/>
      <c r="K949" s="377"/>
      <c r="L949" s="377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7"/>
      <c r="Y949" s="377"/>
      <c r="Z949" s="377"/>
      <c r="AA949" s="377"/>
      <c r="AB949" s="377"/>
      <c r="AC949" s="377"/>
      <c r="AD949" s="377"/>
      <c r="AE949" s="377"/>
      <c r="AF949" s="377"/>
      <c r="AG949" s="377"/>
    </row>
    <row r="950" ht="14.25" customHeight="1">
      <c r="A950" s="377"/>
      <c r="B950" s="377"/>
      <c r="C950" s="377"/>
      <c r="D950" s="377"/>
      <c r="E950" s="377"/>
      <c r="F950" s="377"/>
      <c r="G950" s="377"/>
      <c r="H950" s="377"/>
      <c r="I950" s="377"/>
      <c r="J950" s="377"/>
      <c r="K950" s="377"/>
      <c r="L950" s="377"/>
      <c r="M950" s="377"/>
      <c r="N950" s="377"/>
      <c r="O950" s="377"/>
      <c r="P950" s="377"/>
      <c r="Q950" s="377"/>
      <c r="R950" s="377"/>
      <c r="S950" s="377"/>
      <c r="T950" s="377"/>
      <c r="U950" s="377"/>
      <c r="V950" s="377"/>
      <c r="W950" s="377"/>
      <c r="X950" s="377"/>
      <c r="Y950" s="377"/>
      <c r="Z950" s="377"/>
      <c r="AA950" s="377"/>
      <c r="AB950" s="377"/>
      <c r="AC950" s="377"/>
      <c r="AD950" s="377"/>
      <c r="AE950" s="377"/>
      <c r="AF950" s="377"/>
      <c r="AG950" s="377"/>
    </row>
    <row r="951" ht="14.25" customHeight="1">
      <c r="A951" s="377"/>
      <c r="B951" s="377"/>
      <c r="C951" s="377"/>
      <c r="D951" s="377"/>
      <c r="E951" s="377"/>
      <c r="F951" s="377"/>
      <c r="G951" s="377"/>
      <c r="H951" s="377"/>
      <c r="I951" s="377"/>
      <c r="J951" s="377"/>
      <c r="K951" s="377"/>
      <c r="L951" s="377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7"/>
      <c r="Y951" s="377"/>
      <c r="Z951" s="377"/>
      <c r="AA951" s="377"/>
      <c r="AB951" s="377"/>
      <c r="AC951" s="377"/>
      <c r="AD951" s="377"/>
      <c r="AE951" s="377"/>
      <c r="AF951" s="377"/>
      <c r="AG951" s="377"/>
    </row>
    <row r="952" ht="14.25" customHeight="1">
      <c r="A952" s="377"/>
      <c r="B952" s="377"/>
      <c r="C952" s="377"/>
      <c r="D952" s="377"/>
      <c r="E952" s="377"/>
      <c r="F952" s="377"/>
      <c r="G952" s="377"/>
      <c r="H952" s="377"/>
      <c r="I952" s="377"/>
      <c r="J952" s="377"/>
      <c r="K952" s="377"/>
      <c r="L952" s="377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7"/>
      <c r="Y952" s="377"/>
      <c r="Z952" s="377"/>
      <c r="AA952" s="377"/>
      <c r="AB952" s="377"/>
      <c r="AC952" s="377"/>
      <c r="AD952" s="377"/>
      <c r="AE952" s="377"/>
      <c r="AF952" s="377"/>
      <c r="AG952" s="377"/>
    </row>
    <row r="953" ht="14.25" customHeight="1">
      <c r="A953" s="377"/>
      <c r="B953" s="377"/>
      <c r="C953" s="377"/>
      <c r="D953" s="377"/>
      <c r="E953" s="377"/>
      <c r="F953" s="377"/>
      <c r="G953" s="377"/>
      <c r="H953" s="377"/>
      <c r="I953" s="377"/>
      <c r="J953" s="377"/>
      <c r="K953" s="377"/>
      <c r="L953" s="377"/>
      <c r="M953" s="377"/>
      <c r="N953" s="377"/>
      <c r="O953" s="377"/>
      <c r="P953" s="377"/>
      <c r="Q953" s="377"/>
      <c r="R953" s="377"/>
      <c r="S953" s="377"/>
      <c r="T953" s="377"/>
      <c r="U953" s="377"/>
      <c r="V953" s="377"/>
      <c r="W953" s="377"/>
      <c r="X953" s="377"/>
      <c r="Y953" s="377"/>
      <c r="Z953" s="377"/>
      <c r="AA953" s="377"/>
      <c r="AB953" s="377"/>
      <c r="AC953" s="377"/>
      <c r="AD953" s="377"/>
      <c r="AE953" s="377"/>
      <c r="AF953" s="377"/>
      <c r="AG953" s="377"/>
    </row>
    <row r="954" ht="14.25" customHeight="1">
      <c r="A954" s="377"/>
      <c r="B954" s="377"/>
      <c r="C954" s="377"/>
      <c r="D954" s="377"/>
      <c r="E954" s="377"/>
      <c r="F954" s="377"/>
      <c r="G954" s="377"/>
      <c r="H954" s="377"/>
      <c r="I954" s="377"/>
      <c r="J954" s="377"/>
      <c r="K954" s="377"/>
      <c r="L954" s="377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7"/>
      <c r="Y954" s="377"/>
      <c r="Z954" s="377"/>
      <c r="AA954" s="377"/>
      <c r="AB954" s="377"/>
      <c r="AC954" s="377"/>
      <c r="AD954" s="377"/>
      <c r="AE954" s="377"/>
      <c r="AF954" s="377"/>
      <c r="AG954" s="377"/>
    </row>
    <row r="955" ht="14.25" customHeight="1">
      <c r="A955" s="377"/>
      <c r="B955" s="377"/>
      <c r="C955" s="377"/>
      <c r="D955" s="377"/>
      <c r="E955" s="377"/>
      <c r="F955" s="377"/>
      <c r="G955" s="377"/>
      <c r="H955" s="377"/>
      <c r="I955" s="377"/>
      <c r="J955" s="377"/>
      <c r="K955" s="377"/>
      <c r="L955" s="377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7"/>
      <c r="Y955" s="377"/>
      <c r="Z955" s="377"/>
      <c r="AA955" s="377"/>
      <c r="AB955" s="377"/>
      <c r="AC955" s="377"/>
      <c r="AD955" s="377"/>
      <c r="AE955" s="377"/>
      <c r="AF955" s="377"/>
      <c r="AG955" s="377"/>
    </row>
    <row r="956" ht="14.25" customHeight="1">
      <c r="A956" s="377"/>
      <c r="B956" s="377"/>
      <c r="C956" s="377"/>
      <c r="D956" s="377"/>
      <c r="E956" s="377"/>
      <c r="F956" s="377"/>
      <c r="G956" s="377"/>
      <c r="H956" s="377"/>
      <c r="I956" s="377"/>
      <c r="J956" s="377"/>
      <c r="K956" s="377"/>
      <c r="L956" s="377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7"/>
      <c r="Y956" s="377"/>
      <c r="Z956" s="377"/>
      <c r="AA956" s="377"/>
      <c r="AB956" s="377"/>
      <c r="AC956" s="377"/>
      <c r="AD956" s="377"/>
      <c r="AE956" s="377"/>
      <c r="AF956" s="377"/>
      <c r="AG956" s="377"/>
    </row>
    <row r="957" ht="14.25" customHeight="1">
      <c r="A957" s="377"/>
      <c r="B957" s="377"/>
      <c r="C957" s="377"/>
      <c r="D957" s="377"/>
      <c r="E957" s="377"/>
      <c r="F957" s="377"/>
      <c r="G957" s="377"/>
      <c r="H957" s="377"/>
      <c r="I957" s="377"/>
      <c r="J957" s="377"/>
      <c r="K957" s="377"/>
      <c r="L957" s="377"/>
      <c r="M957" s="377"/>
      <c r="N957" s="377"/>
      <c r="O957" s="377"/>
      <c r="P957" s="377"/>
      <c r="Q957" s="377"/>
      <c r="R957" s="377"/>
      <c r="S957" s="377"/>
      <c r="T957" s="377"/>
      <c r="U957" s="377"/>
      <c r="V957" s="377"/>
      <c r="W957" s="377"/>
      <c r="X957" s="377"/>
      <c r="Y957" s="377"/>
      <c r="Z957" s="377"/>
      <c r="AA957" s="377"/>
      <c r="AB957" s="377"/>
      <c r="AC957" s="377"/>
      <c r="AD957" s="377"/>
      <c r="AE957" s="377"/>
      <c r="AF957" s="377"/>
      <c r="AG957" s="377"/>
    </row>
    <row r="958" ht="14.25" customHeight="1">
      <c r="A958" s="377"/>
      <c r="B958" s="377"/>
      <c r="C958" s="377"/>
      <c r="D958" s="377"/>
      <c r="E958" s="377"/>
      <c r="F958" s="377"/>
      <c r="G958" s="377"/>
      <c r="H958" s="377"/>
      <c r="I958" s="377"/>
      <c r="J958" s="377"/>
      <c r="K958" s="377"/>
      <c r="L958" s="377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7"/>
      <c r="Y958" s="377"/>
      <c r="Z958" s="377"/>
      <c r="AA958" s="377"/>
      <c r="AB958" s="377"/>
      <c r="AC958" s="377"/>
      <c r="AD958" s="377"/>
      <c r="AE958" s="377"/>
      <c r="AF958" s="377"/>
      <c r="AG958" s="377"/>
    </row>
    <row r="959" ht="14.25" customHeight="1">
      <c r="A959" s="377"/>
      <c r="B959" s="377"/>
      <c r="C959" s="377"/>
      <c r="D959" s="377"/>
      <c r="E959" s="377"/>
      <c r="F959" s="377"/>
      <c r="G959" s="377"/>
      <c r="H959" s="377"/>
      <c r="I959" s="377"/>
      <c r="J959" s="377"/>
      <c r="K959" s="377"/>
      <c r="L959" s="377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7"/>
      <c r="Y959" s="377"/>
      <c r="Z959" s="377"/>
      <c r="AA959" s="377"/>
      <c r="AB959" s="377"/>
      <c r="AC959" s="377"/>
      <c r="AD959" s="377"/>
      <c r="AE959" s="377"/>
      <c r="AF959" s="377"/>
      <c r="AG959" s="377"/>
    </row>
    <row r="960" ht="14.25" customHeight="1">
      <c r="A960" s="377"/>
      <c r="B960" s="377"/>
      <c r="C960" s="377"/>
      <c r="D960" s="377"/>
      <c r="E960" s="377"/>
      <c r="F960" s="377"/>
      <c r="G960" s="377"/>
      <c r="H960" s="377"/>
      <c r="I960" s="377"/>
      <c r="J960" s="377"/>
      <c r="K960" s="377"/>
      <c r="L960" s="377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7"/>
      <c r="Y960" s="377"/>
      <c r="Z960" s="377"/>
      <c r="AA960" s="377"/>
      <c r="AB960" s="377"/>
      <c r="AC960" s="377"/>
      <c r="AD960" s="377"/>
      <c r="AE960" s="377"/>
      <c r="AF960" s="377"/>
      <c r="AG960" s="377"/>
    </row>
    <row r="961" ht="14.25" customHeight="1">
      <c r="A961" s="377"/>
      <c r="B961" s="377"/>
      <c r="C961" s="377"/>
      <c r="D961" s="377"/>
      <c r="E961" s="377"/>
      <c r="F961" s="377"/>
      <c r="G961" s="377"/>
      <c r="H961" s="377"/>
      <c r="I961" s="377"/>
      <c r="J961" s="377"/>
      <c r="K961" s="377"/>
      <c r="L961" s="377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  <c r="Z961" s="377"/>
      <c r="AA961" s="377"/>
      <c r="AB961" s="377"/>
      <c r="AC961" s="377"/>
      <c r="AD961" s="377"/>
      <c r="AE961" s="377"/>
      <c r="AF961" s="377"/>
      <c r="AG961" s="377"/>
    </row>
    <row r="962" ht="14.25" customHeight="1">
      <c r="A962" s="377"/>
      <c r="B962" s="377"/>
      <c r="C962" s="377"/>
      <c r="D962" s="377"/>
      <c r="E962" s="377"/>
      <c r="F962" s="377"/>
      <c r="G962" s="377"/>
      <c r="H962" s="377"/>
      <c r="I962" s="377"/>
      <c r="J962" s="377"/>
      <c r="K962" s="377"/>
      <c r="L962" s="377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  <c r="Z962" s="377"/>
      <c r="AA962" s="377"/>
      <c r="AB962" s="377"/>
      <c r="AC962" s="377"/>
      <c r="AD962" s="377"/>
      <c r="AE962" s="377"/>
      <c r="AF962" s="377"/>
      <c r="AG962" s="377"/>
    </row>
    <row r="963" ht="14.25" customHeight="1">
      <c r="A963" s="377"/>
      <c r="B963" s="377"/>
      <c r="C963" s="377"/>
      <c r="D963" s="377"/>
      <c r="E963" s="377"/>
      <c r="F963" s="377"/>
      <c r="G963" s="377"/>
      <c r="H963" s="377"/>
      <c r="I963" s="377"/>
      <c r="J963" s="377"/>
      <c r="K963" s="377"/>
      <c r="L963" s="377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  <c r="Z963" s="377"/>
      <c r="AA963" s="377"/>
      <c r="AB963" s="377"/>
      <c r="AC963" s="377"/>
      <c r="AD963" s="377"/>
      <c r="AE963" s="377"/>
      <c r="AF963" s="377"/>
      <c r="AG963" s="377"/>
    </row>
    <row r="964" ht="14.25" customHeight="1">
      <c r="A964" s="377"/>
      <c r="B964" s="377"/>
      <c r="C964" s="377"/>
      <c r="D964" s="377"/>
      <c r="E964" s="377"/>
      <c r="F964" s="377"/>
      <c r="G964" s="377"/>
      <c r="H964" s="377"/>
      <c r="I964" s="377"/>
      <c r="J964" s="377"/>
      <c r="K964" s="377"/>
      <c r="L964" s="377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  <c r="Z964" s="377"/>
      <c r="AA964" s="377"/>
      <c r="AB964" s="377"/>
      <c r="AC964" s="377"/>
      <c r="AD964" s="377"/>
      <c r="AE964" s="377"/>
      <c r="AF964" s="377"/>
      <c r="AG964" s="377"/>
    </row>
    <row r="965" ht="14.25" customHeight="1">
      <c r="A965" s="377"/>
      <c r="B965" s="377"/>
      <c r="C965" s="377"/>
      <c r="D965" s="377"/>
      <c r="E965" s="377"/>
      <c r="F965" s="377"/>
      <c r="G965" s="377"/>
      <c r="H965" s="377"/>
      <c r="I965" s="377"/>
      <c r="J965" s="377"/>
      <c r="K965" s="377"/>
      <c r="L965" s="377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  <c r="Z965" s="377"/>
      <c r="AA965" s="377"/>
      <c r="AB965" s="377"/>
      <c r="AC965" s="377"/>
      <c r="AD965" s="377"/>
      <c r="AE965" s="377"/>
      <c r="AF965" s="377"/>
      <c r="AG965" s="377"/>
    </row>
    <row r="966" ht="14.25" customHeight="1">
      <c r="A966" s="377"/>
      <c r="B966" s="377"/>
      <c r="C966" s="377"/>
      <c r="D966" s="377"/>
      <c r="E966" s="377"/>
      <c r="F966" s="377"/>
      <c r="G966" s="377"/>
      <c r="H966" s="377"/>
      <c r="I966" s="377"/>
      <c r="J966" s="377"/>
      <c r="K966" s="377"/>
      <c r="L966" s="377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7"/>
      <c r="Y966" s="377"/>
      <c r="Z966" s="377"/>
      <c r="AA966" s="377"/>
      <c r="AB966" s="377"/>
      <c r="AC966" s="377"/>
      <c r="AD966" s="377"/>
      <c r="AE966" s="377"/>
      <c r="AF966" s="377"/>
      <c r="AG966" s="377"/>
    </row>
    <row r="967" ht="14.25" customHeight="1">
      <c r="A967" s="377"/>
      <c r="B967" s="377"/>
      <c r="C967" s="377"/>
      <c r="D967" s="377"/>
      <c r="E967" s="377"/>
      <c r="F967" s="377"/>
      <c r="G967" s="377"/>
      <c r="H967" s="377"/>
      <c r="I967" s="377"/>
      <c r="J967" s="377"/>
      <c r="K967" s="377"/>
      <c r="L967" s="377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7"/>
      <c r="Y967" s="377"/>
      <c r="Z967" s="377"/>
      <c r="AA967" s="377"/>
      <c r="AB967" s="377"/>
      <c r="AC967" s="377"/>
      <c r="AD967" s="377"/>
      <c r="AE967" s="377"/>
      <c r="AF967" s="377"/>
      <c r="AG967" s="377"/>
    </row>
    <row r="968" ht="14.25" customHeight="1">
      <c r="A968" s="377"/>
      <c r="B968" s="377"/>
      <c r="C968" s="377"/>
      <c r="D968" s="377"/>
      <c r="E968" s="377"/>
      <c r="F968" s="377"/>
      <c r="G968" s="377"/>
      <c r="H968" s="377"/>
      <c r="I968" s="377"/>
      <c r="J968" s="377"/>
      <c r="K968" s="377"/>
      <c r="L968" s="377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7"/>
      <c r="Y968" s="377"/>
      <c r="Z968" s="377"/>
      <c r="AA968" s="377"/>
      <c r="AB968" s="377"/>
      <c r="AC968" s="377"/>
      <c r="AD968" s="377"/>
      <c r="AE968" s="377"/>
      <c r="AF968" s="377"/>
      <c r="AG968" s="377"/>
    </row>
    <row r="969" ht="14.25" customHeight="1">
      <c r="A969" s="377"/>
      <c r="B969" s="377"/>
      <c r="C969" s="377"/>
      <c r="D969" s="377"/>
      <c r="E969" s="377"/>
      <c r="F969" s="377"/>
      <c r="G969" s="377"/>
      <c r="H969" s="377"/>
      <c r="I969" s="377"/>
      <c r="J969" s="377"/>
      <c r="K969" s="377"/>
      <c r="L969" s="377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7"/>
      <c r="Y969" s="377"/>
      <c r="Z969" s="377"/>
      <c r="AA969" s="377"/>
      <c r="AB969" s="377"/>
      <c r="AC969" s="377"/>
      <c r="AD969" s="377"/>
      <c r="AE969" s="377"/>
      <c r="AF969" s="377"/>
      <c r="AG969" s="377"/>
    </row>
    <row r="970" ht="14.25" customHeight="1">
      <c r="A970" s="377"/>
      <c r="B970" s="377"/>
      <c r="C970" s="377"/>
      <c r="D970" s="377"/>
      <c r="E970" s="377"/>
      <c r="F970" s="377"/>
      <c r="G970" s="377"/>
      <c r="H970" s="377"/>
      <c r="I970" s="377"/>
      <c r="J970" s="377"/>
      <c r="K970" s="377"/>
      <c r="L970" s="377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7"/>
      <c r="Y970" s="377"/>
      <c r="Z970" s="377"/>
      <c r="AA970" s="377"/>
      <c r="AB970" s="377"/>
      <c r="AC970" s="377"/>
      <c r="AD970" s="377"/>
      <c r="AE970" s="377"/>
      <c r="AF970" s="377"/>
      <c r="AG970" s="377"/>
    </row>
    <row r="971" ht="14.25" customHeight="1">
      <c r="A971" s="377"/>
      <c r="B971" s="377"/>
      <c r="C971" s="377"/>
      <c r="D971" s="377"/>
      <c r="E971" s="377"/>
      <c r="F971" s="377"/>
      <c r="G971" s="377"/>
      <c r="H971" s="377"/>
      <c r="I971" s="377"/>
      <c r="J971" s="377"/>
      <c r="K971" s="377"/>
      <c r="L971" s="377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7"/>
      <c r="Y971" s="377"/>
      <c r="Z971" s="377"/>
      <c r="AA971" s="377"/>
      <c r="AB971" s="377"/>
      <c r="AC971" s="377"/>
      <c r="AD971" s="377"/>
      <c r="AE971" s="377"/>
      <c r="AF971" s="377"/>
      <c r="AG971" s="377"/>
    </row>
    <row r="972" ht="14.25" customHeight="1">
      <c r="A972" s="377"/>
      <c r="B972" s="377"/>
      <c r="C972" s="377"/>
      <c r="D972" s="377"/>
      <c r="E972" s="377"/>
      <c r="F972" s="377"/>
      <c r="G972" s="377"/>
      <c r="H972" s="377"/>
      <c r="I972" s="377"/>
      <c r="J972" s="377"/>
      <c r="K972" s="377"/>
      <c r="L972" s="377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7"/>
      <c r="Y972" s="377"/>
      <c r="Z972" s="377"/>
      <c r="AA972" s="377"/>
      <c r="AB972" s="377"/>
      <c r="AC972" s="377"/>
      <c r="AD972" s="377"/>
      <c r="AE972" s="377"/>
      <c r="AF972" s="377"/>
      <c r="AG972" s="377"/>
    </row>
    <row r="973" ht="14.25" customHeight="1">
      <c r="A973" s="377"/>
      <c r="B973" s="377"/>
      <c r="C973" s="377"/>
      <c r="D973" s="377"/>
      <c r="E973" s="377"/>
      <c r="F973" s="377"/>
      <c r="G973" s="377"/>
      <c r="H973" s="377"/>
      <c r="I973" s="377"/>
      <c r="J973" s="377"/>
      <c r="K973" s="377"/>
      <c r="L973" s="377"/>
      <c r="M973" s="377"/>
      <c r="N973" s="377"/>
      <c r="O973" s="377"/>
      <c r="P973" s="377"/>
      <c r="Q973" s="377"/>
      <c r="R973" s="377"/>
      <c r="S973" s="377"/>
      <c r="T973" s="377"/>
      <c r="U973" s="377"/>
      <c r="V973" s="377"/>
      <c r="W973" s="377"/>
      <c r="X973" s="377"/>
      <c r="Y973" s="377"/>
      <c r="Z973" s="377"/>
      <c r="AA973" s="377"/>
      <c r="AB973" s="377"/>
      <c r="AC973" s="377"/>
      <c r="AD973" s="377"/>
      <c r="AE973" s="377"/>
      <c r="AF973" s="377"/>
      <c r="AG973" s="377"/>
    </row>
    <row r="974" ht="14.25" customHeight="1">
      <c r="A974" s="377"/>
      <c r="B974" s="377"/>
      <c r="C974" s="377"/>
      <c r="D974" s="377"/>
      <c r="E974" s="377"/>
      <c r="F974" s="377"/>
      <c r="G974" s="377"/>
      <c r="H974" s="377"/>
      <c r="I974" s="377"/>
      <c r="J974" s="377"/>
      <c r="K974" s="377"/>
      <c r="L974" s="377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7"/>
      <c r="Y974" s="377"/>
      <c r="Z974" s="377"/>
      <c r="AA974" s="377"/>
      <c r="AB974" s="377"/>
      <c r="AC974" s="377"/>
      <c r="AD974" s="377"/>
      <c r="AE974" s="377"/>
      <c r="AF974" s="377"/>
      <c r="AG974" s="377"/>
    </row>
    <row r="975" ht="14.25" customHeight="1">
      <c r="A975" s="377"/>
      <c r="B975" s="377"/>
      <c r="C975" s="377"/>
      <c r="D975" s="377"/>
      <c r="E975" s="377"/>
      <c r="F975" s="377"/>
      <c r="G975" s="377"/>
      <c r="H975" s="377"/>
      <c r="I975" s="377"/>
      <c r="J975" s="377"/>
      <c r="K975" s="377"/>
      <c r="L975" s="377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7"/>
      <c r="Y975" s="377"/>
      <c r="Z975" s="377"/>
      <c r="AA975" s="377"/>
      <c r="AB975" s="377"/>
      <c r="AC975" s="377"/>
      <c r="AD975" s="377"/>
      <c r="AE975" s="377"/>
      <c r="AF975" s="377"/>
      <c r="AG975" s="377"/>
    </row>
    <row r="976" ht="14.25" customHeight="1">
      <c r="A976" s="377"/>
      <c r="B976" s="377"/>
      <c r="C976" s="377"/>
      <c r="D976" s="377"/>
      <c r="E976" s="377"/>
      <c r="F976" s="377"/>
      <c r="G976" s="377"/>
      <c r="H976" s="377"/>
      <c r="I976" s="377"/>
      <c r="J976" s="377"/>
      <c r="K976" s="377"/>
      <c r="L976" s="377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7"/>
      <c r="Y976" s="377"/>
      <c r="Z976" s="377"/>
      <c r="AA976" s="377"/>
      <c r="AB976" s="377"/>
      <c r="AC976" s="377"/>
      <c r="AD976" s="377"/>
      <c r="AE976" s="377"/>
      <c r="AF976" s="377"/>
      <c r="AG976" s="377"/>
    </row>
    <row r="977" ht="14.25" customHeight="1">
      <c r="A977" s="377"/>
      <c r="B977" s="377"/>
      <c r="C977" s="377"/>
      <c r="D977" s="377"/>
      <c r="E977" s="377"/>
      <c r="F977" s="377"/>
      <c r="G977" s="377"/>
      <c r="H977" s="377"/>
      <c r="I977" s="377"/>
      <c r="J977" s="377"/>
      <c r="K977" s="377"/>
      <c r="L977" s="377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7"/>
      <c r="Y977" s="377"/>
      <c r="Z977" s="377"/>
      <c r="AA977" s="377"/>
      <c r="AB977" s="377"/>
      <c r="AC977" s="377"/>
      <c r="AD977" s="377"/>
      <c r="AE977" s="377"/>
      <c r="AF977" s="377"/>
      <c r="AG977" s="377"/>
    </row>
    <row r="978" ht="14.25" customHeight="1">
      <c r="A978" s="377"/>
      <c r="B978" s="377"/>
      <c r="C978" s="377"/>
      <c r="D978" s="377"/>
      <c r="E978" s="377"/>
      <c r="F978" s="377"/>
      <c r="G978" s="377"/>
      <c r="H978" s="377"/>
      <c r="I978" s="377"/>
      <c r="J978" s="377"/>
      <c r="K978" s="377"/>
      <c r="L978" s="377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7"/>
      <c r="Y978" s="377"/>
      <c r="Z978" s="377"/>
      <c r="AA978" s="377"/>
      <c r="AB978" s="377"/>
      <c r="AC978" s="377"/>
      <c r="AD978" s="377"/>
      <c r="AE978" s="377"/>
      <c r="AF978" s="377"/>
      <c r="AG978" s="377"/>
    </row>
    <row r="979" ht="14.25" customHeight="1">
      <c r="A979" s="377"/>
      <c r="B979" s="377"/>
      <c r="C979" s="377"/>
      <c r="D979" s="377"/>
      <c r="E979" s="377"/>
      <c r="F979" s="377"/>
      <c r="G979" s="377"/>
      <c r="H979" s="377"/>
      <c r="I979" s="377"/>
      <c r="J979" s="377"/>
      <c r="K979" s="377"/>
      <c r="L979" s="377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7"/>
      <c r="Y979" s="377"/>
      <c r="Z979" s="377"/>
      <c r="AA979" s="377"/>
      <c r="AB979" s="377"/>
      <c r="AC979" s="377"/>
      <c r="AD979" s="377"/>
      <c r="AE979" s="377"/>
      <c r="AF979" s="377"/>
      <c r="AG979" s="377"/>
    </row>
    <row r="980" ht="14.25" customHeight="1">
      <c r="A980" s="377"/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77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7"/>
      <c r="Y980" s="377"/>
      <c r="Z980" s="377"/>
      <c r="AA980" s="377"/>
      <c r="AB980" s="377"/>
      <c r="AC980" s="377"/>
      <c r="AD980" s="377"/>
      <c r="AE980" s="377"/>
      <c r="AF980" s="377"/>
      <c r="AG980" s="377"/>
    </row>
    <row r="981" ht="14.25" customHeight="1">
      <c r="A981" s="377"/>
      <c r="B981" s="377"/>
      <c r="C981" s="377"/>
      <c r="D981" s="377"/>
      <c r="E981" s="377"/>
      <c r="F981" s="377"/>
      <c r="G981" s="377"/>
      <c r="H981" s="377"/>
      <c r="I981" s="377"/>
      <c r="J981" s="377"/>
      <c r="K981" s="377"/>
      <c r="L981" s="377"/>
      <c r="M981" s="377"/>
      <c r="N981" s="377"/>
      <c r="O981" s="377"/>
      <c r="P981" s="377"/>
      <c r="Q981" s="377"/>
      <c r="R981" s="377"/>
      <c r="S981" s="377"/>
      <c r="T981" s="377"/>
      <c r="U981" s="377"/>
      <c r="V981" s="377"/>
      <c r="W981" s="377"/>
      <c r="X981" s="377"/>
      <c r="Y981" s="377"/>
      <c r="Z981" s="377"/>
      <c r="AA981" s="377"/>
      <c r="AB981" s="377"/>
      <c r="AC981" s="377"/>
      <c r="AD981" s="377"/>
      <c r="AE981" s="377"/>
      <c r="AF981" s="377"/>
      <c r="AG981" s="377"/>
    </row>
    <row r="982" ht="14.25" customHeight="1">
      <c r="A982" s="377"/>
      <c r="B982" s="377"/>
      <c r="C982" s="377"/>
      <c r="D982" s="377"/>
      <c r="E982" s="377"/>
      <c r="F982" s="377"/>
      <c r="G982" s="377"/>
      <c r="H982" s="377"/>
      <c r="I982" s="377"/>
      <c r="J982" s="377"/>
      <c r="K982" s="377"/>
      <c r="L982" s="377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7"/>
      <c r="Y982" s="377"/>
      <c r="Z982" s="377"/>
      <c r="AA982" s="377"/>
      <c r="AB982" s="377"/>
      <c r="AC982" s="377"/>
      <c r="AD982" s="377"/>
      <c r="AE982" s="377"/>
      <c r="AF982" s="377"/>
      <c r="AG982" s="377"/>
    </row>
    <row r="983" ht="14.25" customHeight="1">
      <c r="A983" s="377"/>
      <c r="B983" s="377"/>
      <c r="C983" s="377"/>
      <c r="D983" s="377"/>
      <c r="E983" s="377"/>
      <c r="F983" s="377"/>
      <c r="G983" s="377"/>
      <c r="H983" s="377"/>
      <c r="I983" s="377"/>
      <c r="J983" s="377"/>
      <c r="K983" s="377"/>
      <c r="L983" s="377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7"/>
      <c r="Y983" s="377"/>
      <c r="Z983" s="377"/>
      <c r="AA983" s="377"/>
      <c r="AB983" s="377"/>
      <c r="AC983" s="377"/>
      <c r="AD983" s="377"/>
      <c r="AE983" s="377"/>
      <c r="AF983" s="377"/>
      <c r="AG983" s="377"/>
    </row>
    <row r="984" ht="14.25" customHeight="1">
      <c r="A984" s="377"/>
      <c r="B984" s="377"/>
      <c r="C984" s="377"/>
      <c r="D984" s="377"/>
      <c r="E984" s="377"/>
      <c r="F984" s="377"/>
      <c r="G984" s="377"/>
      <c r="H984" s="377"/>
      <c r="I984" s="377"/>
      <c r="J984" s="377"/>
      <c r="K984" s="377"/>
      <c r="L984" s="377"/>
      <c r="M984" s="377"/>
      <c r="N984" s="377"/>
      <c r="O984" s="377"/>
      <c r="P984" s="377"/>
      <c r="Q984" s="377"/>
      <c r="R984" s="377"/>
      <c r="S984" s="377"/>
      <c r="T984" s="377"/>
      <c r="U984" s="377"/>
      <c r="V984" s="377"/>
      <c r="W984" s="377"/>
      <c r="X984" s="377"/>
      <c r="Y984" s="377"/>
      <c r="Z984" s="377"/>
      <c r="AA984" s="377"/>
      <c r="AB984" s="377"/>
      <c r="AC984" s="377"/>
      <c r="AD984" s="377"/>
      <c r="AE984" s="377"/>
      <c r="AF984" s="377"/>
      <c r="AG984" s="377"/>
    </row>
    <row r="985" ht="14.25" customHeight="1">
      <c r="A985" s="377"/>
      <c r="B985" s="377"/>
      <c r="C985" s="377"/>
      <c r="D985" s="377"/>
      <c r="E985" s="377"/>
      <c r="F985" s="377"/>
      <c r="G985" s="377"/>
      <c r="H985" s="377"/>
      <c r="I985" s="377"/>
      <c r="J985" s="377"/>
      <c r="K985" s="377"/>
      <c r="L985" s="377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7"/>
      <c r="Y985" s="377"/>
      <c r="Z985" s="377"/>
      <c r="AA985" s="377"/>
      <c r="AB985" s="377"/>
      <c r="AC985" s="377"/>
      <c r="AD985" s="377"/>
      <c r="AE985" s="377"/>
      <c r="AF985" s="377"/>
      <c r="AG985" s="377"/>
    </row>
    <row r="986" ht="14.25" customHeight="1">
      <c r="A986" s="377"/>
      <c r="B986" s="377"/>
      <c r="C986" s="377"/>
      <c r="D986" s="377"/>
      <c r="E986" s="377"/>
      <c r="F986" s="377"/>
      <c r="G986" s="377"/>
      <c r="H986" s="377"/>
      <c r="I986" s="377"/>
      <c r="J986" s="377"/>
      <c r="K986" s="377"/>
      <c r="L986" s="377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7"/>
      <c r="Y986" s="377"/>
      <c r="Z986" s="377"/>
      <c r="AA986" s="377"/>
      <c r="AB986" s="377"/>
      <c r="AC986" s="377"/>
      <c r="AD986" s="377"/>
      <c r="AE986" s="377"/>
      <c r="AF986" s="377"/>
      <c r="AG986" s="377"/>
    </row>
    <row r="987" ht="14.25" customHeight="1">
      <c r="A987" s="377"/>
      <c r="B987" s="377"/>
      <c r="C987" s="377"/>
      <c r="D987" s="377"/>
      <c r="E987" s="377"/>
      <c r="F987" s="377"/>
      <c r="G987" s="377"/>
      <c r="H987" s="377"/>
      <c r="I987" s="377"/>
      <c r="J987" s="377"/>
      <c r="K987" s="377"/>
      <c r="L987" s="377"/>
      <c r="M987" s="377"/>
      <c r="N987" s="377"/>
      <c r="O987" s="377"/>
      <c r="P987" s="377"/>
      <c r="Q987" s="377"/>
      <c r="R987" s="377"/>
      <c r="S987" s="377"/>
      <c r="T987" s="377"/>
      <c r="U987" s="377"/>
      <c r="V987" s="377"/>
      <c r="W987" s="377"/>
      <c r="X987" s="377"/>
      <c r="Y987" s="377"/>
      <c r="Z987" s="377"/>
      <c r="AA987" s="377"/>
      <c r="AB987" s="377"/>
      <c r="AC987" s="377"/>
      <c r="AD987" s="377"/>
      <c r="AE987" s="377"/>
      <c r="AF987" s="377"/>
      <c r="AG987" s="377"/>
    </row>
    <row r="988" ht="14.25" customHeight="1">
      <c r="A988" s="377"/>
      <c r="B988" s="377"/>
      <c r="C988" s="377"/>
      <c r="D988" s="377"/>
      <c r="E988" s="377"/>
      <c r="F988" s="377"/>
      <c r="G988" s="377"/>
      <c r="H988" s="377"/>
      <c r="I988" s="377"/>
      <c r="J988" s="377"/>
      <c r="K988" s="377"/>
      <c r="L988" s="377"/>
      <c r="M988" s="377"/>
      <c r="N988" s="377"/>
      <c r="O988" s="377"/>
      <c r="P988" s="377"/>
      <c r="Q988" s="377"/>
      <c r="R988" s="377"/>
      <c r="S988" s="377"/>
      <c r="T988" s="377"/>
      <c r="U988" s="377"/>
      <c r="V988" s="377"/>
      <c r="W988" s="377"/>
      <c r="X988" s="377"/>
      <c r="Y988" s="377"/>
      <c r="Z988" s="377"/>
      <c r="AA988" s="377"/>
      <c r="AB988" s="377"/>
      <c r="AC988" s="377"/>
      <c r="AD988" s="377"/>
      <c r="AE988" s="377"/>
      <c r="AF988" s="377"/>
      <c r="AG988" s="377"/>
    </row>
    <row r="989" ht="14.25" customHeight="1">
      <c r="A989" s="377"/>
      <c r="B989" s="377"/>
      <c r="C989" s="377"/>
      <c r="D989" s="377"/>
      <c r="E989" s="377"/>
      <c r="F989" s="377"/>
      <c r="G989" s="377"/>
      <c r="H989" s="377"/>
      <c r="I989" s="377"/>
      <c r="J989" s="377"/>
      <c r="K989" s="377"/>
      <c r="L989" s="377"/>
      <c r="M989" s="377"/>
      <c r="N989" s="377"/>
      <c r="O989" s="377"/>
      <c r="P989" s="377"/>
      <c r="Q989" s="377"/>
      <c r="R989" s="377"/>
      <c r="S989" s="377"/>
      <c r="T989" s="377"/>
      <c r="U989" s="377"/>
      <c r="V989" s="377"/>
      <c r="W989" s="377"/>
      <c r="X989" s="377"/>
      <c r="Y989" s="377"/>
      <c r="Z989" s="377"/>
      <c r="AA989" s="377"/>
      <c r="AB989" s="377"/>
      <c r="AC989" s="377"/>
      <c r="AD989" s="377"/>
      <c r="AE989" s="377"/>
      <c r="AF989" s="377"/>
      <c r="AG989" s="377"/>
    </row>
    <row r="990" ht="14.25" customHeight="1">
      <c r="A990" s="377"/>
      <c r="B990" s="377"/>
      <c r="C990" s="377"/>
      <c r="D990" s="377"/>
      <c r="E990" s="377"/>
      <c r="F990" s="377"/>
      <c r="G990" s="377"/>
      <c r="H990" s="377"/>
      <c r="I990" s="377"/>
      <c r="J990" s="377"/>
      <c r="K990" s="377"/>
      <c r="L990" s="377"/>
      <c r="M990" s="377"/>
      <c r="N990" s="377"/>
      <c r="O990" s="377"/>
      <c r="P990" s="377"/>
      <c r="Q990" s="377"/>
      <c r="R990" s="377"/>
      <c r="S990" s="377"/>
      <c r="T990" s="377"/>
      <c r="U990" s="377"/>
      <c r="V990" s="377"/>
      <c r="W990" s="377"/>
      <c r="X990" s="377"/>
      <c r="Y990" s="377"/>
      <c r="Z990" s="377"/>
      <c r="AA990" s="377"/>
      <c r="AB990" s="377"/>
      <c r="AC990" s="377"/>
      <c r="AD990" s="377"/>
      <c r="AE990" s="377"/>
      <c r="AF990" s="377"/>
      <c r="AG990" s="377"/>
    </row>
    <row r="991" ht="14.25" customHeight="1">
      <c r="A991" s="377"/>
      <c r="B991" s="377"/>
      <c r="C991" s="377"/>
      <c r="D991" s="377"/>
      <c r="E991" s="377"/>
      <c r="F991" s="377"/>
      <c r="G991" s="377"/>
      <c r="H991" s="377"/>
      <c r="I991" s="377"/>
      <c r="J991" s="377"/>
      <c r="K991" s="377"/>
      <c r="L991" s="377"/>
      <c r="M991" s="377"/>
      <c r="N991" s="377"/>
      <c r="O991" s="377"/>
      <c r="P991" s="377"/>
      <c r="Q991" s="377"/>
      <c r="R991" s="377"/>
      <c r="S991" s="377"/>
      <c r="T991" s="377"/>
      <c r="U991" s="377"/>
      <c r="V991" s="377"/>
      <c r="W991" s="377"/>
      <c r="X991" s="377"/>
      <c r="Y991" s="377"/>
      <c r="Z991" s="377"/>
      <c r="AA991" s="377"/>
      <c r="AB991" s="377"/>
      <c r="AC991" s="377"/>
      <c r="AD991" s="377"/>
      <c r="AE991" s="377"/>
      <c r="AF991" s="377"/>
      <c r="AG991" s="377"/>
    </row>
    <row r="992" ht="14.25" customHeight="1">
      <c r="A992" s="377"/>
      <c r="B992" s="377"/>
      <c r="C992" s="377"/>
      <c r="D992" s="377"/>
      <c r="E992" s="377"/>
      <c r="F992" s="377"/>
      <c r="G992" s="377"/>
      <c r="H992" s="377"/>
      <c r="I992" s="377"/>
      <c r="J992" s="377"/>
      <c r="K992" s="377"/>
      <c r="L992" s="377"/>
      <c r="M992" s="377"/>
      <c r="N992" s="377"/>
      <c r="O992" s="377"/>
      <c r="P992" s="377"/>
      <c r="Q992" s="377"/>
      <c r="R992" s="377"/>
      <c r="S992" s="377"/>
      <c r="T992" s="377"/>
      <c r="U992" s="377"/>
      <c r="V992" s="377"/>
      <c r="W992" s="377"/>
      <c r="X992" s="377"/>
      <c r="Y992" s="377"/>
      <c r="Z992" s="377"/>
      <c r="AA992" s="377"/>
      <c r="AB992" s="377"/>
      <c r="AC992" s="377"/>
      <c r="AD992" s="377"/>
      <c r="AE992" s="377"/>
      <c r="AF992" s="377"/>
      <c r="AG992" s="377"/>
    </row>
    <row r="993" ht="14.25" customHeight="1">
      <c r="A993" s="377"/>
      <c r="B993" s="377"/>
      <c r="C993" s="377"/>
      <c r="D993" s="377"/>
      <c r="E993" s="377"/>
      <c r="F993" s="377"/>
      <c r="G993" s="377"/>
      <c r="H993" s="377"/>
      <c r="I993" s="377"/>
      <c r="J993" s="377"/>
      <c r="K993" s="377"/>
      <c r="L993" s="377"/>
      <c r="M993" s="377"/>
      <c r="N993" s="377"/>
      <c r="O993" s="377"/>
      <c r="P993" s="377"/>
      <c r="Q993" s="377"/>
      <c r="R993" s="377"/>
      <c r="S993" s="377"/>
      <c r="T993" s="377"/>
      <c r="U993" s="377"/>
      <c r="V993" s="377"/>
      <c r="W993" s="377"/>
      <c r="X993" s="377"/>
      <c r="Y993" s="377"/>
      <c r="Z993" s="377"/>
      <c r="AA993" s="377"/>
      <c r="AB993" s="377"/>
      <c r="AC993" s="377"/>
      <c r="AD993" s="377"/>
      <c r="AE993" s="377"/>
      <c r="AF993" s="377"/>
      <c r="AG993" s="377"/>
    </row>
    <row r="994" ht="14.25" customHeight="1">
      <c r="A994" s="377"/>
      <c r="B994" s="377"/>
      <c r="C994" s="377"/>
      <c r="D994" s="377"/>
      <c r="E994" s="377"/>
      <c r="F994" s="377"/>
      <c r="G994" s="377"/>
      <c r="H994" s="377"/>
      <c r="I994" s="377"/>
      <c r="J994" s="377"/>
      <c r="K994" s="377"/>
      <c r="L994" s="377"/>
      <c r="M994" s="377"/>
      <c r="N994" s="377"/>
      <c r="O994" s="377"/>
      <c r="P994" s="377"/>
      <c r="Q994" s="377"/>
      <c r="R994" s="377"/>
      <c r="S994" s="377"/>
      <c r="T994" s="377"/>
      <c r="U994" s="377"/>
      <c r="V994" s="377"/>
      <c r="W994" s="377"/>
      <c r="X994" s="377"/>
      <c r="Y994" s="377"/>
      <c r="Z994" s="377"/>
      <c r="AA994" s="377"/>
      <c r="AB994" s="377"/>
      <c r="AC994" s="377"/>
      <c r="AD994" s="377"/>
      <c r="AE994" s="377"/>
      <c r="AF994" s="377"/>
      <c r="AG994" s="377"/>
    </row>
    <row r="995" ht="14.25" customHeight="1">
      <c r="A995" s="377"/>
      <c r="B995" s="377"/>
      <c r="C995" s="377"/>
      <c r="D995" s="377"/>
      <c r="E995" s="377"/>
      <c r="F995" s="377"/>
      <c r="G995" s="377"/>
      <c r="H995" s="377"/>
      <c r="I995" s="377"/>
      <c r="J995" s="377"/>
      <c r="K995" s="377"/>
      <c r="L995" s="377"/>
      <c r="M995" s="377"/>
      <c r="N995" s="377"/>
      <c r="O995" s="377"/>
      <c r="P995" s="377"/>
      <c r="Q995" s="377"/>
      <c r="R995" s="377"/>
      <c r="S995" s="377"/>
      <c r="T995" s="377"/>
      <c r="U995" s="377"/>
      <c r="V995" s="377"/>
      <c r="W995" s="377"/>
      <c r="X995" s="377"/>
      <c r="Y995" s="377"/>
      <c r="Z995" s="377"/>
      <c r="AA995" s="377"/>
      <c r="AB995" s="377"/>
      <c r="AC995" s="377"/>
      <c r="AD995" s="377"/>
      <c r="AE995" s="377"/>
      <c r="AF995" s="377"/>
      <c r="AG995" s="377"/>
    </row>
    <row r="996" ht="14.25" customHeight="1">
      <c r="A996" s="377"/>
      <c r="B996" s="377"/>
      <c r="C996" s="377"/>
      <c r="D996" s="377"/>
      <c r="E996" s="377"/>
      <c r="F996" s="377"/>
      <c r="G996" s="377"/>
      <c r="H996" s="377"/>
      <c r="I996" s="377"/>
      <c r="J996" s="377"/>
      <c r="K996" s="377"/>
      <c r="L996" s="377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  <c r="Z996" s="377"/>
      <c r="AA996" s="377"/>
      <c r="AB996" s="377"/>
      <c r="AC996" s="377"/>
      <c r="AD996" s="377"/>
      <c r="AE996" s="377"/>
      <c r="AF996" s="377"/>
      <c r="AG996" s="377"/>
    </row>
    <row r="997" ht="14.25" customHeight="1">
      <c r="A997" s="377"/>
      <c r="B997" s="377"/>
      <c r="C997" s="377"/>
      <c r="D997" s="377"/>
      <c r="E997" s="377"/>
      <c r="F997" s="377"/>
      <c r="G997" s="377"/>
      <c r="H997" s="377"/>
      <c r="I997" s="377"/>
      <c r="J997" s="377"/>
      <c r="K997" s="377"/>
      <c r="L997" s="377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  <c r="Z997" s="377"/>
      <c r="AA997" s="377"/>
      <c r="AB997" s="377"/>
      <c r="AC997" s="377"/>
      <c r="AD997" s="377"/>
      <c r="AE997" s="377"/>
      <c r="AF997" s="377"/>
      <c r="AG997" s="377"/>
    </row>
    <row r="998" ht="14.25" customHeight="1">
      <c r="A998" s="377"/>
      <c r="B998" s="377"/>
      <c r="C998" s="377"/>
      <c r="D998" s="377"/>
      <c r="E998" s="377"/>
      <c r="F998" s="377"/>
      <c r="G998" s="377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  <c r="Z998" s="377"/>
      <c r="AA998" s="377"/>
      <c r="AB998" s="377"/>
      <c r="AC998" s="377"/>
      <c r="AD998" s="377"/>
      <c r="AE998" s="377"/>
      <c r="AF998" s="377"/>
      <c r="AG998" s="377"/>
    </row>
    <row r="999" ht="14.25" customHeight="1">
      <c r="A999" s="377"/>
      <c r="B999" s="377"/>
      <c r="C999" s="377"/>
      <c r="D999" s="377"/>
      <c r="E999" s="377"/>
      <c r="F999" s="377"/>
      <c r="G999" s="377"/>
      <c r="H999" s="377"/>
      <c r="I999" s="377"/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  <c r="Z999" s="377"/>
      <c r="AA999" s="377"/>
      <c r="AB999" s="377"/>
      <c r="AC999" s="377"/>
      <c r="AD999" s="377"/>
      <c r="AE999" s="377"/>
      <c r="AF999" s="377"/>
      <c r="AG999" s="377"/>
    </row>
    <row r="1000" ht="14.25" customHeight="1">
      <c r="A1000" s="377"/>
      <c r="B1000" s="377"/>
      <c r="C1000" s="377"/>
      <c r="D1000" s="377"/>
      <c r="E1000" s="377"/>
      <c r="F1000" s="377"/>
      <c r="G1000" s="377"/>
      <c r="H1000" s="377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  <c r="Z1000" s="377"/>
      <c r="AA1000" s="377"/>
      <c r="AB1000" s="377"/>
      <c r="AC1000" s="377"/>
      <c r="AD1000" s="377"/>
      <c r="AE1000" s="377"/>
      <c r="AF1000" s="377"/>
      <c r="AG1000" s="377"/>
    </row>
  </sheetData>
  <conditionalFormatting sqref="C23:AG23 C30:AG30">
    <cfRule type="cellIs" dxfId="9" priority="1" operator="greaterThan">
      <formula>3000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1.29"/>
    <col customWidth="1" min="3" max="3" width="10.71"/>
    <col customWidth="1" min="4" max="8" width="8.71"/>
    <col customWidth="1" min="9" max="9" width="19.86"/>
    <col customWidth="1" min="10" max="10" width="13.86"/>
    <col customWidth="1" min="11" max="11" width="15.86"/>
    <col customWidth="1" min="12" max="12" width="18.14"/>
    <col customWidth="1" min="13" max="26" width="8.71"/>
  </cols>
  <sheetData>
    <row r="1" ht="31.5" customHeight="1">
      <c r="A1" s="434" t="s">
        <v>566</v>
      </c>
      <c r="B1" s="216"/>
      <c r="C1" s="216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</row>
    <row r="2" ht="19.5" customHeight="1">
      <c r="A2" s="435" t="s">
        <v>267</v>
      </c>
      <c r="B2" s="435" t="s">
        <v>567</v>
      </c>
      <c r="C2" s="436" t="s">
        <v>568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</row>
    <row r="3" ht="19.5" customHeight="1">
      <c r="A3" s="313"/>
      <c r="B3" s="313"/>
      <c r="C3" s="313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</row>
    <row r="4" ht="19.5" customHeight="1">
      <c r="A4" s="437" t="s">
        <v>569</v>
      </c>
      <c r="B4" s="438" t="s">
        <v>570</v>
      </c>
      <c r="C4" s="439">
        <v>0.014558760588875005</v>
      </c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7"/>
      <c r="T4" s="377"/>
      <c r="U4" s="377"/>
      <c r="V4" s="377"/>
      <c r="W4" s="377"/>
      <c r="X4" s="377"/>
      <c r="Y4" s="377"/>
      <c r="Z4" s="377"/>
    </row>
    <row r="5" ht="19.5" customHeight="1">
      <c r="A5" s="437" t="s">
        <v>569</v>
      </c>
      <c r="B5" s="438" t="s">
        <v>571</v>
      </c>
      <c r="C5" s="439">
        <v>0.005</v>
      </c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</row>
    <row r="6" ht="19.5" customHeight="1">
      <c r="A6" s="437" t="s">
        <v>572</v>
      </c>
      <c r="B6" s="438" t="s">
        <v>570</v>
      </c>
      <c r="C6" s="439">
        <v>0.014558760588875005</v>
      </c>
      <c r="D6" s="377"/>
      <c r="E6" s="377"/>
      <c r="F6" s="377"/>
      <c r="G6" s="377"/>
      <c r="H6" s="377"/>
      <c r="I6" s="440"/>
      <c r="J6" s="440"/>
      <c r="K6" s="440"/>
      <c r="L6" s="440"/>
      <c r="M6" s="377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</row>
    <row r="7" ht="19.5" customHeight="1">
      <c r="A7" s="441" t="s">
        <v>573</v>
      </c>
      <c r="B7" s="442" t="s">
        <v>574</v>
      </c>
      <c r="C7" s="443">
        <v>0.013914864979906207</v>
      </c>
      <c r="D7" s="377"/>
      <c r="E7" s="377"/>
      <c r="F7" s="377"/>
      <c r="G7" s="377"/>
      <c r="H7" s="377"/>
      <c r="I7" s="410"/>
      <c r="J7" s="410"/>
      <c r="K7" s="410"/>
      <c r="L7" s="444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ht="19.5" customHeight="1">
      <c r="A8" s="441" t="s">
        <v>575</v>
      </c>
      <c r="B8" s="442" t="s">
        <v>576</v>
      </c>
      <c r="C8" s="443">
        <v>0.00877925607397042</v>
      </c>
      <c r="D8" s="377"/>
      <c r="E8" s="377"/>
      <c r="F8" s="377"/>
      <c r="G8" s="377"/>
      <c r="H8" s="377"/>
      <c r="I8" s="410"/>
      <c r="J8" s="410"/>
      <c r="K8" s="410"/>
      <c r="L8" s="444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</row>
    <row r="9" ht="19.5" customHeight="1">
      <c r="A9" s="441" t="s">
        <v>575</v>
      </c>
      <c r="B9" s="445" t="s">
        <v>577</v>
      </c>
      <c r="C9" s="443">
        <v>0.014282594086021505</v>
      </c>
      <c r="D9" s="377"/>
      <c r="E9" s="377"/>
      <c r="F9" s="377"/>
      <c r="G9" s="377"/>
      <c r="H9" s="377"/>
      <c r="I9" s="410"/>
      <c r="J9" s="410"/>
      <c r="K9" s="410"/>
      <c r="L9" s="444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</row>
    <row r="10" ht="19.5" customHeight="1">
      <c r="A10" s="441" t="s">
        <v>575</v>
      </c>
      <c r="B10" s="442" t="s">
        <v>578</v>
      </c>
      <c r="C10" s="443">
        <v>0.01093198597481514</v>
      </c>
      <c r="D10" s="377"/>
      <c r="E10" s="377"/>
      <c r="F10" s="377"/>
      <c r="G10" s="377"/>
      <c r="H10" s="377"/>
      <c r="I10" s="410"/>
      <c r="J10" s="410"/>
      <c r="K10" s="410"/>
      <c r="L10" s="444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</row>
    <row r="11" ht="19.5" customHeight="1">
      <c r="A11" s="441" t="s">
        <v>575</v>
      </c>
      <c r="B11" s="442" t="s">
        <v>579</v>
      </c>
      <c r="C11" s="443">
        <v>0.0051115093900603705</v>
      </c>
      <c r="D11" s="377"/>
      <c r="E11" s="377"/>
      <c r="F11" s="377"/>
      <c r="G11" s="377"/>
      <c r="H11" s="377"/>
      <c r="I11" s="440"/>
      <c r="J11" s="410"/>
      <c r="K11" s="410"/>
      <c r="L11" s="444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</row>
    <row r="12" ht="19.5" customHeight="1">
      <c r="A12" s="441" t="s">
        <v>575</v>
      </c>
      <c r="B12" s="442" t="s">
        <v>580</v>
      </c>
      <c r="C12" s="443">
        <v>0.007</v>
      </c>
      <c r="D12" s="377"/>
      <c r="E12" s="377"/>
      <c r="F12" s="377"/>
      <c r="G12" s="377"/>
      <c r="H12" s="377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</row>
    <row r="13" ht="19.5" customHeight="1">
      <c r="A13" s="441" t="s">
        <v>575</v>
      </c>
      <c r="B13" s="442" t="s">
        <v>581</v>
      </c>
      <c r="C13" s="443">
        <v>0.011086682025924534</v>
      </c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</row>
    <row r="14" ht="19.5" customHeight="1">
      <c r="A14" s="441" t="s">
        <v>575</v>
      </c>
      <c r="B14" s="442" t="s">
        <v>582</v>
      </c>
      <c r="C14" s="443">
        <v>0.008821706392739579</v>
      </c>
      <c r="D14" s="377"/>
      <c r="E14" s="377"/>
      <c r="F14" s="377"/>
      <c r="G14" s="377"/>
      <c r="H14" s="377"/>
      <c r="I14" s="377"/>
      <c r="J14" s="377"/>
      <c r="K14" s="377"/>
      <c r="L14" s="377"/>
      <c r="M14" s="377"/>
      <c r="N14" s="377"/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</row>
    <row r="15" ht="19.5" customHeight="1">
      <c r="A15" s="441" t="s">
        <v>575</v>
      </c>
      <c r="B15" s="442" t="s">
        <v>583</v>
      </c>
      <c r="C15" s="443">
        <v>0.006145085336925605</v>
      </c>
      <c r="D15" s="377"/>
      <c r="E15" s="377"/>
      <c r="F15" s="377"/>
      <c r="G15" s="377"/>
      <c r="H15" s="377"/>
      <c r="I15" s="377"/>
      <c r="J15" s="377"/>
      <c r="K15" s="377"/>
      <c r="L15" s="377"/>
      <c r="M15" s="377"/>
      <c r="N15" s="377"/>
      <c r="O15" s="377"/>
      <c r="P15" s="377"/>
      <c r="Q15" s="377"/>
      <c r="R15" s="377"/>
      <c r="S15" s="377"/>
      <c r="T15" s="377"/>
      <c r="U15" s="377"/>
      <c r="V15" s="377"/>
      <c r="W15" s="377"/>
      <c r="X15" s="377"/>
      <c r="Y15" s="377"/>
      <c r="Z15" s="377"/>
    </row>
    <row r="16" ht="19.5" customHeight="1">
      <c r="A16" s="441" t="s">
        <v>575</v>
      </c>
      <c r="B16" s="442" t="s">
        <v>584</v>
      </c>
      <c r="C16" s="443">
        <v>0.008665460570268114</v>
      </c>
      <c r="D16" s="377"/>
      <c r="E16" s="377"/>
      <c r="F16" s="377"/>
      <c r="G16" s="377"/>
      <c r="H16" s="377"/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Z16" s="377"/>
    </row>
    <row r="17" ht="19.5" customHeight="1">
      <c r="A17" s="441" t="s">
        <v>575</v>
      </c>
      <c r="B17" s="442" t="s">
        <v>585</v>
      </c>
      <c r="C17" s="443">
        <v>0.00775691467905819</v>
      </c>
      <c r="D17" s="377"/>
      <c r="E17" s="377"/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Z17" s="377"/>
    </row>
    <row r="18" ht="19.5" customHeight="1">
      <c r="A18" s="441" t="s">
        <v>575</v>
      </c>
      <c r="B18" s="442" t="s">
        <v>586</v>
      </c>
      <c r="C18" s="443">
        <v>0.005021961502897065</v>
      </c>
      <c r="D18" s="377"/>
      <c r="E18" s="377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</row>
    <row r="19" ht="19.5" customHeight="1">
      <c r="A19" s="441" t="s">
        <v>575</v>
      </c>
      <c r="B19" s="442" t="s">
        <v>587</v>
      </c>
      <c r="C19" s="443">
        <v>0.006072108521868393</v>
      </c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</row>
    <row r="20" ht="19.5" customHeight="1">
      <c r="A20" s="447" t="s">
        <v>588</v>
      </c>
      <c r="B20" s="445" t="s">
        <v>589</v>
      </c>
      <c r="C20" s="443">
        <v>0.009308239992155161</v>
      </c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</row>
    <row r="21" ht="19.5" customHeight="1">
      <c r="A21" s="447" t="s">
        <v>588</v>
      </c>
      <c r="B21" s="442" t="s">
        <v>590</v>
      </c>
      <c r="C21" s="443">
        <v>0.028723493904488927</v>
      </c>
      <c r="D21" s="377"/>
      <c r="E21" s="377"/>
      <c r="F21" s="377"/>
      <c r="G21" s="377"/>
      <c r="H21" s="377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</row>
    <row r="22" ht="19.5" customHeight="1">
      <c r="A22" s="447" t="s">
        <v>588</v>
      </c>
      <c r="B22" s="442" t="s">
        <v>592</v>
      </c>
      <c r="C22" s="443">
        <v>0.02820348528730312</v>
      </c>
      <c r="D22" s="377"/>
      <c r="E22" s="377"/>
      <c r="F22" s="377"/>
      <c r="G22" s="377"/>
      <c r="H22" s="377"/>
      <c r="I22" s="377"/>
      <c r="J22" s="377"/>
      <c r="K22" s="377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Z22" s="377"/>
    </row>
    <row r="23" ht="19.5" customHeight="1">
      <c r="A23" s="447" t="s">
        <v>588</v>
      </c>
      <c r="B23" s="442" t="s">
        <v>593</v>
      </c>
      <c r="C23" s="443">
        <v>0.005</v>
      </c>
      <c r="D23" s="377"/>
      <c r="E23" s="377"/>
      <c r="F23" s="377"/>
      <c r="G23" s="377"/>
      <c r="H23" s="377"/>
      <c r="I23" s="377"/>
      <c r="J23" s="377"/>
      <c r="K23" s="377"/>
      <c r="L23" s="377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Z23" s="377"/>
    </row>
    <row r="24" ht="19.5" customHeight="1">
      <c r="A24" s="447" t="s">
        <v>588</v>
      </c>
      <c r="B24" s="442" t="s">
        <v>594</v>
      </c>
      <c r="C24" s="443">
        <v>0.013564345809438234</v>
      </c>
      <c r="D24" s="377"/>
      <c r="E24" s="377"/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Z24" s="377"/>
    </row>
    <row r="25" ht="19.5" customHeight="1">
      <c r="A25" s="447" t="s">
        <v>588</v>
      </c>
      <c r="B25" s="445" t="s">
        <v>595</v>
      </c>
      <c r="C25" s="443">
        <v>0.009352513697342371</v>
      </c>
      <c r="D25" s="377"/>
      <c r="E25" s="377"/>
      <c r="F25" s="377"/>
      <c r="G25" s="377"/>
      <c r="H25" s="377"/>
      <c r="I25" s="377"/>
      <c r="J25" s="377"/>
      <c r="K25" s="377"/>
      <c r="L25" s="377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Z25" s="377"/>
    </row>
    <row r="26" ht="19.5" customHeight="1">
      <c r="A26" s="447" t="s">
        <v>588</v>
      </c>
      <c r="B26" s="442" t="s">
        <v>596</v>
      </c>
      <c r="C26" s="443">
        <v>0.02259492417917034</v>
      </c>
      <c r="D26" s="377"/>
      <c r="E26" s="377"/>
      <c r="F26" s="377"/>
      <c r="G26" s="377"/>
      <c r="H26" s="377"/>
      <c r="I26" s="377"/>
      <c r="J26" s="377"/>
      <c r="K26" s="377"/>
      <c r="L26" s="377"/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Z26" s="377"/>
    </row>
    <row r="27" ht="19.5" customHeight="1">
      <c r="A27" s="447" t="s">
        <v>588</v>
      </c>
      <c r="B27" s="442" t="s">
        <v>597</v>
      </c>
      <c r="C27" s="443">
        <v>0.03578931792765219</v>
      </c>
      <c r="D27" s="377"/>
      <c r="E27" s="377"/>
      <c r="F27" s="377"/>
      <c r="G27" s="377"/>
      <c r="H27" s="377"/>
      <c r="I27" s="377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77"/>
    </row>
    <row r="28" ht="19.5" customHeight="1">
      <c r="A28" s="447" t="s">
        <v>588</v>
      </c>
      <c r="B28" s="442" t="s">
        <v>599</v>
      </c>
      <c r="C28" s="443">
        <v>0.054289491065841564</v>
      </c>
      <c r="D28" s="377"/>
      <c r="E28" s="377"/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  <c r="Q28" s="377"/>
      <c r="R28" s="377"/>
      <c r="S28" s="377"/>
      <c r="T28" s="377"/>
      <c r="U28" s="377"/>
      <c r="V28" s="377"/>
      <c r="W28" s="377"/>
      <c r="X28" s="377"/>
      <c r="Y28" s="377"/>
      <c r="Z28" s="377"/>
    </row>
    <row r="29" ht="19.5" customHeight="1">
      <c r="A29" s="447" t="s">
        <v>588</v>
      </c>
      <c r="B29" s="442" t="s">
        <v>600</v>
      </c>
      <c r="C29" s="443">
        <v>0.040210068130204425</v>
      </c>
      <c r="D29" s="377"/>
      <c r="E29" s="377"/>
      <c r="F29" s="377"/>
      <c r="G29" s="377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Z29" s="377"/>
    </row>
    <row r="30" ht="19.5" customHeight="1">
      <c r="A30" s="447" t="s">
        <v>588</v>
      </c>
      <c r="B30" s="442" t="s">
        <v>601</v>
      </c>
      <c r="C30" s="443">
        <v>0.006496398293148551</v>
      </c>
      <c r="D30" s="377"/>
      <c r="E30" s="377"/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Z30" s="377"/>
    </row>
    <row r="31" ht="19.5" customHeight="1">
      <c r="A31" s="447" t="s">
        <v>588</v>
      </c>
      <c r="B31" s="442" t="s">
        <v>602</v>
      </c>
      <c r="C31" s="443">
        <v>0.013730827148723656</v>
      </c>
      <c r="D31" s="377"/>
      <c r="E31" s="377"/>
      <c r="F31" s="377"/>
      <c r="G31" s="377"/>
      <c r="H31" s="377"/>
      <c r="I31" s="377"/>
      <c r="J31" s="377"/>
      <c r="K31" s="377"/>
      <c r="L31" s="377"/>
      <c r="M31" s="377"/>
      <c r="N31" s="377"/>
      <c r="O31" s="377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Z31" s="377"/>
    </row>
    <row r="32" ht="19.5" customHeight="1">
      <c r="A32" s="447" t="s">
        <v>588</v>
      </c>
      <c r="B32" s="442" t="s">
        <v>603</v>
      </c>
      <c r="C32" s="443">
        <v>0.022542163094842933</v>
      </c>
      <c r="D32" s="377"/>
      <c r="E32" s="377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Z32" s="377"/>
    </row>
    <row r="33" ht="19.5" customHeight="1">
      <c r="A33" s="441" t="s">
        <v>604</v>
      </c>
      <c r="B33" s="442" t="s">
        <v>597</v>
      </c>
      <c r="C33" s="443">
        <v>0.029244763538596046</v>
      </c>
      <c r="D33" s="377"/>
      <c r="E33" s="377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Z33" s="377"/>
    </row>
    <row r="34" ht="19.5" customHeight="1">
      <c r="A34" s="441" t="s">
        <v>572</v>
      </c>
      <c r="B34" s="442" t="s">
        <v>605</v>
      </c>
      <c r="C34" s="443">
        <v>0.0128268183764605</v>
      </c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Z34" s="377"/>
    </row>
    <row r="35" ht="19.5" customHeight="1">
      <c r="A35" s="441" t="s">
        <v>606</v>
      </c>
      <c r="B35" s="442" t="s">
        <v>607</v>
      </c>
      <c r="C35" s="443">
        <v>0.013145770517484785</v>
      </c>
      <c r="D35" s="377"/>
      <c r="E35" s="377"/>
      <c r="F35" s="377"/>
      <c r="G35" s="377"/>
      <c r="H35" s="377"/>
      <c r="I35" s="377"/>
      <c r="J35" s="377"/>
      <c r="K35" s="377"/>
      <c r="L35" s="377"/>
      <c r="M35" s="377"/>
      <c r="N35" s="377"/>
      <c r="O35" s="377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Z35" s="377"/>
    </row>
    <row r="36" ht="19.5" customHeight="1">
      <c r="A36" s="441" t="s">
        <v>608</v>
      </c>
      <c r="B36" s="442" t="s">
        <v>609</v>
      </c>
      <c r="C36" s="443">
        <v>0.005</v>
      </c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Z36" s="377"/>
    </row>
    <row r="37" ht="19.5" customHeight="1">
      <c r="A37" s="441" t="s">
        <v>610</v>
      </c>
      <c r="B37" s="442" t="s">
        <v>611</v>
      </c>
      <c r="C37" s="443">
        <v>0.00943713783019544</v>
      </c>
      <c r="D37" s="377"/>
      <c r="E37" s="377"/>
      <c r="F37" s="377"/>
      <c r="G37" s="377"/>
      <c r="H37" s="377"/>
      <c r="I37" s="377"/>
      <c r="J37" s="377"/>
      <c r="K37" s="377"/>
      <c r="L37" s="377"/>
      <c r="M37" s="377"/>
      <c r="N37" s="377"/>
      <c r="O37" s="377"/>
      <c r="P37" s="377"/>
      <c r="Q37" s="377"/>
      <c r="R37" s="377"/>
      <c r="S37" s="377"/>
      <c r="T37" s="377"/>
      <c r="U37" s="377"/>
      <c r="V37" s="377"/>
      <c r="W37" s="377"/>
      <c r="X37" s="377"/>
      <c r="Y37" s="377"/>
      <c r="Z37" s="377"/>
    </row>
    <row r="38" ht="19.5" customHeight="1">
      <c r="A38" s="441" t="s">
        <v>610</v>
      </c>
      <c r="B38" s="442" t="s">
        <v>612</v>
      </c>
      <c r="C38" s="443">
        <v>0.011132982875600956</v>
      </c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</row>
    <row r="39" ht="19.5" customHeight="1">
      <c r="A39" s="441" t="s">
        <v>610</v>
      </c>
      <c r="B39" s="442" t="s">
        <v>613</v>
      </c>
      <c r="C39" s="443">
        <v>0.02673860409876658</v>
      </c>
      <c r="D39" s="377"/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</row>
    <row r="40" ht="19.5" customHeight="1">
      <c r="A40" s="441" t="s">
        <v>610</v>
      </c>
      <c r="B40" s="442" t="s">
        <v>614</v>
      </c>
      <c r="C40" s="443">
        <v>0.016187921883153298</v>
      </c>
      <c r="D40" s="377"/>
      <c r="E40" s="377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</row>
    <row r="41" ht="19.5" customHeight="1">
      <c r="A41" s="441" t="s">
        <v>610</v>
      </c>
      <c r="B41" s="442" t="s">
        <v>615</v>
      </c>
      <c r="C41" s="443">
        <v>0.017570078537547613</v>
      </c>
      <c r="D41" s="377"/>
      <c r="E41" s="377"/>
      <c r="F41" s="377"/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</row>
    <row r="42" ht="19.5" customHeight="1">
      <c r="A42" s="441" t="s">
        <v>610</v>
      </c>
      <c r="B42" s="442" t="s">
        <v>596</v>
      </c>
      <c r="C42" s="443">
        <v>0.01493166451449501</v>
      </c>
      <c r="D42" s="377"/>
      <c r="E42" s="377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</row>
    <row r="43" ht="19.5" customHeight="1">
      <c r="A43" s="441" t="s">
        <v>610</v>
      </c>
      <c r="B43" s="442" t="s">
        <v>616</v>
      </c>
      <c r="C43" s="443">
        <v>0.010265779178427015</v>
      </c>
      <c r="D43" s="377"/>
      <c r="E43" s="377"/>
      <c r="F43" s="377"/>
      <c r="G43" s="377"/>
      <c r="H43" s="377"/>
      <c r="I43" s="377"/>
      <c r="J43" s="377"/>
      <c r="K43" s="377"/>
      <c r="L43" s="377"/>
      <c r="M43" s="377"/>
      <c r="N43" s="377"/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Z43" s="377"/>
    </row>
    <row r="44" ht="19.5" customHeight="1">
      <c r="A44" s="441" t="s">
        <v>610</v>
      </c>
      <c r="B44" s="442" t="s">
        <v>617</v>
      </c>
      <c r="C44" s="443">
        <v>0.017504582736110788</v>
      </c>
      <c r="D44" s="377"/>
      <c r="E44" s="377"/>
      <c r="F44" s="377"/>
      <c r="G44" s="377"/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</row>
    <row r="45" ht="19.5" customHeight="1">
      <c r="A45" s="441" t="s">
        <v>610</v>
      </c>
      <c r="B45" s="442" t="s">
        <v>618</v>
      </c>
      <c r="C45" s="443">
        <v>0.022269445648075203</v>
      </c>
      <c r="D45" s="377"/>
      <c r="E45" s="377"/>
      <c r="F45" s="377"/>
      <c r="G45" s="377"/>
      <c r="H45" s="377"/>
      <c r="I45" s="377"/>
      <c r="J45" s="377"/>
      <c r="K45" s="377"/>
      <c r="L45" s="377"/>
      <c r="M45" s="377"/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Z45" s="377"/>
    </row>
    <row r="46" ht="19.5" customHeight="1">
      <c r="A46" s="441" t="s">
        <v>610</v>
      </c>
      <c r="B46" s="442" t="s">
        <v>619</v>
      </c>
      <c r="C46" s="443">
        <v>0.032690113836631375</v>
      </c>
      <c r="D46" s="377"/>
      <c r="E46" s="377"/>
      <c r="F46" s="377"/>
      <c r="G46" s="377"/>
      <c r="H46" s="377"/>
      <c r="I46" s="377"/>
      <c r="J46" s="377"/>
      <c r="K46" s="377"/>
      <c r="L46" s="377"/>
      <c r="M46" s="377"/>
      <c r="N46" s="377"/>
      <c r="O46" s="377"/>
      <c r="P46" s="377"/>
      <c r="Q46" s="377"/>
      <c r="R46" s="377"/>
      <c r="S46" s="377"/>
      <c r="T46" s="377"/>
      <c r="U46" s="377"/>
      <c r="V46" s="377"/>
      <c r="W46" s="377"/>
      <c r="X46" s="377"/>
      <c r="Y46" s="377"/>
      <c r="Z46" s="377"/>
    </row>
    <row r="47" ht="19.5" customHeight="1">
      <c r="A47" s="441" t="s">
        <v>620</v>
      </c>
      <c r="B47" s="442"/>
      <c r="C47" s="443">
        <v>0.025665676511407127</v>
      </c>
      <c r="D47" s="377"/>
      <c r="E47" s="377"/>
      <c r="F47" s="377"/>
      <c r="G47" s="377"/>
      <c r="H47" s="377"/>
      <c r="I47" s="377"/>
      <c r="J47" s="377"/>
      <c r="K47" s="377"/>
      <c r="L47" s="377"/>
      <c r="M47" s="377"/>
      <c r="N47" s="377"/>
      <c r="O47" s="377"/>
      <c r="P47" s="377"/>
      <c r="Q47" s="377"/>
      <c r="R47" s="377"/>
      <c r="S47" s="377"/>
      <c r="T47" s="377"/>
      <c r="U47" s="377"/>
      <c r="V47" s="377"/>
      <c r="W47" s="377"/>
      <c r="X47" s="377"/>
      <c r="Y47" s="377"/>
      <c r="Z47" s="377"/>
    </row>
    <row r="48" ht="19.5" customHeight="1">
      <c r="A48" s="441" t="s">
        <v>621</v>
      </c>
      <c r="B48" s="442" t="s">
        <v>622</v>
      </c>
      <c r="C48" s="443">
        <v>0.020489208525147743</v>
      </c>
      <c r="D48" s="377"/>
      <c r="E48" s="377"/>
      <c r="F48" s="377"/>
      <c r="G48" s="377"/>
      <c r="H48" s="377"/>
      <c r="I48" s="377"/>
      <c r="J48" s="377"/>
      <c r="K48" s="377"/>
      <c r="L48" s="377"/>
      <c r="M48" s="377"/>
      <c r="N48" s="377"/>
      <c r="O48" s="377"/>
      <c r="P48" s="377"/>
      <c r="Q48" s="377"/>
      <c r="R48" s="377"/>
      <c r="S48" s="377"/>
      <c r="T48" s="377"/>
      <c r="U48" s="377"/>
      <c r="V48" s="377"/>
      <c r="W48" s="377"/>
      <c r="X48" s="377"/>
      <c r="Y48" s="377"/>
      <c r="Z48" s="377"/>
    </row>
    <row r="49" ht="19.5" customHeight="1">
      <c r="A49" s="441" t="s">
        <v>623</v>
      </c>
      <c r="B49" s="442" t="s">
        <v>624</v>
      </c>
      <c r="C49" s="443">
        <v>0.006246612466124652</v>
      </c>
      <c r="D49" s="377"/>
      <c r="E49" s="377"/>
      <c r="F49" s="377"/>
      <c r="G49" s="377"/>
      <c r="H49" s="377"/>
      <c r="I49" s="377"/>
      <c r="J49" s="377"/>
      <c r="K49" s="377"/>
      <c r="L49" s="377"/>
      <c r="M49" s="377"/>
      <c r="N49" s="377"/>
      <c r="O49" s="377"/>
      <c r="P49" s="377"/>
      <c r="Q49" s="377"/>
      <c r="R49" s="377"/>
      <c r="S49" s="377"/>
      <c r="T49" s="377"/>
      <c r="U49" s="377"/>
      <c r="V49" s="377"/>
      <c r="W49" s="377"/>
      <c r="X49" s="377"/>
      <c r="Y49" s="377"/>
      <c r="Z49" s="377"/>
    </row>
    <row r="50" ht="19.5" customHeight="1">
      <c r="A50" s="441" t="s">
        <v>625</v>
      </c>
      <c r="B50" s="442"/>
      <c r="C50" s="443">
        <v>0.005</v>
      </c>
      <c r="D50" s="377"/>
      <c r="E50" s="377"/>
      <c r="F50" s="377"/>
      <c r="G50" s="377"/>
      <c r="H50" s="377"/>
      <c r="I50" s="377"/>
      <c r="J50" s="377"/>
      <c r="K50" s="377"/>
      <c r="L50" s="377"/>
      <c r="M50" s="377"/>
      <c r="N50" s="377"/>
      <c r="O50" s="377"/>
      <c r="P50" s="377"/>
      <c r="Q50" s="377"/>
      <c r="R50" s="377"/>
      <c r="S50" s="377"/>
      <c r="T50" s="377"/>
      <c r="U50" s="377"/>
      <c r="V50" s="377"/>
      <c r="W50" s="377"/>
      <c r="X50" s="377"/>
      <c r="Y50" s="377"/>
      <c r="Z50" s="377"/>
    </row>
    <row r="51" ht="19.5" customHeight="1">
      <c r="A51" s="441" t="s">
        <v>626</v>
      </c>
      <c r="B51" s="442"/>
      <c r="C51" s="443">
        <v>0.005</v>
      </c>
      <c r="D51" s="377"/>
      <c r="E51" s="377"/>
      <c r="F51" s="377"/>
      <c r="G51" s="377"/>
      <c r="H51" s="377"/>
      <c r="I51" s="377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7"/>
      <c r="V51" s="377"/>
      <c r="W51" s="377"/>
      <c r="X51" s="377"/>
      <c r="Y51" s="377"/>
      <c r="Z51" s="377"/>
    </row>
    <row r="52" ht="19.5" customHeight="1">
      <c r="A52" s="441" t="s">
        <v>569</v>
      </c>
      <c r="B52" s="442" t="s">
        <v>570</v>
      </c>
      <c r="C52" s="443">
        <v>0.014558760588875005</v>
      </c>
      <c r="D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377"/>
      <c r="R52" s="377"/>
      <c r="S52" s="377"/>
      <c r="T52" s="377"/>
      <c r="U52" s="377"/>
      <c r="V52" s="377"/>
      <c r="W52" s="377"/>
      <c r="X52" s="377"/>
      <c r="Y52" s="377"/>
      <c r="Z52" s="377"/>
    </row>
    <row r="53" ht="19.5" customHeight="1">
      <c r="A53" s="441" t="s">
        <v>569</v>
      </c>
      <c r="B53" s="442" t="s">
        <v>571</v>
      </c>
      <c r="C53" s="443">
        <v>0.005</v>
      </c>
      <c r="D53" s="377"/>
      <c r="E53" s="377"/>
      <c r="F53" s="377"/>
      <c r="G53" s="377"/>
      <c r="H53" s="377"/>
      <c r="I53" s="377"/>
      <c r="J53" s="377"/>
      <c r="K53" s="377"/>
      <c r="L53" s="377"/>
      <c r="M53" s="377"/>
      <c r="N53" s="377"/>
      <c r="O53" s="377"/>
      <c r="P53" s="377"/>
      <c r="Q53" s="377"/>
      <c r="R53" s="377"/>
      <c r="S53" s="377"/>
      <c r="T53" s="377"/>
      <c r="U53" s="377"/>
      <c r="V53" s="377"/>
      <c r="W53" s="377"/>
      <c r="X53" s="377"/>
      <c r="Y53" s="377"/>
      <c r="Z53" s="377"/>
    </row>
    <row r="54" ht="19.5" customHeight="1">
      <c r="A54" s="441" t="s">
        <v>572</v>
      </c>
      <c r="B54" s="442" t="s">
        <v>570</v>
      </c>
      <c r="C54" s="443">
        <v>0.014558760588875005</v>
      </c>
      <c r="D54" s="377"/>
      <c r="E54" s="377"/>
      <c r="F54" s="377"/>
      <c r="G54" s="377"/>
      <c r="H54" s="377"/>
      <c r="I54" s="377"/>
      <c r="J54" s="377"/>
      <c r="K54" s="377"/>
      <c r="L54" s="377"/>
      <c r="M54" s="377"/>
      <c r="N54" s="377"/>
      <c r="O54" s="377"/>
      <c r="P54" s="377"/>
      <c r="Q54" s="377"/>
      <c r="R54" s="377"/>
      <c r="S54" s="377"/>
      <c r="T54" s="377"/>
      <c r="U54" s="377"/>
      <c r="V54" s="377"/>
      <c r="W54" s="377"/>
      <c r="X54" s="377"/>
      <c r="Y54" s="377"/>
      <c r="Z54" s="377"/>
    </row>
    <row r="55" ht="19.5" customHeight="1">
      <c r="A55" s="441" t="s">
        <v>575</v>
      </c>
      <c r="B55" s="442" t="s">
        <v>627</v>
      </c>
      <c r="C55" s="443">
        <v>0.0051115093900603705</v>
      </c>
      <c r="D55" s="377"/>
      <c r="E55" s="377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</row>
    <row r="56" ht="19.5" customHeight="1">
      <c r="A56" s="441" t="s">
        <v>575</v>
      </c>
      <c r="B56" s="445" t="s">
        <v>629</v>
      </c>
      <c r="C56" s="443">
        <v>0.011086682025924534</v>
      </c>
      <c r="D56" s="377"/>
      <c r="E56" s="377"/>
      <c r="F56" s="377"/>
      <c r="G56" s="377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</row>
    <row r="57" ht="19.5" customHeight="1">
      <c r="A57" s="441" t="s">
        <v>575</v>
      </c>
      <c r="B57" s="442" t="s">
        <v>630</v>
      </c>
      <c r="C57" s="443">
        <v>0.006145085336925605</v>
      </c>
      <c r="D57" s="377"/>
      <c r="E57" s="377"/>
      <c r="F57" s="377"/>
      <c r="G57" s="377"/>
      <c r="H57" s="377"/>
      <c r="I57" s="377"/>
      <c r="J57" s="377"/>
      <c r="K57" s="377"/>
      <c r="L57" s="377"/>
      <c r="M57" s="377"/>
      <c r="N57" s="377"/>
      <c r="O57" s="377"/>
      <c r="P57" s="377"/>
      <c r="Q57" s="377"/>
      <c r="R57" s="377"/>
      <c r="S57" s="377"/>
      <c r="T57" s="377"/>
      <c r="U57" s="377"/>
      <c r="V57" s="377"/>
      <c r="W57" s="377"/>
      <c r="X57" s="377"/>
      <c r="Y57" s="377"/>
      <c r="Z57" s="377"/>
    </row>
    <row r="58" ht="19.5" customHeight="1">
      <c r="A58" s="441" t="s">
        <v>575</v>
      </c>
      <c r="B58" s="442" t="s">
        <v>631</v>
      </c>
      <c r="C58" s="443">
        <v>0.006145085336925605</v>
      </c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</row>
    <row r="59" ht="19.5" customHeight="1">
      <c r="A59" s="441" t="s">
        <v>575</v>
      </c>
      <c r="B59" s="442" t="s">
        <v>632</v>
      </c>
      <c r="C59" s="443">
        <v>0.008821706392739579</v>
      </c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</row>
    <row r="60" ht="19.5" customHeight="1">
      <c r="A60" s="441" t="s">
        <v>575</v>
      </c>
      <c r="B60" s="442" t="s">
        <v>633</v>
      </c>
      <c r="C60" s="443">
        <v>0.011086682025924534</v>
      </c>
      <c r="D60" s="377"/>
      <c r="E60" s="377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7"/>
      <c r="S60" s="377"/>
      <c r="T60" s="377"/>
      <c r="U60" s="377"/>
      <c r="V60" s="377"/>
      <c r="W60" s="377"/>
      <c r="X60" s="377"/>
      <c r="Y60" s="377"/>
      <c r="Z60" s="377"/>
    </row>
    <row r="61" ht="19.5" customHeight="1">
      <c r="A61" s="441" t="s">
        <v>575</v>
      </c>
      <c r="B61" s="445" t="s">
        <v>635</v>
      </c>
      <c r="C61" s="443">
        <v>0.008665460570268114</v>
      </c>
      <c r="D61" s="377"/>
      <c r="E61" s="377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</row>
    <row r="62" ht="19.5" customHeight="1">
      <c r="A62" s="441" t="s">
        <v>588</v>
      </c>
      <c r="B62" s="442" t="s">
        <v>636</v>
      </c>
      <c r="C62" s="443">
        <v>0.03578931792765219</v>
      </c>
      <c r="D62" s="377"/>
      <c r="E62" s="377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</row>
    <row r="63" ht="19.5" customHeight="1">
      <c r="A63" s="441" t="s">
        <v>637</v>
      </c>
      <c r="B63" s="442" t="s">
        <v>638</v>
      </c>
      <c r="C63" s="443">
        <v>0.005</v>
      </c>
      <c r="D63" s="377"/>
      <c r="E63" s="377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</row>
    <row r="64" ht="19.5" customHeight="1">
      <c r="A64" s="441" t="s">
        <v>575</v>
      </c>
      <c r="B64" s="442" t="s">
        <v>639</v>
      </c>
      <c r="C64" s="443">
        <v>0.0051115093900603705</v>
      </c>
      <c r="D64" s="377"/>
      <c r="E64" s="377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</row>
    <row r="65" ht="19.5" customHeight="1">
      <c r="A65" s="441" t="s">
        <v>637</v>
      </c>
      <c r="B65" s="442" t="s">
        <v>640</v>
      </c>
      <c r="C65" s="443">
        <v>0.005</v>
      </c>
      <c r="D65" s="377"/>
      <c r="E65" s="377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</row>
    <row r="66" ht="19.5" customHeight="1">
      <c r="A66" s="441" t="s">
        <v>575</v>
      </c>
      <c r="B66" s="442" t="s">
        <v>641</v>
      </c>
      <c r="C66" s="443">
        <v>0.011086682025924534</v>
      </c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7"/>
      <c r="Q66" s="377"/>
      <c r="R66" s="377"/>
      <c r="S66" s="377"/>
      <c r="T66" s="377"/>
      <c r="U66" s="377"/>
      <c r="V66" s="377"/>
      <c r="W66" s="377"/>
      <c r="X66" s="377"/>
      <c r="Y66" s="377"/>
      <c r="Z66" s="377"/>
    </row>
    <row r="67" ht="19.5" customHeight="1">
      <c r="A67" s="441" t="s">
        <v>575</v>
      </c>
      <c r="B67" s="442" t="s">
        <v>595</v>
      </c>
      <c r="C67" s="443">
        <v>0.00877925607397042</v>
      </c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</row>
    <row r="68" ht="19.5" customHeight="1">
      <c r="A68" s="441" t="s">
        <v>575</v>
      </c>
      <c r="B68" s="442" t="s">
        <v>642</v>
      </c>
      <c r="C68" s="443">
        <v>0.0051115093900603705</v>
      </c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</row>
    <row r="69" ht="19.5" customHeight="1">
      <c r="A69" s="441" t="s">
        <v>575</v>
      </c>
      <c r="B69" s="442" t="s">
        <v>643</v>
      </c>
      <c r="C69" s="443">
        <v>0.005021961502897065</v>
      </c>
      <c r="D69" s="377"/>
      <c r="E69" s="377"/>
      <c r="F69" s="377"/>
      <c r="G69" s="377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</row>
    <row r="70" ht="19.5" customHeight="1">
      <c r="A70" s="441" t="s">
        <v>606</v>
      </c>
      <c r="B70" s="442" t="s">
        <v>645</v>
      </c>
      <c r="C70" s="443">
        <v>0.013145770517484785</v>
      </c>
      <c r="D70" s="377"/>
      <c r="E70" s="377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</row>
    <row r="71" ht="19.5" customHeight="1">
      <c r="A71" s="441" t="s">
        <v>588</v>
      </c>
      <c r="B71" s="442" t="s">
        <v>646</v>
      </c>
      <c r="C71" s="443">
        <v>0.009308239992155161</v>
      </c>
      <c r="D71" s="377"/>
      <c r="E71" s="377"/>
      <c r="F71" s="377"/>
      <c r="G71" s="377"/>
      <c r="H71" s="377"/>
      <c r="I71" s="377"/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  <c r="V71" s="377"/>
      <c r="W71" s="377"/>
      <c r="X71" s="377"/>
      <c r="Y71" s="377"/>
      <c r="Z71" s="377"/>
    </row>
    <row r="72" ht="19.5" customHeight="1">
      <c r="A72" s="441" t="s">
        <v>588</v>
      </c>
      <c r="B72" s="442" t="s">
        <v>647</v>
      </c>
      <c r="C72" s="443">
        <v>0.026</v>
      </c>
      <c r="D72" s="377"/>
      <c r="E72" s="377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</row>
    <row r="73" ht="19.5" customHeight="1">
      <c r="A73" s="441" t="s">
        <v>588</v>
      </c>
      <c r="B73" s="442" t="s">
        <v>648</v>
      </c>
      <c r="C73" s="443">
        <v>0.008</v>
      </c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</row>
    <row r="74" ht="19.5" customHeight="1">
      <c r="A74" s="448" t="s">
        <v>572</v>
      </c>
      <c r="B74" s="448" t="s">
        <v>649</v>
      </c>
      <c r="C74" s="443">
        <v>0.009</v>
      </c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</row>
    <row r="75" ht="19.5" customHeight="1">
      <c r="A75" s="448" t="s">
        <v>610</v>
      </c>
      <c r="B75" s="448" t="s">
        <v>650</v>
      </c>
      <c r="C75" s="443">
        <v>0.015</v>
      </c>
      <c r="D75" s="377"/>
      <c r="E75" s="377"/>
      <c r="F75" s="377"/>
      <c r="G75" s="377"/>
      <c r="H75" s="377"/>
      <c r="I75" s="377"/>
      <c r="J75" s="377"/>
      <c r="K75" s="377"/>
      <c r="L75" s="377"/>
      <c r="M75" s="377"/>
      <c r="N75" s="377"/>
      <c r="O75" s="377"/>
      <c r="P75" s="377"/>
      <c r="Q75" s="377"/>
      <c r="R75" s="377"/>
      <c r="S75" s="377"/>
      <c r="T75" s="377"/>
      <c r="U75" s="377"/>
      <c r="V75" s="377"/>
      <c r="W75" s="377"/>
      <c r="X75" s="377"/>
      <c r="Y75" s="377"/>
      <c r="Z75" s="377"/>
    </row>
    <row r="76" ht="19.5" customHeight="1">
      <c r="A76" s="448" t="s">
        <v>610</v>
      </c>
      <c r="B76" s="448" t="s">
        <v>651</v>
      </c>
      <c r="C76" s="443">
        <v>0.018</v>
      </c>
      <c r="D76" s="377"/>
      <c r="E76" s="377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7"/>
      <c r="S76" s="377"/>
      <c r="T76" s="377"/>
      <c r="U76" s="377"/>
      <c r="V76" s="377"/>
      <c r="W76" s="377"/>
      <c r="X76" s="377"/>
      <c r="Y76" s="377"/>
      <c r="Z76" s="377"/>
    </row>
    <row r="77" ht="19.5" customHeight="1">
      <c r="A77" s="448" t="s">
        <v>610</v>
      </c>
      <c r="B77" s="448" t="s">
        <v>652</v>
      </c>
      <c r="C77" s="443">
        <v>0.0184</v>
      </c>
      <c r="D77" s="377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377"/>
      <c r="R77" s="377"/>
      <c r="S77" s="377"/>
      <c r="T77" s="377"/>
      <c r="U77" s="377"/>
      <c r="V77" s="377"/>
      <c r="W77" s="377"/>
      <c r="X77" s="377"/>
      <c r="Y77" s="377"/>
      <c r="Z77" s="377"/>
    </row>
    <row r="78" ht="19.5" customHeight="1">
      <c r="A78" s="448" t="s">
        <v>588</v>
      </c>
      <c r="B78" s="448" t="s">
        <v>647</v>
      </c>
      <c r="C78" s="443">
        <v>0.026</v>
      </c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  <c r="Y78" s="377"/>
      <c r="Z78" s="377"/>
    </row>
    <row r="79" ht="19.5" customHeight="1">
      <c r="A79" s="448" t="s">
        <v>575</v>
      </c>
      <c r="B79" s="448" t="s">
        <v>653</v>
      </c>
      <c r="C79" s="443">
        <v>0.015</v>
      </c>
      <c r="D79" s="377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377"/>
      <c r="R79" s="377"/>
      <c r="S79" s="377"/>
      <c r="T79" s="377"/>
      <c r="U79" s="377"/>
      <c r="V79" s="377"/>
      <c r="W79" s="377"/>
      <c r="X79" s="377"/>
      <c r="Y79" s="377"/>
      <c r="Z79" s="377"/>
    </row>
    <row r="80" ht="19.5" customHeight="1">
      <c r="A80" s="377"/>
      <c r="B80" s="377"/>
      <c r="C80" s="377"/>
      <c r="D80" s="377"/>
      <c r="E80" s="377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77"/>
      <c r="R80" s="377"/>
      <c r="S80" s="377"/>
      <c r="T80" s="377"/>
      <c r="U80" s="377"/>
      <c r="V80" s="377"/>
      <c r="W80" s="377"/>
      <c r="X80" s="377"/>
      <c r="Y80" s="377"/>
      <c r="Z80" s="377"/>
    </row>
    <row r="81" ht="19.5" customHeight="1">
      <c r="A81" s="377"/>
      <c r="B81" s="377"/>
      <c r="C81" s="377"/>
      <c r="D81" s="377"/>
      <c r="E81" s="377"/>
      <c r="F81" s="377"/>
      <c r="G81" s="377"/>
      <c r="H81" s="377"/>
      <c r="I81" s="377"/>
      <c r="J81" s="377"/>
      <c r="K81" s="377"/>
      <c r="L81" s="377"/>
      <c r="M81" s="377"/>
      <c r="N81" s="377"/>
      <c r="O81" s="377"/>
      <c r="P81" s="377"/>
      <c r="Q81" s="377"/>
      <c r="R81" s="377"/>
      <c r="S81" s="377"/>
      <c r="T81" s="377"/>
      <c r="U81" s="377"/>
      <c r="V81" s="377"/>
      <c r="W81" s="377"/>
      <c r="X81" s="377"/>
      <c r="Y81" s="377"/>
      <c r="Z81" s="377"/>
    </row>
    <row r="82" ht="19.5" customHeight="1">
      <c r="A82" s="377"/>
      <c r="B82" s="377"/>
      <c r="C82" s="377"/>
      <c r="D82" s="377"/>
      <c r="E82" s="377"/>
      <c r="F82" s="377"/>
      <c r="G82" s="377"/>
      <c r="H82" s="377"/>
      <c r="I82" s="377"/>
      <c r="J82" s="377"/>
      <c r="K82" s="377"/>
      <c r="L82" s="377"/>
      <c r="M82" s="377"/>
      <c r="N82" s="377"/>
      <c r="O82" s="377"/>
      <c r="P82" s="377"/>
      <c r="Q82" s="377"/>
      <c r="R82" s="377"/>
      <c r="S82" s="377"/>
      <c r="T82" s="377"/>
      <c r="U82" s="377"/>
      <c r="V82" s="377"/>
      <c r="W82" s="377"/>
      <c r="X82" s="377"/>
      <c r="Y82" s="377"/>
      <c r="Z82" s="377"/>
    </row>
    <row r="83" ht="19.5" customHeight="1">
      <c r="A83" s="377"/>
      <c r="B83" s="377"/>
      <c r="C83" s="377"/>
      <c r="D83" s="377"/>
      <c r="E83" s="377"/>
      <c r="F83" s="377"/>
      <c r="G83" s="377"/>
      <c r="H83" s="377"/>
      <c r="I83" s="377"/>
      <c r="J83" s="377"/>
      <c r="K83" s="377"/>
      <c r="L83" s="377"/>
      <c r="M83" s="377"/>
      <c r="N83" s="377"/>
      <c r="O83" s="377"/>
      <c r="P83" s="377"/>
      <c r="Q83" s="377"/>
      <c r="R83" s="377"/>
      <c r="S83" s="377"/>
      <c r="T83" s="377"/>
      <c r="U83" s="377"/>
      <c r="V83" s="377"/>
      <c r="W83" s="377"/>
      <c r="X83" s="377"/>
      <c r="Y83" s="377"/>
      <c r="Z83" s="377"/>
    </row>
    <row r="84" ht="19.5" customHeight="1">
      <c r="A84" s="377"/>
      <c r="B84" s="377"/>
      <c r="C84" s="377"/>
      <c r="D84" s="377"/>
      <c r="E84" s="377"/>
      <c r="F84" s="377"/>
      <c r="G84" s="377"/>
      <c r="H84" s="377"/>
      <c r="I84" s="377"/>
      <c r="J84" s="377"/>
      <c r="K84" s="377"/>
      <c r="L84" s="377"/>
      <c r="M84" s="377"/>
      <c r="N84" s="377"/>
      <c r="O84" s="377"/>
      <c r="P84" s="377"/>
      <c r="Q84" s="377"/>
      <c r="R84" s="377"/>
      <c r="S84" s="377"/>
      <c r="T84" s="377"/>
      <c r="U84" s="377"/>
      <c r="V84" s="377"/>
      <c r="W84" s="377"/>
      <c r="X84" s="377"/>
      <c r="Y84" s="377"/>
      <c r="Z84" s="377"/>
    </row>
    <row r="85" ht="19.5" customHeight="1">
      <c r="A85" s="377"/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7"/>
    </row>
    <row r="86" ht="19.5" customHeight="1">
      <c r="A86" s="377"/>
      <c r="B86" s="377"/>
      <c r="C86" s="377"/>
      <c r="D86" s="377"/>
      <c r="E86" s="377"/>
      <c r="F86" s="377"/>
      <c r="G86" s="377"/>
      <c r="H86" s="377"/>
      <c r="I86" s="377"/>
      <c r="J86" s="377"/>
      <c r="K86" s="377"/>
      <c r="L86" s="377"/>
      <c r="M86" s="377"/>
      <c r="N86" s="377"/>
      <c r="O86" s="377"/>
      <c r="P86" s="377"/>
      <c r="Q86" s="377"/>
      <c r="R86" s="377"/>
      <c r="S86" s="377"/>
      <c r="T86" s="377"/>
      <c r="U86" s="377"/>
      <c r="V86" s="377"/>
      <c r="W86" s="377"/>
      <c r="X86" s="377"/>
      <c r="Y86" s="377"/>
      <c r="Z86" s="377"/>
    </row>
    <row r="87" ht="19.5" customHeight="1">
      <c r="A87" s="377"/>
      <c r="B87" s="377"/>
      <c r="C87" s="377"/>
      <c r="D87" s="377"/>
      <c r="E87" s="377"/>
      <c r="F87" s="377"/>
      <c r="G87" s="377"/>
      <c r="H87" s="377"/>
      <c r="I87" s="377"/>
      <c r="J87" s="377"/>
      <c r="K87" s="377"/>
      <c r="L87" s="377"/>
      <c r="M87" s="377"/>
      <c r="N87" s="377"/>
      <c r="O87" s="377"/>
      <c r="P87" s="377"/>
      <c r="Q87" s="377"/>
      <c r="R87" s="377"/>
      <c r="S87" s="377"/>
      <c r="T87" s="377"/>
      <c r="U87" s="377"/>
      <c r="V87" s="377"/>
      <c r="W87" s="377"/>
      <c r="X87" s="377"/>
      <c r="Y87" s="377"/>
      <c r="Z87" s="377"/>
    </row>
    <row r="88" ht="19.5" customHeight="1">
      <c r="A88" s="377"/>
      <c r="B88" s="377"/>
      <c r="C88" s="377"/>
      <c r="D88" s="377"/>
      <c r="E88" s="377"/>
      <c r="F88" s="377"/>
      <c r="G88" s="377"/>
      <c r="H88" s="377"/>
      <c r="I88" s="377"/>
      <c r="J88" s="377"/>
      <c r="K88" s="377"/>
      <c r="L88" s="377"/>
      <c r="M88" s="377"/>
      <c r="N88" s="377"/>
      <c r="O88" s="377"/>
      <c r="P88" s="377"/>
      <c r="Q88" s="377"/>
      <c r="R88" s="377"/>
      <c r="S88" s="377"/>
      <c r="T88" s="377"/>
      <c r="U88" s="377"/>
      <c r="V88" s="377"/>
      <c r="W88" s="377"/>
      <c r="X88" s="377"/>
      <c r="Y88" s="377"/>
      <c r="Z88" s="377"/>
    </row>
    <row r="89" ht="19.5" customHeight="1">
      <c r="A89" s="377"/>
      <c r="B89" s="377"/>
      <c r="C89" s="377"/>
      <c r="D89" s="377"/>
      <c r="E89" s="377"/>
      <c r="F89" s="377"/>
      <c r="G89" s="377"/>
      <c r="H89" s="377"/>
      <c r="I89" s="377"/>
      <c r="J89" s="377"/>
      <c r="K89" s="377"/>
      <c r="L89" s="377"/>
      <c r="M89" s="377"/>
      <c r="N89" s="377"/>
      <c r="O89" s="377"/>
      <c r="P89" s="377"/>
      <c r="Q89" s="377"/>
      <c r="R89" s="377"/>
      <c r="S89" s="377"/>
      <c r="T89" s="377"/>
      <c r="U89" s="377"/>
      <c r="V89" s="377"/>
      <c r="W89" s="377"/>
      <c r="X89" s="377"/>
      <c r="Y89" s="377"/>
      <c r="Z89" s="377"/>
    </row>
    <row r="90" ht="19.5" customHeight="1">
      <c r="A90" s="377"/>
      <c r="B90" s="377"/>
      <c r="C90" s="377"/>
      <c r="D90" s="377"/>
      <c r="E90" s="377"/>
      <c r="F90" s="377"/>
      <c r="G90" s="377"/>
      <c r="H90" s="377"/>
      <c r="I90" s="377"/>
      <c r="J90" s="377"/>
      <c r="K90" s="377"/>
      <c r="L90" s="377"/>
      <c r="M90" s="377"/>
      <c r="N90" s="377"/>
      <c r="O90" s="377"/>
      <c r="P90" s="377"/>
      <c r="Q90" s="377"/>
      <c r="R90" s="377"/>
      <c r="S90" s="377"/>
      <c r="T90" s="377"/>
      <c r="U90" s="377"/>
      <c r="V90" s="377"/>
      <c r="W90" s="377"/>
      <c r="X90" s="377"/>
      <c r="Y90" s="377"/>
      <c r="Z90" s="377"/>
    </row>
    <row r="91" ht="19.5" customHeight="1">
      <c r="A91" s="377"/>
      <c r="B91" s="377"/>
      <c r="C91" s="377"/>
      <c r="D91" s="377"/>
      <c r="E91" s="377"/>
      <c r="F91" s="377"/>
      <c r="G91" s="377"/>
      <c r="H91" s="377"/>
      <c r="I91" s="377"/>
      <c r="J91" s="377"/>
      <c r="K91" s="377"/>
      <c r="L91" s="377"/>
      <c r="M91" s="377"/>
      <c r="N91" s="377"/>
      <c r="O91" s="377"/>
      <c r="P91" s="377"/>
      <c r="Q91" s="377"/>
      <c r="R91" s="377"/>
      <c r="S91" s="377"/>
      <c r="T91" s="377"/>
      <c r="U91" s="377"/>
      <c r="V91" s="377"/>
      <c r="W91" s="377"/>
      <c r="X91" s="377"/>
      <c r="Y91" s="377"/>
      <c r="Z91" s="377"/>
    </row>
    <row r="92" ht="19.5" customHeight="1">
      <c r="A92" s="377"/>
      <c r="B92" s="377"/>
      <c r="C92" s="377"/>
      <c r="D92" s="377"/>
      <c r="E92" s="377"/>
      <c r="F92" s="377"/>
      <c r="G92" s="377"/>
      <c r="H92" s="377"/>
      <c r="I92" s="377"/>
      <c r="J92" s="377"/>
      <c r="K92" s="377"/>
      <c r="L92" s="377"/>
      <c r="M92" s="377"/>
      <c r="N92" s="377"/>
      <c r="O92" s="377"/>
      <c r="P92" s="377"/>
      <c r="Q92" s="377"/>
      <c r="R92" s="377"/>
      <c r="S92" s="377"/>
      <c r="T92" s="377"/>
      <c r="U92" s="377"/>
      <c r="V92" s="377"/>
      <c r="W92" s="377"/>
      <c r="X92" s="377"/>
      <c r="Y92" s="377"/>
      <c r="Z92" s="377"/>
    </row>
    <row r="93" ht="19.5" customHeight="1">
      <c r="A93" s="377"/>
      <c r="B93" s="377"/>
      <c r="C93" s="377"/>
      <c r="D93" s="377"/>
      <c r="E93" s="377"/>
      <c r="F93" s="377"/>
      <c r="G93" s="377"/>
      <c r="H93" s="377"/>
      <c r="I93" s="377"/>
      <c r="J93" s="377"/>
      <c r="K93" s="377"/>
      <c r="L93" s="377"/>
      <c r="M93" s="377"/>
      <c r="N93" s="377"/>
      <c r="O93" s="377"/>
      <c r="P93" s="377"/>
      <c r="Q93" s="377"/>
      <c r="R93" s="377"/>
      <c r="S93" s="377"/>
      <c r="T93" s="377"/>
      <c r="U93" s="377"/>
      <c r="V93" s="377"/>
      <c r="W93" s="377"/>
      <c r="X93" s="377"/>
      <c r="Y93" s="377"/>
      <c r="Z93" s="377"/>
    </row>
    <row r="94" ht="19.5" customHeight="1">
      <c r="A94" s="377"/>
      <c r="B94" s="377"/>
      <c r="C94" s="377"/>
      <c r="D94" s="377"/>
      <c r="E94" s="377"/>
      <c r="F94" s="377"/>
      <c r="G94" s="377"/>
      <c r="H94" s="377"/>
      <c r="I94" s="377"/>
      <c r="J94" s="377"/>
      <c r="K94" s="377"/>
      <c r="L94" s="377"/>
      <c r="M94" s="377"/>
      <c r="N94" s="377"/>
      <c r="O94" s="377"/>
      <c r="P94" s="377"/>
      <c r="Q94" s="377"/>
      <c r="R94" s="377"/>
      <c r="S94" s="377"/>
      <c r="T94" s="377"/>
      <c r="U94" s="377"/>
      <c r="V94" s="377"/>
      <c r="W94" s="377"/>
      <c r="X94" s="377"/>
      <c r="Y94" s="377"/>
      <c r="Z94" s="377"/>
    </row>
    <row r="95" ht="19.5" customHeight="1">
      <c r="A95" s="377"/>
      <c r="B95" s="377"/>
      <c r="C95" s="377"/>
      <c r="D95" s="377"/>
      <c r="E95" s="377"/>
      <c r="F95" s="377"/>
      <c r="G95" s="377"/>
      <c r="H95" s="377"/>
      <c r="I95" s="377"/>
      <c r="J95" s="377"/>
      <c r="K95" s="377"/>
      <c r="L95" s="377"/>
      <c r="M95" s="377"/>
      <c r="N95" s="377"/>
      <c r="O95" s="377"/>
      <c r="P95" s="377"/>
      <c r="Q95" s="377"/>
      <c r="R95" s="377"/>
      <c r="S95" s="377"/>
      <c r="T95" s="377"/>
      <c r="U95" s="377"/>
      <c r="V95" s="377"/>
      <c r="W95" s="377"/>
      <c r="X95" s="377"/>
      <c r="Y95" s="377"/>
      <c r="Z95" s="377"/>
    </row>
    <row r="96" ht="19.5" customHeight="1">
      <c r="A96" s="377"/>
      <c r="B96" s="377"/>
      <c r="C96" s="377"/>
      <c r="D96" s="377"/>
      <c r="E96" s="377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77"/>
      <c r="Y96" s="377"/>
      <c r="Z96" s="377"/>
    </row>
    <row r="97" ht="19.5" customHeight="1">
      <c r="A97" s="377"/>
      <c r="B97" s="377"/>
      <c r="C97" s="377"/>
      <c r="D97" s="377"/>
      <c r="E97" s="377"/>
      <c r="F97" s="377"/>
      <c r="G97" s="377"/>
      <c r="H97" s="377"/>
      <c r="I97" s="377"/>
      <c r="J97" s="377"/>
      <c r="K97" s="377"/>
      <c r="L97" s="377"/>
      <c r="M97" s="377"/>
      <c r="N97" s="377"/>
      <c r="O97" s="377"/>
      <c r="P97" s="377"/>
      <c r="Q97" s="377"/>
      <c r="R97" s="377"/>
      <c r="S97" s="377"/>
      <c r="T97" s="377"/>
      <c r="U97" s="377"/>
      <c r="V97" s="377"/>
      <c r="W97" s="377"/>
      <c r="X97" s="377"/>
      <c r="Y97" s="377"/>
      <c r="Z97" s="377"/>
    </row>
    <row r="98" ht="19.5" customHeight="1">
      <c r="A98" s="377"/>
      <c r="B98" s="377"/>
      <c r="C98" s="377"/>
      <c r="D98" s="377"/>
      <c r="E98" s="377"/>
      <c r="F98" s="377"/>
      <c r="G98" s="377"/>
      <c r="H98" s="377"/>
      <c r="I98" s="377"/>
      <c r="J98" s="377"/>
      <c r="K98" s="377"/>
      <c r="L98" s="377"/>
      <c r="M98" s="377"/>
      <c r="N98" s="377"/>
      <c r="O98" s="377"/>
      <c r="P98" s="377"/>
      <c r="Q98" s="377"/>
      <c r="R98" s="377"/>
      <c r="S98" s="377"/>
      <c r="T98" s="377"/>
      <c r="U98" s="377"/>
      <c r="V98" s="377"/>
      <c r="W98" s="377"/>
      <c r="X98" s="377"/>
      <c r="Y98" s="377"/>
      <c r="Z98" s="377"/>
    </row>
    <row r="99" ht="19.5" customHeight="1">
      <c r="A99" s="377"/>
      <c r="B99" s="377"/>
      <c r="C99" s="377"/>
      <c r="D99" s="377"/>
      <c r="E99" s="377"/>
      <c r="F99" s="377"/>
      <c r="G99" s="377"/>
      <c r="H99" s="377"/>
      <c r="I99" s="377"/>
      <c r="J99" s="377"/>
      <c r="K99" s="377"/>
      <c r="L99" s="377"/>
      <c r="M99" s="377"/>
      <c r="N99" s="377"/>
      <c r="O99" s="377"/>
      <c r="P99" s="377"/>
      <c r="Q99" s="377"/>
      <c r="R99" s="377"/>
      <c r="S99" s="377"/>
      <c r="T99" s="377"/>
      <c r="U99" s="377"/>
      <c r="V99" s="377"/>
      <c r="W99" s="377"/>
      <c r="X99" s="377"/>
      <c r="Y99" s="377"/>
      <c r="Z99" s="377"/>
    </row>
    <row r="100" ht="19.5" customHeight="1">
      <c r="A100" s="377"/>
      <c r="B100" s="377"/>
      <c r="C100" s="377"/>
      <c r="D100" s="377"/>
      <c r="E100" s="377"/>
      <c r="F100" s="377"/>
      <c r="G100" s="377"/>
      <c r="H100" s="377"/>
      <c r="I100" s="377"/>
      <c r="J100" s="377"/>
      <c r="K100" s="377"/>
      <c r="L100" s="377"/>
      <c r="M100" s="377"/>
      <c r="N100" s="377"/>
      <c r="O100" s="377"/>
      <c r="P100" s="377"/>
      <c r="Q100" s="377"/>
      <c r="R100" s="377"/>
      <c r="S100" s="377"/>
      <c r="T100" s="377"/>
      <c r="U100" s="377"/>
      <c r="V100" s="377"/>
      <c r="W100" s="377"/>
      <c r="X100" s="377"/>
      <c r="Y100" s="377"/>
      <c r="Z100" s="377"/>
    </row>
    <row r="101" ht="19.5" customHeight="1">
      <c r="A101" s="377"/>
      <c r="B101" s="377"/>
      <c r="C101" s="377"/>
      <c r="D101" s="377"/>
      <c r="E101" s="377"/>
      <c r="F101" s="377"/>
      <c r="G101" s="377"/>
      <c r="H101" s="377"/>
      <c r="I101" s="377"/>
      <c r="J101" s="377"/>
      <c r="K101" s="377"/>
      <c r="L101" s="377"/>
      <c r="M101" s="377"/>
      <c r="N101" s="377"/>
      <c r="O101" s="377"/>
      <c r="P101" s="377"/>
      <c r="Q101" s="377"/>
      <c r="R101" s="377"/>
      <c r="S101" s="377"/>
      <c r="T101" s="377"/>
      <c r="U101" s="377"/>
      <c r="V101" s="377"/>
      <c r="W101" s="377"/>
      <c r="X101" s="377"/>
      <c r="Y101" s="377"/>
      <c r="Z101" s="377"/>
    </row>
    <row r="102" ht="19.5" customHeight="1">
      <c r="A102" s="377"/>
      <c r="B102" s="377"/>
      <c r="C102" s="377"/>
      <c r="D102" s="377"/>
      <c r="E102" s="377"/>
      <c r="F102" s="377"/>
      <c r="G102" s="377"/>
      <c r="H102" s="377"/>
      <c r="I102" s="377"/>
      <c r="J102" s="377"/>
      <c r="K102" s="377"/>
      <c r="L102" s="377"/>
      <c r="M102" s="377"/>
      <c r="N102" s="377"/>
      <c r="O102" s="377"/>
      <c r="P102" s="377"/>
      <c r="Q102" s="377"/>
      <c r="R102" s="377"/>
      <c r="S102" s="377"/>
      <c r="T102" s="377"/>
      <c r="U102" s="377"/>
      <c r="V102" s="377"/>
      <c r="W102" s="377"/>
      <c r="X102" s="377"/>
      <c r="Y102" s="377"/>
      <c r="Z102" s="377"/>
    </row>
    <row r="103" ht="19.5" customHeight="1">
      <c r="A103" s="377"/>
      <c r="B103" s="377"/>
      <c r="C103" s="377"/>
      <c r="D103" s="377"/>
      <c r="E103" s="377"/>
      <c r="F103" s="377"/>
      <c r="G103" s="377"/>
      <c r="H103" s="377"/>
      <c r="I103" s="377"/>
      <c r="J103" s="377"/>
      <c r="K103" s="377"/>
      <c r="L103" s="377"/>
      <c r="M103" s="377"/>
      <c r="N103" s="377"/>
      <c r="O103" s="377"/>
      <c r="P103" s="377"/>
      <c r="Q103" s="377"/>
      <c r="R103" s="377"/>
      <c r="S103" s="377"/>
      <c r="T103" s="377"/>
      <c r="U103" s="377"/>
      <c r="V103" s="377"/>
      <c r="W103" s="377"/>
      <c r="X103" s="377"/>
      <c r="Y103" s="377"/>
      <c r="Z103" s="377"/>
    </row>
    <row r="104" ht="19.5" customHeight="1">
      <c r="A104" s="377"/>
      <c r="B104" s="377"/>
      <c r="C104" s="377"/>
      <c r="D104" s="377"/>
      <c r="E104" s="377"/>
      <c r="F104" s="377"/>
      <c r="G104" s="377"/>
      <c r="H104" s="377"/>
      <c r="I104" s="377"/>
      <c r="J104" s="377"/>
      <c r="K104" s="377"/>
      <c r="L104" s="377"/>
      <c r="M104" s="377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</row>
    <row r="105" ht="19.5" customHeight="1">
      <c r="A105" s="377"/>
      <c r="B105" s="377"/>
      <c r="C105" s="377"/>
      <c r="D105" s="377"/>
      <c r="E105" s="377"/>
      <c r="F105" s="377"/>
      <c r="G105" s="377"/>
      <c r="H105" s="377"/>
      <c r="I105" s="377"/>
      <c r="J105" s="377"/>
      <c r="K105" s="377"/>
      <c r="L105" s="377"/>
      <c r="M105" s="377"/>
      <c r="N105" s="377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</row>
    <row r="106" ht="19.5" customHeight="1">
      <c r="A106" s="377"/>
      <c r="B106" s="377"/>
      <c r="C106" s="377"/>
      <c r="D106" s="377"/>
      <c r="E106" s="377"/>
      <c r="F106" s="377"/>
      <c r="G106" s="377"/>
      <c r="H106" s="377"/>
      <c r="I106" s="377"/>
      <c r="J106" s="377"/>
      <c r="K106" s="377"/>
      <c r="L106" s="377"/>
      <c r="M106" s="377"/>
      <c r="N106" s="377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</row>
    <row r="107" ht="19.5" customHeight="1">
      <c r="A107" s="377"/>
      <c r="B107" s="377"/>
      <c r="C107" s="377"/>
      <c r="D107" s="377"/>
      <c r="E107" s="377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</row>
    <row r="108" ht="19.5" customHeight="1">
      <c r="A108" s="377"/>
      <c r="B108" s="377"/>
      <c r="C108" s="377"/>
      <c r="D108" s="377"/>
      <c r="E108" s="377"/>
      <c r="F108" s="377"/>
      <c r="G108" s="377"/>
      <c r="H108" s="377"/>
      <c r="I108" s="377"/>
      <c r="J108" s="377"/>
      <c r="K108" s="377"/>
      <c r="L108" s="377"/>
      <c r="M108" s="377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</row>
    <row r="109" ht="19.5" customHeight="1">
      <c r="A109" s="377"/>
      <c r="B109" s="377"/>
      <c r="C109" s="377"/>
      <c r="D109" s="377"/>
      <c r="E109" s="377"/>
      <c r="F109" s="377"/>
      <c r="G109" s="377"/>
      <c r="H109" s="377"/>
      <c r="I109" s="377"/>
      <c r="J109" s="377"/>
      <c r="K109" s="377"/>
      <c r="L109" s="377"/>
      <c r="M109" s="377"/>
      <c r="N109" s="377"/>
      <c r="O109" s="377"/>
      <c r="P109" s="377"/>
      <c r="Q109" s="377"/>
      <c r="R109" s="377"/>
      <c r="S109" s="377"/>
      <c r="T109" s="377"/>
      <c r="U109" s="377"/>
      <c r="V109" s="377"/>
      <c r="W109" s="377"/>
      <c r="X109" s="377"/>
      <c r="Y109" s="377"/>
      <c r="Z109" s="377"/>
    </row>
    <row r="110" ht="19.5" customHeight="1">
      <c r="A110" s="377"/>
      <c r="B110" s="377"/>
      <c r="C110" s="377"/>
      <c r="D110" s="377"/>
      <c r="E110" s="377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</row>
    <row r="111" ht="19.5" customHeight="1">
      <c r="A111" s="377"/>
      <c r="B111" s="377"/>
      <c r="C111" s="377"/>
      <c r="D111" s="377"/>
      <c r="E111" s="377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</row>
    <row r="112" ht="19.5" customHeight="1">
      <c r="A112" s="377"/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</row>
    <row r="113" ht="19.5" customHeight="1">
      <c r="A113" s="377"/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</row>
    <row r="114" ht="19.5" customHeight="1">
      <c r="A114" s="377"/>
      <c r="B114" s="377"/>
      <c r="C114" s="377"/>
      <c r="D114" s="377"/>
      <c r="E114" s="377"/>
      <c r="F114" s="377"/>
      <c r="G114" s="377"/>
      <c r="H114" s="377"/>
      <c r="I114" s="377"/>
      <c r="J114" s="377"/>
      <c r="K114" s="377"/>
      <c r="L114" s="377"/>
      <c r="M114" s="377"/>
      <c r="N114" s="377"/>
      <c r="O114" s="377"/>
      <c r="P114" s="377"/>
      <c r="Q114" s="377"/>
      <c r="R114" s="377"/>
      <c r="S114" s="377"/>
      <c r="T114" s="377"/>
      <c r="U114" s="377"/>
      <c r="V114" s="377"/>
      <c r="W114" s="377"/>
      <c r="X114" s="377"/>
      <c r="Y114" s="377"/>
      <c r="Z114" s="377"/>
    </row>
    <row r="115" ht="19.5" customHeight="1">
      <c r="A115" s="377"/>
      <c r="B115" s="377"/>
      <c r="C115" s="377"/>
      <c r="D115" s="377"/>
      <c r="E115" s="377"/>
      <c r="F115" s="377"/>
      <c r="G115" s="377"/>
      <c r="H115" s="377"/>
      <c r="I115" s="377"/>
      <c r="J115" s="377"/>
      <c r="K115" s="377"/>
      <c r="L115" s="377"/>
      <c r="M115" s="377"/>
      <c r="N115" s="377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377"/>
    </row>
    <row r="116" ht="19.5" customHeight="1">
      <c r="A116" s="377"/>
      <c r="B116" s="377"/>
      <c r="C116" s="377"/>
      <c r="D116" s="377"/>
      <c r="E116" s="377"/>
      <c r="F116" s="377"/>
      <c r="G116" s="377"/>
      <c r="H116" s="377"/>
      <c r="I116" s="377"/>
      <c r="J116" s="377"/>
      <c r="K116" s="377"/>
      <c r="L116" s="377"/>
      <c r="M116" s="377"/>
      <c r="N116" s="377"/>
      <c r="O116" s="377"/>
      <c r="P116" s="377"/>
      <c r="Q116" s="377"/>
      <c r="R116" s="377"/>
      <c r="S116" s="377"/>
      <c r="T116" s="377"/>
      <c r="U116" s="377"/>
      <c r="V116" s="377"/>
      <c r="W116" s="377"/>
      <c r="X116" s="377"/>
      <c r="Y116" s="377"/>
      <c r="Z116" s="377"/>
    </row>
    <row r="117" ht="19.5" customHeight="1">
      <c r="A117" s="377"/>
      <c r="B117" s="377"/>
      <c r="C117" s="377"/>
      <c r="D117" s="377"/>
      <c r="E117" s="377"/>
      <c r="F117" s="377"/>
      <c r="G117" s="377"/>
      <c r="H117" s="377"/>
      <c r="I117" s="377"/>
      <c r="J117" s="377"/>
      <c r="K117" s="377"/>
      <c r="L117" s="377"/>
      <c r="M117" s="377"/>
      <c r="N117" s="377"/>
      <c r="O117" s="377"/>
      <c r="P117" s="377"/>
      <c r="Q117" s="377"/>
      <c r="R117" s="377"/>
      <c r="S117" s="377"/>
      <c r="T117" s="377"/>
      <c r="U117" s="377"/>
      <c r="V117" s="377"/>
      <c r="W117" s="377"/>
      <c r="X117" s="377"/>
      <c r="Y117" s="377"/>
      <c r="Z117" s="377"/>
    </row>
    <row r="118" ht="19.5" customHeight="1">
      <c r="A118" s="377"/>
      <c r="B118" s="377"/>
      <c r="C118" s="377"/>
      <c r="D118" s="377"/>
      <c r="E118" s="377"/>
      <c r="F118" s="377"/>
      <c r="G118" s="377"/>
      <c r="H118" s="377"/>
      <c r="I118" s="377"/>
      <c r="J118" s="377"/>
      <c r="K118" s="377"/>
      <c r="L118" s="377"/>
      <c r="M118" s="377"/>
      <c r="N118" s="377"/>
      <c r="O118" s="377"/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</row>
    <row r="119" ht="19.5" customHeight="1">
      <c r="A119" s="377"/>
      <c r="B119" s="377"/>
      <c r="C119" s="377"/>
      <c r="D119" s="377"/>
      <c r="E119" s="377"/>
      <c r="F119" s="377"/>
      <c r="G119" s="377"/>
      <c r="H119" s="377"/>
      <c r="I119" s="377"/>
      <c r="J119" s="377"/>
      <c r="K119" s="377"/>
      <c r="L119" s="377"/>
      <c r="M119" s="377"/>
      <c r="N119" s="377"/>
      <c r="O119" s="377"/>
      <c r="P119" s="377"/>
      <c r="Q119" s="377"/>
      <c r="R119" s="377"/>
      <c r="S119" s="377"/>
      <c r="T119" s="377"/>
      <c r="U119" s="377"/>
      <c r="V119" s="377"/>
      <c r="W119" s="377"/>
      <c r="X119" s="377"/>
      <c r="Y119" s="377"/>
      <c r="Z119" s="377"/>
    </row>
    <row r="120" ht="19.5" customHeight="1">
      <c r="A120" s="377"/>
      <c r="B120" s="377"/>
      <c r="C120" s="377"/>
      <c r="D120" s="377"/>
      <c r="E120" s="377"/>
      <c r="F120" s="377"/>
      <c r="G120" s="377"/>
      <c r="H120" s="377"/>
      <c r="I120" s="377"/>
      <c r="J120" s="377"/>
      <c r="K120" s="377"/>
      <c r="L120" s="377"/>
      <c r="M120" s="377"/>
      <c r="N120" s="377"/>
      <c r="O120" s="377"/>
      <c r="P120" s="377"/>
      <c r="Q120" s="377"/>
      <c r="R120" s="377"/>
      <c r="S120" s="377"/>
      <c r="T120" s="377"/>
      <c r="U120" s="377"/>
      <c r="V120" s="377"/>
      <c r="W120" s="377"/>
      <c r="X120" s="377"/>
      <c r="Y120" s="377"/>
      <c r="Z120" s="377"/>
    </row>
    <row r="121" ht="19.5" customHeight="1">
      <c r="A121" s="377"/>
      <c r="B121" s="377"/>
      <c r="C121" s="377"/>
      <c r="D121" s="377"/>
      <c r="E121" s="377"/>
      <c r="F121" s="377"/>
      <c r="G121" s="377"/>
      <c r="H121" s="377"/>
      <c r="I121" s="377"/>
      <c r="J121" s="377"/>
      <c r="K121" s="377"/>
      <c r="L121" s="377"/>
      <c r="M121" s="377"/>
      <c r="N121" s="377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</row>
    <row r="122" ht="19.5" customHeight="1">
      <c r="A122" s="377"/>
      <c r="B122" s="377"/>
      <c r="C122" s="377"/>
      <c r="D122" s="377"/>
      <c r="E122" s="377"/>
      <c r="F122" s="377"/>
      <c r="G122" s="377"/>
      <c r="H122" s="377"/>
      <c r="I122" s="377"/>
      <c r="J122" s="377"/>
      <c r="K122" s="377"/>
      <c r="L122" s="377"/>
      <c r="M122" s="377"/>
      <c r="N122" s="377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</row>
    <row r="123" ht="19.5" customHeight="1">
      <c r="A123" s="377"/>
      <c r="B123" s="377"/>
      <c r="C123" s="377"/>
      <c r="D123" s="377"/>
      <c r="E123" s="377"/>
      <c r="F123" s="377"/>
      <c r="G123" s="377"/>
      <c r="H123" s="377"/>
      <c r="I123" s="377"/>
      <c r="J123" s="377"/>
      <c r="K123" s="377"/>
      <c r="L123" s="377"/>
      <c r="M123" s="377"/>
      <c r="N123" s="377"/>
      <c r="O123" s="377"/>
      <c r="P123" s="377"/>
      <c r="Q123" s="377"/>
      <c r="R123" s="377"/>
      <c r="S123" s="377"/>
      <c r="T123" s="377"/>
      <c r="U123" s="377"/>
      <c r="V123" s="377"/>
      <c r="W123" s="377"/>
      <c r="X123" s="377"/>
      <c r="Y123" s="377"/>
      <c r="Z123" s="377"/>
    </row>
    <row r="124" ht="19.5" customHeight="1">
      <c r="A124" s="377"/>
      <c r="B124" s="377"/>
      <c r="C124" s="377"/>
      <c r="D124" s="377"/>
      <c r="E124" s="377"/>
      <c r="F124" s="377"/>
      <c r="G124" s="377"/>
      <c r="H124" s="377"/>
      <c r="I124" s="377"/>
      <c r="J124" s="377"/>
      <c r="K124" s="377"/>
      <c r="L124" s="377"/>
      <c r="M124" s="377"/>
      <c r="N124" s="377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</row>
    <row r="125" ht="19.5" customHeight="1">
      <c r="A125" s="377"/>
      <c r="B125" s="377"/>
      <c r="C125" s="377"/>
      <c r="D125" s="377"/>
      <c r="E125" s="377"/>
      <c r="F125" s="377"/>
      <c r="G125" s="377"/>
      <c r="H125" s="377"/>
      <c r="I125" s="377"/>
      <c r="J125" s="377"/>
      <c r="K125" s="377"/>
      <c r="L125" s="377"/>
      <c r="M125" s="377"/>
      <c r="N125" s="377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</row>
    <row r="126" ht="19.5" customHeight="1">
      <c r="A126" s="377"/>
      <c r="B126" s="377"/>
      <c r="C126" s="377"/>
      <c r="D126" s="377"/>
      <c r="E126" s="377"/>
      <c r="F126" s="377"/>
      <c r="G126" s="377"/>
      <c r="H126" s="377"/>
      <c r="I126" s="377"/>
      <c r="J126" s="377"/>
      <c r="K126" s="377"/>
      <c r="L126" s="377"/>
      <c r="M126" s="377"/>
      <c r="N126" s="377"/>
      <c r="O126" s="377"/>
      <c r="P126" s="377"/>
      <c r="Q126" s="377"/>
      <c r="R126" s="377"/>
      <c r="S126" s="377"/>
      <c r="T126" s="377"/>
      <c r="U126" s="377"/>
      <c r="V126" s="377"/>
      <c r="W126" s="377"/>
      <c r="X126" s="377"/>
      <c r="Y126" s="377"/>
      <c r="Z126" s="377"/>
    </row>
    <row r="127" ht="19.5" customHeight="1">
      <c r="A127" s="377"/>
      <c r="B127" s="377"/>
      <c r="C127" s="377"/>
      <c r="D127" s="377"/>
      <c r="E127" s="377"/>
      <c r="F127" s="377"/>
      <c r="G127" s="377"/>
      <c r="H127" s="377"/>
      <c r="I127" s="377"/>
      <c r="J127" s="377"/>
      <c r="K127" s="377"/>
      <c r="L127" s="377"/>
      <c r="M127" s="377"/>
      <c r="N127" s="377"/>
      <c r="O127" s="377"/>
      <c r="P127" s="377"/>
      <c r="Q127" s="377"/>
      <c r="R127" s="377"/>
      <c r="S127" s="377"/>
      <c r="T127" s="377"/>
      <c r="U127" s="377"/>
      <c r="V127" s="377"/>
      <c r="W127" s="377"/>
      <c r="X127" s="377"/>
      <c r="Y127" s="377"/>
      <c r="Z127" s="377"/>
    </row>
    <row r="128" ht="19.5" customHeight="1">
      <c r="A128" s="377"/>
      <c r="B128" s="377"/>
      <c r="C128" s="377"/>
      <c r="D128" s="377"/>
      <c r="E128" s="377"/>
      <c r="F128" s="377"/>
      <c r="G128" s="377"/>
      <c r="H128" s="377"/>
      <c r="I128" s="377"/>
      <c r="J128" s="377"/>
      <c r="K128" s="377"/>
      <c r="L128" s="377"/>
      <c r="M128" s="377"/>
      <c r="N128" s="377"/>
      <c r="O128" s="377"/>
      <c r="P128" s="377"/>
      <c r="Q128" s="377"/>
      <c r="R128" s="377"/>
      <c r="S128" s="377"/>
      <c r="T128" s="377"/>
      <c r="U128" s="377"/>
      <c r="V128" s="377"/>
      <c r="W128" s="377"/>
      <c r="X128" s="377"/>
      <c r="Y128" s="377"/>
      <c r="Z128" s="377"/>
    </row>
    <row r="129" ht="19.5" customHeight="1">
      <c r="A129" s="377"/>
      <c r="B129" s="377"/>
      <c r="C129" s="377"/>
      <c r="D129" s="377"/>
      <c r="E129" s="377"/>
      <c r="F129" s="377"/>
      <c r="G129" s="377"/>
      <c r="H129" s="377"/>
      <c r="I129" s="377"/>
      <c r="J129" s="377"/>
      <c r="K129" s="377"/>
      <c r="L129" s="377"/>
      <c r="M129" s="377"/>
      <c r="N129" s="377"/>
      <c r="O129" s="377"/>
      <c r="P129" s="377"/>
      <c r="Q129" s="377"/>
      <c r="R129" s="377"/>
      <c r="S129" s="377"/>
      <c r="T129" s="377"/>
      <c r="U129" s="377"/>
      <c r="V129" s="377"/>
      <c r="W129" s="377"/>
      <c r="X129" s="377"/>
      <c r="Y129" s="377"/>
      <c r="Z129" s="377"/>
    </row>
    <row r="130" ht="19.5" customHeight="1">
      <c r="A130" s="377"/>
      <c r="B130" s="377"/>
      <c r="C130" s="377"/>
      <c r="D130" s="377"/>
      <c r="E130" s="377"/>
      <c r="F130" s="377"/>
      <c r="G130" s="377"/>
      <c r="H130" s="377"/>
      <c r="I130" s="377"/>
      <c r="J130" s="377"/>
      <c r="K130" s="377"/>
      <c r="L130" s="377"/>
      <c r="M130" s="377"/>
      <c r="N130" s="377"/>
      <c r="O130" s="377"/>
      <c r="P130" s="377"/>
      <c r="Q130" s="377"/>
      <c r="R130" s="377"/>
      <c r="S130" s="377"/>
      <c r="T130" s="377"/>
      <c r="U130" s="377"/>
      <c r="V130" s="377"/>
      <c r="W130" s="377"/>
      <c r="X130" s="377"/>
      <c r="Y130" s="377"/>
      <c r="Z130" s="377"/>
    </row>
    <row r="131" ht="19.5" customHeight="1">
      <c r="A131" s="377"/>
      <c r="B131" s="377"/>
      <c r="C131" s="377"/>
      <c r="D131" s="377"/>
      <c r="E131" s="377"/>
      <c r="F131" s="377"/>
      <c r="G131" s="377"/>
      <c r="H131" s="377"/>
      <c r="I131" s="377"/>
      <c r="J131" s="377"/>
      <c r="K131" s="377"/>
      <c r="L131" s="377"/>
      <c r="M131" s="377"/>
      <c r="N131" s="377"/>
      <c r="O131" s="377"/>
      <c r="P131" s="377"/>
      <c r="Q131" s="377"/>
      <c r="R131" s="377"/>
      <c r="S131" s="377"/>
      <c r="T131" s="377"/>
      <c r="U131" s="377"/>
      <c r="V131" s="377"/>
      <c r="W131" s="377"/>
      <c r="X131" s="377"/>
      <c r="Y131" s="377"/>
      <c r="Z131" s="377"/>
    </row>
    <row r="132" ht="19.5" customHeight="1">
      <c r="A132" s="377"/>
      <c r="B132" s="377"/>
      <c r="C132" s="377"/>
      <c r="D132" s="377"/>
      <c r="E132" s="377"/>
      <c r="F132" s="377"/>
      <c r="G132" s="377"/>
      <c r="H132" s="377"/>
      <c r="I132" s="377"/>
      <c r="J132" s="377"/>
      <c r="K132" s="377"/>
      <c r="L132" s="377"/>
      <c r="M132" s="377"/>
      <c r="N132" s="377"/>
      <c r="O132" s="377"/>
      <c r="P132" s="377"/>
      <c r="Q132" s="377"/>
      <c r="R132" s="377"/>
      <c r="S132" s="377"/>
      <c r="T132" s="377"/>
      <c r="U132" s="377"/>
      <c r="V132" s="377"/>
      <c r="W132" s="377"/>
      <c r="X132" s="377"/>
      <c r="Y132" s="377"/>
      <c r="Z132" s="377"/>
    </row>
    <row r="133" ht="19.5" customHeight="1">
      <c r="A133" s="377"/>
      <c r="B133" s="377"/>
      <c r="C133" s="377"/>
      <c r="D133" s="377"/>
      <c r="E133" s="377"/>
      <c r="F133" s="377"/>
      <c r="G133" s="377"/>
      <c r="H133" s="377"/>
      <c r="I133" s="377"/>
      <c r="J133" s="377"/>
      <c r="K133" s="377"/>
      <c r="L133" s="377"/>
      <c r="M133" s="377"/>
      <c r="N133" s="377"/>
      <c r="O133" s="377"/>
      <c r="P133" s="377"/>
      <c r="Q133" s="377"/>
      <c r="R133" s="377"/>
      <c r="S133" s="377"/>
      <c r="T133" s="377"/>
      <c r="U133" s="377"/>
      <c r="V133" s="377"/>
      <c r="W133" s="377"/>
      <c r="X133" s="377"/>
      <c r="Y133" s="377"/>
      <c r="Z133" s="377"/>
    </row>
    <row r="134" ht="19.5" customHeight="1">
      <c r="A134" s="377"/>
      <c r="B134" s="377"/>
      <c r="C134" s="377"/>
      <c r="D134" s="377"/>
      <c r="E134" s="377"/>
      <c r="F134" s="377"/>
      <c r="G134" s="377"/>
      <c r="H134" s="377"/>
      <c r="I134" s="377"/>
      <c r="J134" s="377"/>
      <c r="K134" s="377"/>
      <c r="L134" s="377"/>
      <c r="M134" s="377"/>
      <c r="N134" s="377"/>
      <c r="O134" s="377"/>
      <c r="P134" s="377"/>
      <c r="Q134" s="377"/>
      <c r="R134" s="377"/>
      <c r="S134" s="377"/>
      <c r="T134" s="377"/>
      <c r="U134" s="377"/>
      <c r="V134" s="377"/>
      <c r="W134" s="377"/>
      <c r="X134" s="377"/>
      <c r="Y134" s="377"/>
      <c r="Z134" s="377"/>
    </row>
    <row r="135" ht="19.5" customHeight="1">
      <c r="A135" s="377"/>
      <c r="B135" s="377"/>
      <c r="C135" s="377"/>
      <c r="D135" s="377"/>
      <c r="E135" s="377"/>
      <c r="F135" s="377"/>
      <c r="G135" s="377"/>
      <c r="H135" s="377"/>
      <c r="I135" s="377"/>
      <c r="J135" s="377"/>
      <c r="K135" s="377"/>
      <c r="L135" s="377"/>
      <c r="M135" s="377"/>
      <c r="N135" s="377"/>
      <c r="O135" s="377"/>
      <c r="P135" s="377"/>
      <c r="Q135" s="377"/>
      <c r="R135" s="377"/>
      <c r="S135" s="377"/>
      <c r="T135" s="377"/>
      <c r="U135" s="377"/>
      <c r="V135" s="377"/>
      <c r="W135" s="377"/>
      <c r="X135" s="377"/>
      <c r="Y135" s="377"/>
      <c r="Z135" s="377"/>
    </row>
    <row r="136" ht="19.5" customHeight="1">
      <c r="A136" s="377"/>
      <c r="B136" s="377"/>
      <c r="C136" s="377"/>
      <c r="D136" s="377"/>
      <c r="E136" s="377"/>
      <c r="F136" s="377"/>
      <c r="G136" s="377"/>
      <c r="H136" s="377"/>
      <c r="I136" s="377"/>
      <c r="J136" s="377"/>
      <c r="K136" s="377"/>
      <c r="L136" s="377"/>
      <c r="M136" s="377"/>
      <c r="N136" s="377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</row>
    <row r="137" ht="19.5" customHeight="1">
      <c r="A137" s="377"/>
      <c r="B137" s="377"/>
      <c r="C137" s="377"/>
      <c r="D137" s="377"/>
      <c r="E137" s="377"/>
      <c r="F137" s="377"/>
      <c r="G137" s="377"/>
      <c r="H137" s="377"/>
      <c r="I137" s="377"/>
      <c r="J137" s="377"/>
      <c r="K137" s="377"/>
      <c r="L137" s="377"/>
      <c r="M137" s="377"/>
      <c r="N137" s="377"/>
      <c r="O137" s="377"/>
      <c r="P137" s="377"/>
      <c r="Q137" s="377"/>
      <c r="R137" s="377"/>
      <c r="S137" s="377"/>
      <c r="T137" s="377"/>
      <c r="U137" s="377"/>
      <c r="V137" s="377"/>
      <c r="W137" s="377"/>
      <c r="X137" s="377"/>
      <c r="Y137" s="377"/>
      <c r="Z137" s="377"/>
    </row>
    <row r="138" ht="19.5" customHeight="1">
      <c r="A138" s="377"/>
      <c r="B138" s="377"/>
      <c r="C138" s="377"/>
      <c r="D138" s="377"/>
      <c r="E138" s="377"/>
      <c r="F138" s="377"/>
      <c r="G138" s="377"/>
      <c r="H138" s="377"/>
      <c r="I138" s="377"/>
      <c r="J138" s="377"/>
      <c r="K138" s="377"/>
      <c r="L138" s="377"/>
      <c r="M138" s="377"/>
      <c r="N138" s="377"/>
      <c r="O138" s="377"/>
      <c r="P138" s="377"/>
      <c r="Q138" s="377"/>
      <c r="R138" s="377"/>
      <c r="S138" s="377"/>
      <c r="T138" s="377"/>
      <c r="U138" s="377"/>
      <c r="V138" s="377"/>
      <c r="W138" s="377"/>
      <c r="X138" s="377"/>
      <c r="Y138" s="377"/>
      <c r="Z138" s="377"/>
    </row>
    <row r="139" ht="19.5" customHeight="1">
      <c r="A139" s="377"/>
      <c r="B139" s="377"/>
      <c r="C139" s="377"/>
      <c r="D139" s="377"/>
      <c r="E139" s="377"/>
      <c r="F139" s="377"/>
      <c r="G139" s="377"/>
      <c r="H139" s="377"/>
      <c r="I139" s="377"/>
      <c r="J139" s="377"/>
      <c r="K139" s="377"/>
      <c r="L139" s="377"/>
      <c r="M139" s="377"/>
      <c r="N139" s="377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</row>
    <row r="140" ht="19.5" customHeight="1">
      <c r="A140" s="377"/>
      <c r="B140" s="377"/>
      <c r="C140" s="377"/>
      <c r="D140" s="377"/>
      <c r="E140" s="377"/>
      <c r="F140" s="377"/>
      <c r="G140" s="377"/>
      <c r="H140" s="377"/>
      <c r="I140" s="377"/>
      <c r="J140" s="377"/>
      <c r="K140" s="377"/>
      <c r="L140" s="377"/>
      <c r="M140" s="377"/>
      <c r="N140" s="377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</row>
    <row r="141" ht="19.5" customHeight="1">
      <c r="A141" s="377"/>
      <c r="B141" s="377"/>
      <c r="C141" s="377"/>
      <c r="D141" s="377"/>
      <c r="E141" s="377"/>
      <c r="F141" s="377"/>
      <c r="G141" s="377"/>
      <c r="H141" s="377"/>
      <c r="I141" s="377"/>
      <c r="J141" s="377"/>
      <c r="K141" s="377"/>
      <c r="L141" s="377"/>
      <c r="M141" s="377"/>
      <c r="N141" s="377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</row>
    <row r="142" ht="19.5" customHeight="1">
      <c r="A142" s="377"/>
      <c r="B142" s="377"/>
      <c r="C142" s="377"/>
      <c r="D142" s="377"/>
      <c r="E142" s="377"/>
      <c r="F142" s="377"/>
      <c r="G142" s="377"/>
      <c r="H142" s="377"/>
      <c r="I142" s="377"/>
      <c r="J142" s="377"/>
      <c r="K142" s="377"/>
      <c r="L142" s="377"/>
      <c r="M142" s="377"/>
      <c r="N142" s="377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</row>
    <row r="143" ht="19.5" customHeight="1">
      <c r="A143" s="377"/>
      <c r="B143" s="377"/>
      <c r="C143" s="377"/>
      <c r="D143" s="377"/>
      <c r="E143" s="377"/>
      <c r="F143" s="377"/>
      <c r="G143" s="377"/>
      <c r="H143" s="377"/>
      <c r="I143" s="377"/>
      <c r="J143" s="377"/>
      <c r="K143" s="377"/>
      <c r="L143" s="377"/>
      <c r="M143" s="377"/>
      <c r="N143" s="377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</row>
    <row r="144" ht="19.5" customHeight="1">
      <c r="A144" s="377"/>
      <c r="B144" s="377"/>
      <c r="C144" s="377"/>
      <c r="D144" s="377"/>
      <c r="E144" s="377"/>
      <c r="F144" s="377"/>
      <c r="G144" s="377"/>
      <c r="H144" s="377"/>
      <c r="I144" s="377"/>
      <c r="J144" s="377"/>
      <c r="K144" s="377"/>
      <c r="L144" s="377"/>
      <c r="M144" s="377"/>
      <c r="N144" s="377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</row>
    <row r="145" ht="19.5" customHeight="1">
      <c r="A145" s="377"/>
      <c r="B145" s="377"/>
      <c r="C145" s="377"/>
      <c r="D145" s="377"/>
      <c r="E145" s="377"/>
      <c r="F145" s="377"/>
      <c r="G145" s="377"/>
      <c r="H145" s="377"/>
      <c r="I145" s="377"/>
      <c r="J145" s="377"/>
      <c r="K145" s="377"/>
      <c r="L145" s="377"/>
      <c r="M145" s="377"/>
      <c r="N145" s="377"/>
      <c r="O145" s="377"/>
      <c r="P145" s="377"/>
      <c r="Q145" s="377"/>
      <c r="R145" s="377"/>
      <c r="S145" s="377"/>
      <c r="T145" s="377"/>
      <c r="U145" s="377"/>
      <c r="V145" s="377"/>
      <c r="W145" s="377"/>
      <c r="X145" s="377"/>
      <c r="Y145" s="377"/>
      <c r="Z145" s="377"/>
    </row>
    <row r="146" ht="19.5" customHeight="1">
      <c r="A146" s="377"/>
      <c r="B146" s="377"/>
      <c r="C146" s="377"/>
      <c r="D146" s="377"/>
      <c r="E146" s="377"/>
      <c r="F146" s="377"/>
      <c r="G146" s="377"/>
      <c r="H146" s="377"/>
      <c r="I146" s="377"/>
      <c r="J146" s="377"/>
      <c r="K146" s="377"/>
      <c r="L146" s="377"/>
      <c r="M146" s="377"/>
      <c r="N146" s="377"/>
      <c r="O146" s="377"/>
      <c r="P146" s="377"/>
      <c r="Q146" s="377"/>
      <c r="R146" s="377"/>
      <c r="S146" s="377"/>
      <c r="T146" s="377"/>
      <c r="U146" s="377"/>
      <c r="V146" s="377"/>
      <c r="W146" s="377"/>
      <c r="X146" s="377"/>
      <c r="Y146" s="377"/>
      <c r="Z146" s="377"/>
    </row>
    <row r="147" ht="19.5" customHeight="1">
      <c r="A147" s="377"/>
      <c r="B147" s="377"/>
      <c r="C147" s="377"/>
      <c r="D147" s="377"/>
      <c r="E147" s="377"/>
      <c r="F147" s="377"/>
      <c r="G147" s="377"/>
      <c r="H147" s="377"/>
      <c r="I147" s="377"/>
      <c r="J147" s="377"/>
      <c r="K147" s="377"/>
      <c r="L147" s="377"/>
      <c r="M147" s="377"/>
      <c r="N147" s="377"/>
      <c r="O147" s="377"/>
      <c r="P147" s="377"/>
      <c r="Q147" s="377"/>
      <c r="R147" s="377"/>
      <c r="S147" s="377"/>
      <c r="T147" s="377"/>
      <c r="U147" s="377"/>
      <c r="V147" s="377"/>
      <c r="W147" s="377"/>
      <c r="X147" s="377"/>
      <c r="Y147" s="377"/>
      <c r="Z147" s="377"/>
    </row>
    <row r="148" ht="19.5" customHeight="1">
      <c r="A148" s="377"/>
      <c r="B148" s="377"/>
      <c r="C148" s="377"/>
      <c r="D148" s="377"/>
      <c r="E148" s="377"/>
      <c r="F148" s="377"/>
      <c r="G148" s="377"/>
      <c r="H148" s="377"/>
      <c r="I148" s="377"/>
      <c r="J148" s="377"/>
      <c r="K148" s="377"/>
      <c r="L148" s="377"/>
      <c r="M148" s="377"/>
      <c r="N148" s="377"/>
      <c r="O148" s="377"/>
      <c r="P148" s="377"/>
      <c r="Q148" s="377"/>
      <c r="R148" s="377"/>
      <c r="S148" s="377"/>
      <c r="T148" s="377"/>
      <c r="U148" s="377"/>
      <c r="V148" s="377"/>
      <c r="W148" s="377"/>
      <c r="X148" s="377"/>
      <c r="Y148" s="377"/>
      <c r="Z148" s="377"/>
    </row>
    <row r="149" ht="19.5" customHeight="1">
      <c r="A149" s="377"/>
      <c r="B149" s="377"/>
      <c r="C149" s="377"/>
      <c r="D149" s="377"/>
      <c r="E149" s="377"/>
      <c r="F149" s="377"/>
      <c r="G149" s="377"/>
      <c r="H149" s="377"/>
      <c r="I149" s="377"/>
      <c r="J149" s="377"/>
      <c r="K149" s="377"/>
      <c r="L149" s="377"/>
      <c r="M149" s="377"/>
      <c r="N149" s="377"/>
      <c r="O149" s="377"/>
      <c r="P149" s="377"/>
      <c r="Q149" s="377"/>
      <c r="R149" s="377"/>
      <c r="S149" s="377"/>
      <c r="T149" s="377"/>
      <c r="U149" s="377"/>
      <c r="V149" s="377"/>
      <c r="W149" s="377"/>
      <c r="X149" s="377"/>
      <c r="Y149" s="377"/>
      <c r="Z149" s="377"/>
    </row>
    <row r="150" ht="19.5" customHeight="1">
      <c r="A150" s="377"/>
      <c r="B150" s="377"/>
      <c r="C150" s="377"/>
      <c r="D150" s="377"/>
      <c r="E150" s="377"/>
      <c r="F150" s="377"/>
      <c r="G150" s="377"/>
      <c r="H150" s="377"/>
      <c r="I150" s="377"/>
      <c r="J150" s="377"/>
      <c r="K150" s="377"/>
      <c r="L150" s="377"/>
      <c r="M150" s="377"/>
      <c r="N150" s="377"/>
      <c r="O150" s="377"/>
      <c r="P150" s="377"/>
      <c r="Q150" s="377"/>
      <c r="R150" s="377"/>
      <c r="S150" s="377"/>
      <c r="T150" s="377"/>
      <c r="U150" s="377"/>
      <c r="V150" s="377"/>
      <c r="W150" s="377"/>
      <c r="X150" s="377"/>
      <c r="Y150" s="377"/>
      <c r="Z150" s="377"/>
    </row>
    <row r="151" ht="19.5" customHeight="1">
      <c r="A151" s="377"/>
      <c r="B151" s="377"/>
      <c r="C151" s="377"/>
      <c r="D151" s="377"/>
      <c r="E151" s="377"/>
      <c r="F151" s="377"/>
      <c r="G151" s="377"/>
      <c r="H151" s="377"/>
      <c r="I151" s="377"/>
      <c r="J151" s="377"/>
      <c r="K151" s="377"/>
      <c r="L151" s="377"/>
      <c r="M151" s="377"/>
      <c r="N151" s="377"/>
      <c r="O151" s="377"/>
      <c r="P151" s="377"/>
      <c r="Q151" s="377"/>
      <c r="R151" s="377"/>
      <c r="S151" s="377"/>
      <c r="T151" s="377"/>
      <c r="U151" s="377"/>
      <c r="V151" s="377"/>
      <c r="W151" s="377"/>
      <c r="X151" s="377"/>
      <c r="Y151" s="377"/>
      <c r="Z151" s="377"/>
    </row>
    <row r="152" ht="19.5" customHeight="1">
      <c r="A152" s="377"/>
      <c r="B152" s="377"/>
      <c r="C152" s="377"/>
      <c r="D152" s="377"/>
      <c r="E152" s="377"/>
      <c r="F152" s="377"/>
      <c r="G152" s="377"/>
      <c r="H152" s="377"/>
      <c r="I152" s="377"/>
      <c r="J152" s="377"/>
      <c r="K152" s="377"/>
      <c r="L152" s="377"/>
      <c r="M152" s="377"/>
      <c r="N152" s="377"/>
      <c r="O152" s="377"/>
      <c r="P152" s="377"/>
      <c r="Q152" s="377"/>
      <c r="R152" s="377"/>
      <c r="S152" s="377"/>
      <c r="T152" s="377"/>
      <c r="U152" s="377"/>
      <c r="V152" s="377"/>
      <c r="W152" s="377"/>
      <c r="X152" s="377"/>
      <c r="Y152" s="377"/>
      <c r="Z152" s="377"/>
    </row>
    <row r="153" ht="19.5" customHeight="1">
      <c r="A153" s="377"/>
      <c r="B153" s="377"/>
      <c r="C153" s="377"/>
      <c r="D153" s="377"/>
      <c r="E153" s="377"/>
      <c r="F153" s="377"/>
      <c r="G153" s="377"/>
      <c r="H153" s="377"/>
      <c r="I153" s="377"/>
      <c r="J153" s="377"/>
      <c r="K153" s="377"/>
      <c r="L153" s="377"/>
      <c r="M153" s="377"/>
      <c r="N153" s="377"/>
      <c r="O153" s="377"/>
      <c r="P153" s="377"/>
      <c r="Q153" s="377"/>
      <c r="R153" s="377"/>
      <c r="S153" s="377"/>
      <c r="T153" s="377"/>
      <c r="U153" s="377"/>
      <c r="V153" s="377"/>
      <c r="W153" s="377"/>
      <c r="X153" s="377"/>
      <c r="Y153" s="377"/>
      <c r="Z153" s="377"/>
    </row>
    <row r="154" ht="19.5" customHeight="1">
      <c r="A154" s="377"/>
      <c r="B154" s="377"/>
      <c r="C154" s="377"/>
      <c r="D154" s="377"/>
      <c r="E154" s="377"/>
      <c r="F154" s="377"/>
      <c r="G154" s="377"/>
      <c r="H154" s="377"/>
      <c r="I154" s="377"/>
      <c r="J154" s="377"/>
      <c r="K154" s="377"/>
      <c r="L154" s="377"/>
      <c r="M154" s="377"/>
      <c r="N154" s="377"/>
      <c r="O154" s="377"/>
      <c r="P154" s="377"/>
      <c r="Q154" s="377"/>
      <c r="R154" s="377"/>
      <c r="S154" s="377"/>
      <c r="T154" s="377"/>
      <c r="U154" s="377"/>
      <c r="V154" s="377"/>
      <c r="W154" s="377"/>
      <c r="X154" s="377"/>
      <c r="Y154" s="377"/>
      <c r="Z154" s="377"/>
    </row>
    <row r="155" ht="19.5" customHeight="1">
      <c r="A155" s="377"/>
      <c r="B155" s="377"/>
      <c r="C155" s="377"/>
      <c r="D155" s="377"/>
      <c r="E155" s="377"/>
      <c r="F155" s="377"/>
      <c r="G155" s="377"/>
      <c r="H155" s="377"/>
      <c r="I155" s="377"/>
      <c r="J155" s="377"/>
      <c r="K155" s="377"/>
      <c r="L155" s="377"/>
      <c r="M155" s="377"/>
      <c r="N155" s="377"/>
      <c r="O155" s="377"/>
      <c r="P155" s="377"/>
      <c r="Q155" s="377"/>
      <c r="R155" s="377"/>
      <c r="S155" s="377"/>
      <c r="T155" s="377"/>
      <c r="U155" s="377"/>
      <c r="V155" s="377"/>
      <c r="W155" s="377"/>
      <c r="X155" s="377"/>
      <c r="Y155" s="377"/>
      <c r="Z155" s="377"/>
    </row>
    <row r="156" ht="19.5" customHeight="1">
      <c r="A156" s="377"/>
      <c r="B156" s="377"/>
      <c r="C156" s="377"/>
      <c r="D156" s="377"/>
      <c r="E156" s="377"/>
      <c r="F156" s="377"/>
      <c r="G156" s="377"/>
      <c r="H156" s="377"/>
      <c r="I156" s="377"/>
      <c r="J156" s="377"/>
      <c r="K156" s="377"/>
      <c r="L156" s="377"/>
      <c r="M156" s="377"/>
      <c r="N156" s="377"/>
      <c r="O156" s="377"/>
      <c r="P156" s="377"/>
      <c r="Q156" s="377"/>
      <c r="R156" s="377"/>
      <c r="S156" s="377"/>
      <c r="T156" s="377"/>
      <c r="U156" s="377"/>
      <c r="V156" s="377"/>
      <c r="W156" s="377"/>
      <c r="X156" s="377"/>
      <c r="Y156" s="377"/>
      <c r="Z156" s="377"/>
    </row>
    <row r="157" ht="19.5" customHeight="1">
      <c r="A157" s="377"/>
      <c r="B157" s="377"/>
      <c r="C157" s="377"/>
      <c r="D157" s="377"/>
      <c r="E157" s="377"/>
      <c r="F157" s="377"/>
      <c r="G157" s="377"/>
      <c r="H157" s="377"/>
      <c r="I157" s="377"/>
      <c r="J157" s="377"/>
      <c r="K157" s="377"/>
      <c r="L157" s="377"/>
      <c r="M157" s="377"/>
      <c r="N157" s="377"/>
      <c r="O157" s="377"/>
      <c r="P157" s="377"/>
      <c r="Q157" s="377"/>
      <c r="R157" s="377"/>
      <c r="S157" s="377"/>
      <c r="T157" s="377"/>
      <c r="U157" s="377"/>
      <c r="V157" s="377"/>
      <c r="W157" s="377"/>
      <c r="X157" s="377"/>
      <c r="Y157" s="377"/>
      <c r="Z157" s="377"/>
    </row>
    <row r="158" ht="19.5" customHeight="1">
      <c r="A158" s="377"/>
      <c r="B158" s="377"/>
      <c r="C158" s="377"/>
      <c r="D158" s="377"/>
      <c r="E158" s="377"/>
      <c r="F158" s="377"/>
      <c r="G158" s="377"/>
      <c r="H158" s="377"/>
      <c r="I158" s="377"/>
      <c r="J158" s="377"/>
      <c r="K158" s="377"/>
      <c r="L158" s="377"/>
      <c r="M158" s="377"/>
      <c r="N158" s="377"/>
      <c r="O158" s="377"/>
      <c r="P158" s="377"/>
      <c r="Q158" s="377"/>
      <c r="R158" s="377"/>
      <c r="S158" s="377"/>
      <c r="T158" s="377"/>
      <c r="U158" s="377"/>
      <c r="V158" s="377"/>
      <c r="W158" s="377"/>
      <c r="X158" s="377"/>
      <c r="Y158" s="377"/>
      <c r="Z158" s="377"/>
    </row>
    <row r="159" ht="19.5" customHeight="1">
      <c r="A159" s="377"/>
      <c r="B159" s="377"/>
      <c r="C159" s="377"/>
      <c r="D159" s="377"/>
      <c r="E159" s="377"/>
      <c r="F159" s="377"/>
      <c r="G159" s="377"/>
      <c r="H159" s="377"/>
      <c r="I159" s="377"/>
      <c r="J159" s="377"/>
      <c r="K159" s="377"/>
      <c r="L159" s="377"/>
      <c r="M159" s="377"/>
      <c r="N159" s="377"/>
      <c r="O159" s="377"/>
      <c r="P159" s="377"/>
      <c r="Q159" s="377"/>
      <c r="R159" s="377"/>
      <c r="S159" s="377"/>
      <c r="T159" s="377"/>
      <c r="U159" s="377"/>
      <c r="V159" s="377"/>
      <c r="W159" s="377"/>
      <c r="X159" s="377"/>
      <c r="Y159" s="377"/>
      <c r="Z159" s="377"/>
    </row>
    <row r="160" ht="19.5" customHeight="1">
      <c r="A160" s="377"/>
      <c r="B160" s="377"/>
      <c r="C160" s="377"/>
      <c r="D160" s="377"/>
      <c r="E160" s="377"/>
      <c r="F160" s="377"/>
      <c r="G160" s="377"/>
      <c r="H160" s="377"/>
      <c r="I160" s="377"/>
      <c r="J160" s="377"/>
      <c r="K160" s="377"/>
      <c r="L160" s="377"/>
      <c r="M160" s="377"/>
      <c r="N160" s="377"/>
      <c r="O160" s="377"/>
      <c r="P160" s="377"/>
      <c r="Q160" s="377"/>
      <c r="R160" s="377"/>
      <c r="S160" s="377"/>
      <c r="T160" s="377"/>
      <c r="U160" s="377"/>
      <c r="V160" s="377"/>
      <c r="W160" s="377"/>
      <c r="X160" s="377"/>
      <c r="Y160" s="377"/>
      <c r="Z160" s="377"/>
    </row>
    <row r="161" ht="19.5" customHeight="1">
      <c r="A161" s="377"/>
      <c r="B161" s="377"/>
      <c r="C161" s="377"/>
      <c r="D161" s="377"/>
      <c r="E161" s="377"/>
      <c r="F161" s="377"/>
      <c r="G161" s="377"/>
      <c r="H161" s="377"/>
      <c r="I161" s="377"/>
      <c r="J161" s="377"/>
      <c r="K161" s="377"/>
      <c r="L161" s="377"/>
      <c r="M161" s="377"/>
      <c r="N161" s="377"/>
      <c r="O161" s="377"/>
      <c r="P161" s="377"/>
      <c r="Q161" s="377"/>
      <c r="R161" s="377"/>
      <c r="S161" s="377"/>
      <c r="T161" s="377"/>
      <c r="U161" s="377"/>
      <c r="V161" s="377"/>
      <c r="W161" s="377"/>
      <c r="X161" s="377"/>
      <c r="Y161" s="377"/>
      <c r="Z161" s="377"/>
    </row>
    <row r="162" ht="19.5" customHeight="1">
      <c r="A162" s="377"/>
      <c r="B162" s="377"/>
      <c r="C162" s="377"/>
      <c r="D162" s="377"/>
      <c r="E162" s="377"/>
      <c r="F162" s="377"/>
      <c r="G162" s="377"/>
      <c r="H162" s="377"/>
      <c r="I162" s="377"/>
      <c r="J162" s="377"/>
      <c r="K162" s="377"/>
      <c r="L162" s="377"/>
      <c r="M162" s="377"/>
      <c r="N162" s="377"/>
      <c r="O162" s="377"/>
      <c r="P162" s="377"/>
      <c r="Q162" s="377"/>
      <c r="R162" s="377"/>
      <c r="S162" s="377"/>
      <c r="T162" s="377"/>
      <c r="U162" s="377"/>
      <c r="V162" s="377"/>
      <c r="W162" s="377"/>
      <c r="X162" s="377"/>
      <c r="Y162" s="377"/>
      <c r="Z162" s="377"/>
    </row>
    <row r="163" ht="19.5" customHeight="1">
      <c r="A163" s="377"/>
      <c r="B163" s="377"/>
      <c r="C163" s="377"/>
      <c r="D163" s="377"/>
      <c r="E163" s="377"/>
      <c r="F163" s="377"/>
      <c r="G163" s="377"/>
      <c r="H163" s="377"/>
      <c r="I163" s="377"/>
      <c r="J163" s="377"/>
      <c r="K163" s="377"/>
      <c r="L163" s="377"/>
      <c r="M163" s="377"/>
      <c r="N163" s="377"/>
      <c r="O163" s="377"/>
      <c r="P163" s="377"/>
      <c r="Q163" s="377"/>
      <c r="R163" s="377"/>
      <c r="S163" s="377"/>
      <c r="T163" s="377"/>
      <c r="U163" s="377"/>
      <c r="V163" s="377"/>
      <c r="W163" s="377"/>
      <c r="X163" s="377"/>
      <c r="Y163" s="377"/>
      <c r="Z163" s="377"/>
    </row>
    <row r="164" ht="19.5" customHeight="1">
      <c r="A164" s="377"/>
      <c r="B164" s="377"/>
      <c r="C164" s="377"/>
      <c r="D164" s="377"/>
      <c r="E164" s="377"/>
      <c r="F164" s="377"/>
      <c r="G164" s="377"/>
      <c r="H164" s="377"/>
      <c r="I164" s="377"/>
      <c r="J164" s="377"/>
      <c r="K164" s="377"/>
      <c r="L164" s="377"/>
      <c r="M164" s="377"/>
      <c r="N164" s="377"/>
      <c r="O164" s="377"/>
      <c r="P164" s="377"/>
      <c r="Q164" s="377"/>
      <c r="R164" s="377"/>
      <c r="S164" s="377"/>
      <c r="T164" s="377"/>
      <c r="U164" s="377"/>
      <c r="V164" s="377"/>
      <c r="W164" s="377"/>
      <c r="X164" s="377"/>
      <c r="Y164" s="377"/>
      <c r="Z164" s="377"/>
    </row>
    <row r="165" ht="19.5" customHeight="1">
      <c r="A165" s="377"/>
      <c r="B165" s="377"/>
      <c r="C165" s="377"/>
      <c r="D165" s="377"/>
      <c r="E165" s="377"/>
      <c r="F165" s="377"/>
      <c r="G165" s="377"/>
      <c r="H165" s="377"/>
      <c r="I165" s="377"/>
      <c r="J165" s="377"/>
      <c r="K165" s="377"/>
      <c r="L165" s="377"/>
      <c r="M165" s="377"/>
      <c r="N165" s="377"/>
      <c r="O165" s="377"/>
      <c r="P165" s="377"/>
      <c r="Q165" s="377"/>
      <c r="R165" s="377"/>
      <c r="S165" s="377"/>
      <c r="T165" s="377"/>
      <c r="U165" s="377"/>
      <c r="V165" s="377"/>
      <c r="W165" s="377"/>
      <c r="X165" s="377"/>
      <c r="Y165" s="377"/>
      <c r="Z165" s="377"/>
    </row>
    <row r="166" ht="19.5" customHeight="1">
      <c r="A166" s="377"/>
      <c r="B166" s="377"/>
      <c r="C166" s="377"/>
      <c r="D166" s="377"/>
      <c r="E166" s="377"/>
      <c r="F166" s="377"/>
      <c r="G166" s="377"/>
      <c r="H166" s="377"/>
      <c r="I166" s="377"/>
      <c r="J166" s="377"/>
      <c r="K166" s="377"/>
      <c r="L166" s="377"/>
      <c r="M166" s="377"/>
      <c r="N166" s="377"/>
      <c r="O166" s="377"/>
      <c r="P166" s="377"/>
      <c r="Q166" s="377"/>
      <c r="R166" s="377"/>
      <c r="S166" s="377"/>
      <c r="T166" s="377"/>
      <c r="U166" s="377"/>
      <c r="V166" s="377"/>
      <c r="W166" s="377"/>
      <c r="X166" s="377"/>
      <c r="Y166" s="377"/>
      <c r="Z166" s="377"/>
    </row>
    <row r="167" ht="19.5" customHeight="1">
      <c r="A167" s="377"/>
      <c r="B167" s="377"/>
      <c r="C167" s="377"/>
      <c r="D167" s="377"/>
      <c r="E167" s="377"/>
      <c r="F167" s="377"/>
      <c r="G167" s="377"/>
      <c r="H167" s="377"/>
      <c r="I167" s="377"/>
      <c r="J167" s="377"/>
      <c r="K167" s="377"/>
      <c r="L167" s="377"/>
      <c r="M167" s="377"/>
      <c r="N167" s="377"/>
      <c r="O167" s="377"/>
      <c r="P167" s="377"/>
      <c r="Q167" s="377"/>
      <c r="R167" s="377"/>
      <c r="S167" s="377"/>
      <c r="T167" s="377"/>
      <c r="U167" s="377"/>
      <c r="V167" s="377"/>
      <c r="W167" s="377"/>
      <c r="X167" s="377"/>
      <c r="Y167" s="377"/>
      <c r="Z167" s="377"/>
    </row>
    <row r="168" ht="19.5" customHeight="1">
      <c r="A168" s="377"/>
      <c r="B168" s="377"/>
      <c r="C168" s="377"/>
      <c r="D168" s="377"/>
      <c r="E168" s="377"/>
      <c r="F168" s="377"/>
      <c r="G168" s="377"/>
      <c r="H168" s="377"/>
      <c r="I168" s="377"/>
      <c r="J168" s="377"/>
      <c r="K168" s="377"/>
      <c r="L168" s="377"/>
      <c r="M168" s="377"/>
      <c r="N168" s="377"/>
      <c r="O168" s="377"/>
      <c r="P168" s="377"/>
      <c r="Q168" s="377"/>
      <c r="R168" s="377"/>
      <c r="S168" s="377"/>
      <c r="T168" s="377"/>
      <c r="U168" s="377"/>
      <c r="V168" s="377"/>
      <c r="W168" s="377"/>
      <c r="X168" s="377"/>
      <c r="Y168" s="377"/>
      <c r="Z168" s="377"/>
    </row>
    <row r="169" ht="19.5" customHeight="1">
      <c r="A169" s="377"/>
      <c r="B169" s="377"/>
      <c r="C169" s="377"/>
      <c r="D169" s="377"/>
      <c r="E169" s="377"/>
      <c r="F169" s="377"/>
      <c r="G169" s="377"/>
      <c r="H169" s="377"/>
      <c r="I169" s="377"/>
      <c r="J169" s="377"/>
      <c r="K169" s="377"/>
      <c r="L169" s="377"/>
      <c r="M169" s="377"/>
      <c r="N169" s="377"/>
      <c r="O169" s="377"/>
      <c r="P169" s="377"/>
      <c r="Q169" s="377"/>
      <c r="R169" s="377"/>
      <c r="S169" s="377"/>
      <c r="T169" s="377"/>
      <c r="U169" s="377"/>
      <c r="V169" s="377"/>
      <c r="W169" s="377"/>
      <c r="X169" s="377"/>
      <c r="Y169" s="377"/>
      <c r="Z169" s="377"/>
    </row>
    <row r="170" ht="19.5" customHeight="1">
      <c r="A170" s="377"/>
      <c r="B170" s="377"/>
      <c r="C170" s="377"/>
      <c r="D170" s="377"/>
      <c r="E170" s="377"/>
      <c r="F170" s="377"/>
      <c r="G170" s="377"/>
      <c r="H170" s="377"/>
      <c r="I170" s="377"/>
      <c r="J170" s="377"/>
      <c r="K170" s="377"/>
      <c r="L170" s="377"/>
      <c r="M170" s="377"/>
      <c r="N170" s="377"/>
      <c r="O170" s="377"/>
      <c r="P170" s="377"/>
      <c r="Q170" s="377"/>
      <c r="R170" s="377"/>
      <c r="S170" s="377"/>
      <c r="T170" s="377"/>
      <c r="U170" s="377"/>
      <c r="V170" s="377"/>
      <c r="W170" s="377"/>
      <c r="X170" s="377"/>
      <c r="Y170" s="377"/>
      <c r="Z170" s="377"/>
    </row>
    <row r="171" ht="19.5" customHeight="1">
      <c r="A171" s="377"/>
      <c r="B171" s="377"/>
      <c r="C171" s="377"/>
      <c r="D171" s="377"/>
      <c r="E171" s="377"/>
      <c r="F171" s="377"/>
      <c r="G171" s="377"/>
      <c r="H171" s="377"/>
      <c r="I171" s="377"/>
      <c r="J171" s="377"/>
      <c r="K171" s="377"/>
      <c r="L171" s="377"/>
      <c r="M171" s="377"/>
      <c r="N171" s="377"/>
      <c r="O171" s="377"/>
      <c r="P171" s="377"/>
      <c r="Q171" s="377"/>
      <c r="R171" s="377"/>
      <c r="S171" s="377"/>
      <c r="T171" s="377"/>
      <c r="U171" s="377"/>
      <c r="V171" s="377"/>
      <c r="W171" s="377"/>
      <c r="X171" s="377"/>
      <c r="Y171" s="377"/>
      <c r="Z171" s="377"/>
    </row>
    <row r="172" ht="19.5" customHeight="1">
      <c r="A172" s="377"/>
      <c r="B172" s="377"/>
      <c r="C172" s="377"/>
      <c r="D172" s="377"/>
      <c r="E172" s="377"/>
      <c r="F172" s="377"/>
      <c r="G172" s="377"/>
      <c r="H172" s="377"/>
      <c r="I172" s="377"/>
      <c r="J172" s="377"/>
      <c r="K172" s="377"/>
      <c r="L172" s="377"/>
      <c r="M172" s="377"/>
      <c r="N172" s="377"/>
      <c r="O172" s="377"/>
      <c r="P172" s="377"/>
      <c r="Q172" s="377"/>
      <c r="R172" s="377"/>
      <c r="S172" s="377"/>
      <c r="T172" s="377"/>
      <c r="U172" s="377"/>
      <c r="V172" s="377"/>
      <c r="W172" s="377"/>
      <c r="X172" s="377"/>
      <c r="Y172" s="377"/>
      <c r="Z172" s="377"/>
    </row>
    <row r="173" ht="19.5" customHeight="1">
      <c r="A173" s="377"/>
      <c r="B173" s="377"/>
      <c r="C173" s="377"/>
      <c r="D173" s="377"/>
      <c r="E173" s="377"/>
      <c r="F173" s="377"/>
      <c r="G173" s="377"/>
      <c r="H173" s="377"/>
      <c r="I173" s="377"/>
      <c r="J173" s="377"/>
      <c r="K173" s="377"/>
      <c r="L173" s="377"/>
      <c r="M173" s="377"/>
      <c r="N173" s="377"/>
      <c r="O173" s="377"/>
      <c r="P173" s="377"/>
      <c r="Q173" s="377"/>
      <c r="R173" s="377"/>
      <c r="S173" s="377"/>
      <c r="T173" s="377"/>
      <c r="U173" s="377"/>
      <c r="V173" s="377"/>
      <c r="W173" s="377"/>
      <c r="X173" s="377"/>
      <c r="Y173" s="377"/>
      <c r="Z173" s="377"/>
    </row>
    <row r="174" ht="19.5" customHeight="1">
      <c r="A174" s="377"/>
      <c r="B174" s="377"/>
      <c r="C174" s="377"/>
      <c r="D174" s="377"/>
      <c r="E174" s="377"/>
      <c r="F174" s="377"/>
      <c r="G174" s="377"/>
      <c r="H174" s="377"/>
      <c r="I174" s="377"/>
      <c r="J174" s="377"/>
      <c r="K174" s="377"/>
      <c r="L174" s="377"/>
      <c r="M174" s="377"/>
      <c r="N174" s="377"/>
      <c r="O174" s="377"/>
      <c r="P174" s="377"/>
      <c r="Q174" s="377"/>
      <c r="R174" s="377"/>
      <c r="S174" s="377"/>
      <c r="T174" s="377"/>
      <c r="U174" s="377"/>
      <c r="V174" s="377"/>
      <c r="W174" s="377"/>
      <c r="X174" s="377"/>
      <c r="Y174" s="377"/>
      <c r="Z174" s="377"/>
    </row>
    <row r="175" ht="19.5" customHeight="1">
      <c r="A175" s="377"/>
      <c r="B175" s="377"/>
      <c r="C175" s="377"/>
      <c r="D175" s="377"/>
      <c r="E175" s="377"/>
      <c r="F175" s="377"/>
      <c r="G175" s="377"/>
      <c r="H175" s="377"/>
      <c r="I175" s="377"/>
      <c r="J175" s="377"/>
      <c r="K175" s="377"/>
      <c r="L175" s="377"/>
      <c r="M175" s="377"/>
      <c r="N175" s="377"/>
      <c r="O175" s="377"/>
      <c r="P175" s="377"/>
      <c r="Q175" s="377"/>
      <c r="R175" s="377"/>
      <c r="S175" s="377"/>
      <c r="T175" s="377"/>
      <c r="U175" s="377"/>
      <c r="V175" s="377"/>
      <c r="W175" s="377"/>
      <c r="X175" s="377"/>
      <c r="Y175" s="377"/>
      <c r="Z175" s="377"/>
    </row>
    <row r="176" ht="19.5" customHeight="1">
      <c r="A176" s="377"/>
      <c r="B176" s="377"/>
      <c r="C176" s="377"/>
      <c r="D176" s="377"/>
      <c r="E176" s="377"/>
      <c r="F176" s="377"/>
      <c r="G176" s="377"/>
      <c r="H176" s="377"/>
      <c r="I176" s="377"/>
      <c r="J176" s="377"/>
      <c r="K176" s="377"/>
      <c r="L176" s="377"/>
      <c r="M176" s="377"/>
      <c r="N176" s="377"/>
      <c r="O176" s="377"/>
      <c r="P176" s="377"/>
      <c r="Q176" s="377"/>
      <c r="R176" s="377"/>
      <c r="S176" s="377"/>
      <c r="T176" s="377"/>
      <c r="U176" s="377"/>
      <c r="V176" s="377"/>
      <c r="W176" s="377"/>
      <c r="X176" s="377"/>
      <c r="Y176" s="377"/>
      <c r="Z176" s="377"/>
    </row>
    <row r="177" ht="19.5" customHeight="1">
      <c r="A177" s="377"/>
      <c r="B177" s="377"/>
      <c r="C177" s="377"/>
      <c r="D177" s="377"/>
      <c r="E177" s="377"/>
      <c r="F177" s="377"/>
      <c r="G177" s="377"/>
      <c r="H177" s="377"/>
      <c r="I177" s="377"/>
      <c r="J177" s="377"/>
      <c r="K177" s="377"/>
      <c r="L177" s="377"/>
      <c r="M177" s="377"/>
      <c r="N177" s="377"/>
      <c r="O177" s="377"/>
      <c r="P177" s="377"/>
      <c r="Q177" s="377"/>
      <c r="R177" s="377"/>
      <c r="S177" s="377"/>
      <c r="T177" s="377"/>
      <c r="U177" s="377"/>
      <c r="V177" s="377"/>
      <c r="W177" s="377"/>
      <c r="X177" s="377"/>
      <c r="Y177" s="377"/>
      <c r="Z177" s="377"/>
    </row>
    <row r="178" ht="19.5" customHeight="1">
      <c r="A178" s="377"/>
      <c r="B178" s="377"/>
      <c r="C178" s="377"/>
      <c r="D178" s="377"/>
      <c r="E178" s="377"/>
      <c r="F178" s="377"/>
      <c r="G178" s="377"/>
      <c r="H178" s="377"/>
      <c r="I178" s="377"/>
      <c r="J178" s="377"/>
      <c r="K178" s="377"/>
      <c r="L178" s="377"/>
      <c r="M178" s="377"/>
      <c r="N178" s="377"/>
      <c r="O178" s="377"/>
      <c r="P178" s="377"/>
      <c r="Q178" s="377"/>
      <c r="R178" s="377"/>
      <c r="S178" s="377"/>
      <c r="T178" s="377"/>
      <c r="U178" s="377"/>
      <c r="V178" s="377"/>
      <c r="W178" s="377"/>
      <c r="X178" s="377"/>
      <c r="Y178" s="377"/>
      <c r="Z178" s="377"/>
    </row>
    <row r="179" ht="19.5" customHeight="1">
      <c r="A179" s="377"/>
      <c r="B179" s="377"/>
      <c r="C179" s="377"/>
      <c r="D179" s="377"/>
      <c r="E179" s="377"/>
      <c r="F179" s="377"/>
      <c r="G179" s="377"/>
      <c r="H179" s="377"/>
      <c r="I179" s="377"/>
      <c r="J179" s="377"/>
      <c r="K179" s="377"/>
      <c r="L179" s="377"/>
      <c r="M179" s="377"/>
      <c r="N179" s="377"/>
      <c r="O179" s="377"/>
      <c r="P179" s="377"/>
      <c r="Q179" s="377"/>
      <c r="R179" s="377"/>
      <c r="S179" s="377"/>
      <c r="T179" s="377"/>
      <c r="U179" s="377"/>
      <c r="V179" s="377"/>
      <c r="W179" s="377"/>
      <c r="X179" s="377"/>
      <c r="Y179" s="377"/>
      <c r="Z179" s="377"/>
    </row>
    <row r="180" ht="19.5" customHeight="1">
      <c r="A180" s="377"/>
      <c r="B180" s="377"/>
      <c r="C180" s="377"/>
      <c r="D180" s="377"/>
      <c r="E180" s="377"/>
      <c r="F180" s="377"/>
      <c r="G180" s="377"/>
      <c r="H180" s="377"/>
      <c r="I180" s="377"/>
      <c r="J180" s="377"/>
      <c r="K180" s="377"/>
      <c r="L180" s="377"/>
      <c r="M180" s="377"/>
      <c r="N180" s="377"/>
      <c r="O180" s="377"/>
      <c r="P180" s="377"/>
      <c r="Q180" s="377"/>
      <c r="R180" s="377"/>
      <c r="S180" s="377"/>
      <c r="T180" s="377"/>
      <c r="U180" s="377"/>
      <c r="V180" s="377"/>
      <c r="W180" s="377"/>
      <c r="X180" s="377"/>
      <c r="Y180" s="377"/>
      <c r="Z180" s="377"/>
    </row>
    <row r="181" ht="19.5" customHeight="1">
      <c r="A181" s="377"/>
      <c r="B181" s="377"/>
      <c r="C181" s="377"/>
      <c r="D181" s="377"/>
      <c r="E181" s="377"/>
      <c r="F181" s="377"/>
      <c r="G181" s="377"/>
      <c r="H181" s="377"/>
      <c r="I181" s="377"/>
      <c r="J181" s="377"/>
      <c r="K181" s="377"/>
      <c r="L181" s="377"/>
      <c r="M181" s="377"/>
      <c r="N181" s="377"/>
      <c r="O181" s="377"/>
      <c r="P181" s="377"/>
      <c r="Q181" s="377"/>
      <c r="R181" s="377"/>
      <c r="S181" s="377"/>
      <c r="T181" s="377"/>
      <c r="U181" s="377"/>
      <c r="V181" s="377"/>
      <c r="W181" s="377"/>
      <c r="X181" s="377"/>
      <c r="Y181" s="377"/>
      <c r="Z181" s="377"/>
    </row>
    <row r="182" ht="19.5" customHeight="1">
      <c r="A182" s="377"/>
      <c r="B182" s="377"/>
      <c r="C182" s="377"/>
      <c r="D182" s="377"/>
      <c r="E182" s="377"/>
      <c r="F182" s="377"/>
      <c r="G182" s="377"/>
      <c r="H182" s="377"/>
      <c r="I182" s="377"/>
      <c r="J182" s="377"/>
      <c r="K182" s="377"/>
      <c r="L182" s="377"/>
      <c r="M182" s="377"/>
      <c r="N182" s="377"/>
      <c r="O182" s="377"/>
      <c r="P182" s="377"/>
      <c r="Q182" s="377"/>
      <c r="R182" s="377"/>
      <c r="S182" s="377"/>
      <c r="T182" s="377"/>
      <c r="U182" s="377"/>
      <c r="V182" s="377"/>
      <c r="W182" s="377"/>
      <c r="X182" s="377"/>
      <c r="Y182" s="377"/>
      <c r="Z182" s="377"/>
    </row>
    <row r="183" ht="19.5" customHeight="1">
      <c r="A183" s="377"/>
      <c r="B183" s="377"/>
      <c r="C183" s="377"/>
      <c r="D183" s="377"/>
      <c r="E183" s="377"/>
      <c r="F183" s="377"/>
      <c r="G183" s="377"/>
      <c r="H183" s="377"/>
      <c r="I183" s="377"/>
      <c r="J183" s="377"/>
      <c r="K183" s="377"/>
      <c r="L183" s="377"/>
      <c r="M183" s="377"/>
      <c r="N183" s="377"/>
      <c r="O183" s="377"/>
      <c r="P183" s="377"/>
      <c r="Q183" s="377"/>
      <c r="R183" s="377"/>
      <c r="S183" s="377"/>
      <c r="T183" s="377"/>
      <c r="U183" s="377"/>
      <c r="V183" s="377"/>
      <c r="W183" s="377"/>
      <c r="X183" s="377"/>
      <c r="Y183" s="377"/>
      <c r="Z183" s="377"/>
    </row>
    <row r="184" ht="19.5" customHeight="1">
      <c r="A184" s="377"/>
      <c r="B184" s="377"/>
      <c r="C184" s="377"/>
      <c r="D184" s="377"/>
      <c r="E184" s="377"/>
      <c r="F184" s="377"/>
      <c r="G184" s="377"/>
      <c r="H184" s="377"/>
      <c r="I184" s="377"/>
      <c r="J184" s="377"/>
      <c r="K184" s="377"/>
      <c r="L184" s="377"/>
      <c r="M184" s="377"/>
      <c r="N184" s="377"/>
      <c r="O184" s="377"/>
      <c r="P184" s="377"/>
      <c r="Q184" s="377"/>
      <c r="R184" s="377"/>
      <c r="S184" s="377"/>
      <c r="T184" s="377"/>
      <c r="U184" s="377"/>
      <c r="V184" s="377"/>
      <c r="W184" s="377"/>
      <c r="X184" s="377"/>
      <c r="Y184" s="377"/>
      <c r="Z184" s="377"/>
    </row>
    <row r="185" ht="19.5" customHeight="1">
      <c r="A185" s="377"/>
      <c r="B185" s="377"/>
      <c r="C185" s="377"/>
      <c r="D185" s="377"/>
      <c r="E185" s="377"/>
      <c r="F185" s="377"/>
      <c r="G185" s="377"/>
      <c r="H185" s="377"/>
      <c r="I185" s="377"/>
      <c r="J185" s="377"/>
      <c r="K185" s="377"/>
      <c r="L185" s="377"/>
      <c r="M185" s="377"/>
      <c r="N185" s="377"/>
      <c r="O185" s="377"/>
      <c r="P185" s="377"/>
      <c r="Q185" s="377"/>
      <c r="R185" s="377"/>
      <c r="S185" s="377"/>
      <c r="T185" s="377"/>
      <c r="U185" s="377"/>
      <c r="V185" s="377"/>
      <c r="W185" s="377"/>
      <c r="X185" s="377"/>
      <c r="Y185" s="377"/>
      <c r="Z185" s="377"/>
    </row>
    <row r="186" ht="19.5" customHeight="1">
      <c r="A186" s="377"/>
      <c r="B186" s="377"/>
      <c r="C186" s="377"/>
      <c r="D186" s="377"/>
      <c r="E186" s="377"/>
      <c r="F186" s="377"/>
      <c r="G186" s="377"/>
      <c r="H186" s="377"/>
      <c r="I186" s="377"/>
      <c r="J186" s="377"/>
      <c r="K186" s="377"/>
      <c r="L186" s="377"/>
      <c r="M186" s="377"/>
      <c r="N186" s="377"/>
      <c r="O186" s="377"/>
      <c r="P186" s="377"/>
      <c r="Q186" s="377"/>
      <c r="R186" s="377"/>
      <c r="S186" s="377"/>
      <c r="T186" s="377"/>
      <c r="U186" s="377"/>
      <c r="V186" s="377"/>
      <c r="W186" s="377"/>
      <c r="X186" s="377"/>
      <c r="Y186" s="377"/>
      <c r="Z186" s="377"/>
    </row>
    <row r="187" ht="19.5" customHeight="1">
      <c r="A187" s="377"/>
      <c r="B187" s="377"/>
      <c r="C187" s="377"/>
      <c r="D187" s="377"/>
      <c r="E187" s="377"/>
      <c r="F187" s="377"/>
      <c r="G187" s="377"/>
      <c r="H187" s="377"/>
      <c r="I187" s="377"/>
      <c r="J187" s="377"/>
      <c r="K187" s="377"/>
      <c r="L187" s="377"/>
      <c r="M187" s="377"/>
      <c r="N187" s="377"/>
      <c r="O187" s="377"/>
      <c r="P187" s="377"/>
      <c r="Q187" s="377"/>
      <c r="R187" s="377"/>
      <c r="S187" s="377"/>
      <c r="T187" s="377"/>
      <c r="U187" s="377"/>
      <c r="V187" s="377"/>
      <c r="W187" s="377"/>
      <c r="X187" s="377"/>
      <c r="Y187" s="377"/>
      <c r="Z187" s="377"/>
    </row>
    <row r="188" ht="19.5" customHeight="1">
      <c r="A188" s="377"/>
      <c r="B188" s="377"/>
      <c r="C188" s="377"/>
      <c r="D188" s="377"/>
      <c r="E188" s="377"/>
      <c r="F188" s="377"/>
      <c r="G188" s="377"/>
      <c r="H188" s="377"/>
      <c r="I188" s="377"/>
      <c r="J188" s="377"/>
      <c r="K188" s="377"/>
      <c r="L188" s="377"/>
      <c r="M188" s="377"/>
      <c r="N188" s="377"/>
      <c r="O188" s="377"/>
      <c r="P188" s="377"/>
      <c r="Q188" s="377"/>
      <c r="R188" s="377"/>
      <c r="S188" s="377"/>
      <c r="T188" s="377"/>
      <c r="U188" s="377"/>
      <c r="V188" s="377"/>
      <c r="W188" s="377"/>
      <c r="X188" s="377"/>
      <c r="Y188" s="377"/>
      <c r="Z188" s="377"/>
    </row>
    <row r="189" ht="19.5" customHeight="1">
      <c r="A189" s="377"/>
      <c r="B189" s="377"/>
      <c r="C189" s="377"/>
      <c r="D189" s="377"/>
      <c r="E189" s="377"/>
      <c r="F189" s="377"/>
      <c r="G189" s="377"/>
      <c r="H189" s="377"/>
      <c r="I189" s="377"/>
      <c r="J189" s="377"/>
      <c r="K189" s="377"/>
      <c r="L189" s="377"/>
      <c r="M189" s="377"/>
      <c r="N189" s="377"/>
      <c r="O189" s="377"/>
      <c r="P189" s="377"/>
      <c r="Q189" s="377"/>
      <c r="R189" s="377"/>
      <c r="S189" s="377"/>
      <c r="T189" s="377"/>
      <c r="U189" s="377"/>
      <c r="V189" s="377"/>
      <c r="W189" s="377"/>
      <c r="X189" s="377"/>
      <c r="Y189" s="377"/>
      <c r="Z189" s="377"/>
    </row>
    <row r="190" ht="19.5" customHeight="1">
      <c r="A190" s="377"/>
      <c r="B190" s="377"/>
      <c r="C190" s="377"/>
      <c r="D190" s="377"/>
      <c r="E190" s="377"/>
      <c r="F190" s="377"/>
      <c r="G190" s="377"/>
      <c r="H190" s="377"/>
      <c r="I190" s="377"/>
      <c r="J190" s="377"/>
      <c r="K190" s="377"/>
      <c r="L190" s="377"/>
      <c r="M190" s="377"/>
      <c r="N190" s="377"/>
      <c r="O190" s="377"/>
      <c r="P190" s="377"/>
      <c r="Q190" s="377"/>
      <c r="R190" s="377"/>
      <c r="S190" s="377"/>
      <c r="T190" s="377"/>
      <c r="U190" s="377"/>
      <c r="V190" s="377"/>
      <c r="W190" s="377"/>
      <c r="X190" s="377"/>
      <c r="Y190" s="377"/>
      <c r="Z190" s="377"/>
    </row>
    <row r="191" ht="19.5" customHeight="1">
      <c r="A191" s="377"/>
      <c r="B191" s="377"/>
      <c r="C191" s="377"/>
      <c r="D191" s="377"/>
      <c r="E191" s="377"/>
      <c r="F191" s="377"/>
      <c r="G191" s="377"/>
      <c r="H191" s="377"/>
      <c r="I191" s="377"/>
      <c r="J191" s="377"/>
      <c r="K191" s="377"/>
      <c r="L191" s="377"/>
      <c r="M191" s="377"/>
      <c r="N191" s="377"/>
      <c r="O191" s="377"/>
      <c r="P191" s="377"/>
      <c r="Q191" s="377"/>
      <c r="R191" s="377"/>
      <c r="S191" s="377"/>
      <c r="T191" s="377"/>
      <c r="U191" s="377"/>
      <c r="V191" s="377"/>
      <c r="W191" s="377"/>
      <c r="X191" s="377"/>
      <c r="Y191" s="377"/>
      <c r="Z191" s="377"/>
    </row>
    <row r="192" ht="19.5" customHeight="1">
      <c r="A192" s="377"/>
      <c r="B192" s="377"/>
      <c r="C192" s="377"/>
      <c r="D192" s="377"/>
      <c r="E192" s="377"/>
      <c r="F192" s="377"/>
      <c r="G192" s="377"/>
      <c r="H192" s="377"/>
      <c r="I192" s="377"/>
      <c r="J192" s="377"/>
      <c r="K192" s="377"/>
      <c r="L192" s="377"/>
      <c r="M192" s="377"/>
      <c r="N192" s="377"/>
      <c r="O192" s="377"/>
      <c r="P192" s="377"/>
      <c r="Q192" s="377"/>
      <c r="R192" s="377"/>
      <c r="S192" s="377"/>
      <c r="T192" s="377"/>
      <c r="U192" s="377"/>
      <c r="V192" s="377"/>
      <c r="W192" s="377"/>
      <c r="X192" s="377"/>
      <c r="Y192" s="377"/>
      <c r="Z192" s="377"/>
    </row>
    <row r="193" ht="19.5" customHeight="1">
      <c r="A193" s="377"/>
      <c r="B193" s="377"/>
      <c r="C193" s="377"/>
      <c r="D193" s="377"/>
      <c r="E193" s="377"/>
      <c r="F193" s="377"/>
      <c r="G193" s="377"/>
      <c r="H193" s="377"/>
      <c r="I193" s="377"/>
      <c r="J193" s="377"/>
      <c r="K193" s="377"/>
      <c r="L193" s="377"/>
      <c r="M193" s="377"/>
      <c r="N193" s="377"/>
      <c r="O193" s="377"/>
      <c r="P193" s="377"/>
      <c r="Q193" s="377"/>
      <c r="R193" s="377"/>
      <c r="S193" s="377"/>
      <c r="T193" s="377"/>
      <c r="U193" s="377"/>
      <c r="V193" s="377"/>
      <c r="W193" s="377"/>
      <c r="X193" s="377"/>
      <c r="Y193" s="377"/>
      <c r="Z193" s="377"/>
    </row>
    <row r="194" ht="19.5" customHeight="1">
      <c r="A194" s="377"/>
      <c r="B194" s="377"/>
      <c r="C194" s="377"/>
      <c r="D194" s="377"/>
      <c r="E194" s="377"/>
      <c r="F194" s="377"/>
      <c r="G194" s="377"/>
      <c r="H194" s="377"/>
      <c r="I194" s="377"/>
      <c r="J194" s="377"/>
      <c r="K194" s="377"/>
      <c r="L194" s="377"/>
      <c r="M194" s="377"/>
      <c r="N194" s="377"/>
      <c r="O194" s="377"/>
      <c r="P194" s="377"/>
      <c r="Q194" s="377"/>
      <c r="R194" s="377"/>
      <c r="S194" s="377"/>
      <c r="T194" s="377"/>
      <c r="U194" s="377"/>
      <c r="V194" s="377"/>
      <c r="W194" s="377"/>
      <c r="X194" s="377"/>
      <c r="Y194" s="377"/>
      <c r="Z194" s="377"/>
    </row>
    <row r="195" ht="19.5" customHeight="1">
      <c r="A195" s="377"/>
      <c r="B195" s="377"/>
      <c r="C195" s="377"/>
      <c r="D195" s="377"/>
      <c r="E195" s="377"/>
      <c r="F195" s="377"/>
      <c r="G195" s="377"/>
      <c r="H195" s="377"/>
      <c r="I195" s="377"/>
      <c r="J195" s="377"/>
      <c r="K195" s="377"/>
      <c r="L195" s="377"/>
      <c r="M195" s="377"/>
      <c r="N195" s="377"/>
      <c r="O195" s="377"/>
      <c r="P195" s="377"/>
      <c r="Q195" s="377"/>
      <c r="R195" s="377"/>
      <c r="S195" s="377"/>
      <c r="T195" s="377"/>
      <c r="U195" s="377"/>
      <c r="V195" s="377"/>
      <c r="W195" s="377"/>
      <c r="X195" s="377"/>
      <c r="Y195" s="377"/>
      <c r="Z195" s="377"/>
    </row>
    <row r="196" ht="19.5" customHeight="1">
      <c r="A196" s="377"/>
      <c r="B196" s="377"/>
      <c r="C196" s="377"/>
      <c r="D196" s="377"/>
      <c r="E196" s="377"/>
      <c r="F196" s="377"/>
      <c r="G196" s="377"/>
      <c r="H196" s="377"/>
      <c r="I196" s="377"/>
      <c r="J196" s="377"/>
      <c r="K196" s="377"/>
      <c r="L196" s="377"/>
      <c r="M196" s="377"/>
      <c r="N196" s="377"/>
      <c r="O196" s="377"/>
      <c r="P196" s="377"/>
      <c r="Q196" s="377"/>
      <c r="R196" s="377"/>
      <c r="S196" s="377"/>
      <c r="T196" s="377"/>
      <c r="U196" s="377"/>
      <c r="V196" s="377"/>
      <c r="W196" s="377"/>
      <c r="X196" s="377"/>
      <c r="Y196" s="377"/>
      <c r="Z196" s="377"/>
    </row>
    <row r="197" ht="19.5" customHeight="1">
      <c r="A197" s="377"/>
      <c r="B197" s="377"/>
      <c r="C197" s="377"/>
      <c r="D197" s="377"/>
      <c r="E197" s="377"/>
      <c r="F197" s="377"/>
      <c r="G197" s="377"/>
      <c r="H197" s="377"/>
      <c r="I197" s="377"/>
      <c r="J197" s="377"/>
      <c r="K197" s="377"/>
      <c r="L197" s="377"/>
      <c r="M197" s="377"/>
      <c r="N197" s="377"/>
      <c r="O197" s="377"/>
      <c r="P197" s="377"/>
      <c r="Q197" s="377"/>
      <c r="R197" s="377"/>
      <c r="S197" s="377"/>
      <c r="T197" s="377"/>
      <c r="U197" s="377"/>
      <c r="V197" s="377"/>
      <c r="W197" s="377"/>
      <c r="X197" s="377"/>
      <c r="Y197" s="377"/>
      <c r="Z197" s="377"/>
    </row>
    <row r="198" ht="19.5" customHeight="1">
      <c r="A198" s="377"/>
      <c r="B198" s="377"/>
      <c r="C198" s="377"/>
      <c r="D198" s="377"/>
      <c r="E198" s="377"/>
      <c r="F198" s="377"/>
      <c r="G198" s="377"/>
      <c r="H198" s="377"/>
      <c r="I198" s="377"/>
      <c r="J198" s="377"/>
      <c r="K198" s="377"/>
      <c r="L198" s="377"/>
      <c r="M198" s="377"/>
      <c r="N198" s="377"/>
      <c r="O198" s="377"/>
      <c r="P198" s="377"/>
      <c r="Q198" s="377"/>
      <c r="R198" s="377"/>
      <c r="S198" s="377"/>
      <c r="T198" s="377"/>
      <c r="U198" s="377"/>
      <c r="V198" s="377"/>
      <c r="W198" s="377"/>
      <c r="X198" s="377"/>
      <c r="Y198" s="377"/>
      <c r="Z198" s="377"/>
    </row>
    <row r="199" ht="19.5" customHeight="1">
      <c r="A199" s="377"/>
      <c r="B199" s="377"/>
      <c r="C199" s="377"/>
      <c r="D199" s="377"/>
      <c r="E199" s="377"/>
      <c r="F199" s="377"/>
      <c r="G199" s="377"/>
      <c r="H199" s="377"/>
      <c r="I199" s="377"/>
      <c r="J199" s="377"/>
      <c r="K199" s="377"/>
      <c r="L199" s="377"/>
      <c r="M199" s="377"/>
      <c r="N199" s="377"/>
      <c r="O199" s="377"/>
      <c r="P199" s="377"/>
      <c r="Q199" s="377"/>
      <c r="R199" s="377"/>
      <c r="S199" s="377"/>
      <c r="T199" s="377"/>
      <c r="U199" s="377"/>
      <c r="V199" s="377"/>
      <c r="W199" s="377"/>
      <c r="X199" s="377"/>
      <c r="Y199" s="377"/>
      <c r="Z199" s="377"/>
    </row>
    <row r="200" ht="19.5" customHeight="1">
      <c r="A200" s="377"/>
      <c r="B200" s="377"/>
      <c r="C200" s="377"/>
      <c r="D200" s="377"/>
      <c r="E200" s="377"/>
      <c r="F200" s="377"/>
      <c r="G200" s="377"/>
      <c r="H200" s="377"/>
      <c r="I200" s="377"/>
      <c r="J200" s="377"/>
      <c r="K200" s="377"/>
      <c r="L200" s="377"/>
      <c r="M200" s="377"/>
      <c r="N200" s="377"/>
      <c r="O200" s="377"/>
      <c r="P200" s="377"/>
      <c r="Q200" s="377"/>
      <c r="R200" s="377"/>
      <c r="S200" s="377"/>
      <c r="T200" s="377"/>
      <c r="U200" s="377"/>
      <c r="V200" s="377"/>
      <c r="W200" s="377"/>
      <c r="X200" s="377"/>
      <c r="Y200" s="377"/>
      <c r="Z200" s="377"/>
    </row>
    <row r="201" ht="19.5" customHeight="1">
      <c r="A201" s="377"/>
      <c r="B201" s="377"/>
      <c r="C201" s="377"/>
      <c r="D201" s="377"/>
      <c r="E201" s="377"/>
      <c r="F201" s="377"/>
      <c r="G201" s="377"/>
      <c r="H201" s="377"/>
      <c r="I201" s="377"/>
      <c r="J201" s="377"/>
      <c r="K201" s="377"/>
      <c r="L201" s="377"/>
      <c r="M201" s="377"/>
      <c r="N201" s="377"/>
      <c r="O201" s="377"/>
      <c r="P201" s="377"/>
      <c r="Q201" s="377"/>
      <c r="R201" s="377"/>
      <c r="S201" s="377"/>
      <c r="T201" s="377"/>
      <c r="U201" s="377"/>
      <c r="V201" s="377"/>
      <c r="W201" s="377"/>
      <c r="X201" s="377"/>
      <c r="Y201" s="377"/>
      <c r="Z201" s="377"/>
    </row>
    <row r="202" ht="19.5" customHeight="1">
      <c r="A202" s="377"/>
      <c r="B202" s="377"/>
      <c r="C202" s="377"/>
      <c r="D202" s="377"/>
      <c r="E202" s="377"/>
      <c r="F202" s="377"/>
      <c r="G202" s="377"/>
      <c r="H202" s="377"/>
      <c r="I202" s="377"/>
      <c r="J202" s="377"/>
      <c r="K202" s="377"/>
      <c r="L202" s="377"/>
      <c r="M202" s="377"/>
      <c r="N202" s="377"/>
      <c r="O202" s="377"/>
      <c r="P202" s="377"/>
      <c r="Q202" s="377"/>
      <c r="R202" s="377"/>
      <c r="S202" s="377"/>
      <c r="T202" s="377"/>
      <c r="U202" s="377"/>
      <c r="V202" s="377"/>
      <c r="W202" s="377"/>
      <c r="X202" s="377"/>
      <c r="Y202" s="377"/>
      <c r="Z202" s="377"/>
    </row>
    <row r="203" ht="19.5" customHeight="1">
      <c r="A203" s="377"/>
      <c r="B203" s="377"/>
      <c r="C203" s="377"/>
      <c r="D203" s="377"/>
      <c r="E203" s="377"/>
      <c r="F203" s="377"/>
      <c r="G203" s="377"/>
      <c r="H203" s="377"/>
      <c r="I203" s="377"/>
      <c r="J203" s="377"/>
      <c r="K203" s="377"/>
      <c r="L203" s="377"/>
      <c r="M203" s="377"/>
      <c r="N203" s="377"/>
      <c r="O203" s="377"/>
      <c r="P203" s="377"/>
      <c r="Q203" s="377"/>
      <c r="R203" s="377"/>
      <c r="S203" s="377"/>
      <c r="T203" s="377"/>
      <c r="U203" s="377"/>
      <c r="V203" s="377"/>
      <c r="W203" s="377"/>
      <c r="X203" s="377"/>
      <c r="Y203" s="377"/>
      <c r="Z203" s="377"/>
    </row>
    <row r="204" ht="19.5" customHeight="1">
      <c r="A204" s="377"/>
      <c r="B204" s="377"/>
      <c r="C204" s="377"/>
      <c r="D204" s="377"/>
      <c r="E204" s="377"/>
      <c r="F204" s="377"/>
      <c r="G204" s="377"/>
      <c r="H204" s="377"/>
      <c r="I204" s="377"/>
      <c r="J204" s="377"/>
      <c r="K204" s="377"/>
      <c r="L204" s="377"/>
      <c r="M204" s="377"/>
      <c r="N204" s="377"/>
      <c r="O204" s="377"/>
      <c r="P204" s="377"/>
      <c r="Q204" s="377"/>
      <c r="R204" s="377"/>
      <c r="S204" s="377"/>
      <c r="T204" s="377"/>
      <c r="U204" s="377"/>
      <c r="V204" s="377"/>
      <c r="W204" s="377"/>
      <c r="X204" s="377"/>
      <c r="Y204" s="377"/>
      <c r="Z204" s="377"/>
    </row>
    <row r="205" ht="19.5" customHeight="1">
      <c r="A205" s="377"/>
      <c r="B205" s="377"/>
      <c r="C205" s="377"/>
      <c r="D205" s="377"/>
      <c r="E205" s="377"/>
      <c r="F205" s="377"/>
      <c r="G205" s="377"/>
      <c r="H205" s="377"/>
      <c r="I205" s="377"/>
      <c r="J205" s="377"/>
      <c r="K205" s="377"/>
      <c r="L205" s="377"/>
      <c r="M205" s="377"/>
      <c r="N205" s="377"/>
      <c r="O205" s="377"/>
      <c r="P205" s="377"/>
      <c r="Q205" s="377"/>
      <c r="R205" s="377"/>
      <c r="S205" s="377"/>
      <c r="T205" s="377"/>
      <c r="U205" s="377"/>
      <c r="V205" s="377"/>
      <c r="W205" s="377"/>
      <c r="X205" s="377"/>
      <c r="Y205" s="377"/>
      <c r="Z205" s="377"/>
    </row>
    <row r="206" ht="19.5" customHeight="1">
      <c r="A206" s="377"/>
      <c r="B206" s="377"/>
      <c r="C206" s="377"/>
      <c r="D206" s="377"/>
      <c r="E206" s="377"/>
      <c r="F206" s="377"/>
      <c r="G206" s="377"/>
      <c r="H206" s="377"/>
      <c r="I206" s="377"/>
      <c r="J206" s="377"/>
      <c r="K206" s="377"/>
      <c r="L206" s="377"/>
      <c r="M206" s="377"/>
      <c r="N206" s="377"/>
      <c r="O206" s="377"/>
      <c r="P206" s="377"/>
      <c r="Q206" s="377"/>
      <c r="R206" s="377"/>
      <c r="S206" s="377"/>
      <c r="T206" s="377"/>
      <c r="U206" s="377"/>
      <c r="V206" s="377"/>
      <c r="W206" s="377"/>
      <c r="X206" s="377"/>
      <c r="Y206" s="377"/>
      <c r="Z206" s="377"/>
    </row>
    <row r="207" ht="19.5" customHeight="1">
      <c r="A207" s="377"/>
      <c r="B207" s="377"/>
      <c r="C207" s="377"/>
      <c r="D207" s="377"/>
      <c r="E207" s="377"/>
      <c r="F207" s="377"/>
      <c r="G207" s="377"/>
      <c r="H207" s="377"/>
      <c r="I207" s="377"/>
      <c r="J207" s="377"/>
      <c r="K207" s="377"/>
      <c r="L207" s="377"/>
      <c r="M207" s="377"/>
      <c r="N207" s="377"/>
      <c r="O207" s="377"/>
      <c r="P207" s="377"/>
      <c r="Q207" s="377"/>
      <c r="R207" s="377"/>
      <c r="S207" s="377"/>
      <c r="T207" s="377"/>
      <c r="U207" s="377"/>
      <c r="V207" s="377"/>
      <c r="W207" s="377"/>
      <c r="X207" s="377"/>
      <c r="Y207" s="377"/>
      <c r="Z207" s="377"/>
    </row>
    <row r="208" ht="19.5" customHeight="1">
      <c r="A208" s="377"/>
      <c r="B208" s="377"/>
      <c r="C208" s="377"/>
      <c r="D208" s="377"/>
      <c r="E208" s="377"/>
      <c r="F208" s="377"/>
      <c r="G208" s="377"/>
      <c r="H208" s="377"/>
      <c r="I208" s="377"/>
      <c r="J208" s="377"/>
      <c r="K208" s="377"/>
      <c r="L208" s="377"/>
      <c r="M208" s="377"/>
      <c r="N208" s="377"/>
      <c r="O208" s="377"/>
      <c r="P208" s="377"/>
      <c r="Q208" s="377"/>
      <c r="R208" s="377"/>
      <c r="S208" s="377"/>
      <c r="T208" s="377"/>
      <c r="U208" s="377"/>
      <c r="V208" s="377"/>
      <c r="W208" s="377"/>
      <c r="X208" s="377"/>
      <c r="Y208" s="377"/>
      <c r="Z208" s="377"/>
    </row>
    <row r="209" ht="19.5" customHeight="1">
      <c r="A209" s="377"/>
      <c r="B209" s="377"/>
      <c r="C209" s="377"/>
      <c r="D209" s="377"/>
      <c r="E209" s="377"/>
      <c r="F209" s="377"/>
      <c r="G209" s="377"/>
      <c r="H209" s="377"/>
      <c r="I209" s="377"/>
      <c r="J209" s="377"/>
      <c r="K209" s="377"/>
      <c r="L209" s="377"/>
      <c r="M209" s="377"/>
      <c r="N209" s="377"/>
      <c r="O209" s="377"/>
      <c r="P209" s="377"/>
      <c r="Q209" s="377"/>
      <c r="R209" s="377"/>
      <c r="S209" s="377"/>
      <c r="T209" s="377"/>
      <c r="U209" s="377"/>
      <c r="V209" s="377"/>
      <c r="W209" s="377"/>
      <c r="X209" s="377"/>
      <c r="Y209" s="377"/>
      <c r="Z209" s="377"/>
    </row>
    <row r="210" ht="19.5" customHeight="1">
      <c r="A210" s="377"/>
      <c r="B210" s="377"/>
      <c r="C210" s="377"/>
      <c r="D210" s="377"/>
      <c r="E210" s="377"/>
      <c r="F210" s="377"/>
      <c r="G210" s="377"/>
      <c r="H210" s="377"/>
      <c r="I210" s="377"/>
      <c r="J210" s="377"/>
      <c r="K210" s="377"/>
      <c r="L210" s="377"/>
      <c r="M210" s="377"/>
      <c r="N210" s="377"/>
      <c r="O210" s="377"/>
      <c r="P210" s="377"/>
      <c r="Q210" s="377"/>
      <c r="R210" s="377"/>
      <c r="S210" s="377"/>
      <c r="T210" s="377"/>
      <c r="U210" s="377"/>
      <c r="V210" s="377"/>
      <c r="W210" s="377"/>
      <c r="X210" s="377"/>
      <c r="Y210" s="377"/>
      <c r="Z210" s="377"/>
    </row>
    <row r="211" ht="19.5" customHeight="1">
      <c r="A211" s="377"/>
      <c r="B211" s="377"/>
      <c r="C211" s="377"/>
      <c r="D211" s="377"/>
      <c r="E211" s="377"/>
      <c r="F211" s="377"/>
      <c r="G211" s="377"/>
      <c r="H211" s="377"/>
      <c r="I211" s="377"/>
      <c r="J211" s="377"/>
      <c r="K211" s="377"/>
      <c r="L211" s="377"/>
      <c r="M211" s="377"/>
      <c r="N211" s="377"/>
      <c r="O211" s="377"/>
      <c r="P211" s="377"/>
      <c r="Q211" s="377"/>
      <c r="R211" s="377"/>
      <c r="S211" s="377"/>
      <c r="T211" s="377"/>
      <c r="U211" s="377"/>
      <c r="V211" s="377"/>
      <c r="W211" s="377"/>
      <c r="X211" s="377"/>
      <c r="Y211" s="377"/>
      <c r="Z211" s="377"/>
    </row>
    <row r="212" ht="19.5" customHeight="1">
      <c r="A212" s="377"/>
      <c r="B212" s="377"/>
      <c r="C212" s="377"/>
      <c r="D212" s="377"/>
      <c r="E212" s="377"/>
      <c r="F212" s="377"/>
      <c r="G212" s="377"/>
      <c r="H212" s="377"/>
      <c r="I212" s="377"/>
      <c r="J212" s="377"/>
      <c r="K212" s="377"/>
      <c r="L212" s="377"/>
      <c r="M212" s="377"/>
      <c r="N212" s="377"/>
      <c r="O212" s="377"/>
      <c r="P212" s="377"/>
      <c r="Q212" s="377"/>
      <c r="R212" s="377"/>
      <c r="S212" s="377"/>
      <c r="T212" s="377"/>
      <c r="U212" s="377"/>
      <c r="V212" s="377"/>
      <c r="W212" s="377"/>
      <c r="X212" s="377"/>
      <c r="Y212" s="377"/>
      <c r="Z212" s="377"/>
    </row>
    <row r="213" ht="19.5" customHeight="1">
      <c r="A213" s="377"/>
      <c r="B213" s="377"/>
      <c r="C213" s="377"/>
      <c r="D213" s="377"/>
      <c r="E213" s="377"/>
      <c r="F213" s="377"/>
      <c r="G213" s="377"/>
      <c r="H213" s="377"/>
      <c r="I213" s="377"/>
      <c r="J213" s="377"/>
      <c r="K213" s="377"/>
      <c r="L213" s="377"/>
      <c r="M213" s="377"/>
      <c r="N213" s="377"/>
      <c r="O213" s="377"/>
      <c r="P213" s="377"/>
      <c r="Q213" s="377"/>
      <c r="R213" s="377"/>
      <c r="S213" s="377"/>
      <c r="T213" s="377"/>
      <c r="U213" s="377"/>
      <c r="V213" s="377"/>
      <c r="W213" s="377"/>
      <c r="X213" s="377"/>
      <c r="Y213" s="377"/>
      <c r="Z213" s="377"/>
    </row>
    <row r="214" ht="19.5" customHeight="1">
      <c r="A214" s="377"/>
      <c r="B214" s="377"/>
      <c r="C214" s="377"/>
      <c r="D214" s="377"/>
      <c r="E214" s="377"/>
      <c r="F214" s="377"/>
      <c r="G214" s="377"/>
      <c r="H214" s="377"/>
      <c r="I214" s="377"/>
      <c r="J214" s="377"/>
      <c r="K214" s="377"/>
      <c r="L214" s="377"/>
      <c r="M214" s="377"/>
      <c r="N214" s="377"/>
      <c r="O214" s="377"/>
      <c r="P214" s="377"/>
      <c r="Q214" s="377"/>
      <c r="R214" s="377"/>
      <c r="S214" s="377"/>
      <c r="T214" s="377"/>
      <c r="U214" s="377"/>
      <c r="V214" s="377"/>
      <c r="W214" s="377"/>
      <c r="X214" s="377"/>
      <c r="Y214" s="377"/>
      <c r="Z214" s="377"/>
    </row>
    <row r="215" ht="19.5" customHeight="1">
      <c r="A215" s="377"/>
      <c r="B215" s="377"/>
      <c r="C215" s="377"/>
      <c r="D215" s="377"/>
      <c r="E215" s="377"/>
      <c r="F215" s="377"/>
      <c r="G215" s="377"/>
      <c r="H215" s="377"/>
      <c r="I215" s="377"/>
      <c r="J215" s="377"/>
      <c r="K215" s="377"/>
      <c r="L215" s="377"/>
      <c r="M215" s="377"/>
      <c r="N215" s="377"/>
      <c r="O215" s="377"/>
      <c r="P215" s="377"/>
      <c r="Q215" s="377"/>
      <c r="R215" s="377"/>
      <c r="S215" s="377"/>
      <c r="T215" s="377"/>
      <c r="U215" s="377"/>
      <c r="V215" s="377"/>
      <c r="W215" s="377"/>
      <c r="X215" s="377"/>
      <c r="Y215" s="377"/>
      <c r="Z215" s="377"/>
    </row>
    <row r="216" ht="19.5" customHeight="1">
      <c r="A216" s="377"/>
      <c r="B216" s="377"/>
      <c r="C216" s="377"/>
      <c r="D216" s="377"/>
      <c r="E216" s="377"/>
      <c r="F216" s="377"/>
      <c r="G216" s="377"/>
      <c r="H216" s="377"/>
      <c r="I216" s="377"/>
      <c r="J216" s="377"/>
      <c r="K216" s="377"/>
      <c r="L216" s="377"/>
      <c r="M216" s="377"/>
      <c r="N216" s="377"/>
      <c r="O216" s="377"/>
      <c r="P216" s="377"/>
      <c r="Q216" s="377"/>
      <c r="R216" s="377"/>
      <c r="S216" s="377"/>
      <c r="T216" s="377"/>
      <c r="U216" s="377"/>
      <c r="V216" s="377"/>
      <c r="W216" s="377"/>
      <c r="X216" s="377"/>
      <c r="Y216" s="377"/>
      <c r="Z216" s="377"/>
    </row>
    <row r="217" ht="19.5" customHeight="1">
      <c r="A217" s="377"/>
      <c r="B217" s="377"/>
      <c r="C217" s="377"/>
      <c r="D217" s="377"/>
      <c r="E217" s="377"/>
      <c r="F217" s="377"/>
      <c r="G217" s="377"/>
      <c r="H217" s="377"/>
      <c r="I217" s="377"/>
      <c r="J217" s="377"/>
      <c r="K217" s="377"/>
      <c r="L217" s="377"/>
      <c r="M217" s="377"/>
      <c r="N217" s="377"/>
      <c r="O217" s="377"/>
      <c r="P217" s="377"/>
      <c r="Q217" s="377"/>
      <c r="R217" s="377"/>
      <c r="S217" s="377"/>
      <c r="T217" s="377"/>
      <c r="U217" s="377"/>
      <c r="V217" s="377"/>
      <c r="W217" s="377"/>
      <c r="X217" s="377"/>
      <c r="Y217" s="377"/>
      <c r="Z217" s="377"/>
    </row>
    <row r="218" ht="19.5" customHeight="1">
      <c r="A218" s="377"/>
      <c r="B218" s="377"/>
      <c r="C218" s="377"/>
      <c r="D218" s="377"/>
      <c r="E218" s="377"/>
      <c r="F218" s="377"/>
      <c r="G218" s="377"/>
      <c r="H218" s="377"/>
      <c r="I218" s="377"/>
      <c r="J218" s="377"/>
      <c r="K218" s="377"/>
      <c r="L218" s="377"/>
      <c r="M218" s="377"/>
      <c r="N218" s="377"/>
      <c r="O218" s="377"/>
      <c r="P218" s="377"/>
      <c r="Q218" s="377"/>
      <c r="R218" s="377"/>
      <c r="S218" s="377"/>
      <c r="T218" s="377"/>
      <c r="U218" s="377"/>
      <c r="V218" s="377"/>
      <c r="W218" s="377"/>
      <c r="X218" s="377"/>
      <c r="Y218" s="377"/>
      <c r="Z218" s="377"/>
    </row>
    <row r="219" ht="19.5" customHeight="1">
      <c r="A219" s="377"/>
      <c r="B219" s="377"/>
      <c r="C219" s="377"/>
      <c r="D219" s="377"/>
      <c r="E219" s="377"/>
      <c r="F219" s="377"/>
      <c r="G219" s="377"/>
      <c r="H219" s="377"/>
      <c r="I219" s="377"/>
      <c r="J219" s="377"/>
      <c r="K219" s="377"/>
      <c r="L219" s="377"/>
      <c r="M219" s="377"/>
      <c r="N219" s="377"/>
      <c r="O219" s="377"/>
      <c r="P219" s="377"/>
      <c r="Q219" s="377"/>
      <c r="R219" s="377"/>
      <c r="S219" s="377"/>
      <c r="T219" s="377"/>
      <c r="U219" s="377"/>
      <c r="V219" s="377"/>
      <c r="W219" s="377"/>
      <c r="X219" s="377"/>
      <c r="Y219" s="377"/>
      <c r="Z219" s="377"/>
    </row>
    <row r="220" ht="19.5" customHeight="1">
      <c r="A220" s="377"/>
      <c r="B220" s="377"/>
      <c r="C220" s="377"/>
      <c r="D220" s="377"/>
      <c r="E220" s="377"/>
      <c r="F220" s="377"/>
      <c r="G220" s="377"/>
      <c r="H220" s="377"/>
      <c r="I220" s="377"/>
      <c r="J220" s="377"/>
      <c r="K220" s="377"/>
      <c r="L220" s="377"/>
      <c r="M220" s="377"/>
      <c r="N220" s="377"/>
      <c r="O220" s="377"/>
      <c r="P220" s="377"/>
      <c r="Q220" s="377"/>
      <c r="R220" s="377"/>
      <c r="S220" s="377"/>
      <c r="T220" s="377"/>
      <c r="U220" s="377"/>
      <c r="V220" s="377"/>
      <c r="W220" s="377"/>
      <c r="X220" s="377"/>
      <c r="Y220" s="377"/>
      <c r="Z220" s="377"/>
    </row>
    <row r="221" ht="19.5" customHeight="1">
      <c r="A221" s="377"/>
      <c r="B221" s="377"/>
      <c r="C221" s="377"/>
      <c r="D221" s="377"/>
      <c r="E221" s="377"/>
      <c r="F221" s="377"/>
      <c r="G221" s="377"/>
      <c r="H221" s="377"/>
      <c r="I221" s="377"/>
      <c r="J221" s="377"/>
      <c r="K221" s="377"/>
      <c r="L221" s="377"/>
      <c r="M221" s="377"/>
      <c r="N221" s="377"/>
      <c r="O221" s="377"/>
      <c r="P221" s="377"/>
      <c r="Q221" s="377"/>
      <c r="R221" s="377"/>
      <c r="S221" s="377"/>
      <c r="T221" s="377"/>
      <c r="U221" s="377"/>
      <c r="V221" s="377"/>
      <c r="W221" s="377"/>
      <c r="X221" s="377"/>
      <c r="Y221" s="377"/>
      <c r="Z221" s="377"/>
    </row>
    <row r="222" ht="19.5" customHeight="1">
      <c r="A222" s="377"/>
      <c r="B222" s="377"/>
      <c r="C222" s="377"/>
      <c r="D222" s="377"/>
      <c r="E222" s="377"/>
      <c r="F222" s="377"/>
      <c r="G222" s="377"/>
      <c r="H222" s="377"/>
      <c r="I222" s="377"/>
      <c r="J222" s="377"/>
      <c r="K222" s="377"/>
      <c r="L222" s="377"/>
      <c r="M222" s="377"/>
      <c r="N222" s="377"/>
      <c r="O222" s="377"/>
      <c r="P222" s="377"/>
      <c r="Q222" s="377"/>
      <c r="R222" s="377"/>
      <c r="S222" s="377"/>
      <c r="T222" s="377"/>
      <c r="U222" s="377"/>
      <c r="V222" s="377"/>
      <c r="W222" s="377"/>
      <c r="X222" s="377"/>
      <c r="Y222" s="377"/>
      <c r="Z222" s="377"/>
    </row>
    <row r="223" ht="19.5" customHeight="1">
      <c r="A223" s="377"/>
      <c r="B223" s="377"/>
      <c r="C223" s="377"/>
      <c r="D223" s="377"/>
      <c r="E223" s="377"/>
      <c r="F223" s="377"/>
      <c r="G223" s="377"/>
      <c r="H223" s="377"/>
      <c r="I223" s="377"/>
      <c r="J223" s="377"/>
      <c r="K223" s="377"/>
      <c r="L223" s="377"/>
      <c r="M223" s="377"/>
      <c r="N223" s="377"/>
      <c r="O223" s="377"/>
      <c r="P223" s="377"/>
      <c r="Q223" s="377"/>
      <c r="R223" s="377"/>
      <c r="S223" s="377"/>
      <c r="T223" s="377"/>
      <c r="U223" s="377"/>
      <c r="V223" s="377"/>
      <c r="W223" s="377"/>
      <c r="X223" s="377"/>
      <c r="Y223" s="377"/>
      <c r="Z223" s="377"/>
    </row>
    <row r="224" ht="19.5" customHeight="1">
      <c r="A224" s="377"/>
      <c r="B224" s="377"/>
      <c r="C224" s="377"/>
      <c r="D224" s="377"/>
      <c r="E224" s="377"/>
      <c r="F224" s="377"/>
      <c r="G224" s="377"/>
      <c r="H224" s="377"/>
      <c r="I224" s="377"/>
      <c r="J224" s="377"/>
      <c r="K224" s="377"/>
      <c r="L224" s="377"/>
      <c r="M224" s="377"/>
      <c r="N224" s="377"/>
      <c r="O224" s="377"/>
      <c r="P224" s="377"/>
      <c r="Q224" s="377"/>
      <c r="R224" s="377"/>
      <c r="S224" s="377"/>
      <c r="T224" s="377"/>
      <c r="U224" s="377"/>
      <c r="V224" s="377"/>
      <c r="W224" s="377"/>
      <c r="X224" s="377"/>
      <c r="Y224" s="377"/>
      <c r="Z224" s="377"/>
    </row>
    <row r="225" ht="19.5" customHeight="1">
      <c r="A225" s="377"/>
      <c r="B225" s="377"/>
      <c r="C225" s="377"/>
      <c r="D225" s="377"/>
      <c r="E225" s="377"/>
      <c r="F225" s="377"/>
      <c r="G225" s="377"/>
      <c r="H225" s="377"/>
      <c r="I225" s="377"/>
      <c r="J225" s="377"/>
      <c r="K225" s="377"/>
      <c r="L225" s="377"/>
      <c r="M225" s="377"/>
      <c r="N225" s="377"/>
      <c r="O225" s="377"/>
      <c r="P225" s="377"/>
      <c r="Q225" s="377"/>
      <c r="R225" s="377"/>
      <c r="S225" s="377"/>
      <c r="T225" s="377"/>
      <c r="U225" s="377"/>
      <c r="V225" s="377"/>
      <c r="W225" s="377"/>
      <c r="X225" s="377"/>
      <c r="Y225" s="377"/>
      <c r="Z225" s="377"/>
    </row>
    <row r="226" ht="19.5" customHeight="1">
      <c r="A226" s="377"/>
      <c r="B226" s="377"/>
      <c r="C226" s="377"/>
      <c r="D226" s="377"/>
      <c r="E226" s="377"/>
      <c r="F226" s="377"/>
      <c r="G226" s="377"/>
      <c r="H226" s="377"/>
      <c r="I226" s="377"/>
      <c r="J226" s="377"/>
      <c r="K226" s="377"/>
      <c r="L226" s="377"/>
      <c r="M226" s="377"/>
      <c r="N226" s="377"/>
      <c r="O226" s="377"/>
      <c r="P226" s="377"/>
      <c r="Q226" s="377"/>
      <c r="R226" s="377"/>
      <c r="S226" s="377"/>
      <c r="T226" s="377"/>
      <c r="U226" s="377"/>
      <c r="V226" s="377"/>
      <c r="W226" s="377"/>
      <c r="X226" s="377"/>
      <c r="Y226" s="377"/>
      <c r="Z226" s="377"/>
    </row>
    <row r="227" ht="19.5" customHeight="1">
      <c r="A227" s="377"/>
      <c r="B227" s="377"/>
      <c r="C227" s="377"/>
      <c r="D227" s="377"/>
      <c r="E227" s="377"/>
      <c r="F227" s="377"/>
      <c r="G227" s="377"/>
      <c r="H227" s="377"/>
      <c r="I227" s="377"/>
      <c r="J227" s="377"/>
      <c r="K227" s="377"/>
      <c r="L227" s="377"/>
      <c r="M227" s="377"/>
      <c r="N227" s="377"/>
      <c r="O227" s="377"/>
      <c r="P227" s="377"/>
      <c r="Q227" s="377"/>
      <c r="R227" s="377"/>
      <c r="S227" s="377"/>
      <c r="T227" s="377"/>
      <c r="U227" s="377"/>
      <c r="V227" s="377"/>
      <c r="W227" s="377"/>
      <c r="X227" s="377"/>
      <c r="Y227" s="377"/>
      <c r="Z227" s="377"/>
    </row>
    <row r="228" ht="19.5" customHeight="1">
      <c r="A228" s="377"/>
      <c r="B228" s="377"/>
      <c r="C228" s="377"/>
      <c r="D228" s="377"/>
      <c r="E228" s="377"/>
      <c r="F228" s="377"/>
      <c r="G228" s="377"/>
      <c r="H228" s="377"/>
      <c r="I228" s="377"/>
      <c r="J228" s="377"/>
      <c r="K228" s="377"/>
      <c r="L228" s="377"/>
      <c r="M228" s="377"/>
      <c r="N228" s="377"/>
      <c r="O228" s="377"/>
      <c r="P228" s="377"/>
      <c r="Q228" s="377"/>
      <c r="R228" s="377"/>
      <c r="S228" s="377"/>
      <c r="T228" s="377"/>
      <c r="U228" s="377"/>
      <c r="V228" s="377"/>
      <c r="W228" s="377"/>
      <c r="X228" s="377"/>
      <c r="Y228" s="377"/>
      <c r="Z228" s="377"/>
    </row>
    <row r="229" ht="19.5" customHeight="1">
      <c r="A229" s="377"/>
      <c r="B229" s="377"/>
      <c r="C229" s="377"/>
      <c r="D229" s="377"/>
      <c r="E229" s="377"/>
      <c r="F229" s="377"/>
      <c r="G229" s="377"/>
      <c r="H229" s="377"/>
      <c r="I229" s="377"/>
      <c r="J229" s="377"/>
      <c r="K229" s="377"/>
      <c r="L229" s="377"/>
      <c r="M229" s="377"/>
      <c r="N229" s="377"/>
      <c r="O229" s="377"/>
      <c r="P229" s="377"/>
      <c r="Q229" s="377"/>
      <c r="R229" s="377"/>
      <c r="S229" s="377"/>
      <c r="T229" s="377"/>
      <c r="U229" s="377"/>
      <c r="V229" s="377"/>
      <c r="W229" s="377"/>
      <c r="X229" s="377"/>
      <c r="Y229" s="377"/>
      <c r="Z229" s="377"/>
    </row>
    <row r="230" ht="19.5" customHeight="1">
      <c r="A230" s="377"/>
      <c r="B230" s="377"/>
      <c r="C230" s="377"/>
      <c r="D230" s="377"/>
      <c r="E230" s="377"/>
      <c r="F230" s="377"/>
      <c r="G230" s="377"/>
      <c r="H230" s="377"/>
      <c r="I230" s="377"/>
      <c r="J230" s="377"/>
      <c r="K230" s="377"/>
      <c r="L230" s="377"/>
      <c r="M230" s="377"/>
      <c r="N230" s="377"/>
      <c r="O230" s="377"/>
      <c r="P230" s="377"/>
      <c r="Q230" s="377"/>
      <c r="R230" s="377"/>
      <c r="S230" s="377"/>
      <c r="T230" s="377"/>
      <c r="U230" s="377"/>
      <c r="V230" s="377"/>
      <c r="W230" s="377"/>
      <c r="X230" s="377"/>
      <c r="Y230" s="377"/>
      <c r="Z230" s="377"/>
    </row>
    <row r="231" ht="19.5" customHeight="1">
      <c r="A231" s="377"/>
      <c r="B231" s="377"/>
      <c r="C231" s="377"/>
      <c r="D231" s="377"/>
      <c r="E231" s="377"/>
      <c r="F231" s="377"/>
      <c r="G231" s="377"/>
      <c r="H231" s="377"/>
      <c r="I231" s="377"/>
      <c r="J231" s="377"/>
      <c r="K231" s="377"/>
      <c r="L231" s="377"/>
      <c r="M231" s="377"/>
      <c r="N231" s="377"/>
      <c r="O231" s="377"/>
      <c r="P231" s="377"/>
      <c r="Q231" s="377"/>
      <c r="R231" s="377"/>
      <c r="S231" s="377"/>
      <c r="T231" s="377"/>
      <c r="U231" s="377"/>
      <c r="V231" s="377"/>
      <c r="W231" s="377"/>
      <c r="X231" s="377"/>
      <c r="Y231" s="377"/>
      <c r="Z231" s="377"/>
    </row>
    <row r="232" ht="19.5" customHeight="1">
      <c r="A232" s="377"/>
      <c r="B232" s="377"/>
      <c r="C232" s="377"/>
      <c r="D232" s="377"/>
      <c r="E232" s="377"/>
      <c r="F232" s="377"/>
      <c r="G232" s="377"/>
      <c r="H232" s="377"/>
      <c r="I232" s="377"/>
      <c r="J232" s="377"/>
      <c r="K232" s="377"/>
      <c r="L232" s="377"/>
      <c r="M232" s="377"/>
      <c r="N232" s="377"/>
      <c r="O232" s="377"/>
      <c r="P232" s="377"/>
      <c r="Q232" s="377"/>
      <c r="R232" s="377"/>
      <c r="S232" s="377"/>
      <c r="T232" s="377"/>
      <c r="U232" s="377"/>
      <c r="V232" s="377"/>
      <c r="W232" s="377"/>
      <c r="X232" s="377"/>
      <c r="Y232" s="377"/>
      <c r="Z232" s="377"/>
    </row>
    <row r="233" ht="19.5" customHeight="1">
      <c r="A233" s="377"/>
      <c r="B233" s="377"/>
      <c r="C233" s="377"/>
      <c r="D233" s="377"/>
      <c r="E233" s="377"/>
      <c r="F233" s="377"/>
      <c r="G233" s="377"/>
      <c r="H233" s="377"/>
      <c r="I233" s="377"/>
      <c r="J233" s="377"/>
      <c r="K233" s="377"/>
      <c r="L233" s="377"/>
      <c r="M233" s="377"/>
      <c r="N233" s="377"/>
      <c r="O233" s="377"/>
      <c r="P233" s="377"/>
      <c r="Q233" s="377"/>
      <c r="R233" s="377"/>
      <c r="S233" s="377"/>
      <c r="T233" s="377"/>
      <c r="U233" s="377"/>
      <c r="V233" s="377"/>
      <c r="W233" s="377"/>
      <c r="X233" s="377"/>
      <c r="Y233" s="377"/>
      <c r="Z233" s="377"/>
    </row>
    <row r="234" ht="19.5" customHeight="1">
      <c r="A234" s="377"/>
      <c r="B234" s="377"/>
      <c r="C234" s="377"/>
      <c r="D234" s="377"/>
      <c r="E234" s="377"/>
      <c r="F234" s="377"/>
      <c r="G234" s="377"/>
      <c r="H234" s="377"/>
      <c r="I234" s="377"/>
      <c r="J234" s="377"/>
      <c r="K234" s="377"/>
      <c r="L234" s="377"/>
      <c r="M234" s="377"/>
      <c r="N234" s="377"/>
      <c r="O234" s="377"/>
      <c r="P234" s="377"/>
      <c r="Q234" s="377"/>
      <c r="R234" s="377"/>
      <c r="S234" s="377"/>
      <c r="T234" s="377"/>
      <c r="U234" s="377"/>
      <c r="V234" s="377"/>
      <c r="W234" s="377"/>
      <c r="X234" s="377"/>
      <c r="Y234" s="377"/>
      <c r="Z234" s="377"/>
    </row>
    <row r="235" ht="19.5" customHeight="1">
      <c r="A235" s="377"/>
      <c r="B235" s="377"/>
      <c r="C235" s="377"/>
      <c r="D235" s="377"/>
      <c r="E235" s="377"/>
      <c r="F235" s="377"/>
      <c r="G235" s="377"/>
      <c r="H235" s="377"/>
      <c r="I235" s="377"/>
      <c r="J235" s="377"/>
      <c r="K235" s="377"/>
      <c r="L235" s="377"/>
      <c r="M235" s="377"/>
      <c r="N235" s="377"/>
      <c r="O235" s="377"/>
      <c r="P235" s="377"/>
      <c r="Q235" s="377"/>
      <c r="R235" s="377"/>
      <c r="S235" s="377"/>
      <c r="T235" s="377"/>
      <c r="U235" s="377"/>
      <c r="V235" s="377"/>
      <c r="W235" s="377"/>
      <c r="X235" s="377"/>
      <c r="Y235" s="377"/>
      <c r="Z235" s="377"/>
    </row>
    <row r="236" ht="19.5" customHeight="1">
      <c r="A236" s="377"/>
      <c r="B236" s="377"/>
      <c r="C236" s="377"/>
      <c r="D236" s="377"/>
      <c r="E236" s="377"/>
      <c r="F236" s="377"/>
      <c r="G236" s="377"/>
      <c r="H236" s="377"/>
      <c r="I236" s="377"/>
      <c r="J236" s="377"/>
      <c r="K236" s="377"/>
      <c r="L236" s="377"/>
      <c r="M236" s="377"/>
      <c r="N236" s="377"/>
      <c r="O236" s="377"/>
      <c r="P236" s="377"/>
      <c r="Q236" s="377"/>
      <c r="R236" s="377"/>
      <c r="S236" s="377"/>
      <c r="T236" s="377"/>
      <c r="U236" s="377"/>
      <c r="V236" s="377"/>
      <c r="W236" s="377"/>
      <c r="X236" s="377"/>
      <c r="Y236" s="377"/>
      <c r="Z236" s="377"/>
    </row>
    <row r="237" ht="19.5" customHeight="1">
      <c r="A237" s="377"/>
      <c r="B237" s="377"/>
      <c r="C237" s="377"/>
      <c r="D237" s="377"/>
      <c r="E237" s="377"/>
      <c r="F237" s="377"/>
      <c r="G237" s="377"/>
      <c r="H237" s="377"/>
      <c r="I237" s="377"/>
      <c r="J237" s="377"/>
      <c r="K237" s="377"/>
      <c r="L237" s="377"/>
      <c r="M237" s="377"/>
      <c r="N237" s="377"/>
      <c r="O237" s="377"/>
      <c r="P237" s="377"/>
      <c r="Q237" s="377"/>
      <c r="R237" s="377"/>
      <c r="S237" s="377"/>
      <c r="T237" s="377"/>
      <c r="U237" s="377"/>
      <c r="V237" s="377"/>
      <c r="W237" s="377"/>
      <c r="X237" s="377"/>
      <c r="Y237" s="377"/>
      <c r="Z237" s="377"/>
    </row>
    <row r="238" ht="19.5" customHeight="1">
      <c r="A238" s="377"/>
      <c r="B238" s="377"/>
      <c r="C238" s="377"/>
      <c r="D238" s="377"/>
      <c r="E238" s="377"/>
      <c r="F238" s="377"/>
      <c r="G238" s="377"/>
      <c r="H238" s="377"/>
      <c r="I238" s="377"/>
      <c r="J238" s="377"/>
      <c r="K238" s="377"/>
      <c r="L238" s="377"/>
      <c r="M238" s="377"/>
      <c r="N238" s="377"/>
      <c r="O238" s="377"/>
      <c r="P238" s="377"/>
      <c r="Q238" s="377"/>
      <c r="R238" s="377"/>
      <c r="S238" s="377"/>
      <c r="T238" s="377"/>
      <c r="U238" s="377"/>
      <c r="V238" s="377"/>
      <c r="W238" s="377"/>
      <c r="X238" s="377"/>
      <c r="Y238" s="377"/>
      <c r="Z238" s="377"/>
    </row>
    <row r="239" ht="19.5" customHeight="1">
      <c r="A239" s="377"/>
      <c r="B239" s="377"/>
      <c r="C239" s="377"/>
      <c r="D239" s="377"/>
      <c r="E239" s="377"/>
      <c r="F239" s="377"/>
      <c r="G239" s="377"/>
      <c r="H239" s="377"/>
      <c r="I239" s="377"/>
      <c r="J239" s="377"/>
      <c r="K239" s="377"/>
      <c r="L239" s="377"/>
      <c r="M239" s="377"/>
      <c r="N239" s="377"/>
      <c r="O239" s="377"/>
      <c r="P239" s="377"/>
      <c r="Q239" s="377"/>
      <c r="R239" s="377"/>
      <c r="S239" s="377"/>
      <c r="T239" s="377"/>
      <c r="U239" s="377"/>
      <c r="V239" s="377"/>
      <c r="W239" s="377"/>
      <c r="X239" s="377"/>
      <c r="Y239" s="377"/>
      <c r="Z239" s="377"/>
    </row>
    <row r="240" ht="19.5" customHeight="1">
      <c r="A240" s="377"/>
      <c r="B240" s="377"/>
      <c r="C240" s="377"/>
      <c r="D240" s="377"/>
      <c r="E240" s="377"/>
      <c r="F240" s="377"/>
      <c r="G240" s="377"/>
      <c r="H240" s="377"/>
      <c r="I240" s="377"/>
      <c r="J240" s="377"/>
      <c r="K240" s="377"/>
      <c r="L240" s="377"/>
      <c r="M240" s="377"/>
      <c r="N240" s="377"/>
      <c r="O240" s="377"/>
      <c r="P240" s="377"/>
      <c r="Q240" s="377"/>
      <c r="R240" s="377"/>
      <c r="S240" s="377"/>
      <c r="T240" s="377"/>
      <c r="U240" s="377"/>
      <c r="V240" s="377"/>
      <c r="W240" s="377"/>
      <c r="X240" s="377"/>
      <c r="Y240" s="377"/>
      <c r="Z240" s="377"/>
    </row>
    <row r="241" ht="19.5" customHeight="1">
      <c r="A241" s="377"/>
      <c r="B241" s="377"/>
      <c r="C241" s="377"/>
      <c r="D241" s="377"/>
      <c r="E241" s="377"/>
      <c r="F241" s="377"/>
      <c r="G241" s="377"/>
      <c r="H241" s="377"/>
      <c r="I241" s="377"/>
      <c r="J241" s="377"/>
      <c r="K241" s="377"/>
      <c r="L241" s="377"/>
      <c r="M241" s="377"/>
      <c r="N241" s="377"/>
      <c r="O241" s="377"/>
      <c r="P241" s="377"/>
      <c r="Q241" s="377"/>
      <c r="R241" s="377"/>
      <c r="S241" s="377"/>
      <c r="T241" s="377"/>
      <c r="U241" s="377"/>
      <c r="V241" s="377"/>
      <c r="W241" s="377"/>
      <c r="X241" s="377"/>
      <c r="Y241" s="377"/>
      <c r="Z241" s="377"/>
    </row>
    <row r="242" ht="19.5" customHeight="1">
      <c r="A242" s="377"/>
      <c r="B242" s="377"/>
      <c r="C242" s="377"/>
      <c r="D242" s="377"/>
      <c r="E242" s="377"/>
      <c r="F242" s="377"/>
      <c r="G242" s="377"/>
      <c r="H242" s="377"/>
      <c r="I242" s="377"/>
      <c r="J242" s="377"/>
      <c r="K242" s="377"/>
      <c r="L242" s="377"/>
      <c r="M242" s="377"/>
      <c r="N242" s="377"/>
      <c r="O242" s="377"/>
      <c r="P242" s="377"/>
      <c r="Q242" s="377"/>
      <c r="R242" s="377"/>
      <c r="S242" s="377"/>
      <c r="T242" s="377"/>
      <c r="U242" s="377"/>
      <c r="V242" s="377"/>
      <c r="W242" s="377"/>
      <c r="X242" s="377"/>
      <c r="Y242" s="377"/>
      <c r="Z242" s="377"/>
    </row>
    <row r="243" ht="19.5" customHeight="1">
      <c r="A243" s="377"/>
      <c r="B243" s="377"/>
      <c r="C243" s="377"/>
      <c r="D243" s="377"/>
      <c r="E243" s="377"/>
      <c r="F243" s="377"/>
      <c r="G243" s="377"/>
      <c r="H243" s="377"/>
      <c r="I243" s="377"/>
      <c r="J243" s="377"/>
      <c r="K243" s="377"/>
      <c r="L243" s="377"/>
      <c r="M243" s="377"/>
      <c r="N243" s="377"/>
      <c r="O243" s="377"/>
      <c r="P243" s="377"/>
      <c r="Q243" s="377"/>
      <c r="R243" s="377"/>
      <c r="S243" s="377"/>
      <c r="T243" s="377"/>
      <c r="U243" s="377"/>
      <c r="V243" s="377"/>
      <c r="W243" s="377"/>
      <c r="X243" s="377"/>
      <c r="Y243" s="377"/>
      <c r="Z243" s="377"/>
    </row>
    <row r="244" ht="19.5" customHeight="1">
      <c r="A244" s="377"/>
      <c r="B244" s="377"/>
      <c r="C244" s="377"/>
      <c r="D244" s="377"/>
      <c r="E244" s="377"/>
      <c r="F244" s="377"/>
      <c r="G244" s="377"/>
      <c r="H244" s="377"/>
      <c r="I244" s="377"/>
      <c r="J244" s="377"/>
      <c r="K244" s="377"/>
      <c r="L244" s="377"/>
      <c r="M244" s="377"/>
      <c r="N244" s="377"/>
      <c r="O244" s="377"/>
      <c r="P244" s="377"/>
      <c r="Q244" s="377"/>
      <c r="R244" s="377"/>
      <c r="S244" s="377"/>
      <c r="T244" s="377"/>
      <c r="U244" s="377"/>
      <c r="V244" s="377"/>
      <c r="W244" s="377"/>
      <c r="X244" s="377"/>
      <c r="Y244" s="377"/>
      <c r="Z244" s="377"/>
    </row>
    <row r="245" ht="19.5" customHeight="1">
      <c r="A245" s="377"/>
      <c r="B245" s="377"/>
      <c r="C245" s="377"/>
      <c r="D245" s="377"/>
      <c r="E245" s="377"/>
      <c r="F245" s="377"/>
      <c r="G245" s="377"/>
      <c r="H245" s="377"/>
      <c r="I245" s="377"/>
      <c r="J245" s="377"/>
      <c r="K245" s="377"/>
      <c r="L245" s="377"/>
      <c r="M245" s="377"/>
      <c r="N245" s="377"/>
      <c r="O245" s="377"/>
      <c r="P245" s="377"/>
      <c r="Q245" s="377"/>
      <c r="R245" s="377"/>
      <c r="S245" s="377"/>
      <c r="T245" s="377"/>
      <c r="U245" s="377"/>
      <c r="V245" s="377"/>
      <c r="W245" s="377"/>
      <c r="X245" s="377"/>
      <c r="Y245" s="377"/>
      <c r="Z245" s="377"/>
    </row>
    <row r="246" ht="19.5" customHeight="1">
      <c r="A246" s="377"/>
      <c r="B246" s="377"/>
      <c r="C246" s="377"/>
      <c r="D246" s="377"/>
      <c r="E246" s="377"/>
      <c r="F246" s="377"/>
      <c r="G246" s="377"/>
      <c r="H246" s="377"/>
      <c r="I246" s="377"/>
      <c r="J246" s="377"/>
      <c r="K246" s="377"/>
      <c r="L246" s="377"/>
      <c r="M246" s="377"/>
      <c r="N246" s="377"/>
      <c r="O246" s="377"/>
      <c r="P246" s="377"/>
      <c r="Q246" s="377"/>
      <c r="R246" s="377"/>
      <c r="S246" s="377"/>
      <c r="T246" s="377"/>
      <c r="U246" s="377"/>
      <c r="V246" s="377"/>
      <c r="W246" s="377"/>
      <c r="X246" s="377"/>
      <c r="Y246" s="377"/>
      <c r="Z246" s="377"/>
    </row>
    <row r="247" ht="19.5" customHeight="1">
      <c r="A247" s="377"/>
      <c r="B247" s="377"/>
      <c r="C247" s="377"/>
      <c r="D247" s="377"/>
      <c r="E247" s="377"/>
      <c r="F247" s="377"/>
      <c r="G247" s="377"/>
      <c r="H247" s="377"/>
      <c r="I247" s="377"/>
      <c r="J247" s="377"/>
      <c r="K247" s="377"/>
      <c r="L247" s="377"/>
      <c r="M247" s="377"/>
      <c r="N247" s="377"/>
      <c r="O247" s="377"/>
      <c r="P247" s="377"/>
      <c r="Q247" s="377"/>
      <c r="R247" s="377"/>
      <c r="S247" s="377"/>
      <c r="T247" s="377"/>
      <c r="U247" s="377"/>
      <c r="V247" s="377"/>
      <c r="W247" s="377"/>
      <c r="X247" s="377"/>
      <c r="Y247" s="377"/>
      <c r="Z247" s="377"/>
    </row>
    <row r="248" ht="19.5" customHeight="1">
      <c r="A248" s="377"/>
      <c r="B248" s="377"/>
      <c r="C248" s="377"/>
      <c r="D248" s="377"/>
      <c r="E248" s="377"/>
      <c r="F248" s="377"/>
      <c r="G248" s="377"/>
      <c r="H248" s="377"/>
      <c r="I248" s="377"/>
      <c r="J248" s="377"/>
      <c r="K248" s="377"/>
      <c r="L248" s="377"/>
      <c r="M248" s="377"/>
      <c r="N248" s="377"/>
      <c r="O248" s="377"/>
      <c r="P248" s="377"/>
      <c r="Q248" s="377"/>
      <c r="R248" s="377"/>
      <c r="S248" s="377"/>
      <c r="T248" s="377"/>
      <c r="U248" s="377"/>
      <c r="V248" s="377"/>
      <c r="W248" s="377"/>
      <c r="X248" s="377"/>
      <c r="Y248" s="377"/>
      <c r="Z248" s="377"/>
    </row>
    <row r="249" ht="19.5" customHeight="1">
      <c r="A249" s="377"/>
      <c r="B249" s="377"/>
      <c r="C249" s="377"/>
      <c r="D249" s="377"/>
      <c r="E249" s="377"/>
      <c r="F249" s="377"/>
      <c r="G249" s="377"/>
      <c r="H249" s="377"/>
      <c r="I249" s="377"/>
      <c r="J249" s="377"/>
      <c r="K249" s="377"/>
      <c r="L249" s="377"/>
      <c r="M249" s="377"/>
      <c r="N249" s="377"/>
      <c r="O249" s="377"/>
      <c r="P249" s="377"/>
      <c r="Q249" s="377"/>
      <c r="R249" s="377"/>
      <c r="S249" s="377"/>
      <c r="T249" s="377"/>
      <c r="U249" s="377"/>
      <c r="V249" s="377"/>
      <c r="W249" s="377"/>
      <c r="X249" s="377"/>
      <c r="Y249" s="377"/>
      <c r="Z249" s="377"/>
    </row>
    <row r="250" ht="19.5" customHeight="1">
      <c r="A250" s="377"/>
      <c r="B250" s="377"/>
      <c r="C250" s="377"/>
      <c r="D250" s="377"/>
      <c r="E250" s="377"/>
      <c r="F250" s="377"/>
      <c r="G250" s="377"/>
      <c r="H250" s="377"/>
      <c r="I250" s="377"/>
      <c r="J250" s="377"/>
      <c r="K250" s="377"/>
      <c r="L250" s="377"/>
      <c r="M250" s="377"/>
      <c r="N250" s="377"/>
      <c r="O250" s="377"/>
      <c r="P250" s="377"/>
      <c r="Q250" s="377"/>
      <c r="R250" s="377"/>
      <c r="S250" s="377"/>
      <c r="T250" s="377"/>
      <c r="U250" s="377"/>
      <c r="V250" s="377"/>
      <c r="W250" s="377"/>
      <c r="X250" s="377"/>
      <c r="Y250" s="377"/>
      <c r="Z250" s="377"/>
    </row>
    <row r="251" ht="19.5" customHeight="1">
      <c r="A251" s="377"/>
      <c r="B251" s="377"/>
      <c r="C251" s="377"/>
      <c r="D251" s="377"/>
      <c r="E251" s="377"/>
      <c r="F251" s="377"/>
      <c r="G251" s="377"/>
      <c r="H251" s="377"/>
      <c r="I251" s="377"/>
      <c r="J251" s="377"/>
      <c r="K251" s="377"/>
      <c r="L251" s="377"/>
      <c r="M251" s="377"/>
      <c r="N251" s="377"/>
      <c r="O251" s="377"/>
      <c r="P251" s="377"/>
      <c r="Q251" s="377"/>
      <c r="R251" s="377"/>
      <c r="S251" s="377"/>
      <c r="T251" s="377"/>
      <c r="U251" s="377"/>
      <c r="V251" s="377"/>
      <c r="W251" s="377"/>
      <c r="X251" s="377"/>
      <c r="Y251" s="377"/>
      <c r="Z251" s="377"/>
    </row>
    <row r="252" ht="19.5" customHeight="1">
      <c r="A252" s="377"/>
      <c r="B252" s="377"/>
      <c r="C252" s="377"/>
      <c r="D252" s="377"/>
      <c r="E252" s="377"/>
      <c r="F252" s="377"/>
      <c r="G252" s="377"/>
      <c r="H252" s="377"/>
      <c r="I252" s="377"/>
      <c r="J252" s="377"/>
      <c r="K252" s="377"/>
      <c r="L252" s="377"/>
      <c r="M252" s="377"/>
      <c r="N252" s="377"/>
      <c r="O252" s="377"/>
      <c r="P252" s="377"/>
      <c r="Q252" s="377"/>
      <c r="R252" s="377"/>
      <c r="S252" s="377"/>
      <c r="T252" s="377"/>
      <c r="U252" s="377"/>
      <c r="V252" s="377"/>
      <c r="W252" s="377"/>
      <c r="X252" s="377"/>
      <c r="Y252" s="377"/>
      <c r="Z252" s="377"/>
    </row>
    <row r="253" ht="19.5" customHeight="1">
      <c r="A253" s="377"/>
      <c r="B253" s="377"/>
      <c r="C253" s="377"/>
      <c r="D253" s="377"/>
      <c r="E253" s="377"/>
      <c r="F253" s="377"/>
      <c r="G253" s="377"/>
      <c r="H253" s="377"/>
      <c r="I253" s="377"/>
      <c r="J253" s="377"/>
      <c r="K253" s="377"/>
      <c r="L253" s="377"/>
      <c r="M253" s="377"/>
      <c r="N253" s="377"/>
      <c r="O253" s="377"/>
      <c r="P253" s="377"/>
      <c r="Q253" s="377"/>
      <c r="R253" s="377"/>
      <c r="S253" s="377"/>
      <c r="T253" s="377"/>
      <c r="U253" s="377"/>
      <c r="V253" s="377"/>
      <c r="W253" s="377"/>
      <c r="X253" s="377"/>
      <c r="Y253" s="377"/>
      <c r="Z253" s="377"/>
    </row>
    <row r="254" ht="19.5" customHeight="1">
      <c r="A254" s="377"/>
      <c r="B254" s="377"/>
      <c r="C254" s="377"/>
      <c r="D254" s="377"/>
      <c r="E254" s="377"/>
      <c r="F254" s="377"/>
      <c r="G254" s="377"/>
      <c r="H254" s="377"/>
      <c r="I254" s="377"/>
      <c r="J254" s="377"/>
      <c r="K254" s="377"/>
      <c r="L254" s="377"/>
      <c r="M254" s="377"/>
      <c r="N254" s="377"/>
      <c r="O254" s="377"/>
      <c r="P254" s="377"/>
      <c r="Q254" s="377"/>
      <c r="R254" s="377"/>
      <c r="S254" s="377"/>
      <c r="T254" s="377"/>
      <c r="U254" s="377"/>
      <c r="V254" s="377"/>
      <c r="W254" s="377"/>
      <c r="X254" s="377"/>
      <c r="Y254" s="377"/>
      <c r="Z254" s="377"/>
    </row>
    <row r="255" ht="19.5" customHeight="1">
      <c r="A255" s="377"/>
      <c r="B255" s="377"/>
      <c r="C255" s="377"/>
      <c r="D255" s="377"/>
      <c r="E255" s="377"/>
      <c r="F255" s="377"/>
      <c r="G255" s="377"/>
      <c r="H255" s="377"/>
      <c r="I255" s="377"/>
      <c r="J255" s="377"/>
      <c r="K255" s="377"/>
      <c r="L255" s="377"/>
      <c r="M255" s="377"/>
      <c r="N255" s="377"/>
      <c r="O255" s="377"/>
      <c r="P255" s="377"/>
      <c r="Q255" s="377"/>
      <c r="R255" s="377"/>
      <c r="S255" s="377"/>
      <c r="T255" s="377"/>
      <c r="U255" s="377"/>
      <c r="V255" s="377"/>
      <c r="W255" s="377"/>
      <c r="X255" s="377"/>
      <c r="Y255" s="377"/>
      <c r="Z255" s="377"/>
    </row>
    <row r="256" ht="19.5" customHeight="1">
      <c r="A256" s="377"/>
      <c r="B256" s="377"/>
      <c r="C256" s="377"/>
      <c r="D256" s="377"/>
      <c r="E256" s="377"/>
      <c r="F256" s="377"/>
      <c r="G256" s="377"/>
      <c r="H256" s="377"/>
      <c r="I256" s="377"/>
      <c r="J256" s="377"/>
      <c r="K256" s="377"/>
      <c r="L256" s="377"/>
      <c r="M256" s="377"/>
      <c r="N256" s="377"/>
      <c r="O256" s="377"/>
      <c r="P256" s="377"/>
      <c r="Q256" s="377"/>
      <c r="R256" s="377"/>
      <c r="S256" s="377"/>
      <c r="T256" s="377"/>
      <c r="U256" s="377"/>
      <c r="V256" s="377"/>
      <c r="W256" s="377"/>
      <c r="X256" s="377"/>
      <c r="Y256" s="377"/>
      <c r="Z256" s="377"/>
    </row>
    <row r="257" ht="19.5" customHeight="1">
      <c r="A257" s="377"/>
      <c r="B257" s="377"/>
      <c r="C257" s="377"/>
      <c r="D257" s="377"/>
      <c r="E257" s="377"/>
      <c r="F257" s="377"/>
      <c r="G257" s="377"/>
      <c r="H257" s="377"/>
      <c r="I257" s="377"/>
      <c r="J257" s="377"/>
      <c r="K257" s="377"/>
      <c r="L257" s="377"/>
      <c r="M257" s="377"/>
      <c r="N257" s="377"/>
      <c r="O257" s="377"/>
      <c r="P257" s="377"/>
      <c r="Q257" s="377"/>
      <c r="R257" s="377"/>
      <c r="S257" s="377"/>
      <c r="T257" s="377"/>
      <c r="U257" s="377"/>
      <c r="V257" s="377"/>
      <c r="W257" s="377"/>
      <c r="X257" s="377"/>
      <c r="Y257" s="377"/>
      <c r="Z257" s="377"/>
    </row>
    <row r="258" ht="19.5" customHeight="1">
      <c r="A258" s="377"/>
      <c r="B258" s="377"/>
      <c r="C258" s="377"/>
      <c r="D258" s="377"/>
      <c r="E258" s="377"/>
      <c r="F258" s="377"/>
      <c r="G258" s="377"/>
      <c r="H258" s="377"/>
      <c r="I258" s="377"/>
      <c r="J258" s="377"/>
      <c r="K258" s="377"/>
      <c r="L258" s="377"/>
      <c r="M258" s="377"/>
      <c r="N258" s="377"/>
      <c r="O258" s="377"/>
      <c r="P258" s="377"/>
      <c r="Q258" s="377"/>
      <c r="R258" s="377"/>
      <c r="S258" s="377"/>
      <c r="T258" s="377"/>
      <c r="U258" s="377"/>
      <c r="V258" s="377"/>
      <c r="W258" s="377"/>
      <c r="X258" s="377"/>
      <c r="Y258" s="377"/>
      <c r="Z258" s="377"/>
    </row>
    <row r="259" ht="19.5" customHeight="1">
      <c r="A259" s="377"/>
      <c r="B259" s="377"/>
      <c r="C259" s="377"/>
      <c r="D259" s="377"/>
      <c r="E259" s="377"/>
      <c r="F259" s="377"/>
      <c r="G259" s="377"/>
      <c r="H259" s="377"/>
      <c r="I259" s="377"/>
      <c r="J259" s="377"/>
      <c r="K259" s="377"/>
      <c r="L259" s="377"/>
      <c r="M259" s="377"/>
      <c r="N259" s="377"/>
      <c r="O259" s="377"/>
      <c r="P259" s="377"/>
      <c r="Q259" s="377"/>
      <c r="R259" s="377"/>
      <c r="S259" s="377"/>
      <c r="T259" s="377"/>
      <c r="U259" s="377"/>
      <c r="V259" s="377"/>
      <c r="W259" s="377"/>
      <c r="X259" s="377"/>
      <c r="Y259" s="377"/>
      <c r="Z259" s="377"/>
    </row>
    <row r="260" ht="19.5" customHeight="1">
      <c r="A260" s="377"/>
      <c r="B260" s="377"/>
      <c r="C260" s="377"/>
      <c r="D260" s="377"/>
      <c r="E260" s="377"/>
      <c r="F260" s="377"/>
      <c r="G260" s="377"/>
      <c r="H260" s="377"/>
      <c r="I260" s="377"/>
      <c r="J260" s="377"/>
      <c r="K260" s="377"/>
      <c r="L260" s="377"/>
      <c r="M260" s="377"/>
      <c r="N260" s="377"/>
      <c r="O260" s="377"/>
      <c r="P260" s="377"/>
      <c r="Q260" s="377"/>
      <c r="R260" s="377"/>
      <c r="S260" s="377"/>
      <c r="T260" s="377"/>
      <c r="U260" s="377"/>
      <c r="V260" s="377"/>
      <c r="W260" s="377"/>
      <c r="X260" s="377"/>
      <c r="Y260" s="377"/>
      <c r="Z260" s="377"/>
    </row>
    <row r="261" ht="19.5" customHeight="1">
      <c r="A261" s="377"/>
      <c r="B261" s="377"/>
      <c r="C261" s="377"/>
      <c r="D261" s="377"/>
      <c r="E261" s="377"/>
      <c r="F261" s="377"/>
      <c r="G261" s="377"/>
      <c r="H261" s="377"/>
      <c r="I261" s="377"/>
      <c r="J261" s="377"/>
      <c r="K261" s="377"/>
      <c r="L261" s="377"/>
      <c r="M261" s="377"/>
      <c r="N261" s="377"/>
      <c r="O261" s="377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  <c r="Z261" s="377"/>
    </row>
    <row r="262" ht="19.5" customHeight="1">
      <c r="A262" s="377"/>
      <c r="B262" s="377"/>
      <c r="C262" s="377"/>
      <c r="D262" s="377"/>
      <c r="E262" s="377"/>
      <c r="F262" s="377"/>
      <c r="G262" s="377"/>
      <c r="H262" s="377"/>
      <c r="I262" s="377"/>
      <c r="J262" s="377"/>
      <c r="K262" s="377"/>
      <c r="L262" s="377"/>
      <c r="M262" s="377"/>
      <c r="N262" s="377"/>
      <c r="O262" s="377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  <c r="Z262" s="377"/>
    </row>
    <row r="263" ht="19.5" customHeight="1">
      <c r="A263" s="377"/>
      <c r="B263" s="377"/>
      <c r="C263" s="377"/>
      <c r="D263" s="377"/>
      <c r="E263" s="377"/>
      <c r="F263" s="377"/>
      <c r="G263" s="377"/>
      <c r="H263" s="377"/>
      <c r="I263" s="377"/>
      <c r="J263" s="377"/>
      <c r="K263" s="377"/>
      <c r="L263" s="377"/>
      <c r="M263" s="377"/>
      <c r="N263" s="377"/>
      <c r="O263" s="377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  <c r="Z263" s="377"/>
    </row>
    <row r="264" ht="19.5" customHeight="1">
      <c r="A264" s="377"/>
      <c r="B264" s="377"/>
      <c r="C264" s="377"/>
      <c r="D264" s="377"/>
      <c r="E264" s="377"/>
      <c r="F264" s="377"/>
      <c r="G264" s="377"/>
      <c r="H264" s="377"/>
      <c r="I264" s="377"/>
      <c r="J264" s="377"/>
      <c r="K264" s="377"/>
      <c r="L264" s="377"/>
      <c r="M264" s="377"/>
      <c r="N264" s="377"/>
      <c r="O264" s="377"/>
      <c r="P264" s="377"/>
      <c r="Q264" s="377"/>
      <c r="R264" s="377"/>
      <c r="S264" s="377"/>
      <c r="T264" s="377"/>
      <c r="U264" s="377"/>
      <c r="V264" s="377"/>
      <c r="W264" s="377"/>
      <c r="X264" s="377"/>
      <c r="Y264" s="377"/>
      <c r="Z264" s="377"/>
    </row>
    <row r="265" ht="19.5" customHeight="1">
      <c r="A265" s="377"/>
      <c r="B265" s="377"/>
      <c r="C265" s="377"/>
      <c r="D265" s="377"/>
      <c r="E265" s="377"/>
      <c r="F265" s="377"/>
      <c r="G265" s="377"/>
      <c r="H265" s="377"/>
      <c r="I265" s="377"/>
      <c r="J265" s="377"/>
      <c r="K265" s="377"/>
      <c r="L265" s="377"/>
      <c r="M265" s="377"/>
      <c r="N265" s="377"/>
      <c r="O265" s="377"/>
      <c r="P265" s="377"/>
      <c r="Q265" s="377"/>
      <c r="R265" s="377"/>
      <c r="S265" s="377"/>
      <c r="T265" s="377"/>
      <c r="U265" s="377"/>
      <c r="V265" s="377"/>
      <c r="W265" s="377"/>
      <c r="X265" s="377"/>
      <c r="Y265" s="377"/>
      <c r="Z265" s="377"/>
    </row>
    <row r="266" ht="19.5" customHeight="1">
      <c r="A266" s="377"/>
      <c r="B266" s="377"/>
      <c r="C266" s="377"/>
      <c r="D266" s="377"/>
      <c r="E266" s="377"/>
      <c r="F266" s="377"/>
      <c r="G266" s="377"/>
      <c r="H266" s="377"/>
      <c r="I266" s="377"/>
      <c r="J266" s="377"/>
      <c r="K266" s="377"/>
      <c r="L266" s="377"/>
      <c r="M266" s="377"/>
      <c r="N266" s="377"/>
      <c r="O266" s="377"/>
      <c r="P266" s="377"/>
      <c r="Q266" s="377"/>
      <c r="R266" s="377"/>
      <c r="S266" s="377"/>
      <c r="T266" s="377"/>
      <c r="U266" s="377"/>
      <c r="V266" s="377"/>
      <c r="W266" s="377"/>
      <c r="X266" s="377"/>
      <c r="Y266" s="377"/>
      <c r="Z266" s="377"/>
    </row>
    <row r="267" ht="19.5" customHeight="1">
      <c r="A267" s="377"/>
      <c r="B267" s="377"/>
      <c r="C267" s="377"/>
      <c r="D267" s="377"/>
      <c r="E267" s="377"/>
      <c r="F267" s="377"/>
      <c r="G267" s="377"/>
      <c r="H267" s="377"/>
      <c r="I267" s="377"/>
      <c r="J267" s="377"/>
      <c r="K267" s="377"/>
      <c r="L267" s="377"/>
      <c r="M267" s="377"/>
      <c r="N267" s="377"/>
      <c r="O267" s="377"/>
      <c r="P267" s="377"/>
      <c r="Q267" s="377"/>
      <c r="R267" s="377"/>
      <c r="S267" s="377"/>
      <c r="T267" s="377"/>
      <c r="U267" s="377"/>
      <c r="V267" s="377"/>
      <c r="W267" s="377"/>
      <c r="X267" s="377"/>
      <c r="Y267" s="377"/>
      <c r="Z267" s="377"/>
    </row>
    <row r="268" ht="19.5" customHeight="1">
      <c r="A268" s="377"/>
      <c r="B268" s="377"/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7"/>
      <c r="N268" s="377"/>
      <c r="O268" s="377"/>
      <c r="P268" s="377"/>
      <c r="Q268" s="377"/>
      <c r="R268" s="377"/>
      <c r="S268" s="377"/>
      <c r="T268" s="377"/>
      <c r="U268" s="377"/>
      <c r="V268" s="377"/>
      <c r="W268" s="377"/>
      <c r="X268" s="377"/>
      <c r="Y268" s="377"/>
      <c r="Z268" s="377"/>
    </row>
    <row r="269" ht="19.5" customHeight="1">
      <c r="A269" s="377"/>
      <c r="B269" s="377"/>
      <c r="C269" s="377"/>
      <c r="D269" s="377"/>
      <c r="E269" s="377"/>
      <c r="F269" s="377"/>
      <c r="G269" s="377"/>
      <c r="H269" s="377"/>
      <c r="I269" s="377"/>
      <c r="J269" s="377"/>
      <c r="K269" s="377"/>
      <c r="L269" s="377"/>
      <c r="M269" s="377"/>
      <c r="N269" s="377"/>
      <c r="O269" s="377"/>
      <c r="P269" s="377"/>
      <c r="Q269" s="377"/>
      <c r="R269" s="377"/>
      <c r="S269" s="377"/>
      <c r="T269" s="377"/>
      <c r="U269" s="377"/>
      <c r="V269" s="377"/>
      <c r="W269" s="377"/>
      <c r="X269" s="377"/>
      <c r="Y269" s="377"/>
      <c r="Z269" s="377"/>
    </row>
    <row r="270" ht="19.5" customHeight="1">
      <c r="A270" s="377"/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7"/>
      <c r="P270" s="377"/>
      <c r="Q270" s="377"/>
      <c r="R270" s="377"/>
      <c r="S270" s="377"/>
      <c r="T270" s="377"/>
      <c r="U270" s="377"/>
      <c r="V270" s="377"/>
      <c r="W270" s="377"/>
      <c r="X270" s="377"/>
      <c r="Y270" s="377"/>
      <c r="Z270" s="377"/>
    </row>
    <row r="271" ht="19.5" customHeight="1">
      <c r="A271" s="377"/>
      <c r="B271" s="377"/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7"/>
      <c r="N271" s="377"/>
      <c r="O271" s="377"/>
      <c r="P271" s="377"/>
      <c r="Q271" s="377"/>
      <c r="R271" s="377"/>
      <c r="S271" s="377"/>
      <c r="T271" s="377"/>
      <c r="U271" s="377"/>
      <c r="V271" s="377"/>
      <c r="W271" s="377"/>
      <c r="X271" s="377"/>
      <c r="Y271" s="377"/>
      <c r="Z271" s="377"/>
    </row>
    <row r="272" ht="19.5" customHeight="1">
      <c r="A272" s="377"/>
      <c r="B272" s="377"/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7"/>
      <c r="N272" s="377"/>
      <c r="O272" s="377"/>
      <c r="P272" s="377"/>
      <c r="Q272" s="377"/>
      <c r="R272" s="377"/>
      <c r="S272" s="377"/>
      <c r="T272" s="377"/>
      <c r="U272" s="377"/>
      <c r="V272" s="377"/>
      <c r="W272" s="377"/>
      <c r="X272" s="377"/>
      <c r="Y272" s="377"/>
      <c r="Z272" s="377"/>
    </row>
    <row r="273" ht="19.5" customHeight="1">
      <c r="A273" s="377"/>
      <c r="B273" s="377"/>
      <c r="C273" s="377"/>
      <c r="D273" s="377"/>
      <c r="E273" s="377"/>
      <c r="F273" s="377"/>
      <c r="G273" s="377"/>
      <c r="H273" s="377"/>
      <c r="I273" s="377"/>
      <c r="J273" s="377"/>
      <c r="K273" s="377"/>
      <c r="L273" s="377"/>
      <c r="M273" s="377"/>
      <c r="N273" s="377"/>
      <c r="O273" s="377"/>
      <c r="P273" s="377"/>
      <c r="Q273" s="377"/>
      <c r="R273" s="377"/>
      <c r="S273" s="377"/>
      <c r="T273" s="377"/>
      <c r="U273" s="377"/>
      <c r="V273" s="377"/>
      <c r="W273" s="377"/>
      <c r="X273" s="377"/>
      <c r="Y273" s="377"/>
      <c r="Z273" s="377"/>
    </row>
    <row r="274" ht="19.5" customHeight="1">
      <c r="A274" s="377"/>
      <c r="B274" s="377"/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7"/>
      <c r="N274" s="377"/>
      <c r="O274" s="377"/>
      <c r="P274" s="377"/>
      <c r="Q274" s="377"/>
      <c r="R274" s="377"/>
      <c r="S274" s="377"/>
      <c r="T274" s="377"/>
      <c r="U274" s="377"/>
      <c r="V274" s="377"/>
      <c r="W274" s="377"/>
      <c r="X274" s="377"/>
      <c r="Y274" s="377"/>
      <c r="Z274" s="377"/>
    </row>
    <row r="275" ht="19.5" customHeight="1">
      <c r="A275" s="377"/>
      <c r="B275" s="377"/>
      <c r="C275" s="377"/>
      <c r="D275" s="377"/>
      <c r="E275" s="377"/>
      <c r="F275" s="377"/>
      <c r="G275" s="377"/>
      <c r="H275" s="377"/>
      <c r="I275" s="377"/>
      <c r="J275" s="377"/>
      <c r="K275" s="377"/>
      <c r="L275" s="377"/>
      <c r="M275" s="377"/>
      <c r="N275" s="377"/>
      <c r="O275" s="377"/>
      <c r="P275" s="377"/>
      <c r="Q275" s="377"/>
      <c r="R275" s="377"/>
      <c r="S275" s="377"/>
      <c r="T275" s="377"/>
      <c r="U275" s="377"/>
      <c r="V275" s="377"/>
      <c r="W275" s="377"/>
      <c r="X275" s="377"/>
      <c r="Y275" s="377"/>
      <c r="Z275" s="377"/>
    </row>
    <row r="276" ht="19.5" customHeight="1">
      <c r="A276" s="377"/>
      <c r="B276" s="377"/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7"/>
      <c r="N276" s="377"/>
      <c r="O276" s="377"/>
      <c r="P276" s="377"/>
      <c r="Q276" s="377"/>
      <c r="R276" s="377"/>
      <c r="S276" s="377"/>
      <c r="T276" s="377"/>
      <c r="U276" s="377"/>
      <c r="V276" s="377"/>
      <c r="W276" s="377"/>
      <c r="X276" s="377"/>
      <c r="Y276" s="377"/>
      <c r="Z276" s="377"/>
    </row>
    <row r="277" ht="19.5" customHeight="1">
      <c r="A277" s="377"/>
      <c r="B277" s="377"/>
      <c r="C277" s="377"/>
      <c r="D277" s="377"/>
      <c r="E277" s="377"/>
      <c r="F277" s="377"/>
      <c r="G277" s="377"/>
      <c r="H277" s="377"/>
      <c r="I277" s="377"/>
      <c r="J277" s="377"/>
      <c r="K277" s="377"/>
      <c r="L277" s="377"/>
      <c r="M277" s="377"/>
      <c r="N277" s="377"/>
      <c r="O277" s="377"/>
      <c r="P277" s="377"/>
      <c r="Q277" s="377"/>
      <c r="R277" s="377"/>
      <c r="S277" s="377"/>
      <c r="T277" s="377"/>
      <c r="U277" s="377"/>
      <c r="V277" s="377"/>
      <c r="W277" s="377"/>
      <c r="X277" s="377"/>
      <c r="Y277" s="377"/>
      <c r="Z277" s="377"/>
    </row>
    <row r="278" ht="19.5" customHeight="1">
      <c r="A278" s="377"/>
      <c r="B278" s="377"/>
      <c r="C278" s="377"/>
      <c r="D278" s="377"/>
      <c r="E278" s="377"/>
      <c r="F278" s="377"/>
      <c r="G278" s="377"/>
      <c r="H278" s="377"/>
      <c r="I278" s="377"/>
      <c r="J278" s="377"/>
      <c r="K278" s="377"/>
      <c r="L278" s="377"/>
      <c r="M278" s="377"/>
      <c r="N278" s="377"/>
      <c r="O278" s="377"/>
      <c r="P278" s="377"/>
      <c r="Q278" s="377"/>
      <c r="R278" s="377"/>
      <c r="S278" s="377"/>
      <c r="T278" s="377"/>
      <c r="U278" s="377"/>
      <c r="V278" s="377"/>
      <c r="W278" s="377"/>
      <c r="X278" s="377"/>
      <c r="Y278" s="377"/>
      <c r="Z278" s="377"/>
    </row>
    <row r="279" ht="19.5" customHeight="1">
      <c r="A279" s="377"/>
      <c r="B279" s="377"/>
      <c r="C279" s="377"/>
      <c r="D279" s="377"/>
      <c r="E279" s="377"/>
      <c r="F279" s="377"/>
      <c r="G279" s="377"/>
      <c r="H279" s="377"/>
      <c r="I279" s="377"/>
      <c r="J279" s="377"/>
      <c r="K279" s="377"/>
      <c r="L279" s="377"/>
      <c r="M279" s="377"/>
      <c r="N279" s="377"/>
      <c r="O279" s="377"/>
      <c r="P279" s="377"/>
      <c r="Q279" s="377"/>
      <c r="R279" s="377"/>
      <c r="S279" s="377"/>
      <c r="T279" s="377"/>
      <c r="U279" s="377"/>
      <c r="V279" s="377"/>
      <c r="W279" s="377"/>
      <c r="X279" s="377"/>
      <c r="Y279" s="377"/>
      <c r="Z279" s="377"/>
    </row>
    <row r="280" ht="19.5" customHeight="1">
      <c r="A280" s="377"/>
      <c r="B280" s="377"/>
      <c r="C280" s="377"/>
      <c r="D280" s="377"/>
      <c r="E280" s="377"/>
      <c r="F280" s="377"/>
      <c r="G280" s="377"/>
      <c r="H280" s="377"/>
      <c r="I280" s="377"/>
      <c r="J280" s="377"/>
      <c r="K280" s="377"/>
      <c r="L280" s="377"/>
      <c r="M280" s="377"/>
      <c r="N280" s="377"/>
      <c r="O280" s="377"/>
      <c r="P280" s="377"/>
      <c r="Q280" s="377"/>
      <c r="R280" s="377"/>
      <c r="S280" s="377"/>
      <c r="T280" s="377"/>
      <c r="U280" s="377"/>
      <c r="V280" s="377"/>
      <c r="W280" s="377"/>
      <c r="X280" s="377"/>
      <c r="Y280" s="377"/>
      <c r="Z280" s="377"/>
    </row>
    <row r="281" ht="19.5" customHeight="1">
      <c r="A281" s="377"/>
      <c r="B281" s="377"/>
      <c r="C281" s="377"/>
      <c r="D281" s="377"/>
      <c r="E281" s="377"/>
      <c r="F281" s="377"/>
      <c r="G281" s="377"/>
      <c r="H281" s="377"/>
      <c r="I281" s="377"/>
      <c r="J281" s="377"/>
      <c r="K281" s="377"/>
      <c r="L281" s="377"/>
      <c r="M281" s="377"/>
      <c r="N281" s="377"/>
      <c r="O281" s="377"/>
      <c r="P281" s="377"/>
      <c r="Q281" s="377"/>
      <c r="R281" s="377"/>
      <c r="S281" s="377"/>
      <c r="T281" s="377"/>
      <c r="U281" s="377"/>
      <c r="V281" s="377"/>
      <c r="W281" s="377"/>
      <c r="X281" s="377"/>
      <c r="Y281" s="377"/>
      <c r="Z281" s="377"/>
    </row>
    <row r="282" ht="19.5" customHeight="1">
      <c r="A282" s="377"/>
      <c r="B282" s="377"/>
      <c r="C282" s="377"/>
      <c r="D282" s="377"/>
      <c r="E282" s="377"/>
      <c r="F282" s="377"/>
      <c r="G282" s="377"/>
      <c r="H282" s="377"/>
      <c r="I282" s="377"/>
      <c r="J282" s="377"/>
      <c r="K282" s="377"/>
      <c r="L282" s="377"/>
      <c r="M282" s="377"/>
      <c r="N282" s="377"/>
      <c r="O282" s="377"/>
      <c r="P282" s="377"/>
      <c r="Q282" s="377"/>
      <c r="R282" s="377"/>
      <c r="S282" s="377"/>
      <c r="T282" s="377"/>
      <c r="U282" s="377"/>
      <c r="V282" s="377"/>
      <c r="W282" s="377"/>
      <c r="X282" s="377"/>
      <c r="Y282" s="377"/>
      <c r="Z282" s="377"/>
    </row>
    <row r="283" ht="19.5" customHeight="1">
      <c r="A283" s="377"/>
      <c r="B283" s="377"/>
      <c r="C283" s="377"/>
      <c r="D283" s="377"/>
      <c r="E283" s="377"/>
      <c r="F283" s="377"/>
      <c r="G283" s="377"/>
      <c r="H283" s="377"/>
      <c r="I283" s="377"/>
      <c r="J283" s="377"/>
      <c r="K283" s="377"/>
      <c r="L283" s="377"/>
      <c r="M283" s="377"/>
      <c r="N283" s="377"/>
      <c r="O283" s="377"/>
      <c r="P283" s="377"/>
      <c r="Q283" s="377"/>
      <c r="R283" s="377"/>
      <c r="S283" s="377"/>
      <c r="T283" s="377"/>
      <c r="U283" s="377"/>
      <c r="V283" s="377"/>
      <c r="W283" s="377"/>
      <c r="X283" s="377"/>
      <c r="Y283" s="377"/>
      <c r="Z283" s="377"/>
    </row>
    <row r="284" ht="19.5" customHeight="1">
      <c r="A284" s="377"/>
      <c r="B284" s="377"/>
      <c r="C284" s="377"/>
      <c r="D284" s="377"/>
      <c r="E284" s="377"/>
      <c r="F284" s="377"/>
      <c r="G284" s="377"/>
      <c r="H284" s="377"/>
      <c r="I284" s="377"/>
      <c r="J284" s="377"/>
      <c r="K284" s="377"/>
      <c r="L284" s="377"/>
      <c r="M284" s="377"/>
      <c r="N284" s="377"/>
      <c r="O284" s="377"/>
      <c r="P284" s="377"/>
      <c r="Q284" s="377"/>
      <c r="R284" s="377"/>
      <c r="S284" s="377"/>
      <c r="T284" s="377"/>
      <c r="U284" s="377"/>
      <c r="V284" s="377"/>
      <c r="W284" s="377"/>
      <c r="X284" s="377"/>
      <c r="Y284" s="377"/>
      <c r="Z284" s="377"/>
    </row>
    <row r="285" ht="19.5" customHeight="1">
      <c r="A285" s="377"/>
      <c r="B285" s="377"/>
      <c r="C285" s="377"/>
      <c r="D285" s="377"/>
      <c r="E285" s="377"/>
      <c r="F285" s="377"/>
      <c r="G285" s="377"/>
      <c r="H285" s="377"/>
      <c r="I285" s="377"/>
      <c r="J285" s="377"/>
      <c r="K285" s="377"/>
      <c r="L285" s="377"/>
      <c r="M285" s="377"/>
      <c r="N285" s="377"/>
      <c r="O285" s="377"/>
      <c r="P285" s="377"/>
      <c r="Q285" s="377"/>
      <c r="R285" s="377"/>
      <c r="S285" s="377"/>
      <c r="T285" s="377"/>
      <c r="U285" s="377"/>
      <c r="V285" s="377"/>
      <c r="W285" s="377"/>
      <c r="X285" s="377"/>
      <c r="Y285" s="377"/>
      <c r="Z285" s="377"/>
    </row>
    <row r="286" ht="19.5" customHeight="1">
      <c r="A286" s="377"/>
      <c r="B286" s="377"/>
      <c r="C286" s="377"/>
      <c r="D286" s="377"/>
      <c r="E286" s="377"/>
      <c r="F286" s="377"/>
      <c r="G286" s="377"/>
      <c r="H286" s="377"/>
      <c r="I286" s="377"/>
      <c r="J286" s="377"/>
      <c r="K286" s="377"/>
      <c r="L286" s="377"/>
      <c r="M286" s="377"/>
      <c r="N286" s="377"/>
      <c r="O286" s="377"/>
      <c r="P286" s="377"/>
      <c r="Q286" s="377"/>
      <c r="R286" s="377"/>
      <c r="S286" s="377"/>
      <c r="T286" s="377"/>
      <c r="U286" s="377"/>
      <c r="V286" s="377"/>
      <c r="W286" s="377"/>
      <c r="X286" s="377"/>
      <c r="Y286" s="377"/>
      <c r="Z286" s="377"/>
    </row>
    <row r="287" ht="19.5" customHeight="1">
      <c r="A287" s="377"/>
      <c r="B287" s="377"/>
      <c r="C287" s="377"/>
      <c r="D287" s="377"/>
      <c r="E287" s="377"/>
      <c r="F287" s="377"/>
      <c r="G287" s="377"/>
      <c r="H287" s="377"/>
      <c r="I287" s="377"/>
      <c r="J287" s="377"/>
      <c r="K287" s="377"/>
      <c r="L287" s="377"/>
      <c r="M287" s="377"/>
      <c r="N287" s="377"/>
      <c r="O287" s="377"/>
      <c r="P287" s="377"/>
      <c r="Q287" s="377"/>
      <c r="R287" s="377"/>
      <c r="S287" s="377"/>
      <c r="T287" s="377"/>
      <c r="U287" s="377"/>
      <c r="V287" s="377"/>
      <c r="W287" s="377"/>
      <c r="X287" s="377"/>
      <c r="Y287" s="377"/>
      <c r="Z287" s="377"/>
    </row>
    <row r="288" ht="19.5" customHeight="1">
      <c r="A288" s="377"/>
      <c r="B288" s="377"/>
      <c r="C288" s="377"/>
      <c r="D288" s="377"/>
      <c r="E288" s="377"/>
      <c r="F288" s="377"/>
      <c r="G288" s="377"/>
      <c r="H288" s="377"/>
      <c r="I288" s="377"/>
      <c r="J288" s="377"/>
      <c r="K288" s="377"/>
      <c r="L288" s="377"/>
      <c r="M288" s="377"/>
      <c r="N288" s="377"/>
      <c r="O288" s="377"/>
      <c r="P288" s="377"/>
      <c r="Q288" s="377"/>
      <c r="R288" s="377"/>
      <c r="S288" s="377"/>
      <c r="T288" s="377"/>
      <c r="U288" s="377"/>
      <c r="V288" s="377"/>
      <c r="W288" s="377"/>
      <c r="X288" s="377"/>
      <c r="Y288" s="377"/>
      <c r="Z288" s="377"/>
    </row>
    <row r="289" ht="19.5" customHeight="1">
      <c r="A289" s="377"/>
      <c r="B289" s="377"/>
      <c r="C289" s="377"/>
      <c r="D289" s="377"/>
      <c r="E289" s="377"/>
      <c r="F289" s="377"/>
      <c r="G289" s="377"/>
      <c r="H289" s="377"/>
      <c r="I289" s="377"/>
      <c r="J289" s="377"/>
      <c r="K289" s="377"/>
      <c r="L289" s="377"/>
      <c r="M289" s="377"/>
      <c r="N289" s="377"/>
      <c r="O289" s="377"/>
      <c r="P289" s="377"/>
      <c r="Q289" s="377"/>
      <c r="R289" s="377"/>
      <c r="S289" s="377"/>
      <c r="T289" s="377"/>
      <c r="U289" s="377"/>
      <c r="V289" s="377"/>
      <c r="W289" s="377"/>
      <c r="X289" s="377"/>
      <c r="Y289" s="377"/>
      <c r="Z289" s="377"/>
    </row>
    <row r="290" ht="19.5" customHeight="1">
      <c r="A290" s="377"/>
      <c r="B290" s="377"/>
      <c r="C290" s="377"/>
      <c r="D290" s="377"/>
      <c r="E290" s="377"/>
      <c r="F290" s="377"/>
      <c r="G290" s="377"/>
      <c r="H290" s="377"/>
      <c r="I290" s="377"/>
      <c r="J290" s="377"/>
      <c r="K290" s="377"/>
      <c r="L290" s="377"/>
      <c r="M290" s="377"/>
      <c r="N290" s="377"/>
      <c r="O290" s="377"/>
      <c r="P290" s="377"/>
      <c r="Q290" s="377"/>
      <c r="R290" s="377"/>
      <c r="S290" s="377"/>
      <c r="T290" s="377"/>
      <c r="U290" s="377"/>
      <c r="V290" s="377"/>
      <c r="W290" s="377"/>
      <c r="X290" s="377"/>
      <c r="Y290" s="377"/>
      <c r="Z290" s="377"/>
    </row>
    <row r="291" ht="19.5" customHeight="1">
      <c r="A291" s="377"/>
      <c r="B291" s="377"/>
      <c r="C291" s="377"/>
      <c r="D291" s="377"/>
      <c r="E291" s="377"/>
      <c r="F291" s="377"/>
      <c r="G291" s="377"/>
      <c r="H291" s="377"/>
      <c r="I291" s="377"/>
      <c r="J291" s="377"/>
      <c r="K291" s="377"/>
      <c r="L291" s="377"/>
      <c r="M291" s="377"/>
      <c r="N291" s="377"/>
      <c r="O291" s="377"/>
      <c r="P291" s="377"/>
      <c r="Q291" s="377"/>
      <c r="R291" s="377"/>
      <c r="S291" s="377"/>
      <c r="T291" s="377"/>
      <c r="U291" s="377"/>
      <c r="V291" s="377"/>
      <c r="W291" s="377"/>
      <c r="X291" s="377"/>
      <c r="Y291" s="377"/>
      <c r="Z291" s="377"/>
    </row>
    <row r="292" ht="19.5" customHeight="1">
      <c r="A292" s="377"/>
      <c r="B292" s="377"/>
      <c r="C292" s="377"/>
      <c r="D292" s="377"/>
      <c r="E292" s="377"/>
      <c r="F292" s="377"/>
      <c r="G292" s="377"/>
      <c r="H292" s="377"/>
      <c r="I292" s="377"/>
      <c r="J292" s="377"/>
      <c r="K292" s="377"/>
      <c r="L292" s="377"/>
      <c r="M292" s="377"/>
      <c r="N292" s="377"/>
      <c r="O292" s="377"/>
      <c r="P292" s="377"/>
      <c r="Q292" s="377"/>
      <c r="R292" s="377"/>
      <c r="S292" s="377"/>
      <c r="T292" s="377"/>
      <c r="U292" s="377"/>
      <c r="V292" s="377"/>
      <c r="W292" s="377"/>
      <c r="X292" s="377"/>
      <c r="Y292" s="377"/>
      <c r="Z292" s="377"/>
    </row>
    <row r="293" ht="19.5" customHeight="1">
      <c r="A293" s="377"/>
      <c r="B293" s="377"/>
      <c r="C293" s="377"/>
      <c r="D293" s="377"/>
      <c r="E293" s="377"/>
      <c r="F293" s="377"/>
      <c r="G293" s="377"/>
      <c r="H293" s="377"/>
      <c r="I293" s="377"/>
      <c r="J293" s="377"/>
      <c r="K293" s="377"/>
      <c r="L293" s="377"/>
      <c r="M293" s="377"/>
      <c r="N293" s="377"/>
      <c r="O293" s="377"/>
      <c r="P293" s="377"/>
      <c r="Q293" s="377"/>
      <c r="R293" s="377"/>
      <c r="S293" s="377"/>
      <c r="T293" s="377"/>
      <c r="U293" s="377"/>
      <c r="V293" s="377"/>
      <c r="W293" s="377"/>
      <c r="X293" s="377"/>
      <c r="Y293" s="377"/>
      <c r="Z293" s="377"/>
    </row>
    <row r="294" ht="19.5" customHeight="1">
      <c r="A294" s="377"/>
      <c r="B294" s="377"/>
      <c r="C294" s="377"/>
      <c r="D294" s="377"/>
      <c r="E294" s="377"/>
      <c r="F294" s="377"/>
      <c r="G294" s="377"/>
      <c r="H294" s="377"/>
      <c r="I294" s="377"/>
      <c r="J294" s="377"/>
      <c r="K294" s="377"/>
      <c r="L294" s="377"/>
      <c r="M294" s="377"/>
      <c r="N294" s="377"/>
      <c r="O294" s="377"/>
      <c r="P294" s="377"/>
      <c r="Q294" s="377"/>
      <c r="R294" s="377"/>
      <c r="S294" s="377"/>
      <c r="T294" s="377"/>
      <c r="U294" s="377"/>
      <c r="V294" s="377"/>
      <c r="W294" s="377"/>
      <c r="X294" s="377"/>
      <c r="Y294" s="377"/>
      <c r="Z294" s="377"/>
    </row>
    <row r="295" ht="19.5" customHeight="1">
      <c r="A295" s="377"/>
      <c r="B295" s="377"/>
      <c r="C295" s="377"/>
      <c r="D295" s="377"/>
      <c r="E295" s="377"/>
      <c r="F295" s="377"/>
      <c r="G295" s="377"/>
      <c r="H295" s="377"/>
      <c r="I295" s="377"/>
      <c r="J295" s="377"/>
      <c r="K295" s="377"/>
      <c r="L295" s="377"/>
      <c r="M295" s="377"/>
      <c r="N295" s="377"/>
      <c r="O295" s="377"/>
      <c r="P295" s="377"/>
      <c r="Q295" s="377"/>
      <c r="R295" s="377"/>
      <c r="S295" s="377"/>
      <c r="T295" s="377"/>
      <c r="U295" s="377"/>
      <c r="V295" s="377"/>
      <c r="W295" s="377"/>
      <c r="X295" s="377"/>
      <c r="Y295" s="377"/>
      <c r="Z295" s="377"/>
    </row>
    <row r="296" ht="19.5" customHeight="1">
      <c r="A296" s="377"/>
      <c r="B296" s="377"/>
      <c r="C296" s="377"/>
      <c r="D296" s="377"/>
      <c r="E296" s="377"/>
      <c r="F296" s="377"/>
      <c r="G296" s="377"/>
      <c r="H296" s="377"/>
      <c r="I296" s="377"/>
      <c r="J296" s="377"/>
      <c r="K296" s="377"/>
      <c r="L296" s="377"/>
      <c r="M296" s="377"/>
      <c r="N296" s="377"/>
      <c r="O296" s="377"/>
      <c r="P296" s="377"/>
      <c r="Q296" s="377"/>
      <c r="R296" s="377"/>
      <c r="S296" s="377"/>
      <c r="T296" s="377"/>
      <c r="U296" s="377"/>
      <c r="V296" s="377"/>
      <c r="W296" s="377"/>
      <c r="X296" s="377"/>
      <c r="Y296" s="377"/>
      <c r="Z296" s="377"/>
    </row>
    <row r="297" ht="19.5" customHeight="1">
      <c r="A297" s="377"/>
      <c r="B297" s="377"/>
      <c r="C297" s="377"/>
      <c r="D297" s="377"/>
      <c r="E297" s="377"/>
      <c r="F297" s="377"/>
      <c r="G297" s="377"/>
      <c r="H297" s="377"/>
      <c r="I297" s="377"/>
      <c r="J297" s="377"/>
      <c r="K297" s="377"/>
      <c r="L297" s="377"/>
      <c r="M297" s="377"/>
      <c r="N297" s="377"/>
      <c r="O297" s="377"/>
      <c r="P297" s="377"/>
      <c r="Q297" s="377"/>
      <c r="R297" s="377"/>
      <c r="S297" s="377"/>
      <c r="T297" s="377"/>
      <c r="U297" s="377"/>
      <c r="V297" s="377"/>
      <c r="W297" s="377"/>
      <c r="X297" s="377"/>
      <c r="Y297" s="377"/>
      <c r="Z297" s="377"/>
    </row>
    <row r="298" ht="19.5" customHeight="1">
      <c r="A298" s="377"/>
      <c r="B298" s="377"/>
      <c r="C298" s="377"/>
      <c r="D298" s="377"/>
      <c r="E298" s="377"/>
      <c r="F298" s="377"/>
      <c r="G298" s="377"/>
      <c r="H298" s="377"/>
      <c r="I298" s="377"/>
      <c r="J298" s="377"/>
      <c r="K298" s="377"/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7"/>
      <c r="W298" s="377"/>
      <c r="X298" s="377"/>
      <c r="Y298" s="377"/>
      <c r="Z298" s="377"/>
    </row>
    <row r="299" ht="19.5" customHeight="1">
      <c r="A299" s="377"/>
      <c r="B299" s="377"/>
      <c r="C299" s="377"/>
      <c r="D299" s="377"/>
      <c r="E299" s="377"/>
      <c r="F299" s="377"/>
      <c r="G299" s="377"/>
      <c r="H299" s="377"/>
      <c r="I299" s="377"/>
      <c r="J299" s="377"/>
      <c r="K299" s="377"/>
      <c r="L299" s="377"/>
      <c r="M299" s="377"/>
      <c r="N299" s="377"/>
      <c r="O299" s="377"/>
      <c r="P299" s="377"/>
      <c r="Q299" s="377"/>
      <c r="R299" s="377"/>
      <c r="S299" s="377"/>
      <c r="T299" s="377"/>
      <c r="U299" s="377"/>
      <c r="V299" s="377"/>
      <c r="W299" s="377"/>
      <c r="X299" s="377"/>
      <c r="Y299" s="377"/>
      <c r="Z299" s="377"/>
    </row>
    <row r="300" ht="19.5" customHeight="1">
      <c r="A300" s="377"/>
      <c r="B300" s="377"/>
      <c r="C300" s="377"/>
      <c r="D300" s="377"/>
      <c r="E300" s="377"/>
      <c r="F300" s="377"/>
      <c r="G300" s="377"/>
      <c r="H300" s="377"/>
      <c r="I300" s="377"/>
      <c r="J300" s="377"/>
      <c r="K300" s="377"/>
      <c r="L300" s="377"/>
      <c r="M300" s="377"/>
      <c r="N300" s="377"/>
      <c r="O300" s="377"/>
      <c r="P300" s="377"/>
      <c r="Q300" s="377"/>
      <c r="R300" s="377"/>
      <c r="S300" s="377"/>
      <c r="T300" s="377"/>
      <c r="U300" s="377"/>
      <c r="V300" s="377"/>
      <c r="W300" s="377"/>
      <c r="X300" s="377"/>
      <c r="Y300" s="377"/>
      <c r="Z300" s="377"/>
    </row>
    <row r="301" ht="19.5" customHeight="1">
      <c r="A301" s="377"/>
      <c r="B301" s="377"/>
      <c r="C301" s="377"/>
      <c r="D301" s="377"/>
      <c r="E301" s="377"/>
      <c r="F301" s="377"/>
      <c r="G301" s="377"/>
      <c r="H301" s="377"/>
      <c r="I301" s="377"/>
      <c r="J301" s="377"/>
      <c r="K301" s="377"/>
      <c r="L301" s="377"/>
      <c r="M301" s="377"/>
      <c r="N301" s="377"/>
      <c r="O301" s="377"/>
      <c r="P301" s="377"/>
      <c r="Q301" s="377"/>
      <c r="R301" s="377"/>
      <c r="S301" s="377"/>
      <c r="T301" s="377"/>
      <c r="U301" s="377"/>
      <c r="V301" s="377"/>
      <c r="W301" s="377"/>
      <c r="X301" s="377"/>
      <c r="Y301" s="377"/>
      <c r="Z301" s="377"/>
    </row>
    <row r="302" ht="19.5" customHeight="1">
      <c r="A302" s="377"/>
      <c r="B302" s="377"/>
      <c r="C302" s="377"/>
      <c r="D302" s="377"/>
      <c r="E302" s="377"/>
      <c r="F302" s="377"/>
      <c r="G302" s="377"/>
      <c r="H302" s="377"/>
      <c r="I302" s="377"/>
      <c r="J302" s="377"/>
      <c r="K302" s="377"/>
      <c r="L302" s="377"/>
      <c r="M302" s="377"/>
      <c r="N302" s="377"/>
      <c r="O302" s="377"/>
      <c r="P302" s="377"/>
      <c r="Q302" s="377"/>
      <c r="R302" s="377"/>
      <c r="S302" s="377"/>
      <c r="T302" s="377"/>
      <c r="U302" s="377"/>
      <c r="V302" s="377"/>
      <c r="W302" s="377"/>
      <c r="X302" s="377"/>
      <c r="Y302" s="377"/>
      <c r="Z302" s="377"/>
    </row>
    <row r="303" ht="19.5" customHeight="1">
      <c r="A303" s="377"/>
      <c r="B303" s="377"/>
      <c r="C303" s="377"/>
      <c r="D303" s="377"/>
      <c r="E303" s="377"/>
      <c r="F303" s="377"/>
      <c r="G303" s="377"/>
      <c r="H303" s="377"/>
      <c r="I303" s="377"/>
      <c r="J303" s="377"/>
      <c r="K303" s="377"/>
      <c r="L303" s="377"/>
      <c r="M303" s="377"/>
      <c r="N303" s="377"/>
      <c r="O303" s="377"/>
      <c r="P303" s="377"/>
      <c r="Q303" s="377"/>
      <c r="R303" s="377"/>
      <c r="S303" s="377"/>
      <c r="T303" s="377"/>
      <c r="U303" s="377"/>
      <c r="V303" s="377"/>
      <c r="W303" s="377"/>
      <c r="X303" s="377"/>
      <c r="Y303" s="377"/>
      <c r="Z303" s="377"/>
    </row>
    <row r="304" ht="19.5" customHeight="1">
      <c r="A304" s="377"/>
      <c r="B304" s="377"/>
      <c r="C304" s="377"/>
      <c r="D304" s="377"/>
      <c r="E304" s="377"/>
      <c r="F304" s="377"/>
      <c r="G304" s="377"/>
      <c r="H304" s="377"/>
      <c r="I304" s="377"/>
      <c r="J304" s="377"/>
      <c r="K304" s="377"/>
      <c r="L304" s="377"/>
      <c r="M304" s="377"/>
      <c r="N304" s="377"/>
      <c r="O304" s="377"/>
      <c r="P304" s="377"/>
      <c r="Q304" s="377"/>
      <c r="R304" s="377"/>
      <c r="S304" s="377"/>
      <c r="T304" s="377"/>
      <c r="U304" s="377"/>
      <c r="V304" s="377"/>
      <c r="W304" s="377"/>
      <c r="X304" s="377"/>
      <c r="Y304" s="377"/>
      <c r="Z304" s="377"/>
    </row>
    <row r="305" ht="19.5" customHeight="1">
      <c r="A305" s="377"/>
      <c r="B305" s="377"/>
      <c r="C305" s="377"/>
      <c r="D305" s="377"/>
      <c r="E305" s="377"/>
      <c r="F305" s="377"/>
      <c r="G305" s="377"/>
      <c r="H305" s="377"/>
      <c r="I305" s="377"/>
      <c r="J305" s="377"/>
      <c r="K305" s="377"/>
      <c r="L305" s="377"/>
      <c r="M305" s="377"/>
      <c r="N305" s="377"/>
      <c r="O305" s="377"/>
      <c r="P305" s="377"/>
      <c r="Q305" s="377"/>
      <c r="R305" s="377"/>
      <c r="S305" s="377"/>
      <c r="T305" s="377"/>
      <c r="U305" s="377"/>
      <c r="V305" s="377"/>
      <c r="W305" s="377"/>
      <c r="X305" s="377"/>
      <c r="Y305" s="377"/>
      <c r="Z305" s="377"/>
    </row>
    <row r="306" ht="19.5" customHeight="1">
      <c r="A306" s="377"/>
      <c r="B306" s="377"/>
      <c r="C306" s="377"/>
      <c r="D306" s="377"/>
      <c r="E306" s="377"/>
      <c r="F306" s="377"/>
      <c r="G306" s="377"/>
      <c r="H306" s="377"/>
      <c r="I306" s="377"/>
      <c r="J306" s="377"/>
      <c r="K306" s="377"/>
      <c r="L306" s="377"/>
      <c r="M306" s="377"/>
      <c r="N306" s="377"/>
      <c r="O306" s="377"/>
      <c r="P306" s="377"/>
      <c r="Q306" s="377"/>
      <c r="R306" s="377"/>
      <c r="S306" s="377"/>
      <c r="T306" s="377"/>
      <c r="U306" s="377"/>
      <c r="V306" s="377"/>
      <c r="W306" s="377"/>
      <c r="X306" s="377"/>
      <c r="Y306" s="377"/>
      <c r="Z306" s="377"/>
    </row>
    <row r="307" ht="19.5" customHeight="1">
      <c r="A307" s="377"/>
      <c r="B307" s="377"/>
      <c r="C307" s="377"/>
      <c r="D307" s="377"/>
      <c r="E307" s="377"/>
      <c r="F307" s="377"/>
      <c r="G307" s="377"/>
      <c r="H307" s="377"/>
      <c r="I307" s="377"/>
      <c r="J307" s="377"/>
      <c r="K307" s="377"/>
      <c r="L307" s="377"/>
      <c r="M307" s="377"/>
      <c r="N307" s="377"/>
      <c r="O307" s="377"/>
      <c r="P307" s="377"/>
      <c r="Q307" s="377"/>
      <c r="R307" s="377"/>
      <c r="S307" s="377"/>
      <c r="T307" s="377"/>
      <c r="U307" s="377"/>
      <c r="V307" s="377"/>
      <c r="W307" s="377"/>
      <c r="X307" s="377"/>
      <c r="Y307" s="377"/>
      <c r="Z307" s="377"/>
    </row>
    <row r="308" ht="19.5" customHeight="1">
      <c r="A308" s="377"/>
      <c r="B308" s="377"/>
      <c r="C308" s="377"/>
      <c r="D308" s="377"/>
      <c r="E308" s="377"/>
      <c r="F308" s="377"/>
      <c r="G308" s="377"/>
      <c r="H308" s="377"/>
      <c r="I308" s="377"/>
      <c r="J308" s="377"/>
      <c r="K308" s="377"/>
      <c r="L308" s="377"/>
      <c r="M308" s="377"/>
      <c r="N308" s="377"/>
      <c r="O308" s="377"/>
      <c r="P308" s="377"/>
      <c r="Q308" s="377"/>
      <c r="R308" s="377"/>
      <c r="S308" s="377"/>
      <c r="T308" s="377"/>
      <c r="U308" s="377"/>
      <c r="V308" s="377"/>
      <c r="W308" s="377"/>
      <c r="X308" s="377"/>
      <c r="Y308" s="377"/>
      <c r="Z308" s="377"/>
    </row>
    <row r="309" ht="19.5" customHeight="1">
      <c r="A309" s="377"/>
      <c r="B309" s="377"/>
      <c r="C309" s="377"/>
      <c r="D309" s="377"/>
      <c r="E309" s="377"/>
      <c r="F309" s="377"/>
      <c r="G309" s="377"/>
      <c r="H309" s="377"/>
      <c r="I309" s="377"/>
      <c r="J309" s="377"/>
      <c r="K309" s="377"/>
      <c r="L309" s="377"/>
      <c r="M309" s="377"/>
      <c r="N309" s="377"/>
      <c r="O309" s="377"/>
      <c r="P309" s="377"/>
      <c r="Q309" s="377"/>
      <c r="R309" s="377"/>
      <c r="S309" s="377"/>
      <c r="T309" s="377"/>
      <c r="U309" s="377"/>
      <c r="V309" s="377"/>
      <c r="W309" s="377"/>
      <c r="X309" s="377"/>
      <c r="Y309" s="377"/>
      <c r="Z309" s="377"/>
    </row>
    <row r="310" ht="19.5" customHeight="1">
      <c r="A310" s="377"/>
      <c r="B310" s="377"/>
      <c r="C310" s="377"/>
      <c r="D310" s="377"/>
      <c r="E310" s="377"/>
      <c r="F310" s="377"/>
      <c r="G310" s="377"/>
      <c r="H310" s="377"/>
      <c r="I310" s="377"/>
      <c r="J310" s="377"/>
      <c r="K310" s="377"/>
      <c r="L310" s="377"/>
      <c r="M310" s="377"/>
      <c r="N310" s="377"/>
      <c r="O310" s="377"/>
      <c r="P310" s="377"/>
      <c r="Q310" s="377"/>
      <c r="R310" s="377"/>
      <c r="S310" s="377"/>
      <c r="T310" s="377"/>
      <c r="U310" s="377"/>
      <c r="V310" s="377"/>
      <c r="W310" s="377"/>
      <c r="X310" s="377"/>
      <c r="Y310" s="377"/>
      <c r="Z310" s="377"/>
    </row>
    <row r="311" ht="19.5" customHeight="1">
      <c r="A311" s="377"/>
      <c r="B311" s="377"/>
      <c r="C311" s="377"/>
      <c r="D311" s="377"/>
      <c r="E311" s="377"/>
      <c r="F311" s="377"/>
      <c r="G311" s="377"/>
      <c r="H311" s="377"/>
      <c r="I311" s="377"/>
      <c r="J311" s="377"/>
      <c r="K311" s="377"/>
      <c r="L311" s="377"/>
      <c r="M311" s="377"/>
      <c r="N311" s="377"/>
      <c r="O311" s="377"/>
      <c r="P311" s="377"/>
      <c r="Q311" s="377"/>
      <c r="R311" s="377"/>
      <c r="S311" s="377"/>
      <c r="T311" s="377"/>
      <c r="U311" s="377"/>
      <c r="V311" s="377"/>
      <c r="W311" s="377"/>
      <c r="X311" s="377"/>
      <c r="Y311" s="377"/>
      <c r="Z311" s="377"/>
    </row>
    <row r="312" ht="19.5" customHeight="1">
      <c r="A312" s="377"/>
      <c r="B312" s="377"/>
      <c r="C312" s="377"/>
      <c r="D312" s="377"/>
      <c r="E312" s="377"/>
      <c r="F312" s="377"/>
      <c r="G312" s="377"/>
      <c r="H312" s="377"/>
      <c r="I312" s="377"/>
      <c r="J312" s="377"/>
      <c r="K312" s="377"/>
      <c r="L312" s="377"/>
      <c r="M312" s="377"/>
      <c r="N312" s="377"/>
      <c r="O312" s="377"/>
      <c r="P312" s="377"/>
      <c r="Q312" s="377"/>
      <c r="R312" s="377"/>
      <c r="S312" s="377"/>
      <c r="T312" s="377"/>
      <c r="U312" s="377"/>
      <c r="V312" s="377"/>
      <c r="W312" s="377"/>
      <c r="X312" s="377"/>
      <c r="Y312" s="377"/>
      <c r="Z312" s="377"/>
    </row>
    <row r="313" ht="19.5" customHeight="1">
      <c r="A313" s="377"/>
      <c r="B313" s="377"/>
      <c r="C313" s="377"/>
      <c r="D313" s="377"/>
      <c r="E313" s="377"/>
      <c r="F313" s="377"/>
      <c r="G313" s="377"/>
      <c r="H313" s="377"/>
      <c r="I313" s="377"/>
      <c r="J313" s="377"/>
      <c r="K313" s="377"/>
      <c r="L313" s="377"/>
      <c r="M313" s="377"/>
      <c r="N313" s="377"/>
      <c r="O313" s="377"/>
      <c r="P313" s="377"/>
      <c r="Q313" s="377"/>
      <c r="R313" s="377"/>
      <c r="S313" s="377"/>
      <c r="T313" s="377"/>
      <c r="U313" s="377"/>
      <c r="V313" s="377"/>
      <c r="W313" s="377"/>
      <c r="X313" s="377"/>
      <c r="Y313" s="377"/>
      <c r="Z313" s="377"/>
    </row>
    <row r="314" ht="19.5" customHeight="1">
      <c r="A314" s="377"/>
      <c r="B314" s="377"/>
      <c r="C314" s="377"/>
      <c r="D314" s="377"/>
      <c r="E314" s="377"/>
      <c r="F314" s="377"/>
      <c r="G314" s="377"/>
      <c r="H314" s="377"/>
      <c r="I314" s="377"/>
      <c r="J314" s="377"/>
      <c r="K314" s="377"/>
      <c r="L314" s="377"/>
      <c r="M314" s="377"/>
      <c r="N314" s="377"/>
      <c r="O314" s="377"/>
      <c r="P314" s="377"/>
      <c r="Q314" s="377"/>
      <c r="R314" s="377"/>
      <c r="S314" s="377"/>
      <c r="T314" s="377"/>
      <c r="U314" s="377"/>
      <c r="V314" s="377"/>
      <c r="W314" s="377"/>
      <c r="X314" s="377"/>
      <c r="Y314" s="377"/>
      <c r="Z314" s="377"/>
    </row>
    <row r="315" ht="19.5" customHeight="1">
      <c r="A315" s="377"/>
      <c r="B315" s="377"/>
      <c r="C315" s="377"/>
      <c r="D315" s="377"/>
      <c r="E315" s="377"/>
      <c r="F315" s="377"/>
      <c r="G315" s="377"/>
      <c r="H315" s="377"/>
      <c r="I315" s="377"/>
      <c r="J315" s="377"/>
      <c r="K315" s="377"/>
      <c r="L315" s="377"/>
      <c r="M315" s="377"/>
      <c r="N315" s="377"/>
      <c r="O315" s="377"/>
      <c r="P315" s="377"/>
      <c r="Q315" s="377"/>
      <c r="R315" s="377"/>
      <c r="S315" s="377"/>
      <c r="T315" s="377"/>
      <c r="U315" s="377"/>
      <c r="V315" s="377"/>
      <c r="W315" s="377"/>
      <c r="X315" s="377"/>
      <c r="Y315" s="377"/>
      <c r="Z315" s="377"/>
    </row>
    <row r="316" ht="19.5" customHeight="1">
      <c r="A316" s="377"/>
      <c r="B316" s="377"/>
      <c r="C316" s="377"/>
      <c r="D316" s="377"/>
      <c r="E316" s="377"/>
      <c r="F316" s="377"/>
      <c r="G316" s="377"/>
      <c r="H316" s="377"/>
      <c r="I316" s="377"/>
      <c r="J316" s="377"/>
      <c r="K316" s="377"/>
      <c r="L316" s="377"/>
      <c r="M316" s="377"/>
      <c r="N316" s="377"/>
      <c r="O316" s="377"/>
      <c r="P316" s="377"/>
      <c r="Q316" s="377"/>
      <c r="R316" s="377"/>
      <c r="S316" s="377"/>
      <c r="T316" s="377"/>
      <c r="U316" s="377"/>
      <c r="V316" s="377"/>
      <c r="W316" s="377"/>
      <c r="X316" s="377"/>
      <c r="Y316" s="377"/>
      <c r="Z316" s="377"/>
    </row>
    <row r="317" ht="19.5" customHeight="1">
      <c r="A317" s="377"/>
      <c r="B317" s="377"/>
      <c r="C317" s="377"/>
      <c r="D317" s="377"/>
      <c r="E317" s="377"/>
      <c r="F317" s="377"/>
      <c r="G317" s="377"/>
      <c r="H317" s="377"/>
      <c r="I317" s="377"/>
      <c r="J317" s="377"/>
      <c r="K317" s="377"/>
      <c r="L317" s="377"/>
      <c r="M317" s="377"/>
      <c r="N317" s="377"/>
      <c r="O317" s="377"/>
      <c r="P317" s="377"/>
      <c r="Q317" s="377"/>
      <c r="R317" s="377"/>
      <c r="S317" s="377"/>
      <c r="T317" s="377"/>
      <c r="U317" s="377"/>
      <c r="V317" s="377"/>
      <c r="W317" s="377"/>
      <c r="X317" s="377"/>
      <c r="Y317" s="377"/>
      <c r="Z317" s="377"/>
    </row>
    <row r="318" ht="19.5" customHeight="1">
      <c r="A318" s="377"/>
      <c r="B318" s="377"/>
      <c r="C318" s="377"/>
      <c r="D318" s="377"/>
      <c r="E318" s="377"/>
      <c r="F318" s="377"/>
      <c r="G318" s="377"/>
      <c r="H318" s="377"/>
      <c r="I318" s="377"/>
      <c r="J318" s="377"/>
      <c r="K318" s="377"/>
      <c r="L318" s="377"/>
      <c r="M318" s="377"/>
      <c r="N318" s="377"/>
      <c r="O318" s="377"/>
      <c r="P318" s="377"/>
      <c r="Q318" s="377"/>
      <c r="R318" s="377"/>
      <c r="S318" s="377"/>
      <c r="T318" s="377"/>
      <c r="U318" s="377"/>
      <c r="V318" s="377"/>
      <c r="W318" s="377"/>
      <c r="X318" s="377"/>
      <c r="Y318" s="377"/>
      <c r="Z318" s="377"/>
    </row>
    <row r="319" ht="19.5" customHeight="1">
      <c r="A319" s="377"/>
      <c r="B319" s="377"/>
      <c r="C319" s="377"/>
      <c r="D319" s="377"/>
      <c r="E319" s="377"/>
      <c r="F319" s="377"/>
      <c r="G319" s="377"/>
      <c r="H319" s="377"/>
      <c r="I319" s="377"/>
      <c r="J319" s="377"/>
      <c r="K319" s="377"/>
      <c r="L319" s="377"/>
      <c r="M319" s="377"/>
      <c r="N319" s="377"/>
      <c r="O319" s="377"/>
      <c r="P319" s="377"/>
      <c r="Q319" s="377"/>
      <c r="R319" s="377"/>
      <c r="S319" s="377"/>
      <c r="T319" s="377"/>
      <c r="U319" s="377"/>
      <c r="V319" s="377"/>
      <c r="W319" s="377"/>
      <c r="X319" s="377"/>
      <c r="Y319" s="377"/>
      <c r="Z319" s="377"/>
    </row>
    <row r="320" ht="19.5" customHeight="1">
      <c r="A320" s="377"/>
      <c r="B320" s="377"/>
      <c r="C320" s="377"/>
      <c r="D320" s="377"/>
      <c r="E320" s="377"/>
      <c r="F320" s="377"/>
      <c r="G320" s="377"/>
      <c r="H320" s="377"/>
      <c r="I320" s="377"/>
      <c r="J320" s="377"/>
      <c r="K320" s="377"/>
      <c r="L320" s="377"/>
      <c r="M320" s="377"/>
      <c r="N320" s="377"/>
      <c r="O320" s="377"/>
      <c r="P320" s="377"/>
      <c r="Q320" s="377"/>
      <c r="R320" s="377"/>
      <c r="S320" s="377"/>
      <c r="T320" s="377"/>
      <c r="U320" s="377"/>
      <c r="V320" s="377"/>
      <c r="W320" s="377"/>
      <c r="X320" s="377"/>
      <c r="Y320" s="377"/>
      <c r="Z320" s="377"/>
    </row>
    <row r="321" ht="19.5" customHeight="1">
      <c r="A321" s="377"/>
      <c r="B321" s="377"/>
      <c r="C321" s="377"/>
      <c r="D321" s="377"/>
      <c r="E321" s="377"/>
      <c r="F321" s="377"/>
      <c r="G321" s="377"/>
      <c r="H321" s="377"/>
      <c r="I321" s="377"/>
      <c r="J321" s="377"/>
      <c r="K321" s="377"/>
      <c r="L321" s="377"/>
      <c r="M321" s="377"/>
      <c r="N321" s="377"/>
      <c r="O321" s="377"/>
      <c r="P321" s="377"/>
      <c r="Q321" s="377"/>
      <c r="R321" s="377"/>
      <c r="S321" s="377"/>
      <c r="T321" s="377"/>
      <c r="U321" s="377"/>
      <c r="V321" s="377"/>
      <c r="W321" s="377"/>
      <c r="X321" s="377"/>
      <c r="Y321" s="377"/>
      <c r="Z321" s="377"/>
    </row>
    <row r="322" ht="19.5" customHeight="1">
      <c r="A322" s="377"/>
      <c r="B322" s="377"/>
      <c r="C322" s="377"/>
      <c r="D322" s="377"/>
      <c r="E322" s="377"/>
      <c r="F322" s="377"/>
      <c r="G322" s="377"/>
      <c r="H322" s="377"/>
      <c r="I322" s="377"/>
      <c r="J322" s="377"/>
      <c r="K322" s="377"/>
      <c r="L322" s="377"/>
      <c r="M322" s="377"/>
      <c r="N322" s="377"/>
      <c r="O322" s="377"/>
      <c r="P322" s="377"/>
      <c r="Q322" s="377"/>
      <c r="R322" s="377"/>
      <c r="S322" s="377"/>
      <c r="T322" s="377"/>
      <c r="U322" s="377"/>
      <c r="V322" s="377"/>
      <c r="W322" s="377"/>
      <c r="X322" s="377"/>
      <c r="Y322" s="377"/>
      <c r="Z322" s="377"/>
    </row>
    <row r="323" ht="19.5" customHeight="1">
      <c r="A323" s="377"/>
      <c r="B323" s="377"/>
      <c r="C323" s="377"/>
      <c r="D323" s="377"/>
      <c r="E323" s="377"/>
      <c r="F323" s="377"/>
      <c r="G323" s="377"/>
      <c r="H323" s="377"/>
      <c r="I323" s="377"/>
      <c r="J323" s="377"/>
      <c r="K323" s="377"/>
      <c r="L323" s="377"/>
      <c r="M323" s="377"/>
      <c r="N323" s="377"/>
      <c r="O323" s="377"/>
      <c r="P323" s="377"/>
      <c r="Q323" s="377"/>
      <c r="R323" s="377"/>
      <c r="S323" s="377"/>
      <c r="T323" s="377"/>
      <c r="U323" s="377"/>
      <c r="V323" s="377"/>
      <c r="W323" s="377"/>
      <c r="X323" s="377"/>
      <c r="Y323" s="377"/>
      <c r="Z323" s="377"/>
    </row>
    <row r="324" ht="19.5" customHeight="1">
      <c r="A324" s="377"/>
      <c r="B324" s="377"/>
      <c r="C324" s="377"/>
      <c r="D324" s="377"/>
      <c r="E324" s="377"/>
      <c r="F324" s="377"/>
      <c r="G324" s="377"/>
      <c r="H324" s="377"/>
      <c r="I324" s="377"/>
      <c r="J324" s="377"/>
      <c r="K324" s="377"/>
      <c r="L324" s="377"/>
      <c r="M324" s="377"/>
      <c r="N324" s="377"/>
      <c r="O324" s="377"/>
      <c r="P324" s="377"/>
      <c r="Q324" s="377"/>
      <c r="R324" s="377"/>
      <c r="S324" s="377"/>
      <c r="T324" s="377"/>
      <c r="U324" s="377"/>
      <c r="V324" s="377"/>
      <c r="W324" s="377"/>
      <c r="X324" s="377"/>
      <c r="Y324" s="377"/>
      <c r="Z324" s="377"/>
    </row>
    <row r="325" ht="19.5" customHeight="1">
      <c r="A325" s="377"/>
      <c r="B325" s="377"/>
      <c r="C325" s="377"/>
      <c r="D325" s="377"/>
      <c r="E325" s="377"/>
      <c r="F325" s="377"/>
      <c r="G325" s="377"/>
      <c r="H325" s="377"/>
      <c r="I325" s="377"/>
      <c r="J325" s="377"/>
      <c r="K325" s="377"/>
      <c r="L325" s="377"/>
      <c r="M325" s="377"/>
      <c r="N325" s="377"/>
      <c r="O325" s="377"/>
      <c r="P325" s="377"/>
      <c r="Q325" s="377"/>
      <c r="R325" s="377"/>
      <c r="S325" s="377"/>
      <c r="T325" s="377"/>
      <c r="U325" s="377"/>
      <c r="V325" s="377"/>
      <c r="W325" s="377"/>
      <c r="X325" s="377"/>
      <c r="Y325" s="377"/>
      <c r="Z325" s="377"/>
    </row>
    <row r="326" ht="19.5" customHeight="1">
      <c r="A326" s="377"/>
      <c r="B326" s="377"/>
      <c r="C326" s="377"/>
      <c r="D326" s="377"/>
      <c r="E326" s="377"/>
      <c r="F326" s="377"/>
      <c r="G326" s="377"/>
      <c r="H326" s="377"/>
      <c r="I326" s="377"/>
      <c r="J326" s="377"/>
      <c r="K326" s="377"/>
      <c r="L326" s="377"/>
      <c r="M326" s="377"/>
      <c r="N326" s="377"/>
      <c r="O326" s="377"/>
      <c r="P326" s="377"/>
      <c r="Q326" s="377"/>
      <c r="R326" s="377"/>
      <c r="S326" s="377"/>
      <c r="T326" s="377"/>
      <c r="U326" s="377"/>
      <c r="V326" s="377"/>
      <c r="W326" s="377"/>
      <c r="X326" s="377"/>
      <c r="Y326" s="377"/>
      <c r="Z326" s="377"/>
    </row>
    <row r="327" ht="19.5" customHeight="1">
      <c r="A327" s="377"/>
      <c r="B327" s="377"/>
      <c r="C327" s="377"/>
      <c r="D327" s="377"/>
      <c r="E327" s="377"/>
      <c r="F327" s="377"/>
      <c r="G327" s="377"/>
      <c r="H327" s="377"/>
      <c r="I327" s="377"/>
      <c r="J327" s="377"/>
      <c r="K327" s="377"/>
      <c r="L327" s="377"/>
      <c r="M327" s="377"/>
      <c r="N327" s="377"/>
      <c r="O327" s="377"/>
      <c r="P327" s="377"/>
      <c r="Q327" s="377"/>
      <c r="R327" s="377"/>
      <c r="S327" s="377"/>
      <c r="T327" s="377"/>
      <c r="U327" s="377"/>
      <c r="V327" s="377"/>
      <c r="W327" s="377"/>
      <c r="X327" s="377"/>
      <c r="Y327" s="377"/>
      <c r="Z327" s="377"/>
    </row>
    <row r="328" ht="19.5" customHeight="1">
      <c r="A328" s="377"/>
      <c r="B328" s="377"/>
      <c r="C328" s="377"/>
      <c r="D328" s="377"/>
      <c r="E328" s="377"/>
      <c r="F328" s="377"/>
      <c r="G328" s="377"/>
      <c r="H328" s="377"/>
      <c r="I328" s="377"/>
      <c r="J328" s="377"/>
      <c r="K328" s="377"/>
      <c r="L328" s="377"/>
      <c r="M328" s="377"/>
      <c r="N328" s="377"/>
      <c r="O328" s="377"/>
      <c r="P328" s="377"/>
      <c r="Q328" s="377"/>
      <c r="R328" s="377"/>
      <c r="S328" s="377"/>
      <c r="T328" s="377"/>
      <c r="U328" s="377"/>
      <c r="V328" s="377"/>
      <c r="W328" s="377"/>
      <c r="X328" s="377"/>
      <c r="Y328" s="377"/>
      <c r="Z328" s="377"/>
    </row>
    <row r="329" ht="19.5" customHeight="1">
      <c r="A329" s="377"/>
      <c r="B329" s="377"/>
      <c r="C329" s="377"/>
      <c r="D329" s="377"/>
      <c r="E329" s="377"/>
      <c r="F329" s="377"/>
      <c r="G329" s="377"/>
      <c r="H329" s="377"/>
      <c r="I329" s="377"/>
      <c r="J329" s="377"/>
      <c r="K329" s="377"/>
      <c r="L329" s="377"/>
      <c r="M329" s="377"/>
      <c r="N329" s="377"/>
      <c r="O329" s="377"/>
      <c r="P329" s="377"/>
      <c r="Q329" s="377"/>
      <c r="R329" s="377"/>
      <c r="S329" s="377"/>
      <c r="T329" s="377"/>
      <c r="U329" s="377"/>
      <c r="V329" s="377"/>
      <c r="W329" s="377"/>
      <c r="X329" s="377"/>
      <c r="Y329" s="377"/>
      <c r="Z329" s="377"/>
    </row>
    <row r="330" ht="19.5" customHeight="1">
      <c r="A330" s="377"/>
      <c r="B330" s="377"/>
      <c r="C330" s="377"/>
      <c r="D330" s="377"/>
      <c r="E330" s="377"/>
      <c r="F330" s="377"/>
      <c r="G330" s="377"/>
      <c r="H330" s="377"/>
      <c r="I330" s="377"/>
      <c r="J330" s="377"/>
      <c r="K330" s="377"/>
      <c r="L330" s="377"/>
      <c r="M330" s="377"/>
      <c r="N330" s="377"/>
      <c r="O330" s="377"/>
      <c r="P330" s="377"/>
      <c r="Q330" s="377"/>
      <c r="R330" s="377"/>
      <c r="S330" s="377"/>
      <c r="T330" s="377"/>
      <c r="U330" s="377"/>
      <c r="V330" s="377"/>
      <c r="W330" s="377"/>
      <c r="X330" s="377"/>
      <c r="Y330" s="377"/>
      <c r="Z330" s="377"/>
    </row>
    <row r="331" ht="19.5" customHeight="1">
      <c r="A331" s="377"/>
      <c r="B331" s="377"/>
      <c r="C331" s="377"/>
      <c r="D331" s="377"/>
      <c r="E331" s="377"/>
      <c r="F331" s="377"/>
      <c r="G331" s="377"/>
      <c r="H331" s="377"/>
      <c r="I331" s="377"/>
      <c r="J331" s="377"/>
      <c r="K331" s="377"/>
      <c r="L331" s="377"/>
      <c r="M331" s="377"/>
      <c r="N331" s="377"/>
      <c r="O331" s="377"/>
      <c r="P331" s="377"/>
      <c r="Q331" s="377"/>
      <c r="R331" s="377"/>
      <c r="S331" s="377"/>
      <c r="T331" s="377"/>
      <c r="U331" s="377"/>
      <c r="V331" s="377"/>
      <c r="W331" s="377"/>
      <c r="X331" s="377"/>
      <c r="Y331" s="377"/>
      <c r="Z331" s="377"/>
    </row>
    <row r="332" ht="19.5" customHeight="1">
      <c r="A332" s="377"/>
      <c r="B332" s="377"/>
      <c r="C332" s="377"/>
      <c r="D332" s="377"/>
      <c r="E332" s="377"/>
      <c r="F332" s="377"/>
      <c r="G332" s="377"/>
      <c r="H332" s="377"/>
      <c r="I332" s="377"/>
      <c r="J332" s="377"/>
      <c r="K332" s="377"/>
      <c r="L332" s="377"/>
      <c r="M332" s="377"/>
      <c r="N332" s="377"/>
      <c r="O332" s="377"/>
      <c r="P332" s="377"/>
      <c r="Q332" s="377"/>
      <c r="R332" s="377"/>
      <c r="S332" s="377"/>
      <c r="T332" s="377"/>
      <c r="U332" s="377"/>
      <c r="V332" s="377"/>
      <c r="W332" s="377"/>
      <c r="X332" s="377"/>
      <c r="Y332" s="377"/>
      <c r="Z332" s="377"/>
    </row>
    <row r="333" ht="19.5" customHeight="1">
      <c r="A333" s="377"/>
      <c r="B333" s="377"/>
      <c r="C333" s="377"/>
      <c r="D333" s="377"/>
      <c r="E333" s="377"/>
      <c r="F333" s="377"/>
      <c r="G333" s="377"/>
      <c r="H333" s="377"/>
      <c r="I333" s="377"/>
      <c r="J333" s="377"/>
      <c r="K333" s="377"/>
      <c r="L333" s="377"/>
      <c r="M333" s="377"/>
      <c r="N333" s="377"/>
      <c r="O333" s="377"/>
      <c r="P333" s="377"/>
      <c r="Q333" s="377"/>
      <c r="R333" s="377"/>
      <c r="S333" s="377"/>
      <c r="T333" s="377"/>
      <c r="U333" s="377"/>
      <c r="V333" s="377"/>
      <c r="W333" s="377"/>
      <c r="X333" s="377"/>
      <c r="Y333" s="377"/>
      <c r="Z333" s="377"/>
    </row>
    <row r="334" ht="19.5" customHeight="1">
      <c r="A334" s="377"/>
      <c r="B334" s="377"/>
      <c r="C334" s="377"/>
      <c r="D334" s="377"/>
      <c r="E334" s="377"/>
      <c r="F334" s="377"/>
      <c r="G334" s="377"/>
      <c r="H334" s="377"/>
      <c r="I334" s="377"/>
      <c r="J334" s="377"/>
      <c r="K334" s="377"/>
      <c r="L334" s="377"/>
      <c r="M334" s="377"/>
      <c r="N334" s="377"/>
      <c r="O334" s="377"/>
      <c r="P334" s="377"/>
      <c r="Q334" s="377"/>
      <c r="R334" s="377"/>
      <c r="S334" s="377"/>
      <c r="T334" s="377"/>
      <c r="U334" s="377"/>
      <c r="V334" s="377"/>
      <c r="W334" s="377"/>
      <c r="X334" s="377"/>
      <c r="Y334" s="377"/>
      <c r="Z334" s="377"/>
    </row>
    <row r="335" ht="19.5" customHeight="1">
      <c r="A335" s="377"/>
      <c r="B335" s="377"/>
      <c r="C335" s="377"/>
      <c r="D335" s="377"/>
      <c r="E335" s="377"/>
      <c r="F335" s="377"/>
      <c r="G335" s="377"/>
      <c r="H335" s="377"/>
      <c r="I335" s="377"/>
      <c r="J335" s="377"/>
      <c r="K335" s="377"/>
      <c r="L335" s="377"/>
      <c r="M335" s="377"/>
      <c r="N335" s="377"/>
      <c r="O335" s="377"/>
      <c r="P335" s="377"/>
      <c r="Q335" s="377"/>
      <c r="R335" s="377"/>
      <c r="S335" s="377"/>
      <c r="T335" s="377"/>
      <c r="U335" s="377"/>
      <c r="V335" s="377"/>
      <c r="W335" s="377"/>
      <c r="X335" s="377"/>
      <c r="Y335" s="377"/>
      <c r="Z335" s="377"/>
    </row>
    <row r="336" ht="19.5" customHeight="1">
      <c r="A336" s="377"/>
      <c r="B336" s="377"/>
      <c r="C336" s="377"/>
      <c r="D336" s="377"/>
      <c r="E336" s="377"/>
      <c r="F336" s="377"/>
      <c r="G336" s="377"/>
      <c r="H336" s="377"/>
      <c r="I336" s="377"/>
      <c r="J336" s="377"/>
      <c r="K336" s="377"/>
      <c r="L336" s="377"/>
      <c r="M336" s="377"/>
      <c r="N336" s="377"/>
      <c r="O336" s="377"/>
      <c r="P336" s="377"/>
      <c r="Q336" s="377"/>
      <c r="R336" s="377"/>
      <c r="S336" s="377"/>
      <c r="T336" s="377"/>
      <c r="U336" s="377"/>
      <c r="V336" s="377"/>
      <c r="W336" s="377"/>
      <c r="X336" s="377"/>
      <c r="Y336" s="377"/>
      <c r="Z336" s="377"/>
    </row>
    <row r="337" ht="19.5" customHeight="1">
      <c r="A337" s="377"/>
      <c r="B337" s="377"/>
      <c r="C337" s="377"/>
      <c r="D337" s="377"/>
      <c r="E337" s="377"/>
      <c r="F337" s="377"/>
      <c r="G337" s="377"/>
      <c r="H337" s="377"/>
      <c r="I337" s="377"/>
      <c r="J337" s="377"/>
      <c r="K337" s="377"/>
      <c r="L337" s="377"/>
      <c r="M337" s="377"/>
      <c r="N337" s="377"/>
      <c r="O337" s="377"/>
      <c r="P337" s="377"/>
      <c r="Q337" s="377"/>
      <c r="R337" s="377"/>
      <c r="S337" s="377"/>
      <c r="T337" s="377"/>
      <c r="U337" s="377"/>
      <c r="V337" s="377"/>
      <c r="W337" s="377"/>
      <c r="X337" s="377"/>
      <c r="Y337" s="377"/>
      <c r="Z337" s="377"/>
    </row>
    <row r="338" ht="19.5" customHeight="1">
      <c r="A338" s="377"/>
      <c r="B338" s="377"/>
      <c r="C338" s="377"/>
      <c r="D338" s="377"/>
      <c r="E338" s="377"/>
      <c r="F338" s="377"/>
      <c r="G338" s="377"/>
      <c r="H338" s="377"/>
      <c r="I338" s="377"/>
      <c r="J338" s="377"/>
      <c r="K338" s="377"/>
      <c r="L338" s="377"/>
      <c r="M338" s="377"/>
      <c r="N338" s="377"/>
      <c r="O338" s="377"/>
      <c r="P338" s="377"/>
      <c r="Q338" s="377"/>
      <c r="R338" s="377"/>
      <c r="S338" s="377"/>
      <c r="T338" s="377"/>
      <c r="U338" s="377"/>
      <c r="V338" s="377"/>
      <c r="W338" s="377"/>
      <c r="X338" s="377"/>
      <c r="Y338" s="377"/>
      <c r="Z338" s="377"/>
    </row>
    <row r="339" ht="19.5" customHeight="1">
      <c r="A339" s="377"/>
      <c r="B339" s="377"/>
      <c r="C339" s="377"/>
      <c r="D339" s="377"/>
      <c r="E339" s="377"/>
      <c r="F339" s="377"/>
      <c r="G339" s="377"/>
      <c r="H339" s="377"/>
      <c r="I339" s="377"/>
      <c r="J339" s="377"/>
      <c r="K339" s="377"/>
      <c r="L339" s="377"/>
      <c r="M339" s="377"/>
      <c r="N339" s="377"/>
      <c r="O339" s="377"/>
      <c r="P339" s="377"/>
      <c r="Q339" s="377"/>
      <c r="R339" s="377"/>
      <c r="S339" s="377"/>
      <c r="T339" s="377"/>
      <c r="U339" s="377"/>
      <c r="V339" s="377"/>
      <c r="W339" s="377"/>
      <c r="X339" s="377"/>
      <c r="Y339" s="377"/>
      <c r="Z339" s="377"/>
    </row>
    <row r="340" ht="19.5" customHeight="1">
      <c r="A340" s="377"/>
      <c r="B340" s="377"/>
      <c r="C340" s="377"/>
      <c r="D340" s="377"/>
      <c r="E340" s="377"/>
      <c r="F340" s="377"/>
      <c r="G340" s="377"/>
      <c r="H340" s="377"/>
      <c r="I340" s="377"/>
      <c r="J340" s="377"/>
      <c r="K340" s="377"/>
      <c r="L340" s="377"/>
      <c r="M340" s="377"/>
      <c r="N340" s="377"/>
      <c r="O340" s="377"/>
      <c r="P340" s="377"/>
      <c r="Q340" s="377"/>
      <c r="R340" s="377"/>
      <c r="S340" s="377"/>
      <c r="T340" s="377"/>
      <c r="U340" s="377"/>
      <c r="V340" s="377"/>
      <c r="W340" s="377"/>
      <c r="X340" s="377"/>
      <c r="Y340" s="377"/>
      <c r="Z340" s="377"/>
    </row>
    <row r="341" ht="19.5" customHeight="1">
      <c r="A341" s="377"/>
      <c r="B341" s="377"/>
      <c r="C341" s="377"/>
      <c r="D341" s="377"/>
      <c r="E341" s="377"/>
      <c r="F341" s="377"/>
      <c r="G341" s="377"/>
      <c r="H341" s="377"/>
      <c r="I341" s="377"/>
      <c r="J341" s="377"/>
      <c r="K341" s="377"/>
      <c r="L341" s="377"/>
      <c r="M341" s="377"/>
      <c r="N341" s="377"/>
      <c r="O341" s="377"/>
      <c r="P341" s="377"/>
      <c r="Q341" s="377"/>
      <c r="R341" s="377"/>
      <c r="S341" s="377"/>
      <c r="T341" s="377"/>
      <c r="U341" s="377"/>
      <c r="V341" s="377"/>
      <c r="W341" s="377"/>
      <c r="X341" s="377"/>
      <c r="Y341" s="377"/>
      <c r="Z341" s="377"/>
    </row>
    <row r="342" ht="19.5" customHeight="1">
      <c r="A342" s="377"/>
      <c r="B342" s="377"/>
      <c r="C342" s="377"/>
      <c r="D342" s="377"/>
      <c r="E342" s="377"/>
      <c r="F342" s="377"/>
      <c r="G342" s="377"/>
      <c r="H342" s="377"/>
      <c r="I342" s="377"/>
      <c r="J342" s="377"/>
      <c r="K342" s="377"/>
      <c r="L342" s="377"/>
      <c r="M342" s="377"/>
      <c r="N342" s="377"/>
      <c r="O342" s="377"/>
      <c r="P342" s="377"/>
      <c r="Q342" s="377"/>
      <c r="R342" s="377"/>
      <c r="S342" s="377"/>
      <c r="T342" s="377"/>
      <c r="U342" s="377"/>
      <c r="V342" s="377"/>
      <c r="W342" s="377"/>
      <c r="X342" s="377"/>
      <c r="Y342" s="377"/>
      <c r="Z342" s="377"/>
    </row>
    <row r="343" ht="19.5" customHeight="1">
      <c r="A343" s="377"/>
      <c r="B343" s="377"/>
      <c r="C343" s="377"/>
      <c r="D343" s="377"/>
      <c r="E343" s="377"/>
      <c r="F343" s="377"/>
      <c r="G343" s="377"/>
      <c r="H343" s="377"/>
      <c r="I343" s="377"/>
      <c r="J343" s="377"/>
      <c r="K343" s="377"/>
      <c r="L343" s="377"/>
      <c r="M343" s="377"/>
      <c r="N343" s="377"/>
      <c r="O343" s="377"/>
      <c r="P343" s="377"/>
      <c r="Q343" s="377"/>
      <c r="R343" s="377"/>
      <c r="S343" s="377"/>
      <c r="T343" s="377"/>
      <c r="U343" s="377"/>
      <c r="V343" s="377"/>
      <c r="W343" s="377"/>
      <c r="X343" s="377"/>
      <c r="Y343" s="377"/>
      <c r="Z343" s="377"/>
    </row>
    <row r="344" ht="19.5" customHeight="1">
      <c r="A344" s="377"/>
      <c r="B344" s="377"/>
      <c r="C344" s="377"/>
      <c r="D344" s="377"/>
      <c r="E344" s="377"/>
      <c r="F344" s="377"/>
      <c r="G344" s="377"/>
      <c r="H344" s="377"/>
      <c r="I344" s="377"/>
      <c r="J344" s="377"/>
      <c r="K344" s="377"/>
      <c r="L344" s="377"/>
      <c r="M344" s="377"/>
      <c r="N344" s="377"/>
      <c r="O344" s="377"/>
      <c r="P344" s="377"/>
      <c r="Q344" s="377"/>
      <c r="R344" s="377"/>
      <c r="S344" s="377"/>
      <c r="T344" s="377"/>
      <c r="U344" s="377"/>
      <c r="V344" s="377"/>
      <c r="W344" s="377"/>
      <c r="X344" s="377"/>
      <c r="Y344" s="377"/>
      <c r="Z344" s="377"/>
    </row>
    <row r="345" ht="19.5" customHeight="1">
      <c r="A345" s="377"/>
      <c r="B345" s="377"/>
      <c r="C345" s="377"/>
      <c r="D345" s="377"/>
      <c r="E345" s="377"/>
      <c r="F345" s="377"/>
      <c r="G345" s="377"/>
      <c r="H345" s="377"/>
      <c r="I345" s="377"/>
      <c r="J345" s="377"/>
      <c r="K345" s="377"/>
      <c r="L345" s="377"/>
      <c r="M345" s="377"/>
      <c r="N345" s="377"/>
      <c r="O345" s="377"/>
      <c r="P345" s="377"/>
      <c r="Q345" s="377"/>
      <c r="R345" s="377"/>
      <c r="S345" s="377"/>
      <c r="T345" s="377"/>
      <c r="U345" s="377"/>
      <c r="V345" s="377"/>
      <c r="W345" s="377"/>
      <c r="X345" s="377"/>
      <c r="Y345" s="377"/>
      <c r="Z345" s="377"/>
    </row>
    <row r="346" ht="19.5" customHeight="1">
      <c r="A346" s="377"/>
      <c r="B346" s="377"/>
      <c r="C346" s="377"/>
      <c r="D346" s="377"/>
      <c r="E346" s="377"/>
      <c r="F346" s="377"/>
      <c r="G346" s="377"/>
      <c r="H346" s="377"/>
      <c r="I346" s="377"/>
      <c r="J346" s="377"/>
      <c r="K346" s="377"/>
      <c r="L346" s="377"/>
      <c r="M346" s="377"/>
      <c r="N346" s="377"/>
      <c r="O346" s="377"/>
      <c r="P346" s="377"/>
      <c r="Q346" s="377"/>
      <c r="R346" s="377"/>
      <c r="S346" s="377"/>
      <c r="T346" s="377"/>
      <c r="U346" s="377"/>
      <c r="V346" s="377"/>
      <c r="W346" s="377"/>
      <c r="X346" s="377"/>
      <c r="Y346" s="377"/>
      <c r="Z346" s="377"/>
    </row>
    <row r="347" ht="19.5" customHeight="1">
      <c r="A347" s="377"/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77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  <c r="Z347" s="377"/>
    </row>
    <row r="348" ht="19.5" customHeight="1">
      <c r="A348" s="377"/>
      <c r="B348" s="377"/>
      <c r="C348" s="377"/>
      <c r="D348" s="377"/>
      <c r="E348" s="377"/>
      <c r="F348" s="377"/>
      <c r="G348" s="377"/>
      <c r="H348" s="377"/>
      <c r="I348" s="377"/>
      <c r="J348" s="377"/>
      <c r="K348" s="377"/>
      <c r="L348" s="377"/>
      <c r="M348" s="377"/>
      <c r="N348" s="377"/>
      <c r="O348" s="377"/>
      <c r="P348" s="377"/>
      <c r="Q348" s="377"/>
      <c r="R348" s="377"/>
      <c r="S348" s="377"/>
      <c r="T348" s="377"/>
      <c r="U348" s="377"/>
      <c r="V348" s="377"/>
      <c r="W348" s="377"/>
      <c r="X348" s="377"/>
      <c r="Y348" s="377"/>
      <c r="Z348" s="377"/>
    </row>
    <row r="349" ht="19.5" customHeight="1">
      <c r="A349" s="377"/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7"/>
      <c r="N349" s="377"/>
      <c r="O349" s="377"/>
      <c r="P349" s="377"/>
      <c r="Q349" s="377"/>
      <c r="R349" s="377"/>
      <c r="S349" s="377"/>
      <c r="T349" s="377"/>
      <c r="U349" s="377"/>
      <c r="V349" s="377"/>
      <c r="W349" s="377"/>
      <c r="X349" s="377"/>
      <c r="Y349" s="377"/>
      <c r="Z349" s="377"/>
    </row>
    <row r="350" ht="19.5" customHeight="1">
      <c r="A350" s="377"/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7"/>
      <c r="N350" s="377"/>
      <c r="O350" s="377"/>
      <c r="P350" s="377"/>
      <c r="Q350" s="377"/>
      <c r="R350" s="377"/>
      <c r="S350" s="377"/>
      <c r="T350" s="377"/>
      <c r="U350" s="377"/>
      <c r="V350" s="377"/>
      <c r="W350" s="377"/>
      <c r="X350" s="377"/>
      <c r="Y350" s="377"/>
      <c r="Z350" s="377"/>
    </row>
    <row r="351" ht="19.5" customHeight="1">
      <c r="A351" s="377"/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7"/>
      <c r="N351" s="377"/>
      <c r="O351" s="377"/>
      <c r="P351" s="377"/>
      <c r="Q351" s="377"/>
      <c r="R351" s="377"/>
      <c r="S351" s="377"/>
      <c r="T351" s="377"/>
      <c r="U351" s="377"/>
      <c r="V351" s="377"/>
      <c r="W351" s="377"/>
      <c r="X351" s="377"/>
      <c r="Y351" s="377"/>
      <c r="Z351" s="377"/>
    </row>
    <row r="352" ht="19.5" customHeight="1">
      <c r="A352" s="377"/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  <c r="T352" s="377"/>
      <c r="U352" s="377"/>
      <c r="V352" s="377"/>
      <c r="W352" s="377"/>
      <c r="X352" s="377"/>
      <c r="Y352" s="377"/>
      <c r="Z352" s="377"/>
    </row>
    <row r="353" ht="19.5" customHeight="1">
      <c r="A353" s="377"/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7"/>
      <c r="N353" s="377"/>
      <c r="O353" s="377"/>
      <c r="P353" s="377"/>
      <c r="Q353" s="377"/>
      <c r="R353" s="377"/>
      <c r="S353" s="377"/>
      <c r="T353" s="377"/>
      <c r="U353" s="377"/>
      <c r="V353" s="377"/>
      <c r="W353" s="377"/>
      <c r="X353" s="377"/>
      <c r="Y353" s="377"/>
      <c r="Z353" s="377"/>
    </row>
    <row r="354" ht="19.5" customHeight="1">
      <c r="A354" s="377"/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7"/>
      <c r="N354" s="377"/>
      <c r="O354" s="377"/>
      <c r="P354" s="377"/>
      <c r="Q354" s="377"/>
      <c r="R354" s="377"/>
      <c r="S354" s="377"/>
      <c r="T354" s="377"/>
      <c r="U354" s="377"/>
      <c r="V354" s="377"/>
      <c r="W354" s="377"/>
      <c r="X354" s="377"/>
      <c r="Y354" s="377"/>
      <c r="Z354" s="377"/>
    </row>
    <row r="355" ht="19.5" customHeight="1">
      <c r="A355" s="377"/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7"/>
      <c r="N355" s="377"/>
      <c r="O355" s="377"/>
      <c r="P355" s="377"/>
      <c r="Q355" s="377"/>
      <c r="R355" s="377"/>
      <c r="S355" s="377"/>
      <c r="T355" s="377"/>
      <c r="U355" s="377"/>
      <c r="V355" s="377"/>
      <c r="W355" s="377"/>
      <c r="X355" s="377"/>
      <c r="Y355" s="377"/>
      <c r="Z355" s="377"/>
    </row>
    <row r="356" ht="19.5" customHeight="1">
      <c r="A356" s="377"/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7"/>
      <c r="N356" s="377"/>
      <c r="O356" s="377"/>
      <c r="P356" s="377"/>
      <c r="Q356" s="377"/>
      <c r="R356" s="377"/>
      <c r="S356" s="377"/>
      <c r="T356" s="377"/>
      <c r="U356" s="377"/>
      <c r="V356" s="377"/>
      <c r="W356" s="377"/>
      <c r="X356" s="377"/>
      <c r="Y356" s="377"/>
      <c r="Z356" s="377"/>
    </row>
    <row r="357" ht="19.5" customHeight="1">
      <c r="A357" s="377"/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377"/>
      <c r="O357" s="377"/>
      <c r="P357" s="377"/>
      <c r="Q357" s="377"/>
      <c r="R357" s="377"/>
      <c r="S357" s="377"/>
      <c r="T357" s="377"/>
      <c r="U357" s="377"/>
      <c r="V357" s="377"/>
      <c r="W357" s="377"/>
      <c r="X357" s="377"/>
      <c r="Y357" s="377"/>
      <c r="Z357" s="377"/>
    </row>
    <row r="358" ht="19.5" customHeight="1">
      <c r="A358" s="377"/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7"/>
      <c r="N358" s="377"/>
      <c r="O358" s="377"/>
      <c r="P358" s="377"/>
      <c r="Q358" s="377"/>
      <c r="R358" s="377"/>
      <c r="S358" s="377"/>
      <c r="T358" s="377"/>
      <c r="U358" s="377"/>
      <c r="V358" s="377"/>
      <c r="W358" s="377"/>
      <c r="X358" s="377"/>
      <c r="Y358" s="377"/>
      <c r="Z358" s="377"/>
    </row>
    <row r="359" ht="19.5" customHeight="1">
      <c r="A359" s="377"/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7"/>
      <c r="N359" s="377"/>
      <c r="O359" s="377"/>
      <c r="P359" s="377"/>
      <c r="Q359" s="377"/>
      <c r="R359" s="377"/>
      <c r="S359" s="377"/>
      <c r="T359" s="377"/>
      <c r="U359" s="377"/>
      <c r="V359" s="377"/>
      <c r="W359" s="377"/>
      <c r="X359" s="377"/>
      <c r="Y359" s="377"/>
      <c r="Z359" s="377"/>
    </row>
    <row r="360" ht="19.5" customHeight="1">
      <c r="A360" s="377"/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7"/>
      <c r="N360" s="377"/>
      <c r="O360" s="377"/>
      <c r="P360" s="377"/>
      <c r="Q360" s="377"/>
      <c r="R360" s="377"/>
      <c r="S360" s="377"/>
      <c r="T360" s="377"/>
      <c r="U360" s="377"/>
      <c r="V360" s="377"/>
      <c r="W360" s="377"/>
      <c r="X360" s="377"/>
      <c r="Y360" s="377"/>
      <c r="Z360" s="377"/>
    </row>
    <row r="361" ht="19.5" customHeight="1">
      <c r="A361" s="377"/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  <c r="T361" s="377"/>
      <c r="U361" s="377"/>
      <c r="V361" s="377"/>
      <c r="W361" s="377"/>
      <c r="X361" s="377"/>
      <c r="Y361" s="377"/>
      <c r="Z361" s="377"/>
    </row>
    <row r="362" ht="19.5" customHeight="1">
      <c r="A362" s="377"/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7"/>
      <c r="N362" s="377"/>
      <c r="O362" s="377"/>
      <c r="P362" s="377"/>
      <c r="Q362" s="377"/>
      <c r="R362" s="377"/>
      <c r="S362" s="377"/>
      <c r="T362" s="377"/>
      <c r="U362" s="377"/>
      <c r="V362" s="377"/>
      <c r="W362" s="377"/>
      <c r="X362" s="377"/>
      <c r="Y362" s="377"/>
      <c r="Z362" s="377"/>
    </row>
    <row r="363" ht="19.5" customHeight="1">
      <c r="A363" s="377"/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7"/>
      <c r="N363" s="377"/>
      <c r="O363" s="377"/>
      <c r="P363" s="377"/>
      <c r="Q363" s="377"/>
      <c r="R363" s="377"/>
      <c r="S363" s="377"/>
      <c r="T363" s="377"/>
      <c r="U363" s="377"/>
      <c r="V363" s="377"/>
      <c r="W363" s="377"/>
      <c r="X363" s="377"/>
      <c r="Y363" s="377"/>
      <c r="Z363" s="377"/>
    </row>
    <row r="364" ht="19.5" customHeight="1">
      <c r="A364" s="377"/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7"/>
      <c r="N364" s="377"/>
      <c r="O364" s="377"/>
      <c r="P364" s="377"/>
      <c r="Q364" s="377"/>
      <c r="R364" s="377"/>
      <c r="S364" s="377"/>
      <c r="T364" s="377"/>
      <c r="U364" s="377"/>
      <c r="V364" s="377"/>
      <c r="W364" s="377"/>
      <c r="X364" s="377"/>
      <c r="Y364" s="377"/>
      <c r="Z364" s="377"/>
    </row>
    <row r="365" ht="19.5" customHeight="1">
      <c r="A365" s="377"/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7"/>
      <c r="N365" s="377"/>
      <c r="O365" s="377"/>
      <c r="P365" s="377"/>
      <c r="Q365" s="377"/>
      <c r="R365" s="377"/>
      <c r="S365" s="377"/>
      <c r="T365" s="377"/>
      <c r="U365" s="377"/>
      <c r="V365" s="377"/>
      <c r="W365" s="377"/>
      <c r="X365" s="377"/>
      <c r="Y365" s="377"/>
      <c r="Z365" s="377"/>
    </row>
    <row r="366" ht="19.5" customHeight="1">
      <c r="A366" s="377"/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  <c r="Z366" s="377"/>
    </row>
    <row r="367" ht="19.5" customHeight="1">
      <c r="A367" s="377"/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7"/>
      <c r="N367" s="377"/>
      <c r="O367" s="377"/>
      <c r="P367" s="377"/>
      <c r="Q367" s="377"/>
      <c r="R367" s="377"/>
      <c r="S367" s="377"/>
      <c r="T367" s="377"/>
      <c r="U367" s="377"/>
      <c r="V367" s="377"/>
      <c r="W367" s="377"/>
      <c r="X367" s="377"/>
      <c r="Y367" s="377"/>
      <c r="Z367" s="377"/>
    </row>
    <row r="368" ht="19.5" customHeight="1">
      <c r="A368" s="377"/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7"/>
      <c r="N368" s="377"/>
      <c r="O368" s="377"/>
      <c r="P368" s="377"/>
      <c r="Q368" s="377"/>
      <c r="R368" s="377"/>
      <c r="S368" s="377"/>
      <c r="T368" s="377"/>
      <c r="U368" s="377"/>
      <c r="V368" s="377"/>
      <c r="W368" s="377"/>
      <c r="X368" s="377"/>
      <c r="Y368" s="377"/>
      <c r="Z368" s="377"/>
    </row>
    <row r="369" ht="19.5" customHeight="1">
      <c r="A369" s="377"/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7"/>
      <c r="N369" s="377"/>
      <c r="O369" s="377"/>
      <c r="P369" s="377"/>
      <c r="Q369" s="377"/>
      <c r="R369" s="377"/>
      <c r="S369" s="377"/>
      <c r="T369" s="377"/>
      <c r="U369" s="377"/>
      <c r="V369" s="377"/>
      <c r="W369" s="377"/>
      <c r="X369" s="377"/>
      <c r="Y369" s="377"/>
      <c r="Z369" s="377"/>
    </row>
    <row r="370" ht="19.5" customHeight="1">
      <c r="A370" s="377"/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7"/>
      <c r="N370" s="377"/>
      <c r="O370" s="377"/>
      <c r="P370" s="377"/>
      <c r="Q370" s="377"/>
      <c r="R370" s="377"/>
      <c r="S370" s="377"/>
      <c r="T370" s="377"/>
      <c r="U370" s="377"/>
      <c r="V370" s="377"/>
      <c r="W370" s="377"/>
      <c r="X370" s="377"/>
      <c r="Y370" s="377"/>
      <c r="Z370" s="377"/>
    </row>
    <row r="371" ht="19.5" customHeight="1">
      <c r="A371" s="377"/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7"/>
      <c r="N371" s="377"/>
      <c r="O371" s="377"/>
      <c r="P371" s="377"/>
      <c r="Q371" s="377"/>
      <c r="R371" s="377"/>
      <c r="S371" s="377"/>
      <c r="T371" s="377"/>
      <c r="U371" s="377"/>
      <c r="V371" s="377"/>
      <c r="W371" s="377"/>
      <c r="X371" s="377"/>
      <c r="Y371" s="377"/>
      <c r="Z371" s="377"/>
    </row>
    <row r="372" ht="19.5" customHeight="1">
      <c r="A372" s="377"/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7"/>
      <c r="N372" s="377"/>
      <c r="O372" s="377"/>
      <c r="P372" s="377"/>
      <c r="Q372" s="377"/>
      <c r="R372" s="377"/>
      <c r="S372" s="377"/>
      <c r="T372" s="377"/>
      <c r="U372" s="377"/>
      <c r="V372" s="377"/>
      <c r="W372" s="377"/>
      <c r="X372" s="377"/>
      <c r="Y372" s="377"/>
      <c r="Z372" s="377"/>
    </row>
    <row r="373" ht="19.5" customHeight="1">
      <c r="A373" s="377"/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7"/>
      <c r="N373" s="377"/>
      <c r="O373" s="377"/>
      <c r="P373" s="377"/>
      <c r="Q373" s="377"/>
      <c r="R373" s="377"/>
      <c r="S373" s="377"/>
      <c r="T373" s="377"/>
      <c r="U373" s="377"/>
      <c r="V373" s="377"/>
      <c r="W373" s="377"/>
      <c r="X373" s="377"/>
      <c r="Y373" s="377"/>
      <c r="Z373" s="377"/>
    </row>
    <row r="374" ht="19.5" customHeight="1">
      <c r="A374" s="377"/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7"/>
      <c r="N374" s="377"/>
      <c r="O374" s="377"/>
      <c r="P374" s="377"/>
      <c r="Q374" s="377"/>
      <c r="R374" s="377"/>
      <c r="S374" s="377"/>
      <c r="T374" s="377"/>
      <c r="U374" s="377"/>
      <c r="V374" s="377"/>
      <c r="W374" s="377"/>
      <c r="X374" s="377"/>
      <c r="Y374" s="377"/>
      <c r="Z374" s="377"/>
    </row>
    <row r="375" ht="19.5" customHeight="1">
      <c r="A375" s="377"/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7"/>
      <c r="N375" s="377"/>
      <c r="O375" s="377"/>
      <c r="P375" s="377"/>
      <c r="Q375" s="377"/>
      <c r="R375" s="377"/>
      <c r="S375" s="377"/>
      <c r="T375" s="377"/>
      <c r="U375" s="377"/>
      <c r="V375" s="377"/>
      <c r="W375" s="377"/>
      <c r="X375" s="377"/>
      <c r="Y375" s="377"/>
      <c r="Z375" s="377"/>
    </row>
    <row r="376" ht="19.5" customHeight="1">
      <c r="A376" s="377"/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7"/>
      <c r="N376" s="377"/>
      <c r="O376" s="377"/>
      <c r="P376" s="377"/>
      <c r="Q376" s="377"/>
      <c r="R376" s="377"/>
      <c r="S376" s="377"/>
      <c r="T376" s="377"/>
      <c r="U376" s="377"/>
      <c r="V376" s="377"/>
      <c r="W376" s="377"/>
      <c r="X376" s="377"/>
      <c r="Y376" s="377"/>
      <c r="Z376" s="377"/>
    </row>
    <row r="377" ht="19.5" customHeight="1">
      <c r="A377" s="377"/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7"/>
      <c r="N377" s="377"/>
      <c r="O377" s="377"/>
      <c r="P377" s="377"/>
      <c r="Q377" s="377"/>
      <c r="R377" s="377"/>
      <c r="S377" s="377"/>
      <c r="T377" s="377"/>
      <c r="U377" s="377"/>
      <c r="V377" s="377"/>
      <c r="W377" s="377"/>
      <c r="X377" s="377"/>
      <c r="Y377" s="377"/>
      <c r="Z377" s="377"/>
    </row>
    <row r="378" ht="19.5" customHeight="1">
      <c r="A378" s="377"/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7"/>
      <c r="N378" s="377"/>
      <c r="O378" s="377"/>
      <c r="P378" s="377"/>
      <c r="Q378" s="377"/>
      <c r="R378" s="377"/>
      <c r="S378" s="377"/>
      <c r="T378" s="377"/>
      <c r="U378" s="377"/>
      <c r="V378" s="377"/>
      <c r="W378" s="377"/>
      <c r="X378" s="377"/>
      <c r="Y378" s="377"/>
      <c r="Z378" s="377"/>
    </row>
    <row r="379" ht="19.5" customHeight="1">
      <c r="A379" s="377"/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7"/>
      <c r="N379" s="377"/>
      <c r="O379" s="377"/>
      <c r="P379" s="377"/>
      <c r="Q379" s="377"/>
      <c r="R379" s="377"/>
      <c r="S379" s="377"/>
      <c r="T379" s="377"/>
      <c r="U379" s="377"/>
      <c r="V379" s="377"/>
      <c r="W379" s="377"/>
      <c r="X379" s="377"/>
      <c r="Y379" s="377"/>
      <c r="Z379" s="377"/>
    </row>
    <row r="380" ht="19.5" customHeight="1">
      <c r="A380" s="377"/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7"/>
      <c r="N380" s="377"/>
      <c r="O380" s="377"/>
      <c r="P380" s="377"/>
      <c r="Q380" s="377"/>
      <c r="R380" s="377"/>
      <c r="S380" s="377"/>
      <c r="T380" s="377"/>
      <c r="U380" s="377"/>
      <c r="V380" s="377"/>
      <c r="W380" s="377"/>
      <c r="X380" s="377"/>
      <c r="Y380" s="377"/>
      <c r="Z380" s="377"/>
    </row>
    <row r="381" ht="19.5" customHeight="1">
      <c r="A381" s="377"/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7"/>
      <c r="N381" s="377"/>
      <c r="O381" s="377"/>
      <c r="P381" s="377"/>
      <c r="Q381" s="377"/>
      <c r="R381" s="377"/>
      <c r="S381" s="377"/>
      <c r="T381" s="377"/>
      <c r="U381" s="377"/>
      <c r="V381" s="377"/>
      <c r="W381" s="377"/>
      <c r="X381" s="377"/>
      <c r="Y381" s="377"/>
      <c r="Z381" s="377"/>
    </row>
    <row r="382" ht="19.5" customHeight="1">
      <c r="A382" s="377"/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7"/>
      <c r="N382" s="377"/>
      <c r="O382" s="377"/>
      <c r="P382" s="377"/>
      <c r="Q382" s="377"/>
      <c r="R382" s="377"/>
      <c r="S382" s="377"/>
      <c r="T382" s="377"/>
      <c r="U382" s="377"/>
      <c r="V382" s="377"/>
      <c r="W382" s="377"/>
      <c r="X382" s="377"/>
      <c r="Y382" s="377"/>
      <c r="Z382" s="377"/>
    </row>
    <row r="383" ht="19.5" customHeight="1">
      <c r="A383" s="377"/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7"/>
      <c r="N383" s="377"/>
      <c r="O383" s="377"/>
      <c r="P383" s="377"/>
      <c r="Q383" s="377"/>
      <c r="R383" s="377"/>
      <c r="S383" s="377"/>
      <c r="T383" s="377"/>
      <c r="U383" s="377"/>
      <c r="V383" s="377"/>
      <c r="W383" s="377"/>
      <c r="X383" s="377"/>
      <c r="Y383" s="377"/>
      <c r="Z383" s="377"/>
    </row>
    <row r="384" ht="19.5" customHeight="1">
      <c r="A384" s="377"/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7"/>
      <c r="N384" s="377"/>
      <c r="O384" s="377"/>
      <c r="P384" s="377"/>
      <c r="Q384" s="377"/>
      <c r="R384" s="377"/>
      <c r="S384" s="377"/>
      <c r="T384" s="377"/>
      <c r="U384" s="377"/>
      <c r="V384" s="377"/>
      <c r="W384" s="377"/>
      <c r="X384" s="377"/>
      <c r="Y384" s="377"/>
      <c r="Z384" s="377"/>
    </row>
    <row r="385" ht="19.5" customHeight="1">
      <c r="A385" s="377"/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7"/>
      <c r="N385" s="377"/>
      <c r="O385" s="377"/>
      <c r="P385" s="377"/>
      <c r="Q385" s="377"/>
      <c r="R385" s="377"/>
      <c r="S385" s="377"/>
      <c r="T385" s="377"/>
      <c r="U385" s="377"/>
      <c r="V385" s="377"/>
      <c r="W385" s="377"/>
      <c r="X385" s="377"/>
      <c r="Y385" s="377"/>
      <c r="Z385" s="377"/>
    </row>
    <row r="386" ht="19.5" customHeight="1">
      <c r="A386" s="377"/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7"/>
      <c r="N386" s="377"/>
      <c r="O386" s="377"/>
      <c r="P386" s="377"/>
      <c r="Q386" s="377"/>
      <c r="R386" s="377"/>
      <c r="S386" s="377"/>
      <c r="T386" s="377"/>
      <c r="U386" s="377"/>
      <c r="V386" s="377"/>
      <c r="W386" s="377"/>
      <c r="X386" s="377"/>
      <c r="Y386" s="377"/>
      <c r="Z386" s="377"/>
    </row>
    <row r="387" ht="19.5" customHeight="1">
      <c r="A387" s="377"/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7"/>
      <c r="N387" s="377"/>
      <c r="O387" s="377"/>
      <c r="P387" s="377"/>
      <c r="Q387" s="377"/>
      <c r="R387" s="377"/>
      <c r="S387" s="377"/>
      <c r="T387" s="377"/>
      <c r="U387" s="377"/>
      <c r="V387" s="377"/>
      <c r="W387" s="377"/>
      <c r="X387" s="377"/>
      <c r="Y387" s="377"/>
      <c r="Z387" s="377"/>
    </row>
    <row r="388" ht="19.5" customHeight="1">
      <c r="A388" s="377"/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7"/>
      <c r="N388" s="377"/>
      <c r="O388" s="377"/>
      <c r="P388" s="377"/>
      <c r="Q388" s="377"/>
      <c r="R388" s="377"/>
      <c r="S388" s="377"/>
      <c r="T388" s="377"/>
      <c r="U388" s="377"/>
      <c r="V388" s="377"/>
      <c r="W388" s="377"/>
      <c r="X388" s="377"/>
      <c r="Y388" s="377"/>
      <c r="Z388" s="377"/>
    </row>
    <row r="389" ht="19.5" customHeight="1">
      <c r="A389" s="377"/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7"/>
      <c r="N389" s="377"/>
      <c r="O389" s="377"/>
      <c r="P389" s="377"/>
      <c r="Q389" s="377"/>
      <c r="R389" s="377"/>
      <c r="S389" s="377"/>
      <c r="T389" s="377"/>
      <c r="U389" s="377"/>
      <c r="V389" s="377"/>
      <c r="W389" s="377"/>
      <c r="X389" s="377"/>
      <c r="Y389" s="377"/>
      <c r="Z389" s="377"/>
    </row>
    <row r="390" ht="19.5" customHeight="1">
      <c r="A390" s="377"/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7"/>
      <c r="N390" s="377"/>
      <c r="O390" s="377"/>
      <c r="P390" s="377"/>
      <c r="Q390" s="377"/>
      <c r="R390" s="377"/>
      <c r="S390" s="377"/>
      <c r="T390" s="377"/>
      <c r="U390" s="377"/>
      <c r="V390" s="377"/>
      <c r="W390" s="377"/>
      <c r="X390" s="377"/>
      <c r="Y390" s="377"/>
      <c r="Z390" s="377"/>
    </row>
    <row r="391" ht="19.5" customHeight="1">
      <c r="A391" s="377"/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7"/>
      <c r="N391" s="377"/>
      <c r="O391" s="377"/>
      <c r="P391" s="377"/>
      <c r="Q391" s="377"/>
      <c r="R391" s="377"/>
      <c r="S391" s="377"/>
      <c r="T391" s="377"/>
      <c r="U391" s="377"/>
      <c r="V391" s="377"/>
      <c r="W391" s="377"/>
      <c r="X391" s="377"/>
      <c r="Y391" s="377"/>
      <c r="Z391" s="377"/>
    </row>
    <row r="392" ht="19.5" customHeight="1">
      <c r="A392" s="377"/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7"/>
      <c r="N392" s="377"/>
      <c r="O392" s="377"/>
      <c r="P392" s="377"/>
      <c r="Q392" s="377"/>
      <c r="R392" s="377"/>
      <c r="S392" s="377"/>
      <c r="T392" s="377"/>
      <c r="U392" s="377"/>
      <c r="V392" s="377"/>
      <c r="W392" s="377"/>
      <c r="X392" s="377"/>
      <c r="Y392" s="377"/>
      <c r="Z392" s="377"/>
    </row>
    <row r="393" ht="19.5" customHeight="1">
      <c r="A393" s="377"/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7"/>
      <c r="N393" s="377"/>
      <c r="O393" s="377"/>
      <c r="P393" s="377"/>
      <c r="Q393" s="377"/>
      <c r="R393" s="377"/>
      <c r="S393" s="377"/>
      <c r="T393" s="377"/>
      <c r="U393" s="377"/>
      <c r="V393" s="377"/>
      <c r="W393" s="377"/>
      <c r="X393" s="377"/>
      <c r="Y393" s="377"/>
      <c r="Z393" s="377"/>
    </row>
    <row r="394" ht="19.5" customHeight="1">
      <c r="A394" s="377"/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7"/>
      <c r="N394" s="377"/>
      <c r="O394" s="377"/>
      <c r="P394" s="377"/>
      <c r="Q394" s="377"/>
      <c r="R394" s="377"/>
      <c r="S394" s="377"/>
      <c r="T394" s="377"/>
      <c r="U394" s="377"/>
      <c r="V394" s="377"/>
      <c r="W394" s="377"/>
      <c r="X394" s="377"/>
      <c r="Y394" s="377"/>
      <c r="Z394" s="377"/>
    </row>
    <row r="395" ht="19.5" customHeight="1">
      <c r="A395" s="377"/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7"/>
      <c r="N395" s="377"/>
      <c r="O395" s="377"/>
      <c r="P395" s="377"/>
      <c r="Q395" s="377"/>
      <c r="R395" s="377"/>
      <c r="S395" s="377"/>
      <c r="T395" s="377"/>
      <c r="U395" s="377"/>
      <c r="V395" s="377"/>
      <c r="W395" s="377"/>
      <c r="X395" s="377"/>
      <c r="Y395" s="377"/>
      <c r="Z395" s="377"/>
    </row>
    <row r="396" ht="19.5" customHeight="1">
      <c r="A396" s="377"/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7"/>
      <c r="N396" s="377"/>
      <c r="O396" s="377"/>
      <c r="P396" s="377"/>
      <c r="Q396" s="377"/>
      <c r="R396" s="377"/>
      <c r="S396" s="377"/>
      <c r="T396" s="377"/>
      <c r="U396" s="377"/>
      <c r="V396" s="377"/>
      <c r="W396" s="377"/>
      <c r="X396" s="377"/>
      <c r="Y396" s="377"/>
      <c r="Z396" s="377"/>
    </row>
    <row r="397" ht="19.5" customHeight="1">
      <c r="A397" s="377"/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7"/>
      <c r="N397" s="377"/>
      <c r="O397" s="377"/>
      <c r="P397" s="377"/>
      <c r="Q397" s="377"/>
      <c r="R397" s="377"/>
      <c r="S397" s="377"/>
      <c r="T397" s="377"/>
      <c r="U397" s="377"/>
      <c r="V397" s="377"/>
      <c r="W397" s="377"/>
      <c r="X397" s="377"/>
      <c r="Y397" s="377"/>
      <c r="Z397" s="377"/>
    </row>
    <row r="398" ht="19.5" customHeight="1">
      <c r="A398" s="377"/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7"/>
      <c r="N398" s="377"/>
      <c r="O398" s="377"/>
      <c r="P398" s="377"/>
      <c r="Q398" s="377"/>
      <c r="R398" s="377"/>
      <c r="S398" s="377"/>
      <c r="T398" s="377"/>
      <c r="U398" s="377"/>
      <c r="V398" s="377"/>
      <c r="W398" s="377"/>
      <c r="X398" s="377"/>
      <c r="Y398" s="377"/>
      <c r="Z398" s="377"/>
    </row>
    <row r="399" ht="19.5" customHeight="1">
      <c r="A399" s="377"/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7"/>
      <c r="N399" s="377"/>
      <c r="O399" s="377"/>
      <c r="P399" s="377"/>
      <c r="Q399" s="377"/>
      <c r="R399" s="377"/>
      <c r="S399" s="377"/>
      <c r="T399" s="377"/>
      <c r="U399" s="377"/>
      <c r="V399" s="377"/>
      <c r="W399" s="377"/>
      <c r="X399" s="377"/>
      <c r="Y399" s="377"/>
      <c r="Z399" s="377"/>
    </row>
    <row r="400" ht="19.5" customHeight="1">
      <c r="A400" s="377"/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7"/>
      <c r="N400" s="377"/>
      <c r="O400" s="377"/>
      <c r="P400" s="377"/>
      <c r="Q400" s="377"/>
      <c r="R400" s="377"/>
      <c r="S400" s="377"/>
      <c r="T400" s="377"/>
      <c r="U400" s="377"/>
      <c r="V400" s="377"/>
      <c r="W400" s="377"/>
      <c r="X400" s="377"/>
      <c r="Y400" s="377"/>
      <c r="Z400" s="377"/>
    </row>
    <row r="401" ht="19.5" customHeight="1">
      <c r="A401" s="377"/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7"/>
      <c r="N401" s="377"/>
      <c r="O401" s="377"/>
      <c r="P401" s="377"/>
      <c r="Q401" s="377"/>
      <c r="R401" s="377"/>
      <c r="S401" s="377"/>
      <c r="T401" s="377"/>
      <c r="U401" s="377"/>
      <c r="V401" s="377"/>
      <c r="W401" s="377"/>
      <c r="X401" s="377"/>
      <c r="Y401" s="377"/>
      <c r="Z401" s="377"/>
    </row>
    <row r="402" ht="19.5" customHeight="1">
      <c r="A402" s="377"/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7"/>
      <c r="N402" s="377"/>
      <c r="O402" s="377"/>
      <c r="P402" s="377"/>
      <c r="Q402" s="377"/>
      <c r="R402" s="377"/>
      <c r="S402" s="377"/>
      <c r="T402" s="377"/>
      <c r="U402" s="377"/>
      <c r="V402" s="377"/>
      <c r="W402" s="377"/>
      <c r="X402" s="377"/>
      <c r="Y402" s="377"/>
      <c r="Z402" s="377"/>
    </row>
    <row r="403" ht="19.5" customHeight="1">
      <c r="A403" s="377"/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  <c r="Z403" s="377"/>
    </row>
    <row r="404" ht="19.5" customHeight="1">
      <c r="A404" s="377"/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  <c r="Z404" s="377"/>
    </row>
    <row r="405" ht="19.5" customHeight="1">
      <c r="A405" s="377"/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  <c r="Z405" s="377"/>
    </row>
    <row r="406" ht="19.5" customHeight="1">
      <c r="A406" s="377"/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7"/>
      <c r="N406" s="377"/>
      <c r="O406" s="377"/>
      <c r="P406" s="377"/>
      <c r="Q406" s="377"/>
      <c r="R406" s="377"/>
      <c r="S406" s="377"/>
      <c r="T406" s="377"/>
      <c r="U406" s="377"/>
      <c r="V406" s="377"/>
      <c r="W406" s="377"/>
      <c r="X406" s="377"/>
      <c r="Y406" s="377"/>
      <c r="Z406" s="377"/>
    </row>
    <row r="407" ht="19.5" customHeight="1">
      <c r="A407" s="377"/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7"/>
      <c r="N407" s="377"/>
      <c r="O407" s="377"/>
      <c r="P407" s="377"/>
      <c r="Q407" s="377"/>
      <c r="R407" s="377"/>
      <c r="S407" s="377"/>
      <c r="T407" s="377"/>
      <c r="U407" s="377"/>
      <c r="V407" s="377"/>
      <c r="W407" s="377"/>
      <c r="X407" s="377"/>
      <c r="Y407" s="377"/>
      <c r="Z407" s="377"/>
    </row>
    <row r="408" ht="19.5" customHeight="1">
      <c r="A408" s="377"/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7"/>
      <c r="N408" s="377"/>
      <c r="O408" s="377"/>
      <c r="P408" s="377"/>
      <c r="Q408" s="377"/>
      <c r="R408" s="377"/>
      <c r="S408" s="377"/>
      <c r="T408" s="377"/>
      <c r="U408" s="377"/>
      <c r="V408" s="377"/>
      <c r="W408" s="377"/>
      <c r="X408" s="377"/>
      <c r="Y408" s="377"/>
      <c r="Z408" s="377"/>
    </row>
    <row r="409" ht="19.5" customHeight="1">
      <c r="A409" s="377"/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7"/>
      <c r="N409" s="377"/>
      <c r="O409" s="377"/>
      <c r="P409" s="377"/>
      <c r="Q409" s="377"/>
      <c r="R409" s="377"/>
      <c r="S409" s="377"/>
      <c r="T409" s="377"/>
      <c r="U409" s="377"/>
      <c r="V409" s="377"/>
      <c r="W409" s="377"/>
      <c r="X409" s="377"/>
      <c r="Y409" s="377"/>
      <c r="Z409" s="377"/>
    </row>
    <row r="410" ht="19.5" customHeight="1">
      <c r="A410" s="377"/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7"/>
      <c r="N410" s="377"/>
      <c r="O410" s="377"/>
      <c r="P410" s="377"/>
      <c r="Q410" s="377"/>
      <c r="R410" s="377"/>
      <c r="S410" s="377"/>
      <c r="T410" s="377"/>
      <c r="U410" s="377"/>
      <c r="V410" s="377"/>
      <c r="W410" s="377"/>
      <c r="X410" s="377"/>
      <c r="Y410" s="377"/>
      <c r="Z410" s="377"/>
    </row>
    <row r="411" ht="19.5" customHeight="1">
      <c r="A411" s="377"/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7"/>
      <c r="N411" s="377"/>
      <c r="O411" s="377"/>
      <c r="P411" s="377"/>
      <c r="Q411" s="377"/>
      <c r="R411" s="377"/>
      <c r="S411" s="377"/>
      <c r="T411" s="377"/>
      <c r="U411" s="377"/>
      <c r="V411" s="377"/>
      <c r="W411" s="377"/>
      <c r="X411" s="377"/>
      <c r="Y411" s="377"/>
      <c r="Z411" s="377"/>
    </row>
    <row r="412" ht="19.5" customHeight="1">
      <c r="A412" s="377"/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7"/>
      <c r="N412" s="377"/>
      <c r="O412" s="377"/>
      <c r="P412" s="377"/>
      <c r="Q412" s="377"/>
      <c r="R412" s="377"/>
      <c r="S412" s="377"/>
      <c r="T412" s="377"/>
      <c r="U412" s="377"/>
      <c r="V412" s="377"/>
      <c r="W412" s="377"/>
      <c r="X412" s="377"/>
      <c r="Y412" s="377"/>
      <c r="Z412" s="377"/>
    </row>
    <row r="413" ht="19.5" customHeight="1">
      <c r="A413" s="377"/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7"/>
      <c r="N413" s="377"/>
      <c r="O413" s="377"/>
      <c r="P413" s="377"/>
      <c r="Q413" s="377"/>
      <c r="R413" s="377"/>
      <c r="S413" s="377"/>
      <c r="T413" s="377"/>
      <c r="U413" s="377"/>
      <c r="V413" s="377"/>
      <c r="W413" s="377"/>
      <c r="X413" s="377"/>
      <c r="Y413" s="377"/>
      <c r="Z413" s="377"/>
    </row>
    <row r="414" ht="19.5" customHeight="1">
      <c r="A414" s="377"/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7"/>
      <c r="N414" s="377"/>
      <c r="O414" s="377"/>
      <c r="P414" s="377"/>
      <c r="Q414" s="377"/>
      <c r="R414" s="377"/>
      <c r="S414" s="377"/>
      <c r="T414" s="377"/>
      <c r="U414" s="377"/>
      <c r="V414" s="377"/>
      <c r="W414" s="377"/>
      <c r="X414" s="377"/>
      <c r="Y414" s="377"/>
      <c r="Z414" s="377"/>
    </row>
    <row r="415" ht="19.5" customHeight="1">
      <c r="A415" s="377"/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7"/>
      <c r="N415" s="377"/>
      <c r="O415" s="377"/>
      <c r="P415" s="377"/>
      <c r="Q415" s="377"/>
      <c r="R415" s="377"/>
      <c r="S415" s="377"/>
      <c r="T415" s="377"/>
      <c r="U415" s="377"/>
      <c r="V415" s="377"/>
      <c r="W415" s="377"/>
      <c r="X415" s="377"/>
      <c r="Y415" s="377"/>
      <c r="Z415" s="377"/>
    </row>
    <row r="416" ht="19.5" customHeight="1">
      <c r="A416" s="377"/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7"/>
      <c r="N416" s="377"/>
      <c r="O416" s="377"/>
      <c r="P416" s="377"/>
      <c r="Q416" s="377"/>
      <c r="R416" s="377"/>
      <c r="S416" s="377"/>
      <c r="T416" s="377"/>
      <c r="U416" s="377"/>
      <c r="V416" s="377"/>
      <c r="W416" s="377"/>
      <c r="X416" s="377"/>
      <c r="Y416" s="377"/>
      <c r="Z416" s="377"/>
    </row>
    <row r="417" ht="19.5" customHeight="1">
      <c r="A417" s="377"/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7"/>
      <c r="N417" s="377"/>
      <c r="O417" s="377"/>
      <c r="P417" s="377"/>
      <c r="Q417" s="377"/>
      <c r="R417" s="377"/>
      <c r="S417" s="377"/>
      <c r="T417" s="377"/>
      <c r="U417" s="377"/>
      <c r="V417" s="377"/>
      <c r="W417" s="377"/>
      <c r="X417" s="377"/>
      <c r="Y417" s="377"/>
      <c r="Z417" s="377"/>
    </row>
    <row r="418" ht="19.5" customHeight="1">
      <c r="A418" s="377"/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7"/>
      <c r="N418" s="377"/>
      <c r="O418" s="377"/>
      <c r="P418" s="377"/>
      <c r="Q418" s="377"/>
      <c r="R418" s="377"/>
      <c r="S418" s="377"/>
      <c r="T418" s="377"/>
      <c r="U418" s="377"/>
      <c r="V418" s="377"/>
      <c r="W418" s="377"/>
      <c r="X418" s="377"/>
      <c r="Y418" s="377"/>
      <c r="Z418" s="377"/>
    </row>
    <row r="419" ht="19.5" customHeight="1">
      <c r="A419" s="377"/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7"/>
      <c r="N419" s="377"/>
      <c r="O419" s="377"/>
      <c r="P419" s="377"/>
      <c r="Q419" s="377"/>
      <c r="R419" s="377"/>
      <c r="S419" s="377"/>
      <c r="T419" s="377"/>
      <c r="U419" s="377"/>
      <c r="V419" s="377"/>
      <c r="W419" s="377"/>
      <c r="X419" s="377"/>
      <c r="Y419" s="377"/>
      <c r="Z419" s="377"/>
    </row>
    <row r="420" ht="19.5" customHeight="1">
      <c r="A420" s="377"/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7"/>
      <c r="N420" s="377"/>
      <c r="O420" s="377"/>
      <c r="P420" s="377"/>
      <c r="Q420" s="377"/>
      <c r="R420" s="377"/>
      <c r="S420" s="377"/>
      <c r="T420" s="377"/>
      <c r="U420" s="377"/>
      <c r="V420" s="377"/>
      <c r="W420" s="377"/>
      <c r="X420" s="377"/>
      <c r="Y420" s="377"/>
      <c r="Z420" s="377"/>
    </row>
    <row r="421" ht="19.5" customHeight="1">
      <c r="A421" s="377"/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7"/>
      <c r="N421" s="377"/>
      <c r="O421" s="377"/>
      <c r="P421" s="377"/>
      <c r="Q421" s="377"/>
      <c r="R421" s="377"/>
      <c r="S421" s="377"/>
      <c r="T421" s="377"/>
      <c r="U421" s="377"/>
      <c r="V421" s="377"/>
      <c r="W421" s="377"/>
      <c r="X421" s="377"/>
      <c r="Y421" s="377"/>
      <c r="Z421" s="377"/>
    </row>
    <row r="422" ht="19.5" customHeight="1">
      <c r="A422" s="377"/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7"/>
      <c r="N422" s="377"/>
      <c r="O422" s="377"/>
      <c r="P422" s="377"/>
      <c r="Q422" s="377"/>
      <c r="R422" s="377"/>
      <c r="S422" s="377"/>
      <c r="T422" s="377"/>
      <c r="U422" s="377"/>
      <c r="V422" s="377"/>
      <c r="W422" s="377"/>
      <c r="X422" s="377"/>
      <c r="Y422" s="377"/>
      <c r="Z422" s="377"/>
    </row>
    <row r="423" ht="19.5" customHeight="1">
      <c r="A423" s="377"/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7"/>
      <c r="N423" s="377"/>
      <c r="O423" s="377"/>
      <c r="P423" s="377"/>
      <c r="Q423" s="377"/>
      <c r="R423" s="377"/>
      <c r="S423" s="377"/>
      <c r="T423" s="377"/>
      <c r="U423" s="377"/>
      <c r="V423" s="377"/>
      <c r="W423" s="377"/>
      <c r="X423" s="377"/>
      <c r="Y423" s="377"/>
      <c r="Z423" s="377"/>
    </row>
    <row r="424" ht="19.5" customHeight="1">
      <c r="A424" s="377"/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7"/>
      <c r="N424" s="377"/>
      <c r="O424" s="377"/>
      <c r="P424" s="377"/>
      <c r="Q424" s="377"/>
      <c r="R424" s="377"/>
      <c r="S424" s="377"/>
      <c r="T424" s="377"/>
      <c r="U424" s="377"/>
      <c r="V424" s="377"/>
      <c r="W424" s="377"/>
      <c r="X424" s="377"/>
      <c r="Y424" s="377"/>
      <c r="Z424" s="377"/>
    </row>
    <row r="425" ht="19.5" customHeight="1">
      <c r="A425" s="377"/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7"/>
      <c r="N425" s="377"/>
      <c r="O425" s="377"/>
      <c r="P425" s="377"/>
      <c r="Q425" s="377"/>
      <c r="R425" s="377"/>
      <c r="S425" s="377"/>
      <c r="T425" s="377"/>
      <c r="U425" s="377"/>
      <c r="V425" s="377"/>
      <c r="W425" s="377"/>
      <c r="X425" s="377"/>
      <c r="Y425" s="377"/>
      <c r="Z425" s="377"/>
    </row>
    <row r="426" ht="19.5" customHeight="1">
      <c r="A426" s="377"/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7"/>
      <c r="N426" s="377"/>
      <c r="O426" s="377"/>
      <c r="P426" s="377"/>
      <c r="Q426" s="377"/>
      <c r="R426" s="377"/>
      <c r="S426" s="377"/>
      <c r="T426" s="377"/>
      <c r="U426" s="377"/>
      <c r="V426" s="377"/>
      <c r="W426" s="377"/>
      <c r="X426" s="377"/>
      <c r="Y426" s="377"/>
      <c r="Z426" s="377"/>
    </row>
    <row r="427" ht="19.5" customHeight="1">
      <c r="A427" s="377"/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7"/>
      <c r="N427" s="377"/>
      <c r="O427" s="377"/>
      <c r="P427" s="377"/>
      <c r="Q427" s="377"/>
      <c r="R427" s="377"/>
      <c r="S427" s="377"/>
      <c r="T427" s="377"/>
      <c r="U427" s="377"/>
      <c r="V427" s="377"/>
      <c r="W427" s="377"/>
      <c r="X427" s="377"/>
      <c r="Y427" s="377"/>
      <c r="Z427" s="377"/>
    </row>
    <row r="428" ht="19.5" customHeight="1">
      <c r="A428" s="377"/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7"/>
      <c r="N428" s="377"/>
      <c r="O428" s="377"/>
      <c r="P428" s="377"/>
      <c r="Q428" s="377"/>
      <c r="R428" s="377"/>
      <c r="S428" s="377"/>
      <c r="T428" s="377"/>
      <c r="U428" s="377"/>
      <c r="V428" s="377"/>
      <c r="W428" s="377"/>
      <c r="X428" s="377"/>
      <c r="Y428" s="377"/>
      <c r="Z428" s="377"/>
    </row>
    <row r="429" ht="19.5" customHeight="1">
      <c r="A429" s="377"/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7"/>
      <c r="N429" s="377"/>
      <c r="O429" s="377"/>
      <c r="P429" s="377"/>
      <c r="Q429" s="377"/>
      <c r="R429" s="377"/>
      <c r="S429" s="377"/>
      <c r="T429" s="377"/>
      <c r="U429" s="377"/>
      <c r="V429" s="377"/>
      <c r="W429" s="377"/>
      <c r="X429" s="377"/>
      <c r="Y429" s="377"/>
      <c r="Z429" s="377"/>
    </row>
    <row r="430" ht="19.5" customHeight="1">
      <c r="A430" s="377"/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7"/>
      <c r="N430" s="377"/>
      <c r="O430" s="377"/>
      <c r="P430" s="377"/>
      <c r="Q430" s="377"/>
      <c r="R430" s="377"/>
      <c r="S430" s="377"/>
      <c r="T430" s="377"/>
      <c r="U430" s="377"/>
      <c r="V430" s="377"/>
      <c r="W430" s="377"/>
      <c r="X430" s="377"/>
      <c r="Y430" s="377"/>
      <c r="Z430" s="377"/>
    </row>
    <row r="431" ht="19.5" customHeight="1">
      <c r="A431" s="377"/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7"/>
      <c r="N431" s="377"/>
      <c r="O431" s="377"/>
      <c r="P431" s="377"/>
      <c r="Q431" s="377"/>
      <c r="R431" s="377"/>
      <c r="S431" s="377"/>
      <c r="T431" s="377"/>
      <c r="U431" s="377"/>
      <c r="V431" s="377"/>
      <c r="W431" s="377"/>
      <c r="X431" s="377"/>
      <c r="Y431" s="377"/>
      <c r="Z431" s="377"/>
    </row>
    <row r="432" ht="19.5" customHeight="1">
      <c r="A432" s="377"/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7"/>
      <c r="N432" s="377"/>
      <c r="O432" s="377"/>
      <c r="P432" s="377"/>
      <c r="Q432" s="377"/>
      <c r="R432" s="377"/>
      <c r="S432" s="377"/>
      <c r="T432" s="377"/>
      <c r="U432" s="377"/>
      <c r="V432" s="377"/>
      <c r="W432" s="377"/>
      <c r="X432" s="377"/>
      <c r="Y432" s="377"/>
      <c r="Z432" s="377"/>
    </row>
    <row r="433" ht="19.5" customHeight="1">
      <c r="A433" s="377"/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7"/>
      <c r="N433" s="377"/>
      <c r="O433" s="377"/>
      <c r="P433" s="377"/>
      <c r="Q433" s="377"/>
      <c r="R433" s="377"/>
      <c r="S433" s="377"/>
      <c r="T433" s="377"/>
      <c r="U433" s="377"/>
      <c r="V433" s="377"/>
      <c r="W433" s="377"/>
      <c r="X433" s="377"/>
      <c r="Y433" s="377"/>
      <c r="Z433" s="377"/>
    </row>
    <row r="434" ht="19.5" customHeight="1">
      <c r="A434" s="377"/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7"/>
      <c r="N434" s="377"/>
      <c r="O434" s="377"/>
      <c r="P434" s="377"/>
      <c r="Q434" s="377"/>
      <c r="R434" s="377"/>
      <c r="S434" s="377"/>
      <c r="T434" s="377"/>
      <c r="U434" s="377"/>
      <c r="V434" s="377"/>
      <c r="W434" s="377"/>
      <c r="X434" s="377"/>
      <c r="Y434" s="377"/>
      <c r="Z434" s="377"/>
    </row>
    <row r="435" ht="19.5" customHeight="1">
      <c r="A435" s="377"/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7"/>
      <c r="N435" s="377"/>
      <c r="O435" s="377"/>
      <c r="P435" s="377"/>
      <c r="Q435" s="377"/>
      <c r="R435" s="377"/>
      <c r="S435" s="377"/>
      <c r="T435" s="377"/>
      <c r="U435" s="377"/>
      <c r="V435" s="377"/>
      <c r="W435" s="377"/>
      <c r="X435" s="377"/>
      <c r="Y435" s="377"/>
      <c r="Z435" s="377"/>
    </row>
    <row r="436" ht="19.5" customHeight="1">
      <c r="A436" s="377"/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7"/>
      <c r="Y436" s="377"/>
      <c r="Z436" s="377"/>
    </row>
    <row r="437" ht="19.5" customHeight="1">
      <c r="A437" s="377"/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7"/>
      <c r="Y437" s="377"/>
      <c r="Z437" s="377"/>
    </row>
    <row r="438" ht="19.5" customHeight="1">
      <c r="A438" s="377"/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7"/>
      <c r="Y438" s="377"/>
      <c r="Z438" s="377"/>
    </row>
    <row r="439" ht="19.5" customHeight="1">
      <c r="A439" s="377"/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7"/>
      <c r="Y439" s="377"/>
      <c r="Z439" s="377"/>
    </row>
    <row r="440" ht="19.5" customHeight="1">
      <c r="A440" s="377"/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7"/>
      <c r="Y440" s="377"/>
      <c r="Z440" s="377"/>
    </row>
    <row r="441" ht="19.5" customHeight="1">
      <c r="A441" s="377"/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7"/>
      <c r="N441" s="377"/>
      <c r="O441" s="377"/>
      <c r="P441" s="377"/>
      <c r="Q441" s="377"/>
      <c r="R441" s="377"/>
      <c r="S441" s="377"/>
      <c r="T441" s="377"/>
      <c r="U441" s="377"/>
      <c r="V441" s="377"/>
      <c r="W441" s="377"/>
      <c r="X441" s="377"/>
      <c r="Y441" s="377"/>
      <c r="Z441" s="377"/>
    </row>
    <row r="442" ht="19.5" customHeight="1">
      <c r="A442" s="377"/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7"/>
      <c r="N442" s="377"/>
      <c r="O442" s="377"/>
      <c r="P442" s="377"/>
      <c r="Q442" s="377"/>
      <c r="R442" s="377"/>
      <c r="S442" s="377"/>
      <c r="T442" s="377"/>
      <c r="U442" s="377"/>
      <c r="V442" s="377"/>
      <c r="W442" s="377"/>
      <c r="X442" s="377"/>
      <c r="Y442" s="377"/>
      <c r="Z442" s="377"/>
    </row>
    <row r="443" ht="19.5" customHeight="1">
      <c r="A443" s="377"/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7"/>
      <c r="N443" s="377"/>
      <c r="O443" s="377"/>
      <c r="P443" s="377"/>
      <c r="Q443" s="377"/>
      <c r="R443" s="377"/>
      <c r="S443" s="377"/>
      <c r="T443" s="377"/>
      <c r="U443" s="377"/>
      <c r="V443" s="377"/>
      <c r="W443" s="377"/>
      <c r="X443" s="377"/>
      <c r="Y443" s="377"/>
      <c r="Z443" s="377"/>
    </row>
    <row r="444" ht="19.5" customHeight="1">
      <c r="A444" s="377"/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7"/>
      <c r="N444" s="377"/>
      <c r="O444" s="377"/>
      <c r="P444" s="377"/>
      <c r="Q444" s="377"/>
      <c r="R444" s="377"/>
      <c r="S444" s="377"/>
      <c r="T444" s="377"/>
      <c r="U444" s="377"/>
      <c r="V444" s="377"/>
      <c r="W444" s="377"/>
      <c r="X444" s="377"/>
      <c r="Y444" s="377"/>
      <c r="Z444" s="377"/>
    </row>
    <row r="445" ht="19.5" customHeight="1">
      <c r="A445" s="377"/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7"/>
      <c r="N445" s="377"/>
      <c r="O445" s="377"/>
      <c r="P445" s="377"/>
      <c r="Q445" s="377"/>
      <c r="R445" s="377"/>
      <c r="S445" s="377"/>
      <c r="T445" s="377"/>
      <c r="U445" s="377"/>
      <c r="V445" s="377"/>
      <c r="W445" s="377"/>
      <c r="X445" s="377"/>
      <c r="Y445" s="377"/>
      <c r="Z445" s="377"/>
    </row>
    <row r="446" ht="19.5" customHeight="1">
      <c r="A446" s="377"/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377"/>
      <c r="O446" s="377"/>
      <c r="P446" s="377"/>
      <c r="Q446" s="377"/>
      <c r="R446" s="377"/>
      <c r="S446" s="377"/>
      <c r="T446" s="377"/>
      <c r="U446" s="377"/>
      <c r="V446" s="377"/>
      <c r="W446" s="377"/>
      <c r="X446" s="377"/>
      <c r="Y446" s="377"/>
      <c r="Z446" s="377"/>
    </row>
    <row r="447" ht="19.5" customHeight="1">
      <c r="A447" s="377"/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7"/>
      <c r="N447" s="377"/>
      <c r="O447" s="377"/>
      <c r="P447" s="377"/>
      <c r="Q447" s="377"/>
      <c r="R447" s="377"/>
      <c r="S447" s="377"/>
      <c r="T447" s="377"/>
      <c r="U447" s="377"/>
      <c r="V447" s="377"/>
      <c r="W447" s="377"/>
      <c r="X447" s="377"/>
      <c r="Y447" s="377"/>
      <c r="Z447" s="377"/>
    </row>
    <row r="448" ht="19.5" customHeight="1">
      <c r="A448" s="377"/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7"/>
      <c r="N448" s="377"/>
      <c r="O448" s="377"/>
      <c r="P448" s="377"/>
      <c r="Q448" s="377"/>
      <c r="R448" s="377"/>
      <c r="S448" s="377"/>
      <c r="T448" s="377"/>
      <c r="U448" s="377"/>
      <c r="V448" s="377"/>
      <c r="W448" s="377"/>
      <c r="X448" s="377"/>
      <c r="Y448" s="377"/>
      <c r="Z448" s="377"/>
    </row>
    <row r="449" ht="19.5" customHeight="1">
      <c r="A449" s="377"/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7"/>
      <c r="N449" s="377"/>
      <c r="O449" s="377"/>
      <c r="P449" s="377"/>
      <c r="Q449" s="377"/>
      <c r="R449" s="377"/>
      <c r="S449" s="377"/>
      <c r="T449" s="377"/>
      <c r="U449" s="377"/>
      <c r="V449" s="377"/>
      <c r="W449" s="377"/>
      <c r="X449" s="377"/>
      <c r="Y449" s="377"/>
      <c r="Z449" s="377"/>
    </row>
    <row r="450" ht="19.5" customHeight="1">
      <c r="A450" s="377"/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7"/>
      <c r="N450" s="377"/>
      <c r="O450" s="377"/>
      <c r="P450" s="377"/>
      <c r="Q450" s="377"/>
      <c r="R450" s="377"/>
      <c r="S450" s="377"/>
      <c r="T450" s="377"/>
      <c r="U450" s="377"/>
      <c r="V450" s="377"/>
      <c r="W450" s="377"/>
      <c r="X450" s="377"/>
      <c r="Y450" s="377"/>
      <c r="Z450" s="377"/>
    </row>
    <row r="451" ht="19.5" customHeight="1">
      <c r="A451" s="377"/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7"/>
      <c r="N451" s="377"/>
      <c r="O451" s="377"/>
      <c r="P451" s="377"/>
      <c r="Q451" s="377"/>
      <c r="R451" s="377"/>
      <c r="S451" s="377"/>
      <c r="T451" s="377"/>
      <c r="U451" s="377"/>
      <c r="V451" s="377"/>
      <c r="W451" s="377"/>
      <c r="X451" s="377"/>
      <c r="Y451" s="377"/>
      <c r="Z451" s="377"/>
    </row>
    <row r="452" ht="19.5" customHeight="1">
      <c r="A452" s="377"/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7"/>
      <c r="N452" s="377"/>
      <c r="O452" s="377"/>
      <c r="P452" s="377"/>
      <c r="Q452" s="377"/>
      <c r="R452" s="377"/>
      <c r="S452" s="377"/>
      <c r="T452" s="377"/>
      <c r="U452" s="377"/>
      <c r="V452" s="377"/>
      <c r="W452" s="377"/>
      <c r="X452" s="377"/>
      <c r="Y452" s="377"/>
      <c r="Z452" s="377"/>
    </row>
    <row r="453" ht="19.5" customHeight="1">
      <c r="A453" s="377"/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7"/>
      <c r="N453" s="377"/>
      <c r="O453" s="377"/>
      <c r="P453" s="377"/>
      <c r="Q453" s="377"/>
      <c r="R453" s="377"/>
      <c r="S453" s="377"/>
      <c r="T453" s="377"/>
      <c r="U453" s="377"/>
      <c r="V453" s="377"/>
      <c r="W453" s="377"/>
      <c r="X453" s="377"/>
      <c r="Y453" s="377"/>
      <c r="Z453" s="377"/>
    </row>
    <row r="454" ht="19.5" customHeight="1">
      <c r="A454" s="377"/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  <c r="T454" s="377"/>
      <c r="U454" s="377"/>
      <c r="V454" s="377"/>
      <c r="W454" s="377"/>
      <c r="X454" s="377"/>
      <c r="Y454" s="377"/>
      <c r="Z454" s="377"/>
    </row>
    <row r="455" ht="19.5" customHeight="1">
      <c r="A455" s="377"/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  <c r="T455" s="377"/>
      <c r="U455" s="377"/>
      <c r="V455" s="377"/>
      <c r="W455" s="377"/>
      <c r="X455" s="377"/>
      <c r="Y455" s="377"/>
      <c r="Z455" s="377"/>
    </row>
    <row r="456" ht="19.5" customHeight="1">
      <c r="A456" s="377"/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  <c r="T456" s="377"/>
      <c r="U456" s="377"/>
      <c r="V456" s="377"/>
      <c r="W456" s="377"/>
      <c r="X456" s="377"/>
      <c r="Y456" s="377"/>
      <c r="Z456" s="377"/>
    </row>
    <row r="457" ht="19.5" customHeight="1">
      <c r="A457" s="377"/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  <c r="T457" s="377"/>
      <c r="U457" s="377"/>
      <c r="V457" s="377"/>
      <c r="W457" s="377"/>
      <c r="X457" s="377"/>
      <c r="Y457" s="377"/>
      <c r="Z457" s="377"/>
    </row>
    <row r="458" ht="19.5" customHeight="1">
      <c r="A458" s="377"/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7"/>
      <c r="N458" s="377"/>
      <c r="O458" s="377"/>
      <c r="P458" s="377"/>
      <c r="Q458" s="377"/>
      <c r="R458" s="377"/>
      <c r="S458" s="377"/>
      <c r="T458" s="377"/>
      <c r="U458" s="377"/>
      <c r="V458" s="377"/>
      <c r="W458" s="377"/>
      <c r="X458" s="377"/>
      <c r="Y458" s="377"/>
      <c r="Z458" s="377"/>
    </row>
    <row r="459" ht="19.5" customHeight="1">
      <c r="A459" s="377"/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7"/>
      <c r="N459" s="377"/>
      <c r="O459" s="377"/>
      <c r="P459" s="377"/>
      <c r="Q459" s="377"/>
      <c r="R459" s="377"/>
      <c r="S459" s="377"/>
      <c r="T459" s="377"/>
      <c r="U459" s="377"/>
      <c r="V459" s="377"/>
      <c r="W459" s="377"/>
      <c r="X459" s="377"/>
      <c r="Y459" s="377"/>
      <c r="Z459" s="377"/>
    </row>
    <row r="460" ht="19.5" customHeight="1">
      <c r="A460" s="377"/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7"/>
      <c r="N460" s="377"/>
      <c r="O460" s="377"/>
      <c r="P460" s="377"/>
      <c r="Q460" s="377"/>
      <c r="R460" s="377"/>
      <c r="S460" s="377"/>
      <c r="T460" s="377"/>
      <c r="U460" s="377"/>
      <c r="V460" s="377"/>
      <c r="W460" s="377"/>
      <c r="X460" s="377"/>
      <c r="Y460" s="377"/>
      <c r="Z460" s="377"/>
    </row>
    <row r="461" ht="19.5" customHeight="1">
      <c r="A461" s="377"/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7"/>
      <c r="N461" s="377"/>
      <c r="O461" s="377"/>
      <c r="P461" s="377"/>
      <c r="Q461" s="377"/>
      <c r="R461" s="377"/>
      <c r="S461" s="377"/>
      <c r="T461" s="377"/>
      <c r="U461" s="377"/>
      <c r="V461" s="377"/>
      <c r="W461" s="377"/>
      <c r="X461" s="377"/>
      <c r="Y461" s="377"/>
      <c r="Z461" s="377"/>
    </row>
    <row r="462" ht="19.5" customHeight="1">
      <c r="A462" s="377"/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7"/>
      <c r="N462" s="377"/>
      <c r="O462" s="377"/>
      <c r="P462" s="377"/>
      <c r="Q462" s="377"/>
      <c r="R462" s="377"/>
      <c r="S462" s="377"/>
      <c r="T462" s="377"/>
      <c r="U462" s="377"/>
      <c r="V462" s="377"/>
      <c r="W462" s="377"/>
      <c r="X462" s="377"/>
      <c r="Y462" s="377"/>
      <c r="Z462" s="377"/>
    </row>
    <row r="463" ht="19.5" customHeight="1">
      <c r="A463" s="377"/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7"/>
      <c r="N463" s="377"/>
      <c r="O463" s="377"/>
      <c r="P463" s="377"/>
      <c r="Q463" s="377"/>
      <c r="R463" s="377"/>
      <c r="S463" s="377"/>
      <c r="T463" s="377"/>
      <c r="U463" s="377"/>
      <c r="V463" s="377"/>
      <c r="W463" s="377"/>
      <c r="X463" s="377"/>
      <c r="Y463" s="377"/>
      <c r="Z463" s="377"/>
    </row>
    <row r="464" ht="19.5" customHeight="1">
      <c r="A464" s="377"/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7"/>
      <c r="N464" s="377"/>
      <c r="O464" s="377"/>
      <c r="P464" s="377"/>
      <c r="Q464" s="377"/>
      <c r="R464" s="377"/>
      <c r="S464" s="377"/>
      <c r="T464" s="377"/>
      <c r="U464" s="377"/>
      <c r="V464" s="377"/>
      <c r="W464" s="377"/>
      <c r="X464" s="377"/>
      <c r="Y464" s="377"/>
      <c r="Z464" s="377"/>
    </row>
    <row r="465" ht="19.5" customHeight="1">
      <c r="A465" s="377"/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7"/>
      <c r="N465" s="377"/>
      <c r="O465" s="377"/>
      <c r="P465" s="377"/>
      <c r="Q465" s="377"/>
      <c r="R465" s="377"/>
      <c r="S465" s="377"/>
      <c r="T465" s="377"/>
      <c r="U465" s="377"/>
      <c r="V465" s="377"/>
      <c r="W465" s="377"/>
      <c r="X465" s="377"/>
      <c r="Y465" s="377"/>
      <c r="Z465" s="377"/>
    </row>
    <row r="466" ht="19.5" customHeight="1">
      <c r="A466" s="377"/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7"/>
      <c r="N466" s="377"/>
      <c r="O466" s="377"/>
      <c r="P466" s="377"/>
      <c r="Q466" s="377"/>
      <c r="R466" s="377"/>
      <c r="S466" s="377"/>
      <c r="T466" s="377"/>
      <c r="U466" s="377"/>
      <c r="V466" s="377"/>
      <c r="W466" s="377"/>
      <c r="X466" s="377"/>
      <c r="Y466" s="377"/>
      <c r="Z466" s="377"/>
    </row>
    <row r="467" ht="19.5" customHeight="1">
      <c r="A467" s="377"/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7"/>
      <c r="N467" s="377"/>
      <c r="O467" s="377"/>
      <c r="P467" s="377"/>
      <c r="Q467" s="377"/>
      <c r="R467" s="377"/>
      <c r="S467" s="377"/>
      <c r="T467" s="377"/>
      <c r="U467" s="377"/>
      <c r="V467" s="377"/>
      <c r="W467" s="377"/>
      <c r="X467" s="377"/>
      <c r="Y467" s="377"/>
      <c r="Z467" s="377"/>
    </row>
    <row r="468" ht="19.5" customHeight="1">
      <c r="A468" s="377"/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7"/>
      <c r="N468" s="377"/>
      <c r="O468" s="377"/>
      <c r="P468" s="377"/>
      <c r="Q468" s="377"/>
      <c r="R468" s="377"/>
      <c r="S468" s="377"/>
      <c r="T468" s="377"/>
      <c r="U468" s="377"/>
      <c r="V468" s="377"/>
      <c r="W468" s="377"/>
      <c r="X468" s="377"/>
      <c r="Y468" s="377"/>
      <c r="Z468" s="377"/>
    </row>
    <row r="469" ht="19.5" customHeight="1">
      <c r="A469" s="377"/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7"/>
      <c r="N469" s="377"/>
      <c r="O469" s="377"/>
      <c r="P469" s="377"/>
      <c r="Q469" s="377"/>
      <c r="R469" s="377"/>
      <c r="S469" s="377"/>
      <c r="T469" s="377"/>
      <c r="U469" s="377"/>
      <c r="V469" s="377"/>
      <c r="W469" s="377"/>
      <c r="X469" s="377"/>
      <c r="Y469" s="377"/>
      <c r="Z469" s="377"/>
    </row>
    <row r="470" ht="19.5" customHeight="1">
      <c r="A470" s="377"/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7"/>
      <c r="N470" s="377"/>
      <c r="O470" s="377"/>
      <c r="P470" s="377"/>
      <c r="Q470" s="377"/>
      <c r="R470" s="377"/>
      <c r="S470" s="377"/>
      <c r="T470" s="377"/>
      <c r="U470" s="377"/>
      <c r="V470" s="377"/>
      <c r="W470" s="377"/>
      <c r="X470" s="377"/>
      <c r="Y470" s="377"/>
      <c r="Z470" s="377"/>
    </row>
    <row r="471" ht="19.5" customHeight="1">
      <c r="A471" s="377"/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7"/>
      <c r="N471" s="377"/>
      <c r="O471" s="377"/>
      <c r="P471" s="377"/>
      <c r="Q471" s="377"/>
      <c r="R471" s="377"/>
      <c r="S471" s="377"/>
      <c r="T471" s="377"/>
      <c r="U471" s="377"/>
      <c r="V471" s="377"/>
      <c r="W471" s="377"/>
      <c r="X471" s="377"/>
      <c r="Y471" s="377"/>
      <c r="Z471" s="377"/>
    </row>
    <row r="472" ht="19.5" customHeight="1">
      <c r="A472" s="377"/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7"/>
      <c r="N472" s="377"/>
      <c r="O472" s="377"/>
      <c r="P472" s="377"/>
      <c r="Q472" s="377"/>
      <c r="R472" s="377"/>
      <c r="S472" s="377"/>
      <c r="T472" s="377"/>
      <c r="U472" s="377"/>
      <c r="V472" s="377"/>
      <c r="W472" s="377"/>
      <c r="X472" s="377"/>
      <c r="Y472" s="377"/>
      <c r="Z472" s="377"/>
    </row>
    <row r="473" ht="19.5" customHeight="1">
      <c r="A473" s="377"/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7"/>
      <c r="N473" s="377"/>
      <c r="O473" s="377"/>
      <c r="P473" s="377"/>
      <c r="Q473" s="377"/>
      <c r="R473" s="377"/>
      <c r="S473" s="377"/>
      <c r="T473" s="377"/>
      <c r="U473" s="377"/>
      <c r="V473" s="377"/>
      <c r="W473" s="377"/>
      <c r="X473" s="377"/>
      <c r="Y473" s="377"/>
      <c r="Z473" s="377"/>
    </row>
    <row r="474" ht="19.5" customHeight="1">
      <c r="A474" s="377"/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7"/>
      <c r="N474" s="377"/>
      <c r="O474" s="377"/>
      <c r="P474" s="377"/>
      <c r="Q474" s="377"/>
      <c r="R474" s="377"/>
      <c r="S474" s="377"/>
      <c r="T474" s="377"/>
      <c r="U474" s="377"/>
      <c r="V474" s="377"/>
      <c r="W474" s="377"/>
      <c r="X474" s="377"/>
      <c r="Y474" s="377"/>
      <c r="Z474" s="377"/>
    </row>
    <row r="475" ht="19.5" customHeight="1">
      <c r="A475" s="377"/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  <c r="Z475" s="377"/>
    </row>
    <row r="476" ht="19.5" customHeight="1">
      <c r="A476" s="377"/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7"/>
      <c r="N476" s="377"/>
      <c r="O476" s="377"/>
      <c r="P476" s="377"/>
      <c r="Q476" s="377"/>
      <c r="R476" s="377"/>
      <c r="S476" s="377"/>
      <c r="T476" s="377"/>
      <c r="U476" s="377"/>
      <c r="V476" s="377"/>
      <c r="W476" s="377"/>
      <c r="X476" s="377"/>
      <c r="Y476" s="377"/>
      <c r="Z476" s="377"/>
    </row>
    <row r="477" ht="19.5" customHeight="1">
      <c r="A477" s="377"/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7"/>
      <c r="N477" s="377"/>
      <c r="O477" s="377"/>
      <c r="P477" s="377"/>
      <c r="Q477" s="377"/>
      <c r="R477" s="377"/>
      <c r="S477" s="377"/>
      <c r="T477" s="377"/>
      <c r="U477" s="377"/>
      <c r="V477" s="377"/>
      <c r="W477" s="377"/>
      <c r="X477" s="377"/>
      <c r="Y477" s="377"/>
      <c r="Z477" s="377"/>
    </row>
    <row r="478" ht="19.5" customHeight="1">
      <c r="A478" s="377"/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7"/>
      <c r="N478" s="377"/>
      <c r="O478" s="377"/>
      <c r="P478" s="377"/>
      <c r="Q478" s="377"/>
      <c r="R478" s="377"/>
      <c r="S478" s="377"/>
      <c r="T478" s="377"/>
      <c r="U478" s="377"/>
      <c r="V478" s="377"/>
      <c r="W478" s="377"/>
      <c r="X478" s="377"/>
      <c r="Y478" s="377"/>
      <c r="Z478" s="377"/>
    </row>
    <row r="479" ht="19.5" customHeight="1">
      <c r="A479" s="377"/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  <c r="Z479" s="377"/>
    </row>
    <row r="480" ht="19.5" customHeight="1">
      <c r="A480" s="377"/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7"/>
      <c r="N480" s="377"/>
      <c r="O480" s="377"/>
      <c r="P480" s="377"/>
      <c r="Q480" s="377"/>
      <c r="R480" s="377"/>
      <c r="S480" s="377"/>
      <c r="T480" s="377"/>
      <c r="U480" s="377"/>
      <c r="V480" s="377"/>
      <c r="W480" s="377"/>
      <c r="X480" s="377"/>
      <c r="Y480" s="377"/>
      <c r="Z480" s="377"/>
    </row>
    <row r="481" ht="19.5" customHeight="1">
      <c r="A481" s="377"/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7"/>
      <c r="N481" s="377"/>
      <c r="O481" s="377"/>
      <c r="P481" s="377"/>
      <c r="Q481" s="377"/>
      <c r="R481" s="377"/>
      <c r="S481" s="377"/>
      <c r="T481" s="377"/>
      <c r="U481" s="377"/>
      <c r="V481" s="377"/>
      <c r="W481" s="377"/>
      <c r="X481" s="377"/>
      <c r="Y481" s="377"/>
      <c r="Z481" s="377"/>
    </row>
    <row r="482" ht="19.5" customHeight="1">
      <c r="A482" s="377"/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7"/>
      <c r="N482" s="377"/>
      <c r="O482" s="377"/>
      <c r="P482" s="377"/>
      <c r="Q482" s="377"/>
      <c r="R482" s="377"/>
      <c r="S482" s="377"/>
      <c r="T482" s="377"/>
      <c r="U482" s="377"/>
      <c r="V482" s="377"/>
      <c r="W482" s="377"/>
      <c r="X482" s="377"/>
      <c r="Y482" s="377"/>
      <c r="Z482" s="377"/>
    </row>
    <row r="483" ht="19.5" customHeight="1">
      <c r="A483" s="377"/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7"/>
      <c r="N483" s="377"/>
      <c r="O483" s="377"/>
      <c r="P483" s="377"/>
      <c r="Q483" s="377"/>
      <c r="R483" s="377"/>
      <c r="S483" s="377"/>
      <c r="T483" s="377"/>
      <c r="U483" s="377"/>
      <c r="V483" s="377"/>
      <c r="W483" s="377"/>
      <c r="X483" s="377"/>
      <c r="Y483" s="377"/>
      <c r="Z483" s="377"/>
    </row>
    <row r="484" ht="19.5" customHeight="1">
      <c r="A484" s="377"/>
      <c r="B484" s="377"/>
      <c r="C484" s="377"/>
      <c r="D484" s="377"/>
      <c r="E484" s="377"/>
      <c r="F484" s="377"/>
      <c r="G484" s="377"/>
      <c r="H484" s="377"/>
      <c r="I484" s="377"/>
      <c r="J484" s="377"/>
      <c r="K484" s="377"/>
      <c r="L484" s="377"/>
      <c r="M484" s="377"/>
      <c r="N484" s="377"/>
      <c r="O484" s="377"/>
      <c r="P484" s="377"/>
      <c r="Q484" s="377"/>
      <c r="R484" s="377"/>
      <c r="S484" s="377"/>
      <c r="T484" s="377"/>
      <c r="U484" s="377"/>
      <c r="V484" s="377"/>
      <c r="W484" s="377"/>
      <c r="X484" s="377"/>
      <c r="Y484" s="377"/>
      <c r="Z484" s="377"/>
    </row>
    <row r="485" ht="19.5" customHeight="1">
      <c r="A485" s="377"/>
      <c r="B485" s="377"/>
      <c r="C485" s="377"/>
      <c r="D485" s="377"/>
      <c r="E485" s="377"/>
      <c r="F485" s="377"/>
      <c r="G485" s="377"/>
      <c r="H485" s="377"/>
      <c r="I485" s="377"/>
      <c r="J485" s="377"/>
      <c r="K485" s="377"/>
      <c r="L485" s="377"/>
      <c r="M485" s="377"/>
      <c r="N485" s="377"/>
      <c r="O485" s="377"/>
      <c r="P485" s="377"/>
      <c r="Q485" s="377"/>
      <c r="R485" s="377"/>
      <c r="S485" s="377"/>
      <c r="T485" s="377"/>
      <c r="U485" s="377"/>
      <c r="V485" s="377"/>
      <c r="W485" s="377"/>
      <c r="X485" s="377"/>
      <c r="Y485" s="377"/>
      <c r="Z485" s="377"/>
    </row>
    <row r="486" ht="19.5" customHeight="1">
      <c r="A486" s="377"/>
      <c r="B486" s="377"/>
      <c r="C486" s="377"/>
      <c r="D486" s="377"/>
      <c r="E486" s="377"/>
      <c r="F486" s="377"/>
      <c r="G486" s="377"/>
      <c r="H486" s="377"/>
      <c r="I486" s="377"/>
      <c r="J486" s="377"/>
      <c r="K486" s="377"/>
      <c r="L486" s="377"/>
      <c r="M486" s="377"/>
      <c r="N486" s="377"/>
      <c r="O486" s="377"/>
      <c r="P486" s="377"/>
      <c r="Q486" s="377"/>
      <c r="R486" s="377"/>
      <c r="S486" s="377"/>
      <c r="T486" s="377"/>
      <c r="U486" s="377"/>
      <c r="V486" s="377"/>
      <c r="W486" s="377"/>
      <c r="X486" s="377"/>
      <c r="Y486" s="377"/>
      <c r="Z486" s="377"/>
    </row>
    <row r="487" ht="19.5" customHeight="1">
      <c r="A487" s="377"/>
      <c r="B487" s="377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  <c r="P487" s="377"/>
      <c r="Q487" s="377"/>
      <c r="R487" s="377"/>
      <c r="S487" s="377"/>
      <c r="T487" s="377"/>
      <c r="U487" s="377"/>
      <c r="V487" s="377"/>
      <c r="W487" s="377"/>
      <c r="X487" s="377"/>
      <c r="Y487" s="377"/>
      <c r="Z487" s="377"/>
    </row>
    <row r="488" ht="19.5" customHeight="1">
      <c r="A488" s="377"/>
      <c r="B488" s="377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  <c r="Z488" s="377"/>
    </row>
    <row r="489" ht="19.5" customHeight="1">
      <c r="A489" s="377"/>
      <c r="B489" s="377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  <c r="Z489" s="377"/>
    </row>
    <row r="490" ht="19.5" customHeight="1">
      <c r="A490" s="377"/>
      <c r="B490" s="377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  <c r="Z490" s="377"/>
    </row>
    <row r="491" ht="19.5" customHeight="1">
      <c r="A491" s="377"/>
      <c r="B491" s="377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  <c r="Z491" s="377"/>
    </row>
    <row r="492" ht="19.5" customHeight="1">
      <c r="A492" s="377"/>
      <c r="B492" s="377"/>
      <c r="C492" s="377"/>
      <c r="D492" s="377"/>
      <c r="E492" s="377"/>
      <c r="F492" s="377"/>
      <c r="G492" s="377"/>
      <c r="H492" s="377"/>
      <c r="I492" s="377"/>
      <c r="J492" s="377"/>
      <c r="K492" s="377"/>
      <c r="L492" s="377"/>
      <c r="M492" s="377"/>
      <c r="N492" s="377"/>
      <c r="O492" s="377"/>
      <c r="P492" s="377"/>
      <c r="Q492" s="377"/>
      <c r="R492" s="377"/>
      <c r="S492" s="377"/>
      <c r="T492" s="377"/>
      <c r="U492" s="377"/>
      <c r="V492" s="377"/>
      <c r="W492" s="377"/>
      <c r="X492" s="377"/>
      <c r="Y492" s="377"/>
      <c r="Z492" s="377"/>
    </row>
    <row r="493" ht="19.5" customHeight="1">
      <c r="A493" s="377"/>
      <c r="B493" s="377"/>
      <c r="C493" s="377"/>
      <c r="D493" s="377"/>
      <c r="E493" s="377"/>
      <c r="F493" s="377"/>
      <c r="G493" s="377"/>
      <c r="H493" s="377"/>
      <c r="I493" s="377"/>
      <c r="J493" s="377"/>
      <c r="K493" s="377"/>
      <c r="L493" s="377"/>
      <c r="M493" s="377"/>
      <c r="N493" s="377"/>
      <c r="O493" s="377"/>
      <c r="P493" s="377"/>
      <c r="Q493" s="377"/>
      <c r="R493" s="377"/>
      <c r="S493" s="377"/>
      <c r="T493" s="377"/>
      <c r="U493" s="377"/>
      <c r="V493" s="377"/>
      <c r="W493" s="377"/>
      <c r="X493" s="377"/>
      <c r="Y493" s="377"/>
      <c r="Z493" s="377"/>
    </row>
    <row r="494" ht="19.5" customHeight="1">
      <c r="A494" s="377"/>
      <c r="B494" s="377"/>
      <c r="C494" s="377"/>
      <c r="D494" s="377"/>
      <c r="E494" s="377"/>
      <c r="F494" s="377"/>
      <c r="G494" s="377"/>
      <c r="H494" s="377"/>
      <c r="I494" s="377"/>
      <c r="J494" s="377"/>
      <c r="K494" s="377"/>
      <c r="L494" s="377"/>
      <c r="M494" s="377"/>
      <c r="N494" s="377"/>
      <c r="O494" s="377"/>
      <c r="P494" s="377"/>
      <c r="Q494" s="377"/>
      <c r="R494" s="377"/>
      <c r="S494" s="377"/>
      <c r="T494" s="377"/>
      <c r="U494" s="377"/>
      <c r="V494" s="377"/>
      <c r="W494" s="377"/>
      <c r="X494" s="377"/>
      <c r="Y494" s="377"/>
      <c r="Z494" s="377"/>
    </row>
    <row r="495" ht="19.5" customHeight="1">
      <c r="A495" s="377"/>
      <c r="B495" s="377"/>
      <c r="C495" s="377"/>
      <c r="D495" s="377"/>
      <c r="E495" s="377"/>
      <c r="F495" s="377"/>
      <c r="G495" s="377"/>
      <c r="H495" s="377"/>
      <c r="I495" s="377"/>
      <c r="J495" s="377"/>
      <c r="K495" s="377"/>
      <c r="L495" s="377"/>
      <c r="M495" s="377"/>
      <c r="N495" s="377"/>
      <c r="O495" s="377"/>
      <c r="P495" s="377"/>
      <c r="Q495" s="377"/>
      <c r="R495" s="377"/>
      <c r="S495" s="377"/>
      <c r="T495" s="377"/>
      <c r="U495" s="377"/>
      <c r="V495" s="377"/>
      <c r="W495" s="377"/>
      <c r="X495" s="377"/>
      <c r="Y495" s="377"/>
      <c r="Z495" s="377"/>
    </row>
    <row r="496" ht="19.5" customHeight="1">
      <c r="A496" s="377"/>
      <c r="B496" s="377"/>
      <c r="C496" s="377"/>
      <c r="D496" s="377"/>
      <c r="E496" s="377"/>
      <c r="F496" s="377"/>
      <c r="G496" s="377"/>
      <c r="H496" s="377"/>
      <c r="I496" s="377"/>
      <c r="J496" s="377"/>
      <c r="K496" s="377"/>
      <c r="L496" s="377"/>
      <c r="M496" s="377"/>
      <c r="N496" s="377"/>
      <c r="O496" s="377"/>
      <c r="P496" s="377"/>
      <c r="Q496" s="377"/>
      <c r="R496" s="377"/>
      <c r="S496" s="377"/>
      <c r="T496" s="377"/>
      <c r="U496" s="377"/>
      <c r="V496" s="377"/>
      <c r="W496" s="377"/>
      <c r="X496" s="377"/>
      <c r="Y496" s="377"/>
      <c r="Z496" s="377"/>
    </row>
    <row r="497" ht="19.5" customHeight="1">
      <c r="A497" s="377"/>
      <c r="B497" s="377"/>
      <c r="C497" s="377"/>
      <c r="D497" s="377"/>
      <c r="E497" s="377"/>
      <c r="F497" s="377"/>
      <c r="G497" s="377"/>
      <c r="H497" s="377"/>
      <c r="I497" s="377"/>
      <c r="J497" s="377"/>
      <c r="K497" s="377"/>
      <c r="L497" s="377"/>
      <c r="M497" s="377"/>
      <c r="N497" s="377"/>
      <c r="O497" s="377"/>
      <c r="P497" s="377"/>
      <c r="Q497" s="377"/>
      <c r="R497" s="377"/>
      <c r="S497" s="377"/>
      <c r="T497" s="377"/>
      <c r="U497" s="377"/>
      <c r="V497" s="377"/>
      <c r="W497" s="377"/>
      <c r="X497" s="377"/>
      <c r="Y497" s="377"/>
      <c r="Z497" s="377"/>
    </row>
    <row r="498" ht="19.5" customHeight="1">
      <c r="A498" s="377"/>
      <c r="B498" s="377"/>
      <c r="C498" s="377"/>
      <c r="D498" s="377"/>
      <c r="E498" s="377"/>
      <c r="F498" s="377"/>
      <c r="G498" s="377"/>
      <c r="H498" s="377"/>
      <c r="I498" s="377"/>
      <c r="J498" s="377"/>
      <c r="K498" s="377"/>
      <c r="L498" s="377"/>
      <c r="M498" s="377"/>
      <c r="N498" s="377"/>
      <c r="O498" s="377"/>
      <c r="P498" s="377"/>
      <c r="Q498" s="377"/>
      <c r="R498" s="377"/>
      <c r="S498" s="377"/>
      <c r="T498" s="377"/>
      <c r="U498" s="377"/>
      <c r="V498" s="377"/>
      <c r="W498" s="377"/>
      <c r="X498" s="377"/>
      <c r="Y498" s="377"/>
      <c r="Z498" s="377"/>
    </row>
    <row r="499" ht="19.5" customHeight="1">
      <c r="A499" s="377"/>
      <c r="B499" s="377"/>
      <c r="C499" s="377"/>
      <c r="D499" s="377"/>
      <c r="E499" s="377"/>
      <c r="F499" s="377"/>
      <c r="G499" s="377"/>
      <c r="H499" s="377"/>
      <c r="I499" s="377"/>
      <c r="J499" s="377"/>
      <c r="K499" s="377"/>
      <c r="L499" s="377"/>
      <c r="M499" s="377"/>
      <c r="N499" s="377"/>
      <c r="O499" s="377"/>
      <c r="P499" s="377"/>
      <c r="Q499" s="377"/>
      <c r="R499" s="377"/>
      <c r="S499" s="377"/>
      <c r="T499" s="377"/>
      <c r="U499" s="377"/>
      <c r="V499" s="377"/>
      <c r="W499" s="377"/>
      <c r="X499" s="377"/>
      <c r="Y499" s="377"/>
      <c r="Z499" s="377"/>
    </row>
    <row r="500" ht="19.5" customHeight="1">
      <c r="A500" s="377"/>
      <c r="B500" s="377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  <c r="Z500" s="377"/>
    </row>
    <row r="501" ht="19.5" customHeight="1">
      <c r="A501" s="377"/>
      <c r="B501" s="377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  <c r="Z501" s="377"/>
    </row>
    <row r="502" ht="19.5" customHeight="1">
      <c r="A502" s="377"/>
      <c r="B502" s="377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  <c r="Z502" s="377"/>
    </row>
    <row r="503" ht="19.5" customHeight="1">
      <c r="A503" s="377"/>
      <c r="B503" s="377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  <c r="Z503" s="377"/>
    </row>
    <row r="504" ht="19.5" customHeight="1">
      <c r="A504" s="377"/>
      <c r="B504" s="377"/>
      <c r="C504" s="377"/>
      <c r="D504" s="377"/>
      <c r="E504" s="377"/>
      <c r="F504" s="377"/>
      <c r="G504" s="377"/>
      <c r="H504" s="377"/>
      <c r="I504" s="377"/>
      <c r="J504" s="377"/>
      <c r="K504" s="377"/>
      <c r="L504" s="377"/>
      <c r="M504" s="377"/>
      <c r="N504" s="377"/>
      <c r="O504" s="377"/>
      <c r="P504" s="377"/>
      <c r="Q504" s="377"/>
      <c r="R504" s="377"/>
      <c r="S504" s="377"/>
      <c r="T504" s="377"/>
      <c r="U504" s="377"/>
      <c r="V504" s="377"/>
      <c r="W504" s="377"/>
      <c r="X504" s="377"/>
      <c r="Y504" s="377"/>
      <c r="Z504" s="377"/>
    </row>
    <row r="505" ht="19.5" customHeight="1">
      <c r="A505" s="377"/>
      <c r="B505" s="377"/>
      <c r="C505" s="377"/>
      <c r="D505" s="377"/>
      <c r="E505" s="377"/>
      <c r="F505" s="377"/>
      <c r="G505" s="377"/>
      <c r="H505" s="377"/>
      <c r="I505" s="377"/>
      <c r="J505" s="377"/>
      <c r="K505" s="377"/>
      <c r="L505" s="377"/>
      <c r="M505" s="377"/>
      <c r="N505" s="377"/>
      <c r="O505" s="377"/>
      <c r="P505" s="377"/>
      <c r="Q505" s="377"/>
      <c r="R505" s="377"/>
      <c r="S505" s="377"/>
      <c r="T505" s="377"/>
      <c r="U505" s="377"/>
      <c r="V505" s="377"/>
      <c r="W505" s="377"/>
      <c r="X505" s="377"/>
      <c r="Y505" s="377"/>
      <c r="Z505" s="377"/>
    </row>
    <row r="506" ht="19.5" customHeight="1">
      <c r="A506" s="377"/>
      <c r="B506" s="377"/>
      <c r="C506" s="377"/>
      <c r="D506" s="377"/>
      <c r="E506" s="377"/>
      <c r="F506" s="377"/>
      <c r="G506" s="377"/>
      <c r="H506" s="377"/>
      <c r="I506" s="377"/>
      <c r="J506" s="377"/>
      <c r="K506" s="377"/>
      <c r="L506" s="377"/>
      <c r="M506" s="377"/>
      <c r="N506" s="377"/>
      <c r="O506" s="377"/>
      <c r="P506" s="377"/>
      <c r="Q506" s="377"/>
      <c r="R506" s="377"/>
      <c r="S506" s="377"/>
      <c r="T506" s="377"/>
      <c r="U506" s="377"/>
      <c r="V506" s="377"/>
      <c r="W506" s="377"/>
      <c r="X506" s="377"/>
      <c r="Y506" s="377"/>
      <c r="Z506" s="377"/>
    </row>
    <row r="507" ht="19.5" customHeight="1">
      <c r="A507" s="377"/>
      <c r="B507" s="377"/>
      <c r="C507" s="377"/>
      <c r="D507" s="377"/>
      <c r="E507" s="377"/>
      <c r="F507" s="377"/>
      <c r="G507" s="377"/>
      <c r="H507" s="377"/>
      <c r="I507" s="377"/>
      <c r="J507" s="377"/>
      <c r="K507" s="377"/>
      <c r="L507" s="377"/>
      <c r="M507" s="377"/>
      <c r="N507" s="377"/>
      <c r="O507" s="377"/>
      <c r="P507" s="377"/>
      <c r="Q507" s="377"/>
      <c r="R507" s="377"/>
      <c r="S507" s="377"/>
      <c r="T507" s="377"/>
      <c r="U507" s="377"/>
      <c r="V507" s="377"/>
      <c r="W507" s="377"/>
      <c r="X507" s="377"/>
      <c r="Y507" s="377"/>
      <c r="Z507" s="377"/>
    </row>
    <row r="508" ht="19.5" customHeight="1">
      <c r="A508" s="377"/>
      <c r="B508" s="377"/>
      <c r="C508" s="377"/>
      <c r="D508" s="377"/>
      <c r="E508" s="377"/>
      <c r="F508" s="377"/>
      <c r="G508" s="377"/>
      <c r="H508" s="377"/>
      <c r="I508" s="377"/>
      <c r="J508" s="377"/>
      <c r="K508" s="377"/>
      <c r="L508" s="377"/>
      <c r="M508" s="377"/>
      <c r="N508" s="377"/>
      <c r="O508" s="377"/>
      <c r="P508" s="377"/>
      <c r="Q508" s="377"/>
      <c r="R508" s="377"/>
      <c r="S508" s="377"/>
      <c r="T508" s="377"/>
      <c r="U508" s="377"/>
      <c r="V508" s="377"/>
      <c r="W508" s="377"/>
      <c r="X508" s="377"/>
      <c r="Y508" s="377"/>
      <c r="Z508" s="377"/>
    </row>
    <row r="509" ht="19.5" customHeight="1">
      <c r="A509" s="377"/>
      <c r="B509" s="377"/>
      <c r="C509" s="377"/>
      <c r="D509" s="377"/>
      <c r="E509" s="377"/>
      <c r="F509" s="377"/>
      <c r="G509" s="377"/>
      <c r="H509" s="377"/>
      <c r="I509" s="377"/>
      <c r="J509" s="377"/>
      <c r="K509" s="377"/>
      <c r="L509" s="377"/>
      <c r="M509" s="377"/>
      <c r="N509" s="377"/>
      <c r="O509" s="377"/>
      <c r="P509" s="377"/>
      <c r="Q509" s="377"/>
      <c r="R509" s="377"/>
      <c r="S509" s="377"/>
      <c r="T509" s="377"/>
      <c r="U509" s="377"/>
      <c r="V509" s="377"/>
      <c r="W509" s="377"/>
      <c r="X509" s="377"/>
      <c r="Y509" s="377"/>
      <c r="Z509" s="377"/>
    </row>
    <row r="510" ht="19.5" customHeight="1">
      <c r="A510" s="377"/>
      <c r="B510" s="377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  <c r="P510" s="377"/>
      <c r="Q510" s="377"/>
      <c r="R510" s="377"/>
      <c r="S510" s="377"/>
      <c r="T510" s="377"/>
      <c r="U510" s="377"/>
      <c r="V510" s="377"/>
      <c r="W510" s="377"/>
      <c r="X510" s="377"/>
      <c r="Y510" s="377"/>
      <c r="Z510" s="377"/>
    </row>
    <row r="511" ht="19.5" customHeight="1">
      <c r="A511" s="377"/>
      <c r="B511" s="377"/>
      <c r="C511" s="377"/>
      <c r="D511" s="377"/>
      <c r="E511" s="377"/>
      <c r="F511" s="377"/>
      <c r="G511" s="377"/>
      <c r="H511" s="377"/>
      <c r="I511" s="377"/>
      <c r="J511" s="377"/>
      <c r="K511" s="377"/>
      <c r="L511" s="377"/>
      <c r="M511" s="377"/>
      <c r="N511" s="377"/>
      <c r="O511" s="377"/>
      <c r="P511" s="377"/>
      <c r="Q511" s="377"/>
      <c r="R511" s="377"/>
      <c r="S511" s="377"/>
      <c r="T511" s="377"/>
      <c r="U511" s="377"/>
      <c r="V511" s="377"/>
      <c r="W511" s="377"/>
      <c r="X511" s="377"/>
      <c r="Y511" s="377"/>
      <c r="Z511" s="377"/>
    </row>
    <row r="512" ht="19.5" customHeight="1">
      <c r="A512" s="377"/>
      <c r="B512" s="377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  <c r="Z512" s="377"/>
    </row>
    <row r="513" ht="19.5" customHeight="1">
      <c r="A513" s="377"/>
      <c r="B513" s="377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  <c r="Z513" s="377"/>
    </row>
    <row r="514" ht="19.5" customHeight="1">
      <c r="A514" s="377"/>
      <c r="B514" s="377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  <c r="Z514" s="377"/>
    </row>
    <row r="515" ht="19.5" customHeight="1">
      <c r="A515" s="377"/>
      <c r="B515" s="377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  <c r="Z515" s="377"/>
    </row>
    <row r="516" ht="19.5" customHeight="1">
      <c r="A516" s="377"/>
      <c r="B516" s="377"/>
      <c r="C516" s="377"/>
      <c r="D516" s="377"/>
      <c r="E516" s="377"/>
      <c r="F516" s="377"/>
      <c r="G516" s="377"/>
      <c r="H516" s="377"/>
      <c r="I516" s="377"/>
      <c r="J516" s="377"/>
      <c r="K516" s="377"/>
      <c r="L516" s="377"/>
      <c r="M516" s="377"/>
      <c r="N516" s="377"/>
      <c r="O516" s="377"/>
      <c r="P516" s="377"/>
      <c r="Q516" s="377"/>
      <c r="R516" s="377"/>
      <c r="S516" s="377"/>
      <c r="T516" s="377"/>
      <c r="U516" s="377"/>
      <c r="V516" s="377"/>
      <c r="W516" s="377"/>
      <c r="X516" s="377"/>
      <c r="Y516" s="377"/>
      <c r="Z516" s="377"/>
    </row>
    <row r="517" ht="19.5" customHeight="1">
      <c r="A517" s="377"/>
      <c r="B517" s="377"/>
      <c r="C517" s="377"/>
      <c r="D517" s="377"/>
      <c r="E517" s="377"/>
      <c r="F517" s="377"/>
      <c r="G517" s="377"/>
      <c r="H517" s="377"/>
      <c r="I517" s="377"/>
      <c r="J517" s="377"/>
      <c r="K517" s="377"/>
      <c r="L517" s="377"/>
      <c r="M517" s="377"/>
      <c r="N517" s="377"/>
      <c r="O517" s="377"/>
      <c r="P517" s="377"/>
      <c r="Q517" s="377"/>
      <c r="R517" s="377"/>
      <c r="S517" s="377"/>
      <c r="T517" s="377"/>
      <c r="U517" s="377"/>
      <c r="V517" s="377"/>
      <c r="W517" s="377"/>
      <c r="X517" s="377"/>
      <c r="Y517" s="377"/>
      <c r="Z517" s="377"/>
    </row>
    <row r="518" ht="19.5" customHeight="1">
      <c r="A518" s="377"/>
      <c r="B518" s="377"/>
      <c r="C518" s="377"/>
      <c r="D518" s="377"/>
      <c r="E518" s="377"/>
      <c r="F518" s="377"/>
      <c r="G518" s="377"/>
      <c r="H518" s="377"/>
      <c r="I518" s="377"/>
      <c r="J518" s="377"/>
      <c r="K518" s="377"/>
      <c r="L518" s="377"/>
      <c r="M518" s="377"/>
      <c r="N518" s="377"/>
      <c r="O518" s="377"/>
      <c r="P518" s="377"/>
      <c r="Q518" s="377"/>
      <c r="R518" s="377"/>
      <c r="S518" s="377"/>
      <c r="T518" s="377"/>
      <c r="U518" s="377"/>
      <c r="V518" s="377"/>
      <c r="W518" s="377"/>
      <c r="X518" s="377"/>
      <c r="Y518" s="377"/>
      <c r="Z518" s="377"/>
    </row>
    <row r="519" ht="19.5" customHeight="1">
      <c r="A519" s="377"/>
      <c r="B519" s="377"/>
      <c r="C519" s="377"/>
      <c r="D519" s="377"/>
      <c r="E519" s="377"/>
      <c r="F519" s="377"/>
      <c r="G519" s="377"/>
      <c r="H519" s="377"/>
      <c r="I519" s="377"/>
      <c r="J519" s="377"/>
      <c r="K519" s="377"/>
      <c r="L519" s="377"/>
      <c r="M519" s="377"/>
      <c r="N519" s="377"/>
      <c r="O519" s="377"/>
      <c r="P519" s="377"/>
      <c r="Q519" s="377"/>
      <c r="R519" s="377"/>
      <c r="S519" s="377"/>
      <c r="T519" s="377"/>
      <c r="U519" s="377"/>
      <c r="V519" s="377"/>
      <c r="W519" s="377"/>
      <c r="X519" s="377"/>
      <c r="Y519" s="377"/>
      <c r="Z519" s="377"/>
    </row>
    <row r="520" ht="19.5" customHeight="1">
      <c r="A520" s="377"/>
      <c r="B520" s="377"/>
      <c r="C520" s="377"/>
      <c r="D520" s="377"/>
      <c r="E520" s="377"/>
      <c r="F520" s="377"/>
      <c r="G520" s="377"/>
      <c r="H520" s="377"/>
      <c r="I520" s="377"/>
      <c r="J520" s="377"/>
      <c r="K520" s="377"/>
      <c r="L520" s="377"/>
      <c r="M520" s="377"/>
      <c r="N520" s="377"/>
      <c r="O520" s="377"/>
      <c r="P520" s="377"/>
      <c r="Q520" s="377"/>
      <c r="R520" s="377"/>
      <c r="S520" s="377"/>
      <c r="T520" s="377"/>
      <c r="U520" s="377"/>
      <c r="V520" s="377"/>
      <c r="W520" s="377"/>
      <c r="X520" s="377"/>
      <c r="Y520" s="377"/>
      <c r="Z520" s="377"/>
    </row>
    <row r="521" ht="19.5" customHeight="1">
      <c r="A521" s="377"/>
      <c r="B521" s="377"/>
      <c r="C521" s="377"/>
      <c r="D521" s="377"/>
      <c r="E521" s="377"/>
      <c r="F521" s="377"/>
      <c r="G521" s="377"/>
      <c r="H521" s="377"/>
      <c r="I521" s="377"/>
      <c r="J521" s="377"/>
      <c r="K521" s="377"/>
      <c r="L521" s="377"/>
      <c r="M521" s="377"/>
      <c r="N521" s="377"/>
      <c r="O521" s="377"/>
      <c r="P521" s="377"/>
      <c r="Q521" s="377"/>
      <c r="R521" s="377"/>
      <c r="S521" s="377"/>
      <c r="T521" s="377"/>
      <c r="U521" s="377"/>
      <c r="V521" s="377"/>
      <c r="W521" s="377"/>
      <c r="X521" s="377"/>
      <c r="Y521" s="377"/>
      <c r="Z521" s="377"/>
    </row>
    <row r="522" ht="19.5" customHeight="1">
      <c r="A522" s="377"/>
      <c r="B522" s="377"/>
      <c r="C522" s="377"/>
      <c r="D522" s="377"/>
      <c r="E522" s="377"/>
      <c r="F522" s="377"/>
      <c r="G522" s="377"/>
      <c r="H522" s="377"/>
      <c r="I522" s="377"/>
      <c r="J522" s="377"/>
      <c r="K522" s="377"/>
      <c r="L522" s="377"/>
      <c r="M522" s="377"/>
      <c r="N522" s="377"/>
      <c r="O522" s="377"/>
      <c r="P522" s="377"/>
      <c r="Q522" s="377"/>
      <c r="R522" s="377"/>
      <c r="S522" s="377"/>
      <c r="T522" s="377"/>
      <c r="U522" s="377"/>
      <c r="V522" s="377"/>
      <c r="W522" s="377"/>
      <c r="X522" s="377"/>
      <c r="Y522" s="377"/>
      <c r="Z522" s="377"/>
    </row>
    <row r="523" ht="19.5" customHeight="1">
      <c r="A523" s="377"/>
      <c r="B523" s="377"/>
      <c r="C523" s="377"/>
      <c r="D523" s="377"/>
      <c r="E523" s="377"/>
      <c r="F523" s="377"/>
      <c r="G523" s="377"/>
      <c r="H523" s="377"/>
      <c r="I523" s="377"/>
      <c r="J523" s="377"/>
      <c r="K523" s="377"/>
      <c r="L523" s="377"/>
      <c r="M523" s="377"/>
      <c r="N523" s="377"/>
      <c r="O523" s="377"/>
      <c r="P523" s="377"/>
      <c r="Q523" s="377"/>
      <c r="R523" s="377"/>
      <c r="S523" s="377"/>
      <c r="T523" s="377"/>
      <c r="U523" s="377"/>
      <c r="V523" s="377"/>
      <c r="W523" s="377"/>
      <c r="X523" s="377"/>
      <c r="Y523" s="377"/>
      <c r="Z523" s="377"/>
    </row>
    <row r="524" ht="19.5" customHeight="1">
      <c r="A524" s="377"/>
      <c r="B524" s="377"/>
      <c r="C524" s="377"/>
      <c r="D524" s="377"/>
      <c r="E524" s="377"/>
      <c r="F524" s="377"/>
      <c r="G524" s="377"/>
      <c r="H524" s="377"/>
      <c r="I524" s="377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  <c r="T524" s="377"/>
      <c r="U524" s="377"/>
      <c r="V524" s="377"/>
      <c r="W524" s="377"/>
      <c r="X524" s="377"/>
      <c r="Y524" s="377"/>
      <c r="Z524" s="377"/>
    </row>
    <row r="525" ht="19.5" customHeight="1">
      <c r="A525" s="377"/>
      <c r="B525" s="377"/>
      <c r="C525" s="377"/>
      <c r="D525" s="377"/>
      <c r="E525" s="377"/>
      <c r="F525" s="377"/>
      <c r="G525" s="377"/>
      <c r="H525" s="377"/>
      <c r="I525" s="377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  <c r="T525" s="377"/>
      <c r="U525" s="377"/>
      <c r="V525" s="377"/>
      <c r="W525" s="377"/>
      <c r="X525" s="377"/>
      <c r="Y525" s="377"/>
      <c r="Z525" s="377"/>
    </row>
    <row r="526" ht="19.5" customHeight="1">
      <c r="A526" s="377"/>
      <c r="B526" s="377"/>
      <c r="C526" s="377"/>
      <c r="D526" s="377"/>
      <c r="E526" s="377"/>
      <c r="F526" s="377"/>
      <c r="G526" s="377"/>
      <c r="H526" s="377"/>
      <c r="I526" s="377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  <c r="T526" s="377"/>
      <c r="U526" s="377"/>
      <c r="V526" s="377"/>
      <c r="W526" s="377"/>
      <c r="X526" s="377"/>
      <c r="Y526" s="377"/>
      <c r="Z526" s="377"/>
    </row>
    <row r="527" ht="19.5" customHeight="1">
      <c r="A527" s="377"/>
      <c r="B527" s="377"/>
      <c r="C527" s="377"/>
      <c r="D527" s="377"/>
      <c r="E527" s="377"/>
      <c r="F527" s="377"/>
      <c r="G527" s="377"/>
      <c r="H527" s="377"/>
      <c r="I527" s="377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  <c r="T527" s="377"/>
      <c r="U527" s="377"/>
      <c r="V527" s="377"/>
      <c r="W527" s="377"/>
      <c r="X527" s="377"/>
      <c r="Y527" s="377"/>
      <c r="Z527" s="377"/>
    </row>
    <row r="528" ht="19.5" customHeight="1">
      <c r="A528" s="377"/>
      <c r="B528" s="377"/>
      <c r="C528" s="377"/>
      <c r="D528" s="377"/>
      <c r="E528" s="377"/>
      <c r="F528" s="377"/>
      <c r="G528" s="377"/>
      <c r="H528" s="377"/>
      <c r="I528" s="377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  <c r="T528" s="377"/>
      <c r="U528" s="377"/>
      <c r="V528" s="377"/>
      <c r="W528" s="377"/>
      <c r="X528" s="377"/>
      <c r="Y528" s="377"/>
      <c r="Z528" s="377"/>
    </row>
    <row r="529" ht="19.5" customHeight="1">
      <c r="A529" s="377"/>
      <c r="B529" s="377"/>
      <c r="C529" s="377"/>
      <c r="D529" s="377"/>
      <c r="E529" s="377"/>
      <c r="F529" s="377"/>
      <c r="G529" s="377"/>
      <c r="H529" s="377"/>
      <c r="I529" s="377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  <c r="T529" s="377"/>
      <c r="U529" s="377"/>
      <c r="V529" s="377"/>
      <c r="W529" s="377"/>
      <c r="X529" s="377"/>
      <c r="Y529" s="377"/>
      <c r="Z529" s="377"/>
    </row>
    <row r="530" ht="19.5" customHeight="1">
      <c r="A530" s="377"/>
      <c r="B530" s="377"/>
      <c r="C530" s="377"/>
      <c r="D530" s="377"/>
      <c r="E530" s="377"/>
      <c r="F530" s="377"/>
      <c r="G530" s="377"/>
      <c r="H530" s="377"/>
      <c r="I530" s="377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  <c r="T530" s="377"/>
      <c r="U530" s="377"/>
      <c r="V530" s="377"/>
      <c r="W530" s="377"/>
      <c r="X530" s="377"/>
      <c r="Y530" s="377"/>
      <c r="Z530" s="377"/>
    </row>
    <row r="531" ht="19.5" customHeight="1">
      <c r="A531" s="377"/>
      <c r="B531" s="377"/>
      <c r="C531" s="377"/>
      <c r="D531" s="377"/>
      <c r="E531" s="377"/>
      <c r="F531" s="377"/>
      <c r="G531" s="377"/>
      <c r="H531" s="377"/>
      <c r="I531" s="377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  <c r="T531" s="377"/>
      <c r="U531" s="377"/>
      <c r="V531" s="377"/>
      <c r="W531" s="377"/>
      <c r="X531" s="377"/>
      <c r="Y531" s="377"/>
      <c r="Z531" s="377"/>
    </row>
    <row r="532" ht="19.5" customHeight="1">
      <c r="A532" s="377"/>
      <c r="B532" s="377"/>
      <c r="C532" s="377"/>
      <c r="D532" s="377"/>
      <c r="E532" s="377"/>
      <c r="F532" s="377"/>
      <c r="G532" s="377"/>
      <c r="H532" s="377"/>
      <c r="I532" s="377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  <c r="T532" s="377"/>
      <c r="U532" s="377"/>
      <c r="V532" s="377"/>
      <c r="W532" s="377"/>
      <c r="X532" s="377"/>
      <c r="Y532" s="377"/>
      <c r="Z532" s="377"/>
    </row>
    <row r="533" ht="19.5" customHeight="1">
      <c r="A533" s="377"/>
      <c r="B533" s="377"/>
      <c r="C533" s="377"/>
      <c r="D533" s="377"/>
      <c r="E533" s="377"/>
      <c r="F533" s="377"/>
      <c r="G533" s="377"/>
      <c r="H533" s="377"/>
      <c r="I533" s="377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  <c r="T533" s="377"/>
      <c r="U533" s="377"/>
      <c r="V533" s="377"/>
      <c r="W533" s="377"/>
      <c r="X533" s="377"/>
      <c r="Y533" s="377"/>
      <c r="Z533" s="377"/>
    </row>
    <row r="534" ht="19.5" customHeight="1">
      <c r="A534" s="377"/>
      <c r="B534" s="377"/>
      <c r="C534" s="377"/>
      <c r="D534" s="377"/>
      <c r="E534" s="377"/>
      <c r="F534" s="377"/>
      <c r="G534" s="377"/>
      <c r="H534" s="377"/>
      <c r="I534" s="377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  <c r="T534" s="377"/>
      <c r="U534" s="377"/>
      <c r="V534" s="377"/>
      <c r="W534" s="377"/>
      <c r="X534" s="377"/>
      <c r="Y534" s="377"/>
      <c r="Z534" s="377"/>
    </row>
    <row r="535" ht="19.5" customHeight="1">
      <c r="A535" s="377"/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  <c r="T535" s="377"/>
      <c r="U535" s="377"/>
      <c r="V535" s="377"/>
      <c r="W535" s="377"/>
      <c r="X535" s="377"/>
      <c r="Y535" s="377"/>
      <c r="Z535" s="377"/>
    </row>
    <row r="536" ht="19.5" customHeight="1">
      <c r="A536" s="377"/>
      <c r="B536" s="377"/>
      <c r="C536" s="377"/>
      <c r="D536" s="377"/>
      <c r="E536" s="377"/>
      <c r="F536" s="377"/>
      <c r="G536" s="377"/>
      <c r="H536" s="377"/>
      <c r="I536" s="377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  <c r="T536" s="377"/>
      <c r="U536" s="377"/>
      <c r="V536" s="377"/>
      <c r="W536" s="377"/>
      <c r="X536" s="377"/>
      <c r="Y536" s="377"/>
      <c r="Z536" s="377"/>
    </row>
    <row r="537" ht="19.5" customHeight="1">
      <c r="A537" s="377"/>
      <c r="B537" s="377"/>
      <c r="C537" s="377"/>
      <c r="D537" s="377"/>
      <c r="E537" s="377"/>
      <c r="F537" s="377"/>
      <c r="G537" s="377"/>
      <c r="H537" s="377"/>
      <c r="I537" s="377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  <c r="T537" s="377"/>
      <c r="U537" s="377"/>
      <c r="V537" s="377"/>
      <c r="W537" s="377"/>
      <c r="X537" s="377"/>
      <c r="Y537" s="377"/>
      <c r="Z537" s="377"/>
    </row>
    <row r="538" ht="19.5" customHeight="1">
      <c r="A538" s="377"/>
      <c r="B538" s="377"/>
      <c r="C538" s="377"/>
      <c r="D538" s="377"/>
      <c r="E538" s="377"/>
      <c r="F538" s="377"/>
      <c r="G538" s="377"/>
      <c r="H538" s="377"/>
      <c r="I538" s="377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  <c r="T538" s="377"/>
      <c r="U538" s="377"/>
      <c r="V538" s="377"/>
      <c r="W538" s="377"/>
      <c r="X538" s="377"/>
      <c r="Y538" s="377"/>
      <c r="Z538" s="377"/>
    </row>
    <row r="539" ht="19.5" customHeight="1">
      <c r="A539" s="377"/>
      <c r="B539" s="377"/>
      <c r="C539" s="377"/>
      <c r="D539" s="377"/>
      <c r="E539" s="377"/>
      <c r="F539" s="377"/>
      <c r="G539" s="377"/>
      <c r="H539" s="377"/>
      <c r="I539" s="377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  <c r="T539" s="377"/>
      <c r="U539" s="377"/>
      <c r="V539" s="377"/>
      <c r="W539" s="377"/>
      <c r="X539" s="377"/>
      <c r="Y539" s="377"/>
      <c r="Z539" s="377"/>
    </row>
    <row r="540" ht="19.5" customHeight="1">
      <c r="A540" s="377"/>
      <c r="B540" s="377"/>
      <c r="C540" s="377"/>
      <c r="D540" s="377"/>
      <c r="E540" s="377"/>
      <c r="F540" s="377"/>
      <c r="G540" s="377"/>
      <c r="H540" s="377"/>
      <c r="I540" s="377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  <c r="T540" s="377"/>
      <c r="U540" s="377"/>
      <c r="V540" s="377"/>
      <c r="W540" s="377"/>
      <c r="X540" s="377"/>
      <c r="Y540" s="377"/>
      <c r="Z540" s="377"/>
    </row>
    <row r="541" ht="19.5" customHeight="1">
      <c r="A541" s="377"/>
      <c r="B541" s="377"/>
      <c r="C541" s="377"/>
      <c r="D541" s="377"/>
      <c r="E541" s="377"/>
      <c r="F541" s="377"/>
      <c r="G541" s="377"/>
      <c r="H541" s="377"/>
      <c r="I541" s="377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  <c r="Z541" s="377"/>
    </row>
    <row r="542" ht="19.5" customHeight="1">
      <c r="A542" s="377"/>
      <c r="B542" s="377"/>
      <c r="C542" s="377"/>
      <c r="D542" s="377"/>
      <c r="E542" s="377"/>
      <c r="F542" s="377"/>
      <c r="G542" s="377"/>
      <c r="H542" s="377"/>
      <c r="I542" s="377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  <c r="Z542" s="377"/>
    </row>
    <row r="543" ht="19.5" customHeight="1">
      <c r="A543" s="377"/>
      <c r="B543" s="377"/>
      <c r="C543" s="377"/>
      <c r="D543" s="377"/>
      <c r="E543" s="377"/>
      <c r="F543" s="377"/>
      <c r="G543" s="377"/>
      <c r="H543" s="377"/>
      <c r="I543" s="377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  <c r="Z543" s="377"/>
    </row>
    <row r="544" ht="19.5" customHeight="1">
      <c r="A544" s="377"/>
      <c r="B544" s="377"/>
      <c r="C544" s="377"/>
      <c r="D544" s="377"/>
      <c r="E544" s="377"/>
      <c r="F544" s="377"/>
      <c r="G544" s="377"/>
      <c r="H544" s="377"/>
      <c r="I544" s="377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  <c r="Z544" s="377"/>
    </row>
    <row r="545" ht="19.5" customHeight="1">
      <c r="A545" s="377"/>
      <c r="B545" s="377"/>
      <c r="C545" s="377"/>
      <c r="D545" s="377"/>
      <c r="E545" s="377"/>
      <c r="F545" s="377"/>
      <c r="G545" s="377"/>
      <c r="H545" s="377"/>
      <c r="I545" s="377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  <c r="Z545" s="377"/>
    </row>
    <row r="546" ht="19.5" customHeight="1">
      <c r="A546" s="377"/>
      <c r="B546" s="377"/>
      <c r="C546" s="377"/>
      <c r="D546" s="377"/>
      <c r="E546" s="377"/>
      <c r="F546" s="377"/>
      <c r="G546" s="377"/>
      <c r="H546" s="377"/>
      <c r="I546" s="377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  <c r="T546" s="377"/>
      <c r="U546" s="377"/>
      <c r="V546" s="377"/>
      <c r="W546" s="377"/>
      <c r="X546" s="377"/>
      <c r="Y546" s="377"/>
      <c r="Z546" s="377"/>
    </row>
    <row r="547" ht="19.5" customHeight="1">
      <c r="A547" s="377"/>
      <c r="B547" s="377"/>
      <c r="C547" s="377"/>
      <c r="D547" s="377"/>
      <c r="E547" s="377"/>
      <c r="F547" s="377"/>
      <c r="G547" s="377"/>
      <c r="H547" s="377"/>
      <c r="I547" s="377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  <c r="T547" s="377"/>
      <c r="U547" s="377"/>
      <c r="V547" s="377"/>
      <c r="W547" s="377"/>
      <c r="X547" s="377"/>
      <c r="Y547" s="377"/>
      <c r="Z547" s="377"/>
    </row>
    <row r="548" ht="19.5" customHeight="1">
      <c r="A548" s="377"/>
      <c r="B548" s="377"/>
      <c r="C548" s="377"/>
      <c r="D548" s="377"/>
      <c r="E548" s="377"/>
      <c r="F548" s="377"/>
      <c r="G548" s="377"/>
      <c r="H548" s="377"/>
      <c r="I548" s="377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  <c r="T548" s="377"/>
      <c r="U548" s="377"/>
      <c r="V548" s="377"/>
      <c r="W548" s="377"/>
      <c r="X548" s="377"/>
      <c r="Y548" s="377"/>
      <c r="Z548" s="377"/>
    </row>
    <row r="549" ht="19.5" customHeight="1">
      <c r="A549" s="377"/>
      <c r="B549" s="377"/>
      <c r="C549" s="377"/>
      <c r="D549" s="377"/>
      <c r="E549" s="377"/>
      <c r="F549" s="377"/>
      <c r="G549" s="377"/>
      <c r="H549" s="377"/>
      <c r="I549" s="377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  <c r="T549" s="377"/>
      <c r="U549" s="377"/>
      <c r="V549" s="377"/>
      <c r="W549" s="377"/>
      <c r="X549" s="377"/>
      <c r="Y549" s="377"/>
      <c r="Z549" s="377"/>
    </row>
    <row r="550" ht="19.5" customHeight="1">
      <c r="A550" s="377"/>
      <c r="B550" s="377"/>
      <c r="C550" s="377"/>
      <c r="D550" s="377"/>
      <c r="E550" s="377"/>
      <c r="F550" s="377"/>
      <c r="G550" s="377"/>
      <c r="H550" s="377"/>
      <c r="I550" s="377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  <c r="T550" s="377"/>
      <c r="U550" s="377"/>
      <c r="V550" s="377"/>
      <c r="W550" s="377"/>
      <c r="X550" s="377"/>
      <c r="Y550" s="377"/>
      <c r="Z550" s="377"/>
    </row>
    <row r="551" ht="19.5" customHeight="1">
      <c r="A551" s="377"/>
      <c r="B551" s="377"/>
      <c r="C551" s="377"/>
      <c r="D551" s="377"/>
      <c r="E551" s="377"/>
      <c r="F551" s="377"/>
      <c r="G551" s="377"/>
      <c r="H551" s="377"/>
      <c r="I551" s="377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  <c r="T551" s="377"/>
      <c r="U551" s="377"/>
      <c r="V551" s="377"/>
      <c r="W551" s="377"/>
      <c r="X551" s="377"/>
      <c r="Y551" s="377"/>
      <c r="Z551" s="377"/>
    </row>
    <row r="552" ht="19.5" customHeight="1">
      <c r="A552" s="377"/>
      <c r="B552" s="377"/>
      <c r="C552" s="377"/>
      <c r="D552" s="377"/>
      <c r="E552" s="377"/>
      <c r="F552" s="377"/>
      <c r="G552" s="377"/>
      <c r="H552" s="377"/>
      <c r="I552" s="377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  <c r="T552" s="377"/>
      <c r="U552" s="377"/>
      <c r="V552" s="377"/>
      <c r="W552" s="377"/>
      <c r="X552" s="377"/>
      <c r="Y552" s="377"/>
      <c r="Z552" s="377"/>
    </row>
    <row r="553" ht="19.5" customHeight="1">
      <c r="A553" s="377"/>
      <c r="B553" s="377"/>
      <c r="C553" s="377"/>
      <c r="D553" s="377"/>
      <c r="E553" s="377"/>
      <c r="F553" s="377"/>
      <c r="G553" s="377"/>
      <c r="H553" s="377"/>
      <c r="I553" s="377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  <c r="T553" s="377"/>
      <c r="U553" s="377"/>
      <c r="V553" s="377"/>
      <c r="W553" s="377"/>
      <c r="X553" s="377"/>
      <c r="Y553" s="377"/>
      <c r="Z553" s="377"/>
    </row>
    <row r="554" ht="19.5" customHeight="1">
      <c r="A554" s="377"/>
      <c r="B554" s="377"/>
      <c r="C554" s="377"/>
      <c r="D554" s="377"/>
      <c r="E554" s="377"/>
      <c r="F554" s="377"/>
      <c r="G554" s="377"/>
      <c r="H554" s="377"/>
      <c r="I554" s="377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  <c r="T554" s="377"/>
      <c r="U554" s="377"/>
      <c r="V554" s="377"/>
      <c r="W554" s="377"/>
      <c r="X554" s="377"/>
      <c r="Y554" s="377"/>
      <c r="Z554" s="377"/>
    </row>
    <row r="555" ht="19.5" customHeight="1">
      <c r="A555" s="377"/>
      <c r="B555" s="377"/>
      <c r="C555" s="377"/>
      <c r="D555" s="377"/>
      <c r="E555" s="377"/>
      <c r="F555" s="377"/>
      <c r="G555" s="377"/>
      <c r="H555" s="377"/>
      <c r="I555" s="377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  <c r="T555" s="377"/>
      <c r="U555" s="377"/>
      <c r="V555" s="377"/>
      <c r="W555" s="377"/>
      <c r="X555" s="377"/>
      <c r="Y555" s="377"/>
      <c r="Z555" s="377"/>
    </row>
    <row r="556" ht="19.5" customHeight="1">
      <c r="A556" s="377"/>
      <c r="B556" s="377"/>
      <c r="C556" s="377"/>
      <c r="D556" s="377"/>
      <c r="E556" s="377"/>
      <c r="F556" s="377"/>
      <c r="G556" s="377"/>
      <c r="H556" s="377"/>
      <c r="I556" s="377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  <c r="T556" s="377"/>
      <c r="U556" s="377"/>
      <c r="V556" s="377"/>
      <c r="W556" s="377"/>
      <c r="X556" s="377"/>
      <c r="Y556" s="377"/>
      <c r="Z556" s="377"/>
    </row>
    <row r="557" ht="19.5" customHeight="1">
      <c r="A557" s="377"/>
      <c r="B557" s="377"/>
      <c r="C557" s="377"/>
      <c r="D557" s="377"/>
      <c r="E557" s="377"/>
      <c r="F557" s="377"/>
      <c r="G557" s="377"/>
      <c r="H557" s="377"/>
      <c r="I557" s="377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  <c r="T557" s="377"/>
      <c r="U557" s="377"/>
      <c r="V557" s="377"/>
      <c r="W557" s="377"/>
      <c r="X557" s="377"/>
      <c r="Y557" s="377"/>
      <c r="Z557" s="377"/>
    </row>
    <row r="558" ht="19.5" customHeight="1">
      <c r="A558" s="377"/>
      <c r="B558" s="377"/>
      <c r="C558" s="377"/>
      <c r="D558" s="377"/>
      <c r="E558" s="377"/>
      <c r="F558" s="377"/>
      <c r="G558" s="377"/>
      <c r="H558" s="377"/>
      <c r="I558" s="377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  <c r="T558" s="377"/>
      <c r="U558" s="377"/>
      <c r="V558" s="377"/>
      <c r="W558" s="377"/>
      <c r="X558" s="377"/>
      <c r="Y558" s="377"/>
      <c r="Z558" s="377"/>
    </row>
    <row r="559" ht="19.5" customHeight="1">
      <c r="A559" s="377"/>
      <c r="B559" s="377"/>
      <c r="C559" s="377"/>
      <c r="D559" s="377"/>
      <c r="E559" s="377"/>
      <c r="F559" s="377"/>
      <c r="G559" s="377"/>
      <c r="H559" s="377"/>
      <c r="I559" s="377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  <c r="T559" s="377"/>
      <c r="U559" s="377"/>
      <c r="V559" s="377"/>
      <c r="W559" s="377"/>
      <c r="X559" s="377"/>
      <c r="Y559" s="377"/>
      <c r="Z559" s="377"/>
    </row>
    <row r="560" ht="19.5" customHeight="1">
      <c r="A560" s="377"/>
      <c r="B560" s="377"/>
      <c r="C560" s="377"/>
      <c r="D560" s="377"/>
      <c r="E560" s="377"/>
      <c r="F560" s="377"/>
      <c r="G560" s="377"/>
      <c r="H560" s="377"/>
      <c r="I560" s="377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  <c r="T560" s="377"/>
      <c r="U560" s="377"/>
      <c r="V560" s="377"/>
      <c r="W560" s="377"/>
      <c r="X560" s="377"/>
      <c r="Y560" s="377"/>
      <c r="Z560" s="377"/>
    </row>
    <row r="561" ht="19.5" customHeight="1">
      <c r="A561" s="377"/>
      <c r="B561" s="377"/>
      <c r="C561" s="377"/>
      <c r="D561" s="377"/>
      <c r="E561" s="377"/>
      <c r="F561" s="377"/>
      <c r="G561" s="377"/>
      <c r="H561" s="377"/>
      <c r="I561" s="377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  <c r="T561" s="377"/>
      <c r="U561" s="377"/>
      <c r="V561" s="377"/>
      <c r="W561" s="377"/>
      <c r="X561" s="377"/>
      <c r="Y561" s="377"/>
      <c r="Z561" s="377"/>
    </row>
    <row r="562" ht="19.5" customHeight="1">
      <c r="A562" s="377"/>
      <c r="B562" s="377"/>
      <c r="C562" s="377"/>
      <c r="D562" s="377"/>
      <c r="E562" s="377"/>
      <c r="F562" s="377"/>
      <c r="G562" s="377"/>
      <c r="H562" s="377"/>
      <c r="I562" s="377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  <c r="T562" s="377"/>
      <c r="U562" s="377"/>
      <c r="V562" s="377"/>
      <c r="W562" s="377"/>
      <c r="X562" s="377"/>
      <c r="Y562" s="377"/>
      <c r="Z562" s="377"/>
    </row>
    <row r="563" ht="19.5" customHeight="1">
      <c r="A563" s="377"/>
      <c r="B563" s="377"/>
      <c r="C563" s="377"/>
      <c r="D563" s="377"/>
      <c r="E563" s="377"/>
      <c r="F563" s="377"/>
      <c r="G563" s="377"/>
      <c r="H563" s="377"/>
      <c r="I563" s="377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  <c r="T563" s="377"/>
      <c r="U563" s="377"/>
      <c r="V563" s="377"/>
      <c r="W563" s="377"/>
      <c r="X563" s="377"/>
      <c r="Y563" s="377"/>
      <c r="Z563" s="377"/>
    </row>
    <row r="564" ht="19.5" customHeight="1">
      <c r="A564" s="377"/>
      <c r="B564" s="377"/>
      <c r="C564" s="377"/>
      <c r="D564" s="377"/>
      <c r="E564" s="377"/>
      <c r="F564" s="377"/>
      <c r="G564" s="377"/>
      <c r="H564" s="377"/>
      <c r="I564" s="377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  <c r="T564" s="377"/>
      <c r="U564" s="377"/>
      <c r="V564" s="377"/>
      <c r="W564" s="377"/>
      <c r="X564" s="377"/>
      <c r="Y564" s="377"/>
      <c r="Z564" s="377"/>
    </row>
    <row r="565" ht="19.5" customHeight="1">
      <c r="A565" s="377"/>
      <c r="B565" s="377"/>
      <c r="C565" s="377"/>
      <c r="D565" s="377"/>
      <c r="E565" s="377"/>
      <c r="F565" s="377"/>
      <c r="G565" s="377"/>
      <c r="H565" s="377"/>
      <c r="I565" s="377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  <c r="T565" s="377"/>
      <c r="U565" s="377"/>
      <c r="V565" s="377"/>
      <c r="W565" s="377"/>
      <c r="X565" s="377"/>
      <c r="Y565" s="377"/>
      <c r="Z565" s="377"/>
    </row>
    <row r="566" ht="19.5" customHeight="1">
      <c r="A566" s="377"/>
      <c r="B566" s="377"/>
      <c r="C566" s="377"/>
      <c r="D566" s="377"/>
      <c r="E566" s="377"/>
      <c r="F566" s="377"/>
      <c r="G566" s="377"/>
      <c r="H566" s="377"/>
      <c r="I566" s="377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  <c r="T566" s="377"/>
      <c r="U566" s="377"/>
      <c r="V566" s="377"/>
      <c r="W566" s="377"/>
      <c r="X566" s="377"/>
      <c r="Y566" s="377"/>
      <c r="Z566" s="377"/>
    </row>
    <row r="567" ht="19.5" customHeight="1">
      <c r="A567" s="377"/>
      <c r="B567" s="377"/>
      <c r="C567" s="377"/>
      <c r="D567" s="377"/>
      <c r="E567" s="377"/>
      <c r="F567" s="377"/>
      <c r="G567" s="377"/>
      <c r="H567" s="377"/>
      <c r="I567" s="377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  <c r="T567" s="377"/>
      <c r="U567" s="377"/>
      <c r="V567" s="377"/>
      <c r="W567" s="377"/>
      <c r="X567" s="377"/>
      <c r="Y567" s="377"/>
      <c r="Z567" s="377"/>
    </row>
    <row r="568" ht="19.5" customHeight="1">
      <c r="A568" s="377"/>
      <c r="B568" s="377"/>
      <c r="C568" s="377"/>
      <c r="D568" s="377"/>
      <c r="E568" s="377"/>
      <c r="F568" s="377"/>
      <c r="G568" s="377"/>
      <c r="H568" s="377"/>
      <c r="I568" s="377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  <c r="T568" s="377"/>
      <c r="U568" s="377"/>
      <c r="V568" s="377"/>
      <c r="W568" s="377"/>
      <c r="X568" s="377"/>
      <c r="Y568" s="377"/>
      <c r="Z568" s="377"/>
    </row>
    <row r="569" ht="19.5" customHeight="1">
      <c r="A569" s="377"/>
      <c r="B569" s="377"/>
      <c r="C569" s="377"/>
      <c r="D569" s="377"/>
      <c r="E569" s="377"/>
      <c r="F569" s="377"/>
      <c r="G569" s="377"/>
      <c r="H569" s="377"/>
      <c r="I569" s="377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  <c r="T569" s="377"/>
      <c r="U569" s="377"/>
      <c r="V569" s="377"/>
      <c r="W569" s="377"/>
      <c r="X569" s="377"/>
      <c r="Y569" s="377"/>
      <c r="Z569" s="377"/>
    </row>
    <row r="570" ht="19.5" customHeight="1">
      <c r="A570" s="377"/>
      <c r="B570" s="377"/>
      <c r="C570" s="377"/>
      <c r="D570" s="377"/>
      <c r="E570" s="377"/>
      <c r="F570" s="377"/>
      <c r="G570" s="377"/>
      <c r="H570" s="377"/>
      <c r="I570" s="377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  <c r="T570" s="377"/>
      <c r="U570" s="377"/>
      <c r="V570" s="377"/>
      <c r="W570" s="377"/>
      <c r="X570" s="377"/>
      <c r="Y570" s="377"/>
      <c r="Z570" s="377"/>
    </row>
    <row r="571" ht="19.5" customHeight="1">
      <c r="A571" s="377"/>
      <c r="B571" s="377"/>
      <c r="C571" s="377"/>
      <c r="D571" s="377"/>
      <c r="E571" s="377"/>
      <c r="F571" s="377"/>
      <c r="G571" s="377"/>
      <c r="H571" s="377"/>
      <c r="I571" s="377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  <c r="T571" s="377"/>
      <c r="U571" s="377"/>
      <c r="V571" s="377"/>
      <c r="W571" s="377"/>
      <c r="X571" s="377"/>
      <c r="Y571" s="377"/>
      <c r="Z571" s="377"/>
    </row>
    <row r="572" ht="19.5" customHeight="1">
      <c r="A572" s="377"/>
      <c r="B572" s="377"/>
      <c r="C572" s="377"/>
      <c r="D572" s="377"/>
      <c r="E572" s="377"/>
      <c r="F572" s="377"/>
      <c r="G572" s="377"/>
      <c r="H572" s="377"/>
      <c r="I572" s="377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  <c r="T572" s="377"/>
      <c r="U572" s="377"/>
      <c r="V572" s="377"/>
      <c r="W572" s="377"/>
      <c r="X572" s="377"/>
      <c r="Y572" s="377"/>
      <c r="Z572" s="377"/>
    </row>
    <row r="573" ht="19.5" customHeight="1">
      <c r="A573" s="377"/>
      <c r="B573" s="377"/>
      <c r="C573" s="377"/>
      <c r="D573" s="377"/>
      <c r="E573" s="377"/>
      <c r="F573" s="377"/>
      <c r="G573" s="377"/>
      <c r="H573" s="377"/>
      <c r="I573" s="377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  <c r="T573" s="377"/>
      <c r="U573" s="377"/>
      <c r="V573" s="377"/>
      <c r="W573" s="377"/>
      <c r="X573" s="377"/>
      <c r="Y573" s="377"/>
      <c r="Z573" s="377"/>
    </row>
    <row r="574" ht="19.5" customHeight="1">
      <c r="A574" s="377"/>
      <c r="B574" s="377"/>
      <c r="C574" s="377"/>
      <c r="D574" s="377"/>
      <c r="E574" s="377"/>
      <c r="F574" s="377"/>
      <c r="G574" s="377"/>
      <c r="H574" s="377"/>
      <c r="I574" s="377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  <c r="T574" s="377"/>
      <c r="U574" s="377"/>
      <c r="V574" s="377"/>
      <c r="W574" s="377"/>
      <c r="X574" s="377"/>
      <c r="Y574" s="377"/>
      <c r="Z574" s="377"/>
    </row>
    <row r="575" ht="19.5" customHeight="1">
      <c r="A575" s="377"/>
      <c r="B575" s="377"/>
      <c r="C575" s="377"/>
      <c r="D575" s="377"/>
      <c r="E575" s="377"/>
      <c r="F575" s="377"/>
      <c r="G575" s="377"/>
      <c r="H575" s="377"/>
      <c r="I575" s="377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  <c r="T575" s="377"/>
      <c r="U575" s="377"/>
      <c r="V575" s="377"/>
      <c r="W575" s="377"/>
      <c r="X575" s="377"/>
      <c r="Y575" s="377"/>
      <c r="Z575" s="377"/>
    </row>
    <row r="576" ht="19.5" customHeight="1">
      <c r="A576" s="377"/>
      <c r="B576" s="377"/>
      <c r="C576" s="377"/>
      <c r="D576" s="377"/>
      <c r="E576" s="377"/>
      <c r="F576" s="377"/>
      <c r="G576" s="377"/>
      <c r="H576" s="377"/>
      <c r="I576" s="377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  <c r="Z576" s="377"/>
    </row>
    <row r="577" ht="19.5" customHeight="1">
      <c r="A577" s="377"/>
      <c r="B577" s="377"/>
      <c r="C577" s="377"/>
      <c r="D577" s="377"/>
      <c r="E577" s="377"/>
      <c r="F577" s="377"/>
      <c r="G577" s="377"/>
      <c r="H577" s="377"/>
      <c r="I577" s="377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  <c r="Z577" s="377"/>
    </row>
    <row r="578" ht="19.5" customHeight="1">
      <c r="A578" s="377"/>
      <c r="B578" s="377"/>
      <c r="C578" s="377"/>
      <c r="D578" s="377"/>
      <c r="E578" s="377"/>
      <c r="F578" s="377"/>
      <c r="G578" s="377"/>
      <c r="H578" s="377"/>
      <c r="I578" s="377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  <c r="Z578" s="377"/>
    </row>
    <row r="579" ht="19.5" customHeight="1">
      <c r="A579" s="377"/>
      <c r="B579" s="377"/>
      <c r="C579" s="377"/>
      <c r="D579" s="377"/>
      <c r="E579" s="377"/>
      <c r="F579" s="377"/>
      <c r="G579" s="377"/>
      <c r="H579" s="377"/>
      <c r="I579" s="377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  <c r="Z579" s="377"/>
    </row>
    <row r="580" ht="19.5" customHeight="1">
      <c r="A580" s="377"/>
      <c r="B580" s="377"/>
      <c r="C580" s="377"/>
      <c r="D580" s="377"/>
      <c r="E580" s="377"/>
      <c r="F580" s="377"/>
      <c r="G580" s="377"/>
      <c r="H580" s="377"/>
      <c r="I580" s="377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  <c r="Z580" s="377"/>
    </row>
    <row r="581" ht="19.5" customHeight="1">
      <c r="A581" s="377"/>
      <c r="B581" s="377"/>
      <c r="C581" s="377"/>
      <c r="D581" s="377"/>
      <c r="E581" s="377"/>
      <c r="F581" s="377"/>
      <c r="G581" s="377"/>
      <c r="H581" s="377"/>
      <c r="I581" s="377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  <c r="T581" s="377"/>
      <c r="U581" s="377"/>
      <c r="V581" s="377"/>
      <c r="W581" s="377"/>
      <c r="X581" s="377"/>
      <c r="Y581" s="377"/>
      <c r="Z581" s="377"/>
    </row>
    <row r="582" ht="19.5" customHeight="1">
      <c r="A582" s="377"/>
      <c r="B582" s="377"/>
      <c r="C582" s="377"/>
      <c r="D582" s="377"/>
      <c r="E582" s="377"/>
      <c r="F582" s="377"/>
      <c r="G582" s="377"/>
      <c r="H582" s="377"/>
      <c r="I582" s="377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  <c r="T582" s="377"/>
      <c r="U582" s="377"/>
      <c r="V582" s="377"/>
      <c r="W582" s="377"/>
      <c r="X582" s="377"/>
      <c r="Y582" s="377"/>
      <c r="Z582" s="377"/>
    </row>
    <row r="583" ht="19.5" customHeight="1">
      <c r="A583" s="377"/>
      <c r="B583" s="377"/>
      <c r="C583" s="377"/>
      <c r="D583" s="377"/>
      <c r="E583" s="377"/>
      <c r="F583" s="377"/>
      <c r="G583" s="377"/>
      <c r="H583" s="377"/>
      <c r="I583" s="377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  <c r="T583" s="377"/>
      <c r="U583" s="377"/>
      <c r="V583" s="377"/>
      <c r="W583" s="377"/>
      <c r="X583" s="377"/>
      <c r="Y583" s="377"/>
      <c r="Z583" s="377"/>
    </row>
    <row r="584" ht="19.5" customHeight="1">
      <c r="A584" s="377"/>
      <c r="B584" s="377"/>
      <c r="C584" s="377"/>
      <c r="D584" s="377"/>
      <c r="E584" s="377"/>
      <c r="F584" s="377"/>
      <c r="G584" s="377"/>
      <c r="H584" s="377"/>
      <c r="I584" s="377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  <c r="T584" s="377"/>
      <c r="U584" s="377"/>
      <c r="V584" s="377"/>
      <c r="W584" s="377"/>
      <c r="X584" s="377"/>
      <c r="Y584" s="377"/>
      <c r="Z584" s="377"/>
    </row>
    <row r="585" ht="19.5" customHeight="1">
      <c r="A585" s="377"/>
      <c r="B585" s="377"/>
      <c r="C585" s="377"/>
      <c r="D585" s="377"/>
      <c r="E585" s="377"/>
      <c r="F585" s="377"/>
      <c r="G585" s="377"/>
      <c r="H585" s="377"/>
      <c r="I585" s="377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  <c r="T585" s="377"/>
      <c r="U585" s="377"/>
      <c r="V585" s="377"/>
      <c r="W585" s="377"/>
      <c r="X585" s="377"/>
      <c r="Y585" s="377"/>
      <c r="Z585" s="377"/>
    </row>
    <row r="586" ht="19.5" customHeight="1">
      <c r="A586" s="377"/>
      <c r="B586" s="377"/>
      <c r="C586" s="377"/>
      <c r="D586" s="377"/>
      <c r="E586" s="377"/>
      <c r="F586" s="377"/>
      <c r="G586" s="377"/>
      <c r="H586" s="377"/>
      <c r="I586" s="377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  <c r="T586" s="377"/>
      <c r="U586" s="377"/>
      <c r="V586" s="377"/>
      <c r="W586" s="377"/>
      <c r="X586" s="377"/>
      <c r="Y586" s="377"/>
      <c r="Z586" s="377"/>
    </row>
    <row r="587" ht="19.5" customHeight="1">
      <c r="A587" s="377"/>
      <c r="B587" s="377"/>
      <c r="C587" s="377"/>
      <c r="D587" s="377"/>
      <c r="E587" s="377"/>
      <c r="F587" s="377"/>
      <c r="G587" s="377"/>
      <c r="H587" s="377"/>
      <c r="I587" s="377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  <c r="T587" s="377"/>
      <c r="U587" s="377"/>
      <c r="V587" s="377"/>
      <c r="W587" s="377"/>
      <c r="X587" s="377"/>
      <c r="Y587" s="377"/>
      <c r="Z587" s="377"/>
    </row>
    <row r="588" ht="19.5" customHeight="1">
      <c r="A588" s="377"/>
      <c r="B588" s="377"/>
      <c r="C588" s="377"/>
      <c r="D588" s="377"/>
      <c r="E588" s="377"/>
      <c r="F588" s="377"/>
      <c r="G588" s="377"/>
      <c r="H588" s="377"/>
      <c r="I588" s="377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  <c r="T588" s="377"/>
      <c r="U588" s="377"/>
      <c r="V588" s="377"/>
      <c r="W588" s="377"/>
      <c r="X588" s="377"/>
      <c r="Y588" s="377"/>
      <c r="Z588" s="377"/>
    </row>
    <row r="589" ht="19.5" customHeight="1">
      <c r="A589" s="377"/>
      <c r="B589" s="377"/>
      <c r="C589" s="377"/>
      <c r="D589" s="377"/>
      <c r="E589" s="377"/>
      <c r="F589" s="377"/>
      <c r="G589" s="377"/>
      <c r="H589" s="377"/>
      <c r="I589" s="377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  <c r="T589" s="377"/>
      <c r="U589" s="377"/>
      <c r="V589" s="377"/>
      <c r="W589" s="377"/>
      <c r="X589" s="377"/>
      <c r="Y589" s="377"/>
      <c r="Z589" s="377"/>
    </row>
    <row r="590" ht="19.5" customHeight="1">
      <c r="A590" s="377"/>
      <c r="B590" s="377"/>
      <c r="C590" s="377"/>
      <c r="D590" s="377"/>
      <c r="E590" s="377"/>
      <c r="F590" s="377"/>
      <c r="G590" s="377"/>
      <c r="H590" s="377"/>
      <c r="I590" s="377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  <c r="T590" s="377"/>
      <c r="U590" s="377"/>
      <c r="V590" s="377"/>
      <c r="W590" s="377"/>
      <c r="X590" s="377"/>
      <c r="Y590" s="377"/>
      <c r="Z590" s="377"/>
    </row>
    <row r="591" ht="19.5" customHeight="1">
      <c r="A591" s="377"/>
      <c r="B591" s="377"/>
      <c r="C591" s="377"/>
      <c r="D591" s="377"/>
      <c r="E591" s="377"/>
      <c r="F591" s="377"/>
      <c r="G591" s="377"/>
      <c r="H591" s="377"/>
      <c r="I591" s="377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  <c r="T591" s="377"/>
      <c r="U591" s="377"/>
      <c r="V591" s="377"/>
      <c r="W591" s="377"/>
      <c r="X591" s="377"/>
      <c r="Y591" s="377"/>
      <c r="Z591" s="377"/>
    </row>
    <row r="592" ht="19.5" customHeight="1">
      <c r="A592" s="377"/>
      <c r="B592" s="377"/>
      <c r="C592" s="377"/>
      <c r="D592" s="377"/>
      <c r="E592" s="377"/>
      <c r="F592" s="377"/>
      <c r="G592" s="377"/>
      <c r="H592" s="377"/>
      <c r="I592" s="377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  <c r="T592" s="377"/>
      <c r="U592" s="377"/>
      <c r="V592" s="377"/>
      <c r="W592" s="377"/>
      <c r="X592" s="377"/>
      <c r="Y592" s="377"/>
      <c r="Z592" s="377"/>
    </row>
    <row r="593" ht="19.5" customHeight="1">
      <c r="A593" s="377"/>
      <c r="B593" s="377"/>
      <c r="C593" s="377"/>
      <c r="D593" s="377"/>
      <c r="E593" s="377"/>
      <c r="F593" s="377"/>
      <c r="G593" s="377"/>
      <c r="H593" s="377"/>
      <c r="I593" s="377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  <c r="T593" s="377"/>
      <c r="U593" s="377"/>
      <c r="V593" s="377"/>
      <c r="W593" s="377"/>
      <c r="X593" s="377"/>
      <c r="Y593" s="377"/>
      <c r="Z593" s="377"/>
    </row>
    <row r="594" ht="19.5" customHeight="1">
      <c r="A594" s="377"/>
      <c r="B594" s="377"/>
      <c r="C594" s="377"/>
      <c r="D594" s="377"/>
      <c r="E594" s="377"/>
      <c r="F594" s="377"/>
      <c r="G594" s="377"/>
      <c r="H594" s="377"/>
      <c r="I594" s="377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  <c r="T594" s="377"/>
      <c r="U594" s="377"/>
      <c r="V594" s="377"/>
      <c r="W594" s="377"/>
      <c r="X594" s="377"/>
      <c r="Y594" s="377"/>
      <c r="Z594" s="377"/>
    </row>
    <row r="595" ht="19.5" customHeight="1">
      <c r="A595" s="377"/>
      <c r="B595" s="377"/>
      <c r="C595" s="377"/>
      <c r="D595" s="377"/>
      <c r="E595" s="377"/>
      <c r="F595" s="377"/>
      <c r="G595" s="377"/>
      <c r="H595" s="377"/>
      <c r="I595" s="377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  <c r="T595" s="377"/>
      <c r="U595" s="377"/>
      <c r="V595" s="377"/>
      <c r="W595" s="377"/>
      <c r="X595" s="377"/>
      <c r="Y595" s="377"/>
      <c r="Z595" s="377"/>
    </row>
    <row r="596" ht="19.5" customHeight="1">
      <c r="A596" s="377"/>
      <c r="B596" s="377"/>
      <c r="C596" s="377"/>
      <c r="D596" s="377"/>
      <c r="E596" s="377"/>
      <c r="F596" s="377"/>
      <c r="G596" s="377"/>
      <c r="H596" s="377"/>
      <c r="I596" s="377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  <c r="T596" s="377"/>
      <c r="U596" s="377"/>
      <c r="V596" s="377"/>
      <c r="W596" s="377"/>
      <c r="X596" s="377"/>
      <c r="Y596" s="377"/>
      <c r="Z596" s="377"/>
    </row>
    <row r="597" ht="19.5" customHeight="1">
      <c r="A597" s="377"/>
      <c r="B597" s="377"/>
      <c r="C597" s="377"/>
      <c r="D597" s="377"/>
      <c r="E597" s="377"/>
      <c r="F597" s="377"/>
      <c r="G597" s="377"/>
      <c r="H597" s="377"/>
      <c r="I597" s="377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  <c r="T597" s="377"/>
      <c r="U597" s="377"/>
      <c r="V597" s="377"/>
      <c r="W597" s="377"/>
      <c r="X597" s="377"/>
      <c r="Y597" s="377"/>
      <c r="Z597" s="377"/>
    </row>
    <row r="598" ht="19.5" customHeight="1">
      <c r="A598" s="377"/>
      <c r="B598" s="377"/>
      <c r="C598" s="377"/>
      <c r="D598" s="377"/>
      <c r="E598" s="377"/>
      <c r="F598" s="377"/>
      <c r="G598" s="377"/>
      <c r="H598" s="377"/>
      <c r="I598" s="377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  <c r="T598" s="377"/>
      <c r="U598" s="377"/>
      <c r="V598" s="377"/>
      <c r="W598" s="377"/>
      <c r="X598" s="377"/>
      <c r="Y598" s="377"/>
      <c r="Z598" s="377"/>
    </row>
    <row r="599" ht="19.5" customHeight="1">
      <c r="A599" s="377"/>
      <c r="B599" s="377"/>
      <c r="C599" s="377"/>
      <c r="D599" s="377"/>
      <c r="E599" s="377"/>
      <c r="F599" s="377"/>
      <c r="G599" s="377"/>
      <c r="H599" s="377"/>
      <c r="I599" s="377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  <c r="T599" s="377"/>
      <c r="U599" s="377"/>
      <c r="V599" s="377"/>
      <c r="W599" s="377"/>
      <c r="X599" s="377"/>
      <c r="Y599" s="377"/>
      <c r="Z599" s="377"/>
    </row>
    <row r="600" ht="19.5" customHeight="1">
      <c r="A600" s="377"/>
      <c r="B600" s="377"/>
      <c r="C600" s="377"/>
      <c r="D600" s="377"/>
      <c r="E600" s="377"/>
      <c r="F600" s="377"/>
      <c r="G600" s="377"/>
      <c r="H600" s="377"/>
      <c r="I600" s="377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  <c r="T600" s="377"/>
      <c r="U600" s="377"/>
      <c r="V600" s="377"/>
      <c r="W600" s="377"/>
      <c r="X600" s="377"/>
      <c r="Y600" s="377"/>
      <c r="Z600" s="377"/>
    </row>
    <row r="601" ht="19.5" customHeight="1">
      <c r="A601" s="377"/>
      <c r="B601" s="377"/>
      <c r="C601" s="377"/>
      <c r="D601" s="377"/>
      <c r="E601" s="377"/>
      <c r="F601" s="377"/>
      <c r="G601" s="377"/>
      <c r="H601" s="377"/>
      <c r="I601" s="377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  <c r="T601" s="377"/>
      <c r="U601" s="377"/>
      <c r="V601" s="377"/>
      <c r="W601" s="377"/>
      <c r="X601" s="377"/>
      <c r="Y601" s="377"/>
      <c r="Z601" s="377"/>
    </row>
    <row r="602" ht="19.5" customHeight="1">
      <c r="A602" s="377"/>
      <c r="B602" s="377"/>
      <c r="C602" s="377"/>
      <c r="D602" s="377"/>
      <c r="E602" s="377"/>
      <c r="F602" s="377"/>
      <c r="G602" s="377"/>
      <c r="H602" s="377"/>
      <c r="I602" s="377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  <c r="T602" s="377"/>
      <c r="U602" s="377"/>
      <c r="V602" s="377"/>
      <c r="W602" s="377"/>
      <c r="X602" s="377"/>
      <c r="Y602" s="377"/>
      <c r="Z602" s="377"/>
    </row>
    <row r="603" ht="19.5" customHeight="1">
      <c r="A603" s="377"/>
      <c r="B603" s="377"/>
      <c r="C603" s="377"/>
      <c r="D603" s="377"/>
      <c r="E603" s="377"/>
      <c r="F603" s="377"/>
      <c r="G603" s="377"/>
      <c r="H603" s="377"/>
      <c r="I603" s="377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  <c r="T603" s="377"/>
      <c r="U603" s="377"/>
      <c r="V603" s="377"/>
      <c r="W603" s="377"/>
      <c r="X603" s="377"/>
      <c r="Y603" s="377"/>
      <c r="Z603" s="377"/>
    </row>
    <row r="604" ht="19.5" customHeight="1">
      <c r="A604" s="377"/>
      <c r="B604" s="377"/>
      <c r="C604" s="377"/>
      <c r="D604" s="377"/>
      <c r="E604" s="377"/>
      <c r="F604" s="377"/>
      <c r="G604" s="377"/>
      <c r="H604" s="377"/>
      <c r="I604" s="377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  <c r="T604" s="377"/>
      <c r="U604" s="377"/>
      <c r="V604" s="377"/>
      <c r="W604" s="377"/>
      <c r="X604" s="377"/>
      <c r="Y604" s="377"/>
      <c r="Z604" s="377"/>
    </row>
    <row r="605" ht="19.5" customHeight="1">
      <c r="A605" s="377"/>
      <c r="B605" s="377"/>
      <c r="C605" s="377"/>
      <c r="D605" s="377"/>
      <c r="E605" s="377"/>
      <c r="F605" s="377"/>
      <c r="G605" s="377"/>
      <c r="H605" s="377"/>
      <c r="I605" s="377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  <c r="T605" s="377"/>
      <c r="U605" s="377"/>
      <c r="V605" s="377"/>
      <c r="W605" s="377"/>
      <c r="X605" s="377"/>
      <c r="Y605" s="377"/>
      <c r="Z605" s="377"/>
    </row>
    <row r="606" ht="19.5" customHeight="1">
      <c r="A606" s="377"/>
      <c r="B606" s="377"/>
      <c r="C606" s="377"/>
      <c r="D606" s="377"/>
      <c r="E606" s="377"/>
      <c r="F606" s="377"/>
      <c r="G606" s="377"/>
      <c r="H606" s="377"/>
      <c r="I606" s="377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  <c r="T606" s="377"/>
      <c r="U606" s="377"/>
      <c r="V606" s="377"/>
      <c r="W606" s="377"/>
      <c r="X606" s="377"/>
      <c r="Y606" s="377"/>
      <c r="Z606" s="377"/>
    </row>
    <row r="607" ht="19.5" customHeight="1">
      <c r="A607" s="377"/>
      <c r="B607" s="377"/>
      <c r="C607" s="377"/>
      <c r="D607" s="377"/>
      <c r="E607" s="377"/>
      <c r="F607" s="377"/>
      <c r="G607" s="377"/>
      <c r="H607" s="377"/>
      <c r="I607" s="377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  <c r="T607" s="377"/>
      <c r="U607" s="377"/>
      <c r="V607" s="377"/>
      <c r="W607" s="377"/>
      <c r="X607" s="377"/>
      <c r="Y607" s="377"/>
      <c r="Z607" s="377"/>
    </row>
    <row r="608" ht="19.5" customHeight="1">
      <c r="A608" s="377"/>
      <c r="B608" s="377"/>
      <c r="C608" s="377"/>
      <c r="D608" s="377"/>
      <c r="E608" s="377"/>
      <c r="F608" s="377"/>
      <c r="G608" s="377"/>
      <c r="H608" s="377"/>
      <c r="I608" s="377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  <c r="T608" s="377"/>
      <c r="U608" s="377"/>
      <c r="V608" s="377"/>
      <c r="W608" s="377"/>
      <c r="X608" s="377"/>
      <c r="Y608" s="377"/>
      <c r="Z608" s="377"/>
    </row>
    <row r="609" ht="19.5" customHeight="1">
      <c r="A609" s="377"/>
      <c r="B609" s="377"/>
      <c r="C609" s="377"/>
      <c r="D609" s="377"/>
      <c r="E609" s="377"/>
      <c r="F609" s="377"/>
      <c r="G609" s="377"/>
      <c r="H609" s="377"/>
      <c r="I609" s="377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  <c r="T609" s="377"/>
      <c r="U609" s="377"/>
      <c r="V609" s="377"/>
      <c r="W609" s="377"/>
      <c r="X609" s="377"/>
      <c r="Y609" s="377"/>
      <c r="Z609" s="377"/>
    </row>
    <row r="610" ht="19.5" customHeight="1">
      <c r="A610" s="377"/>
      <c r="B610" s="377"/>
      <c r="C610" s="377"/>
      <c r="D610" s="377"/>
      <c r="E610" s="377"/>
      <c r="F610" s="377"/>
      <c r="G610" s="377"/>
      <c r="H610" s="377"/>
      <c r="I610" s="377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  <c r="T610" s="377"/>
      <c r="U610" s="377"/>
      <c r="V610" s="377"/>
      <c r="W610" s="377"/>
      <c r="X610" s="377"/>
      <c r="Y610" s="377"/>
      <c r="Z610" s="377"/>
    </row>
    <row r="611" ht="19.5" customHeight="1">
      <c r="A611" s="377"/>
      <c r="B611" s="377"/>
      <c r="C611" s="377"/>
      <c r="D611" s="377"/>
      <c r="E611" s="377"/>
      <c r="F611" s="377"/>
      <c r="G611" s="377"/>
      <c r="H611" s="377"/>
      <c r="I611" s="377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  <c r="Z611" s="377"/>
    </row>
    <row r="612" ht="19.5" customHeight="1">
      <c r="A612" s="377"/>
      <c r="B612" s="377"/>
      <c r="C612" s="377"/>
      <c r="D612" s="377"/>
      <c r="E612" s="377"/>
      <c r="F612" s="377"/>
      <c r="G612" s="377"/>
      <c r="H612" s="377"/>
      <c r="I612" s="377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  <c r="Z612" s="377"/>
    </row>
    <row r="613" ht="19.5" customHeight="1">
      <c r="A613" s="377"/>
      <c r="B613" s="377"/>
      <c r="C613" s="377"/>
      <c r="D613" s="377"/>
      <c r="E613" s="377"/>
      <c r="F613" s="377"/>
      <c r="G613" s="377"/>
      <c r="H613" s="377"/>
      <c r="I613" s="377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  <c r="Z613" s="377"/>
    </row>
    <row r="614" ht="19.5" customHeight="1">
      <c r="A614" s="377"/>
      <c r="B614" s="377"/>
      <c r="C614" s="377"/>
      <c r="D614" s="377"/>
      <c r="E614" s="377"/>
      <c r="F614" s="377"/>
      <c r="G614" s="377"/>
      <c r="H614" s="377"/>
      <c r="I614" s="377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  <c r="Z614" s="377"/>
    </row>
    <row r="615" ht="19.5" customHeight="1">
      <c r="A615" s="377"/>
      <c r="B615" s="377"/>
      <c r="C615" s="377"/>
      <c r="D615" s="377"/>
      <c r="E615" s="377"/>
      <c r="F615" s="377"/>
      <c r="G615" s="377"/>
      <c r="H615" s="377"/>
      <c r="I615" s="377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  <c r="Z615" s="377"/>
    </row>
    <row r="616" ht="19.5" customHeight="1">
      <c r="A616" s="377"/>
      <c r="B616" s="377"/>
      <c r="C616" s="377"/>
      <c r="D616" s="377"/>
      <c r="E616" s="377"/>
      <c r="F616" s="377"/>
      <c r="G616" s="377"/>
      <c r="H616" s="377"/>
      <c r="I616" s="377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  <c r="T616" s="377"/>
      <c r="U616" s="377"/>
      <c r="V616" s="377"/>
      <c r="W616" s="377"/>
      <c r="X616" s="377"/>
      <c r="Y616" s="377"/>
      <c r="Z616" s="377"/>
    </row>
    <row r="617" ht="19.5" customHeight="1">
      <c r="A617" s="377"/>
      <c r="B617" s="377"/>
      <c r="C617" s="377"/>
      <c r="D617" s="377"/>
      <c r="E617" s="377"/>
      <c r="F617" s="377"/>
      <c r="G617" s="377"/>
      <c r="H617" s="377"/>
      <c r="I617" s="377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  <c r="T617" s="377"/>
      <c r="U617" s="377"/>
      <c r="V617" s="377"/>
      <c r="W617" s="377"/>
      <c r="X617" s="377"/>
      <c r="Y617" s="377"/>
      <c r="Z617" s="377"/>
    </row>
    <row r="618" ht="19.5" customHeight="1">
      <c r="A618" s="377"/>
      <c r="B618" s="377"/>
      <c r="C618" s="377"/>
      <c r="D618" s="377"/>
      <c r="E618" s="377"/>
      <c r="F618" s="377"/>
      <c r="G618" s="377"/>
      <c r="H618" s="377"/>
      <c r="I618" s="377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  <c r="T618" s="377"/>
      <c r="U618" s="377"/>
      <c r="V618" s="377"/>
      <c r="W618" s="377"/>
      <c r="X618" s="377"/>
      <c r="Y618" s="377"/>
      <c r="Z618" s="377"/>
    </row>
    <row r="619" ht="19.5" customHeight="1">
      <c r="A619" s="377"/>
      <c r="B619" s="377"/>
      <c r="C619" s="377"/>
      <c r="D619" s="377"/>
      <c r="E619" s="377"/>
      <c r="F619" s="377"/>
      <c r="G619" s="377"/>
      <c r="H619" s="377"/>
      <c r="I619" s="377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  <c r="T619" s="377"/>
      <c r="U619" s="377"/>
      <c r="V619" s="377"/>
      <c r="W619" s="377"/>
      <c r="X619" s="377"/>
      <c r="Y619" s="377"/>
      <c r="Z619" s="377"/>
    </row>
    <row r="620" ht="19.5" customHeight="1">
      <c r="A620" s="377"/>
      <c r="B620" s="377"/>
      <c r="C620" s="377"/>
      <c r="D620" s="377"/>
      <c r="E620" s="377"/>
      <c r="F620" s="377"/>
      <c r="G620" s="377"/>
      <c r="H620" s="377"/>
      <c r="I620" s="377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  <c r="T620" s="377"/>
      <c r="U620" s="377"/>
      <c r="V620" s="377"/>
      <c r="W620" s="377"/>
      <c r="X620" s="377"/>
      <c r="Y620" s="377"/>
      <c r="Z620" s="377"/>
    </row>
    <row r="621" ht="19.5" customHeight="1">
      <c r="A621" s="377"/>
      <c r="B621" s="377"/>
      <c r="C621" s="377"/>
      <c r="D621" s="377"/>
      <c r="E621" s="377"/>
      <c r="F621" s="377"/>
      <c r="G621" s="377"/>
      <c r="H621" s="377"/>
      <c r="I621" s="377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  <c r="T621" s="377"/>
      <c r="U621" s="377"/>
      <c r="V621" s="377"/>
      <c r="W621" s="377"/>
      <c r="X621" s="377"/>
      <c r="Y621" s="377"/>
      <c r="Z621" s="377"/>
    </row>
    <row r="622" ht="19.5" customHeight="1">
      <c r="A622" s="377"/>
      <c r="B622" s="377"/>
      <c r="C622" s="377"/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  <c r="T622" s="377"/>
      <c r="U622" s="377"/>
      <c r="V622" s="377"/>
      <c r="W622" s="377"/>
      <c r="X622" s="377"/>
      <c r="Y622" s="377"/>
      <c r="Z622" s="377"/>
    </row>
    <row r="623" ht="19.5" customHeight="1">
      <c r="A623" s="377"/>
      <c r="B623" s="377"/>
      <c r="C623" s="377"/>
      <c r="D623" s="377"/>
      <c r="E623" s="377"/>
      <c r="F623" s="377"/>
      <c r="G623" s="377"/>
      <c r="H623" s="377"/>
      <c r="I623" s="377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  <c r="T623" s="377"/>
      <c r="U623" s="377"/>
      <c r="V623" s="377"/>
      <c r="W623" s="377"/>
      <c r="X623" s="377"/>
      <c r="Y623" s="377"/>
      <c r="Z623" s="377"/>
    </row>
    <row r="624" ht="19.5" customHeight="1">
      <c r="A624" s="377"/>
      <c r="B624" s="377"/>
      <c r="C624" s="377"/>
      <c r="D624" s="377"/>
      <c r="E624" s="377"/>
      <c r="F624" s="377"/>
      <c r="G624" s="377"/>
      <c r="H624" s="377"/>
      <c r="I624" s="377"/>
      <c r="J624" s="377"/>
      <c r="K624" s="377"/>
      <c r="L624" s="377"/>
      <c r="M624" s="377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  <c r="Z624" s="377"/>
    </row>
    <row r="625" ht="19.5" customHeight="1">
      <c r="A625" s="377"/>
      <c r="B625" s="377"/>
      <c r="C625" s="377"/>
      <c r="D625" s="377"/>
      <c r="E625" s="377"/>
      <c r="F625" s="377"/>
      <c r="G625" s="377"/>
      <c r="H625" s="377"/>
      <c r="I625" s="377"/>
      <c r="J625" s="377"/>
      <c r="K625" s="377"/>
      <c r="L625" s="377"/>
      <c r="M625" s="377"/>
      <c r="N625" s="377"/>
      <c r="O625" s="377"/>
      <c r="P625" s="377"/>
      <c r="Q625" s="377"/>
      <c r="R625" s="377"/>
      <c r="S625" s="377"/>
      <c r="T625" s="377"/>
      <c r="U625" s="377"/>
      <c r="V625" s="377"/>
      <c r="W625" s="377"/>
      <c r="X625" s="377"/>
      <c r="Y625" s="377"/>
      <c r="Z625" s="377"/>
    </row>
    <row r="626" ht="19.5" customHeight="1">
      <c r="A626" s="377"/>
      <c r="B626" s="377"/>
      <c r="C626" s="377"/>
      <c r="D626" s="377"/>
      <c r="E626" s="377"/>
      <c r="F626" s="377"/>
      <c r="G626" s="377"/>
      <c r="H626" s="377"/>
      <c r="I626" s="377"/>
      <c r="J626" s="377"/>
      <c r="K626" s="377"/>
      <c r="L626" s="377"/>
      <c r="M626" s="377"/>
      <c r="N626" s="377"/>
      <c r="O626" s="377"/>
      <c r="P626" s="377"/>
      <c r="Q626" s="377"/>
      <c r="R626" s="377"/>
      <c r="S626" s="377"/>
      <c r="T626" s="377"/>
      <c r="U626" s="377"/>
      <c r="V626" s="377"/>
      <c r="W626" s="377"/>
      <c r="X626" s="377"/>
      <c r="Y626" s="377"/>
      <c r="Z626" s="377"/>
    </row>
    <row r="627" ht="19.5" customHeight="1">
      <c r="A627" s="377"/>
      <c r="B627" s="377"/>
      <c r="C627" s="377"/>
      <c r="D627" s="377"/>
      <c r="E627" s="377"/>
      <c r="F627" s="377"/>
      <c r="G627" s="377"/>
      <c r="H627" s="377"/>
      <c r="I627" s="377"/>
      <c r="J627" s="377"/>
      <c r="K627" s="377"/>
      <c r="L627" s="377"/>
      <c r="M627" s="377"/>
      <c r="N627" s="377"/>
      <c r="O627" s="377"/>
      <c r="P627" s="377"/>
      <c r="Q627" s="377"/>
      <c r="R627" s="377"/>
      <c r="S627" s="377"/>
      <c r="T627" s="377"/>
      <c r="U627" s="377"/>
      <c r="V627" s="377"/>
      <c r="W627" s="377"/>
      <c r="X627" s="377"/>
      <c r="Y627" s="377"/>
      <c r="Z627" s="377"/>
    </row>
    <row r="628" ht="19.5" customHeight="1">
      <c r="A628" s="377"/>
      <c r="B628" s="377"/>
      <c r="C628" s="377"/>
      <c r="D628" s="377"/>
      <c r="E628" s="377"/>
      <c r="F628" s="377"/>
      <c r="G628" s="377"/>
      <c r="H628" s="377"/>
      <c r="I628" s="377"/>
      <c r="J628" s="377"/>
      <c r="K628" s="377"/>
      <c r="L628" s="377"/>
      <c r="M628" s="377"/>
      <c r="N628" s="377"/>
      <c r="O628" s="377"/>
      <c r="P628" s="377"/>
      <c r="Q628" s="377"/>
      <c r="R628" s="377"/>
      <c r="S628" s="377"/>
      <c r="T628" s="377"/>
      <c r="U628" s="377"/>
      <c r="V628" s="377"/>
      <c r="W628" s="377"/>
      <c r="X628" s="377"/>
      <c r="Y628" s="377"/>
      <c r="Z628" s="377"/>
    </row>
    <row r="629" ht="19.5" customHeight="1">
      <c r="A629" s="377"/>
      <c r="B629" s="377"/>
      <c r="C629" s="377"/>
      <c r="D629" s="377"/>
      <c r="E629" s="377"/>
      <c r="F629" s="377"/>
      <c r="G629" s="377"/>
      <c r="H629" s="377"/>
      <c r="I629" s="377"/>
      <c r="J629" s="377"/>
      <c r="K629" s="377"/>
      <c r="L629" s="377"/>
      <c r="M629" s="377"/>
      <c r="N629" s="377"/>
      <c r="O629" s="377"/>
      <c r="P629" s="377"/>
      <c r="Q629" s="377"/>
      <c r="R629" s="377"/>
      <c r="S629" s="377"/>
      <c r="T629" s="377"/>
      <c r="U629" s="377"/>
      <c r="V629" s="377"/>
      <c r="W629" s="377"/>
      <c r="X629" s="377"/>
      <c r="Y629" s="377"/>
      <c r="Z629" s="377"/>
    </row>
    <row r="630" ht="19.5" customHeight="1">
      <c r="A630" s="377"/>
      <c r="B630" s="377"/>
      <c r="C630" s="377"/>
      <c r="D630" s="377"/>
      <c r="E630" s="377"/>
      <c r="F630" s="377"/>
      <c r="G630" s="377"/>
      <c r="H630" s="377"/>
      <c r="I630" s="377"/>
      <c r="J630" s="377"/>
      <c r="K630" s="377"/>
      <c r="L630" s="377"/>
      <c r="M630" s="377"/>
      <c r="N630" s="377"/>
      <c r="O630" s="377"/>
      <c r="P630" s="377"/>
      <c r="Q630" s="377"/>
      <c r="R630" s="377"/>
      <c r="S630" s="377"/>
      <c r="T630" s="377"/>
      <c r="U630" s="377"/>
      <c r="V630" s="377"/>
      <c r="W630" s="377"/>
      <c r="X630" s="377"/>
      <c r="Y630" s="377"/>
      <c r="Z630" s="377"/>
    </row>
    <row r="631" ht="19.5" customHeight="1">
      <c r="A631" s="377"/>
      <c r="B631" s="377"/>
      <c r="C631" s="377"/>
      <c r="D631" s="377"/>
      <c r="E631" s="377"/>
      <c r="F631" s="377"/>
      <c r="G631" s="377"/>
      <c r="H631" s="377"/>
      <c r="I631" s="377"/>
      <c r="J631" s="377"/>
      <c r="K631" s="377"/>
      <c r="L631" s="377"/>
      <c r="M631" s="377"/>
      <c r="N631" s="377"/>
      <c r="O631" s="377"/>
      <c r="P631" s="377"/>
      <c r="Q631" s="377"/>
      <c r="R631" s="377"/>
      <c r="S631" s="377"/>
      <c r="T631" s="377"/>
      <c r="U631" s="377"/>
      <c r="V631" s="377"/>
      <c r="W631" s="377"/>
      <c r="X631" s="377"/>
      <c r="Y631" s="377"/>
      <c r="Z631" s="377"/>
    </row>
    <row r="632" ht="19.5" customHeight="1">
      <c r="A632" s="377"/>
      <c r="B632" s="377"/>
      <c r="C632" s="377"/>
      <c r="D632" s="377"/>
      <c r="E632" s="377"/>
      <c r="F632" s="377"/>
      <c r="G632" s="377"/>
      <c r="H632" s="377"/>
      <c r="I632" s="377"/>
      <c r="J632" s="377"/>
      <c r="K632" s="377"/>
      <c r="L632" s="377"/>
      <c r="M632" s="377"/>
      <c r="N632" s="377"/>
      <c r="O632" s="377"/>
      <c r="P632" s="377"/>
      <c r="Q632" s="377"/>
      <c r="R632" s="377"/>
      <c r="S632" s="377"/>
      <c r="T632" s="377"/>
      <c r="U632" s="377"/>
      <c r="V632" s="377"/>
      <c r="W632" s="377"/>
      <c r="X632" s="377"/>
      <c r="Y632" s="377"/>
      <c r="Z632" s="377"/>
    </row>
    <row r="633" ht="19.5" customHeight="1">
      <c r="A633" s="377"/>
      <c r="B633" s="377"/>
      <c r="C633" s="377"/>
      <c r="D633" s="377"/>
      <c r="E633" s="377"/>
      <c r="F633" s="377"/>
      <c r="G633" s="377"/>
      <c r="H633" s="377"/>
      <c r="I633" s="377"/>
      <c r="J633" s="377"/>
      <c r="K633" s="377"/>
      <c r="L633" s="377"/>
      <c r="M633" s="377"/>
      <c r="N633" s="377"/>
      <c r="O633" s="377"/>
      <c r="P633" s="377"/>
      <c r="Q633" s="377"/>
      <c r="R633" s="377"/>
      <c r="S633" s="377"/>
      <c r="T633" s="377"/>
      <c r="U633" s="377"/>
      <c r="V633" s="377"/>
      <c r="W633" s="377"/>
      <c r="X633" s="377"/>
      <c r="Y633" s="377"/>
      <c r="Z633" s="377"/>
    </row>
    <row r="634" ht="19.5" customHeight="1">
      <c r="A634" s="377"/>
      <c r="B634" s="377"/>
      <c r="C634" s="377"/>
      <c r="D634" s="377"/>
      <c r="E634" s="377"/>
      <c r="F634" s="377"/>
      <c r="G634" s="377"/>
      <c r="H634" s="377"/>
      <c r="I634" s="377"/>
      <c r="J634" s="377"/>
      <c r="K634" s="377"/>
      <c r="L634" s="377"/>
      <c r="M634" s="377"/>
      <c r="N634" s="377"/>
      <c r="O634" s="377"/>
      <c r="P634" s="377"/>
      <c r="Q634" s="377"/>
      <c r="R634" s="377"/>
      <c r="S634" s="377"/>
      <c r="T634" s="377"/>
      <c r="U634" s="377"/>
      <c r="V634" s="377"/>
      <c r="W634" s="377"/>
      <c r="X634" s="377"/>
      <c r="Y634" s="377"/>
      <c r="Z634" s="377"/>
    </row>
    <row r="635" ht="19.5" customHeight="1">
      <c r="A635" s="377"/>
      <c r="B635" s="377"/>
      <c r="C635" s="377"/>
      <c r="D635" s="377"/>
      <c r="E635" s="377"/>
      <c r="F635" s="377"/>
      <c r="G635" s="377"/>
      <c r="H635" s="377"/>
      <c r="I635" s="377"/>
      <c r="J635" s="377"/>
      <c r="K635" s="377"/>
      <c r="L635" s="377"/>
      <c r="M635" s="377"/>
      <c r="N635" s="377"/>
      <c r="O635" s="377"/>
      <c r="P635" s="377"/>
      <c r="Q635" s="377"/>
      <c r="R635" s="377"/>
      <c r="S635" s="377"/>
      <c r="T635" s="377"/>
      <c r="U635" s="377"/>
      <c r="V635" s="377"/>
      <c r="W635" s="377"/>
      <c r="X635" s="377"/>
      <c r="Y635" s="377"/>
      <c r="Z635" s="377"/>
    </row>
    <row r="636" ht="19.5" customHeight="1">
      <c r="A636" s="377"/>
      <c r="B636" s="377"/>
      <c r="C636" s="377"/>
      <c r="D636" s="377"/>
      <c r="E636" s="377"/>
      <c r="F636" s="377"/>
      <c r="G636" s="377"/>
      <c r="H636" s="377"/>
      <c r="I636" s="377"/>
      <c r="J636" s="377"/>
      <c r="K636" s="377"/>
      <c r="L636" s="377"/>
      <c r="M636" s="377"/>
      <c r="N636" s="377"/>
      <c r="O636" s="377"/>
      <c r="P636" s="377"/>
      <c r="Q636" s="377"/>
      <c r="R636" s="377"/>
      <c r="S636" s="377"/>
      <c r="T636" s="377"/>
      <c r="U636" s="377"/>
      <c r="V636" s="377"/>
      <c r="W636" s="377"/>
      <c r="X636" s="377"/>
      <c r="Y636" s="377"/>
      <c r="Z636" s="377"/>
    </row>
    <row r="637" ht="19.5" customHeight="1">
      <c r="A637" s="377"/>
      <c r="B637" s="377"/>
      <c r="C637" s="377"/>
      <c r="D637" s="377"/>
      <c r="E637" s="377"/>
      <c r="F637" s="377"/>
      <c r="G637" s="377"/>
      <c r="H637" s="377"/>
      <c r="I637" s="377"/>
      <c r="J637" s="377"/>
      <c r="K637" s="377"/>
      <c r="L637" s="377"/>
      <c r="M637" s="377"/>
      <c r="N637" s="377"/>
      <c r="O637" s="377"/>
      <c r="P637" s="377"/>
      <c r="Q637" s="377"/>
      <c r="R637" s="377"/>
      <c r="S637" s="377"/>
      <c r="T637" s="377"/>
      <c r="U637" s="377"/>
      <c r="V637" s="377"/>
      <c r="W637" s="377"/>
      <c r="X637" s="377"/>
      <c r="Y637" s="377"/>
      <c r="Z637" s="377"/>
    </row>
    <row r="638" ht="19.5" customHeight="1">
      <c r="A638" s="377"/>
      <c r="B638" s="377"/>
      <c r="C638" s="377"/>
      <c r="D638" s="377"/>
      <c r="E638" s="377"/>
      <c r="F638" s="377"/>
      <c r="G638" s="377"/>
      <c r="H638" s="377"/>
      <c r="I638" s="377"/>
      <c r="J638" s="377"/>
      <c r="K638" s="377"/>
      <c r="L638" s="377"/>
      <c r="M638" s="377"/>
      <c r="N638" s="377"/>
      <c r="O638" s="377"/>
      <c r="P638" s="377"/>
      <c r="Q638" s="377"/>
      <c r="R638" s="377"/>
      <c r="S638" s="377"/>
      <c r="T638" s="377"/>
      <c r="U638" s="377"/>
      <c r="V638" s="377"/>
      <c r="W638" s="377"/>
      <c r="X638" s="377"/>
      <c r="Y638" s="377"/>
      <c r="Z638" s="377"/>
    </row>
    <row r="639" ht="19.5" customHeight="1">
      <c r="A639" s="377"/>
      <c r="B639" s="377"/>
      <c r="C639" s="377"/>
      <c r="D639" s="377"/>
      <c r="E639" s="377"/>
      <c r="F639" s="377"/>
      <c r="G639" s="377"/>
      <c r="H639" s="377"/>
      <c r="I639" s="377"/>
      <c r="J639" s="377"/>
      <c r="K639" s="377"/>
      <c r="L639" s="377"/>
      <c r="M639" s="377"/>
      <c r="N639" s="377"/>
      <c r="O639" s="377"/>
      <c r="P639" s="377"/>
      <c r="Q639" s="377"/>
      <c r="R639" s="377"/>
      <c r="S639" s="377"/>
      <c r="T639" s="377"/>
      <c r="U639" s="377"/>
      <c r="V639" s="377"/>
      <c r="W639" s="377"/>
      <c r="X639" s="377"/>
      <c r="Y639" s="377"/>
      <c r="Z639" s="377"/>
    </row>
    <row r="640" ht="19.5" customHeight="1">
      <c r="A640" s="377"/>
      <c r="B640" s="377"/>
      <c r="C640" s="377"/>
      <c r="D640" s="377"/>
      <c r="E640" s="377"/>
      <c r="F640" s="377"/>
      <c r="G640" s="377"/>
      <c r="H640" s="377"/>
      <c r="I640" s="377"/>
      <c r="J640" s="377"/>
      <c r="K640" s="377"/>
      <c r="L640" s="377"/>
      <c r="M640" s="377"/>
      <c r="N640" s="377"/>
      <c r="O640" s="377"/>
      <c r="P640" s="377"/>
      <c r="Q640" s="377"/>
      <c r="R640" s="377"/>
      <c r="S640" s="377"/>
      <c r="T640" s="377"/>
      <c r="U640" s="377"/>
      <c r="V640" s="377"/>
      <c r="W640" s="377"/>
      <c r="X640" s="377"/>
      <c r="Y640" s="377"/>
      <c r="Z640" s="377"/>
    </row>
    <row r="641" ht="19.5" customHeight="1">
      <c r="A641" s="377"/>
      <c r="B641" s="377"/>
      <c r="C641" s="377"/>
      <c r="D641" s="377"/>
      <c r="E641" s="377"/>
      <c r="F641" s="377"/>
      <c r="G641" s="377"/>
      <c r="H641" s="377"/>
      <c r="I641" s="377"/>
      <c r="J641" s="377"/>
      <c r="K641" s="377"/>
      <c r="L641" s="377"/>
      <c r="M641" s="377"/>
      <c r="N641" s="377"/>
      <c r="O641" s="377"/>
      <c r="P641" s="377"/>
      <c r="Q641" s="377"/>
      <c r="R641" s="377"/>
      <c r="S641" s="377"/>
      <c r="T641" s="377"/>
      <c r="U641" s="377"/>
      <c r="V641" s="377"/>
      <c r="W641" s="377"/>
      <c r="X641" s="377"/>
      <c r="Y641" s="377"/>
      <c r="Z641" s="377"/>
    </row>
    <row r="642" ht="19.5" customHeight="1">
      <c r="A642" s="377"/>
      <c r="B642" s="377"/>
      <c r="C642" s="377"/>
      <c r="D642" s="377"/>
      <c r="E642" s="377"/>
      <c r="F642" s="377"/>
      <c r="G642" s="377"/>
      <c r="H642" s="377"/>
      <c r="I642" s="377"/>
      <c r="J642" s="377"/>
      <c r="K642" s="377"/>
      <c r="L642" s="377"/>
      <c r="M642" s="377"/>
      <c r="N642" s="377"/>
      <c r="O642" s="377"/>
      <c r="P642" s="377"/>
      <c r="Q642" s="377"/>
      <c r="R642" s="377"/>
      <c r="S642" s="377"/>
      <c r="T642" s="377"/>
      <c r="U642" s="377"/>
      <c r="V642" s="377"/>
      <c r="W642" s="377"/>
      <c r="X642" s="377"/>
      <c r="Y642" s="377"/>
      <c r="Z642" s="377"/>
    </row>
    <row r="643" ht="19.5" customHeight="1">
      <c r="A643" s="377"/>
      <c r="B643" s="377"/>
      <c r="C643" s="377"/>
      <c r="D643" s="377"/>
      <c r="E643" s="377"/>
      <c r="F643" s="377"/>
      <c r="G643" s="377"/>
      <c r="H643" s="377"/>
      <c r="I643" s="377"/>
      <c r="J643" s="377"/>
      <c r="K643" s="377"/>
      <c r="L643" s="377"/>
      <c r="M643" s="377"/>
      <c r="N643" s="377"/>
      <c r="O643" s="377"/>
      <c r="P643" s="377"/>
      <c r="Q643" s="377"/>
      <c r="R643" s="377"/>
      <c r="S643" s="377"/>
      <c r="T643" s="377"/>
      <c r="U643" s="377"/>
      <c r="V643" s="377"/>
      <c r="W643" s="377"/>
      <c r="X643" s="377"/>
      <c r="Y643" s="377"/>
      <c r="Z643" s="377"/>
    </row>
    <row r="644" ht="19.5" customHeight="1">
      <c r="A644" s="377"/>
      <c r="B644" s="377"/>
      <c r="C644" s="377"/>
      <c r="D644" s="377"/>
      <c r="E644" s="377"/>
      <c r="F644" s="377"/>
      <c r="G644" s="377"/>
      <c r="H644" s="377"/>
      <c r="I644" s="377"/>
      <c r="J644" s="377"/>
      <c r="K644" s="377"/>
      <c r="L644" s="377"/>
      <c r="M644" s="377"/>
      <c r="N644" s="377"/>
      <c r="O644" s="377"/>
      <c r="P644" s="377"/>
      <c r="Q644" s="377"/>
      <c r="R644" s="377"/>
      <c r="S644" s="377"/>
      <c r="T644" s="377"/>
      <c r="U644" s="377"/>
      <c r="V644" s="377"/>
      <c r="W644" s="377"/>
      <c r="X644" s="377"/>
      <c r="Y644" s="377"/>
      <c r="Z644" s="377"/>
    </row>
    <row r="645" ht="19.5" customHeight="1">
      <c r="A645" s="377"/>
      <c r="B645" s="377"/>
      <c r="C645" s="377"/>
      <c r="D645" s="377"/>
      <c r="E645" s="377"/>
      <c r="F645" s="377"/>
      <c r="G645" s="377"/>
      <c r="H645" s="377"/>
      <c r="I645" s="377"/>
      <c r="J645" s="377"/>
      <c r="K645" s="377"/>
      <c r="L645" s="377"/>
      <c r="M645" s="377"/>
      <c r="N645" s="377"/>
      <c r="O645" s="377"/>
      <c r="P645" s="377"/>
      <c r="Q645" s="377"/>
      <c r="R645" s="377"/>
      <c r="S645" s="377"/>
      <c r="T645" s="377"/>
      <c r="U645" s="377"/>
      <c r="V645" s="377"/>
      <c r="W645" s="377"/>
      <c r="X645" s="377"/>
      <c r="Y645" s="377"/>
      <c r="Z645" s="377"/>
    </row>
    <row r="646" ht="19.5" customHeight="1">
      <c r="A646" s="377"/>
      <c r="B646" s="377"/>
      <c r="C646" s="377"/>
      <c r="D646" s="377"/>
      <c r="E646" s="377"/>
      <c r="F646" s="377"/>
      <c r="G646" s="377"/>
      <c r="H646" s="377"/>
      <c r="I646" s="377"/>
      <c r="J646" s="377"/>
      <c r="K646" s="377"/>
      <c r="L646" s="377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  <c r="Z646" s="377"/>
    </row>
    <row r="647" ht="19.5" customHeight="1">
      <c r="A647" s="377"/>
      <c r="B647" s="377"/>
      <c r="C647" s="377"/>
      <c r="D647" s="377"/>
      <c r="E647" s="377"/>
      <c r="F647" s="377"/>
      <c r="G647" s="377"/>
      <c r="H647" s="377"/>
      <c r="I647" s="377"/>
      <c r="J647" s="377"/>
      <c r="K647" s="377"/>
      <c r="L647" s="377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  <c r="Z647" s="377"/>
    </row>
    <row r="648" ht="19.5" customHeight="1">
      <c r="A648" s="377"/>
      <c r="B648" s="377"/>
      <c r="C648" s="377"/>
      <c r="D648" s="377"/>
      <c r="E648" s="377"/>
      <c r="F648" s="377"/>
      <c r="G648" s="377"/>
      <c r="H648" s="377"/>
      <c r="I648" s="377"/>
      <c r="J648" s="377"/>
      <c r="K648" s="377"/>
      <c r="L648" s="377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  <c r="Z648" s="377"/>
    </row>
    <row r="649" ht="19.5" customHeight="1">
      <c r="A649" s="377"/>
      <c r="B649" s="377"/>
      <c r="C649" s="377"/>
      <c r="D649" s="377"/>
      <c r="E649" s="377"/>
      <c r="F649" s="377"/>
      <c r="G649" s="377"/>
      <c r="H649" s="377"/>
      <c r="I649" s="377"/>
      <c r="J649" s="377"/>
      <c r="K649" s="377"/>
      <c r="L649" s="377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  <c r="Z649" s="377"/>
    </row>
    <row r="650" ht="19.5" customHeight="1">
      <c r="A650" s="377"/>
      <c r="B650" s="377"/>
      <c r="C650" s="377"/>
      <c r="D650" s="377"/>
      <c r="E650" s="377"/>
      <c r="F650" s="377"/>
      <c r="G650" s="377"/>
      <c r="H650" s="377"/>
      <c r="I650" s="377"/>
      <c r="J650" s="377"/>
      <c r="K650" s="377"/>
      <c r="L650" s="377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  <c r="Z650" s="377"/>
    </row>
    <row r="651" ht="19.5" customHeight="1">
      <c r="A651" s="377"/>
      <c r="B651" s="377"/>
      <c r="C651" s="377"/>
      <c r="D651" s="377"/>
      <c r="E651" s="377"/>
      <c r="F651" s="377"/>
      <c r="G651" s="377"/>
      <c r="H651" s="377"/>
      <c r="I651" s="377"/>
      <c r="J651" s="377"/>
      <c r="K651" s="377"/>
      <c r="L651" s="377"/>
      <c r="M651" s="377"/>
      <c r="N651" s="377"/>
      <c r="O651" s="377"/>
      <c r="P651" s="377"/>
      <c r="Q651" s="377"/>
      <c r="R651" s="377"/>
      <c r="S651" s="377"/>
      <c r="T651" s="377"/>
      <c r="U651" s="377"/>
      <c r="V651" s="377"/>
      <c r="W651" s="377"/>
      <c r="X651" s="377"/>
      <c r="Y651" s="377"/>
      <c r="Z651" s="377"/>
    </row>
    <row r="652" ht="19.5" customHeight="1">
      <c r="A652" s="377"/>
      <c r="B652" s="377"/>
      <c r="C652" s="377"/>
      <c r="D652" s="377"/>
      <c r="E652" s="377"/>
      <c r="F652" s="377"/>
      <c r="G652" s="377"/>
      <c r="H652" s="377"/>
      <c r="I652" s="377"/>
      <c r="J652" s="377"/>
      <c r="K652" s="377"/>
      <c r="L652" s="377"/>
      <c r="M652" s="377"/>
      <c r="N652" s="377"/>
      <c r="O652" s="377"/>
      <c r="P652" s="377"/>
      <c r="Q652" s="377"/>
      <c r="R652" s="377"/>
      <c r="S652" s="377"/>
      <c r="T652" s="377"/>
      <c r="U652" s="377"/>
      <c r="V652" s="377"/>
      <c r="W652" s="377"/>
      <c r="X652" s="377"/>
      <c r="Y652" s="377"/>
      <c r="Z652" s="377"/>
    </row>
    <row r="653" ht="19.5" customHeight="1">
      <c r="A653" s="377"/>
      <c r="B653" s="377"/>
      <c r="C653" s="377"/>
      <c r="D653" s="377"/>
      <c r="E653" s="377"/>
      <c r="F653" s="377"/>
      <c r="G653" s="377"/>
      <c r="H653" s="377"/>
      <c r="I653" s="377"/>
      <c r="J653" s="377"/>
      <c r="K653" s="377"/>
      <c r="L653" s="377"/>
      <c r="M653" s="377"/>
      <c r="N653" s="377"/>
      <c r="O653" s="377"/>
      <c r="P653" s="377"/>
      <c r="Q653" s="377"/>
      <c r="R653" s="377"/>
      <c r="S653" s="377"/>
      <c r="T653" s="377"/>
      <c r="U653" s="377"/>
      <c r="V653" s="377"/>
      <c r="W653" s="377"/>
      <c r="X653" s="377"/>
      <c r="Y653" s="377"/>
      <c r="Z653" s="377"/>
    </row>
    <row r="654" ht="19.5" customHeight="1">
      <c r="A654" s="377"/>
      <c r="B654" s="377"/>
      <c r="C654" s="377"/>
      <c r="D654" s="377"/>
      <c r="E654" s="377"/>
      <c r="F654" s="377"/>
      <c r="G654" s="377"/>
      <c r="H654" s="377"/>
      <c r="I654" s="377"/>
      <c r="J654" s="377"/>
      <c r="K654" s="377"/>
      <c r="L654" s="377"/>
      <c r="M654" s="377"/>
      <c r="N654" s="377"/>
      <c r="O654" s="377"/>
      <c r="P654" s="377"/>
      <c r="Q654" s="377"/>
      <c r="R654" s="377"/>
      <c r="S654" s="377"/>
      <c r="T654" s="377"/>
      <c r="U654" s="377"/>
      <c r="V654" s="377"/>
      <c r="W654" s="377"/>
      <c r="X654" s="377"/>
      <c r="Y654" s="377"/>
      <c r="Z654" s="377"/>
    </row>
    <row r="655" ht="19.5" customHeight="1">
      <c r="A655" s="377"/>
      <c r="B655" s="377"/>
      <c r="C655" s="377"/>
      <c r="D655" s="377"/>
      <c r="E655" s="377"/>
      <c r="F655" s="377"/>
      <c r="G655" s="377"/>
      <c r="H655" s="377"/>
      <c r="I655" s="377"/>
      <c r="J655" s="377"/>
      <c r="K655" s="377"/>
      <c r="L655" s="377"/>
      <c r="M655" s="377"/>
      <c r="N655" s="377"/>
      <c r="O655" s="377"/>
      <c r="P655" s="377"/>
      <c r="Q655" s="377"/>
      <c r="R655" s="377"/>
      <c r="S655" s="377"/>
      <c r="T655" s="377"/>
      <c r="U655" s="377"/>
      <c r="V655" s="377"/>
      <c r="W655" s="377"/>
      <c r="X655" s="377"/>
      <c r="Y655" s="377"/>
      <c r="Z655" s="377"/>
    </row>
    <row r="656" ht="19.5" customHeight="1">
      <c r="A656" s="377"/>
      <c r="B656" s="377"/>
      <c r="C656" s="377"/>
      <c r="D656" s="377"/>
      <c r="E656" s="377"/>
      <c r="F656" s="377"/>
      <c r="G656" s="377"/>
      <c r="H656" s="377"/>
      <c r="I656" s="377"/>
      <c r="J656" s="377"/>
      <c r="K656" s="377"/>
      <c r="L656" s="377"/>
      <c r="M656" s="377"/>
      <c r="N656" s="377"/>
      <c r="O656" s="377"/>
      <c r="P656" s="377"/>
      <c r="Q656" s="377"/>
      <c r="R656" s="377"/>
      <c r="S656" s="377"/>
      <c r="T656" s="377"/>
      <c r="U656" s="377"/>
      <c r="V656" s="377"/>
      <c r="W656" s="377"/>
      <c r="X656" s="377"/>
      <c r="Y656" s="377"/>
      <c r="Z656" s="377"/>
    </row>
    <row r="657" ht="19.5" customHeight="1">
      <c r="A657" s="377"/>
      <c r="B657" s="377"/>
      <c r="C657" s="377"/>
      <c r="D657" s="377"/>
      <c r="E657" s="377"/>
      <c r="F657" s="377"/>
      <c r="G657" s="377"/>
      <c r="H657" s="377"/>
      <c r="I657" s="377"/>
      <c r="J657" s="377"/>
      <c r="K657" s="377"/>
      <c r="L657" s="377"/>
      <c r="M657" s="377"/>
      <c r="N657" s="377"/>
      <c r="O657" s="377"/>
      <c r="P657" s="377"/>
      <c r="Q657" s="377"/>
      <c r="R657" s="377"/>
      <c r="S657" s="377"/>
      <c r="T657" s="377"/>
      <c r="U657" s="377"/>
      <c r="V657" s="377"/>
      <c r="W657" s="377"/>
      <c r="X657" s="377"/>
      <c r="Y657" s="377"/>
      <c r="Z657" s="377"/>
    </row>
    <row r="658" ht="19.5" customHeight="1">
      <c r="A658" s="377"/>
      <c r="B658" s="377"/>
      <c r="C658" s="377"/>
      <c r="D658" s="377"/>
      <c r="E658" s="377"/>
      <c r="F658" s="377"/>
      <c r="G658" s="377"/>
      <c r="H658" s="377"/>
      <c r="I658" s="377"/>
      <c r="J658" s="377"/>
      <c r="K658" s="377"/>
      <c r="L658" s="377"/>
      <c r="M658" s="377"/>
      <c r="N658" s="377"/>
      <c r="O658" s="377"/>
      <c r="P658" s="377"/>
      <c r="Q658" s="377"/>
      <c r="R658" s="377"/>
      <c r="S658" s="377"/>
      <c r="T658" s="377"/>
      <c r="U658" s="377"/>
      <c r="V658" s="377"/>
      <c r="W658" s="377"/>
      <c r="X658" s="377"/>
      <c r="Y658" s="377"/>
      <c r="Z658" s="377"/>
    </row>
    <row r="659" ht="19.5" customHeight="1">
      <c r="A659" s="377"/>
      <c r="B659" s="377"/>
      <c r="C659" s="377"/>
      <c r="D659" s="377"/>
      <c r="E659" s="377"/>
      <c r="F659" s="377"/>
      <c r="G659" s="377"/>
      <c r="H659" s="377"/>
      <c r="I659" s="377"/>
      <c r="J659" s="377"/>
      <c r="K659" s="377"/>
      <c r="L659" s="377"/>
      <c r="M659" s="377"/>
      <c r="N659" s="377"/>
      <c r="O659" s="377"/>
      <c r="P659" s="377"/>
      <c r="Q659" s="377"/>
      <c r="R659" s="377"/>
      <c r="S659" s="377"/>
      <c r="T659" s="377"/>
      <c r="U659" s="377"/>
      <c r="V659" s="377"/>
      <c r="W659" s="377"/>
      <c r="X659" s="377"/>
      <c r="Y659" s="377"/>
      <c r="Z659" s="377"/>
    </row>
    <row r="660" ht="19.5" customHeight="1">
      <c r="A660" s="377"/>
      <c r="B660" s="377"/>
      <c r="C660" s="377"/>
      <c r="D660" s="377"/>
      <c r="E660" s="377"/>
      <c r="F660" s="377"/>
      <c r="G660" s="377"/>
      <c r="H660" s="377"/>
      <c r="I660" s="377"/>
      <c r="J660" s="377"/>
      <c r="K660" s="377"/>
      <c r="L660" s="377"/>
      <c r="M660" s="377"/>
      <c r="N660" s="377"/>
      <c r="O660" s="377"/>
      <c r="P660" s="377"/>
      <c r="Q660" s="377"/>
      <c r="R660" s="377"/>
      <c r="S660" s="377"/>
      <c r="T660" s="377"/>
      <c r="U660" s="377"/>
      <c r="V660" s="377"/>
      <c r="W660" s="377"/>
      <c r="X660" s="377"/>
      <c r="Y660" s="377"/>
      <c r="Z660" s="377"/>
    </row>
    <row r="661" ht="19.5" customHeight="1">
      <c r="A661" s="377"/>
      <c r="B661" s="377"/>
      <c r="C661" s="377"/>
      <c r="D661" s="377"/>
      <c r="E661" s="377"/>
      <c r="F661" s="377"/>
      <c r="G661" s="377"/>
      <c r="H661" s="377"/>
      <c r="I661" s="377"/>
      <c r="J661" s="377"/>
      <c r="K661" s="377"/>
      <c r="L661" s="377"/>
      <c r="M661" s="377"/>
      <c r="N661" s="377"/>
      <c r="O661" s="377"/>
      <c r="P661" s="377"/>
      <c r="Q661" s="377"/>
      <c r="R661" s="377"/>
      <c r="S661" s="377"/>
      <c r="T661" s="377"/>
      <c r="U661" s="377"/>
      <c r="V661" s="377"/>
      <c r="W661" s="377"/>
      <c r="X661" s="377"/>
      <c r="Y661" s="377"/>
      <c r="Z661" s="377"/>
    </row>
    <row r="662" ht="19.5" customHeight="1">
      <c r="A662" s="377"/>
      <c r="B662" s="377"/>
      <c r="C662" s="377"/>
      <c r="D662" s="377"/>
      <c r="E662" s="377"/>
      <c r="F662" s="377"/>
      <c r="G662" s="377"/>
      <c r="H662" s="377"/>
      <c r="I662" s="377"/>
      <c r="J662" s="377"/>
      <c r="K662" s="377"/>
      <c r="L662" s="377"/>
      <c r="M662" s="377"/>
      <c r="N662" s="377"/>
      <c r="O662" s="377"/>
      <c r="P662" s="377"/>
      <c r="Q662" s="377"/>
      <c r="R662" s="377"/>
      <c r="S662" s="377"/>
      <c r="T662" s="377"/>
      <c r="U662" s="377"/>
      <c r="V662" s="377"/>
      <c r="W662" s="377"/>
      <c r="X662" s="377"/>
      <c r="Y662" s="377"/>
      <c r="Z662" s="377"/>
    </row>
    <row r="663" ht="19.5" customHeight="1">
      <c r="A663" s="377"/>
      <c r="B663" s="377"/>
      <c r="C663" s="377"/>
      <c r="D663" s="377"/>
      <c r="E663" s="377"/>
      <c r="F663" s="377"/>
      <c r="G663" s="377"/>
      <c r="H663" s="377"/>
      <c r="I663" s="377"/>
      <c r="J663" s="377"/>
      <c r="K663" s="377"/>
      <c r="L663" s="377"/>
      <c r="M663" s="377"/>
      <c r="N663" s="377"/>
      <c r="O663" s="377"/>
      <c r="P663" s="377"/>
      <c r="Q663" s="377"/>
      <c r="R663" s="377"/>
      <c r="S663" s="377"/>
      <c r="T663" s="377"/>
      <c r="U663" s="377"/>
      <c r="V663" s="377"/>
      <c r="W663" s="377"/>
      <c r="X663" s="377"/>
      <c r="Y663" s="377"/>
      <c r="Z663" s="377"/>
    </row>
    <row r="664" ht="19.5" customHeight="1">
      <c r="A664" s="377"/>
      <c r="B664" s="377"/>
      <c r="C664" s="377"/>
      <c r="D664" s="377"/>
      <c r="E664" s="377"/>
      <c r="F664" s="377"/>
      <c r="G664" s="377"/>
      <c r="H664" s="377"/>
      <c r="I664" s="377"/>
      <c r="J664" s="377"/>
      <c r="K664" s="377"/>
      <c r="L664" s="377"/>
      <c r="M664" s="377"/>
      <c r="N664" s="377"/>
      <c r="O664" s="377"/>
      <c r="P664" s="377"/>
      <c r="Q664" s="377"/>
      <c r="R664" s="377"/>
      <c r="S664" s="377"/>
      <c r="T664" s="377"/>
      <c r="U664" s="377"/>
      <c r="V664" s="377"/>
      <c r="W664" s="377"/>
      <c r="X664" s="377"/>
      <c r="Y664" s="377"/>
      <c r="Z664" s="377"/>
    </row>
    <row r="665" ht="19.5" customHeight="1">
      <c r="A665" s="377"/>
      <c r="B665" s="377"/>
      <c r="C665" s="377"/>
      <c r="D665" s="377"/>
      <c r="E665" s="377"/>
      <c r="F665" s="377"/>
      <c r="G665" s="377"/>
      <c r="H665" s="377"/>
      <c r="I665" s="377"/>
      <c r="J665" s="377"/>
      <c r="K665" s="377"/>
      <c r="L665" s="377"/>
      <c r="M665" s="377"/>
      <c r="N665" s="377"/>
      <c r="O665" s="377"/>
      <c r="P665" s="377"/>
      <c r="Q665" s="377"/>
      <c r="R665" s="377"/>
      <c r="S665" s="377"/>
      <c r="T665" s="377"/>
      <c r="U665" s="377"/>
      <c r="V665" s="377"/>
      <c r="W665" s="377"/>
      <c r="X665" s="377"/>
      <c r="Y665" s="377"/>
      <c r="Z665" s="377"/>
    </row>
    <row r="666" ht="19.5" customHeight="1">
      <c r="A666" s="377"/>
      <c r="B666" s="377"/>
      <c r="C666" s="377"/>
      <c r="D666" s="377"/>
      <c r="E666" s="377"/>
      <c r="F666" s="377"/>
      <c r="G666" s="377"/>
      <c r="H666" s="377"/>
      <c r="I666" s="377"/>
      <c r="J666" s="377"/>
      <c r="K666" s="377"/>
      <c r="L666" s="377"/>
      <c r="M666" s="377"/>
      <c r="N666" s="377"/>
      <c r="O666" s="377"/>
      <c r="P666" s="377"/>
      <c r="Q666" s="377"/>
      <c r="R666" s="377"/>
      <c r="S666" s="377"/>
      <c r="T666" s="377"/>
      <c r="U666" s="377"/>
      <c r="V666" s="377"/>
      <c r="W666" s="377"/>
      <c r="X666" s="377"/>
      <c r="Y666" s="377"/>
      <c r="Z666" s="377"/>
    </row>
    <row r="667" ht="19.5" customHeight="1">
      <c r="A667" s="377"/>
      <c r="B667" s="377"/>
      <c r="C667" s="377"/>
      <c r="D667" s="377"/>
      <c r="E667" s="377"/>
      <c r="F667" s="377"/>
      <c r="G667" s="377"/>
      <c r="H667" s="377"/>
      <c r="I667" s="377"/>
      <c r="J667" s="377"/>
      <c r="K667" s="377"/>
      <c r="L667" s="377"/>
      <c r="M667" s="377"/>
      <c r="N667" s="377"/>
      <c r="O667" s="377"/>
      <c r="P667" s="377"/>
      <c r="Q667" s="377"/>
      <c r="R667" s="377"/>
      <c r="S667" s="377"/>
      <c r="T667" s="377"/>
      <c r="U667" s="377"/>
      <c r="V667" s="377"/>
      <c r="W667" s="377"/>
      <c r="X667" s="377"/>
      <c r="Y667" s="377"/>
      <c r="Z667" s="377"/>
    </row>
    <row r="668" ht="19.5" customHeight="1">
      <c r="A668" s="377"/>
      <c r="B668" s="377"/>
      <c r="C668" s="377"/>
      <c r="D668" s="377"/>
      <c r="E668" s="377"/>
      <c r="F668" s="377"/>
      <c r="G668" s="377"/>
      <c r="H668" s="377"/>
      <c r="I668" s="377"/>
      <c r="J668" s="377"/>
      <c r="K668" s="377"/>
      <c r="L668" s="377"/>
      <c r="M668" s="377"/>
      <c r="N668" s="377"/>
      <c r="O668" s="377"/>
      <c r="P668" s="377"/>
      <c r="Q668" s="377"/>
      <c r="R668" s="377"/>
      <c r="S668" s="377"/>
      <c r="T668" s="377"/>
      <c r="U668" s="377"/>
      <c r="V668" s="377"/>
      <c r="W668" s="377"/>
      <c r="X668" s="377"/>
      <c r="Y668" s="377"/>
      <c r="Z668" s="377"/>
    </row>
    <row r="669" ht="19.5" customHeight="1">
      <c r="A669" s="377"/>
      <c r="B669" s="377"/>
      <c r="C669" s="377"/>
      <c r="D669" s="377"/>
      <c r="E669" s="377"/>
      <c r="F669" s="377"/>
      <c r="G669" s="377"/>
      <c r="H669" s="377"/>
      <c r="I669" s="377"/>
      <c r="J669" s="377"/>
      <c r="K669" s="377"/>
      <c r="L669" s="377"/>
      <c r="M669" s="377"/>
      <c r="N669" s="377"/>
      <c r="O669" s="377"/>
      <c r="P669" s="377"/>
      <c r="Q669" s="377"/>
      <c r="R669" s="377"/>
      <c r="S669" s="377"/>
      <c r="T669" s="377"/>
      <c r="U669" s="377"/>
      <c r="V669" s="377"/>
      <c r="W669" s="377"/>
      <c r="X669" s="377"/>
      <c r="Y669" s="377"/>
      <c r="Z669" s="377"/>
    </row>
    <row r="670" ht="19.5" customHeight="1">
      <c r="A670" s="377"/>
      <c r="B670" s="377"/>
      <c r="C670" s="377"/>
      <c r="D670" s="377"/>
      <c r="E670" s="377"/>
      <c r="F670" s="377"/>
      <c r="G670" s="377"/>
      <c r="H670" s="377"/>
      <c r="I670" s="377"/>
      <c r="J670" s="377"/>
      <c r="K670" s="377"/>
      <c r="L670" s="377"/>
      <c r="M670" s="377"/>
      <c r="N670" s="377"/>
      <c r="O670" s="377"/>
      <c r="P670" s="377"/>
      <c r="Q670" s="377"/>
      <c r="R670" s="377"/>
      <c r="S670" s="377"/>
      <c r="T670" s="377"/>
      <c r="U670" s="377"/>
      <c r="V670" s="377"/>
      <c r="W670" s="377"/>
      <c r="X670" s="377"/>
      <c r="Y670" s="377"/>
      <c r="Z670" s="377"/>
    </row>
    <row r="671" ht="19.5" customHeight="1">
      <c r="A671" s="377"/>
      <c r="B671" s="377"/>
      <c r="C671" s="377"/>
      <c r="D671" s="377"/>
      <c r="E671" s="377"/>
      <c r="F671" s="377"/>
      <c r="G671" s="377"/>
      <c r="H671" s="377"/>
      <c r="I671" s="377"/>
      <c r="J671" s="377"/>
      <c r="K671" s="377"/>
      <c r="L671" s="377"/>
      <c r="M671" s="377"/>
      <c r="N671" s="377"/>
      <c r="O671" s="377"/>
      <c r="P671" s="377"/>
      <c r="Q671" s="377"/>
      <c r="R671" s="377"/>
      <c r="S671" s="377"/>
      <c r="T671" s="377"/>
      <c r="U671" s="377"/>
      <c r="V671" s="377"/>
      <c r="W671" s="377"/>
      <c r="X671" s="377"/>
      <c r="Y671" s="377"/>
      <c r="Z671" s="377"/>
    </row>
    <row r="672" ht="19.5" customHeight="1">
      <c r="A672" s="377"/>
      <c r="B672" s="377"/>
      <c r="C672" s="377"/>
      <c r="D672" s="377"/>
      <c r="E672" s="377"/>
      <c r="F672" s="377"/>
      <c r="G672" s="377"/>
      <c r="H672" s="377"/>
      <c r="I672" s="377"/>
      <c r="J672" s="377"/>
      <c r="K672" s="377"/>
      <c r="L672" s="377"/>
      <c r="M672" s="377"/>
      <c r="N672" s="377"/>
      <c r="O672" s="377"/>
      <c r="P672" s="377"/>
      <c r="Q672" s="377"/>
      <c r="R672" s="377"/>
      <c r="S672" s="377"/>
      <c r="T672" s="377"/>
      <c r="U672" s="377"/>
      <c r="V672" s="377"/>
      <c r="W672" s="377"/>
      <c r="X672" s="377"/>
      <c r="Y672" s="377"/>
      <c r="Z672" s="377"/>
    </row>
    <row r="673" ht="19.5" customHeight="1">
      <c r="A673" s="377"/>
      <c r="B673" s="377"/>
      <c r="C673" s="377"/>
      <c r="D673" s="377"/>
      <c r="E673" s="377"/>
      <c r="F673" s="377"/>
      <c r="G673" s="377"/>
      <c r="H673" s="377"/>
      <c r="I673" s="377"/>
      <c r="J673" s="377"/>
      <c r="K673" s="377"/>
      <c r="L673" s="377"/>
      <c r="M673" s="377"/>
      <c r="N673" s="377"/>
      <c r="O673" s="377"/>
      <c r="P673" s="377"/>
      <c r="Q673" s="377"/>
      <c r="R673" s="377"/>
      <c r="S673" s="377"/>
      <c r="T673" s="377"/>
      <c r="U673" s="377"/>
      <c r="V673" s="377"/>
      <c r="W673" s="377"/>
      <c r="X673" s="377"/>
      <c r="Y673" s="377"/>
      <c r="Z673" s="377"/>
    </row>
    <row r="674" ht="19.5" customHeight="1">
      <c r="A674" s="377"/>
      <c r="B674" s="377"/>
      <c r="C674" s="377"/>
      <c r="D674" s="377"/>
      <c r="E674" s="377"/>
      <c r="F674" s="377"/>
      <c r="G674" s="377"/>
      <c r="H674" s="377"/>
      <c r="I674" s="377"/>
      <c r="J674" s="377"/>
      <c r="K674" s="377"/>
      <c r="L674" s="377"/>
      <c r="M674" s="377"/>
      <c r="N674" s="377"/>
      <c r="O674" s="377"/>
      <c r="P674" s="377"/>
      <c r="Q674" s="377"/>
      <c r="R674" s="377"/>
      <c r="S674" s="377"/>
      <c r="T674" s="377"/>
      <c r="U674" s="377"/>
      <c r="V674" s="377"/>
      <c r="W674" s="377"/>
      <c r="X674" s="377"/>
      <c r="Y674" s="377"/>
      <c r="Z674" s="377"/>
    </row>
    <row r="675" ht="19.5" customHeight="1">
      <c r="A675" s="377"/>
      <c r="B675" s="377"/>
      <c r="C675" s="377"/>
      <c r="D675" s="377"/>
      <c r="E675" s="377"/>
      <c r="F675" s="377"/>
      <c r="G675" s="377"/>
      <c r="H675" s="377"/>
      <c r="I675" s="377"/>
      <c r="J675" s="377"/>
      <c r="K675" s="377"/>
      <c r="L675" s="377"/>
      <c r="M675" s="377"/>
      <c r="N675" s="377"/>
      <c r="O675" s="377"/>
      <c r="P675" s="377"/>
      <c r="Q675" s="377"/>
      <c r="R675" s="377"/>
      <c r="S675" s="377"/>
      <c r="T675" s="377"/>
      <c r="U675" s="377"/>
      <c r="V675" s="377"/>
      <c r="W675" s="377"/>
      <c r="X675" s="377"/>
      <c r="Y675" s="377"/>
      <c r="Z675" s="377"/>
    </row>
    <row r="676" ht="19.5" customHeight="1">
      <c r="A676" s="377"/>
      <c r="B676" s="377"/>
      <c r="C676" s="377"/>
      <c r="D676" s="377"/>
      <c r="E676" s="377"/>
      <c r="F676" s="377"/>
      <c r="G676" s="377"/>
      <c r="H676" s="377"/>
      <c r="I676" s="377"/>
      <c r="J676" s="377"/>
      <c r="K676" s="377"/>
      <c r="L676" s="377"/>
      <c r="M676" s="377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  <c r="Z676" s="377"/>
    </row>
    <row r="677" ht="19.5" customHeight="1">
      <c r="A677" s="377"/>
      <c r="B677" s="377"/>
      <c r="C677" s="377"/>
      <c r="D677" s="377"/>
      <c r="E677" s="377"/>
      <c r="F677" s="377"/>
      <c r="G677" s="377"/>
      <c r="H677" s="377"/>
      <c r="I677" s="377"/>
      <c r="J677" s="377"/>
      <c r="K677" s="377"/>
      <c r="L677" s="377"/>
      <c r="M677" s="377"/>
      <c r="N677" s="377"/>
      <c r="O677" s="377"/>
      <c r="P677" s="377"/>
      <c r="Q677" s="377"/>
      <c r="R677" s="377"/>
      <c r="S677" s="377"/>
      <c r="T677" s="377"/>
      <c r="U677" s="377"/>
      <c r="V677" s="377"/>
      <c r="W677" s="377"/>
      <c r="X677" s="377"/>
      <c r="Y677" s="377"/>
      <c r="Z677" s="377"/>
    </row>
    <row r="678" ht="19.5" customHeight="1">
      <c r="A678" s="377"/>
      <c r="B678" s="377"/>
      <c r="C678" s="377"/>
      <c r="D678" s="377"/>
      <c r="E678" s="377"/>
      <c r="F678" s="377"/>
      <c r="G678" s="377"/>
      <c r="H678" s="377"/>
      <c r="I678" s="377"/>
      <c r="J678" s="377"/>
      <c r="K678" s="377"/>
      <c r="L678" s="377"/>
      <c r="M678" s="377"/>
      <c r="N678" s="377"/>
      <c r="O678" s="377"/>
      <c r="P678" s="377"/>
      <c r="Q678" s="377"/>
      <c r="R678" s="377"/>
      <c r="S678" s="377"/>
      <c r="T678" s="377"/>
      <c r="U678" s="377"/>
      <c r="V678" s="377"/>
      <c r="W678" s="377"/>
      <c r="X678" s="377"/>
      <c r="Y678" s="377"/>
      <c r="Z678" s="377"/>
    </row>
    <row r="679" ht="19.5" customHeight="1">
      <c r="A679" s="377"/>
      <c r="B679" s="377"/>
      <c r="C679" s="377"/>
      <c r="D679" s="377"/>
      <c r="E679" s="377"/>
      <c r="F679" s="377"/>
      <c r="G679" s="377"/>
      <c r="H679" s="377"/>
      <c r="I679" s="377"/>
      <c r="J679" s="377"/>
      <c r="K679" s="377"/>
      <c r="L679" s="377"/>
      <c r="M679" s="377"/>
      <c r="N679" s="377"/>
      <c r="O679" s="377"/>
      <c r="P679" s="377"/>
      <c r="Q679" s="377"/>
      <c r="R679" s="377"/>
      <c r="S679" s="377"/>
      <c r="T679" s="377"/>
      <c r="U679" s="377"/>
      <c r="V679" s="377"/>
      <c r="W679" s="377"/>
      <c r="X679" s="377"/>
      <c r="Y679" s="377"/>
      <c r="Z679" s="377"/>
    </row>
    <row r="680" ht="19.5" customHeight="1">
      <c r="A680" s="377"/>
      <c r="B680" s="377"/>
      <c r="C680" s="377"/>
      <c r="D680" s="377"/>
      <c r="E680" s="377"/>
      <c r="F680" s="377"/>
      <c r="G680" s="377"/>
      <c r="H680" s="377"/>
      <c r="I680" s="377"/>
      <c r="J680" s="377"/>
      <c r="K680" s="377"/>
      <c r="L680" s="377"/>
      <c r="M680" s="377"/>
      <c r="N680" s="377"/>
      <c r="O680" s="377"/>
      <c r="P680" s="377"/>
      <c r="Q680" s="377"/>
      <c r="R680" s="377"/>
      <c r="S680" s="377"/>
      <c r="T680" s="377"/>
      <c r="U680" s="377"/>
      <c r="V680" s="377"/>
      <c r="W680" s="377"/>
      <c r="X680" s="377"/>
      <c r="Y680" s="377"/>
      <c r="Z680" s="377"/>
    </row>
    <row r="681" ht="19.5" customHeight="1">
      <c r="A681" s="377"/>
      <c r="B681" s="377"/>
      <c r="C681" s="377"/>
      <c r="D681" s="377"/>
      <c r="E681" s="377"/>
      <c r="F681" s="377"/>
      <c r="G681" s="377"/>
      <c r="H681" s="377"/>
      <c r="I681" s="377"/>
      <c r="J681" s="377"/>
      <c r="K681" s="377"/>
      <c r="L681" s="377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  <c r="Z681" s="377"/>
    </row>
    <row r="682" ht="19.5" customHeight="1">
      <c r="A682" s="377"/>
      <c r="B682" s="377"/>
      <c r="C682" s="377"/>
      <c r="D682" s="377"/>
      <c r="E682" s="377"/>
      <c r="F682" s="377"/>
      <c r="G682" s="377"/>
      <c r="H682" s="377"/>
      <c r="I682" s="377"/>
      <c r="J682" s="377"/>
      <c r="K682" s="377"/>
      <c r="L682" s="377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  <c r="Z682" s="377"/>
    </row>
    <row r="683" ht="19.5" customHeight="1">
      <c r="A683" s="377"/>
      <c r="B683" s="377"/>
      <c r="C683" s="377"/>
      <c r="D683" s="377"/>
      <c r="E683" s="377"/>
      <c r="F683" s="377"/>
      <c r="G683" s="377"/>
      <c r="H683" s="377"/>
      <c r="I683" s="377"/>
      <c r="J683" s="377"/>
      <c r="K683" s="377"/>
      <c r="L683" s="377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  <c r="Z683" s="377"/>
    </row>
    <row r="684" ht="19.5" customHeight="1">
      <c r="A684" s="377"/>
      <c r="B684" s="377"/>
      <c r="C684" s="377"/>
      <c r="D684" s="377"/>
      <c r="E684" s="377"/>
      <c r="F684" s="377"/>
      <c r="G684" s="377"/>
      <c r="H684" s="377"/>
      <c r="I684" s="377"/>
      <c r="J684" s="377"/>
      <c r="K684" s="377"/>
      <c r="L684" s="377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  <c r="Z684" s="377"/>
    </row>
    <row r="685" ht="19.5" customHeight="1">
      <c r="A685" s="377"/>
      <c r="B685" s="377"/>
      <c r="C685" s="377"/>
      <c r="D685" s="377"/>
      <c r="E685" s="377"/>
      <c r="F685" s="377"/>
      <c r="G685" s="377"/>
      <c r="H685" s="377"/>
      <c r="I685" s="377"/>
      <c r="J685" s="377"/>
      <c r="K685" s="377"/>
      <c r="L685" s="377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  <c r="Z685" s="377"/>
    </row>
    <row r="686" ht="19.5" customHeight="1">
      <c r="A686" s="377"/>
      <c r="B686" s="377"/>
      <c r="C686" s="377"/>
      <c r="D686" s="377"/>
      <c r="E686" s="377"/>
      <c r="F686" s="377"/>
      <c r="G686" s="377"/>
      <c r="H686" s="377"/>
      <c r="I686" s="377"/>
      <c r="J686" s="377"/>
      <c r="K686" s="377"/>
      <c r="L686" s="377"/>
      <c r="M686" s="377"/>
      <c r="N686" s="377"/>
      <c r="O686" s="377"/>
      <c r="P686" s="377"/>
      <c r="Q686" s="377"/>
      <c r="R686" s="377"/>
      <c r="S686" s="377"/>
      <c r="T686" s="377"/>
      <c r="U686" s="377"/>
      <c r="V686" s="377"/>
      <c r="W686" s="377"/>
      <c r="X686" s="377"/>
      <c r="Y686" s="377"/>
      <c r="Z686" s="377"/>
    </row>
    <row r="687" ht="19.5" customHeight="1">
      <c r="A687" s="377"/>
      <c r="B687" s="377"/>
      <c r="C687" s="377"/>
      <c r="D687" s="377"/>
      <c r="E687" s="377"/>
      <c r="F687" s="377"/>
      <c r="G687" s="377"/>
      <c r="H687" s="377"/>
      <c r="I687" s="377"/>
      <c r="J687" s="377"/>
      <c r="K687" s="377"/>
      <c r="L687" s="377"/>
      <c r="M687" s="377"/>
      <c r="N687" s="377"/>
      <c r="O687" s="377"/>
      <c r="P687" s="377"/>
      <c r="Q687" s="377"/>
      <c r="R687" s="377"/>
      <c r="S687" s="377"/>
      <c r="T687" s="377"/>
      <c r="U687" s="377"/>
      <c r="V687" s="377"/>
      <c r="W687" s="377"/>
      <c r="X687" s="377"/>
      <c r="Y687" s="377"/>
      <c r="Z687" s="377"/>
    </row>
    <row r="688" ht="19.5" customHeight="1">
      <c r="A688" s="377"/>
      <c r="B688" s="377"/>
      <c r="C688" s="377"/>
      <c r="D688" s="377"/>
      <c r="E688" s="377"/>
      <c r="F688" s="377"/>
      <c r="G688" s="377"/>
      <c r="H688" s="377"/>
      <c r="I688" s="377"/>
      <c r="J688" s="377"/>
      <c r="K688" s="377"/>
      <c r="L688" s="377"/>
      <c r="M688" s="377"/>
      <c r="N688" s="377"/>
      <c r="O688" s="377"/>
      <c r="P688" s="377"/>
      <c r="Q688" s="377"/>
      <c r="R688" s="377"/>
      <c r="S688" s="377"/>
      <c r="T688" s="377"/>
      <c r="U688" s="377"/>
      <c r="V688" s="377"/>
      <c r="W688" s="377"/>
      <c r="X688" s="377"/>
      <c r="Y688" s="377"/>
      <c r="Z688" s="377"/>
    </row>
    <row r="689" ht="19.5" customHeight="1">
      <c r="A689" s="377"/>
      <c r="B689" s="377"/>
      <c r="C689" s="377"/>
      <c r="D689" s="377"/>
      <c r="E689" s="377"/>
      <c r="F689" s="377"/>
      <c r="G689" s="377"/>
      <c r="H689" s="377"/>
      <c r="I689" s="377"/>
      <c r="J689" s="377"/>
      <c r="K689" s="377"/>
      <c r="L689" s="377"/>
      <c r="M689" s="377"/>
      <c r="N689" s="377"/>
      <c r="O689" s="377"/>
      <c r="P689" s="377"/>
      <c r="Q689" s="377"/>
      <c r="R689" s="377"/>
      <c r="S689" s="377"/>
      <c r="T689" s="377"/>
      <c r="U689" s="377"/>
      <c r="V689" s="377"/>
      <c r="W689" s="377"/>
      <c r="X689" s="377"/>
      <c r="Y689" s="377"/>
      <c r="Z689" s="377"/>
    </row>
    <row r="690" ht="19.5" customHeight="1">
      <c r="A690" s="377"/>
      <c r="B690" s="377"/>
      <c r="C690" s="377"/>
      <c r="D690" s="377"/>
      <c r="E690" s="377"/>
      <c r="F690" s="377"/>
      <c r="G690" s="377"/>
      <c r="H690" s="377"/>
      <c r="I690" s="377"/>
      <c r="J690" s="377"/>
      <c r="K690" s="377"/>
      <c r="L690" s="377"/>
      <c r="M690" s="377"/>
      <c r="N690" s="377"/>
      <c r="O690" s="377"/>
      <c r="P690" s="377"/>
      <c r="Q690" s="377"/>
      <c r="R690" s="377"/>
      <c r="S690" s="377"/>
      <c r="T690" s="377"/>
      <c r="U690" s="377"/>
      <c r="V690" s="377"/>
      <c r="W690" s="377"/>
      <c r="X690" s="377"/>
      <c r="Y690" s="377"/>
      <c r="Z690" s="377"/>
    </row>
    <row r="691" ht="19.5" customHeight="1">
      <c r="A691" s="377"/>
      <c r="B691" s="377"/>
      <c r="C691" s="377"/>
      <c r="D691" s="377"/>
      <c r="E691" s="377"/>
      <c r="F691" s="377"/>
      <c r="G691" s="377"/>
      <c r="H691" s="377"/>
      <c r="I691" s="377"/>
      <c r="J691" s="377"/>
      <c r="K691" s="377"/>
      <c r="L691" s="377"/>
      <c r="M691" s="377"/>
      <c r="N691" s="377"/>
      <c r="O691" s="377"/>
      <c r="P691" s="377"/>
      <c r="Q691" s="377"/>
      <c r="R691" s="377"/>
      <c r="S691" s="377"/>
      <c r="T691" s="377"/>
      <c r="U691" s="377"/>
      <c r="V691" s="377"/>
      <c r="W691" s="377"/>
      <c r="X691" s="377"/>
      <c r="Y691" s="377"/>
      <c r="Z691" s="377"/>
    </row>
    <row r="692" ht="19.5" customHeight="1">
      <c r="A692" s="377"/>
      <c r="B692" s="377"/>
      <c r="C692" s="377"/>
      <c r="D692" s="377"/>
      <c r="E692" s="377"/>
      <c r="F692" s="377"/>
      <c r="G692" s="377"/>
      <c r="H692" s="377"/>
      <c r="I692" s="377"/>
      <c r="J692" s="377"/>
      <c r="K692" s="377"/>
      <c r="L692" s="377"/>
      <c r="M692" s="377"/>
      <c r="N692" s="377"/>
      <c r="O692" s="377"/>
      <c r="P692" s="377"/>
      <c r="Q692" s="377"/>
      <c r="R692" s="377"/>
      <c r="S692" s="377"/>
      <c r="T692" s="377"/>
      <c r="U692" s="377"/>
      <c r="V692" s="377"/>
      <c r="W692" s="377"/>
      <c r="X692" s="377"/>
      <c r="Y692" s="377"/>
      <c r="Z692" s="377"/>
    </row>
    <row r="693" ht="19.5" customHeight="1">
      <c r="A693" s="377"/>
      <c r="B693" s="377"/>
      <c r="C693" s="377"/>
      <c r="D693" s="377"/>
      <c r="E693" s="377"/>
      <c r="F693" s="377"/>
      <c r="G693" s="377"/>
      <c r="H693" s="377"/>
      <c r="I693" s="377"/>
      <c r="J693" s="377"/>
      <c r="K693" s="377"/>
      <c r="L693" s="377"/>
      <c r="M693" s="377"/>
      <c r="N693" s="377"/>
      <c r="O693" s="377"/>
      <c r="P693" s="377"/>
      <c r="Q693" s="377"/>
      <c r="R693" s="377"/>
      <c r="S693" s="377"/>
      <c r="T693" s="377"/>
      <c r="U693" s="377"/>
      <c r="V693" s="377"/>
      <c r="W693" s="377"/>
      <c r="X693" s="377"/>
      <c r="Y693" s="377"/>
      <c r="Z693" s="377"/>
    </row>
    <row r="694" ht="19.5" customHeight="1">
      <c r="A694" s="377"/>
      <c r="B694" s="377"/>
      <c r="C694" s="377"/>
      <c r="D694" s="377"/>
      <c r="E694" s="377"/>
      <c r="F694" s="377"/>
      <c r="G694" s="377"/>
      <c r="H694" s="377"/>
      <c r="I694" s="377"/>
      <c r="J694" s="377"/>
      <c r="K694" s="377"/>
      <c r="L694" s="377"/>
      <c r="M694" s="377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  <c r="Z694" s="377"/>
    </row>
    <row r="695" ht="19.5" customHeight="1">
      <c r="A695" s="377"/>
      <c r="B695" s="377"/>
      <c r="C695" s="377"/>
      <c r="D695" s="377"/>
      <c r="E695" s="377"/>
      <c r="F695" s="377"/>
      <c r="G695" s="377"/>
      <c r="H695" s="377"/>
      <c r="I695" s="377"/>
      <c r="J695" s="377"/>
      <c r="K695" s="377"/>
      <c r="L695" s="377"/>
      <c r="M695" s="377"/>
      <c r="N695" s="377"/>
      <c r="O695" s="377"/>
      <c r="P695" s="377"/>
      <c r="Q695" s="377"/>
      <c r="R695" s="377"/>
      <c r="S695" s="377"/>
      <c r="T695" s="377"/>
      <c r="U695" s="377"/>
      <c r="V695" s="377"/>
      <c r="W695" s="377"/>
      <c r="X695" s="377"/>
      <c r="Y695" s="377"/>
      <c r="Z695" s="377"/>
    </row>
    <row r="696" ht="19.5" customHeight="1">
      <c r="A696" s="377"/>
      <c r="B696" s="377"/>
      <c r="C696" s="377"/>
      <c r="D696" s="377"/>
      <c r="E696" s="377"/>
      <c r="F696" s="377"/>
      <c r="G696" s="377"/>
      <c r="H696" s="377"/>
      <c r="I696" s="377"/>
      <c r="J696" s="377"/>
      <c r="K696" s="377"/>
      <c r="L696" s="377"/>
      <c r="M696" s="377"/>
      <c r="N696" s="377"/>
      <c r="O696" s="377"/>
      <c r="P696" s="377"/>
      <c r="Q696" s="377"/>
      <c r="R696" s="377"/>
      <c r="S696" s="377"/>
      <c r="T696" s="377"/>
      <c r="U696" s="377"/>
      <c r="V696" s="377"/>
      <c r="W696" s="377"/>
      <c r="X696" s="377"/>
      <c r="Y696" s="377"/>
      <c r="Z696" s="377"/>
    </row>
    <row r="697" ht="19.5" customHeight="1">
      <c r="A697" s="377"/>
      <c r="B697" s="377"/>
      <c r="C697" s="377"/>
      <c r="D697" s="377"/>
      <c r="E697" s="377"/>
      <c r="F697" s="377"/>
      <c r="G697" s="377"/>
      <c r="H697" s="377"/>
      <c r="I697" s="377"/>
      <c r="J697" s="377"/>
      <c r="K697" s="377"/>
      <c r="L697" s="377"/>
      <c r="M697" s="377"/>
      <c r="N697" s="377"/>
      <c r="O697" s="377"/>
      <c r="P697" s="377"/>
      <c r="Q697" s="377"/>
      <c r="R697" s="377"/>
      <c r="S697" s="377"/>
      <c r="T697" s="377"/>
      <c r="U697" s="377"/>
      <c r="V697" s="377"/>
      <c r="W697" s="377"/>
      <c r="X697" s="377"/>
      <c r="Y697" s="377"/>
      <c r="Z697" s="377"/>
    </row>
    <row r="698" ht="19.5" customHeight="1">
      <c r="A698" s="377"/>
      <c r="B698" s="377"/>
      <c r="C698" s="377"/>
      <c r="D698" s="377"/>
      <c r="E698" s="377"/>
      <c r="F698" s="377"/>
      <c r="G698" s="377"/>
      <c r="H698" s="377"/>
      <c r="I698" s="377"/>
      <c r="J698" s="377"/>
      <c r="K698" s="377"/>
      <c r="L698" s="377"/>
      <c r="M698" s="377"/>
      <c r="N698" s="377"/>
      <c r="O698" s="377"/>
      <c r="P698" s="377"/>
      <c r="Q698" s="377"/>
      <c r="R698" s="377"/>
      <c r="S698" s="377"/>
      <c r="T698" s="377"/>
      <c r="U698" s="377"/>
      <c r="V698" s="377"/>
      <c r="W698" s="377"/>
      <c r="X698" s="377"/>
      <c r="Y698" s="377"/>
      <c r="Z698" s="377"/>
    </row>
    <row r="699" ht="19.5" customHeight="1">
      <c r="A699" s="377"/>
      <c r="B699" s="377"/>
      <c r="C699" s="377"/>
      <c r="D699" s="377"/>
      <c r="E699" s="377"/>
      <c r="F699" s="377"/>
      <c r="G699" s="377"/>
      <c r="H699" s="377"/>
      <c r="I699" s="377"/>
      <c r="J699" s="377"/>
      <c r="K699" s="377"/>
      <c r="L699" s="377"/>
      <c r="M699" s="377"/>
      <c r="N699" s="377"/>
      <c r="O699" s="377"/>
      <c r="P699" s="377"/>
      <c r="Q699" s="377"/>
      <c r="R699" s="377"/>
      <c r="S699" s="377"/>
      <c r="T699" s="377"/>
      <c r="U699" s="377"/>
      <c r="V699" s="377"/>
      <c r="W699" s="377"/>
      <c r="X699" s="377"/>
      <c r="Y699" s="377"/>
      <c r="Z699" s="377"/>
    </row>
    <row r="700" ht="19.5" customHeight="1">
      <c r="A700" s="377"/>
      <c r="B700" s="377"/>
      <c r="C700" s="377"/>
      <c r="D700" s="377"/>
      <c r="E700" s="377"/>
      <c r="F700" s="377"/>
      <c r="G700" s="377"/>
      <c r="H700" s="377"/>
      <c r="I700" s="377"/>
      <c r="J700" s="377"/>
      <c r="K700" s="377"/>
      <c r="L700" s="377"/>
      <c r="M700" s="377"/>
      <c r="N700" s="377"/>
      <c r="O700" s="377"/>
      <c r="P700" s="377"/>
      <c r="Q700" s="377"/>
      <c r="R700" s="377"/>
      <c r="S700" s="377"/>
      <c r="T700" s="377"/>
      <c r="U700" s="377"/>
      <c r="V700" s="377"/>
      <c r="W700" s="377"/>
      <c r="X700" s="377"/>
      <c r="Y700" s="377"/>
      <c r="Z700" s="377"/>
    </row>
    <row r="701" ht="19.5" customHeight="1">
      <c r="A701" s="377"/>
      <c r="B701" s="377"/>
      <c r="C701" s="377"/>
      <c r="D701" s="377"/>
      <c r="E701" s="377"/>
      <c r="F701" s="377"/>
      <c r="G701" s="377"/>
      <c r="H701" s="377"/>
      <c r="I701" s="377"/>
      <c r="J701" s="377"/>
      <c r="K701" s="377"/>
      <c r="L701" s="377"/>
      <c r="M701" s="377"/>
      <c r="N701" s="377"/>
      <c r="O701" s="377"/>
      <c r="P701" s="377"/>
      <c r="Q701" s="377"/>
      <c r="R701" s="377"/>
      <c r="S701" s="377"/>
      <c r="T701" s="377"/>
      <c r="U701" s="377"/>
      <c r="V701" s="377"/>
      <c r="W701" s="377"/>
      <c r="X701" s="377"/>
      <c r="Y701" s="377"/>
      <c r="Z701" s="377"/>
    </row>
    <row r="702" ht="19.5" customHeight="1">
      <c r="A702" s="377"/>
      <c r="B702" s="377"/>
      <c r="C702" s="377"/>
      <c r="D702" s="377"/>
      <c r="E702" s="377"/>
      <c r="F702" s="377"/>
      <c r="G702" s="377"/>
      <c r="H702" s="377"/>
      <c r="I702" s="377"/>
      <c r="J702" s="377"/>
      <c r="K702" s="377"/>
      <c r="L702" s="377"/>
      <c r="M702" s="377"/>
      <c r="N702" s="377"/>
      <c r="O702" s="377"/>
      <c r="P702" s="377"/>
      <c r="Q702" s="377"/>
      <c r="R702" s="377"/>
      <c r="S702" s="377"/>
      <c r="T702" s="377"/>
      <c r="U702" s="377"/>
      <c r="V702" s="377"/>
      <c r="W702" s="377"/>
      <c r="X702" s="377"/>
      <c r="Y702" s="377"/>
      <c r="Z702" s="377"/>
    </row>
    <row r="703" ht="19.5" customHeight="1">
      <c r="A703" s="377"/>
      <c r="B703" s="377"/>
      <c r="C703" s="377"/>
      <c r="D703" s="377"/>
      <c r="E703" s="377"/>
      <c r="F703" s="377"/>
      <c r="G703" s="377"/>
      <c r="H703" s="377"/>
      <c r="I703" s="377"/>
      <c r="J703" s="377"/>
      <c r="K703" s="377"/>
      <c r="L703" s="377"/>
      <c r="M703" s="377"/>
      <c r="N703" s="377"/>
      <c r="O703" s="377"/>
      <c r="P703" s="377"/>
      <c r="Q703" s="377"/>
      <c r="R703" s="377"/>
      <c r="S703" s="377"/>
      <c r="T703" s="377"/>
      <c r="U703" s="377"/>
      <c r="V703" s="377"/>
      <c r="W703" s="377"/>
      <c r="X703" s="377"/>
      <c r="Y703" s="377"/>
      <c r="Z703" s="377"/>
    </row>
    <row r="704" ht="19.5" customHeight="1">
      <c r="A704" s="377"/>
      <c r="B704" s="377"/>
      <c r="C704" s="377"/>
      <c r="D704" s="377"/>
      <c r="E704" s="377"/>
      <c r="F704" s="377"/>
      <c r="G704" s="377"/>
      <c r="H704" s="377"/>
      <c r="I704" s="377"/>
      <c r="J704" s="377"/>
      <c r="K704" s="377"/>
      <c r="L704" s="377"/>
      <c r="M704" s="377"/>
      <c r="N704" s="377"/>
      <c r="O704" s="377"/>
      <c r="P704" s="377"/>
      <c r="Q704" s="377"/>
      <c r="R704" s="377"/>
      <c r="S704" s="377"/>
      <c r="T704" s="377"/>
      <c r="U704" s="377"/>
      <c r="V704" s="377"/>
      <c r="W704" s="377"/>
      <c r="X704" s="377"/>
      <c r="Y704" s="377"/>
      <c r="Z704" s="377"/>
    </row>
    <row r="705" ht="19.5" customHeight="1">
      <c r="A705" s="377"/>
      <c r="B705" s="377"/>
      <c r="C705" s="377"/>
      <c r="D705" s="377"/>
      <c r="E705" s="377"/>
      <c r="F705" s="377"/>
      <c r="G705" s="377"/>
      <c r="H705" s="377"/>
      <c r="I705" s="377"/>
      <c r="J705" s="377"/>
      <c r="K705" s="377"/>
      <c r="L705" s="377"/>
      <c r="M705" s="377"/>
      <c r="N705" s="377"/>
      <c r="O705" s="377"/>
      <c r="P705" s="377"/>
      <c r="Q705" s="377"/>
      <c r="R705" s="377"/>
      <c r="S705" s="377"/>
      <c r="T705" s="377"/>
      <c r="U705" s="377"/>
      <c r="V705" s="377"/>
      <c r="W705" s="377"/>
      <c r="X705" s="377"/>
      <c r="Y705" s="377"/>
      <c r="Z705" s="377"/>
    </row>
    <row r="706" ht="19.5" customHeight="1">
      <c r="A706" s="377"/>
      <c r="B706" s="377"/>
      <c r="C706" s="377"/>
      <c r="D706" s="377"/>
      <c r="E706" s="377"/>
      <c r="F706" s="377"/>
      <c r="G706" s="377"/>
      <c r="H706" s="377"/>
      <c r="I706" s="377"/>
      <c r="J706" s="377"/>
      <c r="K706" s="377"/>
      <c r="L706" s="377"/>
      <c r="M706" s="377"/>
      <c r="N706" s="377"/>
      <c r="O706" s="377"/>
      <c r="P706" s="377"/>
      <c r="Q706" s="377"/>
      <c r="R706" s="377"/>
      <c r="S706" s="377"/>
      <c r="T706" s="377"/>
      <c r="U706" s="377"/>
      <c r="V706" s="377"/>
      <c r="W706" s="377"/>
      <c r="X706" s="377"/>
      <c r="Y706" s="377"/>
      <c r="Z706" s="377"/>
    </row>
    <row r="707" ht="19.5" customHeight="1">
      <c r="A707" s="377"/>
      <c r="B707" s="377"/>
      <c r="C707" s="377"/>
      <c r="D707" s="377"/>
      <c r="E707" s="377"/>
      <c r="F707" s="377"/>
      <c r="G707" s="377"/>
      <c r="H707" s="377"/>
      <c r="I707" s="377"/>
      <c r="J707" s="377"/>
      <c r="K707" s="377"/>
      <c r="L707" s="377"/>
      <c r="M707" s="377"/>
      <c r="N707" s="377"/>
      <c r="O707" s="377"/>
      <c r="P707" s="377"/>
      <c r="Q707" s="377"/>
      <c r="R707" s="377"/>
      <c r="S707" s="377"/>
      <c r="T707" s="377"/>
      <c r="U707" s="377"/>
      <c r="V707" s="377"/>
      <c r="W707" s="377"/>
      <c r="X707" s="377"/>
      <c r="Y707" s="377"/>
      <c r="Z707" s="377"/>
    </row>
    <row r="708" ht="19.5" customHeight="1">
      <c r="A708" s="377"/>
      <c r="B708" s="377"/>
      <c r="C708" s="377"/>
      <c r="D708" s="377"/>
      <c r="E708" s="377"/>
      <c r="F708" s="377"/>
      <c r="G708" s="377"/>
      <c r="H708" s="377"/>
      <c r="I708" s="377"/>
      <c r="J708" s="377"/>
      <c r="K708" s="377"/>
      <c r="L708" s="377"/>
      <c r="M708" s="377"/>
      <c r="N708" s="377"/>
      <c r="O708" s="377"/>
      <c r="P708" s="377"/>
      <c r="Q708" s="377"/>
      <c r="R708" s="377"/>
      <c r="S708" s="377"/>
      <c r="T708" s="377"/>
      <c r="U708" s="377"/>
      <c r="V708" s="377"/>
      <c r="W708" s="377"/>
      <c r="X708" s="377"/>
      <c r="Y708" s="377"/>
      <c r="Z708" s="377"/>
    </row>
    <row r="709" ht="19.5" customHeight="1">
      <c r="A709" s="377"/>
      <c r="B709" s="377"/>
      <c r="C709" s="377"/>
      <c r="D709" s="377"/>
      <c r="E709" s="377"/>
      <c r="F709" s="377"/>
      <c r="G709" s="377"/>
      <c r="H709" s="377"/>
      <c r="I709" s="377"/>
      <c r="J709" s="377"/>
      <c r="K709" s="377"/>
      <c r="L709" s="377"/>
      <c r="M709" s="377"/>
      <c r="N709" s="377"/>
      <c r="O709" s="377"/>
      <c r="P709" s="377"/>
      <c r="Q709" s="377"/>
      <c r="R709" s="377"/>
      <c r="S709" s="377"/>
      <c r="T709" s="377"/>
      <c r="U709" s="377"/>
      <c r="V709" s="377"/>
      <c r="W709" s="377"/>
      <c r="X709" s="377"/>
      <c r="Y709" s="377"/>
      <c r="Z709" s="377"/>
    </row>
    <row r="710" ht="19.5" customHeight="1">
      <c r="A710" s="377"/>
      <c r="B710" s="377"/>
      <c r="C710" s="377"/>
      <c r="D710" s="377"/>
      <c r="E710" s="377"/>
      <c r="F710" s="377"/>
      <c r="G710" s="377"/>
      <c r="H710" s="377"/>
      <c r="I710" s="377"/>
      <c r="J710" s="377"/>
      <c r="K710" s="377"/>
      <c r="L710" s="377"/>
      <c r="M710" s="377"/>
      <c r="N710" s="377"/>
      <c r="O710" s="377"/>
      <c r="P710" s="377"/>
      <c r="Q710" s="377"/>
      <c r="R710" s="377"/>
      <c r="S710" s="377"/>
      <c r="T710" s="377"/>
      <c r="U710" s="377"/>
      <c r="V710" s="377"/>
      <c r="W710" s="377"/>
      <c r="X710" s="377"/>
      <c r="Y710" s="377"/>
      <c r="Z710" s="377"/>
    </row>
    <row r="711" ht="19.5" customHeight="1">
      <c r="A711" s="377"/>
      <c r="B711" s="377"/>
      <c r="C711" s="377"/>
      <c r="D711" s="377"/>
      <c r="E711" s="377"/>
      <c r="F711" s="377"/>
      <c r="G711" s="377"/>
      <c r="H711" s="377"/>
      <c r="I711" s="377"/>
      <c r="J711" s="377"/>
      <c r="K711" s="377"/>
      <c r="L711" s="377"/>
      <c r="M711" s="377"/>
      <c r="N711" s="377"/>
      <c r="O711" s="377"/>
      <c r="P711" s="377"/>
      <c r="Q711" s="377"/>
      <c r="R711" s="377"/>
      <c r="S711" s="377"/>
      <c r="T711" s="377"/>
      <c r="U711" s="377"/>
      <c r="V711" s="377"/>
      <c r="W711" s="377"/>
      <c r="X711" s="377"/>
      <c r="Y711" s="377"/>
      <c r="Z711" s="377"/>
    </row>
    <row r="712" ht="19.5" customHeight="1">
      <c r="A712" s="377"/>
      <c r="B712" s="377"/>
      <c r="C712" s="377"/>
      <c r="D712" s="377"/>
      <c r="E712" s="377"/>
      <c r="F712" s="377"/>
      <c r="G712" s="377"/>
      <c r="H712" s="377"/>
      <c r="I712" s="377"/>
      <c r="J712" s="377"/>
      <c r="K712" s="377"/>
      <c r="L712" s="377"/>
      <c r="M712" s="377"/>
      <c r="N712" s="377"/>
      <c r="O712" s="377"/>
      <c r="P712" s="377"/>
      <c r="Q712" s="377"/>
      <c r="R712" s="377"/>
      <c r="S712" s="377"/>
      <c r="T712" s="377"/>
      <c r="U712" s="377"/>
      <c r="V712" s="377"/>
      <c r="W712" s="377"/>
      <c r="X712" s="377"/>
      <c r="Y712" s="377"/>
      <c r="Z712" s="377"/>
    </row>
    <row r="713" ht="19.5" customHeight="1">
      <c r="A713" s="377"/>
      <c r="B713" s="377"/>
      <c r="C713" s="377"/>
      <c r="D713" s="377"/>
      <c r="E713" s="377"/>
      <c r="F713" s="377"/>
      <c r="G713" s="377"/>
      <c r="H713" s="377"/>
      <c r="I713" s="377"/>
      <c r="J713" s="377"/>
      <c r="K713" s="377"/>
      <c r="L713" s="377"/>
      <c r="M713" s="377"/>
      <c r="N713" s="377"/>
      <c r="O713" s="377"/>
      <c r="P713" s="377"/>
      <c r="Q713" s="377"/>
      <c r="R713" s="377"/>
      <c r="S713" s="377"/>
      <c r="T713" s="377"/>
      <c r="U713" s="377"/>
      <c r="V713" s="377"/>
      <c r="W713" s="377"/>
      <c r="X713" s="377"/>
      <c r="Y713" s="377"/>
      <c r="Z713" s="377"/>
    </row>
    <row r="714" ht="19.5" customHeight="1">
      <c r="A714" s="377"/>
      <c r="B714" s="377"/>
      <c r="C714" s="377"/>
      <c r="D714" s="377"/>
      <c r="E714" s="377"/>
      <c r="F714" s="377"/>
      <c r="G714" s="377"/>
      <c r="H714" s="377"/>
      <c r="I714" s="377"/>
      <c r="J714" s="377"/>
      <c r="K714" s="377"/>
      <c r="L714" s="377"/>
      <c r="M714" s="377"/>
      <c r="N714" s="377"/>
      <c r="O714" s="377"/>
      <c r="P714" s="377"/>
      <c r="Q714" s="377"/>
      <c r="R714" s="377"/>
      <c r="S714" s="377"/>
      <c r="T714" s="377"/>
      <c r="U714" s="377"/>
      <c r="V714" s="377"/>
      <c r="W714" s="377"/>
      <c r="X714" s="377"/>
      <c r="Y714" s="377"/>
      <c r="Z714" s="377"/>
    </row>
    <row r="715" ht="19.5" customHeight="1">
      <c r="A715" s="377"/>
      <c r="B715" s="377"/>
      <c r="C715" s="377"/>
      <c r="D715" s="377"/>
      <c r="E715" s="377"/>
      <c r="F715" s="377"/>
      <c r="G715" s="377"/>
      <c r="H715" s="377"/>
      <c r="I715" s="377"/>
      <c r="J715" s="377"/>
      <c r="K715" s="377"/>
      <c r="L715" s="377"/>
      <c r="M715" s="377"/>
      <c r="N715" s="377"/>
      <c r="O715" s="377"/>
      <c r="P715" s="377"/>
      <c r="Q715" s="377"/>
      <c r="R715" s="377"/>
      <c r="S715" s="377"/>
      <c r="T715" s="377"/>
      <c r="U715" s="377"/>
      <c r="V715" s="377"/>
      <c r="W715" s="377"/>
      <c r="X715" s="377"/>
      <c r="Y715" s="377"/>
      <c r="Z715" s="377"/>
    </row>
    <row r="716" ht="19.5" customHeight="1">
      <c r="A716" s="377"/>
      <c r="B716" s="377"/>
      <c r="C716" s="377"/>
      <c r="D716" s="377"/>
      <c r="E716" s="377"/>
      <c r="F716" s="377"/>
      <c r="G716" s="377"/>
      <c r="H716" s="377"/>
      <c r="I716" s="377"/>
      <c r="J716" s="377"/>
      <c r="K716" s="377"/>
      <c r="L716" s="377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  <c r="Z716" s="377"/>
    </row>
    <row r="717" ht="19.5" customHeight="1">
      <c r="A717" s="377"/>
      <c r="B717" s="377"/>
      <c r="C717" s="377"/>
      <c r="D717" s="377"/>
      <c r="E717" s="377"/>
      <c r="F717" s="377"/>
      <c r="G717" s="377"/>
      <c r="H717" s="377"/>
      <c r="I717" s="377"/>
      <c r="J717" s="377"/>
      <c r="K717" s="377"/>
      <c r="L717" s="377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  <c r="Z717" s="377"/>
    </row>
    <row r="718" ht="19.5" customHeight="1">
      <c r="A718" s="377"/>
      <c r="B718" s="377"/>
      <c r="C718" s="377"/>
      <c r="D718" s="377"/>
      <c r="E718" s="377"/>
      <c r="F718" s="377"/>
      <c r="G718" s="377"/>
      <c r="H718" s="377"/>
      <c r="I718" s="377"/>
      <c r="J718" s="377"/>
      <c r="K718" s="377"/>
      <c r="L718" s="377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  <c r="Z718" s="377"/>
    </row>
    <row r="719" ht="19.5" customHeight="1">
      <c r="A719" s="377"/>
      <c r="B719" s="377"/>
      <c r="C719" s="377"/>
      <c r="D719" s="377"/>
      <c r="E719" s="377"/>
      <c r="F719" s="377"/>
      <c r="G719" s="377"/>
      <c r="H719" s="377"/>
      <c r="I719" s="377"/>
      <c r="J719" s="377"/>
      <c r="K719" s="377"/>
      <c r="L719" s="377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  <c r="Z719" s="377"/>
    </row>
    <row r="720" ht="19.5" customHeight="1">
      <c r="A720" s="377"/>
      <c r="B720" s="377"/>
      <c r="C720" s="377"/>
      <c r="D720" s="377"/>
      <c r="E720" s="377"/>
      <c r="F720" s="377"/>
      <c r="G720" s="377"/>
      <c r="H720" s="377"/>
      <c r="I720" s="377"/>
      <c r="J720" s="377"/>
      <c r="K720" s="377"/>
      <c r="L720" s="377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  <c r="Z720" s="377"/>
    </row>
    <row r="721" ht="19.5" customHeight="1">
      <c r="A721" s="377"/>
      <c r="B721" s="377"/>
      <c r="C721" s="377"/>
      <c r="D721" s="377"/>
      <c r="E721" s="377"/>
      <c r="F721" s="377"/>
      <c r="G721" s="377"/>
      <c r="H721" s="377"/>
      <c r="I721" s="377"/>
      <c r="J721" s="377"/>
      <c r="K721" s="377"/>
      <c r="L721" s="377"/>
      <c r="M721" s="377"/>
      <c r="N721" s="377"/>
      <c r="O721" s="377"/>
      <c r="P721" s="377"/>
      <c r="Q721" s="377"/>
      <c r="R721" s="377"/>
      <c r="S721" s="377"/>
      <c r="T721" s="377"/>
      <c r="U721" s="377"/>
      <c r="V721" s="377"/>
      <c r="W721" s="377"/>
      <c r="X721" s="377"/>
      <c r="Y721" s="377"/>
      <c r="Z721" s="377"/>
    </row>
    <row r="722" ht="19.5" customHeight="1">
      <c r="A722" s="377"/>
      <c r="B722" s="377"/>
      <c r="C722" s="377"/>
      <c r="D722" s="377"/>
      <c r="E722" s="377"/>
      <c r="F722" s="377"/>
      <c r="G722" s="377"/>
      <c r="H722" s="377"/>
      <c r="I722" s="377"/>
      <c r="J722" s="377"/>
      <c r="K722" s="377"/>
      <c r="L722" s="377"/>
      <c r="M722" s="377"/>
      <c r="N722" s="377"/>
      <c r="O722" s="377"/>
      <c r="P722" s="377"/>
      <c r="Q722" s="377"/>
      <c r="R722" s="377"/>
      <c r="S722" s="377"/>
      <c r="T722" s="377"/>
      <c r="U722" s="377"/>
      <c r="V722" s="377"/>
      <c r="W722" s="377"/>
      <c r="X722" s="377"/>
      <c r="Y722" s="377"/>
      <c r="Z722" s="377"/>
    </row>
    <row r="723" ht="19.5" customHeight="1">
      <c r="A723" s="377"/>
      <c r="B723" s="377"/>
      <c r="C723" s="377"/>
      <c r="D723" s="377"/>
      <c r="E723" s="377"/>
      <c r="F723" s="377"/>
      <c r="G723" s="377"/>
      <c r="H723" s="377"/>
      <c r="I723" s="377"/>
      <c r="J723" s="377"/>
      <c r="K723" s="377"/>
      <c r="L723" s="377"/>
      <c r="M723" s="377"/>
      <c r="N723" s="377"/>
      <c r="O723" s="377"/>
      <c r="P723" s="377"/>
      <c r="Q723" s="377"/>
      <c r="R723" s="377"/>
      <c r="S723" s="377"/>
      <c r="T723" s="377"/>
      <c r="U723" s="377"/>
      <c r="V723" s="377"/>
      <c r="W723" s="377"/>
      <c r="X723" s="377"/>
      <c r="Y723" s="377"/>
      <c r="Z723" s="377"/>
    </row>
    <row r="724" ht="19.5" customHeight="1">
      <c r="A724" s="377"/>
      <c r="B724" s="377"/>
      <c r="C724" s="377"/>
      <c r="D724" s="377"/>
      <c r="E724" s="377"/>
      <c r="F724" s="377"/>
      <c r="G724" s="377"/>
      <c r="H724" s="377"/>
      <c r="I724" s="377"/>
      <c r="J724" s="377"/>
      <c r="K724" s="377"/>
      <c r="L724" s="377"/>
      <c r="M724" s="377"/>
      <c r="N724" s="377"/>
      <c r="O724" s="377"/>
      <c r="P724" s="377"/>
      <c r="Q724" s="377"/>
      <c r="R724" s="377"/>
      <c r="S724" s="377"/>
      <c r="T724" s="377"/>
      <c r="U724" s="377"/>
      <c r="V724" s="377"/>
      <c r="W724" s="377"/>
      <c r="X724" s="377"/>
      <c r="Y724" s="377"/>
      <c r="Z724" s="377"/>
    </row>
    <row r="725" ht="19.5" customHeight="1">
      <c r="A725" s="377"/>
      <c r="B725" s="377"/>
      <c r="C725" s="377"/>
      <c r="D725" s="377"/>
      <c r="E725" s="377"/>
      <c r="F725" s="377"/>
      <c r="G725" s="377"/>
      <c r="H725" s="377"/>
      <c r="I725" s="377"/>
      <c r="J725" s="377"/>
      <c r="K725" s="377"/>
      <c r="L725" s="377"/>
      <c r="M725" s="377"/>
      <c r="N725" s="377"/>
      <c r="O725" s="377"/>
      <c r="P725" s="377"/>
      <c r="Q725" s="377"/>
      <c r="R725" s="377"/>
      <c r="S725" s="377"/>
      <c r="T725" s="377"/>
      <c r="U725" s="377"/>
      <c r="V725" s="377"/>
      <c r="W725" s="377"/>
      <c r="X725" s="377"/>
      <c r="Y725" s="377"/>
      <c r="Z725" s="377"/>
    </row>
    <row r="726" ht="19.5" customHeight="1">
      <c r="A726" s="377"/>
      <c r="B726" s="377"/>
      <c r="C726" s="377"/>
      <c r="D726" s="377"/>
      <c r="E726" s="377"/>
      <c r="F726" s="377"/>
      <c r="G726" s="377"/>
      <c r="H726" s="377"/>
      <c r="I726" s="377"/>
      <c r="J726" s="377"/>
      <c r="K726" s="377"/>
      <c r="L726" s="377"/>
      <c r="M726" s="377"/>
      <c r="N726" s="377"/>
      <c r="O726" s="377"/>
      <c r="P726" s="377"/>
      <c r="Q726" s="377"/>
      <c r="R726" s="377"/>
      <c r="S726" s="377"/>
      <c r="T726" s="377"/>
      <c r="U726" s="377"/>
      <c r="V726" s="377"/>
      <c r="W726" s="377"/>
      <c r="X726" s="377"/>
      <c r="Y726" s="377"/>
      <c r="Z726" s="377"/>
    </row>
    <row r="727" ht="19.5" customHeight="1">
      <c r="A727" s="377"/>
      <c r="B727" s="377"/>
      <c r="C727" s="377"/>
      <c r="D727" s="377"/>
      <c r="E727" s="377"/>
      <c r="F727" s="377"/>
      <c r="G727" s="377"/>
      <c r="H727" s="377"/>
      <c r="I727" s="377"/>
      <c r="J727" s="377"/>
      <c r="K727" s="377"/>
      <c r="L727" s="377"/>
      <c r="M727" s="377"/>
      <c r="N727" s="377"/>
      <c r="O727" s="377"/>
      <c r="P727" s="377"/>
      <c r="Q727" s="377"/>
      <c r="R727" s="377"/>
      <c r="S727" s="377"/>
      <c r="T727" s="377"/>
      <c r="U727" s="377"/>
      <c r="V727" s="377"/>
      <c r="W727" s="377"/>
      <c r="X727" s="377"/>
      <c r="Y727" s="377"/>
      <c r="Z727" s="377"/>
    </row>
    <row r="728" ht="19.5" customHeight="1">
      <c r="A728" s="377"/>
      <c r="B728" s="377"/>
      <c r="C728" s="377"/>
      <c r="D728" s="377"/>
      <c r="E728" s="377"/>
      <c r="F728" s="377"/>
      <c r="G728" s="377"/>
      <c r="H728" s="377"/>
      <c r="I728" s="377"/>
      <c r="J728" s="377"/>
      <c r="K728" s="377"/>
      <c r="L728" s="377"/>
      <c r="M728" s="377"/>
      <c r="N728" s="377"/>
      <c r="O728" s="377"/>
      <c r="P728" s="377"/>
      <c r="Q728" s="377"/>
      <c r="R728" s="377"/>
      <c r="S728" s="377"/>
      <c r="T728" s="377"/>
      <c r="U728" s="377"/>
      <c r="V728" s="377"/>
      <c r="W728" s="377"/>
      <c r="X728" s="377"/>
      <c r="Y728" s="377"/>
      <c r="Z728" s="377"/>
    </row>
    <row r="729" ht="19.5" customHeight="1">
      <c r="A729" s="377"/>
      <c r="B729" s="377"/>
      <c r="C729" s="377"/>
      <c r="D729" s="377"/>
      <c r="E729" s="377"/>
      <c r="F729" s="377"/>
      <c r="G729" s="377"/>
      <c r="H729" s="377"/>
      <c r="I729" s="377"/>
      <c r="J729" s="377"/>
      <c r="K729" s="377"/>
      <c r="L729" s="377"/>
      <c r="M729" s="377"/>
      <c r="N729" s="377"/>
      <c r="O729" s="377"/>
      <c r="P729" s="377"/>
      <c r="Q729" s="377"/>
      <c r="R729" s="377"/>
      <c r="S729" s="377"/>
      <c r="T729" s="377"/>
      <c r="U729" s="377"/>
      <c r="V729" s="377"/>
      <c r="W729" s="377"/>
      <c r="X729" s="377"/>
      <c r="Y729" s="377"/>
      <c r="Z729" s="377"/>
    </row>
    <row r="730" ht="19.5" customHeight="1">
      <c r="A730" s="377"/>
      <c r="B730" s="377"/>
      <c r="C730" s="377"/>
      <c r="D730" s="377"/>
      <c r="E730" s="377"/>
      <c r="F730" s="377"/>
      <c r="G730" s="377"/>
      <c r="H730" s="377"/>
      <c r="I730" s="377"/>
      <c r="J730" s="377"/>
      <c r="K730" s="377"/>
      <c r="L730" s="377"/>
      <c r="M730" s="377"/>
      <c r="N730" s="377"/>
      <c r="O730" s="377"/>
      <c r="P730" s="377"/>
      <c r="Q730" s="377"/>
      <c r="R730" s="377"/>
      <c r="S730" s="377"/>
      <c r="T730" s="377"/>
      <c r="U730" s="377"/>
      <c r="V730" s="377"/>
      <c r="W730" s="377"/>
      <c r="X730" s="377"/>
      <c r="Y730" s="377"/>
      <c r="Z730" s="377"/>
    </row>
    <row r="731" ht="19.5" customHeight="1">
      <c r="A731" s="377"/>
      <c r="B731" s="377"/>
      <c r="C731" s="377"/>
      <c r="D731" s="377"/>
      <c r="E731" s="377"/>
      <c r="F731" s="377"/>
      <c r="G731" s="377"/>
      <c r="H731" s="377"/>
      <c r="I731" s="377"/>
      <c r="J731" s="377"/>
      <c r="K731" s="377"/>
      <c r="L731" s="377"/>
      <c r="M731" s="377"/>
      <c r="N731" s="377"/>
      <c r="O731" s="377"/>
      <c r="P731" s="377"/>
      <c r="Q731" s="377"/>
      <c r="R731" s="377"/>
      <c r="S731" s="377"/>
      <c r="T731" s="377"/>
      <c r="U731" s="377"/>
      <c r="V731" s="377"/>
      <c r="W731" s="377"/>
      <c r="X731" s="377"/>
      <c r="Y731" s="377"/>
      <c r="Z731" s="377"/>
    </row>
    <row r="732" ht="19.5" customHeight="1">
      <c r="A732" s="377"/>
      <c r="B732" s="377"/>
      <c r="C732" s="377"/>
      <c r="D732" s="377"/>
      <c r="E732" s="377"/>
      <c r="F732" s="377"/>
      <c r="G732" s="377"/>
      <c r="H732" s="377"/>
      <c r="I732" s="377"/>
      <c r="J732" s="377"/>
      <c r="K732" s="377"/>
      <c r="L732" s="377"/>
      <c r="M732" s="377"/>
      <c r="N732" s="377"/>
      <c r="O732" s="377"/>
      <c r="P732" s="377"/>
      <c r="Q732" s="377"/>
      <c r="R732" s="377"/>
      <c r="S732" s="377"/>
      <c r="T732" s="377"/>
      <c r="U732" s="377"/>
      <c r="V732" s="377"/>
      <c r="W732" s="377"/>
      <c r="X732" s="377"/>
      <c r="Y732" s="377"/>
      <c r="Z732" s="377"/>
    </row>
    <row r="733" ht="19.5" customHeight="1">
      <c r="A733" s="377"/>
      <c r="B733" s="377"/>
      <c r="C733" s="377"/>
      <c r="D733" s="377"/>
      <c r="E733" s="377"/>
      <c r="F733" s="377"/>
      <c r="G733" s="377"/>
      <c r="H733" s="377"/>
      <c r="I733" s="377"/>
      <c r="J733" s="377"/>
      <c r="K733" s="377"/>
      <c r="L733" s="377"/>
      <c r="M733" s="377"/>
      <c r="N733" s="377"/>
      <c r="O733" s="377"/>
      <c r="P733" s="377"/>
      <c r="Q733" s="377"/>
      <c r="R733" s="377"/>
      <c r="S733" s="377"/>
      <c r="T733" s="377"/>
      <c r="U733" s="377"/>
      <c r="V733" s="377"/>
      <c r="W733" s="377"/>
      <c r="X733" s="377"/>
      <c r="Y733" s="377"/>
      <c r="Z733" s="377"/>
    </row>
    <row r="734" ht="19.5" customHeight="1">
      <c r="A734" s="377"/>
      <c r="B734" s="377"/>
      <c r="C734" s="377"/>
      <c r="D734" s="377"/>
      <c r="E734" s="377"/>
      <c r="F734" s="377"/>
      <c r="G734" s="377"/>
      <c r="H734" s="377"/>
      <c r="I734" s="377"/>
      <c r="J734" s="377"/>
      <c r="K734" s="377"/>
      <c r="L734" s="377"/>
      <c r="M734" s="377"/>
      <c r="N734" s="377"/>
      <c r="O734" s="377"/>
      <c r="P734" s="377"/>
      <c r="Q734" s="377"/>
      <c r="R734" s="377"/>
      <c r="S734" s="377"/>
      <c r="T734" s="377"/>
      <c r="U734" s="377"/>
      <c r="V734" s="377"/>
      <c r="W734" s="377"/>
      <c r="X734" s="377"/>
      <c r="Y734" s="377"/>
      <c r="Z734" s="377"/>
    </row>
    <row r="735" ht="19.5" customHeight="1">
      <c r="A735" s="377"/>
      <c r="B735" s="377"/>
      <c r="C735" s="377"/>
      <c r="D735" s="377"/>
      <c r="E735" s="377"/>
      <c r="F735" s="377"/>
      <c r="G735" s="377"/>
      <c r="H735" s="377"/>
      <c r="I735" s="377"/>
      <c r="J735" s="377"/>
      <c r="K735" s="377"/>
      <c r="L735" s="377"/>
      <c r="M735" s="377"/>
      <c r="N735" s="377"/>
      <c r="O735" s="377"/>
      <c r="P735" s="377"/>
      <c r="Q735" s="377"/>
      <c r="R735" s="377"/>
      <c r="S735" s="377"/>
      <c r="T735" s="377"/>
      <c r="U735" s="377"/>
      <c r="V735" s="377"/>
      <c r="W735" s="377"/>
      <c r="X735" s="377"/>
      <c r="Y735" s="377"/>
      <c r="Z735" s="377"/>
    </row>
    <row r="736" ht="19.5" customHeight="1">
      <c r="A736" s="377"/>
      <c r="B736" s="377"/>
      <c r="C736" s="377"/>
      <c r="D736" s="377"/>
      <c r="E736" s="377"/>
      <c r="F736" s="377"/>
      <c r="G736" s="377"/>
      <c r="H736" s="377"/>
      <c r="I736" s="377"/>
      <c r="J736" s="377"/>
      <c r="K736" s="377"/>
      <c r="L736" s="377"/>
      <c r="M736" s="377"/>
      <c r="N736" s="377"/>
      <c r="O736" s="377"/>
      <c r="P736" s="377"/>
      <c r="Q736" s="377"/>
      <c r="R736" s="377"/>
      <c r="S736" s="377"/>
      <c r="T736" s="377"/>
      <c r="U736" s="377"/>
      <c r="V736" s="377"/>
      <c r="W736" s="377"/>
      <c r="X736" s="377"/>
      <c r="Y736" s="377"/>
      <c r="Z736" s="377"/>
    </row>
    <row r="737" ht="19.5" customHeight="1">
      <c r="A737" s="377"/>
      <c r="B737" s="377"/>
      <c r="C737" s="377"/>
      <c r="D737" s="377"/>
      <c r="E737" s="377"/>
      <c r="F737" s="377"/>
      <c r="G737" s="377"/>
      <c r="H737" s="377"/>
      <c r="I737" s="377"/>
      <c r="J737" s="377"/>
      <c r="K737" s="377"/>
      <c r="L737" s="377"/>
      <c r="M737" s="377"/>
      <c r="N737" s="377"/>
      <c r="O737" s="377"/>
      <c r="P737" s="377"/>
      <c r="Q737" s="377"/>
      <c r="R737" s="377"/>
      <c r="S737" s="377"/>
      <c r="T737" s="377"/>
      <c r="U737" s="377"/>
      <c r="V737" s="377"/>
      <c r="W737" s="377"/>
      <c r="X737" s="377"/>
      <c r="Y737" s="377"/>
      <c r="Z737" s="377"/>
    </row>
    <row r="738" ht="19.5" customHeight="1">
      <c r="A738" s="377"/>
      <c r="B738" s="377"/>
      <c r="C738" s="377"/>
      <c r="D738" s="377"/>
      <c r="E738" s="377"/>
      <c r="F738" s="377"/>
      <c r="G738" s="377"/>
      <c r="H738" s="377"/>
      <c r="I738" s="377"/>
      <c r="J738" s="377"/>
      <c r="K738" s="377"/>
      <c r="L738" s="377"/>
      <c r="M738" s="377"/>
      <c r="N738" s="377"/>
      <c r="O738" s="377"/>
      <c r="P738" s="377"/>
      <c r="Q738" s="377"/>
      <c r="R738" s="377"/>
      <c r="S738" s="377"/>
      <c r="T738" s="377"/>
      <c r="U738" s="377"/>
      <c r="V738" s="377"/>
      <c r="W738" s="377"/>
      <c r="X738" s="377"/>
      <c r="Y738" s="377"/>
      <c r="Z738" s="377"/>
    </row>
    <row r="739" ht="19.5" customHeight="1">
      <c r="A739" s="377"/>
      <c r="B739" s="377"/>
      <c r="C739" s="377"/>
      <c r="D739" s="377"/>
      <c r="E739" s="377"/>
      <c r="F739" s="377"/>
      <c r="G739" s="377"/>
      <c r="H739" s="377"/>
      <c r="I739" s="377"/>
      <c r="J739" s="377"/>
      <c r="K739" s="377"/>
      <c r="L739" s="377"/>
      <c r="M739" s="377"/>
      <c r="N739" s="377"/>
      <c r="O739" s="377"/>
      <c r="P739" s="377"/>
      <c r="Q739" s="377"/>
      <c r="R739" s="377"/>
      <c r="S739" s="377"/>
      <c r="T739" s="377"/>
      <c r="U739" s="377"/>
      <c r="V739" s="377"/>
      <c r="W739" s="377"/>
      <c r="X739" s="377"/>
      <c r="Y739" s="377"/>
      <c r="Z739" s="377"/>
    </row>
    <row r="740" ht="19.5" customHeight="1">
      <c r="A740" s="377"/>
      <c r="B740" s="377"/>
      <c r="C740" s="377"/>
      <c r="D740" s="377"/>
      <c r="E740" s="377"/>
      <c r="F740" s="377"/>
      <c r="G740" s="377"/>
      <c r="H740" s="377"/>
      <c r="I740" s="377"/>
      <c r="J740" s="377"/>
      <c r="K740" s="377"/>
      <c r="L740" s="377"/>
      <c r="M740" s="377"/>
      <c r="N740" s="377"/>
      <c r="O740" s="377"/>
      <c r="P740" s="377"/>
      <c r="Q740" s="377"/>
      <c r="R740" s="377"/>
      <c r="S740" s="377"/>
      <c r="T740" s="377"/>
      <c r="U740" s="377"/>
      <c r="V740" s="377"/>
      <c r="W740" s="377"/>
      <c r="X740" s="377"/>
      <c r="Y740" s="377"/>
      <c r="Z740" s="377"/>
    </row>
    <row r="741" ht="19.5" customHeight="1">
      <c r="A741" s="377"/>
      <c r="B741" s="377"/>
      <c r="C741" s="377"/>
      <c r="D741" s="377"/>
      <c r="E741" s="377"/>
      <c r="F741" s="377"/>
      <c r="G741" s="377"/>
      <c r="H741" s="377"/>
      <c r="I741" s="377"/>
      <c r="J741" s="377"/>
      <c r="K741" s="377"/>
      <c r="L741" s="377"/>
      <c r="M741" s="377"/>
      <c r="N741" s="377"/>
      <c r="O741" s="377"/>
      <c r="P741" s="377"/>
      <c r="Q741" s="377"/>
      <c r="R741" s="377"/>
      <c r="S741" s="377"/>
      <c r="T741" s="377"/>
      <c r="U741" s="377"/>
      <c r="V741" s="377"/>
      <c r="W741" s="377"/>
      <c r="X741" s="377"/>
      <c r="Y741" s="377"/>
      <c r="Z741" s="377"/>
    </row>
    <row r="742" ht="19.5" customHeight="1">
      <c r="A742" s="377"/>
      <c r="B742" s="377"/>
      <c r="C742" s="377"/>
      <c r="D742" s="377"/>
      <c r="E742" s="377"/>
      <c r="F742" s="377"/>
      <c r="G742" s="377"/>
      <c r="H742" s="377"/>
      <c r="I742" s="377"/>
      <c r="J742" s="377"/>
      <c r="K742" s="377"/>
      <c r="L742" s="377"/>
      <c r="M742" s="377"/>
      <c r="N742" s="377"/>
      <c r="O742" s="377"/>
      <c r="P742" s="377"/>
      <c r="Q742" s="377"/>
      <c r="R742" s="377"/>
      <c r="S742" s="377"/>
      <c r="T742" s="377"/>
      <c r="U742" s="377"/>
      <c r="V742" s="377"/>
      <c r="W742" s="377"/>
      <c r="X742" s="377"/>
      <c r="Y742" s="377"/>
      <c r="Z742" s="377"/>
    </row>
    <row r="743" ht="19.5" customHeight="1">
      <c r="A743" s="377"/>
      <c r="B743" s="377"/>
      <c r="C743" s="377"/>
      <c r="D743" s="377"/>
      <c r="E743" s="377"/>
      <c r="F743" s="377"/>
      <c r="G743" s="377"/>
      <c r="H743" s="377"/>
      <c r="I743" s="377"/>
      <c r="J743" s="377"/>
      <c r="K743" s="377"/>
      <c r="L743" s="377"/>
      <c r="M743" s="377"/>
      <c r="N743" s="377"/>
      <c r="O743" s="377"/>
      <c r="P743" s="377"/>
      <c r="Q743" s="377"/>
      <c r="R743" s="377"/>
      <c r="S743" s="377"/>
      <c r="T743" s="377"/>
      <c r="U743" s="377"/>
      <c r="V743" s="377"/>
      <c r="W743" s="377"/>
      <c r="X743" s="377"/>
      <c r="Y743" s="377"/>
      <c r="Z743" s="377"/>
    </row>
    <row r="744" ht="19.5" customHeight="1">
      <c r="A744" s="377"/>
      <c r="B744" s="377"/>
      <c r="C744" s="377"/>
      <c r="D744" s="377"/>
      <c r="E744" s="377"/>
      <c r="F744" s="377"/>
      <c r="G744" s="377"/>
      <c r="H744" s="377"/>
      <c r="I744" s="377"/>
      <c r="J744" s="377"/>
      <c r="K744" s="377"/>
      <c r="L744" s="377"/>
      <c r="M744" s="377"/>
      <c r="N744" s="377"/>
      <c r="O744" s="377"/>
      <c r="P744" s="377"/>
      <c r="Q744" s="377"/>
      <c r="R744" s="377"/>
      <c r="S744" s="377"/>
      <c r="T744" s="377"/>
      <c r="U744" s="377"/>
      <c r="V744" s="377"/>
      <c r="W744" s="377"/>
      <c r="X744" s="377"/>
      <c r="Y744" s="377"/>
      <c r="Z744" s="377"/>
    </row>
    <row r="745" ht="19.5" customHeight="1">
      <c r="A745" s="377"/>
      <c r="B745" s="377"/>
      <c r="C745" s="377"/>
      <c r="D745" s="377"/>
      <c r="E745" s="377"/>
      <c r="F745" s="377"/>
      <c r="G745" s="377"/>
      <c r="H745" s="377"/>
      <c r="I745" s="377"/>
      <c r="J745" s="377"/>
      <c r="K745" s="377"/>
      <c r="L745" s="377"/>
      <c r="M745" s="377"/>
      <c r="N745" s="377"/>
      <c r="O745" s="377"/>
      <c r="P745" s="377"/>
      <c r="Q745" s="377"/>
      <c r="R745" s="377"/>
      <c r="S745" s="377"/>
      <c r="T745" s="377"/>
      <c r="U745" s="377"/>
      <c r="V745" s="377"/>
      <c r="W745" s="377"/>
      <c r="X745" s="377"/>
      <c r="Y745" s="377"/>
      <c r="Z745" s="377"/>
    </row>
    <row r="746" ht="19.5" customHeight="1">
      <c r="A746" s="377"/>
      <c r="B746" s="377"/>
      <c r="C746" s="377"/>
      <c r="D746" s="377"/>
      <c r="E746" s="377"/>
      <c r="F746" s="377"/>
      <c r="G746" s="377"/>
      <c r="H746" s="377"/>
      <c r="I746" s="377"/>
      <c r="J746" s="377"/>
      <c r="K746" s="377"/>
      <c r="L746" s="377"/>
      <c r="M746" s="377"/>
      <c r="N746" s="377"/>
      <c r="O746" s="377"/>
      <c r="P746" s="377"/>
      <c r="Q746" s="377"/>
      <c r="R746" s="377"/>
      <c r="S746" s="377"/>
      <c r="T746" s="377"/>
      <c r="U746" s="377"/>
      <c r="V746" s="377"/>
      <c r="W746" s="377"/>
      <c r="X746" s="377"/>
      <c r="Y746" s="377"/>
      <c r="Z746" s="377"/>
    </row>
    <row r="747" ht="19.5" customHeight="1">
      <c r="A747" s="377"/>
      <c r="B747" s="377"/>
      <c r="C747" s="377"/>
      <c r="D747" s="377"/>
      <c r="E747" s="377"/>
      <c r="F747" s="377"/>
      <c r="G747" s="377"/>
      <c r="H747" s="377"/>
      <c r="I747" s="377"/>
      <c r="J747" s="377"/>
      <c r="K747" s="377"/>
      <c r="L747" s="377"/>
      <c r="M747" s="377"/>
      <c r="N747" s="377"/>
      <c r="O747" s="377"/>
      <c r="P747" s="377"/>
      <c r="Q747" s="377"/>
      <c r="R747" s="377"/>
      <c r="S747" s="377"/>
      <c r="T747" s="377"/>
      <c r="U747" s="377"/>
      <c r="V747" s="377"/>
      <c r="W747" s="377"/>
      <c r="X747" s="377"/>
      <c r="Y747" s="377"/>
      <c r="Z747" s="377"/>
    </row>
    <row r="748" ht="19.5" customHeight="1">
      <c r="A748" s="377"/>
      <c r="B748" s="377"/>
      <c r="C748" s="377"/>
      <c r="D748" s="377"/>
      <c r="E748" s="377"/>
      <c r="F748" s="377"/>
      <c r="G748" s="377"/>
      <c r="H748" s="377"/>
      <c r="I748" s="377"/>
      <c r="J748" s="377"/>
      <c r="K748" s="377"/>
      <c r="L748" s="377"/>
      <c r="M748" s="377"/>
      <c r="N748" s="377"/>
      <c r="O748" s="377"/>
      <c r="P748" s="377"/>
      <c r="Q748" s="377"/>
      <c r="R748" s="377"/>
      <c r="S748" s="377"/>
      <c r="T748" s="377"/>
      <c r="U748" s="377"/>
      <c r="V748" s="377"/>
      <c r="W748" s="377"/>
      <c r="X748" s="377"/>
      <c r="Y748" s="377"/>
      <c r="Z748" s="377"/>
    </row>
    <row r="749" ht="19.5" customHeight="1">
      <c r="A749" s="377"/>
      <c r="B749" s="377"/>
      <c r="C749" s="377"/>
      <c r="D749" s="377"/>
      <c r="E749" s="377"/>
      <c r="F749" s="377"/>
      <c r="G749" s="377"/>
      <c r="H749" s="377"/>
      <c r="I749" s="377"/>
      <c r="J749" s="377"/>
      <c r="K749" s="377"/>
      <c r="L749" s="377"/>
      <c r="M749" s="377"/>
      <c r="N749" s="377"/>
      <c r="O749" s="377"/>
      <c r="P749" s="377"/>
      <c r="Q749" s="377"/>
      <c r="R749" s="377"/>
      <c r="S749" s="377"/>
      <c r="T749" s="377"/>
      <c r="U749" s="377"/>
      <c r="V749" s="377"/>
      <c r="W749" s="377"/>
      <c r="X749" s="377"/>
      <c r="Y749" s="377"/>
      <c r="Z749" s="377"/>
    </row>
    <row r="750" ht="19.5" customHeight="1">
      <c r="A750" s="377"/>
      <c r="B750" s="377"/>
      <c r="C750" s="377"/>
      <c r="D750" s="377"/>
      <c r="E750" s="377"/>
      <c r="F750" s="377"/>
      <c r="G750" s="377"/>
      <c r="H750" s="377"/>
      <c r="I750" s="377"/>
      <c r="J750" s="377"/>
      <c r="K750" s="377"/>
      <c r="L750" s="377"/>
      <c r="M750" s="377"/>
      <c r="N750" s="377"/>
      <c r="O750" s="377"/>
      <c r="P750" s="377"/>
      <c r="Q750" s="377"/>
      <c r="R750" s="377"/>
      <c r="S750" s="377"/>
      <c r="T750" s="377"/>
      <c r="U750" s="377"/>
      <c r="V750" s="377"/>
      <c r="W750" s="377"/>
      <c r="X750" s="377"/>
      <c r="Y750" s="377"/>
      <c r="Z750" s="377"/>
    </row>
    <row r="751" ht="19.5" customHeight="1">
      <c r="A751" s="377"/>
      <c r="B751" s="377"/>
      <c r="C751" s="377"/>
      <c r="D751" s="377"/>
      <c r="E751" s="377"/>
      <c r="F751" s="377"/>
      <c r="G751" s="377"/>
      <c r="H751" s="377"/>
      <c r="I751" s="377"/>
      <c r="J751" s="377"/>
      <c r="K751" s="377"/>
      <c r="L751" s="377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  <c r="Z751" s="377"/>
    </row>
    <row r="752" ht="19.5" customHeight="1">
      <c r="A752" s="377"/>
      <c r="B752" s="377"/>
      <c r="C752" s="377"/>
      <c r="D752" s="377"/>
      <c r="E752" s="377"/>
      <c r="F752" s="377"/>
      <c r="G752" s="377"/>
      <c r="H752" s="377"/>
      <c r="I752" s="377"/>
      <c r="J752" s="377"/>
      <c r="K752" s="377"/>
      <c r="L752" s="377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  <c r="Z752" s="377"/>
    </row>
    <row r="753" ht="19.5" customHeight="1">
      <c r="A753" s="377"/>
      <c r="B753" s="377"/>
      <c r="C753" s="377"/>
      <c r="D753" s="377"/>
      <c r="E753" s="377"/>
      <c r="F753" s="377"/>
      <c r="G753" s="377"/>
      <c r="H753" s="377"/>
      <c r="I753" s="377"/>
      <c r="J753" s="377"/>
      <c r="K753" s="377"/>
      <c r="L753" s="377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  <c r="Z753" s="377"/>
    </row>
    <row r="754" ht="19.5" customHeight="1">
      <c r="A754" s="377"/>
      <c r="B754" s="377"/>
      <c r="C754" s="377"/>
      <c r="D754" s="377"/>
      <c r="E754" s="377"/>
      <c r="F754" s="377"/>
      <c r="G754" s="377"/>
      <c r="H754" s="377"/>
      <c r="I754" s="377"/>
      <c r="J754" s="377"/>
      <c r="K754" s="377"/>
      <c r="L754" s="377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  <c r="Z754" s="377"/>
    </row>
    <row r="755" ht="19.5" customHeight="1">
      <c r="A755" s="377"/>
      <c r="B755" s="377"/>
      <c r="C755" s="377"/>
      <c r="D755" s="377"/>
      <c r="E755" s="377"/>
      <c r="F755" s="377"/>
      <c r="G755" s="377"/>
      <c r="H755" s="377"/>
      <c r="I755" s="377"/>
      <c r="J755" s="377"/>
      <c r="K755" s="377"/>
      <c r="L755" s="377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  <c r="Z755" s="377"/>
    </row>
    <row r="756" ht="19.5" customHeight="1">
      <c r="A756" s="377"/>
      <c r="B756" s="377"/>
      <c r="C756" s="377"/>
      <c r="D756" s="377"/>
      <c r="E756" s="377"/>
      <c r="F756" s="377"/>
      <c r="G756" s="377"/>
      <c r="H756" s="377"/>
      <c r="I756" s="377"/>
      <c r="J756" s="377"/>
      <c r="K756" s="377"/>
      <c r="L756" s="377"/>
      <c r="M756" s="377"/>
      <c r="N756" s="377"/>
      <c r="O756" s="377"/>
      <c r="P756" s="377"/>
      <c r="Q756" s="377"/>
      <c r="R756" s="377"/>
      <c r="S756" s="377"/>
      <c r="T756" s="377"/>
      <c r="U756" s="377"/>
      <c r="V756" s="377"/>
      <c r="W756" s="377"/>
      <c r="X756" s="377"/>
      <c r="Y756" s="377"/>
      <c r="Z756" s="377"/>
    </row>
    <row r="757" ht="19.5" customHeight="1">
      <c r="A757" s="377"/>
      <c r="B757" s="377"/>
      <c r="C757" s="377"/>
      <c r="D757" s="377"/>
      <c r="E757" s="377"/>
      <c r="F757" s="377"/>
      <c r="G757" s="377"/>
      <c r="H757" s="377"/>
      <c r="I757" s="377"/>
      <c r="J757" s="377"/>
      <c r="K757" s="377"/>
      <c r="L757" s="377"/>
      <c r="M757" s="377"/>
      <c r="N757" s="377"/>
      <c r="O757" s="377"/>
      <c r="P757" s="377"/>
      <c r="Q757" s="377"/>
      <c r="R757" s="377"/>
      <c r="S757" s="377"/>
      <c r="T757" s="377"/>
      <c r="U757" s="377"/>
      <c r="V757" s="377"/>
      <c r="W757" s="377"/>
      <c r="X757" s="377"/>
      <c r="Y757" s="377"/>
      <c r="Z757" s="377"/>
    </row>
    <row r="758" ht="19.5" customHeight="1">
      <c r="A758" s="377"/>
      <c r="B758" s="377"/>
      <c r="C758" s="377"/>
      <c r="D758" s="377"/>
      <c r="E758" s="377"/>
      <c r="F758" s="377"/>
      <c r="G758" s="377"/>
      <c r="H758" s="377"/>
      <c r="I758" s="377"/>
      <c r="J758" s="377"/>
      <c r="K758" s="377"/>
      <c r="L758" s="377"/>
      <c r="M758" s="377"/>
      <c r="N758" s="377"/>
      <c r="O758" s="377"/>
      <c r="P758" s="377"/>
      <c r="Q758" s="377"/>
      <c r="R758" s="377"/>
      <c r="S758" s="377"/>
      <c r="T758" s="377"/>
      <c r="U758" s="377"/>
      <c r="V758" s="377"/>
      <c r="W758" s="377"/>
      <c r="X758" s="377"/>
      <c r="Y758" s="377"/>
      <c r="Z758" s="377"/>
    </row>
    <row r="759" ht="19.5" customHeight="1">
      <c r="A759" s="377"/>
      <c r="B759" s="377"/>
      <c r="C759" s="377"/>
      <c r="D759" s="377"/>
      <c r="E759" s="377"/>
      <c r="F759" s="377"/>
      <c r="G759" s="377"/>
      <c r="H759" s="377"/>
      <c r="I759" s="377"/>
      <c r="J759" s="377"/>
      <c r="K759" s="377"/>
      <c r="L759" s="377"/>
      <c r="M759" s="377"/>
      <c r="N759" s="377"/>
      <c r="O759" s="377"/>
      <c r="P759" s="377"/>
      <c r="Q759" s="377"/>
      <c r="R759" s="377"/>
      <c r="S759" s="377"/>
      <c r="T759" s="377"/>
      <c r="U759" s="377"/>
      <c r="V759" s="377"/>
      <c r="W759" s="377"/>
      <c r="X759" s="377"/>
      <c r="Y759" s="377"/>
      <c r="Z759" s="377"/>
    </row>
    <row r="760" ht="19.5" customHeight="1">
      <c r="A760" s="377"/>
      <c r="B760" s="377"/>
      <c r="C760" s="377"/>
      <c r="D760" s="377"/>
      <c r="E760" s="377"/>
      <c r="F760" s="377"/>
      <c r="G760" s="377"/>
      <c r="H760" s="377"/>
      <c r="I760" s="377"/>
      <c r="J760" s="377"/>
      <c r="K760" s="377"/>
      <c r="L760" s="377"/>
      <c r="M760" s="377"/>
      <c r="N760" s="377"/>
      <c r="O760" s="377"/>
      <c r="P760" s="377"/>
      <c r="Q760" s="377"/>
      <c r="R760" s="377"/>
      <c r="S760" s="377"/>
      <c r="T760" s="377"/>
      <c r="U760" s="377"/>
      <c r="V760" s="377"/>
      <c r="W760" s="377"/>
      <c r="X760" s="377"/>
      <c r="Y760" s="377"/>
      <c r="Z760" s="377"/>
    </row>
    <row r="761" ht="19.5" customHeight="1">
      <c r="A761" s="377"/>
      <c r="B761" s="377"/>
      <c r="C761" s="377"/>
      <c r="D761" s="377"/>
      <c r="E761" s="377"/>
      <c r="F761" s="377"/>
      <c r="G761" s="377"/>
      <c r="H761" s="377"/>
      <c r="I761" s="377"/>
      <c r="J761" s="377"/>
      <c r="K761" s="377"/>
      <c r="L761" s="377"/>
      <c r="M761" s="377"/>
      <c r="N761" s="377"/>
      <c r="O761" s="377"/>
      <c r="P761" s="377"/>
      <c r="Q761" s="377"/>
      <c r="R761" s="377"/>
      <c r="S761" s="377"/>
      <c r="T761" s="377"/>
      <c r="U761" s="377"/>
      <c r="V761" s="377"/>
      <c r="W761" s="377"/>
      <c r="X761" s="377"/>
      <c r="Y761" s="377"/>
      <c r="Z761" s="377"/>
    </row>
    <row r="762" ht="19.5" customHeight="1">
      <c r="A762" s="377"/>
      <c r="B762" s="377"/>
      <c r="C762" s="377"/>
      <c r="D762" s="377"/>
      <c r="E762" s="377"/>
      <c r="F762" s="377"/>
      <c r="G762" s="377"/>
      <c r="H762" s="377"/>
      <c r="I762" s="377"/>
      <c r="J762" s="377"/>
      <c r="K762" s="377"/>
      <c r="L762" s="377"/>
      <c r="M762" s="377"/>
      <c r="N762" s="377"/>
      <c r="O762" s="377"/>
      <c r="P762" s="377"/>
      <c r="Q762" s="377"/>
      <c r="R762" s="377"/>
      <c r="S762" s="377"/>
      <c r="T762" s="377"/>
      <c r="U762" s="377"/>
      <c r="V762" s="377"/>
      <c r="W762" s="377"/>
      <c r="X762" s="377"/>
      <c r="Y762" s="377"/>
      <c r="Z762" s="377"/>
    </row>
    <row r="763" ht="19.5" customHeight="1">
      <c r="A763" s="377"/>
      <c r="B763" s="377"/>
      <c r="C763" s="377"/>
      <c r="D763" s="377"/>
      <c r="E763" s="377"/>
      <c r="F763" s="377"/>
      <c r="G763" s="377"/>
      <c r="H763" s="377"/>
      <c r="I763" s="377"/>
      <c r="J763" s="377"/>
      <c r="K763" s="377"/>
      <c r="L763" s="377"/>
      <c r="M763" s="377"/>
      <c r="N763" s="377"/>
      <c r="O763" s="377"/>
      <c r="P763" s="377"/>
      <c r="Q763" s="377"/>
      <c r="R763" s="377"/>
      <c r="S763" s="377"/>
      <c r="T763" s="377"/>
      <c r="U763" s="377"/>
      <c r="V763" s="377"/>
      <c r="W763" s="377"/>
      <c r="X763" s="377"/>
      <c r="Y763" s="377"/>
      <c r="Z763" s="377"/>
    </row>
    <row r="764" ht="19.5" customHeight="1">
      <c r="A764" s="377"/>
      <c r="B764" s="377"/>
      <c r="C764" s="377"/>
      <c r="D764" s="377"/>
      <c r="E764" s="377"/>
      <c r="F764" s="377"/>
      <c r="G764" s="377"/>
      <c r="H764" s="377"/>
      <c r="I764" s="377"/>
      <c r="J764" s="377"/>
      <c r="K764" s="377"/>
      <c r="L764" s="377"/>
      <c r="M764" s="377"/>
      <c r="N764" s="377"/>
      <c r="O764" s="377"/>
      <c r="P764" s="377"/>
      <c r="Q764" s="377"/>
      <c r="R764" s="377"/>
      <c r="S764" s="377"/>
      <c r="T764" s="377"/>
      <c r="U764" s="377"/>
      <c r="V764" s="377"/>
      <c r="W764" s="377"/>
      <c r="X764" s="377"/>
      <c r="Y764" s="377"/>
      <c r="Z764" s="377"/>
    </row>
    <row r="765" ht="19.5" customHeight="1">
      <c r="A765" s="377"/>
      <c r="B765" s="377"/>
      <c r="C765" s="377"/>
      <c r="D765" s="377"/>
      <c r="E765" s="377"/>
      <c r="F765" s="377"/>
      <c r="G765" s="377"/>
      <c r="H765" s="377"/>
      <c r="I765" s="377"/>
      <c r="J765" s="377"/>
      <c r="K765" s="377"/>
      <c r="L765" s="377"/>
      <c r="M765" s="377"/>
      <c r="N765" s="377"/>
      <c r="O765" s="377"/>
      <c r="P765" s="377"/>
      <c r="Q765" s="377"/>
      <c r="R765" s="377"/>
      <c r="S765" s="377"/>
      <c r="T765" s="377"/>
      <c r="U765" s="377"/>
      <c r="V765" s="377"/>
      <c r="W765" s="377"/>
      <c r="X765" s="377"/>
      <c r="Y765" s="377"/>
      <c r="Z765" s="377"/>
    </row>
    <row r="766" ht="19.5" customHeight="1">
      <c r="A766" s="377"/>
      <c r="B766" s="377"/>
      <c r="C766" s="377"/>
      <c r="D766" s="377"/>
      <c r="E766" s="377"/>
      <c r="F766" s="377"/>
      <c r="G766" s="377"/>
      <c r="H766" s="377"/>
      <c r="I766" s="377"/>
      <c r="J766" s="377"/>
      <c r="K766" s="377"/>
      <c r="L766" s="377"/>
      <c r="M766" s="377"/>
      <c r="N766" s="377"/>
      <c r="O766" s="377"/>
      <c r="P766" s="377"/>
      <c r="Q766" s="377"/>
      <c r="R766" s="377"/>
      <c r="S766" s="377"/>
      <c r="T766" s="377"/>
      <c r="U766" s="377"/>
      <c r="V766" s="377"/>
      <c r="W766" s="377"/>
      <c r="X766" s="377"/>
      <c r="Y766" s="377"/>
      <c r="Z766" s="377"/>
    </row>
    <row r="767" ht="19.5" customHeight="1">
      <c r="A767" s="377"/>
      <c r="B767" s="377"/>
      <c r="C767" s="377"/>
      <c r="D767" s="377"/>
      <c r="E767" s="377"/>
      <c r="F767" s="377"/>
      <c r="G767" s="377"/>
      <c r="H767" s="377"/>
      <c r="I767" s="377"/>
      <c r="J767" s="377"/>
      <c r="K767" s="377"/>
      <c r="L767" s="377"/>
      <c r="M767" s="377"/>
      <c r="N767" s="377"/>
      <c r="O767" s="377"/>
      <c r="P767" s="377"/>
      <c r="Q767" s="377"/>
      <c r="R767" s="377"/>
      <c r="S767" s="377"/>
      <c r="T767" s="377"/>
      <c r="U767" s="377"/>
      <c r="V767" s="377"/>
      <c r="W767" s="377"/>
      <c r="X767" s="377"/>
      <c r="Y767" s="377"/>
      <c r="Z767" s="377"/>
    </row>
    <row r="768" ht="19.5" customHeight="1">
      <c r="A768" s="377"/>
      <c r="B768" s="377"/>
      <c r="C768" s="377"/>
      <c r="D768" s="377"/>
      <c r="E768" s="377"/>
      <c r="F768" s="377"/>
      <c r="G768" s="377"/>
      <c r="H768" s="377"/>
      <c r="I768" s="377"/>
      <c r="J768" s="377"/>
      <c r="K768" s="377"/>
      <c r="L768" s="377"/>
      <c r="M768" s="377"/>
      <c r="N768" s="377"/>
      <c r="O768" s="377"/>
      <c r="P768" s="377"/>
      <c r="Q768" s="377"/>
      <c r="R768" s="377"/>
      <c r="S768" s="377"/>
      <c r="T768" s="377"/>
      <c r="U768" s="377"/>
      <c r="V768" s="377"/>
      <c r="W768" s="377"/>
      <c r="X768" s="377"/>
      <c r="Y768" s="377"/>
      <c r="Z768" s="377"/>
    </row>
    <row r="769" ht="19.5" customHeight="1">
      <c r="A769" s="377"/>
      <c r="B769" s="377"/>
      <c r="C769" s="377"/>
      <c r="D769" s="377"/>
      <c r="E769" s="377"/>
      <c r="F769" s="377"/>
      <c r="G769" s="377"/>
      <c r="H769" s="377"/>
      <c r="I769" s="377"/>
      <c r="J769" s="377"/>
      <c r="K769" s="377"/>
      <c r="L769" s="377"/>
      <c r="M769" s="377"/>
      <c r="N769" s="377"/>
      <c r="O769" s="377"/>
      <c r="P769" s="377"/>
      <c r="Q769" s="377"/>
      <c r="R769" s="377"/>
      <c r="S769" s="377"/>
      <c r="T769" s="377"/>
      <c r="U769" s="377"/>
      <c r="V769" s="377"/>
      <c r="W769" s="377"/>
      <c r="X769" s="377"/>
      <c r="Y769" s="377"/>
      <c r="Z769" s="377"/>
    </row>
    <row r="770" ht="19.5" customHeight="1">
      <c r="A770" s="377"/>
      <c r="B770" s="377"/>
      <c r="C770" s="377"/>
      <c r="D770" s="377"/>
      <c r="E770" s="377"/>
      <c r="F770" s="377"/>
      <c r="G770" s="377"/>
      <c r="H770" s="377"/>
      <c r="I770" s="377"/>
      <c r="J770" s="377"/>
      <c r="K770" s="377"/>
      <c r="L770" s="377"/>
      <c r="M770" s="377"/>
      <c r="N770" s="377"/>
      <c r="O770" s="377"/>
      <c r="P770" s="377"/>
      <c r="Q770" s="377"/>
      <c r="R770" s="377"/>
      <c r="S770" s="377"/>
      <c r="T770" s="377"/>
      <c r="U770" s="377"/>
      <c r="V770" s="377"/>
      <c r="W770" s="377"/>
      <c r="X770" s="377"/>
      <c r="Y770" s="377"/>
      <c r="Z770" s="377"/>
    </row>
    <row r="771" ht="19.5" customHeight="1">
      <c r="A771" s="377"/>
      <c r="B771" s="377"/>
      <c r="C771" s="377"/>
      <c r="D771" s="377"/>
      <c r="E771" s="377"/>
      <c r="F771" s="377"/>
      <c r="G771" s="377"/>
      <c r="H771" s="377"/>
      <c r="I771" s="377"/>
      <c r="J771" s="377"/>
      <c r="K771" s="377"/>
      <c r="L771" s="377"/>
      <c r="M771" s="377"/>
      <c r="N771" s="377"/>
      <c r="O771" s="377"/>
      <c r="P771" s="377"/>
      <c r="Q771" s="377"/>
      <c r="R771" s="377"/>
      <c r="S771" s="377"/>
      <c r="T771" s="377"/>
      <c r="U771" s="377"/>
      <c r="V771" s="377"/>
      <c r="W771" s="377"/>
      <c r="X771" s="377"/>
      <c r="Y771" s="377"/>
      <c r="Z771" s="377"/>
    </row>
    <row r="772" ht="19.5" customHeight="1">
      <c r="A772" s="377"/>
      <c r="B772" s="377"/>
      <c r="C772" s="377"/>
      <c r="D772" s="377"/>
      <c r="E772" s="377"/>
      <c r="F772" s="377"/>
      <c r="G772" s="377"/>
      <c r="H772" s="377"/>
      <c r="I772" s="377"/>
      <c r="J772" s="377"/>
      <c r="K772" s="377"/>
      <c r="L772" s="377"/>
      <c r="M772" s="377"/>
      <c r="N772" s="377"/>
      <c r="O772" s="377"/>
      <c r="P772" s="377"/>
      <c r="Q772" s="377"/>
      <c r="R772" s="377"/>
      <c r="S772" s="377"/>
      <c r="T772" s="377"/>
      <c r="U772" s="377"/>
      <c r="V772" s="377"/>
      <c r="W772" s="377"/>
      <c r="X772" s="377"/>
      <c r="Y772" s="377"/>
      <c r="Z772" s="377"/>
    </row>
    <row r="773" ht="19.5" customHeight="1">
      <c r="A773" s="377"/>
      <c r="B773" s="377"/>
      <c r="C773" s="377"/>
      <c r="D773" s="377"/>
      <c r="E773" s="377"/>
      <c r="F773" s="377"/>
      <c r="G773" s="377"/>
      <c r="H773" s="377"/>
      <c r="I773" s="377"/>
      <c r="J773" s="377"/>
      <c r="K773" s="377"/>
      <c r="L773" s="377"/>
      <c r="M773" s="377"/>
      <c r="N773" s="377"/>
      <c r="O773" s="377"/>
      <c r="P773" s="377"/>
      <c r="Q773" s="377"/>
      <c r="R773" s="377"/>
      <c r="S773" s="377"/>
      <c r="T773" s="377"/>
      <c r="U773" s="377"/>
      <c r="V773" s="377"/>
      <c r="W773" s="377"/>
      <c r="X773" s="377"/>
      <c r="Y773" s="377"/>
      <c r="Z773" s="377"/>
    </row>
    <row r="774" ht="19.5" customHeight="1">
      <c r="A774" s="377"/>
      <c r="B774" s="377"/>
      <c r="C774" s="377"/>
      <c r="D774" s="377"/>
      <c r="E774" s="377"/>
      <c r="F774" s="377"/>
      <c r="G774" s="377"/>
      <c r="H774" s="377"/>
      <c r="I774" s="377"/>
      <c r="J774" s="377"/>
      <c r="K774" s="377"/>
      <c r="L774" s="377"/>
      <c r="M774" s="377"/>
      <c r="N774" s="377"/>
      <c r="O774" s="377"/>
      <c r="P774" s="377"/>
      <c r="Q774" s="377"/>
      <c r="R774" s="377"/>
      <c r="S774" s="377"/>
      <c r="T774" s="377"/>
      <c r="U774" s="377"/>
      <c r="V774" s="377"/>
      <c r="W774" s="377"/>
      <c r="X774" s="377"/>
      <c r="Y774" s="377"/>
      <c r="Z774" s="377"/>
    </row>
    <row r="775" ht="19.5" customHeight="1">
      <c r="A775" s="377"/>
      <c r="B775" s="377"/>
      <c r="C775" s="377"/>
      <c r="D775" s="377"/>
      <c r="E775" s="377"/>
      <c r="F775" s="377"/>
      <c r="G775" s="377"/>
      <c r="H775" s="377"/>
      <c r="I775" s="377"/>
      <c r="J775" s="377"/>
      <c r="K775" s="377"/>
      <c r="L775" s="377"/>
      <c r="M775" s="377"/>
      <c r="N775" s="377"/>
      <c r="O775" s="377"/>
      <c r="P775" s="377"/>
      <c r="Q775" s="377"/>
      <c r="R775" s="377"/>
      <c r="S775" s="377"/>
      <c r="T775" s="377"/>
      <c r="U775" s="377"/>
      <c r="V775" s="377"/>
      <c r="W775" s="377"/>
      <c r="X775" s="377"/>
      <c r="Y775" s="377"/>
      <c r="Z775" s="377"/>
    </row>
    <row r="776" ht="19.5" customHeight="1">
      <c r="A776" s="377"/>
      <c r="B776" s="377"/>
      <c r="C776" s="377"/>
      <c r="D776" s="377"/>
      <c r="E776" s="377"/>
      <c r="F776" s="377"/>
      <c r="G776" s="377"/>
      <c r="H776" s="377"/>
      <c r="I776" s="377"/>
      <c r="J776" s="377"/>
      <c r="K776" s="377"/>
      <c r="L776" s="377"/>
      <c r="M776" s="377"/>
      <c r="N776" s="377"/>
      <c r="O776" s="377"/>
      <c r="P776" s="377"/>
      <c r="Q776" s="377"/>
      <c r="R776" s="377"/>
      <c r="S776" s="377"/>
      <c r="T776" s="377"/>
      <c r="U776" s="377"/>
      <c r="V776" s="377"/>
      <c r="W776" s="377"/>
      <c r="X776" s="377"/>
      <c r="Y776" s="377"/>
      <c r="Z776" s="377"/>
    </row>
    <row r="777" ht="19.5" customHeight="1">
      <c r="A777" s="377"/>
      <c r="B777" s="377"/>
      <c r="C777" s="377"/>
      <c r="D777" s="377"/>
      <c r="E777" s="377"/>
      <c r="F777" s="377"/>
      <c r="G777" s="377"/>
      <c r="H777" s="377"/>
      <c r="I777" s="377"/>
      <c r="J777" s="377"/>
      <c r="K777" s="377"/>
      <c r="L777" s="377"/>
      <c r="M777" s="377"/>
      <c r="N777" s="377"/>
      <c r="O777" s="377"/>
      <c r="P777" s="377"/>
      <c r="Q777" s="377"/>
      <c r="R777" s="377"/>
      <c r="S777" s="377"/>
      <c r="T777" s="377"/>
      <c r="U777" s="377"/>
      <c r="V777" s="377"/>
      <c r="W777" s="377"/>
      <c r="X777" s="377"/>
      <c r="Y777" s="377"/>
      <c r="Z777" s="377"/>
    </row>
    <row r="778" ht="19.5" customHeight="1">
      <c r="A778" s="377"/>
      <c r="B778" s="377"/>
      <c r="C778" s="377"/>
      <c r="D778" s="377"/>
      <c r="E778" s="377"/>
      <c r="F778" s="377"/>
      <c r="G778" s="377"/>
      <c r="H778" s="377"/>
      <c r="I778" s="377"/>
      <c r="J778" s="377"/>
      <c r="K778" s="377"/>
      <c r="L778" s="377"/>
      <c r="M778" s="377"/>
      <c r="N778" s="377"/>
      <c r="O778" s="377"/>
      <c r="P778" s="377"/>
      <c r="Q778" s="377"/>
      <c r="R778" s="377"/>
      <c r="S778" s="377"/>
      <c r="T778" s="377"/>
      <c r="U778" s="377"/>
      <c r="V778" s="377"/>
      <c r="W778" s="377"/>
      <c r="X778" s="377"/>
      <c r="Y778" s="377"/>
      <c r="Z778" s="377"/>
    </row>
    <row r="779" ht="19.5" customHeight="1">
      <c r="A779" s="377"/>
      <c r="B779" s="377"/>
      <c r="C779" s="377"/>
      <c r="D779" s="377"/>
      <c r="E779" s="377"/>
      <c r="F779" s="377"/>
      <c r="G779" s="377"/>
      <c r="H779" s="377"/>
      <c r="I779" s="377"/>
      <c r="J779" s="377"/>
      <c r="K779" s="377"/>
      <c r="L779" s="377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  <c r="Z779" s="377"/>
    </row>
    <row r="780" ht="19.5" customHeight="1">
      <c r="A780" s="377"/>
      <c r="B780" s="377"/>
      <c r="C780" s="377"/>
      <c r="D780" s="377"/>
      <c r="E780" s="377"/>
      <c r="F780" s="377"/>
      <c r="G780" s="377"/>
      <c r="H780" s="377"/>
      <c r="I780" s="377"/>
      <c r="J780" s="377"/>
      <c r="K780" s="377"/>
      <c r="L780" s="377"/>
      <c r="M780" s="377"/>
      <c r="N780" s="377"/>
      <c r="O780" s="377"/>
      <c r="P780" s="377"/>
      <c r="Q780" s="377"/>
      <c r="R780" s="377"/>
      <c r="S780" s="377"/>
      <c r="T780" s="377"/>
      <c r="U780" s="377"/>
      <c r="V780" s="377"/>
      <c r="W780" s="377"/>
      <c r="X780" s="377"/>
      <c r="Y780" s="377"/>
      <c r="Z780" s="377"/>
    </row>
    <row r="781" ht="19.5" customHeight="1">
      <c r="A781" s="377"/>
      <c r="B781" s="377"/>
      <c r="C781" s="377"/>
      <c r="D781" s="377"/>
      <c r="E781" s="377"/>
      <c r="F781" s="377"/>
      <c r="G781" s="377"/>
      <c r="H781" s="377"/>
      <c r="I781" s="377"/>
      <c r="J781" s="377"/>
      <c r="K781" s="377"/>
      <c r="L781" s="377"/>
      <c r="M781" s="377"/>
      <c r="N781" s="377"/>
      <c r="O781" s="377"/>
      <c r="P781" s="377"/>
      <c r="Q781" s="377"/>
      <c r="R781" s="377"/>
      <c r="S781" s="377"/>
      <c r="T781" s="377"/>
      <c r="U781" s="377"/>
      <c r="V781" s="377"/>
      <c r="W781" s="377"/>
      <c r="X781" s="377"/>
      <c r="Y781" s="377"/>
      <c r="Z781" s="377"/>
    </row>
    <row r="782" ht="19.5" customHeight="1">
      <c r="A782" s="377"/>
      <c r="B782" s="377"/>
      <c r="C782" s="377"/>
      <c r="D782" s="377"/>
      <c r="E782" s="377"/>
      <c r="F782" s="377"/>
      <c r="G782" s="377"/>
      <c r="H782" s="377"/>
      <c r="I782" s="377"/>
      <c r="J782" s="377"/>
      <c r="K782" s="377"/>
      <c r="L782" s="377"/>
      <c r="M782" s="377"/>
      <c r="N782" s="377"/>
      <c r="O782" s="377"/>
      <c r="P782" s="377"/>
      <c r="Q782" s="377"/>
      <c r="R782" s="377"/>
      <c r="S782" s="377"/>
      <c r="T782" s="377"/>
      <c r="U782" s="377"/>
      <c r="V782" s="377"/>
      <c r="W782" s="377"/>
      <c r="X782" s="377"/>
      <c r="Y782" s="377"/>
      <c r="Z782" s="377"/>
    </row>
    <row r="783" ht="19.5" customHeight="1">
      <c r="A783" s="377"/>
      <c r="B783" s="377"/>
      <c r="C783" s="377"/>
      <c r="D783" s="377"/>
      <c r="E783" s="377"/>
      <c r="F783" s="377"/>
      <c r="G783" s="377"/>
      <c r="H783" s="377"/>
      <c r="I783" s="377"/>
      <c r="J783" s="377"/>
      <c r="K783" s="377"/>
      <c r="L783" s="377"/>
      <c r="M783" s="377"/>
      <c r="N783" s="377"/>
      <c r="O783" s="377"/>
      <c r="P783" s="377"/>
      <c r="Q783" s="377"/>
      <c r="R783" s="377"/>
      <c r="S783" s="377"/>
      <c r="T783" s="377"/>
      <c r="U783" s="377"/>
      <c r="V783" s="377"/>
      <c r="W783" s="377"/>
      <c r="X783" s="377"/>
      <c r="Y783" s="377"/>
      <c r="Z783" s="377"/>
    </row>
    <row r="784" ht="19.5" customHeight="1">
      <c r="A784" s="377"/>
      <c r="B784" s="377"/>
      <c r="C784" s="377"/>
      <c r="D784" s="377"/>
      <c r="E784" s="377"/>
      <c r="F784" s="377"/>
      <c r="G784" s="377"/>
      <c r="H784" s="377"/>
      <c r="I784" s="377"/>
      <c r="J784" s="377"/>
      <c r="K784" s="377"/>
      <c r="L784" s="377"/>
      <c r="M784" s="377"/>
      <c r="N784" s="377"/>
      <c r="O784" s="377"/>
      <c r="P784" s="377"/>
      <c r="Q784" s="377"/>
      <c r="R784" s="377"/>
      <c r="S784" s="377"/>
      <c r="T784" s="377"/>
      <c r="U784" s="377"/>
      <c r="V784" s="377"/>
      <c r="W784" s="377"/>
      <c r="X784" s="377"/>
      <c r="Y784" s="377"/>
      <c r="Z784" s="377"/>
    </row>
    <row r="785" ht="19.5" customHeight="1">
      <c r="A785" s="377"/>
      <c r="B785" s="377"/>
      <c r="C785" s="377"/>
      <c r="D785" s="377"/>
      <c r="E785" s="377"/>
      <c r="F785" s="377"/>
      <c r="G785" s="377"/>
      <c r="H785" s="377"/>
      <c r="I785" s="377"/>
      <c r="J785" s="377"/>
      <c r="K785" s="377"/>
      <c r="L785" s="377"/>
      <c r="M785" s="377"/>
      <c r="N785" s="377"/>
      <c r="O785" s="377"/>
      <c r="P785" s="377"/>
      <c r="Q785" s="377"/>
      <c r="R785" s="377"/>
      <c r="S785" s="377"/>
      <c r="T785" s="377"/>
      <c r="U785" s="377"/>
      <c r="V785" s="377"/>
      <c r="W785" s="377"/>
      <c r="X785" s="377"/>
      <c r="Y785" s="377"/>
      <c r="Z785" s="377"/>
    </row>
    <row r="786" ht="19.5" customHeight="1">
      <c r="A786" s="377"/>
      <c r="B786" s="377"/>
      <c r="C786" s="377"/>
      <c r="D786" s="377"/>
      <c r="E786" s="377"/>
      <c r="F786" s="377"/>
      <c r="G786" s="377"/>
      <c r="H786" s="377"/>
      <c r="I786" s="377"/>
      <c r="J786" s="377"/>
      <c r="K786" s="377"/>
      <c r="L786" s="377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  <c r="Z786" s="377"/>
    </row>
    <row r="787" ht="19.5" customHeight="1">
      <c r="A787" s="377"/>
      <c r="B787" s="377"/>
      <c r="C787" s="377"/>
      <c r="D787" s="377"/>
      <c r="E787" s="377"/>
      <c r="F787" s="377"/>
      <c r="G787" s="377"/>
      <c r="H787" s="377"/>
      <c r="I787" s="377"/>
      <c r="J787" s="377"/>
      <c r="K787" s="377"/>
      <c r="L787" s="377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  <c r="Z787" s="377"/>
    </row>
    <row r="788" ht="19.5" customHeight="1">
      <c r="A788" s="377"/>
      <c r="B788" s="377"/>
      <c r="C788" s="377"/>
      <c r="D788" s="377"/>
      <c r="E788" s="377"/>
      <c r="F788" s="377"/>
      <c r="G788" s="377"/>
      <c r="H788" s="377"/>
      <c r="I788" s="377"/>
      <c r="J788" s="377"/>
      <c r="K788" s="377"/>
      <c r="L788" s="377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  <c r="Z788" s="377"/>
    </row>
    <row r="789" ht="19.5" customHeight="1">
      <c r="A789" s="377"/>
      <c r="B789" s="377"/>
      <c r="C789" s="377"/>
      <c r="D789" s="377"/>
      <c r="E789" s="377"/>
      <c r="F789" s="377"/>
      <c r="G789" s="377"/>
      <c r="H789" s="377"/>
      <c r="I789" s="377"/>
      <c r="J789" s="377"/>
      <c r="K789" s="377"/>
      <c r="L789" s="377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  <c r="Z789" s="377"/>
    </row>
    <row r="790" ht="19.5" customHeight="1">
      <c r="A790" s="377"/>
      <c r="B790" s="377"/>
      <c r="C790" s="377"/>
      <c r="D790" s="377"/>
      <c r="E790" s="377"/>
      <c r="F790" s="377"/>
      <c r="G790" s="377"/>
      <c r="H790" s="377"/>
      <c r="I790" s="377"/>
      <c r="J790" s="377"/>
      <c r="K790" s="377"/>
      <c r="L790" s="377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  <c r="Z790" s="377"/>
    </row>
    <row r="791" ht="19.5" customHeight="1">
      <c r="A791" s="377"/>
      <c r="B791" s="377"/>
      <c r="C791" s="377"/>
      <c r="D791" s="377"/>
      <c r="E791" s="377"/>
      <c r="F791" s="377"/>
      <c r="G791" s="377"/>
      <c r="H791" s="377"/>
      <c r="I791" s="377"/>
      <c r="J791" s="377"/>
      <c r="K791" s="377"/>
      <c r="L791" s="377"/>
      <c r="M791" s="377"/>
      <c r="N791" s="377"/>
      <c r="O791" s="377"/>
      <c r="P791" s="377"/>
      <c r="Q791" s="377"/>
      <c r="R791" s="377"/>
      <c r="S791" s="377"/>
      <c r="T791" s="377"/>
      <c r="U791" s="377"/>
      <c r="V791" s="377"/>
      <c r="W791" s="377"/>
      <c r="X791" s="377"/>
      <c r="Y791" s="377"/>
      <c r="Z791" s="377"/>
    </row>
    <row r="792" ht="19.5" customHeight="1">
      <c r="A792" s="377"/>
      <c r="B792" s="377"/>
      <c r="C792" s="377"/>
      <c r="D792" s="377"/>
      <c r="E792" s="377"/>
      <c r="F792" s="377"/>
      <c r="G792" s="377"/>
      <c r="H792" s="377"/>
      <c r="I792" s="377"/>
      <c r="J792" s="377"/>
      <c r="K792" s="377"/>
      <c r="L792" s="377"/>
      <c r="M792" s="377"/>
      <c r="N792" s="377"/>
      <c r="O792" s="377"/>
      <c r="P792" s="377"/>
      <c r="Q792" s="377"/>
      <c r="R792" s="377"/>
      <c r="S792" s="377"/>
      <c r="T792" s="377"/>
      <c r="U792" s="377"/>
      <c r="V792" s="377"/>
      <c r="W792" s="377"/>
      <c r="X792" s="377"/>
      <c r="Y792" s="377"/>
      <c r="Z792" s="377"/>
    </row>
    <row r="793" ht="19.5" customHeight="1">
      <c r="A793" s="377"/>
      <c r="B793" s="377"/>
      <c r="C793" s="377"/>
      <c r="D793" s="377"/>
      <c r="E793" s="377"/>
      <c r="F793" s="377"/>
      <c r="G793" s="377"/>
      <c r="H793" s="377"/>
      <c r="I793" s="377"/>
      <c r="J793" s="377"/>
      <c r="K793" s="377"/>
      <c r="L793" s="377"/>
      <c r="M793" s="377"/>
      <c r="N793" s="377"/>
      <c r="O793" s="377"/>
      <c r="P793" s="377"/>
      <c r="Q793" s="377"/>
      <c r="R793" s="377"/>
      <c r="S793" s="377"/>
      <c r="T793" s="377"/>
      <c r="U793" s="377"/>
      <c r="V793" s="377"/>
      <c r="W793" s="377"/>
      <c r="X793" s="377"/>
      <c r="Y793" s="377"/>
      <c r="Z793" s="377"/>
    </row>
    <row r="794" ht="19.5" customHeight="1">
      <c r="A794" s="377"/>
      <c r="B794" s="377"/>
      <c r="C794" s="377"/>
      <c r="D794" s="377"/>
      <c r="E794" s="377"/>
      <c r="F794" s="377"/>
      <c r="G794" s="377"/>
      <c r="H794" s="377"/>
      <c r="I794" s="377"/>
      <c r="J794" s="377"/>
      <c r="K794" s="377"/>
      <c r="L794" s="377"/>
      <c r="M794" s="377"/>
      <c r="N794" s="377"/>
      <c r="O794" s="377"/>
      <c r="P794" s="377"/>
      <c r="Q794" s="377"/>
      <c r="R794" s="377"/>
      <c r="S794" s="377"/>
      <c r="T794" s="377"/>
      <c r="U794" s="377"/>
      <c r="V794" s="377"/>
      <c r="W794" s="377"/>
      <c r="X794" s="377"/>
      <c r="Y794" s="377"/>
      <c r="Z794" s="377"/>
    </row>
    <row r="795" ht="19.5" customHeight="1">
      <c r="A795" s="377"/>
      <c r="B795" s="377"/>
      <c r="C795" s="377"/>
      <c r="D795" s="377"/>
      <c r="E795" s="377"/>
      <c r="F795" s="377"/>
      <c r="G795" s="377"/>
      <c r="H795" s="377"/>
      <c r="I795" s="377"/>
      <c r="J795" s="377"/>
      <c r="K795" s="377"/>
      <c r="L795" s="377"/>
      <c r="M795" s="377"/>
      <c r="N795" s="377"/>
      <c r="O795" s="377"/>
      <c r="P795" s="377"/>
      <c r="Q795" s="377"/>
      <c r="R795" s="377"/>
      <c r="S795" s="377"/>
      <c r="T795" s="377"/>
      <c r="U795" s="377"/>
      <c r="V795" s="377"/>
      <c r="W795" s="377"/>
      <c r="X795" s="377"/>
      <c r="Y795" s="377"/>
      <c r="Z795" s="377"/>
    </row>
    <row r="796" ht="19.5" customHeight="1">
      <c r="A796" s="377"/>
      <c r="B796" s="377"/>
      <c r="C796" s="377"/>
      <c r="D796" s="377"/>
      <c r="E796" s="377"/>
      <c r="F796" s="377"/>
      <c r="G796" s="377"/>
      <c r="H796" s="377"/>
      <c r="I796" s="377"/>
      <c r="J796" s="377"/>
      <c r="K796" s="377"/>
      <c r="L796" s="377"/>
      <c r="M796" s="377"/>
      <c r="N796" s="377"/>
      <c r="O796" s="377"/>
      <c r="P796" s="377"/>
      <c r="Q796" s="377"/>
      <c r="R796" s="377"/>
      <c r="S796" s="377"/>
      <c r="T796" s="377"/>
      <c r="U796" s="377"/>
      <c r="V796" s="377"/>
      <c r="W796" s="377"/>
      <c r="X796" s="377"/>
      <c r="Y796" s="377"/>
      <c r="Z796" s="377"/>
    </row>
    <row r="797" ht="19.5" customHeight="1">
      <c r="A797" s="377"/>
      <c r="B797" s="377"/>
      <c r="C797" s="377"/>
      <c r="D797" s="377"/>
      <c r="E797" s="377"/>
      <c r="F797" s="377"/>
      <c r="G797" s="377"/>
      <c r="H797" s="377"/>
      <c r="I797" s="377"/>
      <c r="J797" s="377"/>
      <c r="K797" s="377"/>
      <c r="L797" s="377"/>
      <c r="M797" s="377"/>
      <c r="N797" s="377"/>
      <c r="O797" s="377"/>
      <c r="P797" s="377"/>
      <c r="Q797" s="377"/>
      <c r="R797" s="377"/>
      <c r="S797" s="377"/>
      <c r="T797" s="377"/>
      <c r="U797" s="377"/>
      <c r="V797" s="377"/>
      <c r="W797" s="377"/>
      <c r="X797" s="377"/>
      <c r="Y797" s="377"/>
      <c r="Z797" s="377"/>
    </row>
    <row r="798" ht="19.5" customHeight="1">
      <c r="A798" s="377"/>
      <c r="B798" s="377"/>
      <c r="C798" s="377"/>
      <c r="D798" s="377"/>
      <c r="E798" s="377"/>
      <c r="F798" s="377"/>
      <c r="G798" s="377"/>
      <c r="H798" s="377"/>
      <c r="I798" s="377"/>
      <c r="J798" s="377"/>
      <c r="K798" s="377"/>
      <c r="L798" s="377"/>
      <c r="M798" s="377"/>
      <c r="N798" s="377"/>
      <c r="O798" s="377"/>
      <c r="P798" s="377"/>
      <c r="Q798" s="377"/>
      <c r="R798" s="377"/>
      <c r="S798" s="377"/>
      <c r="T798" s="377"/>
      <c r="U798" s="377"/>
      <c r="V798" s="377"/>
      <c r="W798" s="377"/>
      <c r="X798" s="377"/>
      <c r="Y798" s="377"/>
      <c r="Z798" s="377"/>
    </row>
    <row r="799" ht="19.5" customHeight="1">
      <c r="A799" s="377"/>
      <c r="B799" s="377"/>
      <c r="C799" s="377"/>
      <c r="D799" s="377"/>
      <c r="E799" s="377"/>
      <c r="F799" s="377"/>
      <c r="G799" s="377"/>
      <c r="H799" s="377"/>
      <c r="I799" s="377"/>
      <c r="J799" s="377"/>
      <c r="K799" s="377"/>
      <c r="L799" s="377"/>
      <c r="M799" s="377"/>
      <c r="N799" s="377"/>
      <c r="O799" s="377"/>
      <c r="P799" s="377"/>
      <c r="Q799" s="377"/>
      <c r="R799" s="377"/>
      <c r="S799" s="377"/>
      <c r="T799" s="377"/>
      <c r="U799" s="377"/>
      <c r="V799" s="377"/>
      <c r="W799" s="377"/>
      <c r="X799" s="377"/>
      <c r="Y799" s="377"/>
      <c r="Z799" s="377"/>
    </row>
    <row r="800" ht="19.5" customHeight="1">
      <c r="A800" s="377"/>
      <c r="B800" s="377"/>
      <c r="C800" s="377"/>
      <c r="D800" s="377"/>
      <c r="E800" s="377"/>
      <c r="F800" s="377"/>
      <c r="G800" s="377"/>
      <c r="H800" s="377"/>
      <c r="I800" s="377"/>
      <c r="J800" s="377"/>
      <c r="K800" s="377"/>
      <c r="L800" s="377"/>
      <c r="M800" s="377"/>
      <c r="N800" s="377"/>
      <c r="O800" s="377"/>
      <c r="P800" s="377"/>
      <c r="Q800" s="377"/>
      <c r="R800" s="377"/>
      <c r="S800" s="377"/>
      <c r="T800" s="377"/>
      <c r="U800" s="377"/>
      <c r="V800" s="377"/>
      <c r="W800" s="377"/>
      <c r="X800" s="377"/>
      <c r="Y800" s="377"/>
      <c r="Z800" s="377"/>
    </row>
    <row r="801" ht="19.5" customHeight="1">
      <c r="A801" s="377"/>
      <c r="B801" s="377"/>
      <c r="C801" s="377"/>
      <c r="D801" s="377"/>
      <c r="E801" s="377"/>
      <c r="F801" s="377"/>
      <c r="G801" s="377"/>
      <c r="H801" s="377"/>
      <c r="I801" s="377"/>
      <c r="J801" s="377"/>
      <c r="K801" s="377"/>
      <c r="L801" s="377"/>
      <c r="M801" s="377"/>
      <c r="N801" s="377"/>
      <c r="O801" s="377"/>
      <c r="P801" s="377"/>
      <c r="Q801" s="377"/>
      <c r="R801" s="377"/>
      <c r="S801" s="377"/>
      <c r="T801" s="377"/>
      <c r="U801" s="377"/>
      <c r="V801" s="377"/>
      <c r="W801" s="377"/>
      <c r="X801" s="377"/>
      <c r="Y801" s="377"/>
      <c r="Z801" s="377"/>
    </row>
    <row r="802" ht="19.5" customHeight="1">
      <c r="A802" s="377"/>
      <c r="B802" s="377"/>
      <c r="C802" s="377"/>
      <c r="D802" s="377"/>
      <c r="E802" s="377"/>
      <c r="F802" s="377"/>
      <c r="G802" s="377"/>
      <c r="H802" s="377"/>
      <c r="I802" s="377"/>
      <c r="J802" s="377"/>
      <c r="K802" s="377"/>
      <c r="L802" s="377"/>
      <c r="M802" s="377"/>
      <c r="N802" s="377"/>
      <c r="O802" s="377"/>
      <c r="P802" s="377"/>
      <c r="Q802" s="377"/>
      <c r="R802" s="377"/>
      <c r="S802" s="377"/>
      <c r="T802" s="377"/>
      <c r="U802" s="377"/>
      <c r="V802" s="377"/>
      <c r="W802" s="377"/>
      <c r="X802" s="377"/>
      <c r="Y802" s="377"/>
      <c r="Z802" s="377"/>
    </row>
    <row r="803" ht="19.5" customHeight="1">
      <c r="A803" s="377"/>
      <c r="B803" s="377"/>
      <c r="C803" s="377"/>
      <c r="D803" s="377"/>
      <c r="E803" s="377"/>
      <c r="F803" s="377"/>
      <c r="G803" s="377"/>
      <c r="H803" s="377"/>
      <c r="I803" s="377"/>
      <c r="J803" s="377"/>
      <c r="K803" s="377"/>
      <c r="L803" s="377"/>
      <c r="M803" s="377"/>
      <c r="N803" s="377"/>
      <c r="O803" s="377"/>
      <c r="P803" s="377"/>
      <c r="Q803" s="377"/>
      <c r="R803" s="377"/>
      <c r="S803" s="377"/>
      <c r="T803" s="377"/>
      <c r="U803" s="377"/>
      <c r="V803" s="377"/>
      <c r="W803" s="377"/>
      <c r="X803" s="377"/>
      <c r="Y803" s="377"/>
      <c r="Z803" s="377"/>
    </row>
    <row r="804" ht="19.5" customHeight="1">
      <c r="A804" s="377"/>
      <c r="B804" s="377"/>
      <c r="C804" s="377"/>
      <c r="D804" s="377"/>
      <c r="E804" s="377"/>
      <c r="F804" s="377"/>
      <c r="G804" s="377"/>
      <c r="H804" s="377"/>
      <c r="I804" s="377"/>
      <c r="J804" s="377"/>
      <c r="K804" s="377"/>
      <c r="L804" s="377"/>
      <c r="M804" s="377"/>
      <c r="N804" s="377"/>
      <c r="O804" s="377"/>
      <c r="P804" s="377"/>
      <c r="Q804" s="377"/>
      <c r="R804" s="377"/>
      <c r="S804" s="377"/>
      <c r="T804" s="377"/>
      <c r="U804" s="377"/>
      <c r="V804" s="377"/>
      <c r="W804" s="377"/>
      <c r="X804" s="377"/>
      <c r="Y804" s="377"/>
      <c r="Z804" s="377"/>
    </row>
    <row r="805" ht="19.5" customHeight="1">
      <c r="A805" s="377"/>
      <c r="B805" s="377"/>
      <c r="C805" s="377"/>
      <c r="D805" s="377"/>
      <c r="E805" s="377"/>
      <c r="F805" s="377"/>
      <c r="G805" s="377"/>
      <c r="H805" s="377"/>
      <c r="I805" s="377"/>
      <c r="J805" s="377"/>
      <c r="K805" s="377"/>
      <c r="L805" s="377"/>
      <c r="M805" s="377"/>
      <c r="N805" s="377"/>
      <c r="O805" s="377"/>
      <c r="P805" s="377"/>
      <c r="Q805" s="377"/>
      <c r="R805" s="377"/>
      <c r="S805" s="377"/>
      <c r="T805" s="377"/>
      <c r="U805" s="377"/>
      <c r="V805" s="377"/>
      <c r="W805" s="377"/>
      <c r="X805" s="377"/>
      <c r="Y805" s="377"/>
      <c r="Z805" s="377"/>
    </row>
    <row r="806" ht="19.5" customHeight="1">
      <c r="A806" s="377"/>
      <c r="B806" s="377"/>
      <c r="C806" s="377"/>
      <c r="D806" s="377"/>
      <c r="E806" s="377"/>
      <c r="F806" s="377"/>
      <c r="G806" s="377"/>
      <c r="H806" s="377"/>
      <c r="I806" s="377"/>
      <c r="J806" s="377"/>
      <c r="K806" s="377"/>
      <c r="L806" s="377"/>
      <c r="M806" s="377"/>
      <c r="N806" s="377"/>
      <c r="O806" s="377"/>
      <c r="P806" s="377"/>
      <c r="Q806" s="377"/>
      <c r="R806" s="377"/>
      <c r="S806" s="377"/>
      <c r="T806" s="377"/>
      <c r="U806" s="377"/>
      <c r="V806" s="377"/>
      <c r="W806" s="377"/>
      <c r="X806" s="377"/>
      <c r="Y806" s="377"/>
      <c r="Z806" s="377"/>
    </row>
    <row r="807" ht="19.5" customHeight="1">
      <c r="A807" s="377"/>
      <c r="B807" s="377"/>
      <c r="C807" s="377"/>
      <c r="D807" s="377"/>
      <c r="E807" s="377"/>
      <c r="F807" s="377"/>
      <c r="G807" s="377"/>
      <c r="H807" s="377"/>
      <c r="I807" s="377"/>
      <c r="J807" s="377"/>
      <c r="K807" s="377"/>
      <c r="L807" s="377"/>
      <c r="M807" s="377"/>
      <c r="N807" s="377"/>
      <c r="O807" s="377"/>
      <c r="P807" s="377"/>
      <c r="Q807" s="377"/>
      <c r="R807" s="377"/>
      <c r="S807" s="377"/>
      <c r="T807" s="377"/>
      <c r="U807" s="377"/>
      <c r="V807" s="377"/>
      <c r="W807" s="377"/>
      <c r="X807" s="377"/>
      <c r="Y807" s="377"/>
      <c r="Z807" s="377"/>
    </row>
    <row r="808" ht="19.5" customHeight="1">
      <c r="A808" s="377"/>
      <c r="B808" s="377"/>
      <c r="C808" s="377"/>
      <c r="D808" s="377"/>
      <c r="E808" s="377"/>
      <c r="F808" s="377"/>
      <c r="G808" s="377"/>
      <c r="H808" s="377"/>
      <c r="I808" s="377"/>
      <c r="J808" s="377"/>
      <c r="K808" s="377"/>
      <c r="L808" s="377"/>
      <c r="M808" s="377"/>
      <c r="N808" s="377"/>
      <c r="O808" s="377"/>
      <c r="P808" s="377"/>
      <c r="Q808" s="377"/>
      <c r="R808" s="377"/>
      <c r="S808" s="377"/>
      <c r="T808" s="377"/>
      <c r="U808" s="377"/>
      <c r="V808" s="377"/>
      <c r="W808" s="377"/>
      <c r="X808" s="377"/>
      <c r="Y808" s="377"/>
      <c r="Z808" s="377"/>
    </row>
    <row r="809" ht="19.5" customHeight="1">
      <c r="A809" s="377"/>
      <c r="B809" s="377"/>
      <c r="C809" s="377"/>
      <c r="D809" s="377"/>
      <c r="E809" s="377"/>
      <c r="F809" s="377"/>
      <c r="G809" s="377"/>
      <c r="H809" s="377"/>
      <c r="I809" s="377"/>
      <c r="J809" s="377"/>
      <c r="K809" s="377"/>
      <c r="L809" s="377"/>
      <c r="M809" s="377"/>
      <c r="N809" s="377"/>
      <c r="O809" s="377"/>
      <c r="P809" s="377"/>
      <c r="Q809" s="377"/>
      <c r="R809" s="377"/>
      <c r="S809" s="377"/>
      <c r="T809" s="377"/>
      <c r="U809" s="377"/>
      <c r="V809" s="377"/>
      <c r="W809" s="377"/>
      <c r="X809" s="377"/>
      <c r="Y809" s="377"/>
      <c r="Z809" s="377"/>
    </row>
    <row r="810" ht="19.5" customHeight="1">
      <c r="A810" s="377"/>
      <c r="B810" s="377"/>
      <c r="C810" s="377"/>
      <c r="D810" s="377"/>
      <c r="E810" s="377"/>
      <c r="F810" s="377"/>
      <c r="G810" s="377"/>
      <c r="H810" s="377"/>
      <c r="I810" s="377"/>
      <c r="J810" s="377"/>
      <c r="K810" s="377"/>
      <c r="L810" s="377"/>
      <c r="M810" s="377"/>
      <c r="N810" s="377"/>
      <c r="O810" s="377"/>
      <c r="P810" s="377"/>
      <c r="Q810" s="377"/>
      <c r="R810" s="377"/>
      <c r="S810" s="377"/>
      <c r="T810" s="377"/>
      <c r="U810" s="377"/>
      <c r="V810" s="377"/>
      <c r="W810" s="377"/>
      <c r="X810" s="377"/>
      <c r="Y810" s="377"/>
      <c r="Z810" s="377"/>
    </row>
    <row r="811" ht="19.5" customHeight="1">
      <c r="A811" s="377"/>
      <c r="B811" s="377"/>
      <c r="C811" s="377"/>
      <c r="D811" s="377"/>
      <c r="E811" s="377"/>
      <c r="F811" s="377"/>
      <c r="G811" s="377"/>
      <c r="H811" s="377"/>
      <c r="I811" s="377"/>
      <c r="J811" s="377"/>
      <c r="K811" s="377"/>
      <c r="L811" s="377"/>
      <c r="M811" s="377"/>
      <c r="N811" s="377"/>
      <c r="O811" s="377"/>
      <c r="P811" s="377"/>
      <c r="Q811" s="377"/>
      <c r="R811" s="377"/>
      <c r="S811" s="377"/>
      <c r="T811" s="377"/>
      <c r="U811" s="377"/>
      <c r="V811" s="377"/>
      <c r="W811" s="377"/>
      <c r="X811" s="377"/>
      <c r="Y811" s="377"/>
      <c r="Z811" s="377"/>
    </row>
    <row r="812" ht="19.5" customHeight="1">
      <c r="A812" s="377"/>
      <c r="B812" s="377"/>
      <c r="C812" s="377"/>
      <c r="D812" s="377"/>
      <c r="E812" s="377"/>
      <c r="F812" s="377"/>
      <c r="G812" s="377"/>
      <c r="H812" s="377"/>
      <c r="I812" s="377"/>
      <c r="J812" s="377"/>
      <c r="K812" s="377"/>
      <c r="L812" s="377"/>
      <c r="M812" s="377"/>
      <c r="N812" s="377"/>
      <c r="O812" s="377"/>
      <c r="P812" s="377"/>
      <c r="Q812" s="377"/>
      <c r="R812" s="377"/>
      <c r="S812" s="377"/>
      <c r="T812" s="377"/>
      <c r="U812" s="377"/>
      <c r="V812" s="377"/>
      <c r="W812" s="377"/>
      <c r="X812" s="377"/>
      <c r="Y812" s="377"/>
      <c r="Z812" s="377"/>
    </row>
    <row r="813" ht="19.5" customHeight="1">
      <c r="A813" s="377"/>
      <c r="B813" s="377"/>
      <c r="C813" s="377"/>
      <c r="D813" s="377"/>
      <c r="E813" s="377"/>
      <c r="F813" s="377"/>
      <c r="G813" s="377"/>
      <c r="H813" s="377"/>
      <c r="I813" s="377"/>
      <c r="J813" s="377"/>
      <c r="K813" s="377"/>
      <c r="L813" s="377"/>
      <c r="M813" s="377"/>
      <c r="N813" s="377"/>
      <c r="O813" s="377"/>
      <c r="P813" s="377"/>
      <c r="Q813" s="377"/>
      <c r="R813" s="377"/>
      <c r="S813" s="377"/>
      <c r="T813" s="377"/>
      <c r="U813" s="377"/>
      <c r="V813" s="377"/>
      <c r="W813" s="377"/>
      <c r="X813" s="377"/>
      <c r="Y813" s="377"/>
      <c r="Z813" s="377"/>
    </row>
    <row r="814" ht="19.5" customHeight="1">
      <c r="A814" s="377"/>
      <c r="B814" s="377"/>
      <c r="C814" s="377"/>
      <c r="D814" s="377"/>
      <c r="E814" s="377"/>
      <c r="F814" s="377"/>
      <c r="G814" s="377"/>
      <c r="H814" s="377"/>
      <c r="I814" s="377"/>
      <c r="J814" s="377"/>
      <c r="K814" s="377"/>
      <c r="L814" s="377"/>
      <c r="M814" s="377"/>
      <c r="N814" s="377"/>
      <c r="O814" s="377"/>
      <c r="P814" s="377"/>
      <c r="Q814" s="377"/>
      <c r="R814" s="377"/>
      <c r="S814" s="377"/>
      <c r="T814" s="377"/>
      <c r="U814" s="377"/>
      <c r="V814" s="377"/>
      <c r="W814" s="377"/>
      <c r="X814" s="377"/>
      <c r="Y814" s="377"/>
      <c r="Z814" s="377"/>
    </row>
    <row r="815" ht="19.5" customHeight="1">
      <c r="A815" s="377"/>
      <c r="B815" s="377"/>
      <c r="C815" s="377"/>
      <c r="D815" s="377"/>
      <c r="E815" s="377"/>
      <c r="F815" s="377"/>
      <c r="G815" s="377"/>
      <c r="H815" s="377"/>
      <c r="I815" s="377"/>
      <c r="J815" s="377"/>
      <c r="K815" s="377"/>
      <c r="L815" s="377"/>
      <c r="M815" s="377"/>
      <c r="N815" s="377"/>
      <c r="O815" s="377"/>
      <c r="P815" s="377"/>
      <c r="Q815" s="377"/>
      <c r="R815" s="377"/>
      <c r="S815" s="377"/>
      <c r="T815" s="377"/>
      <c r="U815" s="377"/>
      <c r="V815" s="377"/>
      <c r="W815" s="377"/>
      <c r="X815" s="377"/>
      <c r="Y815" s="377"/>
      <c r="Z815" s="377"/>
    </row>
    <row r="816" ht="19.5" customHeight="1">
      <c r="A816" s="377"/>
      <c r="B816" s="377"/>
      <c r="C816" s="377"/>
      <c r="D816" s="377"/>
      <c r="E816" s="377"/>
      <c r="F816" s="377"/>
      <c r="G816" s="377"/>
      <c r="H816" s="377"/>
      <c r="I816" s="377"/>
      <c r="J816" s="377"/>
      <c r="K816" s="377"/>
      <c r="L816" s="377"/>
      <c r="M816" s="377"/>
      <c r="N816" s="377"/>
      <c r="O816" s="377"/>
      <c r="P816" s="377"/>
      <c r="Q816" s="377"/>
      <c r="R816" s="377"/>
      <c r="S816" s="377"/>
      <c r="T816" s="377"/>
      <c r="U816" s="377"/>
      <c r="V816" s="377"/>
      <c r="W816" s="377"/>
      <c r="X816" s="377"/>
      <c r="Y816" s="377"/>
      <c r="Z816" s="377"/>
    </row>
    <row r="817" ht="19.5" customHeight="1">
      <c r="A817" s="377"/>
      <c r="B817" s="377"/>
      <c r="C817" s="377"/>
      <c r="D817" s="377"/>
      <c r="E817" s="377"/>
      <c r="F817" s="377"/>
      <c r="G817" s="377"/>
      <c r="H817" s="377"/>
      <c r="I817" s="377"/>
      <c r="J817" s="377"/>
      <c r="K817" s="377"/>
      <c r="L817" s="377"/>
      <c r="M817" s="377"/>
      <c r="N817" s="377"/>
      <c r="O817" s="377"/>
      <c r="P817" s="377"/>
      <c r="Q817" s="377"/>
      <c r="R817" s="377"/>
      <c r="S817" s="377"/>
      <c r="T817" s="377"/>
      <c r="U817" s="377"/>
      <c r="V817" s="377"/>
      <c r="W817" s="377"/>
      <c r="X817" s="377"/>
      <c r="Y817" s="377"/>
      <c r="Z817" s="377"/>
    </row>
    <row r="818" ht="19.5" customHeight="1">
      <c r="A818" s="377"/>
      <c r="B818" s="377"/>
      <c r="C818" s="377"/>
      <c r="D818" s="377"/>
      <c r="E818" s="377"/>
      <c r="F818" s="377"/>
      <c r="G818" s="377"/>
      <c r="H818" s="377"/>
      <c r="I818" s="377"/>
      <c r="J818" s="377"/>
      <c r="K818" s="377"/>
      <c r="L818" s="377"/>
      <c r="M818" s="377"/>
      <c r="N818" s="377"/>
      <c r="O818" s="377"/>
      <c r="P818" s="377"/>
      <c r="Q818" s="377"/>
      <c r="R818" s="377"/>
      <c r="S818" s="377"/>
      <c r="T818" s="377"/>
      <c r="U818" s="377"/>
      <c r="V818" s="377"/>
      <c r="W818" s="377"/>
      <c r="X818" s="377"/>
      <c r="Y818" s="377"/>
      <c r="Z818" s="377"/>
    </row>
    <row r="819" ht="19.5" customHeight="1">
      <c r="A819" s="377"/>
      <c r="B819" s="377"/>
      <c r="C819" s="377"/>
      <c r="D819" s="377"/>
      <c r="E819" s="377"/>
      <c r="F819" s="377"/>
      <c r="G819" s="377"/>
      <c r="H819" s="377"/>
      <c r="I819" s="377"/>
      <c r="J819" s="377"/>
      <c r="K819" s="377"/>
      <c r="L819" s="377"/>
      <c r="M819" s="377"/>
      <c r="N819" s="377"/>
      <c r="O819" s="377"/>
      <c r="P819" s="377"/>
      <c r="Q819" s="377"/>
      <c r="R819" s="377"/>
      <c r="S819" s="377"/>
      <c r="T819" s="377"/>
      <c r="U819" s="377"/>
      <c r="V819" s="377"/>
      <c r="W819" s="377"/>
      <c r="X819" s="377"/>
      <c r="Y819" s="377"/>
      <c r="Z819" s="377"/>
    </row>
    <row r="820" ht="19.5" customHeight="1">
      <c r="A820" s="377"/>
      <c r="B820" s="377"/>
      <c r="C820" s="377"/>
      <c r="D820" s="377"/>
      <c r="E820" s="377"/>
      <c r="F820" s="377"/>
      <c r="G820" s="377"/>
      <c r="H820" s="377"/>
      <c r="I820" s="377"/>
      <c r="J820" s="377"/>
      <c r="K820" s="377"/>
      <c r="L820" s="377"/>
      <c r="M820" s="377"/>
      <c r="N820" s="377"/>
      <c r="O820" s="377"/>
      <c r="P820" s="377"/>
      <c r="Q820" s="377"/>
      <c r="R820" s="377"/>
      <c r="S820" s="377"/>
      <c r="T820" s="377"/>
      <c r="U820" s="377"/>
      <c r="V820" s="377"/>
      <c r="W820" s="377"/>
      <c r="X820" s="377"/>
      <c r="Y820" s="377"/>
      <c r="Z820" s="377"/>
    </row>
    <row r="821" ht="19.5" customHeight="1">
      <c r="A821" s="377"/>
      <c r="B821" s="377"/>
      <c r="C821" s="377"/>
      <c r="D821" s="377"/>
      <c r="E821" s="377"/>
      <c r="F821" s="377"/>
      <c r="G821" s="377"/>
      <c r="H821" s="377"/>
      <c r="I821" s="377"/>
      <c r="J821" s="377"/>
      <c r="K821" s="377"/>
      <c r="L821" s="377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  <c r="Z821" s="377"/>
    </row>
    <row r="822" ht="19.5" customHeight="1">
      <c r="A822" s="377"/>
      <c r="B822" s="377"/>
      <c r="C822" s="377"/>
      <c r="D822" s="377"/>
      <c r="E822" s="377"/>
      <c r="F822" s="377"/>
      <c r="G822" s="377"/>
      <c r="H822" s="377"/>
      <c r="I822" s="377"/>
      <c r="J822" s="377"/>
      <c r="K822" s="377"/>
      <c r="L822" s="377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  <c r="Z822" s="377"/>
    </row>
    <row r="823" ht="19.5" customHeight="1">
      <c r="A823" s="377"/>
      <c r="B823" s="377"/>
      <c r="C823" s="377"/>
      <c r="D823" s="377"/>
      <c r="E823" s="377"/>
      <c r="F823" s="377"/>
      <c r="G823" s="377"/>
      <c r="H823" s="377"/>
      <c r="I823" s="377"/>
      <c r="J823" s="377"/>
      <c r="K823" s="377"/>
      <c r="L823" s="377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  <c r="Z823" s="377"/>
    </row>
    <row r="824" ht="19.5" customHeight="1">
      <c r="A824" s="377"/>
      <c r="B824" s="377"/>
      <c r="C824" s="377"/>
      <c r="D824" s="377"/>
      <c r="E824" s="377"/>
      <c r="F824" s="377"/>
      <c r="G824" s="377"/>
      <c r="H824" s="377"/>
      <c r="I824" s="377"/>
      <c r="J824" s="377"/>
      <c r="K824" s="377"/>
      <c r="L824" s="377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  <c r="Z824" s="377"/>
    </row>
    <row r="825" ht="19.5" customHeight="1">
      <c r="A825" s="377"/>
      <c r="B825" s="377"/>
      <c r="C825" s="377"/>
      <c r="D825" s="377"/>
      <c r="E825" s="377"/>
      <c r="F825" s="377"/>
      <c r="G825" s="377"/>
      <c r="H825" s="377"/>
      <c r="I825" s="377"/>
      <c r="J825" s="377"/>
      <c r="K825" s="377"/>
      <c r="L825" s="377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  <c r="Z825" s="377"/>
    </row>
    <row r="826" ht="19.5" customHeight="1">
      <c r="A826" s="377"/>
      <c r="B826" s="377"/>
      <c r="C826" s="377"/>
      <c r="D826" s="377"/>
      <c r="E826" s="377"/>
      <c r="F826" s="377"/>
      <c r="G826" s="377"/>
      <c r="H826" s="377"/>
      <c r="I826" s="377"/>
      <c r="J826" s="377"/>
      <c r="K826" s="377"/>
      <c r="L826" s="377"/>
      <c r="M826" s="377"/>
      <c r="N826" s="377"/>
      <c r="O826" s="377"/>
      <c r="P826" s="377"/>
      <c r="Q826" s="377"/>
      <c r="R826" s="377"/>
      <c r="S826" s="377"/>
      <c r="T826" s="377"/>
      <c r="U826" s="377"/>
      <c r="V826" s="377"/>
      <c r="W826" s="377"/>
      <c r="X826" s="377"/>
      <c r="Y826" s="377"/>
      <c r="Z826" s="377"/>
    </row>
    <row r="827" ht="19.5" customHeight="1">
      <c r="A827" s="377"/>
      <c r="B827" s="377"/>
      <c r="C827" s="377"/>
      <c r="D827" s="377"/>
      <c r="E827" s="377"/>
      <c r="F827" s="377"/>
      <c r="G827" s="377"/>
      <c r="H827" s="377"/>
      <c r="I827" s="377"/>
      <c r="J827" s="377"/>
      <c r="K827" s="377"/>
      <c r="L827" s="377"/>
      <c r="M827" s="377"/>
      <c r="N827" s="377"/>
      <c r="O827" s="377"/>
      <c r="P827" s="377"/>
      <c r="Q827" s="377"/>
      <c r="R827" s="377"/>
      <c r="S827" s="377"/>
      <c r="T827" s="377"/>
      <c r="U827" s="377"/>
      <c r="V827" s="377"/>
      <c r="W827" s="377"/>
      <c r="X827" s="377"/>
      <c r="Y827" s="377"/>
      <c r="Z827" s="377"/>
    </row>
    <row r="828" ht="19.5" customHeight="1">
      <c r="A828" s="377"/>
      <c r="B828" s="377"/>
      <c r="C828" s="377"/>
      <c r="D828" s="377"/>
      <c r="E828" s="377"/>
      <c r="F828" s="377"/>
      <c r="G828" s="377"/>
      <c r="H828" s="377"/>
      <c r="I828" s="377"/>
      <c r="J828" s="377"/>
      <c r="K828" s="377"/>
      <c r="L828" s="377"/>
      <c r="M828" s="377"/>
      <c r="N828" s="377"/>
      <c r="O828" s="377"/>
      <c r="P828" s="377"/>
      <c r="Q828" s="377"/>
      <c r="R828" s="377"/>
      <c r="S828" s="377"/>
      <c r="T828" s="377"/>
      <c r="U828" s="377"/>
      <c r="V828" s="377"/>
      <c r="W828" s="377"/>
      <c r="X828" s="377"/>
      <c r="Y828" s="377"/>
      <c r="Z828" s="377"/>
    </row>
    <row r="829" ht="19.5" customHeight="1">
      <c r="A829" s="377"/>
      <c r="B829" s="377"/>
      <c r="C829" s="377"/>
      <c r="D829" s="377"/>
      <c r="E829" s="377"/>
      <c r="F829" s="377"/>
      <c r="G829" s="377"/>
      <c r="H829" s="377"/>
      <c r="I829" s="377"/>
      <c r="J829" s="377"/>
      <c r="K829" s="377"/>
      <c r="L829" s="377"/>
      <c r="M829" s="377"/>
      <c r="N829" s="377"/>
      <c r="O829" s="377"/>
      <c r="P829" s="377"/>
      <c r="Q829" s="377"/>
      <c r="R829" s="377"/>
      <c r="S829" s="377"/>
      <c r="T829" s="377"/>
      <c r="U829" s="377"/>
      <c r="V829" s="377"/>
      <c r="W829" s="377"/>
      <c r="X829" s="377"/>
      <c r="Y829" s="377"/>
      <c r="Z829" s="377"/>
    </row>
    <row r="830" ht="19.5" customHeight="1">
      <c r="A830" s="377"/>
      <c r="B830" s="377"/>
      <c r="C830" s="377"/>
      <c r="D830" s="377"/>
      <c r="E830" s="377"/>
      <c r="F830" s="377"/>
      <c r="G830" s="377"/>
      <c r="H830" s="377"/>
      <c r="I830" s="377"/>
      <c r="J830" s="377"/>
      <c r="K830" s="377"/>
      <c r="L830" s="377"/>
      <c r="M830" s="377"/>
      <c r="N830" s="377"/>
      <c r="O830" s="377"/>
      <c r="P830" s="377"/>
      <c r="Q830" s="377"/>
      <c r="R830" s="377"/>
      <c r="S830" s="377"/>
      <c r="T830" s="377"/>
      <c r="U830" s="377"/>
      <c r="V830" s="377"/>
      <c r="W830" s="377"/>
      <c r="X830" s="377"/>
      <c r="Y830" s="377"/>
      <c r="Z830" s="377"/>
    </row>
    <row r="831" ht="19.5" customHeight="1">
      <c r="A831" s="377"/>
      <c r="B831" s="377"/>
      <c r="C831" s="377"/>
      <c r="D831" s="377"/>
      <c r="E831" s="377"/>
      <c r="F831" s="377"/>
      <c r="G831" s="377"/>
      <c r="H831" s="377"/>
      <c r="I831" s="377"/>
      <c r="J831" s="377"/>
      <c r="K831" s="377"/>
      <c r="L831" s="377"/>
      <c r="M831" s="377"/>
      <c r="N831" s="377"/>
      <c r="O831" s="377"/>
      <c r="P831" s="377"/>
      <c r="Q831" s="377"/>
      <c r="R831" s="377"/>
      <c r="S831" s="377"/>
      <c r="T831" s="377"/>
      <c r="U831" s="377"/>
      <c r="V831" s="377"/>
      <c r="W831" s="377"/>
      <c r="X831" s="377"/>
      <c r="Y831" s="377"/>
      <c r="Z831" s="377"/>
    </row>
    <row r="832" ht="19.5" customHeight="1">
      <c r="A832" s="377"/>
      <c r="B832" s="377"/>
      <c r="C832" s="377"/>
      <c r="D832" s="377"/>
      <c r="E832" s="377"/>
      <c r="F832" s="377"/>
      <c r="G832" s="377"/>
      <c r="H832" s="377"/>
      <c r="I832" s="377"/>
      <c r="J832" s="377"/>
      <c r="K832" s="377"/>
      <c r="L832" s="377"/>
      <c r="M832" s="377"/>
      <c r="N832" s="377"/>
      <c r="O832" s="377"/>
      <c r="P832" s="377"/>
      <c r="Q832" s="377"/>
      <c r="R832" s="377"/>
      <c r="S832" s="377"/>
      <c r="T832" s="377"/>
      <c r="U832" s="377"/>
      <c r="V832" s="377"/>
      <c r="W832" s="377"/>
      <c r="X832" s="377"/>
      <c r="Y832" s="377"/>
      <c r="Z832" s="377"/>
    </row>
    <row r="833" ht="19.5" customHeight="1">
      <c r="A833" s="377"/>
      <c r="B833" s="377"/>
      <c r="C833" s="377"/>
      <c r="D833" s="377"/>
      <c r="E833" s="377"/>
      <c r="F833" s="377"/>
      <c r="G833" s="377"/>
      <c r="H833" s="377"/>
      <c r="I833" s="377"/>
      <c r="J833" s="377"/>
      <c r="K833" s="377"/>
      <c r="L833" s="377"/>
      <c r="M833" s="377"/>
      <c r="N833" s="377"/>
      <c r="O833" s="377"/>
      <c r="P833" s="377"/>
      <c r="Q833" s="377"/>
      <c r="R833" s="377"/>
      <c r="S833" s="377"/>
      <c r="T833" s="377"/>
      <c r="U833" s="377"/>
      <c r="V833" s="377"/>
      <c r="W833" s="377"/>
      <c r="X833" s="377"/>
      <c r="Y833" s="377"/>
      <c r="Z833" s="377"/>
    </row>
    <row r="834" ht="19.5" customHeight="1">
      <c r="A834" s="377"/>
      <c r="B834" s="377"/>
      <c r="C834" s="377"/>
      <c r="D834" s="377"/>
      <c r="E834" s="377"/>
      <c r="F834" s="377"/>
      <c r="G834" s="377"/>
      <c r="H834" s="377"/>
      <c r="I834" s="377"/>
      <c r="J834" s="377"/>
      <c r="K834" s="377"/>
      <c r="L834" s="377"/>
      <c r="M834" s="377"/>
      <c r="N834" s="377"/>
      <c r="O834" s="377"/>
      <c r="P834" s="377"/>
      <c r="Q834" s="377"/>
      <c r="R834" s="377"/>
      <c r="S834" s="377"/>
      <c r="T834" s="377"/>
      <c r="U834" s="377"/>
      <c r="V834" s="377"/>
      <c r="W834" s="377"/>
      <c r="X834" s="377"/>
      <c r="Y834" s="377"/>
      <c r="Z834" s="377"/>
    </row>
    <row r="835" ht="19.5" customHeight="1">
      <c r="A835" s="377"/>
      <c r="B835" s="377"/>
      <c r="C835" s="377"/>
      <c r="D835" s="377"/>
      <c r="E835" s="377"/>
      <c r="F835" s="377"/>
      <c r="G835" s="377"/>
      <c r="H835" s="377"/>
      <c r="I835" s="377"/>
      <c r="J835" s="377"/>
      <c r="K835" s="377"/>
      <c r="L835" s="377"/>
      <c r="M835" s="377"/>
      <c r="N835" s="377"/>
      <c r="O835" s="377"/>
      <c r="P835" s="377"/>
      <c r="Q835" s="377"/>
      <c r="R835" s="377"/>
      <c r="S835" s="377"/>
      <c r="T835" s="377"/>
      <c r="U835" s="377"/>
      <c r="V835" s="377"/>
      <c r="W835" s="377"/>
      <c r="X835" s="377"/>
      <c r="Y835" s="377"/>
      <c r="Z835" s="377"/>
    </row>
    <row r="836" ht="19.5" customHeight="1">
      <c r="A836" s="377"/>
      <c r="B836" s="377"/>
      <c r="C836" s="377"/>
      <c r="D836" s="377"/>
      <c r="E836" s="377"/>
      <c r="F836" s="377"/>
      <c r="G836" s="377"/>
      <c r="H836" s="377"/>
      <c r="I836" s="377"/>
      <c r="J836" s="377"/>
      <c r="K836" s="377"/>
      <c r="L836" s="377"/>
      <c r="M836" s="377"/>
      <c r="N836" s="377"/>
      <c r="O836" s="377"/>
      <c r="P836" s="377"/>
      <c r="Q836" s="377"/>
      <c r="R836" s="377"/>
      <c r="S836" s="377"/>
      <c r="T836" s="377"/>
      <c r="U836" s="377"/>
      <c r="V836" s="377"/>
      <c r="W836" s="377"/>
      <c r="X836" s="377"/>
      <c r="Y836" s="377"/>
      <c r="Z836" s="377"/>
    </row>
    <row r="837" ht="19.5" customHeight="1">
      <c r="A837" s="377"/>
      <c r="B837" s="377"/>
      <c r="C837" s="377"/>
      <c r="D837" s="377"/>
      <c r="E837" s="377"/>
      <c r="F837" s="377"/>
      <c r="G837" s="377"/>
      <c r="H837" s="377"/>
      <c r="I837" s="377"/>
      <c r="J837" s="377"/>
      <c r="K837" s="377"/>
      <c r="L837" s="377"/>
      <c r="M837" s="377"/>
      <c r="N837" s="377"/>
      <c r="O837" s="377"/>
      <c r="P837" s="377"/>
      <c r="Q837" s="377"/>
      <c r="R837" s="377"/>
      <c r="S837" s="377"/>
      <c r="T837" s="377"/>
      <c r="U837" s="377"/>
      <c r="V837" s="377"/>
      <c r="W837" s="377"/>
      <c r="X837" s="377"/>
      <c r="Y837" s="377"/>
      <c r="Z837" s="377"/>
    </row>
    <row r="838" ht="19.5" customHeight="1">
      <c r="A838" s="377"/>
      <c r="B838" s="377"/>
      <c r="C838" s="377"/>
      <c r="D838" s="377"/>
      <c r="E838" s="377"/>
      <c r="F838" s="377"/>
      <c r="G838" s="377"/>
      <c r="H838" s="377"/>
      <c r="I838" s="377"/>
      <c r="J838" s="377"/>
      <c r="K838" s="377"/>
      <c r="L838" s="377"/>
      <c r="M838" s="377"/>
      <c r="N838" s="377"/>
      <c r="O838" s="377"/>
      <c r="P838" s="377"/>
      <c r="Q838" s="377"/>
      <c r="R838" s="377"/>
      <c r="S838" s="377"/>
      <c r="T838" s="377"/>
      <c r="U838" s="377"/>
      <c r="V838" s="377"/>
      <c r="W838" s="377"/>
      <c r="X838" s="377"/>
      <c r="Y838" s="377"/>
      <c r="Z838" s="377"/>
    </row>
    <row r="839" ht="19.5" customHeight="1">
      <c r="A839" s="377"/>
      <c r="B839" s="377"/>
      <c r="C839" s="377"/>
      <c r="D839" s="377"/>
      <c r="E839" s="377"/>
      <c r="F839" s="377"/>
      <c r="G839" s="377"/>
      <c r="H839" s="377"/>
      <c r="I839" s="377"/>
      <c r="J839" s="377"/>
      <c r="K839" s="377"/>
      <c r="L839" s="377"/>
      <c r="M839" s="377"/>
      <c r="N839" s="377"/>
      <c r="O839" s="377"/>
      <c r="P839" s="377"/>
      <c r="Q839" s="377"/>
      <c r="R839" s="377"/>
      <c r="S839" s="377"/>
      <c r="T839" s="377"/>
      <c r="U839" s="377"/>
      <c r="V839" s="377"/>
      <c r="W839" s="377"/>
      <c r="X839" s="377"/>
      <c r="Y839" s="377"/>
      <c r="Z839" s="377"/>
    </row>
    <row r="840" ht="19.5" customHeight="1">
      <c r="A840" s="377"/>
      <c r="B840" s="377"/>
      <c r="C840" s="377"/>
      <c r="D840" s="377"/>
      <c r="E840" s="377"/>
      <c r="F840" s="377"/>
      <c r="G840" s="377"/>
      <c r="H840" s="377"/>
      <c r="I840" s="377"/>
      <c r="J840" s="377"/>
      <c r="K840" s="377"/>
      <c r="L840" s="377"/>
      <c r="M840" s="377"/>
      <c r="N840" s="377"/>
      <c r="O840" s="377"/>
      <c r="P840" s="377"/>
      <c r="Q840" s="377"/>
      <c r="R840" s="377"/>
      <c r="S840" s="377"/>
      <c r="T840" s="377"/>
      <c r="U840" s="377"/>
      <c r="V840" s="377"/>
      <c r="W840" s="377"/>
      <c r="X840" s="377"/>
      <c r="Y840" s="377"/>
      <c r="Z840" s="377"/>
    </row>
    <row r="841" ht="19.5" customHeight="1">
      <c r="A841" s="377"/>
      <c r="B841" s="377"/>
      <c r="C841" s="377"/>
      <c r="D841" s="377"/>
      <c r="E841" s="377"/>
      <c r="F841" s="377"/>
      <c r="G841" s="377"/>
      <c r="H841" s="377"/>
      <c r="I841" s="377"/>
      <c r="J841" s="377"/>
      <c r="K841" s="377"/>
      <c r="L841" s="377"/>
      <c r="M841" s="377"/>
      <c r="N841" s="377"/>
      <c r="O841" s="377"/>
      <c r="P841" s="377"/>
      <c r="Q841" s="377"/>
      <c r="R841" s="377"/>
      <c r="S841" s="377"/>
      <c r="T841" s="377"/>
      <c r="U841" s="377"/>
      <c r="V841" s="377"/>
      <c r="W841" s="377"/>
      <c r="X841" s="377"/>
      <c r="Y841" s="377"/>
      <c r="Z841" s="377"/>
    </row>
    <row r="842" ht="19.5" customHeight="1">
      <c r="A842" s="377"/>
      <c r="B842" s="377"/>
      <c r="C842" s="377"/>
      <c r="D842" s="377"/>
      <c r="E842" s="377"/>
      <c r="F842" s="377"/>
      <c r="G842" s="377"/>
      <c r="H842" s="377"/>
      <c r="I842" s="377"/>
      <c r="J842" s="377"/>
      <c r="K842" s="377"/>
      <c r="L842" s="377"/>
      <c r="M842" s="377"/>
      <c r="N842" s="377"/>
      <c r="O842" s="377"/>
      <c r="P842" s="377"/>
      <c r="Q842" s="377"/>
      <c r="R842" s="377"/>
      <c r="S842" s="377"/>
      <c r="T842" s="377"/>
      <c r="U842" s="377"/>
      <c r="V842" s="377"/>
      <c r="W842" s="377"/>
      <c r="X842" s="377"/>
      <c r="Y842" s="377"/>
      <c r="Z842" s="377"/>
    </row>
    <row r="843" ht="19.5" customHeight="1">
      <c r="A843" s="377"/>
      <c r="B843" s="377"/>
      <c r="C843" s="377"/>
      <c r="D843" s="377"/>
      <c r="E843" s="377"/>
      <c r="F843" s="377"/>
      <c r="G843" s="377"/>
      <c r="H843" s="377"/>
      <c r="I843" s="377"/>
      <c r="J843" s="377"/>
      <c r="K843" s="377"/>
      <c r="L843" s="377"/>
      <c r="M843" s="377"/>
      <c r="N843" s="377"/>
      <c r="O843" s="377"/>
      <c r="P843" s="377"/>
      <c r="Q843" s="377"/>
      <c r="R843" s="377"/>
      <c r="S843" s="377"/>
      <c r="T843" s="377"/>
      <c r="U843" s="377"/>
      <c r="V843" s="377"/>
      <c r="W843" s="377"/>
      <c r="X843" s="377"/>
      <c r="Y843" s="377"/>
      <c r="Z843" s="377"/>
    </row>
    <row r="844" ht="19.5" customHeight="1">
      <c r="A844" s="377"/>
      <c r="B844" s="377"/>
      <c r="C844" s="377"/>
      <c r="D844" s="377"/>
      <c r="E844" s="377"/>
      <c r="F844" s="377"/>
      <c r="G844" s="377"/>
      <c r="H844" s="377"/>
      <c r="I844" s="377"/>
      <c r="J844" s="377"/>
      <c r="K844" s="377"/>
      <c r="L844" s="377"/>
      <c r="M844" s="377"/>
      <c r="N844" s="377"/>
      <c r="O844" s="377"/>
      <c r="P844" s="377"/>
      <c r="Q844" s="377"/>
      <c r="R844" s="377"/>
      <c r="S844" s="377"/>
      <c r="T844" s="377"/>
      <c r="U844" s="377"/>
      <c r="V844" s="377"/>
      <c r="W844" s="377"/>
      <c r="X844" s="377"/>
      <c r="Y844" s="377"/>
      <c r="Z844" s="377"/>
    </row>
    <row r="845" ht="19.5" customHeight="1">
      <c r="A845" s="377"/>
      <c r="B845" s="377"/>
      <c r="C845" s="377"/>
      <c r="D845" s="377"/>
      <c r="E845" s="377"/>
      <c r="F845" s="377"/>
      <c r="G845" s="377"/>
      <c r="H845" s="377"/>
      <c r="I845" s="377"/>
      <c r="J845" s="377"/>
      <c r="K845" s="377"/>
      <c r="L845" s="377"/>
      <c r="M845" s="377"/>
      <c r="N845" s="377"/>
      <c r="O845" s="377"/>
      <c r="P845" s="377"/>
      <c r="Q845" s="377"/>
      <c r="R845" s="377"/>
      <c r="S845" s="377"/>
      <c r="T845" s="377"/>
      <c r="U845" s="377"/>
      <c r="V845" s="377"/>
      <c r="W845" s="377"/>
      <c r="X845" s="377"/>
      <c r="Y845" s="377"/>
      <c r="Z845" s="377"/>
    </row>
    <row r="846" ht="19.5" customHeight="1">
      <c r="A846" s="377"/>
      <c r="B846" s="377"/>
      <c r="C846" s="377"/>
      <c r="D846" s="377"/>
      <c r="E846" s="377"/>
      <c r="F846" s="377"/>
      <c r="G846" s="377"/>
      <c r="H846" s="377"/>
      <c r="I846" s="377"/>
      <c r="J846" s="377"/>
      <c r="K846" s="377"/>
      <c r="L846" s="377"/>
      <c r="M846" s="377"/>
      <c r="N846" s="377"/>
      <c r="O846" s="377"/>
      <c r="P846" s="377"/>
      <c r="Q846" s="377"/>
      <c r="R846" s="377"/>
      <c r="S846" s="377"/>
      <c r="T846" s="377"/>
      <c r="U846" s="377"/>
      <c r="V846" s="377"/>
      <c r="W846" s="377"/>
      <c r="X846" s="377"/>
      <c r="Y846" s="377"/>
      <c r="Z846" s="377"/>
    </row>
    <row r="847" ht="19.5" customHeight="1">
      <c r="A847" s="377"/>
      <c r="B847" s="377"/>
      <c r="C847" s="377"/>
      <c r="D847" s="377"/>
      <c r="E847" s="377"/>
      <c r="F847" s="377"/>
      <c r="G847" s="377"/>
      <c r="H847" s="377"/>
      <c r="I847" s="377"/>
      <c r="J847" s="377"/>
      <c r="K847" s="377"/>
      <c r="L847" s="377"/>
      <c r="M847" s="377"/>
      <c r="N847" s="377"/>
      <c r="O847" s="377"/>
      <c r="P847" s="377"/>
      <c r="Q847" s="377"/>
      <c r="R847" s="377"/>
      <c r="S847" s="377"/>
      <c r="T847" s="377"/>
      <c r="U847" s="377"/>
      <c r="V847" s="377"/>
      <c r="W847" s="377"/>
      <c r="X847" s="377"/>
      <c r="Y847" s="377"/>
      <c r="Z847" s="377"/>
    </row>
    <row r="848" ht="19.5" customHeight="1">
      <c r="A848" s="377"/>
      <c r="B848" s="377"/>
      <c r="C848" s="377"/>
      <c r="D848" s="377"/>
      <c r="E848" s="377"/>
      <c r="F848" s="377"/>
      <c r="G848" s="377"/>
      <c r="H848" s="377"/>
      <c r="I848" s="377"/>
      <c r="J848" s="377"/>
      <c r="K848" s="377"/>
      <c r="L848" s="377"/>
      <c r="M848" s="377"/>
      <c r="N848" s="377"/>
      <c r="O848" s="377"/>
      <c r="P848" s="377"/>
      <c r="Q848" s="377"/>
      <c r="R848" s="377"/>
      <c r="S848" s="377"/>
      <c r="T848" s="377"/>
      <c r="U848" s="377"/>
      <c r="V848" s="377"/>
      <c r="W848" s="377"/>
      <c r="X848" s="377"/>
      <c r="Y848" s="377"/>
      <c r="Z848" s="377"/>
    </row>
    <row r="849" ht="19.5" customHeight="1">
      <c r="A849" s="377"/>
      <c r="B849" s="377"/>
      <c r="C849" s="377"/>
      <c r="D849" s="377"/>
      <c r="E849" s="377"/>
      <c r="F849" s="377"/>
      <c r="G849" s="377"/>
      <c r="H849" s="377"/>
      <c r="I849" s="377"/>
      <c r="J849" s="377"/>
      <c r="K849" s="377"/>
      <c r="L849" s="377"/>
      <c r="M849" s="377"/>
      <c r="N849" s="377"/>
      <c r="O849" s="377"/>
      <c r="P849" s="377"/>
      <c r="Q849" s="377"/>
      <c r="R849" s="377"/>
      <c r="S849" s="377"/>
      <c r="T849" s="377"/>
      <c r="U849" s="377"/>
      <c r="V849" s="377"/>
      <c r="W849" s="377"/>
      <c r="X849" s="377"/>
      <c r="Y849" s="377"/>
      <c r="Z849" s="377"/>
    </row>
    <row r="850" ht="19.5" customHeight="1">
      <c r="A850" s="377"/>
      <c r="B850" s="377"/>
      <c r="C850" s="377"/>
      <c r="D850" s="377"/>
      <c r="E850" s="377"/>
      <c r="F850" s="377"/>
      <c r="G850" s="377"/>
      <c r="H850" s="377"/>
      <c r="I850" s="377"/>
      <c r="J850" s="377"/>
      <c r="K850" s="377"/>
      <c r="L850" s="377"/>
      <c r="M850" s="377"/>
      <c r="N850" s="377"/>
      <c r="O850" s="377"/>
      <c r="P850" s="377"/>
      <c r="Q850" s="377"/>
      <c r="R850" s="377"/>
      <c r="S850" s="377"/>
      <c r="T850" s="377"/>
      <c r="U850" s="377"/>
      <c r="V850" s="377"/>
      <c r="W850" s="377"/>
      <c r="X850" s="377"/>
      <c r="Y850" s="377"/>
      <c r="Z850" s="377"/>
    </row>
    <row r="851" ht="19.5" customHeight="1">
      <c r="A851" s="377"/>
      <c r="B851" s="377"/>
      <c r="C851" s="377"/>
      <c r="D851" s="377"/>
      <c r="E851" s="377"/>
      <c r="F851" s="377"/>
      <c r="G851" s="377"/>
      <c r="H851" s="377"/>
      <c r="I851" s="377"/>
      <c r="J851" s="377"/>
      <c r="K851" s="377"/>
      <c r="L851" s="377"/>
      <c r="M851" s="377"/>
      <c r="N851" s="377"/>
      <c r="O851" s="377"/>
      <c r="P851" s="377"/>
      <c r="Q851" s="377"/>
      <c r="R851" s="377"/>
      <c r="S851" s="377"/>
      <c r="T851" s="377"/>
      <c r="U851" s="377"/>
      <c r="V851" s="377"/>
      <c r="W851" s="377"/>
      <c r="X851" s="377"/>
      <c r="Y851" s="377"/>
      <c r="Z851" s="377"/>
    </row>
    <row r="852" ht="19.5" customHeight="1">
      <c r="A852" s="377"/>
      <c r="B852" s="377"/>
      <c r="C852" s="377"/>
      <c r="D852" s="377"/>
      <c r="E852" s="377"/>
      <c r="F852" s="377"/>
      <c r="G852" s="377"/>
      <c r="H852" s="377"/>
      <c r="I852" s="377"/>
      <c r="J852" s="377"/>
      <c r="K852" s="377"/>
      <c r="L852" s="377"/>
      <c r="M852" s="377"/>
      <c r="N852" s="377"/>
      <c r="O852" s="377"/>
      <c r="P852" s="377"/>
      <c r="Q852" s="377"/>
      <c r="R852" s="377"/>
      <c r="S852" s="377"/>
      <c r="T852" s="377"/>
      <c r="U852" s="377"/>
      <c r="V852" s="377"/>
      <c r="W852" s="377"/>
      <c r="X852" s="377"/>
      <c r="Y852" s="377"/>
      <c r="Z852" s="377"/>
    </row>
    <row r="853" ht="19.5" customHeight="1">
      <c r="A853" s="377"/>
      <c r="B853" s="377"/>
      <c r="C853" s="377"/>
      <c r="D853" s="377"/>
      <c r="E853" s="377"/>
      <c r="F853" s="377"/>
      <c r="G853" s="377"/>
      <c r="H853" s="377"/>
      <c r="I853" s="377"/>
      <c r="J853" s="377"/>
      <c r="K853" s="377"/>
      <c r="L853" s="377"/>
      <c r="M853" s="377"/>
      <c r="N853" s="377"/>
      <c r="O853" s="377"/>
      <c r="P853" s="377"/>
      <c r="Q853" s="377"/>
      <c r="R853" s="377"/>
      <c r="S853" s="377"/>
      <c r="T853" s="377"/>
      <c r="U853" s="377"/>
      <c r="V853" s="377"/>
      <c r="W853" s="377"/>
      <c r="X853" s="377"/>
      <c r="Y853" s="377"/>
      <c r="Z853" s="377"/>
    </row>
    <row r="854" ht="19.5" customHeight="1">
      <c r="A854" s="377"/>
      <c r="B854" s="377"/>
      <c r="C854" s="377"/>
      <c r="D854" s="377"/>
      <c r="E854" s="377"/>
      <c r="F854" s="377"/>
      <c r="G854" s="377"/>
      <c r="H854" s="377"/>
      <c r="I854" s="377"/>
      <c r="J854" s="377"/>
      <c r="K854" s="377"/>
      <c r="L854" s="377"/>
      <c r="M854" s="377"/>
      <c r="N854" s="377"/>
      <c r="O854" s="377"/>
      <c r="P854" s="377"/>
      <c r="Q854" s="377"/>
      <c r="R854" s="377"/>
      <c r="S854" s="377"/>
      <c r="T854" s="377"/>
      <c r="U854" s="377"/>
      <c r="V854" s="377"/>
      <c r="W854" s="377"/>
      <c r="X854" s="377"/>
      <c r="Y854" s="377"/>
      <c r="Z854" s="377"/>
    </row>
    <row r="855" ht="19.5" customHeight="1">
      <c r="A855" s="377"/>
      <c r="B855" s="377"/>
      <c r="C855" s="377"/>
      <c r="D855" s="377"/>
      <c r="E855" s="377"/>
      <c r="F855" s="377"/>
      <c r="G855" s="377"/>
      <c r="H855" s="377"/>
      <c r="I855" s="377"/>
      <c r="J855" s="377"/>
      <c r="K855" s="377"/>
      <c r="L855" s="377"/>
      <c r="M855" s="377"/>
      <c r="N855" s="377"/>
      <c r="O855" s="377"/>
      <c r="P855" s="377"/>
      <c r="Q855" s="377"/>
      <c r="R855" s="377"/>
      <c r="S855" s="377"/>
      <c r="T855" s="377"/>
      <c r="U855" s="377"/>
      <c r="V855" s="377"/>
      <c r="W855" s="377"/>
      <c r="X855" s="377"/>
      <c r="Y855" s="377"/>
      <c r="Z855" s="377"/>
    </row>
    <row r="856" ht="19.5" customHeight="1">
      <c r="A856" s="377"/>
      <c r="B856" s="377"/>
      <c r="C856" s="377"/>
      <c r="D856" s="377"/>
      <c r="E856" s="377"/>
      <c r="F856" s="377"/>
      <c r="G856" s="377"/>
      <c r="H856" s="377"/>
      <c r="I856" s="377"/>
      <c r="J856" s="377"/>
      <c r="K856" s="377"/>
      <c r="L856" s="377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  <c r="Z856" s="377"/>
    </row>
    <row r="857" ht="19.5" customHeight="1">
      <c r="A857" s="377"/>
      <c r="B857" s="377"/>
      <c r="C857" s="377"/>
      <c r="D857" s="377"/>
      <c r="E857" s="377"/>
      <c r="F857" s="377"/>
      <c r="G857" s="377"/>
      <c r="H857" s="377"/>
      <c r="I857" s="377"/>
      <c r="J857" s="377"/>
      <c r="K857" s="377"/>
      <c r="L857" s="377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  <c r="Z857" s="377"/>
    </row>
    <row r="858" ht="19.5" customHeight="1">
      <c r="A858" s="377"/>
      <c r="B858" s="377"/>
      <c r="C858" s="377"/>
      <c r="D858" s="377"/>
      <c r="E858" s="377"/>
      <c r="F858" s="377"/>
      <c r="G858" s="377"/>
      <c r="H858" s="377"/>
      <c r="I858" s="377"/>
      <c r="J858" s="377"/>
      <c r="K858" s="377"/>
      <c r="L858" s="377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  <c r="Z858" s="377"/>
    </row>
    <row r="859" ht="19.5" customHeight="1">
      <c r="A859" s="377"/>
      <c r="B859" s="377"/>
      <c r="C859" s="377"/>
      <c r="D859" s="377"/>
      <c r="E859" s="377"/>
      <c r="F859" s="377"/>
      <c r="G859" s="377"/>
      <c r="H859" s="377"/>
      <c r="I859" s="377"/>
      <c r="J859" s="377"/>
      <c r="K859" s="377"/>
      <c r="L859" s="377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  <c r="Z859" s="377"/>
    </row>
    <row r="860" ht="19.5" customHeight="1">
      <c r="A860" s="377"/>
      <c r="B860" s="377"/>
      <c r="C860" s="377"/>
      <c r="D860" s="377"/>
      <c r="E860" s="377"/>
      <c r="F860" s="377"/>
      <c r="G860" s="377"/>
      <c r="H860" s="377"/>
      <c r="I860" s="377"/>
      <c r="J860" s="377"/>
      <c r="K860" s="377"/>
      <c r="L860" s="377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  <c r="Z860" s="377"/>
    </row>
    <row r="861" ht="19.5" customHeight="1">
      <c r="A861" s="377"/>
      <c r="B861" s="377"/>
      <c r="C861" s="377"/>
      <c r="D861" s="377"/>
      <c r="E861" s="377"/>
      <c r="F861" s="377"/>
      <c r="G861" s="377"/>
      <c r="H861" s="377"/>
      <c r="I861" s="377"/>
      <c r="J861" s="377"/>
      <c r="K861" s="377"/>
      <c r="L861" s="377"/>
      <c r="M861" s="377"/>
      <c r="N861" s="377"/>
      <c r="O861" s="377"/>
      <c r="P861" s="377"/>
      <c r="Q861" s="377"/>
      <c r="R861" s="377"/>
      <c r="S861" s="377"/>
      <c r="T861" s="377"/>
      <c r="U861" s="377"/>
      <c r="V861" s="377"/>
      <c r="W861" s="377"/>
      <c r="X861" s="377"/>
      <c r="Y861" s="377"/>
      <c r="Z861" s="377"/>
    </row>
    <row r="862" ht="19.5" customHeight="1">
      <c r="A862" s="377"/>
      <c r="B862" s="377"/>
      <c r="C862" s="377"/>
      <c r="D862" s="377"/>
      <c r="E862" s="377"/>
      <c r="F862" s="377"/>
      <c r="G862" s="377"/>
      <c r="H862" s="377"/>
      <c r="I862" s="377"/>
      <c r="J862" s="377"/>
      <c r="K862" s="377"/>
      <c r="L862" s="377"/>
      <c r="M862" s="377"/>
      <c r="N862" s="377"/>
      <c r="O862" s="377"/>
      <c r="P862" s="377"/>
      <c r="Q862" s="377"/>
      <c r="R862" s="377"/>
      <c r="S862" s="377"/>
      <c r="T862" s="377"/>
      <c r="U862" s="377"/>
      <c r="V862" s="377"/>
      <c r="W862" s="377"/>
      <c r="X862" s="377"/>
      <c r="Y862" s="377"/>
      <c r="Z862" s="377"/>
    </row>
    <row r="863" ht="19.5" customHeight="1">
      <c r="A863" s="377"/>
      <c r="B863" s="377"/>
      <c r="C863" s="377"/>
      <c r="D863" s="377"/>
      <c r="E863" s="377"/>
      <c r="F863" s="377"/>
      <c r="G863" s="377"/>
      <c r="H863" s="377"/>
      <c r="I863" s="377"/>
      <c r="J863" s="377"/>
      <c r="K863" s="377"/>
      <c r="L863" s="377"/>
      <c r="M863" s="377"/>
      <c r="N863" s="377"/>
      <c r="O863" s="377"/>
      <c r="P863" s="377"/>
      <c r="Q863" s="377"/>
      <c r="R863" s="377"/>
      <c r="S863" s="377"/>
      <c r="T863" s="377"/>
      <c r="U863" s="377"/>
      <c r="V863" s="377"/>
      <c r="W863" s="377"/>
      <c r="X863" s="377"/>
      <c r="Y863" s="377"/>
      <c r="Z863" s="377"/>
    </row>
    <row r="864" ht="19.5" customHeight="1">
      <c r="A864" s="377"/>
      <c r="B864" s="377"/>
      <c r="C864" s="377"/>
      <c r="D864" s="377"/>
      <c r="E864" s="377"/>
      <c r="F864" s="377"/>
      <c r="G864" s="377"/>
      <c r="H864" s="377"/>
      <c r="I864" s="377"/>
      <c r="J864" s="377"/>
      <c r="K864" s="377"/>
      <c r="L864" s="377"/>
      <c r="M864" s="377"/>
      <c r="N864" s="377"/>
      <c r="O864" s="377"/>
      <c r="P864" s="377"/>
      <c r="Q864" s="377"/>
      <c r="R864" s="377"/>
      <c r="S864" s="377"/>
      <c r="T864" s="377"/>
      <c r="U864" s="377"/>
      <c r="V864" s="377"/>
      <c r="W864" s="377"/>
      <c r="X864" s="377"/>
      <c r="Y864" s="377"/>
      <c r="Z864" s="377"/>
    </row>
    <row r="865" ht="19.5" customHeight="1">
      <c r="A865" s="377"/>
      <c r="B865" s="377"/>
      <c r="C865" s="377"/>
      <c r="D865" s="377"/>
      <c r="E865" s="377"/>
      <c r="F865" s="377"/>
      <c r="G865" s="377"/>
      <c r="H865" s="377"/>
      <c r="I865" s="377"/>
      <c r="J865" s="377"/>
      <c r="K865" s="377"/>
      <c r="L865" s="377"/>
      <c r="M865" s="377"/>
      <c r="N865" s="377"/>
      <c r="O865" s="377"/>
      <c r="P865" s="377"/>
      <c r="Q865" s="377"/>
      <c r="R865" s="377"/>
      <c r="S865" s="377"/>
      <c r="T865" s="377"/>
      <c r="U865" s="377"/>
      <c r="V865" s="377"/>
      <c r="W865" s="377"/>
      <c r="X865" s="377"/>
      <c r="Y865" s="377"/>
      <c r="Z865" s="377"/>
    </row>
    <row r="866" ht="19.5" customHeight="1">
      <c r="A866" s="377"/>
      <c r="B866" s="377"/>
      <c r="C866" s="377"/>
      <c r="D866" s="377"/>
      <c r="E866" s="377"/>
      <c r="F866" s="377"/>
      <c r="G866" s="377"/>
      <c r="H866" s="377"/>
      <c r="I866" s="377"/>
      <c r="J866" s="377"/>
      <c r="K866" s="377"/>
      <c r="L866" s="377"/>
      <c r="M866" s="377"/>
      <c r="N866" s="377"/>
      <c r="O866" s="377"/>
      <c r="P866" s="377"/>
      <c r="Q866" s="377"/>
      <c r="R866" s="377"/>
      <c r="S866" s="377"/>
      <c r="T866" s="377"/>
      <c r="U866" s="377"/>
      <c r="V866" s="377"/>
      <c r="W866" s="377"/>
      <c r="X866" s="377"/>
      <c r="Y866" s="377"/>
      <c r="Z866" s="377"/>
    </row>
    <row r="867" ht="19.5" customHeight="1">
      <c r="A867" s="377"/>
      <c r="B867" s="377"/>
      <c r="C867" s="377"/>
      <c r="D867" s="377"/>
      <c r="E867" s="377"/>
      <c r="F867" s="377"/>
      <c r="G867" s="377"/>
      <c r="H867" s="377"/>
      <c r="I867" s="377"/>
      <c r="J867" s="377"/>
      <c r="K867" s="377"/>
      <c r="L867" s="377"/>
      <c r="M867" s="377"/>
      <c r="N867" s="377"/>
      <c r="O867" s="377"/>
      <c r="P867" s="377"/>
      <c r="Q867" s="377"/>
      <c r="R867" s="377"/>
      <c r="S867" s="377"/>
      <c r="T867" s="377"/>
      <c r="U867" s="377"/>
      <c r="V867" s="377"/>
      <c r="W867" s="377"/>
      <c r="X867" s="377"/>
      <c r="Y867" s="377"/>
      <c r="Z867" s="377"/>
    </row>
    <row r="868" ht="19.5" customHeight="1">
      <c r="A868" s="377"/>
      <c r="B868" s="377"/>
      <c r="C868" s="377"/>
      <c r="D868" s="377"/>
      <c r="E868" s="377"/>
      <c r="F868" s="377"/>
      <c r="G868" s="377"/>
      <c r="H868" s="377"/>
      <c r="I868" s="377"/>
      <c r="J868" s="377"/>
      <c r="K868" s="377"/>
      <c r="L868" s="377"/>
      <c r="M868" s="377"/>
      <c r="N868" s="377"/>
      <c r="O868" s="377"/>
      <c r="P868" s="377"/>
      <c r="Q868" s="377"/>
      <c r="R868" s="377"/>
      <c r="S868" s="377"/>
      <c r="T868" s="377"/>
      <c r="U868" s="377"/>
      <c r="V868" s="377"/>
      <c r="W868" s="377"/>
      <c r="X868" s="377"/>
      <c r="Y868" s="377"/>
      <c r="Z868" s="377"/>
    </row>
    <row r="869" ht="19.5" customHeight="1">
      <c r="A869" s="377"/>
      <c r="B869" s="377"/>
      <c r="C869" s="377"/>
      <c r="D869" s="377"/>
      <c r="E869" s="377"/>
      <c r="F869" s="377"/>
      <c r="G869" s="377"/>
      <c r="H869" s="377"/>
      <c r="I869" s="377"/>
      <c r="J869" s="377"/>
      <c r="K869" s="377"/>
      <c r="L869" s="377"/>
      <c r="M869" s="377"/>
      <c r="N869" s="377"/>
      <c r="O869" s="377"/>
      <c r="P869" s="377"/>
      <c r="Q869" s="377"/>
      <c r="R869" s="377"/>
      <c r="S869" s="377"/>
      <c r="T869" s="377"/>
      <c r="U869" s="377"/>
      <c r="V869" s="377"/>
      <c r="W869" s="377"/>
      <c r="X869" s="377"/>
      <c r="Y869" s="377"/>
      <c r="Z869" s="377"/>
    </row>
    <row r="870" ht="19.5" customHeight="1">
      <c r="A870" s="377"/>
      <c r="B870" s="377"/>
      <c r="C870" s="377"/>
      <c r="D870" s="377"/>
      <c r="E870" s="377"/>
      <c r="F870" s="377"/>
      <c r="G870" s="377"/>
      <c r="H870" s="377"/>
      <c r="I870" s="377"/>
      <c r="J870" s="377"/>
      <c r="K870" s="377"/>
      <c r="L870" s="377"/>
      <c r="M870" s="377"/>
      <c r="N870" s="377"/>
      <c r="O870" s="377"/>
      <c r="P870" s="377"/>
      <c r="Q870" s="377"/>
      <c r="R870" s="377"/>
      <c r="S870" s="377"/>
      <c r="T870" s="377"/>
      <c r="U870" s="377"/>
      <c r="V870" s="377"/>
      <c r="W870" s="377"/>
      <c r="X870" s="377"/>
      <c r="Y870" s="377"/>
      <c r="Z870" s="377"/>
    </row>
    <row r="871" ht="19.5" customHeight="1">
      <c r="A871" s="377"/>
      <c r="B871" s="377"/>
      <c r="C871" s="377"/>
      <c r="D871" s="377"/>
      <c r="E871" s="377"/>
      <c r="F871" s="377"/>
      <c r="G871" s="377"/>
      <c r="H871" s="377"/>
      <c r="I871" s="377"/>
      <c r="J871" s="377"/>
      <c r="K871" s="377"/>
      <c r="L871" s="377"/>
      <c r="M871" s="377"/>
      <c r="N871" s="377"/>
      <c r="O871" s="377"/>
      <c r="P871" s="377"/>
      <c r="Q871" s="377"/>
      <c r="R871" s="377"/>
      <c r="S871" s="377"/>
      <c r="T871" s="377"/>
      <c r="U871" s="377"/>
      <c r="V871" s="377"/>
      <c r="W871" s="377"/>
      <c r="X871" s="377"/>
      <c r="Y871" s="377"/>
      <c r="Z871" s="377"/>
    </row>
    <row r="872" ht="19.5" customHeight="1">
      <c r="A872" s="377"/>
      <c r="B872" s="377"/>
      <c r="C872" s="377"/>
      <c r="D872" s="377"/>
      <c r="E872" s="377"/>
      <c r="F872" s="377"/>
      <c r="G872" s="377"/>
      <c r="H872" s="377"/>
      <c r="I872" s="377"/>
      <c r="J872" s="377"/>
      <c r="K872" s="377"/>
      <c r="L872" s="377"/>
      <c r="M872" s="377"/>
      <c r="N872" s="377"/>
      <c r="O872" s="377"/>
      <c r="P872" s="377"/>
      <c r="Q872" s="377"/>
      <c r="R872" s="377"/>
      <c r="S872" s="377"/>
      <c r="T872" s="377"/>
      <c r="U872" s="377"/>
      <c r="V872" s="377"/>
      <c r="W872" s="377"/>
      <c r="X872" s="377"/>
      <c r="Y872" s="377"/>
      <c r="Z872" s="377"/>
    </row>
    <row r="873" ht="19.5" customHeight="1">
      <c r="A873" s="377"/>
      <c r="B873" s="377"/>
      <c r="C873" s="377"/>
      <c r="D873" s="377"/>
      <c r="E873" s="377"/>
      <c r="F873" s="377"/>
      <c r="G873" s="377"/>
      <c r="H873" s="377"/>
      <c r="I873" s="377"/>
      <c r="J873" s="377"/>
      <c r="K873" s="377"/>
      <c r="L873" s="377"/>
      <c r="M873" s="377"/>
      <c r="N873" s="377"/>
      <c r="O873" s="377"/>
      <c r="P873" s="377"/>
      <c r="Q873" s="377"/>
      <c r="R873" s="377"/>
      <c r="S873" s="377"/>
      <c r="T873" s="377"/>
      <c r="U873" s="377"/>
      <c r="V873" s="377"/>
      <c r="W873" s="377"/>
      <c r="X873" s="377"/>
      <c r="Y873" s="377"/>
      <c r="Z873" s="377"/>
    </row>
    <row r="874" ht="19.5" customHeight="1">
      <c r="A874" s="377"/>
      <c r="B874" s="377"/>
      <c r="C874" s="377"/>
      <c r="D874" s="377"/>
      <c r="E874" s="377"/>
      <c r="F874" s="377"/>
      <c r="G874" s="377"/>
      <c r="H874" s="377"/>
      <c r="I874" s="377"/>
      <c r="J874" s="377"/>
      <c r="K874" s="377"/>
      <c r="L874" s="377"/>
      <c r="M874" s="377"/>
      <c r="N874" s="377"/>
      <c r="O874" s="377"/>
      <c r="P874" s="377"/>
      <c r="Q874" s="377"/>
      <c r="R874" s="377"/>
      <c r="S874" s="377"/>
      <c r="T874" s="377"/>
      <c r="U874" s="377"/>
      <c r="V874" s="377"/>
      <c r="W874" s="377"/>
      <c r="X874" s="377"/>
      <c r="Y874" s="377"/>
      <c r="Z874" s="377"/>
    </row>
    <row r="875" ht="19.5" customHeight="1">
      <c r="A875" s="377"/>
      <c r="B875" s="377"/>
      <c r="C875" s="377"/>
      <c r="D875" s="377"/>
      <c r="E875" s="377"/>
      <c r="F875" s="377"/>
      <c r="G875" s="377"/>
      <c r="H875" s="377"/>
      <c r="I875" s="377"/>
      <c r="J875" s="377"/>
      <c r="K875" s="377"/>
      <c r="L875" s="377"/>
      <c r="M875" s="377"/>
      <c r="N875" s="377"/>
      <c r="O875" s="377"/>
      <c r="P875" s="377"/>
      <c r="Q875" s="377"/>
      <c r="R875" s="377"/>
      <c r="S875" s="377"/>
      <c r="T875" s="377"/>
      <c r="U875" s="377"/>
      <c r="V875" s="377"/>
      <c r="W875" s="377"/>
      <c r="X875" s="377"/>
      <c r="Y875" s="377"/>
      <c r="Z875" s="377"/>
    </row>
    <row r="876" ht="19.5" customHeight="1">
      <c r="A876" s="377"/>
      <c r="B876" s="377"/>
      <c r="C876" s="377"/>
      <c r="D876" s="377"/>
      <c r="E876" s="377"/>
      <c r="F876" s="377"/>
      <c r="G876" s="377"/>
      <c r="H876" s="377"/>
      <c r="I876" s="377"/>
      <c r="J876" s="377"/>
      <c r="K876" s="377"/>
      <c r="L876" s="377"/>
      <c r="M876" s="377"/>
      <c r="N876" s="377"/>
      <c r="O876" s="377"/>
      <c r="P876" s="377"/>
      <c r="Q876" s="377"/>
      <c r="R876" s="377"/>
      <c r="S876" s="377"/>
      <c r="T876" s="377"/>
      <c r="U876" s="377"/>
      <c r="V876" s="377"/>
      <c r="W876" s="377"/>
      <c r="X876" s="377"/>
      <c r="Y876" s="377"/>
      <c r="Z876" s="377"/>
    </row>
    <row r="877" ht="19.5" customHeight="1">
      <c r="A877" s="377"/>
      <c r="B877" s="377"/>
      <c r="C877" s="377"/>
      <c r="D877" s="377"/>
      <c r="E877" s="377"/>
      <c r="F877" s="377"/>
      <c r="G877" s="377"/>
      <c r="H877" s="377"/>
      <c r="I877" s="377"/>
      <c r="J877" s="377"/>
      <c r="K877" s="377"/>
      <c r="L877" s="377"/>
      <c r="M877" s="377"/>
      <c r="N877" s="377"/>
      <c r="O877" s="377"/>
      <c r="P877" s="377"/>
      <c r="Q877" s="377"/>
      <c r="R877" s="377"/>
      <c r="S877" s="377"/>
      <c r="T877" s="377"/>
      <c r="U877" s="377"/>
      <c r="V877" s="377"/>
      <c r="W877" s="377"/>
      <c r="X877" s="377"/>
      <c r="Y877" s="377"/>
      <c r="Z877" s="377"/>
    </row>
    <row r="878" ht="19.5" customHeight="1">
      <c r="A878" s="377"/>
      <c r="B878" s="377"/>
      <c r="C878" s="377"/>
      <c r="D878" s="377"/>
      <c r="E878" s="377"/>
      <c r="F878" s="377"/>
      <c r="G878" s="377"/>
      <c r="H878" s="377"/>
      <c r="I878" s="377"/>
      <c r="J878" s="377"/>
      <c r="K878" s="377"/>
      <c r="L878" s="377"/>
      <c r="M878" s="377"/>
      <c r="N878" s="377"/>
      <c r="O878" s="377"/>
      <c r="P878" s="377"/>
      <c r="Q878" s="377"/>
      <c r="R878" s="377"/>
      <c r="S878" s="377"/>
      <c r="T878" s="377"/>
      <c r="U878" s="377"/>
      <c r="V878" s="377"/>
      <c r="W878" s="377"/>
      <c r="X878" s="377"/>
      <c r="Y878" s="377"/>
      <c r="Z878" s="377"/>
    </row>
    <row r="879" ht="19.5" customHeight="1">
      <c r="A879" s="377"/>
      <c r="B879" s="377"/>
      <c r="C879" s="377"/>
      <c r="D879" s="377"/>
      <c r="E879" s="377"/>
      <c r="F879" s="377"/>
      <c r="G879" s="377"/>
      <c r="H879" s="377"/>
      <c r="I879" s="377"/>
      <c r="J879" s="377"/>
      <c r="K879" s="377"/>
      <c r="L879" s="377"/>
      <c r="M879" s="377"/>
      <c r="N879" s="377"/>
      <c r="O879" s="377"/>
      <c r="P879" s="377"/>
      <c r="Q879" s="377"/>
      <c r="R879" s="377"/>
      <c r="S879" s="377"/>
      <c r="T879" s="377"/>
      <c r="U879" s="377"/>
      <c r="V879" s="377"/>
      <c r="W879" s="377"/>
      <c r="X879" s="377"/>
      <c r="Y879" s="377"/>
      <c r="Z879" s="377"/>
    </row>
    <row r="880" ht="19.5" customHeight="1">
      <c r="A880" s="377"/>
      <c r="B880" s="377"/>
      <c r="C880" s="377"/>
      <c r="D880" s="377"/>
      <c r="E880" s="377"/>
      <c r="F880" s="377"/>
      <c r="G880" s="377"/>
      <c r="H880" s="377"/>
      <c r="I880" s="377"/>
      <c r="J880" s="377"/>
      <c r="K880" s="377"/>
      <c r="L880" s="377"/>
      <c r="M880" s="377"/>
      <c r="N880" s="377"/>
      <c r="O880" s="377"/>
      <c r="P880" s="377"/>
      <c r="Q880" s="377"/>
      <c r="R880" s="377"/>
      <c r="S880" s="377"/>
      <c r="T880" s="377"/>
      <c r="U880" s="377"/>
      <c r="V880" s="377"/>
      <c r="W880" s="377"/>
      <c r="X880" s="377"/>
      <c r="Y880" s="377"/>
      <c r="Z880" s="377"/>
    </row>
    <row r="881" ht="19.5" customHeight="1">
      <c r="A881" s="377"/>
      <c r="B881" s="377"/>
      <c r="C881" s="377"/>
      <c r="D881" s="377"/>
      <c r="E881" s="377"/>
      <c r="F881" s="377"/>
      <c r="G881" s="377"/>
      <c r="H881" s="377"/>
      <c r="I881" s="377"/>
      <c r="J881" s="377"/>
      <c r="K881" s="377"/>
      <c r="L881" s="377"/>
      <c r="M881" s="377"/>
      <c r="N881" s="377"/>
      <c r="O881" s="377"/>
      <c r="P881" s="377"/>
      <c r="Q881" s="377"/>
      <c r="R881" s="377"/>
      <c r="S881" s="377"/>
      <c r="T881" s="377"/>
      <c r="U881" s="377"/>
      <c r="V881" s="377"/>
      <c r="W881" s="377"/>
      <c r="X881" s="377"/>
      <c r="Y881" s="377"/>
      <c r="Z881" s="377"/>
    </row>
    <row r="882" ht="19.5" customHeight="1">
      <c r="A882" s="377"/>
      <c r="B882" s="377"/>
      <c r="C882" s="377"/>
      <c r="D882" s="377"/>
      <c r="E882" s="377"/>
      <c r="F882" s="377"/>
      <c r="G882" s="377"/>
      <c r="H882" s="377"/>
      <c r="I882" s="377"/>
      <c r="J882" s="377"/>
      <c r="K882" s="377"/>
      <c r="L882" s="377"/>
      <c r="M882" s="377"/>
      <c r="N882" s="377"/>
      <c r="O882" s="377"/>
      <c r="P882" s="377"/>
      <c r="Q882" s="377"/>
      <c r="R882" s="377"/>
      <c r="S882" s="377"/>
      <c r="T882" s="377"/>
      <c r="U882" s="377"/>
      <c r="V882" s="377"/>
      <c r="W882" s="377"/>
      <c r="X882" s="377"/>
      <c r="Y882" s="377"/>
      <c r="Z882" s="377"/>
    </row>
    <row r="883" ht="19.5" customHeight="1">
      <c r="A883" s="377"/>
      <c r="B883" s="377"/>
      <c r="C883" s="377"/>
      <c r="D883" s="377"/>
      <c r="E883" s="377"/>
      <c r="F883" s="377"/>
      <c r="G883" s="377"/>
      <c r="H883" s="377"/>
      <c r="I883" s="377"/>
      <c r="J883" s="377"/>
      <c r="K883" s="377"/>
      <c r="L883" s="377"/>
      <c r="M883" s="377"/>
      <c r="N883" s="377"/>
      <c r="O883" s="377"/>
      <c r="P883" s="377"/>
      <c r="Q883" s="377"/>
      <c r="R883" s="377"/>
      <c r="S883" s="377"/>
      <c r="T883" s="377"/>
      <c r="U883" s="377"/>
      <c r="V883" s="377"/>
      <c r="W883" s="377"/>
      <c r="X883" s="377"/>
      <c r="Y883" s="377"/>
      <c r="Z883" s="377"/>
    </row>
    <row r="884" ht="19.5" customHeight="1">
      <c r="A884" s="377"/>
      <c r="B884" s="377"/>
      <c r="C884" s="377"/>
      <c r="D884" s="377"/>
      <c r="E884" s="377"/>
      <c r="F884" s="377"/>
      <c r="G884" s="377"/>
      <c r="H884" s="377"/>
      <c r="I884" s="377"/>
      <c r="J884" s="377"/>
      <c r="K884" s="377"/>
      <c r="L884" s="377"/>
      <c r="M884" s="377"/>
      <c r="N884" s="377"/>
      <c r="O884" s="377"/>
      <c r="P884" s="377"/>
      <c r="Q884" s="377"/>
      <c r="R884" s="377"/>
      <c r="S884" s="377"/>
      <c r="T884" s="377"/>
      <c r="U884" s="377"/>
      <c r="V884" s="377"/>
      <c r="W884" s="377"/>
      <c r="X884" s="377"/>
      <c r="Y884" s="377"/>
      <c r="Z884" s="377"/>
    </row>
    <row r="885" ht="19.5" customHeight="1">
      <c r="A885" s="377"/>
      <c r="B885" s="377"/>
      <c r="C885" s="377"/>
      <c r="D885" s="377"/>
      <c r="E885" s="377"/>
      <c r="F885" s="377"/>
      <c r="G885" s="377"/>
      <c r="H885" s="377"/>
      <c r="I885" s="377"/>
      <c r="J885" s="377"/>
      <c r="K885" s="377"/>
      <c r="L885" s="377"/>
      <c r="M885" s="377"/>
      <c r="N885" s="377"/>
      <c r="O885" s="377"/>
      <c r="P885" s="377"/>
      <c r="Q885" s="377"/>
      <c r="R885" s="377"/>
      <c r="S885" s="377"/>
      <c r="T885" s="377"/>
      <c r="U885" s="377"/>
      <c r="V885" s="377"/>
      <c r="W885" s="377"/>
      <c r="X885" s="377"/>
      <c r="Y885" s="377"/>
      <c r="Z885" s="377"/>
    </row>
    <row r="886" ht="19.5" customHeight="1">
      <c r="A886" s="377"/>
      <c r="B886" s="377"/>
      <c r="C886" s="377"/>
      <c r="D886" s="377"/>
      <c r="E886" s="377"/>
      <c r="F886" s="377"/>
      <c r="G886" s="377"/>
      <c r="H886" s="377"/>
      <c r="I886" s="377"/>
      <c r="J886" s="377"/>
      <c r="K886" s="377"/>
      <c r="L886" s="377"/>
      <c r="M886" s="377"/>
      <c r="N886" s="377"/>
      <c r="O886" s="377"/>
      <c r="P886" s="377"/>
      <c r="Q886" s="377"/>
      <c r="R886" s="377"/>
      <c r="S886" s="377"/>
      <c r="T886" s="377"/>
      <c r="U886" s="377"/>
      <c r="V886" s="377"/>
      <c r="W886" s="377"/>
      <c r="X886" s="377"/>
      <c r="Y886" s="377"/>
      <c r="Z886" s="377"/>
    </row>
    <row r="887" ht="19.5" customHeight="1">
      <c r="A887" s="377"/>
      <c r="B887" s="377"/>
      <c r="C887" s="377"/>
      <c r="D887" s="377"/>
      <c r="E887" s="377"/>
      <c r="F887" s="377"/>
      <c r="G887" s="377"/>
      <c r="H887" s="377"/>
      <c r="I887" s="377"/>
      <c r="J887" s="377"/>
      <c r="K887" s="377"/>
      <c r="L887" s="377"/>
      <c r="M887" s="377"/>
      <c r="N887" s="377"/>
      <c r="O887" s="377"/>
      <c r="P887" s="377"/>
      <c r="Q887" s="377"/>
      <c r="R887" s="377"/>
      <c r="S887" s="377"/>
      <c r="T887" s="377"/>
      <c r="U887" s="377"/>
      <c r="V887" s="377"/>
      <c r="W887" s="377"/>
      <c r="X887" s="377"/>
      <c r="Y887" s="377"/>
      <c r="Z887" s="377"/>
    </row>
    <row r="888" ht="19.5" customHeight="1">
      <c r="A888" s="377"/>
      <c r="B888" s="377"/>
      <c r="C888" s="377"/>
      <c r="D888" s="377"/>
      <c r="E888" s="377"/>
      <c r="F888" s="377"/>
      <c r="G888" s="377"/>
      <c r="H888" s="377"/>
      <c r="I888" s="377"/>
      <c r="J888" s="377"/>
      <c r="K888" s="377"/>
      <c r="L888" s="377"/>
      <c r="M888" s="377"/>
      <c r="N888" s="377"/>
      <c r="O888" s="377"/>
      <c r="P888" s="377"/>
      <c r="Q888" s="377"/>
      <c r="R888" s="377"/>
      <c r="S888" s="377"/>
      <c r="T888" s="377"/>
      <c r="U888" s="377"/>
      <c r="V888" s="377"/>
      <c r="W888" s="377"/>
      <c r="X888" s="377"/>
      <c r="Y888" s="377"/>
      <c r="Z888" s="377"/>
    </row>
    <row r="889" ht="19.5" customHeight="1">
      <c r="A889" s="377"/>
      <c r="B889" s="377"/>
      <c r="C889" s="377"/>
      <c r="D889" s="377"/>
      <c r="E889" s="377"/>
      <c r="F889" s="377"/>
      <c r="G889" s="377"/>
      <c r="H889" s="377"/>
      <c r="I889" s="377"/>
      <c r="J889" s="377"/>
      <c r="K889" s="377"/>
      <c r="L889" s="377"/>
      <c r="M889" s="377"/>
      <c r="N889" s="377"/>
      <c r="O889" s="377"/>
      <c r="P889" s="377"/>
      <c r="Q889" s="377"/>
      <c r="R889" s="377"/>
      <c r="S889" s="377"/>
      <c r="T889" s="377"/>
      <c r="U889" s="377"/>
      <c r="V889" s="377"/>
      <c r="W889" s="377"/>
      <c r="X889" s="377"/>
      <c r="Y889" s="377"/>
      <c r="Z889" s="377"/>
    </row>
    <row r="890" ht="19.5" customHeight="1">
      <c r="A890" s="377"/>
      <c r="B890" s="377"/>
      <c r="C890" s="377"/>
      <c r="D890" s="377"/>
      <c r="E890" s="377"/>
      <c r="F890" s="377"/>
      <c r="G890" s="377"/>
      <c r="H890" s="377"/>
      <c r="I890" s="377"/>
      <c r="J890" s="377"/>
      <c r="K890" s="377"/>
      <c r="L890" s="377"/>
      <c r="M890" s="377"/>
      <c r="N890" s="377"/>
      <c r="O890" s="377"/>
      <c r="P890" s="377"/>
      <c r="Q890" s="377"/>
      <c r="R890" s="377"/>
      <c r="S890" s="377"/>
      <c r="T890" s="377"/>
      <c r="U890" s="377"/>
      <c r="V890" s="377"/>
      <c r="W890" s="377"/>
      <c r="X890" s="377"/>
      <c r="Y890" s="377"/>
      <c r="Z890" s="377"/>
    </row>
    <row r="891" ht="19.5" customHeight="1">
      <c r="A891" s="377"/>
      <c r="B891" s="377"/>
      <c r="C891" s="377"/>
      <c r="D891" s="377"/>
      <c r="E891" s="377"/>
      <c r="F891" s="377"/>
      <c r="G891" s="377"/>
      <c r="H891" s="377"/>
      <c r="I891" s="377"/>
      <c r="J891" s="377"/>
      <c r="K891" s="377"/>
      <c r="L891" s="377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  <c r="Z891" s="377"/>
    </row>
    <row r="892" ht="19.5" customHeight="1">
      <c r="A892" s="377"/>
      <c r="B892" s="377"/>
      <c r="C892" s="377"/>
      <c r="D892" s="377"/>
      <c r="E892" s="377"/>
      <c r="F892" s="377"/>
      <c r="G892" s="377"/>
      <c r="H892" s="377"/>
      <c r="I892" s="377"/>
      <c r="J892" s="377"/>
      <c r="K892" s="377"/>
      <c r="L892" s="377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  <c r="Z892" s="377"/>
    </row>
    <row r="893" ht="19.5" customHeight="1">
      <c r="A893" s="377"/>
      <c r="B893" s="377"/>
      <c r="C893" s="377"/>
      <c r="D893" s="377"/>
      <c r="E893" s="377"/>
      <c r="F893" s="377"/>
      <c r="G893" s="377"/>
      <c r="H893" s="377"/>
      <c r="I893" s="377"/>
      <c r="J893" s="377"/>
      <c r="K893" s="377"/>
      <c r="L893" s="377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  <c r="Z893" s="377"/>
    </row>
    <row r="894" ht="19.5" customHeight="1">
      <c r="A894" s="377"/>
      <c r="B894" s="377"/>
      <c r="C894" s="377"/>
      <c r="D894" s="377"/>
      <c r="E894" s="377"/>
      <c r="F894" s="377"/>
      <c r="G894" s="377"/>
      <c r="H894" s="377"/>
      <c r="I894" s="377"/>
      <c r="J894" s="377"/>
      <c r="K894" s="377"/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  <c r="Z894" s="377"/>
    </row>
    <row r="895" ht="19.5" customHeight="1">
      <c r="A895" s="377"/>
      <c r="B895" s="377"/>
      <c r="C895" s="377"/>
      <c r="D895" s="377"/>
      <c r="E895" s="377"/>
      <c r="F895" s="377"/>
      <c r="G895" s="377"/>
      <c r="H895" s="377"/>
      <c r="I895" s="377"/>
      <c r="J895" s="377"/>
      <c r="K895" s="377"/>
      <c r="L895" s="377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  <c r="Z895" s="377"/>
    </row>
    <row r="896" ht="19.5" customHeight="1">
      <c r="A896" s="377"/>
      <c r="B896" s="377"/>
      <c r="C896" s="377"/>
      <c r="D896" s="377"/>
      <c r="E896" s="377"/>
      <c r="F896" s="377"/>
      <c r="G896" s="377"/>
      <c r="H896" s="377"/>
      <c r="I896" s="377"/>
      <c r="J896" s="377"/>
      <c r="K896" s="377"/>
      <c r="L896" s="377"/>
      <c r="M896" s="377"/>
      <c r="N896" s="377"/>
      <c r="O896" s="377"/>
      <c r="P896" s="377"/>
      <c r="Q896" s="377"/>
      <c r="R896" s="377"/>
      <c r="S896" s="377"/>
      <c r="T896" s="377"/>
      <c r="U896" s="377"/>
      <c r="V896" s="377"/>
      <c r="W896" s="377"/>
      <c r="X896" s="377"/>
      <c r="Y896" s="377"/>
      <c r="Z896" s="377"/>
    </row>
    <row r="897" ht="19.5" customHeight="1">
      <c r="A897" s="377"/>
      <c r="B897" s="377"/>
      <c r="C897" s="377"/>
      <c r="D897" s="377"/>
      <c r="E897" s="377"/>
      <c r="F897" s="377"/>
      <c r="G897" s="377"/>
      <c r="H897" s="377"/>
      <c r="I897" s="377"/>
      <c r="J897" s="377"/>
      <c r="K897" s="377"/>
      <c r="L897" s="377"/>
      <c r="M897" s="377"/>
      <c r="N897" s="377"/>
      <c r="O897" s="377"/>
      <c r="P897" s="377"/>
      <c r="Q897" s="377"/>
      <c r="R897" s="377"/>
      <c r="S897" s="377"/>
      <c r="T897" s="377"/>
      <c r="U897" s="377"/>
      <c r="V897" s="377"/>
      <c r="W897" s="377"/>
      <c r="X897" s="377"/>
      <c r="Y897" s="377"/>
      <c r="Z897" s="377"/>
    </row>
    <row r="898" ht="19.5" customHeight="1">
      <c r="A898" s="377"/>
      <c r="B898" s="377"/>
      <c r="C898" s="377"/>
      <c r="D898" s="377"/>
      <c r="E898" s="377"/>
      <c r="F898" s="377"/>
      <c r="G898" s="377"/>
      <c r="H898" s="377"/>
      <c r="I898" s="377"/>
      <c r="J898" s="377"/>
      <c r="K898" s="377"/>
      <c r="L898" s="377"/>
      <c r="M898" s="377"/>
      <c r="N898" s="377"/>
      <c r="O898" s="377"/>
      <c r="P898" s="377"/>
      <c r="Q898" s="377"/>
      <c r="R898" s="377"/>
      <c r="S898" s="377"/>
      <c r="T898" s="377"/>
      <c r="U898" s="377"/>
      <c r="V898" s="377"/>
      <c r="W898" s="377"/>
      <c r="X898" s="377"/>
      <c r="Y898" s="377"/>
      <c r="Z898" s="377"/>
    </row>
    <row r="899" ht="19.5" customHeight="1">
      <c r="A899" s="377"/>
      <c r="B899" s="377"/>
      <c r="C899" s="377"/>
      <c r="D899" s="377"/>
      <c r="E899" s="377"/>
      <c r="F899" s="377"/>
      <c r="G899" s="377"/>
      <c r="H899" s="377"/>
      <c r="I899" s="377"/>
      <c r="J899" s="377"/>
      <c r="K899" s="377"/>
      <c r="L899" s="377"/>
      <c r="M899" s="377"/>
      <c r="N899" s="377"/>
      <c r="O899" s="377"/>
      <c r="P899" s="377"/>
      <c r="Q899" s="377"/>
      <c r="R899" s="377"/>
      <c r="S899" s="377"/>
      <c r="T899" s="377"/>
      <c r="U899" s="377"/>
      <c r="V899" s="377"/>
      <c r="W899" s="377"/>
      <c r="X899" s="377"/>
      <c r="Y899" s="377"/>
      <c r="Z899" s="377"/>
    </row>
    <row r="900" ht="19.5" customHeight="1">
      <c r="A900" s="377"/>
      <c r="B900" s="377"/>
      <c r="C900" s="377"/>
      <c r="D900" s="377"/>
      <c r="E900" s="377"/>
      <c r="F900" s="377"/>
      <c r="G900" s="377"/>
      <c r="H900" s="377"/>
      <c r="I900" s="377"/>
      <c r="J900" s="377"/>
      <c r="K900" s="377"/>
      <c r="L900" s="377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7"/>
      <c r="Y900" s="377"/>
      <c r="Z900" s="377"/>
    </row>
    <row r="901" ht="19.5" customHeight="1">
      <c r="A901" s="377"/>
      <c r="B901" s="377"/>
      <c r="C901" s="377"/>
      <c r="D901" s="377"/>
      <c r="E901" s="377"/>
      <c r="F901" s="377"/>
      <c r="G901" s="377"/>
      <c r="H901" s="377"/>
      <c r="I901" s="377"/>
      <c r="J901" s="377"/>
      <c r="K901" s="377"/>
      <c r="L901" s="377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7"/>
      <c r="Y901" s="377"/>
      <c r="Z901" s="377"/>
    </row>
    <row r="902" ht="19.5" customHeight="1">
      <c r="A902" s="377"/>
      <c r="B902" s="377"/>
      <c r="C902" s="377"/>
      <c r="D902" s="377"/>
      <c r="E902" s="377"/>
      <c r="F902" s="377"/>
      <c r="G902" s="377"/>
      <c r="H902" s="377"/>
      <c r="I902" s="377"/>
      <c r="J902" s="377"/>
      <c r="K902" s="377"/>
      <c r="L902" s="377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7"/>
      <c r="Y902" s="377"/>
      <c r="Z902" s="377"/>
    </row>
    <row r="903" ht="19.5" customHeight="1">
      <c r="A903" s="377"/>
      <c r="B903" s="377"/>
      <c r="C903" s="377"/>
      <c r="D903" s="377"/>
      <c r="E903" s="377"/>
      <c r="F903" s="377"/>
      <c r="G903" s="377"/>
      <c r="H903" s="377"/>
      <c r="I903" s="377"/>
      <c r="J903" s="377"/>
      <c r="K903" s="377"/>
      <c r="L903" s="377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7"/>
      <c r="Y903" s="377"/>
      <c r="Z903" s="377"/>
    </row>
    <row r="904" ht="19.5" customHeight="1">
      <c r="A904" s="377"/>
      <c r="B904" s="377"/>
      <c r="C904" s="377"/>
      <c r="D904" s="377"/>
      <c r="E904" s="377"/>
      <c r="F904" s="377"/>
      <c r="G904" s="377"/>
      <c r="H904" s="377"/>
      <c r="I904" s="377"/>
      <c r="J904" s="377"/>
      <c r="K904" s="377"/>
      <c r="L904" s="377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7"/>
      <c r="Y904" s="377"/>
      <c r="Z904" s="377"/>
    </row>
    <row r="905" ht="19.5" customHeight="1">
      <c r="A905" s="377"/>
      <c r="B905" s="377"/>
      <c r="C905" s="377"/>
      <c r="D905" s="377"/>
      <c r="E905" s="377"/>
      <c r="F905" s="377"/>
      <c r="G905" s="377"/>
      <c r="H905" s="377"/>
      <c r="I905" s="377"/>
      <c r="J905" s="377"/>
      <c r="K905" s="377"/>
      <c r="L905" s="377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7"/>
      <c r="Y905" s="377"/>
      <c r="Z905" s="377"/>
    </row>
    <row r="906" ht="19.5" customHeight="1">
      <c r="A906" s="377"/>
      <c r="B906" s="377"/>
      <c r="C906" s="377"/>
      <c r="D906" s="377"/>
      <c r="E906" s="377"/>
      <c r="F906" s="377"/>
      <c r="G906" s="377"/>
      <c r="H906" s="377"/>
      <c r="I906" s="377"/>
      <c r="J906" s="377"/>
      <c r="K906" s="377"/>
      <c r="L906" s="377"/>
      <c r="M906" s="377"/>
      <c r="N906" s="377"/>
      <c r="O906" s="377"/>
      <c r="P906" s="377"/>
      <c r="Q906" s="377"/>
      <c r="R906" s="377"/>
      <c r="S906" s="377"/>
      <c r="T906" s="377"/>
      <c r="U906" s="377"/>
      <c r="V906" s="377"/>
      <c r="W906" s="377"/>
      <c r="X906" s="377"/>
      <c r="Y906" s="377"/>
      <c r="Z906" s="377"/>
    </row>
    <row r="907" ht="19.5" customHeight="1">
      <c r="A907" s="377"/>
      <c r="B907" s="377"/>
      <c r="C907" s="377"/>
      <c r="D907" s="377"/>
      <c r="E907" s="377"/>
      <c r="F907" s="377"/>
      <c r="G907" s="377"/>
      <c r="H907" s="377"/>
      <c r="I907" s="377"/>
      <c r="J907" s="377"/>
      <c r="K907" s="377"/>
      <c r="L907" s="377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  <c r="Z907" s="377"/>
    </row>
    <row r="908" ht="19.5" customHeight="1">
      <c r="A908" s="377"/>
      <c r="B908" s="377"/>
      <c r="C908" s="377"/>
      <c r="D908" s="377"/>
      <c r="E908" s="377"/>
      <c r="F908" s="377"/>
      <c r="G908" s="377"/>
      <c r="H908" s="377"/>
      <c r="I908" s="377"/>
      <c r="J908" s="377"/>
      <c r="K908" s="377"/>
      <c r="L908" s="377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7"/>
      <c r="Y908" s="377"/>
      <c r="Z908" s="377"/>
    </row>
    <row r="909" ht="19.5" customHeight="1">
      <c r="A909" s="377"/>
      <c r="B909" s="377"/>
      <c r="C909" s="377"/>
      <c r="D909" s="377"/>
      <c r="E909" s="377"/>
      <c r="F909" s="377"/>
      <c r="G909" s="377"/>
      <c r="H909" s="377"/>
      <c r="I909" s="377"/>
      <c r="J909" s="377"/>
      <c r="K909" s="377"/>
      <c r="L909" s="377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7"/>
      <c r="Y909" s="377"/>
      <c r="Z909" s="377"/>
    </row>
    <row r="910" ht="19.5" customHeight="1">
      <c r="A910" s="377"/>
      <c r="B910" s="377"/>
      <c r="C910" s="377"/>
      <c r="D910" s="377"/>
      <c r="E910" s="377"/>
      <c r="F910" s="377"/>
      <c r="G910" s="377"/>
      <c r="H910" s="377"/>
      <c r="I910" s="377"/>
      <c r="J910" s="377"/>
      <c r="K910" s="377"/>
      <c r="L910" s="377"/>
      <c r="M910" s="377"/>
      <c r="N910" s="377"/>
      <c r="O910" s="377"/>
      <c r="P910" s="377"/>
      <c r="Q910" s="377"/>
      <c r="R910" s="377"/>
      <c r="S910" s="377"/>
      <c r="T910" s="377"/>
      <c r="U910" s="377"/>
      <c r="V910" s="377"/>
      <c r="W910" s="377"/>
      <c r="X910" s="377"/>
      <c r="Y910" s="377"/>
      <c r="Z910" s="377"/>
    </row>
    <row r="911" ht="19.5" customHeight="1">
      <c r="A911" s="377"/>
      <c r="B911" s="377"/>
      <c r="C911" s="377"/>
      <c r="D911" s="377"/>
      <c r="E911" s="377"/>
      <c r="F911" s="377"/>
      <c r="G911" s="377"/>
      <c r="H911" s="377"/>
      <c r="I911" s="377"/>
      <c r="J911" s="377"/>
      <c r="K911" s="377"/>
      <c r="L911" s="377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  <c r="Z911" s="377"/>
    </row>
    <row r="912" ht="19.5" customHeight="1">
      <c r="A912" s="377"/>
      <c r="B912" s="377"/>
      <c r="C912" s="377"/>
      <c r="D912" s="377"/>
      <c r="E912" s="377"/>
      <c r="F912" s="377"/>
      <c r="G912" s="377"/>
      <c r="H912" s="377"/>
      <c r="I912" s="377"/>
      <c r="J912" s="377"/>
      <c r="K912" s="377"/>
      <c r="L912" s="377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7"/>
      <c r="Y912" s="377"/>
      <c r="Z912" s="377"/>
    </row>
    <row r="913" ht="19.5" customHeight="1">
      <c r="A913" s="377"/>
      <c r="B913" s="377"/>
      <c r="C913" s="377"/>
      <c r="D913" s="377"/>
      <c r="E913" s="377"/>
      <c r="F913" s="377"/>
      <c r="G913" s="377"/>
      <c r="H913" s="377"/>
      <c r="I913" s="377"/>
      <c r="J913" s="377"/>
      <c r="K913" s="377"/>
      <c r="L913" s="377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7"/>
      <c r="Y913" s="377"/>
      <c r="Z913" s="377"/>
    </row>
    <row r="914" ht="19.5" customHeight="1">
      <c r="A914" s="377"/>
      <c r="B914" s="377"/>
      <c r="C914" s="377"/>
      <c r="D914" s="377"/>
      <c r="E914" s="377"/>
      <c r="F914" s="377"/>
      <c r="G914" s="377"/>
      <c r="H914" s="377"/>
      <c r="I914" s="377"/>
      <c r="J914" s="377"/>
      <c r="K914" s="377"/>
      <c r="L914" s="377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7"/>
      <c r="Y914" s="377"/>
      <c r="Z914" s="377"/>
    </row>
    <row r="915" ht="19.5" customHeight="1">
      <c r="A915" s="377"/>
      <c r="B915" s="377"/>
      <c r="C915" s="377"/>
      <c r="D915" s="377"/>
      <c r="E915" s="377"/>
      <c r="F915" s="377"/>
      <c r="G915" s="377"/>
      <c r="H915" s="377"/>
      <c r="I915" s="377"/>
      <c r="J915" s="377"/>
      <c r="K915" s="377"/>
      <c r="L915" s="377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  <c r="Z915" s="377"/>
    </row>
    <row r="916" ht="19.5" customHeight="1">
      <c r="A916" s="377"/>
      <c r="B916" s="377"/>
      <c r="C916" s="377"/>
      <c r="D916" s="377"/>
      <c r="E916" s="377"/>
      <c r="F916" s="377"/>
      <c r="G916" s="377"/>
      <c r="H916" s="377"/>
      <c r="I916" s="377"/>
      <c r="J916" s="377"/>
      <c r="K916" s="377"/>
      <c r="L916" s="377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7"/>
      <c r="Y916" s="377"/>
      <c r="Z916" s="377"/>
    </row>
    <row r="917" ht="19.5" customHeight="1">
      <c r="A917" s="377"/>
      <c r="B917" s="377"/>
      <c r="C917" s="377"/>
      <c r="D917" s="377"/>
      <c r="E917" s="377"/>
      <c r="F917" s="377"/>
      <c r="G917" s="377"/>
      <c r="H917" s="377"/>
      <c r="I917" s="377"/>
      <c r="J917" s="377"/>
      <c r="K917" s="377"/>
      <c r="L917" s="377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7"/>
      <c r="Y917" s="377"/>
      <c r="Z917" s="377"/>
    </row>
    <row r="918" ht="19.5" customHeight="1">
      <c r="A918" s="377"/>
      <c r="B918" s="377"/>
      <c r="C918" s="377"/>
      <c r="D918" s="377"/>
      <c r="E918" s="377"/>
      <c r="F918" s="377"/>
      <c r="G918" s="377"/>
      <c r="H918" s="377"/>
      <c r="I918" s="377"/>
      <c r="J918" s="377"/>
      <c r="K918" s="377"/>
      <c r="L918" s="377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7"/>
      <c r="Y918" s="377"/>
      <c r="Z918" s="377"/>
    </row>
    <row r="919" ht="19.5" customHeight="1">
      <c r="A919" s="377"/>
      <c r="B919" s="377"/>
      <c r="C919" s="377"/>
      <c r="D919" s="377"/>
      <c r="E919" s="377"/>
      <c r="F919" s="377"/>
      <c r="G919" s="377"/>
      <c r="H919" s="377"/>
      <c r="I919" s="377"/>
      <c r="J919" s="377"/>
      <c r="K919" s="377"/>
      <c r="L919" s="377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  <c r="Z919" s="377"/>
    </row>
    <row r="920" ht="19.5" customHeight="1">
      <c r="A920" s="377"/>
      <c r="B920" s="377"/>
      <c r="C920" s="377"/>
      <c r="D920" s="377"/>
      <c r="E920" s="377"/>
      <c r="F920" s="377"/>
      <c r="G920" s="377"/>
      <c r="H920" s="377"/>
      <c r="I920" s="377"/>
      <c r="J920" s="377"/>
      <c r="K920" s="377"/>
      <c r="L920" s="377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7"/>
      <c r="Y920" s="377"/>
      <c r="Z920" s="377"/>
    </row>
    <row r="921" ht="19.5" customHeight="1">
      <c r="A921" s="377"/>
      <c r="B921" s="377"/>
      <c r="C921" s="377"/>
      <c r="D921" s="377"/>
      <c r="E921" s="377"/>
      <c r="F921" s="377"/>
      <c r="G921" s="377"/>
      <c r="H921" s="377"/>
      <c r="I921" s="377"/>
      <c r="J921" s="377"/>
      <c r="K921" s="377"/>
      <c r="L921" s="377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7"/>
      <c r="Y921" s="377"/>
      <c r="Z921" s="377"/>
    </row>
    <row r="922" ht="19.5" customHeight="1">
      <c r="A922" s="377"/>
      <c r="B922" s="377"/>
      <c r="C922" s="377"/>
      <c r="D922" s="377"/>
      <c r="E922" s="377"/>
      <c r="F922" s="377"/>
      <c r="G922" s="377"/>
      <c r="H922" s="377"/>
      <c r="I922" s="377"/>
      <c r="J922" s="377"/>
      <c r="K922" s="377"/>
      <c r="L922" s="377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7"/>
      <c r="Y922" s="377"/>
      <c r="Z922" s="377"/>
    </row>
    <row r="923" ht="19.5" customHeight="1">
      <c r="A923" s="377"/>
      <c r="B923" s="377"/>
      <c r="C923" s="377"/>
      <c r="D923" s="377"/>
      <c r="E923" s="377"/>
      <c r="F923" s="377"/>
      <c r="G923" s="377"/>
      <c r="H923" s="377"/>
      <c r="I923" s="377"/>
      <c r="J923" s="377"/>
      <c r="K923" s="377"/>
      <c r="L923" s="377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7"/>
      <c r="Y923" s="377"/>
      <c r="Z923" s="377"/>
    </row>
    <row r="924" ht="19.5" customHeight="1">
      <c r="A924" s="377"/>
      <c r="B924" s="377"/>
      <c r="C924" s="377"/>
      <c r="D924" s="377"/>
      <c r="E924" s="377"/>
      <c r="F924" s="377"/>
      <c r="G924" s="377"/>
      <c r="H924" s="377"/>
      <c r="I924" s="377"/>
      <c r="J924" s="377"/>
      <c r="K924" s="377"/>
      <c r="L924" s="377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7"/>
      <c r="Y924" s="377"/>
      <c r="Z924" s="377"/>
    </row>
    <row r="925" ht="19.5" customHeight="1">
      <c r="A925" s="377"/>
      <c r="B925" s="377"/>
      <c r="C925" s="377"/>
      <c r="D925" s="377"/>
      <c r="E925" s="377"/>
      <c r="F925" s="377"/>
      <c r="G925" s="377"/>
      <c r="H925" s="377"/>
      <c r="I925" s="377"/>
      <c r="J925" s="377"/>
      <c r="K925" s="377"/>
      <c r="L925" s="377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7"/>
      <c r="Y925" s="377"/>
      <c r="Z925" s="377"/>
    </row>
    <row r="926" ht="19.5" customHeight="1">
      <c r="A926" s="377"/>
      <c r="B926" s="377"/>
      <c r="C926" s="377"/>
      <c r="D926" s="377"/>
      <c r="E926" s="377"/>
      <c r="F926" s="377"/>
      <c r="G926" s="377"/>
      <c r="H926" s="377"/>
      <c r="I926" s="377"/>
      <c r="J926" s="377"/>
      <c r="K926" s="377"/>
      <c r="L926" s="377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  <c r="Z926" s="377"/>
    </row>
    <row r="927" ht="19.5" customHeight="1">
      <c r="A927" s="377"/>
      <c r="B927" s="377"/>
      <c r="C927" s="377"/>
      <c r="D927" s="377"/>
      <c r="E927" s="377"/>
      <c r="F927" s="377"/>
      <c r="G927" s="377"/>
      <c r="H927" s="377"/>
      <c r="I927" s="377"/>
      <c r="J927" s="377"/>
      <c r="K927" s="377"/>
      <c r="L927" s="377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  <c r="Z927" s="377"/>
    </row>
    <row r="928" ht="19.5" customHeight="1">
      <c r="A928" s="377"/>
      <c r="B928" s="377"/>
      <c r="C928" s="377"/>
      <c r="D928" s="377"/>
      <c r="E928" s="377"/>
      <c r="F928" s="377"/>
      <c r="G928" s="377"/>
      <c r="H928" s="377"/>
      <c r="I928" s="377"/>
      <c r="J928" s="377"/>
      <c r="K928" s="377"/>
      <c r="L928" s="377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  <c r="Z928" s="377"/>
    </row>
    <row r="929" ht="19.5" customHeight="1">
      <c r="A929" s="377"/>
      <c r="B929" s="377"/>
      <c r="C929" s="377"/>
      <c r="D929" s="377"/>
      <c r="E929" s="377"/>
      <c r="F929" s="377"/>
      <c r="G929" s="377"/>
      <c r="H929" s="377"/>
      <c r="I929" s="377"/>
      <c r="J929" s="377"/>
      <c r="K929" s="377"/>
      <c r="L929" s="377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  <c r="Z929" s="377"/>
    </row>
    <row r="930" ht="19.5" customHeight="1">
      <c r="A930" s="377"/>
      <c r="B930" s="377"/>
      <c r="C930" s="377"/>
      <c r="D930" s="377"/>
      <c r="E930" s="377"/>
      <c r="F930" s="377"/>
      <c r="G930" s="377"/>
      <c r="H930" s="377"/>
      <c r="I930" s="377"/>
      <c r="J930" s="377"/>
      <c r="K930" s="377"/>
      <c r="L930" s="377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  <c r="Z930" s="377"/>
    </row>
    <row r="931" ht="19.5" customHeight="1">
      <c r="A931" s="377"/>
      <c r="B931" s="377"/>
      <c r="C931" s="377"/>
      <c r="D931" s="377"/>
      <c r="E931" s="377"/>
      <c r="F931" s="377"/>
      <c r="G931" s="377"/>
      <c r="H931" s="377"/>
      <c r="I931" s="377"/>
      <c r="J931" s="377"/>
      <c r="K931" s="377"/>
      <c r="L931" s="377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7"/>
      <c r="Y931" s="377"/>
      <c r="Z931" s="377"/>
    </row>
    <row r="932" ht="19.5" customHeight="1">
      <c r="A932" s="377"/>
      <c r="B932" s="377"/>
      <c r="C932" s="377"/>
      <c r="D932" s="377"/>
      <c r="E932" s="377"/>
      <c r="F932" s="377"/>
      <c r="G932" s="377"/>
      <c r="H932" s="377"/>
      <c r="I932" s="377"/>
      <c r="J932" s="377"/>
      <c r="K932" s="377"/>
      <c r="L932" s="377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7"/>
      <c r="Y932" s="377"/>
      <c r="Z932" s="377"/>
    </row>
    <row r="933" ht="19.5" customHeight="1">
      <c r="A933" s="377"/>
      <c r="B933" s="377"/>
      <c r="C933" s="377"/>
      <c r="D933" s="377"/>
      <c r="E933" s="377"/>
      <c r="F933" s="377"/>
      <c r="G933" s="377"/>
      <c r="H933" s="377"/>
      <c r="I933" s="377"/>
      <c r="J933" s="377"/>
      <c r="K933" s="377"/>
      <c r="L933" s="377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7"/>
      <c r="Y933" s="377"/>
      <c r="Z933" s="377"/>
    </row>
    <row r="934" ht="19.5" customHeight="1">
      <c r="A934" s="377"/>
      <c r="B934" s="377"/>
      <c r="C934" s="377"/>
      <c r="D934" s="377"/>
      <c r="E934" s="377"/>
      <c r="F934" s="377"/>
      <c r="G934" s="377"/>
      <c r="H934" s="377"/>
      <c r="I934" s="377"/>
      <c r="J934" s="377"/>
      <c r="K934" s="377"/>
      <c r="L934" s="377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7"/>
      <c r="Y934" s="377"/>
      <c r="Z934" s="377"/>
    </row>
    <row r="935" ht="19.5" customHeight="1">
      <c r="A935" s="377"/>
      <c r="B935" s="377"/>
      <c r="C935" s="377"/>
      <c r="D935" s="377"/>
      <c r="E935" s="377"/>
      <c r="F935" s="377"/>
      <c r="G935" s="377"/>
      <c r="H935" s="377"/>
      <c r="I935" s="377"/>
      <c r="J935" s="377"/>
      <c r="K935" s="377"/>
      <c r="L935" s="377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7"/>
      <c r="Y935" s="377"/>
      <c r="Z935" s="377"/>
    </row>
    <row r="936" ht="19.5" customHeight="1">
      <c r="A936" s="377"/>
      <c r="B936" s="377"/>
      <c r="C936" s="377"/>
      <c r="D936" s="377"/>
      <c r="E936" s="377"/>
      <c r="F936" s="377"/>
      <c r="G936" s="377"/>
      <c r="H936" s="377"/>
      <c r="I936" s="377"/>
      <c r="J936" s="377"/>
      <c r="K936" s="377"/>
      <c r="L936" s="377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7"/>
      <c r="Y936" s="377"/>
      <c r="Z936" s="377"/>
    </row>
    <row r="937" ht="19.5" customHeight="1">
      <c r="A937" s="377"/>
      <c r="B937" s="377"/>
      <c r="C937" s="377"/>
      <c r="D937" s="377"/>
      <c r="E937" s="377"/>
      <c r="F937" s="377"/>
      <c r="G937" s="377"/>
      <c r="H937" s="377"/>
      <c r="I937" s="377"/>
      <c r="J937" s="377"/>
      <c r="K937" s="377"/>
      <c r="L937" s="377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7"/>
      <c r="Y937" s="377"/>
      <c r="Z937" s="377"/>
    </row>
    <row r="938" ht="19.5" customHeight="1">
      <c r="A938" s="377"/>
      <c r="B938" s="377"/>
      <c r="C938" s="377"/>
      <c r="D938" s="377"/>
      <c r="E938" s="377"/>
      <c r="F938" s="377"/>
      <c r="G938" s="377"/>
      <c r="H938" s="377"/>
      <c r="I938" s="377"/>
      <c r="J938" s="377"/>
      <c r="K938" s="377"/>
      <c r="L938" s="377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7"/>
      <c r="Y938" s="377"/>
      <c r="Z938" s="377"/>
    </row>
    <row r="939" ht="19.5" customHeight="1">
      <c r="A939" s="377"/>
      <c r="B939" s="377"/>
      <c r="C939" s="377"/>
      <c r="D939" s="377"/>
      <c r="E939" s="377"/>
      <c r="F939" s="377"/>
      <c r="G939" s="377"/>
      <c r="H939" s="377"/>
      <c r="I939" s="377"/>
      <c r="J939" s="377"/>
      <c r="K939" s="377"/>
      <c r="L939" s="377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7"/>
      <c r="Y939" s="377"/>
      <c r="Z939" s="377"/>
    </row>
    <row r="940" ht="19.5" customHeight="1">
      <c r="A940" s="377"/>
      <c r="B940" s="377"/>
      <c r="C940" s="377"/>
      <c r="D940" s="377"/>
      <c r="E940" s="377"/>
      <c r="F940" s="377"/>
      <c r="G940" s="377"/>
      <c r="H940" s="377"/>
      <c r="I940" s="377"/>
      <c r="J940" s="377"/>
      <c r="K940" s="377"/>
      <c r="L940" s="377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7"/>
      <c r="Y940" s="377"/>
      <c r="Z940" s="377"/>
    </row>
    <row r="941" ht="19.5" customHeight="1">
      <c r="A941" s="377"/>
      <c r="B941" s="377"/>
      <c r="C941" s="377"/>
      <c r="D941" s="377"/>
      <c r="E941" s="377"/>
      <c r="F941" s="377"/>
      <c r="G941" s="377"/>
      <c r="H941" s="377"/>
      <c r="I941" s="377"/>
      <c r="J941" s="377"/>
      <c r="K941" s="377"/>
      <c r="L941" s="377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7"/>
      <c r="Y941" s="377"/>
      <c r="Z941" s="377"/>
    </row>
    <row r="942" ht="19.5" customHeight="1">
      <c r="A942" s="377"/>
      <c r="B942" s="377"/>
      <c r="C942" s="377"/>
      <c r="D942" s="377"/>
      <c r="E942" s="377"/>
      <c r="F942" s="377"/>
      <c r="G942" s="377"/>
      <c r="H942" s="377"/>
      <c r="I942" s="377"/>
      <c r="J942" s="377"/>
      <c r="K942" s="377"/>
      <c r="L942" s="377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7"/>
      <c r="Y942" s="377"/>
      <c r="Z942" s="377"/>
    </row>
    <row r="943" ht="19.5" customHeight="1">
      <c r="A943" s="377"/>
      <c r="B943" s="377"/>
      <c r="C943" s="377"/>
      <c r="D943" s="377"/>
      <c r="E943" s="377"/>
      <c r="F943" s="377"/>
      <c r="G943" s="377"/>
      <c r="H943" s="377"/>
      <c r="I943" s="377"/>
      <c r="J943" s="377"/>
      <c r="K943" s="377"/>
      <c r="L943" s="377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7"/>
      <c r="Y943" s="377"/>
      <c r="Z943" s="377"/>
    </row>
    <row r="944" ht="19.5" customHeight="1">
      <c r="A944" s="377"/>
      <c r="B944" s="377"/>
      <c r="C944" s="377"/>
      <c r="D944" s="377"/>
      <c r="E944" s="377"/>
      <c r="F944" s="377"/>
      <c r="G944" s="377"/>
      <c r="H944" s="377"/>
      <c r="I944" s="377"/>
      <c r="J944" s="377"/>
      <c r="K944" s="377"/>
      <c r="L944" s="377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7"/>
      <c r="Y944" s="377"/>
      <c r="Z944" s="377"/>
    </row>
    <row r="945" ht="19.5" customHeight="1">
      <c r="A945" s="377"/>
      <c r="B945" s="377"/>
      <c r="C945" s="377"/>
      <c r="D945" s="377"/>
      <c r="E945" s="377"/>
      <c r="F945" s="377"/>
      <c r="G945" s="377"/>
      <c r="H945" s="377"/>
      <c r="I945" s="377"/>
      <c r="J945" s="377"/>
      <c r="K945" s="377"/>
      <c r="L945" s="377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7"/>
      <c r="Y945" s="377"/>
      <c r="Z945" s="377"/>
    </row>
    <row r="946" ht="19.5" customHeight="1">
      <c r="A946" s="377"/>
      <c r="B946" s="377"/>
      <c r="C946" s="377"/>
      <c r="D946" s="377"/>
      <c r="E946" s="377"/>
      <c r="F946" s="377"/>
      <c r="G946" s="377"/>
      <c r="H946" s="377"/>
      <c r="I946" s="377"/>
      <c r="J946" s="377"/>
      <c r="K946" s="377"/>
      <c r="L946" s="377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7"/>
      <c r="Y946" s="377"/>
      <c r="Z946" s="377"/>
    </row>
    <row r="947" ht="19.5" customHeight="1">
      <c r="A947" s="377"/>
      <c r="B947" s="377"/>
      <c r="C947" s="377"/>
      <c r="D947" s="377"/>
      <c r="E947" s="377"/>
      <c r="F947" s="377"/>
      <c r="G947" s="377"/>
      <c r="H947" s="377"/>
      <c r="I947" s="377"/>
      <c r="J947" s="377"/>
      <c r="K947" s="377"/>
      <c r="L947" s="377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7"/>
      <c r="Y947" s="377"/>
      <c r="Z947" s="377"/>
    </row>
    <row r="948" ht="19.5" customHeight="1">
      <c r="A948" s="377"/>
      <c r="B948" s="377"/>
      <c r="C948" s="377"/>
      <c r="D948" s="377"/>
      <c r="E948" s="377"/>
      <c r="F948" s="377"/>
      <c r="G948" s="377"/>
      <c r="H948" s="377"/>
      <c r="I948" s="377"/>
      <c r="J948" s="377"/>
      <c r="K948" s="377"/>
      <c r="L948" s="377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7"/>
      <c r="Y948" s="377"/>
      <c r="Z948" s="377"/>
    </row>
    <row r="949" ht="19.5" customHeight="1">
      <c r="A949" s="377"/>
      <c r="B949" s="377"/>
      <c r="C949" s="377"/>
      <c r="D949" s="377"/>
      <c r="E949" s="377"/>
      <c r="F949" s="377"/>
      <c r="G949" s="377"/>
      <c r="H949" s="377"/>
      <c r="I949" s="377"/>
      <c r="J949" s="377"/>
      <c r="K949" s="377"/>
      <c r="L949" s="377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7"/>
      <c r="Y949" s="377"/>
      <c r="Z949" s="377"/>
    </row>
    <row r="950" ht="19.5" customHeight="1">
      <c r="A950" s="377"/>
      <c r="B950" s="377"/>
      <c r="C950" s="377"/>
      <c r="D950" s="377"/>
      <c r="E950" s="377"/>
      <c r="F950" s="377"/>
      <c r="G950" s="377"/>
      <c r="H950" s="377"/>
      <c r="I950" s="377"/>
      <c r="J950" s="377"/>
      <c r="K950" s="377"/>
      <c r="L950" s="377"/>
      <c r="M950" s="377"/>
      <c r="N950" s="377"/>
      <c r="O950" s="377"/>
      <c r="P950" s="377"/>
      <c r="Q950" s="377"/>
      <c r="R950" s="377"/>
      <c r="S950" s="377"/>
      <c r="T950" s="377"/>
      <c r="U950" s="377"/>
      <c r="V950" s="377"/>
      <c r="W950" s="377"/>
      <c r="X950" s="377"/>
      <c r="Y950" s="377"/>
      <c r="Z950" s="377"/>
    </row>
    <row r="951" ht="19.5" customHeight="1">
      <c r="A951" s="377"/>
      <c r="B951" s="377"/>
      <c r="C951" s="377"/>
      <c r="D951" s="377"/>
      <c r="E951" s="377"/>
      <c r="F951" s="377"/>
      <c r="G951" s="377"/>
      <c r="H951" s="377"/>
      <c r="I951" s="377"/>
      <c r="J951" s="377"/>
      <c r="K951" s="377"/>
      <c r="L951" s="377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7"/>
      <c r="Y951" s="377"/>
      <c r="Z951" s="377"/>
    </row>
    <row r="952" ht="19.5" customHeight="1">
      <c r="A952" s="377"/>
      <c r="B952" s="377"/>
      <c r="C952" s="377"/>
      <c r="D952" s="377"/>
      <c r="E952" s="377"/>
      <c r="F952" s="377"/>
      <c r="G952" s="377"/>
      <c r="H952" s="377"/>
      <c r="I952" s="377"/>
      <c r="J952" s="377"/>
      <c r="K952" s="377"/>
      <c r="L952" s="377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7"/>
      <c r="Y952" s="377"/>
      <c r="Z952" s="377"/>
    </row>
    <row r="953" ht="19.5" customHeight="1">
      <c r="A953" s="377"/>
      <c r="B953" s="377"/>
      <c r="C953" s="377"/>
      <c r="D953" s="377"/>
      <c r="E953" s="377"/>
      <c r="F953" s="377"/>
      <c r="G953" s="377"/>
      <c r="H953" s="377"/>
      <c r="I953" s="377"/>
      <c r="J953" s="377"/>
      <c r="K953" s="377"/>
      <c r="L953" s="377"/>
      <c r="M953" s="377"/>
      <c r="N953" s="377"/>
      <c r="O953" s="377"/>
      <c r="P953" s="377"/>
      <c r="Q953" s="377"/>
      <c r="R953" s="377"/>
      <c r="S953" s="377"/>
      <c r="T953" s="377"/>
      <c r="U953" s="377"/>
      <c r="V953" s="377"/>
      <c r="W953" s="377"/>
      <c r="X953" s="377"/>
      <c r="Y953" s="377"/>
      <c r="Z953" s="377"/>
    </row>
    <row r="954" ht="19.5" customHeight="1">
      <c r="A954" s="377"/>
      <c r="B954" s="377"/>
      <c r="C954" s="377"/>
      <c r="D954" s="377"/>
      <c r="E954" s="377"/>
      <c r="F954" s="377"/>
      <c r="G954" s="377"/>
      <c r="H954" s="377"/>
      <c r="I954" s="377"/>
      <c r="J954" s="377"/>
      <c r="K954" s="377"/>
      <c r="L954" s="377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7"/>
      <c r="Y954" s="377"/>
      <c r="Z954" s="377"/>
    </row>
    <row r="955" ht="19.5" customHeight="1">
      <c r="A955" s="377"/>
      <c r="B955" s="377"/>
      <c r="C955" s="377"/>
      <c r="D955" s="377"/>
      <c r="E955" s="377"/>
      <c r="F955" s="377"/>
      <c r="G955" s="377"/>
      <c r="H955" s="377"/>
      <c r="I955" s="377"/>
      <c r="J955" s="377"/>
      <c r="K955" s="377"/>
      <c r="L955" s="377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7"/>
      <c r="Y955" s="377"/>
      <c r="Z955" s="377"/>
    </row>
    <row r="956" ht="19.5" customHeight="1">
      <c r="A956" s="377"/>
      <c r="B956" s="377"/>
      <c r="C956" s="377"/>
      <c r="D956" s="377"/>
      <c r="E956" s="377"/>
      <c r="F956" s="377"/>
      <c r="G956" s="377"/>
      <c r="H956" s="377"/>
      <c r="I956" s="377"/>
      <c r="J956" s="377"/>
      <c r="K956" s="377"/>
      <c r="L956" s="377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7"/>
      <c r="Y956" s="377"/>
      <c r="Z956" s="377"/>
    </row>
    <row r="957" ht="19.5" customHeight="1">
      <c r="A957" s="377"/>
      <c r="B957" s="377"/>
      <c r="C957" s="377"/>
      <c r="D957" s="377"/>
      <c r="E957" s="377"/>
      <c r="F957" s="377"/>
      <c r="G957" s="377"/>
      <c r="H957" s="377"/>
      <c r="I957" s="377"/>
      <c r="J957" s="377"/>
      <c r="K957" s="377"/>
      <c r="L957" s="377"/>
      <c r="M957" s="377"/>
      <c r="N957" s="377"/>
      <c r="O957" s="377"/>
      <c r="P957" s="377"/>
      <c r="Q957" s="377"/>
      <c r="R957" s="377"/>
      <c r="S957" s="377"/>
      <c r="T957" s="377"/>
      <c r="U957" s="377"/>
      <c r="V957" s="377"/>
      <c r="W957" s="377"/>
      <c r="X957" s="377"/>
      <c r="Y957" s="377"/>
      <c r="Z957" s="377"/>
    </row>
    <row r="958" ht="19.5" customHeight="1">
      <c r="A958" s="377"/>
      <c r="B958" s="377"/>
      <c r="C958" s="377"/>
      <c r="D958" s="377"/>
      <c r="E958" s="377"/>
      <c r="F958" s="377"/>
      <c r="G958" s="377"/>
      <c r="H958" s="377"/>
      <c r="I958" s="377"/>
      <c r="J958" s="377"/>
      <c r="K958" s="377"/>
      <c r="L958" s="377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7"/>
      <c r="Y958" s="377"/>
      <c r="Z958" s="377"/>
    </row>
    <row r="959" ht="19.5" customHeight="1">
      <c r="A959" s="377"/>
      <c r="B959" s="377"/>
      <c r="C959" s="377"/>
      <c r="D959" s="377"/>
      <c r="E959" s="377"/>
      <c r="F959" s="377"/>
      <c r="G959" s="377"/>
      <c r="H959" s="377"/>
      <c r="I959" s="377"/>
      <c r="J959" s="377"/>
      <c r="K959" s="377"/>
      <c r="L959" s="377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7"/>
      <c r="Y959" s="377"/>
      <c r="Z959" s="377"/>
    </row>
    <row r="960" ht="19.5" customHeight="1">
      <c r="A960" s="377"/>
      <c r="B960" s="377"/>
      <c r="C960" s="377"/>
      <c r="D960" s="377"/>
      <c r="E960" s="377"/>
      <c r="F960" s="377"/>
      <c r="G960" s="377"/>
      <c r="H960" s="377"/>
      <c r="I960" s="377"/>
      <c r="J960" s="377"/>
      <c r="K960" s="377"/>
      <c r="L960" s="377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7"/>
      <c r="Y960" s="377"/>
      <c r="Z960" s="377"/>
    </row>
    <row r="961" ht="19.5" customHeight="1">
      <c r="A961" s="377"/>
      <c r="B961" s="377"/>
      <c r="C961" s="377"/>
      <c r="D961" s="377"/>
      <c r="E961" s="377"/>
      <c r="F961" s="377"/>
      <c r="G961" s="377"/>
      <c r="H961" s="377"/>
      <c r="I961" s="377"/>
      <c r="J961" s="377"/>
      <c r="K961" s="377"/>
      <c r="L961" s="377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  <c r="Z961" s="377"/>
    </row>
    <row r="962" ht="19.5" customHeight="1">
      <c r="A962" s="377"/>
      <c r="B962" s="377"/>
      <c r="C962" s="377"/>
      <c r="D962" s="377"/>
      <c r="E962" s="377"/>
      <c r="F962" s="377"/>
      <c r="G962" s="377"/>
      <c r="H962" s="377"/>
      <c r="I962" s="377"/>
      <c r="J962" s="377"/>
      <c r="K962" s="377"/>
      <c r="L962" s="377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  <c r="Z962" s="377"/>
    </row>
    <row r="963" ht="19.5" customHeight="1">
      <c r="A963" s="377"/>
      <c r="B963" s="377"/>
      <c r="C963" s="377"/>
      <c r="D963" s="377"/>
      <c r="E963" s="377"/>
      <c r="F963" s="377"/>
      <c r="G963" s="377"/>
      <c r="H963" s="377"/>
      <c r="I963" s="377"/>
      <c r="J963" s="377"/>
      <c r="K963" s="377"/>
      <c r="L963" s="377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  <c r="Z963" s="377"/>
    </row>
    <row r="964" ht="19.5" customHeight="1">
      <c r="A964" s="377"/>
      <c r="B964" s="377"/>
      <c r="C964" s="377"/>
      <c r="D964" s="377"/>
      <c r="E964" s="377"/>
      <c r="F964" s="377"/>
      <c r="G964" s="377"/>
      <c r="H964" s="377"/>
      <c r="I964" s="377"/>
      <c r="J964" s="377"/>
      <c r="K964" s="377"/>
      <c r="L964" s="377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  <c r="Z964" s="377"/>
    </row>
    <row r="965" ht="19.5" customHeight="1">
      <c r="A965" s="377"/>
      <c r="B965" s="377"/>
      <c r="C965" s="377"/>
      <c r="D965" s="377"/>
      <c r="E965" s="377"/>
      <c r="F965" s="377"/>
      <c r="G965" s="377"/>
      <c r="H965" s="377"/>
      <c r="I965" s="377"/>
      <c r="J965" s="377"/>
      <c r="K965" s="377"/>
      <c r="L965" s="377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  <c r="Z965" s="377"/>
    </row>
    <row r="966" ht="19.5" customHeight="1">
      <c r="A966" s="377"/>
      <c r="B966" s="377"/>
      <c r="C966" s="377"/>
      <c r="D966" s="377"/>
      <c r="E966" s="377"/>
      <c r="F966" s="377"/>
      <c r="G966" s="377"/>
      <c r="H966" s="377"/>
      <c r="I966" s="377"/>
      <c r="J966" s="377"/>
      <c r="K966" s="377"/>
      <c r="L966" s="377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7"/>
      <c r="Y966" s="377"/>
      <c r="Z966" s="377"/>
    </row>
    <row r="967" ht="19.5" customHeight="1">
      <c r="A967" s="377"/>
      <c r="B967" s="377"/>
      <c r="C967" s="377"/>
      <c r="D967" s="377"/>
      <c r="E967" s="377"/>
      <c r="F967" s="377"/>
      <c r="G967" s="377"/>
      <c r="H967" s="377"/>
      <c r="I967" s="377"/>
      <c r="J967" s="377"/>
      <c r="K967" s="377"/>
      <c r="L967" s="377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7"/>
      <c r="Y967" s="377"/>
      <c r="Z967" s="377"/>
    </row>
    <row r="968" ht="19.5" customHeight="1">
      <c r="A968" s="377"/>
      <c r="B968" s="377"/>
      <c r="C968" s="377"/>
      <c r="D968" s="377"/>
      <c r="E968" s="377"/>
      <c r="F968" s="377"/>
      <c r="G968" s="377"/>
      <c r="H968" s="377"/>
      <c r="I968" s="377"/>
      <c r="J968" s="377"/>
      <c r="K968" s="377"/>
      <c r="L968" s="377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7"/>
      <c r="Y968" s="377"/>
      <c r="Z968" s="377"/>
    </row>
    <row r="969" ht="19.5" customHeight="1">
      <c r="A969" s="377"/>
      <c r="B969" s="377"/>
      <c r="C969" s="377"/>
      <c r="D969" s="377"/>
      <c r="E969" s="377"/>
      <c r="F969" s="377"/>
      <c r="G969" s="377"/>
      <c r="H969" s="377"/>
      <c r="I969" s="377"/>
      <c r="J969" s="377"/>
      <c r="K969" s="377"/>
      <c r="L969" s="377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7"/>
      <c r="Y969" s="377"/>
      <c r="Z969" s="377"/>
    </row>
    <row r="970" ht="19.5" customHeight="1">
      <c r="A970" s="377"/>
      <c r="B970" s="377"/>
      <c r="C970" s="377"/>
      <c r="D970" s="377"/>
      <c r="E970" s="377"/>
      <c r="F970" s="377"/>
      <c r="G970" s="377"/>
      <c r="H970" s="377"/>
      <c r="I970" s="377"/>
      <c r="J970" s="377"/>
      <c r="K970" s="377"/>
      <c r="L970" s="377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7"/>
      <c r="Y970" s="377"/>
      <c r="Z970" s="377"/>
    </row>
    <row r="971" ht="19.5" customHeight="1">
      <c r="A971" s="377"/>
      <c r="B971" s="377"/>
      <c r="C971" s="377"/>
      <c r="D971" s="377"/>
      <c r="E971" s="377"/>
      <c r="F971" s="377"/>
      <c r="G971" s="377"/>
      <c r="H971" s="377"/>
      <c r="I971" s="377"/>
      <c r="J971" s="377"/>
      <c r="K971" s="377"/>
      <c r="L971" s="377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7"/>
      <c r="Y971" s="377"/>
      <c r="Z971" s="377"/>
    </row>
    <row r="972" ht="19.5" customHeight="1">
      <c r="A972" s="377"/>
      <c r="B972" s="377"/>
      <c r="C972" s="377"/>
      <c r="D972" s="377"/>
      <c r="E972" s="377"/>
      <c r="F972" s="377"/>
      <c r="G972" s="377"/>
      <c r="H972" s="377"/>
      <c r="I972" s="377"/>
      <c r="J972" s="377"/>
      <c r="K972" s="377"/>
      <c r="L972" s="377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7"/>
      <c r="Y972" s="377"/>
      <c r="Z972" s="377"/>
    </row>
    <row r="973" ht="19.5" customHeight="1">
      <c r="A973" s="377"/>
      <c r="B973" s="377"/>
      <c r="C973" s="377"/>
      <c r="D973" s="377"/>
      <c r="E973" s="377"/>
      <c r="F973" s="377"/>
      <c r="G973" s="377"/>
      <c r="H973" s="377"/>
      <c r="I973" s="377"/>
      <c r="J973" s="377"/>
      <c r="K973" s="377"/>
      <c r="L973" s="377"/>
      <c r="M973" s="377"/>
      <c r="N973" s="377"/>
      <c r="O973" s="377"/>
      <c r="P973" s="377"/>
      <c r="Q973" s="377"/>
      <c r="R973" s="377"/>
      <c r="S973" s="377"/>
      <c r="T973" s="377"/>
      <c r="U973" s="377"/>
      <c r="V973" s="377"/>
      <c r="W973" s="377"/>
      <c r="X973" s="377"/>
      <c r="Y973" s="377"/>
      <c r="Z973" s="377"/>
    </row>
    <row r="974" ht="19.5" customHeight="1">
      <c r="A974" s="377"/>
      <c r="B974" s="377"/>
      <c r="C974" s="377"/>
      <c r="D974" s="377"/>
      <c r="E974" s="377"/>
      <c r="F974" s="377"/>
      <c r="G974" s="377"/>
      <c r="H974" s="377"/>
      <c r="I974" s="377"/>
      <c r="J974" s="377"/>
      <c r="K974" s="377"/>
      <c r="L974" s="377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7"/>
      <c r="Y974" s="377"/>
      <c r="Z974" s="377"/>
    </row>
    <row r="975" ht="19.5" customHeight="1">
      <c r="A975" s="377"/>
      <c r="B975" s="377"/>
      <c r="C975" s="377"/>
      <c r="D975" s="377"/>
      <c r="E975" s="377"/>
      <c r="F975" s="377"/>
      <c r="G975" s="377"/>
      <c r="H975" s="377"/>
      <c r="I975" s="377"/>
      <c r="J975" s="377"/>
      <c r="K975" s="377"/>
      <c r="L975" s="377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7"/>
      <c r="Y975" s="377"/>
      <c r="Z975" s="377"/>
    </row>
    <row r="976" ht="19.5" customHeight="1">
      <c r="A976" s="377"/>
      <c r="B976" s="377"/>
      <c r="C976" s="377"/>
      <c r="D976" s="377"/>
      <c r="E976" s="377"/>
      <c r="F976" s="377"/>
      <c r="G976" s="377"/>
      <c r="H976" s="377"/>
      <c r="I976" s="377"/>
      <c r="J976" s="377"/>
      <c r="K976" s="377"/>
      <c r="L976" s="377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7"/>
      <c r="Y976" s="377"/>
      <c r="Z976" s="377"/>
    </row>
    <row r="977" ht="19.5" customHeight="1">
      <c r="A977" s="377"/>
      <c r="B977" s="377"/>
      <c r="C977" s="377"/>
      <c r="D977" s="377"/>
      <c r="E977" s="377"/>
      <c r="F977" s="377"/>
      <c r="G977" s="377"/>
      <c r="H977" s="377"/>
      <c r="I977" s="377"/>
      <c r="J977" s="377"/>
      <c r="K977" s="377"/>
      <c r="L977" s="377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7"/>
      <c r="Y977" s="377"/>
      <c r="Z977" s="377"/>
    </row>
    <row r="978" ht="19.5" customHeight="1">
      <c r="A978" s="377"/>
      <c r="B978" s="377"/>
      <c r="C978" s="377"/>
      <c r="D978" s="377"/>
      <c r="E978" s="377"/>
      <c r="F978" s="377"/>
      <c r="G978" s="377"/>
      <c r="H978" s="377"/>
      <c r="I978" s="377"/>
      <c r="J978" s="377"/>
      <c r="K978" s="377"/>
      <c r="L978" s="377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7"/>
      <c r="Y978" s="377"/>
      <c r="Z978" s="377"/>
    </row>
    <row r="979" ht="19.5" customHeight="1">
      <c r="A979" s="377"/>
      <c r="B979" s="377"/>
      <c r="C979" s="377"/>
      <c r="D979" s="377"/>
      <c r="E979" s="377"/>
      <c r="F979" s="377"/>
      <c r="G979" s="377"/>
      <c r="H979" s="377"/>
      <c r="I979" s="377"/>
      <c r="J979" s="377"/>
      <c r="K979" s="377"/>
      <c r="L979" s="377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7"/>
      <c r="Y979" s="377"/>
      <c r="Z979" s="377"/>
    </row>
    <row r="980" ht="19.5" customHeight="1">
      <c r="A980" s="377"/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77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7"/>
      <c r="Y980" s="377"/>
      <c r="Z980" s="377"/>
    </row>
    <row r="981" ht="19.5" customHeight="1">
      <c r="A981" s="377"/>
      <c r="B981" s="377"/>
      <c r="C981" s="377"/>
      <c r="D981" s="377"/>
      <c r="E981" s="377"/>
      <c r="F981" s="377"/>
      <c r="G981" s="377"/>
      <c r="H981" s="377"/>
      <c r="I981" s="377"/>
      <c r="J981" s="377"/>
      <c r="K981" s="377"/>
      <c r="L981" s="377"/>
      <c r="M981" s="377"/>
      <c r="N981" s="377"/>
      <c r="O981" s="377"/>
      <c r="P981" s="377"/>
      <c r="Q981" s="377"/>
      <c r="R981" s="377"/>
      <c r="S981" s="377"/>
      <c r="T981" s="377"/>
      <c r="U981" s="377"/>
      <c r="V981" s="377"/>
      <c r="W981" s="377"/>
      <c r="X981" s="377"/>
      <c r="Y981" s="377"/>
      <c r="Z981" s="377"/>
    </row>
    <row r="982" ht="19.5" customHeight="1">
      <c r="A982" s="377"/>
      <c r="B982" s="377"/>
      <c r="C982" s="377"/>
      <c r="D982" s="377"/>
      <c r="E982" s="377"/>
      <c r="F982" s="377"/>
      <c r="G982" s="377"/>
      <c r="H982" s="377"/>
      <c r="I982" s="377"/>
      <c r="J982" s="377"/>
      <c r="K982" s="377"/>
      <c r="L982" s="377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7"/>
      <c r="Y982" s="377"/>
      <c r="Z982" s="377"/>
    </row>
    <row r="983" ht="19.5" customHeight="1">
      <c r="A983" s="377"/>
      <c r="B983" s="377"/>
      <c r="C983" s="377"/>
      <c r="D983" s="377"/>
      <c r="E983" s="377"/>
      <c r="F983" s="377"/>
      <c r="G983" s="377"/>
      <c r="H983" s="377"/>
      <c r="I983" s="377"/>
      <c r="J983" s="377"/>
      <c r="K983" s="377"/>
      <c r="L983" s="377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7"/>
      <c r="Y983" s="377"/>
      <c r="Z983" s="377"/>
    </row>
    <row r="984" ht="19.5" customHeight="1">
      <c r="A984" s="377"/>
      <c r="B984" s="377"/>
      <c r="C984" s="377"/>
      <c r="D984" s="377"/>
      <c r="E984" s="377"/>
      <c r="F984" s="377"/>
      <c r="G984" s="377"/>
      <c r="H984" s="377"/>
      <c r="I984" s="377"/>
      <c r="J984" s="377"/>
      <c r="K984" s="377"/>
      <c r="L984" s="377"/>
      <c r="M984" s="377"/>
      <c r="N984" s="377"/>
      <c r="O984" s="377"/>
      <c r="P984" s="377"/>
      <c r="Q984" s="377"/>
      <c r="R984" s="377"/>
      <c r="S984" s="377"/>
      <c r="T984" s="377"/>
      <c r="U984" s="377"/>
      <c r="V984" s="377"/>
      <c r="W984" s="377"/>
      <c r="X984" s="377"/>
      <c r="Y984" s="377"/>
      <c r="Z984" s="377"/>
    </row>
    <row r="985" ht="19.5" customHeight="1">
      <c r="A985" s="377"/>
      <c r="B985" s="377"/>
      <c r="C985" s="377"/>
      <c r="D985" s="377"/>
      <c r="E985" s="377"/>
      <c r="F985" s="377"/>
      <c r="G985" s="377"/>
      <c r="H985" s="377"/>
      <c r="I985" s="377"/>
      <c r="J985" s="377"/>
      <c r="K985" s="377"/>
      <c r="L985" s="377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7"/>
      <c r="Y985" s="377"/>
      <c r="Z985" s="377"/>
    </row>
    <row r="986" ht="19.5" customHeight="1">
      <c r="A986" s="377"/>
      <c r="B986" s="377"/>
      <c r="C986" s="377"/>
      <c r="D986" s="377"/>
      <c r="E986" s="377"/>
      <c r="F986" s="377"/>
      <c r="G986" s="377"/>
      <c r="H986" s="377"/>
      <c r="I986" s="377"/>
      <c r="J986" s="377"/>
      <c r="K986" s="377"/>
      <c r="L986" s="377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7"/>
      <c r="Y986" s="377"/>
      <c r="Z986" s="377"/>
    </row>
    <row r="987" ht="19.5" customHeight="1">
      <c r="A987" s="377"/>
      <c r="B987" s="377"/>
      <c r="C987" s="377"/>
      <c r="D987" s="377"/>
      <c r="E987" s="377"/>
      <c r="F987" s="377"/>
      <c r="G987" s="377"/>
      <c r="H987" s="377"/>
      <c r="I987" s="377"/>
      <c r="J987" s="377"/>
      <c r="K987" s="377"/>
      <c r="L987" s="377"/>
      <c r="M987" s="377"/>
      <c r="N987" s="377"/>
      <c r="O987" s="377"/>
      <c r="P987" s="377"/>
      <c r="Q987" s="377"/>
      <c r="R987" s="377"/>
      <c r="S987" s="377"/>
      <c r="T987" s="377"/>
      <c r="U987" s="377"/>
      <c r="V987" s="377"/>
      <c r="W987" s="377"/>
      <c r="X987" s="377"/>
      <c r="Y987" s="377"/>
      <c r="Z987" s="377"/>
    </row>
    <row r="988" ht="19.5" customHeight="1">
      <c r="A988" s="377"/>
      <c r="B988" s="377"/>
      <c r="C988" s="377"/>
      <c r="D988" s="377"/>
      <c r="E988" s="377"/>
      <c r="F988" s="377"/>
      <c r="G988" s="377"/>
      <c r="H988" s="377"/>
      <c r="I988" s="377"/>
      <c r="J988" s="377"/>
      <c r="K988" s="377"/>
      <c r="L988" s="377"/>
      <c r="M988" s="377"/>
      <c r="N988" s="377"/>
      <c r="O988" s="377"/>
      <c r="P988" s="377"/>
      <c r="Q988" s="377"/>
      <c r="R988" s="377"/>
      <c r="S988" s="377"/>
      <c r="T988" s="377"/>
      <c r="U988" s="377"/>
      <c r="V988" s="377"/>
      <c r="W988" s="377"/>
      <c r="X988" s="377"/>
      <c r="Y988" s="377"/>
      <c r="Z988" s="377"/>
    </row>
    <row r="989" ht="19.5" customHeight="1">
      <c r="A989" s="377"/>
      <c r="B989" s="377"/>
      <c r="C989" s="377"/>
      <c r="D989" s="377"/>
      <c r="E989" s="377"/>
      <c r="F989" s="377"/>
      <c r="G989" s="377"/>
      <c r="H989" s="377"/>
      <c r="I989" s="377"/>
      <c r="J989" s="377"/>
      <c r="K989" s="377"/>
      <c r="L989" s="377"/>
      <c r="M989" s="377"/>
      <c r="N989" s="377"/>
      <c r="O989" s="377"/>
      <c r="P989" s="377"/>
      <c r="Q989" s="377"/>
      <c r="R989" s="377"/>
      <c r="S989" s="377"/>
      <c r="T989" s="377"/>
      <c r="U989" s="377"/>
      <c r="V989" s="377"/>
      <c r="W989" s="377"/>
      <c r="X989" s="377"/>
      <c r="Y989" s="377"/>
      <c r="Z989" s="377"/>
    </row>
    <row r="990" ht="19.5" customHeight="1">
      <c r="A990" s="377"/>
      <c r="B990" s="377"/>
      <c r="C990" s="377"/>
      <c r="D990" s="377"/>
      <c r="E990" s="377"/>
      <c r="F990" s="377"/>
      <c r="G990" s="377"/>
      <c r="H990" s="377"/>
      <c r="I990" s="377"/>
      <c r="J990" s="377"/>
      <c r="K990" s="377"/>
      <c r="L990" s="377"/>
      <c r="M990" s="377"/>
      <c r="N990" s="377"/>
      <c r="O990" s="377"/>
      <c r="P990" s="377"/>
      <c r="Q990" s="377"/>
      <c r="R990" s="377"/>
      <c r="S990" s="377"/>
      <c r="T990" s="377"/>
      <c r="U990" s="377"/>
      <c r="V990" s="377"/>
      <c r="W990" s="377"/>
      <c r="X990" s="377"/>
      <c r="Y990" s="377"/>
      <c r="Z990" s="377"/>
    </row>
    <row r="991" ht="19.5" customHeight="1">
      <c r="A991" s="377"/>
      <c r="B991" s="377"/>
      <c r="C991" s="377"/>
      <c r="D991" s="377"/>
      <c r="E991" s="377"/>
      <c r="F991" s="377"/>
      <c r="G991" s="377"/>
      <c r="H991" s="377"/>
      <c r="I991" s="377"/>
      <c r="J991" s="377"/>
      <c r="K991" s="377"/>
      <c r="L991" s="377"/>
      <c r="M991" s="377"/>
      <c r="N991" s="377"/>
      <c r="O991" s="377"/>
      <c r="P991" s="377"/>
      <c r="Q991" s="377"/>
      <c r="R991" s="377"/>
      <c r="S991" s="377"/>
      <c r="T991" s="377"/>
      <c r="U991" s="377"/>
      <c r="V991" s="377"/>
      <c r="W991" s="377"/>
      <c r="X991" s="377"/>
      <c r="Y991" s="377"/>
      <c r="Z991" s="377"/>
    </row>
    <row r="992" ht="19.5" customHeight="1">
      <c r="A992" s="377"/>
      <c r="B992" s="377"/>
      <c r="C992" s="377"/>
      <c r="D992" s="377"/>
      <c r="E992" s="377"/>
      <c r="F992" s="377"/>
      <c r="G992" s="377"/>
      <c r="H992" s="377"/>
      <c r="I992" s="377"/>
      <c r="J992" s="377"/>
      <c r="K992" s="377"/>
      <c r="L992" s="377"/>
      <c r="M992" s="377"/>
      <c r="N992" s="377"/>
      <c r="O992" s="377"/>
      <c r="P992" s="377"/>
      <c r="Q992" s="377"/>
      <c r="R992" s="377"/>
      <c r="S992" s="377"/>
      <c r="T992" s="377"/>
      <c r="U992" s="377"/>
      <c r="V992" s="377"/>
      <c r="W992" s="377"/>
      <c r="X992" s="377"/>
      <c r="Y992" s="377"/>
      <c r="Z992" s="377"/>
    </row>
    <row r="993" ht="19.5" customHeight="1">
      <c r="A993" s="377"/>
      <c r="B993" s="377"/>
      <c r="C993" s="377"/>
      <c r="D993" s="377"/>
      <c r="E993" s="377"/>
      <c r="F993" s="377"/>
      <c r="G993" s="377"/>
      <c r="H993" s="377"/>
      <c r="I993" s="377"/>
      <c r="J993" s="377"/>
      <c r="K993" s="377"/>
      <c r="L993" s="377"/>
      <c r="M993" s="377"/>
      <c r="N993" s="377"/>
      <c r="O993" s="377"/>
      <c r="P993" s="377"/>
      <c r="Q993" s="377"/>
      <c r="R993" s="377"/>
      <c r="S993" s="377"/>
      <c r="T993" s="377"/>
      <c r="U993" s="377"/>
      <c r="V993" s="377"/>
      <c r="W993" s="377"/>
      <c r="X993" s="377"/>
      <c r="Y993" s="377"/>
      <c r="Z993" s="377"/>
    </row>
    <row r="994" ht="19.5" customHeight="1">
      <c r="A994" s="377"/>
      <c r="B994" s="377"/>
      <c r="C994" s="377"/>
      <c r="D994" s="377"/>
      <c r="E994" s="377"/>
      <c r="F994" s="377"/>
      <c r="G994" s="377"/>
      <c r="H994" s="377"/>
      <c r="I994" s="377"/>
      <c r="J994" s="377"/>
      <c r="K994" s="377"/>
      <c r="L994" s="377"/>
      <c r="M994" s="377"/>
      <c r="N994" s="377"/>
      <c r="O994" s="377"/>
      <c r="P994" s="377"/>
      <c r="Q994" s="377"/>
      <c r="R994" s="377"/>
      <c r="S994" s="377"/>
      <c r="T994" s="377"/>
      <c r="U994" s="377"/>
      <c r="V994" s="377"/>
      <c r="W994" s="377"/>
      <c r="X994" s="377"/>
      <c r="Y994" s="377"/>
      <c r="Z994" s="377"/>
    </row>
    <row r="995" ht="19.5" customHeight="1">
      <c r="A995" s="377"/>
      <c r="B995" s="377"/>
      <c r="C995" s="377"/>
      <c r="D995" s="377"/>
      <c r="E995" s="377"/>
      <c r="F995" s="377"/>
      <c r="G995" s="377"/>
      <c r="H995" s="377"/>
      <c r="I995" s="377"/>
      <c r="J995" s="377"/>
      <c r="K995" s="377"/>
      <c r="L995" s="377"/>
      <c r="M995" s="377"/>
      <c r="N995" s="377"/>
      <c r="O995" s="377"/>
      <c r="P995" s="377"/>
      <c r="Q995" s="377"/>
      <c r="R995" s="377"/>
      <c r="S995" s="377"/>
      <c r="T995" s="377"/>
      <c r="U995" s="377"/>
      <c r="V995" s="377"/>
      <c r="W995" s="377"/>
      <c r="X995" s="377"/>
      <c r="Y995" s="377"/>
      <c r="Z995" s="377"/>
    </row>
    <row r="996" ht="19.5" customHeight="1">
      <c r="A996" s="377"/>
      <c r="B996" s="377"/>
      <c r="C996" s="377"/>
      <c r="D996" s="377"/>
      <c r="E996" s="377"/>
      <c r="F996" s="377"/>
      <c r="G996" s="377"/>
      <c r="H996" s="377"/>
      <c r="I996" s="377"/>
      <c r="J996" s="377"/>
      <c r="K996" s="377"/>
      <c r="L996" s="377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  <c r="Z996" s="377"/>
    </row>
    <row r="997" ht="19.5" customHeight="1">
      <c r="A997" s="377"/>
      <c r="B997" s="377"/>
      <c r="C997" s="377"/>
      <c r="D997" s="377"/>
      <c r="E997" s="377"/>
      <c r="F997" s="377"/>
      <c r="G997" s="377"/>
      <c r="H997" s="377"/>
      <c r="I997" s="377"/>
      <c r="J997" s="377"/>
      <c r="K997" s="377"/>
      <c r="L997" s="377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  <c r="Z997" s="377"/>
    </row>
    <row r="998" ht="19.5" customHeight="1">
      <c r="A998" s="377"/>
      <c r="B998" s="377"/>
      <c r="C998" s="377"/>
      <c r="D998" s="377"/>
      <c r="E998" s="377"/>
      <c r="F998" s="377"/>
      <c r="G998" s="377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  <c r="Z998" s="377"/>
    </row>
    <row r="999" ht="19.5" customHeight="1">
      <c r="A999" s="377"/>
      <c r="B999" s="377"/>
      <c r="C999" s="377"/>
      <c r="D999" s="377"/>
      <c r="E999" s="377"/>
      <c r="F999" s="377"/>
      <c r="G999" s="377"/>
      <c r="H999" s="377"/>
      <c r="I999" s="377"/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  <c r="Z999" s="377"/>
    </row>
    <row r="1000" ht="19.5" customHeight="1">
      <c r="A1000" s="377"/>
      <c r="B1000" s="377"/>
      <c r="C1000" s="377"/>
      <c r="D1000" s="377"/>
      <c r="E1000" s="377"/>
      <c r="F1000" s="377"/>
      <c r="G1000" s="377"/>
      <c r="H1000" s="377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  <c r="Z1000" s="377"/>
    </row>
  </sheetData>
  <mergeCells count="4">
    <mergeCell ref="A1:C1"/>
    <mergeCell ref="A2:A3"/>
    <mergeCell ref="B2:B3"/>
    <mergeCell ref="C2:C3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30.29"/>
    <col customWidth="1" min="3" max="3" width="10.57"/>
    <col customWidth="1" min="4" max="4" width="17.14"/>
    <col customWidth="1" min="5" max="5" width="28.86"/>
    <col customWidth="1" min="6" max="26" width="8.71"/>
  </cols>
  <sheetData>
    <row r="1" ht="27.75" customHeight="1">
      <c r="A1" s="451" t="s">
        <v>699</v>
      </c>
      <c r="B1" s="216"/>
      <c r="C1" s="216"/>
      <c r="D1" s="216"/>
      <c r="E1" s="216"/>
    </row>
    <row r="2" ht="27.0" customHeight="1">
      <c r="A2" s="452" t="s">
        <v>700</v>
      </c>
      <c r="B2" s="452" t="s">
        <v>701</v>
      </c>
      <c r="C2" s="452" t="s">
        <v>702</v>
      </c>
      <c r="D2" s="452" t="s">
        <v>703</v>
      </c>
      <c r="E2" s="452" t="s">
        <v>704</v>
      </c>
    </row>
    <row r="3" ht="27.0" customHeight="1">
      <c r="A3" s="453" t="s">
        <v>610</v>
      </c>
      <c r="B3" s="453" t="s">
        <v>616</v>
      </c>
      <c r="C3" s="453">
        <v>79.0</v>
      </c>
      <c r="D3" s="453">
        <v>10.0</v>
      </c>
      <c r="E3" s="453">
        <v>0.13</v>
      </c>
    </row>
    <row r="4" ht="27.0" customHeight="1">
      <c r="A4" s="453" t="s">
        <v>588</v>
      </c>
      <c r="B4" s="453" t="s">
        <v>705</v>
      </c>
      <c r="C4" s="453">
        <v>92.0</v>
      </c>
      <c r="D4" s="453">
        <v>6.0</v>
      </c>
      <c r="E4" s="453">
        <v>0.07</v>
      </c>
    </row>
    <row r="5" ht="27.0" customHeight="1">
      <c r="A5" s="453" t="s">
        <v>588</v>
      </c>
      <c r="B5" s="453" t="s">
        <v>706</v>
      </c>
      <c r="C5" s="453"/>
      <c r="D5" s="453"/>
      <c r="E5" s="453">
        <v>0.07</v>
      </c>
    </row>
    <row r="6" ht="27.0" customHeight="1">
      <c r="A6" s="453" t="s">
        <v>588</v>
      </c>
      <c r="B6" s="453" t="s">
        <v>707</v>
      </c>
      <c r="C6" s="453"/>
      <c r="D6" s="453"/>
      <c r="E6" s="453">
        <v>0.07</v>
      </c>
    </row>
    <row r="7" ht="27.0" customHeight="1">
      <c r="A7" s="453" t="s">
        <v>575</v>
      </c>
      <c r="B7" s="453" t="s">
        <v>631</v>
      </c>
      <c r="C7" s="453"/>
      <c r="D7" s="453"/>
      <c r="E7" s="453">
        <v>0.07</v>
      </c>
    </row>
    <row r="8" ht="27.0" customHeight="1">
      <c r="A8" s="453" t="s">
        <v>575</v>
      </c>
      <c r="B8" s="453" t="s">
        <v>708</v>
      </c>
      <c r="C8" s="453">
        <v>79.0</v>
      </c>
      <c r="D8" s="453">
        <v>3.5</v>
      </c>
      <c r="E8" s="453">
        <v>0.044</v>
      </c>
    </row>
    <row r="9" ht="27.0" customHeight="1">
      <c r="A9" s="453" t="s">
        <v>575</v>
      </c>
      <c r="B9" s="453" t="s">
        <v>709</v>
      </c>
      <c r="C9" s="453"/>
      <c r="D9" s="453"/>
      <c r="E9" s="453">
        <v>0.044</v>
      </c>
    </row>
    <row r="10" ht="27.0" customHeight="1">
      <c r="A10" s="453" t="s">
        <v>710</v>
      </c>
      <c r="B10" s="453" t="s">
        <v>711</v>
      </c>
      <c r="C10" s="453">
        <v>72.0</v>
      </c>
      <c r="D10" s="453">
        <v>2.0</v>
      </c>
      <c r="E10" s="454">
        <v>0.027</v>
      </c>
    </row>
    <row r="11" ht="27.0" customHeight="1">
      <c r="A11" s="453" t="s">
        <v>575</v>
      </c>
      <c r="B11" s="453" t="s">
        <v>712</v>
      </c>
      <c r="C11" s="453"/>
      <c r="D11" s="453"/>
      <c r="E11" s="453">
        <v>0.044</v>
      </c>
    </row>
    <row r="12" ht="27.0" customHeight="1">
      <c r="A12" s="453" t="s">
        <v>710</v>
      </c>
      <c r="B12" s="453" t="s">
        <v>713</v>
      </c>
      <c r="C12" s="453">
        <v>72.0</v>
      </c>
      <c r="D12" s="453">
        <v>2.0</v>
      </c>
      <c r="E12" s="454">
        <v>0.027</v>
      </c>
    </row>
    <row r="13" ht="27.0" customHeight="1">
      <c r="A13" s="453" t="s">
        <v>588</v>
      </c>
      <c r="B13" s="453" t="s">
        <v>594</v>
      </c>
      <c r="C13" s="453">
        <v>109.0</v>
      </c>
      <c r="D13" s="453">
        <v>7.5</v>
      </c>
      <c r="E13" s="455">
        <f>+D13/C13</f>
        <v>0.06880733945</v>
      </c>
    </row>
    <row r="14" ht="27.0" customHeight="1">
      <c r="A14" s="453"/>
      <c r="B14" s="453"/>
      <c r="C14" s="453"/>
      <c r="D14" s="453"/>
      <c r="E14" s="453"/>
    </row>
    <row r="15" ht="27.0" customHeight="1">
      <c r="A15" s="453"/>
      <c r="B15" s="453"/>
      <c r="C15" s="453"/>
      <c r="D15" s="453"/>
      <c r="E15" s="453"/>
    </row>
    <row r="16" ht="27.0" customHeight="1">
      <c r="A16" s="453"/>
      <c r="B16" s="453"/>
      <c r="C16" s="453"/>
      <c r="D16" s="453"/>
      <c r="E16" s="453"/>
    </row>
    <row r="17">
      <c r="A17" s="456"/>
      <c r="B17" s="456"/>
      <c r="C17" s="456"/>
      <c r="D17" s="456"/>
      <c r="E17" s="456"/>
    </row>
    <row r="18">
      <c r="A18" s="457" t="s">
        <v>714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8:E19"/>
  </mergeCells>
  <printOptions/>
  <pageMargins bottom="0.75" footer="0.0" header="0.0" left="0.7" right="0.7" top="0.75"/>
  <pageSetup paperSize="9" orientation="portrait"/>
  <drawing r:id="rId1"/>
</worksheet>
</file>